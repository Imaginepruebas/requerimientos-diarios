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state="hidden" r:id="rId3"/>
    <sheet name="FINALIZADOS 2" sheetId="4" state="hidden" r:id="rId4"/>
    <sheet name="FINALIZADOS" sheetId="5" state="hidden" r:id="rId5"/>
    <sheet name="fESTIVOS" sheetId="6" state="hidden" r:id="rId6"/>
    <sheet name="ASISTENCIA" sheetId="7" state="hidden" r:id="rId7"/>
    <sheet name="Caidas del sistema" sheetId="8" state="hidden" r:id="rId8"/>
    <sheet name="pruebas i" sheetId="9" state="hidden" r:id="rId9"/>
  </sheets>
  <definedNames>
    <definedName name="_xlnm._FilterDatabase" localSheetId="1" hidden="1">'EN PROCESO (Alfa)'!$A$1:$S$1065</definedName>
    <definedName name="_xlnm._FilterDatabase" localSheetId="0" hidden="1">'EN PROCESO (Bolivar)'!$A$1:$BO$372</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GlZlzspeva6Og1WYcIhni1fHhDPIpF/mQ4Gxu7sgJQA="/>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79" i="2"/>
  <c r="H179" i="2"/>
  <c r="M178" i="2"/>
  <c r="H178" i="2"/>
  <c r="M177" i="2"/>
  <c r="H177" i="2"/>
  <c r="M176" i="2"/>
  <c r="H176" i="2"/>
  <c r="M175" i="2"/>
  <c r="H175" i="2"/>
  <c r="M174" i="2"/>
  <c r="H174" i="2"/>
  <c r="M173" i="2"/>
  <c r="H173" i="2"/>
  <c r="M172" i="2"/>
  <c r="H172" i="2"/>
  <c r="M171" i="2"/>
  <c r="H171" i="2"/>
  <c r="M170" i="2"/>
  <c r="H170" i="2"/>
  <c r="M169" i="2"/>
  <c r="H169" i="2"/>
  <c r="M168" i="2"/>
  <c r="H168" i="2"/>
  <c r="M167" i="2"/>
  <c r="H167" i="2"/>
  <c r="M166" i="2"/>
  <c r="H166" i="2"/>
  <c r="M165" i="2"/>
  <c r="H165" i="2"/>
  <c r="M164" i="2"/>
  <c r="H164" i="2"/>
  <c r="M163" i="2"/>
  <c r="H163" i="2"/>
  <c r="M162" i="2"/>
  <c r="H162" i="2"/>
  <c r="M161" i="2"/>
  <c r="H161" i="2"/>
  <c r="M160" i="2"/>
  <c r="H160" i="2"/>
  <c r="M159" i="2"/>
  <c r="H159" i="2"/>
  <c r="M158" i="2"/>
  <c r="H158" i="2"/>
  <c r="M157" i="2"/>
  <c r="H157" i="2"/>
  <c r="M156" i="2"/>
  <c r="H156" i="2"/>
  <c r="M155" i="2"/>
  <c r="H155" i="2"/>
  <c r="M154" i="2"/>
  <c r="H154" i="2"/>
  <c r="M153" i="2"/>
  <c r="H153" i="2"/>
  <c r="M152" i="2"/>
  <c r="H152" i="2"/>
  <c r="M151" i="2"/>
  <c r="H151" i="2"/>
  <c r="M150" i="2"/>
  <c r="H150" i="2"/>
  <c r="M149" i="2"/>
  <c r="H149" i="2"/>
  <c r="M148" i="2"/>
  <c r="H148" i="2"/>
  <c r="M147" i="2"/>
  <c r="H147" i="2"/>
  <c r="M146" i="2"/>
  <c r="H146" i="2"/>
  <c r="M145" i="2"/>
  <c r="H145" i="2"/>
  <c r="M144" i="2"/>
  <c r="H144" i="2"/>
  <c r="M143" i="2"/>
  <c r="H143" i="2"/>
  <c r="M142" i="2"/>
  <c r="H142" i="2"/>
  <c r="M141" i="2"/>
  <c r="H141" i="2"/>
  <c r="M140" i="2"/>
  <c r="H140" i="2"/>
  <c r="M139" i="2"/>
  <c r="H139" i="2"/>
  <c r="M138" i="2"/>
  <c r="H138" i="2"/>
  <c r="M137" i="2"/>
  <c r="H137" i="2"/>
  <c r="M136" i="2"/>
  <c r="H136" i="2"/>
  <c r="M135" i="2"/>
  <c r="H135" i="2"/>
  <c r="M134" i="2"/>
  <c r="H134" i="2"/>
  <c r="M133" i="2"/>
  <c r="H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 r="M372" i="1"/>
  <c r="H372" i="1"/>
  <c r="M371" i="1"/>
  <c r="H371" i="1"/>
  <c r="M370" i="1"/>
  <c r="H370" i="1"/>
  <c r="M369" i="1"/>
  <c r="H369" i="1"/>
  <c r="M368" i="1"/>
  <c r="H368" i="1"/>
  <c r="M367" i="1"/>
  <c r="H367" i="1"/>
  <c r="M366" i="1"/>
  <c r="H366" i="1"/>
  <c r="M365" i="1"/>
  <c r="H365" i="1"/>
  <c r="M364" i="1"/>
  <c r="H364" i="1"/>
  <c r="M363" i="1"/>
  <c r="H363" i="1"/>
  <c r="M362" i="1"/>
  <c r="H362" i="1"/>
  <c r="M361" i="1"/>
  <c r="H361" i="1"/>
  <c r="M360" i="1"/>
  <c r="H360" i="1"/>
  <c r="M359" i="1"/>
  <c r="H359" i="1"/>
  <c r="M358" i="1"/>
  <c r="H358" i="1"/>
  <c r="M357" i="1"/>
  <c r="H357" i="1"/>
  <c r="M356" i="1"/>
  <c r="H356" i="1"/>
  <c r="M355" i="1"/>
  <c r="H355" i="1"/>
  <c r="M354" i="1"/>
  <c r="H354" i="1"/>
  <c r="M353" i="1"/>
  <c r="H353" i="1"/>
  <c r="M352" i="1"/>
  <c r="H352" i="1"/>
  <c r="M351" i="1"/>
  <c r="H351" i="1"/>
  <c r="M350" i="1"/>
  <c r="H350" i="1"/>
  <c r="M349" i="1"/>
  <c r="H349" i="1"/>
  <c r="M348" i="1"/>
  <c r="H348" i="1"/>
  <c r="M347" i="1"/>
  <c r="H347" i="1"/>
  <c r="M346" i="1"/>
  <c r="H346" i="1"/>
  <c r="M345" i="1"/>
  <c r="H345" i="1"/>
  <c r="M344" i="1"/>
  <c r="H344" i="1"/>
  <c r="M343" i="1"/>
  <c r="H343" i="1"/>
  <c r="M342" i="1"/>
  <c r="H342" i="1"/>
  <c r="M341" i="1"/>
  <c r="H341" i="1"/>
  <c r="M340" i="1"/>
  <c r="H340" i="1"/>
  <c r="M339" i="1"/>
  <c r="H339" i="1"/>
  <c r="M338" i="1"/>
  <c r="H338" i="1"/>
  <c r="M337" i="1"/>
  <c r="H337" i="1"/>
  <c r="M336" i="1"/>
  <c r="H336" i="1"/>
  <c r="M335" i="1"/>
  <c r="H335" i="1"/>
  <c r="M334" i="1"/>
  <c r="H334" i="1"/>
  <c r="M333" i="1"/>
  <c r="H333" i="1"/>
  <c r="M332" i="1"/>
  <c r="H332" i="1"/>
  <c r="M331" i="1"/>
  <c r="H331" i="1"/>
  <c r="M330" i="1"/>
  <c r="H330" i="1"/>
  <c r="M329" i="1"/>
  <c r="H329" i="1"/>
  <c r="M328" i="1"/>
  <c r="H328" i="1"/>
  <c r="M327" i="1"/>
  <c r="H327" i="1"/>
  <c r="M326" i="1"/>
  <c r="H326" i="1"/>
  <c r="M325" i="1"/>
  <c r="H325" i="1"/>
  <c r="M324" i="1"/>
  <c r="H324" i="1"/>
  <c r="M323" i="1"/>
  <c r="H323" i="1"/>
  <c r="M322" i="1"/>
  <c r="H322" i="1"/>
  <c r="M321" i="1"/>
  <c r="H321" i="1"/>
  <c r="M320" i="1"/>
  <c r="H320" i="1"/>
  <c r="M319" i="1"/>
  <c r="H319" i="1"/>
  <c r="M318" i="1"/>
  <c r="H318" i="1"/>
  <c r="M317" i="1"/>
  <c r="H317" i="1"/>
  <c r="M316" i="1"/>
  <c r="H316" i="1"/>
  <c r="M315" i="1"/>
  <c r="H315" i="1"/>
  <c r="M314" i="1"/>
  <c r="H314" i="1"/>
  <c r="M313" i="1"/>
  <c r="H313" i="1"/>
  <c r="M312" i="1"/>
  <c r="H312" i="1"/>
  <c r="M311" i="1"/>
  <c r="H311" i="1"/>
  <c r="M310" i="1"/>
  <c r="H310" i="1"/>
  <c r="M309" i="1"/>
  <c r="H309" i="1"/>
  <c r="M308" i="1"/>
  <c r="H308" i="1"/>
  <c r="M307" i="1"/>
  <c r="H307" i="1"/>
  <c r="M306" i="1"/>
  <c r="H306" i="1"/>
  <c r="M305" i="1"/>
  <c r="H305" i="1"/>
  <c r="M304" i="1"/>
  <c r="H304" i="1"/>
  <c r="M303" i="1"/>
  <c r="H303" i="1"/>
  <c r="M302" i="1"/>
  <c r="H302" i="1"/>
  <c r="M301" i="1"/>
  <c r="H301" i="1"/>
  <c r="M300" i="1"/>
  <c r="H300" i="1"/>
  <c r="M299" i="1"/>
  <c r="H299" i="1"/>
  <c r="M298" i="1"/>
  <c r="H298" i="1"/>
  <c r="M297" i="1"/>
  <c r="H297" i="1"/>
  <c r="M296" i="1"/>
  <c r="H296" i="1"/>
  <c r="M295" i="1"/>
  <c r="H295" i="1"/>
  <c r="M294" i="1"/>
  <c r="H294" i="1"/>
  <c r="M293" i="1"/>
  <c r="H293" i="1"/>
  <c r="M292" i="1"/>
  <c r="H292" i="1"/>
  <c r="M291" i="1"/>
  <c r="H291" i="1"/>
  <c r="M290" i="1"/>
  <c r="H290" i="1"/>
  <c r="M289" i="1"/>
  <c r="H289" i="1"/>
  <c r="M288" i="1"/>
  <c r="H288" i="1"/>
  <c r="M287" i="1"/>
  <c r="H287" i="1"/>
  <c r="M286" i="1"/>
  <c r="H286" i="1"/>
  <c r="M285" i="1"/>
  <c r="H285" i="1"/>
  <c r="M284" i="1"/>
  <c r="H284" i="1"/>
  <c r="M283" i="1"/>
  <c r="H283" i="1"/>
  <c r="M282" i="1"/>
  <c r="H282" i="1"/>
  <c r="M281" i="1"/>
  <c r="H281" i="1"/>
  <c r="M280" i="1"/>
  <c r="H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H256" i="1"/>
  <c r="M255" i="1"/>
  <c r="H255" i="1"/>
  <c r="M254" i="1"/>
  <c r="H254" i="1"/>
  <c r="M253" i="1"/>
  <c r="H253" i="1"/>
  <c r="M252" i="1"/>
  <c r="H252" i="1"/>
  <c r="M251" i="1"/>
  <c r="H251" i="1"/>
  <c r="M250" i="1"/>
  <c r="H250" i="1"/>
  <c r="M249" i="1"/>
  <c r="H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H223" i="1"/>
  <c r="M222" i="1"/>
  <c r="H222" i="1"/>
  <c r="M221" i="1"/>
  <c r="H221" i="1"/>
  <c r="M220" i="1"/>
  <c r="H220" i="1"/>
  <c r="M219" i="1"/>
  <c r="H219" i="1"/>
  <c r="M218" i="1"/>
  <c r="H218" i="1"/>
  <c r="M217" i="1"/>
  <c r="H217" i="1"/>
  <c r="M216" i="1"/>
  <c r="H216" i="1"/>
  <c r="M215" i="1"/>
  <c r="H215" i="1"/>
  <c r="M214" i="1"/>
  <c r="H214" i="1"/>
  <c r="M213" i="1"/>
  <c r="H213" i="1"/>
  <c r="M212" i="1"/>
  <c r="H212" i="1"/>
  <c r="M211" i="1"/>
  <c r="H211" i="1"/>
  <c r="M210" i="1"/>
  <c r="H210" i="1"/>
  <c r="M209" i="1"/>
  <c r="H209" i="1"/>
  <c r="M208" i="1"/>
  <c r="H208" i="1"/>
  <c r="M207" i="1"/>
  <c r="H207" i="1"/>
  <c r="M206" i="1"/>
  <c r="H206" i="1"/>
  <c r="M205" i="1"/>
  <c r="H205" i="1"/>
  <c r="M204" i="1"/>
  <c r="H204" i="1"/>
  <c r="M203" i="1"/>
  <c r="H203" i="1"/>
  <c r="M202" i="1"/>
  <c r="H202" i="1"/>
  <c r="M201" i="1"/>
  <c r="H201" i="1"/>
  <c r="M200" i="1"/>
  <c r="H200" i="1"/>
  <c r="M199" i="1"/>
  <c r="H199" i="1"/>
  <c r="M198" i="1"/>
  <c r="H198" i="1"/>
  <c r="M197" i="1"/>
  <c r="H197" i="1"/>
  <c r="M196" i="1"/>
  <c r="H196" i="1"/>
  <c r="M195" i="1"/>
  <c r="H195" i="1"/>
  <c r="M194" i="1"/>
  <c r="H194" i="1"/>
  <c r="M193" i="1"/>
  <c r="H193" i="1"/>
  <c r="M192" i="1"/>
  <c r="H192" i="1"/>
  <c r="M191" i="1"/>
  <c r="H191" i="1"/>
  <c r="M190" i="1"/>
  <c r="H190" i="1"/>
  <c r="M189" i="1"/>
  <c r="H189" i="1"/>
  <c r="M188" i="1"/>
  <c r="H188" i="1"/>
  <c r="M187" i="1"/>
  <c r="H187" i="1"/>
  <c r="M186" i="1"/>
  <c r="H186" i="1"/>
  <c r="M185" i="1"/>
  <c r="H185" i="1"/>
  <c r="M184" i="1"/>
  <c r="H184" i="1"/>
  <c r="M183" i="1"/>
  <c r="H183" i="1"/>
  <c r="M182" i="1"/>
  <c r="H182" i="1"/>
  <c r="M181" i="1"/>
  <c r="H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H167" i="1"/>
  <c r="M166" i="1"/>
  <c r="H166" i="1"/>
  <c r="M165" i="1"/>
  <c r="H165" i="1"/>
  <c r="M164" i="1"/>
  <c r="H164" i="1"/>
  <c r="M163" i="1"/>
  <c r="H163" i="1"/>
  <c r="M162" i="1"/>
  <c r="H162" i="1"/>
  <c r="M161" i="1"/>
  <c r="H161" i="1"/>
  <c r="M160" i="1"/>
  <c r="H160" i="1"/>
  <c r="M159" i="1"/>
  <c r="H159" i="1"/>
  <c r="M158" i="1"/>
  <c r="H158" i="1"/>
  <c r="M157" i="1"/>
  <c r="H157" i="1"/>
  <c r="M156" i="1"/>
  <c r="H156" i="1"/>
  <c r="M155" i="1"/>
  <c r="H155" i="1"/>
  <c r="M154" i="1"/>
  <c r="H154" i="1"/>
  <c r="M153" i="1"/>
  <c r="H153" i="1"/>
  <c r="M152" i="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comments1.xml><?xml version="1.0" encoding="utf-8"?>
<comments xmlns="http://schemas.openxmlformats.org/spreadsheetml/2006/main">
  <authors>
    <author/>
  </authors>
  <commentList>
    <comment ref="U90" authorId="0" shapeId="0">
      <text>
        <r>
          <rPr>
            <sz val="12"/>
            <color theme="1"/>
            <rFont val="Quattrocento Sans"/>
            <scheme val="minor"/>
          </rPr>
          <t>======
ID#AAAB0JlKeHc
Implementacion Img    (2026-02-10 21:55:22)
Cambio en produccion realizado por Jenry.</t>
        </r>
      </text>
    </comment>
    <comment ref="N142" authorId="0" shapeId="0">
      <text>
        <r>
          <rPr>
            <sz val="12"/>
            <color theme="1"/>
            <rFont val="Quattrocento Sans"/>
            <scheme val="minor"/>
          </rPr>
          <t>======
ID#AAABvU1CtvA
Implementacion Img    (2026-02-06 16:14:52)
Entrega 8 dias habiles a partir del 9 de febrero</t>
        </r>
      </text>
    </comment>
    <comment ref="N143" authorId="0" shapeId="0">
      <text>
        <r>
          <rPr>
            <sz val="12"/>
            <color theme="1"/>
            <rFont val="Quattrocento Sans"/>
            <scheme val="minor"/>
          </rPr>
          <t>======
ID#AAABvU1CtvE
Implementacion Img    (2026-02-06 16:15:06)
Entrega 30 dias habiles a partir del 9 de febrero</t>
        </r>
      </text>
    </comment>
  </commentList>
  <extLst>
    <ext xmlns:r="http://schemas.openxmlformats.org/officeDocument/2006/relationships" uri="GoogleSheetsCustomDataVersion2">
      <go:sheetsCustomData xmlns:go="http://customooxmlschemas.google.com/" r:id="rId1" roundtripDataSignature="AMtx7mgb6a4xexe83rNClZIypvmZTZ1h5g=="/>
    </ext>
  </extLst>
</comments>
</file>

<file path=xl/sharedStrings.xml><?xml version="1.0" encoding="utf-8"?>
<sst xmlns="http://schemas.openxmlformats.org/spreadsheetml/2006/main" count="6710" uniqueCount="3216">
  <si>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</si>
  <si>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</si>
  <si>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</si>
  <si>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</si>
  <si>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</si>
  <si>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</si>
  <si>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</si>
  <si>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</si>
  <si>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</si>
  <si>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</si>
  <si>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</si>
  <si>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</si>
  <si>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</si>
  <si>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</si>
  <si>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</si>
  <si>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</si>
  <si>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</si>
  <si>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</si>
  <si>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</si>
  <si>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</si>
  <si>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</si>
  <si>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</si>
  <si>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</si>
  <si>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</si>
  <si>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</si>
  <si>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</si>
  <si>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</si>
  <si>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</si>
  <si>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</si>
  <si>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</si>
  <si>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</si>
  <si>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</si>
  <si>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</si>
  <si>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</si>
  <si>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</si>
  <si>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</si>
  <si>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</si>
  <si>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</si>
  <si>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</si>
  <si>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</si>
  <si>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</si>
  <si>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</si>
  <si>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</si>
  <si>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</si>
  <si>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</si>
  <si>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</si>
  <si>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</si>
  <si>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</si>
  <si>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</si>
  <si>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</si>
  <si>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</si>
  <si>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</si>
  <si>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</si>
  <si>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</si>
  <si>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</si>
  <si>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</si>
  <si>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</si>
  <si>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</si>
  <si>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</si>
  <si>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</si>
  <si>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</si>
  <si>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</si>
  <si>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</si>
  <si>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</si>
  <si>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</si>
  <si>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</si>
  <si>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</si>
  <si>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</si>
  <si>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</si>
  <si>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</si>
  <si>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</si>
  <si>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</si>
  <si>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</si>
  <si>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</si>
  <si>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</si>
  <si>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</si>
  <si>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</si>
  <si>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</si>
  <si>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</si>
  <si>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</si>
  <si>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</si>
  <si>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</si>
  <si>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</si>
  <si>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</si>
  <si>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</si>
  <si>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</si>
  <si>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</si>
  <si>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</si>
  <si>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</si>
  <si>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</si>
  <si>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</si>
  <si>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</si>
  <si>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</si>
  <si>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</si>
  <si>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</si>
  <si>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</si>
  <si>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</si>
  <si>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</si>
  <si>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</si>
  <si>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</si>
  <si>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</si>
  <si>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</si>
  <si>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</si>
  <si>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</si>
  <si>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</si>
  <si>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</si>
  <si>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</si>
  <si>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</si>
  <si>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</si>
  <si>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</si>
  <si>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</si>
  <si>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</si>
  <si>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</si>
  <si>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</si>
  <si>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</si>
  <si>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</si>
  <si>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</si>
  <si>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</si>
  <si>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</si>
  <si>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</si>
  <si>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</si>
  <si>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</si>
  <si>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</si>
  <si>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</si>
  <si>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</si>
  <si>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</si>
  <si>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</si>
  <si>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</si>
  <si>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</si>
  <si>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</si>
  <si>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</si>
  <si>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</si>
  <si>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</si>
  <si>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</si>
  <si>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</si>
  <si>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</si>
  <si>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</si>
  <si>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</si>
  <si>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</si>
  <si>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</si>
  <si>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</si>
  <si>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</si>
  <si>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</si>
  <si>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</si>
  <si>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</si>
  <si>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</si>
  <si>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</si>
  <si>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</si>
  <si>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</si>
  <si>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</si>
  <si>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</si>
  <si>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</si>
  <si>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</si>
  <si>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</si>
  <si>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</si>
  <si>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</si>
  <si>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</si>
  <si>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</si>
  <si>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</si>
  <si>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</si>
  <si>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</si>
  <si>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</si>
  <si>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</si>
  <si>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</si>
  <si>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</si>
  <si>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</si>
  <si>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</si>
  <si>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</si>
  <si>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</si>
  <si>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</si>
  <si>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</si>
  <si>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</si>
  <si>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</si>
  <si>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</si>
  <si>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</si>
  <si>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</si>
  <si>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</si>
  <si>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</si>
  <si>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</si>
  <si>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</si>
  <si>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</si>
  <si>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</si>
  <si>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</si>
  <si>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</si>
  <si>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</si>
  <si>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</si>
  <si>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</si>
  <si>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</si>
  <si>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</si>
  <si>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</si>
  <si>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</si>
  <si>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</si>
  <si>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</si>
  <si>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</si>
  <si>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</si>
  <si>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</si>
  <si>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</si>
  <si>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</si>
  <si>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</si>
  <si>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</si>
  <si>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</si>
  <si>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</si>
  <si>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</si>
  <si>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</si>
  <si>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</si>
  <si>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</si>
  <si>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</si>
  <si>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</si>
  <si>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</si>
  <si>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faLSE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</si>
  <si>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</si>
  <si>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</si>
  <si>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</si>
  <si>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</si>
  <si>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</si>
  <si>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</si>
  <si>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</si>
  <si>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</si>
  <si>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</si>
  <si>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</si>
  <si>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</si>
  <si>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</si>
  <si>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</si>
  <si>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</si>
  <si>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</si>
  <si>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</si>
  <si>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</si>
  <si>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</si>
  <si>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</si>
  <si>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</si>
  <si>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</si>
  <si>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</si>
  <si>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</si>
  <si>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</si>
  <si>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</si>
  <si>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</si>
  <si>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b/>
        <sz val="12"/>
        <color theme="1"/>
        <rFont val="Quattrocento Sans"/>
      </rPr>
      <t xml:space="preserve">Documentación  tecnica - </t>
    </r>
    <r>
      <rPr>
        <sz val="12"/>
        <color theme="1"/>
        <rFont val="Quattrocento Sans"/>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</si>
  <si>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</si>
  <si>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</si>
  <si>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</si>
  <si>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</si>
  <si>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</si>
  <si>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</si>
  <si>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</si>
  <si>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</si>
  <si>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</si>
  <si>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</si>
  <si>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</si>
  <si>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</si>
  <si>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</si>
  <si>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</si>
  <si>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</si>
  <si>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</si>
  <si>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</si>
  <si>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</si>
  <si>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</si>
  <si>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</si>
  <si>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</si>
  <si>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</si>
  <si>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</si>
  <si>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</si>
  <si>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</si>
  <si>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</si>
  <si>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</si>
  <si>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</si>
  <si>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</si>
  <si>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</si>
  <si>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</si>
  <si>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</si>
  <si>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</si>
  <si>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</si>
  <si>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</si>
  <si>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</si>
  <si>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</si>
  <si>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</si>
  <si>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</si>
  <si>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</si>
  <si>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</si>
  <si>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</si>
  <si>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</si>
  <si>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</si>
  <si>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</si>
  <si>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</si>
  <si>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</si>
  <si>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</si>
  <si>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</si>
  <si>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</si>
  <si>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</si>
  <si>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</si>
  <si>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</si>
  <si>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</si>
  <si>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</si>
  <si>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</si>
  <si>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</si>
  <si>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</si>
  <si>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</si>
  <si>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</si>
  <si>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</si>
  <si>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</si>
  <si>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</si>
  <si>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</si>
  <si>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</si>
  <si>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</si>
  <si>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</si>
  <si>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</si>
  <si>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</si>
  <si>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</si>
  <si>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</si>
  <si>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</si>
  <si>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</si>
  <si>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</si>
  <si>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</si>
  <si>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</si>
  <si>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</si>
  <si>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</si>
  <si>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</si>
  <si>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</si>
  <si>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</si>
  <si>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</si>
  <si>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</si>
  <si>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</si>
  <si>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</si>
  <si>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</si>
  <si>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</si>
  <si>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</si>
  <si>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</si>
  <si>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</si>
  <si>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</si>
  <si>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</si>
  <si>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</si>
  <si>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</si>
  <si>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</si>
  <si>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</si>
  <si>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</si>
  <si>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</si>
  <si>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</si>
  <si>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</si>
  <si>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</si>
  <si>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</si>
  <si>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</si>
  <si>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</si>
  <si>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</si>
  <si>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</si>
  <si>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</si>
  <si>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</si>
  <si>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</si>
  <si>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</si>
  <si>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</si>
  <si>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</si>
  <si>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</si>
  <si>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</si>
  <si>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</si>
  <si>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</si>
  <si>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</si>
  <si>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</si>
  <si>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</si>
  <si>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</si>
  <si>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</si>
  <si>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</si>
  <si>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</si>
  <si>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</si>
  <si>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</si>
  <si>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</si>
  <si>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</si>
  <si>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</si>
  <si>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</si>
  <si>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</si>
  <si>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</si>
  <si>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</si>
  <si>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</si>
  <si>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</si>
  <si>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</si>
  <si>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</si>
  <si>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</si>
  <si>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</si>
  <si>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</si>
  <si>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</si>
  <si>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</si>
  <si>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</si>
  <si>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</si>
  <si>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</si>
  <si>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</si>
  <si>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</si>
  <si>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</si>
  <si>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</si>
  <si>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</si>
  <si>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</si>
  <si>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</si>
  <si>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</si>
  <si>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</si>
  <si>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</si>
  <si>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</si>
  <si>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</si>
  <si>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</si>
  <si>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</si>
  <si>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</si>
  <si>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</si>
  <si>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</si>
  <si>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</si>
  <si>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</si>
  <si>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</si>
  <si>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</si>
  <si>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</si>
  <si>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</si>
  <si>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</si>
  <si>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</si>
  <si>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</si>
  <si>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</si>
  <si>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</si>
  <si>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</si>
  <si>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</si>
  <si>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</si>
  <si>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</si>
  <si>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</si>
  <si>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</si>
  <si>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</si>
  <si>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</si>
  <si>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</si>
  <si>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</si>
  <si>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</si>
  <si>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</si>
  <si>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</si>
  <si>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</si>
  <si>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</si>
  <si>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</si>
  <si>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</si>
  <si>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</si>
  <si>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</si>
  <si>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</si>
  <si>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</si>
  <si>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</si>
  <si>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</si>
  <si>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</si>
  <si>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</si>
  <si>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</si>
  <si>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</si>
  <si>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</si>
  <si>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</si>
  <si>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</si>
  <si>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</si>
  <si>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</si>
  <si>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</si>
  <si>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</si>
  <si>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</si>
  <si>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</si>
  <si>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</si>
  <si>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</si>
  <si>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</si>
  <si>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</si>
  <si>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</si>
  <si>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</si>
  <si>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</si>
  <si>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</si>
  <si>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</si>
  <si>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</si>
  <si>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</si>
  <si>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</si>
  <si>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</si>
  <si>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</si>
  <si>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</si>
  <si>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</si>
  <si>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</si>
  <si>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</si>
  <si>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</si>
  <si>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</si>
  <si>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</si>
  <si>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</si>
  <si>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</si>
  <si>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</si>
  <si>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</si>
  <si>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</si>
  <si>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</si>
  <si>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</si>
  <si>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</si>
  <si>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</si>
  <si>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</si>
  <si>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</si>
  <si>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</si>
  <si>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</si>
  <si>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</si>
  <si>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</si>
  <si>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</si>
  <si>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</si>
  <si>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</si>
  <si>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</si>
  <si>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</si>
  <si>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</si>
  <si>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</si>
  <si>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</si>
  <si>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</si>
  <si>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</si>
  <si>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</si>
  <si>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</si>
  <si>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</si>
  <si>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</si>
  <si>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</si>
  <si>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</si>
  <si>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</si>
  <si>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</si>
  <si>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</si>
  <si>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</si>
  <si>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</si>
  <si>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</si>
  <si>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</si>
  <si>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</si>
  <si>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</si>
  <si>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</si>
  <si>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</si>
  <si>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</si>
  <si>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</si>
  <si>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</si>
  <si>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</si>
  <si>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</si>
  <si>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</si>
  <si>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</si>
  <si>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</si>
  <si>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</si>
  <si>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</si>
  <si>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</si>
  <si>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</si>
  <si>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</si>
  <si>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</si>
  <si>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</si>
  <si>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</si>
  <si>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True</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</si>
  <si>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</si>
  <si>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</si>
  <si>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</si>
  <si>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</si>
  <si>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</si>
  <si>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</si>
  <si>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</si>
  <si>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</si>
  <si>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</si>
  <si>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</si>
  <si>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</si>
  <si>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</si>
  <si>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</si>
  <si>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</si>
  <si>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</si>
  <si>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</si>
  <si>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</si>
  <si>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</si>
  <si>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</si>
  <si>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</si>
  <si>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</si>
  <si>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</si>
  <si>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</si>
  <si>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</si>
  <si>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</si>
  <si>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</si>
  <si>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</si>
  <si>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</si>
  <si>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</si>
  <si>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</si>
  <si>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</si>
  <si>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</si>
  <si>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</si>
  <si>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</si>
  <si>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</si>
  <si>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</si>
  <si>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</si>
  <si>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</si>
  <si>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</si>
  <si>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</si>
  <si>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</si>
  <si>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</si>
  <si>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</si>
  <si>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</si>
  <si>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</si>
  <si>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</si>
  <si>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</si>
  <si>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</si>
  <si>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</si>
  <si>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</si>
  <si>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</si>
  <si>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</si>
  <si>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</si>
  <si>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</si>
  <si>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</si>
  <si>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</si>
  <si>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</si>
  <si>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</si>
  <si>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</si>
  <si>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</si>
  <si>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</si>
  <si>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</si>
  <si>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</si>
  <si>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</si>
  <si>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</si>
  <si>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</si>
  <si>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</si>
  <si>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</si>
  <si>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</si>
  <si>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</si>
  <si>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</si>
  <si>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</si>
  <si>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</si>
  <si>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</si>
  <si>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</si>
  <si>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</si>
  <si>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</si>
  <si>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</si>
  <si>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</si>
  <si>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</si>
  <si>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</si>
  <si>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</si>
  <si>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</si>
  <si>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</si>
  <si>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</si>
  <si>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</si>
  <si>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</si>
  <si>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</si>
  <si>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</si>
  <si>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</si>
  <si>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</si>
  <si>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</si>
  <si>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</si>
  <si>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</si>
  <si>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</si>
  <si>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</si>
  <si>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</si>
  <si>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</si>
  <si>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</si>
  <si>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</si>
  <si>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</si>
  <si>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</si>
  <si>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</si>
  <si>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</si>
  <si>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</si>
  <si>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</si>
  <si>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</si>
  <si>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</si>
  <si>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</si>
  <si>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</si>
  <si>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</si>
  <si>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</si>
  <si>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</si>
  <si>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</si>
  <si>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</si>
  <si>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</si>
  <si>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</si>
  <si>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</si>
  <si>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</si>
  <si>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</si>
  <si>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</si>
  <si>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</si>
  <si>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</si>
  <si>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
05/03/2026: Se  escala control de cambios en test MDSB-995488 para  la creación o actualización de la vista view_empresas_inc, la cual consolida información de empresas y datos capturados en procesos de radicación de incapacidades.
Control de cambios ejecutado correctamente.</t>
    </r>
  </si>
  <si>
    <t>MDSB-969303 / MDSB-995488</t>
  </si>
  <si>
    <t>Jenry 10/02/2026</t>
  </si>
  <si>
    <t>https://github.com/Imaginesas/portales/compare/master...feature/copiaIncapacidadApiOcr?expand=1</t>
  </si>
  <si>
    <t>GD772-168_3</t>
  </si>
  <si>
    <t>Mejora OCR Incapacidades — formulario manual</t>
  </si>
  <si>
    <t>EN TEST</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</si>
  <si>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</si>
  <si>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</si>
  <si>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</si>
  <si>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</si>
  <si>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</si>
  <si>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</si>
  <si>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</si>
  <si>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</si>
  <si>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</si>
  <si>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</si>
  <si>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</si>
  <si>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</si>
  <si>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</si>
  <si>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</si>
  <si>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</si>
  <si>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</si>
  <si>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</si>
  <si>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</si>
  <si>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</si>
  <si>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</si>
  <si>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</si>
  <si>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</si>
  <si>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</si>
  <si>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</si>
  <si>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</si>
  <si>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</si>
  <si>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PENDIENTE CLIENTE</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</si>
  <si>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</si>
  <si>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</si>
  <si>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</si>
  <si>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</si>
  <si>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</si>
  <si>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</si>
  <si>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</si>
  <si>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</si>
  <si>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</si>
  <si>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</si>
  <si>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</si>
  <si>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04/03/2026: Se inició formalmente la migración de la vista Workflow Radicación dentro del proceso de renovación del aplicativo Nativo
06/03/2026: La  vista la  componen de 38 opciones  de las cuales se han  migrado  16, hoy  se continua con la migración.</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</si>
  <si>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</si>
  <si>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</si>
  <si>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</si>
  <si>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</si>
  <si>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</si>
  <si>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b/>
        <sz val="12"/>
        <color theme="1"/>
        <rFont val="Quattrocento Sans"/>
      </rPr>
      <t>Jiras  día a día</t>
    </r>
    <r>
      <rPr>
        <sz val="12"/>
        <color theme="1"/>
        <rFont val="Quattrocento Sans"/>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</si>
  <si>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</si>
  <si>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</si>
  <si>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</si>
  <si>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</si>
  <si>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</si>
  <si>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</si>
  <si>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</si>
  <si>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</si>
  <si>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</si>
  <si>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</si>
  <si>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</si>
  <si>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</si>
  <si>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</si>
  <si>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</si>
  <si>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</si>
  <si>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</si>
  <si>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</si>
  <si>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</si>
  <si>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</si>
  <si>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</si>
  <si>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</si>
  <si>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</si>
  <si>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</si>
  <si>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</si>
  <si>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</si>
  <si>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</si>
  <si>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</si>
  <si>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</si>
  <si>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</si>
  <si>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</si>
  <si>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</si>
  <si>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</si>
  <si>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</si>
  <si>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</si>
  <si>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</si>
  <si>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</si>
  <si>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</si>
  <si>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</si>
  <si>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</si>
  <si>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</si>
  <si>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</si>
  <si>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</si>
  <si>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</si>
  <si>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</si>
  <si>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</si>
  <si>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</si>
  <si>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</si>
  <si>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</si>
  <si>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</si>
  <si>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</si>
  <si>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</si>
  <si>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</si>
  <si>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</si>
  <si>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</si>
  <si>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</si>
  <si>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</si>
  <si>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</si>
  <si>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</si>
  <si>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</si>
  <si>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</si>
  <si>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</si>
  <si>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</si>
  <si>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</si>
  <si>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</si>
  <si>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</si>
  <si>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</si>
  <si>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</si>
  <si>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</si>
  <si>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</si>
  <si>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</si>
  <si>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</si>
  <si>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</si>
  <si>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</si>
  <si>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</si>
  <si>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</si>
  <si>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</si>
  <si>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</si>
  <si>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</si>
  <si>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</si>
  <si>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</si>
  <si>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</si>
  <si>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</si>
  <si>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</si>
  <si>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</si>
  <si>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</si>
  <si>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</si>
  <si>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</si>
  <si>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</si>
  <si>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</si>
  <si>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</si>
  <si>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</si>
  <si>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</si>
  <si>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</si>
  <si>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</si>
  <si>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</si>
  <si>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</si>
  <si>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</si>
  <si>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</si>
  <si>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</si>
  <si>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</si>
  <si>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</si>
  <si>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</si>
  <si>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</si>
  <si>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</si>
  <si>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</si>
  <si>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</si>
  <si>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</si>
  <si>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</si>
  <si>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</si>
  <si>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</si>
  <si>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</si>
  <si>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</si>
  <si>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</si>
  <si>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</si>
  <si>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</si>
  <si>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</si>
  <si>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</si>
  <si>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</si>
  <si>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</si>
  <si>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</si>
  <si>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</si>
  <si>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</si>
  <si>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</si>
  <si>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</si>
  <si>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</si>
  <si>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</si>
  <si>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</si>
  <si>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</si>
  <si>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</si>
  <si>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</si>
  <si>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</si>
  <si>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</si>
  <si>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</si>
  <si>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</si>
  <si>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</si>
  <si>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</si>
  <si>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</si>
  <si>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</si>
  <si>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</si>
  <si>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</si>
  <si>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</si>
  <si>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</si>
  <si>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</si>
  <si>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</si>
  <si>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</si>
  <si>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</si>
  <si>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</si>
  <si>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</si>
  <si>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</si>
  <si>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</si>
  <si>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</si>
  <si>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</si>
  <si>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</si>
  <si>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</si>
  <si>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</si>
  <si>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</si>
  <si>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</si>
  <si>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</si>
  <si>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</si>
  <si>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</si>
  <si>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</si>
  <si>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t>
  </si>
  <si>
    <t>MDSB-987316</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</si>
  <si>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</si>
  <si>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</si>
  <si>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</si>
  <si>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</si>
  <si>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</si>
  <si>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</si>
  <si>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</si>
  <si>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</si>
  <si>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</si>
  <si>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</si>
  <si>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</si>
  <si>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</si>
  <si>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</si>
  <si>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</si>
  <si>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</si>
  <si>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</si>
  <si>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</si>
  <si>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</si>
  <si>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</si>
  <si>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
06/03/2026: Se continúa trabajando en el módulo relacionado con la gestión de incapacidades, específicamente en la revisión y ajuste de los diferentes modales y servicios asociados al proceso de gestión y resolución.
Adicionalmente, se está evaluando la posibilidad de incorporar funcionalidades adicionales como un chat o mecanismo de interacción dentro del sistema, conforme a solicitudes recibidas.</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</si>
  <si>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</si>
  <si>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</si>
  <si>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</si>
  <si>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</si>
  <si>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</si>
  <si>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</si>
  <si>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</si>
  <si>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</si>
  <si>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</si>
  <si>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</si>
  <si>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</si>
  <si>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</si>
  <si>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</si>
  <si>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</si>
  <si>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</si>
  <si>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</si>
  <si>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</si>
  <si>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</si>
  <si>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</si>
  <si>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</si>
  <si>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</si>
  <si>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</si>
  <si>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</si>
  <si>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</si>
  <si>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</si>
  <si>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</si>
  <si>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</si>
  <si>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</si>
  <si>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</si>
  <si>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</si>
  <si>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</si>
  <si>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</si>
  <si>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</si>
  <si>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</si>
  <si>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</si>
  <si>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</si>
  <si>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INTERNO-D016</t>
  </si>
  <si>
    <t>Implementacion de almacenamiento temporal de imágenes</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</si>
  <si>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</si>
  <si>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</si>
  <si>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</si>
  <si>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</si>
  <si>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</si>
  <si>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</si>
  <si>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</si>
  <si>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</si>
  <si>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</si>
  <si>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</si>
  <si>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</si>
  <si>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</si>
  <si>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</si>
  <si>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</si>
  <si>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</si>
  <si>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</si>
  <si>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</si>
  <si>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</si>
  <si>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</si>
  <si>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</si>
  <si>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</si>
  <si>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</si>
  <si>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</si>
  <si>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</si>
  <si>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</si>
  <si>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</si>
  <si>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</si>
  <si>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</si>
  <si>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</si>
  <si>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</si>
  <si>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</si>
  <si>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</si>
  <si>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</si>
  <si>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</si>
  <si>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</si>
  <si>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</si>
  <si>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</si>
  <si>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</si>
  <si>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</si>
  <si>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</si>
  <si>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</si>
  <si>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</si>
  <si>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</si>
  <si>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</si>
  <si>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</si>
  <si>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</si>
  <si>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</si>
  <si>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</si>
  <si>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</si>
  <si>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</si>
  <si>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</si>
  <si>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</si>
  <si>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</si>
  <si>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</si>
  <si>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</si>
  <si>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</si>
  <si>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</si>
  <si>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</si>
  <si>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</si>
  <si>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</si>
  <si>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</si>
  <si>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</si>
  <si>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</si>
  <si>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</si>
  <si>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</si>
  <si>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</si>
  <si>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</si>
  <si>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</si>
  <si>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</si>
  <si>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</si>
  <si>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sz val="10"/>
        <color theme="1"/>
        <rFont val="Quattrocento Sans"/>
      </rPr>
      <t xml:space="preserve">04/03/2026: Se aprobó el reproceso de radicados entre el 26 de febrero y el 3 de </t>
    </r>
    <r>
      <rPr>
        <u/>
        <sz val="10"/>
        <color rgb="FF1155CC"/>
        <rFont val="Quattrocento Sans"/>
      </rPr>
      <t>marzo.Se</t>
    </r>
    <r>
      <rPr>
        <sz val="10"/>
        <color theme="1"/>
        <rFont val="Quattrocento Sans"/>
      </rPr>
      <t xml:space="preserve"> realizará consulta en base de datos para obtener IDs y ejecutar comando de reenvío agrupando registros.
Se ejecuta comando  y se realiza el reenvio de  correos satisfactoriamente.</t>
    </r>
  </si>
  <si>
    <t>MDSB-996108</t>
  </si>
  <si>
    <t>Jiras día a dia (Solicitud de listado de usurios Activos)</t>
  </si>
  <si>
    <t>Solicitamos por favor la colaboración de ustedes para obtener el listado general de usuarios en estado activo que realizan alguna gestión dentro del aplicativo imagine (nativo, YII o laravel); excluyendo los usuarios que unicamente consultan o unicamente radican.
Cantidad
listado de usuarios (numero de documento, correo, nombres)</t>
  </si>
  <si>
    <t>INTERNO-JE001</t>
  </si>
  <si>
    <t>Realizar Imagen de docker de nativo para Jesus ( Equipo de Bolivar)</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</si>
  <si>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</si>
  <si>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</si>
  <si>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</si>
  <si>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</si>
  <si>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</si>
  <si>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</si>
  <si>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</si>
  <si>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</si>
  <si>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</si>
  <si>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</si>
  <si>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</si>
  <si>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</si>
  <si>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</si>
  <si>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</si>
  <si>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</si>
  <si>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</si>
  <si>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</si>
  <si>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</si>
  <si>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</si>
  <si>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</si>
  <si>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</si>
  <si>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</si>
  <si>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</si>
  <si>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</si>
  <si>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</si>
  <si>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</si>
  <si>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</si>
  <si>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</si>
  <si>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</si>
  <si>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</si>
  <si>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</si>
  <si>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</si>
  <si>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</si>
  <si>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</si>
  <si>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</si>
  <si>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</si>
  <si>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</si>
  <si>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</si>
  <si>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</si>
  <si>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</si>
  <si>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</si>
  <si>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</si>
  <si>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</si>
  <si>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</si>
  <si>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</si>
  <si>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</si>
  <si>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</si>
  <si>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</si>
  <si>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</si>
  <si>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</si>
  <si>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</si>
  <si>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</si>
  <si>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</si>
  <si>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</si>
  <si>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</si>
  <si>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</si>
  <si>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</si>
  <si>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</si>
  <si>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</si>
  <si>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</si>
  <si>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</si>
  <si>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</si>
  <si>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</si>
  <si>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</si>
  <si>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</si>
  <si>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</si>
  <si>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</si>
  <si>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</si>
  <si>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</si>
  <si>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</si>
  <si>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</si>
  <si>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</si>
  <si>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</si>
  <si>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</si>
  <si>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</si>
  <si>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</si>
  <si>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</si>
  <si>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</si>
  <si>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</si>
  <si>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</si>
  <si>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</si>
  <si>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</si>
  <si>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</si>
  <si>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</si>
  <si>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</si>
  <si>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</si>
  <si>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</si>
  <si>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</si>
  <si>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</si>
  <si>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</si>
  <si>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</si>
  <si>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</si>
  <si>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</si>
  <si>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</si>
  <si>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</si>
  <si>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</si>
  <si>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</si>
  <si>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</si>
  <si>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</si>
  <si>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</si>
  <si>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</si>
  <si>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</si>
  <si>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</si>
  <si>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</si>
  <si>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</si>
  <si>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</si>
  <si>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</si>
  <si>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</si>
  <si>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</si>
  <si>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</si>
  <si>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</si>
  <si>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</si>
  <si>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</si>
  <si>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</si>
  <si>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</si>
  <si>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</si>
  <si>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</si>
  <si>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</si>
  <si>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</si>
  <si>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</si>
  <si>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</si>
  <si>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</si>
  <si>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</si>
  <si>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</si>
  <si>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</si>
  <si>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</si>
  <si>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</si>
  <si>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</si>
  <si>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</si>
  <si>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</si>
  <si>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</si>
  <si>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</si>
  <si>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</si>
  <si>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</si>
  <si>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</si>
  <si>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</si>
  <si>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</si>
  <si>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</si>
  <si>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</si>
  <si>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</si>
  <si>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</si>
  <si>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</si>
  <si>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</si>
  <si>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</si>
  <si>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</si>
  <si>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</si>
  <si>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</si>
  <si>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</si>
  <si>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</si>
  <si>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</si>
  <si>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</si>
  <si>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</si>
  <si>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</si>
  <si>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</si>
  <si>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</si>
  <si>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</si>
  <si>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</si>
  <si>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</si>
  <si>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</si>
  <si>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</si>
  <si>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</si>
  <si>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</si>
  <si>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</si>
  <si>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</si>
  <si>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</si>
  <si>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</si>
  <si>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</si>
  <si>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</si>
  <si>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</si>
  <si>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</si>
  <si>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</si>
  <si>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</si>
  <si>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</si>
  <si>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</si>
  <si>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</si>
  <si>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</si>
  <si>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</si>
  <si>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</si>
  <si>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</si>
  <si>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</si>
  <si>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</si>
  <si>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</si>
  <si>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</si>
  <si>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</si>
  <si>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</si>
  <si>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</si>
  <si>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</si>
  <si>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</si>
  <si>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</si>
  <si>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</si>
  <si>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</si>
  <si>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</si>
  <si>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</si>
  <si>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</si>
  <si>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</si>
  <si>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</si>
  <si>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</si>
  <si>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</si>
  <si>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</si>
  <si>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</si>
  <si>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</si>
  <si>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</si>
  <si>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</si>
  <si>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</si>
  <si>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</si>
  <si>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</si>
  <si>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</si>
  <si>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</si>
  <si>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</si>
  <si>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</si>
  <si>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</si>
  <si>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</si>
  <si>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</si>
  <si>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</si>
  <si>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</si>
  <si>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</si>
  <si>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</si>
  <si>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</si>
  <si>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</si>
  <si>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</si>
  <si>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</si>
  <si>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</si>
  <si>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</si>
  <si>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</si>
  <si>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</si>
  <si>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</si>
  <si>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</si>
  <si>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</si>
  <si>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</si>
  <si>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</si>
  <si>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</si>
  <si>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</si>
  <si>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</si>
  <si>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</si>
  <si>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</si>
  <si>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</si>
  <si>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</si>
  <si>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</si>
  <si>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</si>
  <si>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</si>
  <si>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</si>
  <si>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</si>
  <si>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</si>
  <si>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</si>
  <si>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</si>
  <si>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</si>
  <si>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</si>
  <si>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</si>
  <si>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</si>
  <si>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</si>
  <si>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</si>
  <si>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</si>
  <si>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</si>
  <si>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</si>
  <si>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</si>
  <si>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</si>
  <si>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</si>
  <si>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</si>
  <si>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</si>
  <si>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</si>
  <si>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</si>
  <si>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</si>
  <si>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</si>
  <si>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</si>
  <si>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</si>
  <si>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</si>
  <si>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</si>
  <si>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</si>
  <si>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</si>
  <si>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</si>
  <si>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</si>
  <si>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</si>
  <si>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</si>
  <si>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</si>
  <si>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</si>
  <si>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</si>
  <si>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</si>
  <si>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</si>
  <si>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</si>
  <si>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</si>
  <si>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</si>
  <si>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</si>
  <si>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</si>
  <si>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</si>
  <si>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</si>
  <si>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</si>
  <si>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</si>
  <si>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</si>
  <si>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</si>
  <si>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</si>
  <si>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</si>
  <si>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</si>
  <si>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</si>
  <si>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</si>
  <si>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</si>
  <si>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</si>
  <si>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</si>
  <si>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</si>
  <si>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</si>
  <si>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</si>
  <si>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</si>
  <si>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</si>
  <si>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</si>
  <si>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</si>
  <si>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</si>
  <si>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</si>
  <si>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</si>
  <si>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</si>
  <si>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</si>
  <si>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</si>
  <si>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</si>
  <si>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</si>
  <si>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</si>
  <si>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</si>
  <si>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</si>
  <si>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</si>
  <si>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</si>
  <si>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</si>
  <si>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</si>
  <si>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</si>
  <si>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</si>
  <si>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</si>
  <si>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</si>
  <si>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</si>
  <si>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</si>
  <si>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</si>
  <si>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</si>
  <si>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</si>
  <si>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</si>
  <si>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</si>
  <si>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</si>
  <si>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</si>
  <si>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</si>
  <si>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</si>
  <si>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</si>
  <si>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</si>
  <si>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</si>
  <si>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</si>
  <si>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</si>
  <si>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</si>
  <si>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</si>
  <si>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</si>
  <si>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GD772-207</t>
  </si>
  <si>
    <t>Agregar Botón de Xpertia al portal de proveedores</t>
  </si>
  <si>
    <t>GD772-207 - BOTON EXPERTIA
Se requiere que en el portal de proveedores se agregue un direccionamiento al siguiente sitio :
https://digital.experienciasbolivar.segurosbolivar.com/xpertia-web
Imagine debe crear un boton con el logo de Xpertia en el cajon que se muestra a continuación .
Lo que se espera es que este logo redireccione al sitio anteriormente mencionado abriendo una pestaña nueva.
el logo de xpertia es el siguiente :</t>
  </si>
  <si>
    <t>03/03/2026; Si necesitan que el logo se muestre en el botón es necesario mandarlo en formato que permita la manipulación, puede ser en formato SVG.
05/03/2026: Liyibet envia el boton en el formato solicitado.
06/03/2026: Se estima inciar desarrollo la proxima semana.</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</si>
  <si>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</si>
  <si>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</si>
  <si>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</si>
  <si>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</si>
  <si>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</si>
  <si>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</si>
  <si>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</si>
  <si>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</si>
  <si>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</si>
  <si>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</si>
  <si>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</si>
  <si>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</si>
  <si>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</si>
  <si>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</si>
  <si>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</si>
  <si>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</si>
  <si>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</si>
  <si>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</si>
  <si>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</si>
  <si>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</si>
  <si>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</si>
  <si>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</si>
  <si>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</si>
  <si>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</si>
  <si>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</si>
  <si>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</si>
  <si>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</si>
  <si>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</si>
  <si>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</si>
  <si>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</si>
  <si>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</si>
  <si>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</si>
  <si>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</si>
  <si>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</si>
  <si>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</si>
  <si>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</si>
  <si>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</si>
  <si>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</si>
  <si>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</si>
  <si>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</si>
  <si>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</si>
  <si>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</si>
  <si>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</si>
  <si>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</si>
  <si>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</si>
  <si>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</si>
  <si>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</si>
  <si>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</si>
  <si>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</si>
  <si>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</si>
  <si>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</si>
  <si>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</si>
  <si>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</si>
  <si>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</si>
  <si>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</si>
  <si>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</si>
  <si>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</si>
  <si>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</si>
  <si>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</si>
  <si>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</si>
  <si>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</si>
  <si>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</si>
  <si>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</si>
  <si>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</si>
  <si>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</si>
  <si>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</si>
  <si>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</si>
  <si>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</si>
  <si>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</si>
  <si>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</si>
  <si>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</si>
  <si>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</si>
  <si>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</si>
  <si>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</si>
  <si>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</si>
  <si>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</si>
  <si>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</si>
  <si>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</si>
  <si>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</si>
  <si>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</si>
  <si>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</si>
  <si>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</si>
  <si>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</si>
  <si>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</si>
  <si>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</si>
  <si>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</si>
  <si>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</si>
  <si>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</si>
  <si>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</si>
  <si>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</si>
  <si>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</si>
  <si>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</si>
  <si>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</si>
  <si>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</si>
  <si>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</si>
  <si>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</si>
  <si>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</si>
  <si>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</si>
  <si>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</si>
  <si>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</si>
  <si>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</si>
  <si>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</si>
  <si>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</si>
  <si>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</si>
  <si>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</si>
  <si>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</si>
  <si>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</si>
  <si>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</si>
  <si>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</si>
  <si>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</si>
  <si>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</si>
  <si>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</si>
  <si>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</si>
  <si>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</si>
  <si>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</si>
  <si>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</si>
  <si>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</si>
  <si>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</si>
  <si>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</si>
  <si>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</si>
  <si>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</si>
  <si>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</si>
  <si>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</si>
  <si>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</si>
  <si>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</si>
  <si>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</si>
  <si>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</si>
  <si>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</si>
  <si>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</si>
  <si>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</si>
  <si>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</si>
  <si>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</si>
  <si>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</si>
  <si>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</si>
  <si>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</si>
  <si>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</si>
  <si>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</si>
  <si>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</si>
  <si>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</si>
  <si>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</si>
  <si>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</si>
  <si>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</si>
  <si>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</si>
  <si>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</si>
  <si>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</si>
  <si>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</si>
  <si>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</si>
  <si>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</si>
  <si>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</si>
  <si>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</si>
  <si>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</si>
  <si>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</si>
  <si>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</si>
  <si>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</si>
  <si>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</si>
  <si>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</si>
  <si>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t>
  </si>
  <si>
    <t>por ASIGNAR</t>
  </si>
  <si>
    <t>GD772-194</t>
  </si>
  <si>
    <t>Envío comunicados Independientes Voluntarios</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</si>
  <si>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</si>
  <si>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</si>
  <si>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</si>
  <si>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</si>
  <si>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</si>
  <si>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</si>
  <si>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</si>
  <si>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</si>
  <si>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</si>
  <si>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</si>
  <si>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</si>
  <si>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</si>
  <si>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</si>
  <si>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</si>
  <si>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</si>
  <si>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</si>
  <si>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</si>
  <si>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</si>
  <si>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</si>
  <si>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</si>
  <si>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</si>
  <si>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</si>
  <si>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</si>
  <si>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</si>
  <si>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</si>
  <si>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</si>
  <si>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</si>
  <si>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</si>
  <si>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</si>
  <si>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</si>
  <si>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</si>
  <si>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</si>
  <si>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</si>
  <si>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</si>
  <si>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</si>
  <si>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</si>
  <si>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</si>
  <si>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</si>
  <si>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</si>
  <si>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</si>
  <si>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</si>
  <si>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</si>
  <si>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</si>
  <si>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</si>
  <si>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</si>
  <si>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</si>
  <si>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</si>
  <si>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</si>
  <si>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</si>
  <si>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</si>
  <si>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</si>
  <si>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</si>
  <si>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</si>
  <si>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</si>
  <si>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</si>
  <si>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</si>
  <si>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</si>
  <si>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</si>
  <si>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</si>
  <si>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</si>
  <si>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</si>
  <si>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</si>
  <si>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</si>
  <si>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</si>
  <si>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</si>
  <si>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</si>
  <si>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</si>
  <si>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</si>
  <si>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sz val="10"/>
        <color theme="1"/>
        <rFont val="Quattrocento Sans"/>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b/>
        <sz val="10"/>
        <color theme="1"/>
        <rFont val="Quattrocento Sans"/>
      </rPr>
      <t>11/02/2026:</t>
    </r>
    <r>
      <rPr>
        <sz val="10"/>
        <color theme="1"/>
        <rFont val="Quattrocento Sans"/>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b/>
        <sz val="10"/>
        <color theme="1"/>
        <rFont val="Quattrocento Sans"/>
      </rPr>
      <t xml:space="preserve">interfaz gráfica que permita al cliente entrenar el modelo directamente
</t>
    </r>
    <r>
      <rPr>
        <sz val="10"/>
        <color theme="1"/>
        <rFont val="Quattrocento Sans"/>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</si>
  <si>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</si>
  <si>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</si>
  <si>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</si>
  <si>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</si>
  <si>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</si>
  <si>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</si>
  <si>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</si>
  <si>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
06/03/2026: Se iniciaron trabajos preliminares en la construcción de la interfaz destinada al entrenamiento del modelo utilizado en Oficina Express. El desarrollo comenzó durante la semana en horarios adicionales y se avanzó parcialmente en la estructura inicial.
No obstante, debido a la priorización de otras tareas técnicas (principalmente la infraestructura de contenedores y ajustes del ambiente), no se pudo dedicar tiempo reciente al desarrollo.</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</si>
  <si>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</si>
  <si>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</si>
  <si>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</si>
  <si>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</si>
  <si>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</si>
  <si>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</si>
  <si>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</si>
  <si>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</si>
  <si>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 xml:space="preserve">Primer solicitud de Cambios correcpondencia Alfa </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</si>
  <si>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</si>
  <si>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
06/03/2026: El 4 de marzo se completaron los ajustes solicitados.</t>
  </si>
  <si>
    <t>INTERNO-D049</t>
  </si>
  <si>
    <t xml:space="preserve">Segunda solicitud de Cambios correcpondencia Alfa </t>
  </si>
  <si>
    <t>Los cambios iniciales solicitados previamente ya fueron implementados y finalizados; sin embargo, durante una nueva revisión funcional surgieron requerimientos adicionales que obligaron a replantear parte de lo desarrollado.
Se identificó que algunos cambios realizados a nivel de backend no estaban reflejados en el frontend, por lo que ahora se requiere realizar ajustes integrales tanto en la capa de backend como en la interfaz para asegurar que la información se procese y visualice correctamente.</t>
  </si>
  <si>
    <t>06/03/2026: Los nuevos ajustes  se encuentran pendiente  por iniciar.</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</si>
  <si>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</si>
  <si>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</si>
  <si>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
06/03/2026: La nueva instancia de desarrollo ya se encuentra desplegada y funcional. Los sitios se encuentran accesibles y las ramas del repositorio (incluyendo la rama DEP) fueron actualizadas correctamente.</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</si>
  <si>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</si>
  <si>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</si>
  <si>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</si>
  <si>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</si>
  <si>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</si>
  <si>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</si>
  <si>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</si>
  <si>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</si>
  <si>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</si>
  <si>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</si>
  <si>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</si>
  <si>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</si>
  <si>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</si>
  <si>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</si>
  <si>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</si>
  <si>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</si>
  <si>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 dev</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</si>
  <si>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</si>
  <si>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
06/03/2026: Se inició la implementación de contenedores necesarios para soportar el procesamiento masivo desarrollado previamente. Durante la sesión se reportó que ya se descargó el repositorio correspondiente, se comenzaron a ejecutar los Dockerfiles y se inició la construcción de los contenedores necesarios para el despliegue.
También se comenzó la configuración del proxy para permitir la comunicación entre los componentes del sistema. Durante estas pruebas se detectó un consumo de memoria mayor al esperado en el servidor (aproximadamente 1 GB de RAM disponible), lo cual ocasionó caídas temporales durante la ejecución de comandos de compilación como NPM.</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</si>
  <si>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</si>
  <si>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</si>
  <si>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</si>
  <si>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sz val="10"/>
        <color theme="1"/>
        <rFont val="Quattrocento Sans"/>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b/>
        <sz val="10"/>
        <color theme="1"/>
        <rFont val="Quattrocento Sans"/>
      </rPr>
      <t>11/02/2026</t>
    </r>
    <r>
      <rPr>
        <sz val="10"/>
        <color theme="1"/>
        <rFont val="Quattrocento Sans"/>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</si>
  <si>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</si>
  <si>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</si>
  <si>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</si>
  <si>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</si>
  <si>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</si>
  <si>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</si>
  <si>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</si>
  <si>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</si>
  <si>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</si>
  <si>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</si>
  <si>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</si>
  <si>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</si>
  <si>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</si>
  <si>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</si>
  <si>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</si>
  <si>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</si>
  <si>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</si>
  <si>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</si>
  <si>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</si>
  <si>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</si>
  <si>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</si>
  <si>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</si>
  <si>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</si>
  <si>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</si>
  <si>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</si>
  <si>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</si>
  <si>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</si>
  <si>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</si>
  <si>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</si>
  <si>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</si>
  <si>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</si>
  <si>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</si>
  <si>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</si>
  <si>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</si>
  <si>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</si>
  <si>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</si>
  <si>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</si>
  <si>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</si>
  <si>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</si>
  <si>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</si>
  <si>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</si>
  <si>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</si>
  <si>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</si>
  <si>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</si>
  <si>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</si>
  <si>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</si>
  <si>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</si>
  <si>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</si>
  <si>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</si>
  <si>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</si>
  <si>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</si>
  <si>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</si>
  <si>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</si>
  <si>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</si>
  <si>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</si>
  <si>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</si>
  <si>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</si>
  <si>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</si>
  <si>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</si>
  <si>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</si>
  <si>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</si>
  <si>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</si>
  <si>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</si>
  <si>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</si>
  <si>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</si>
  <si>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</si>
  <si>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</si>
  <si>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</si>
  <si>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</si>
  <si>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</si>
  <si>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</si>
  <si>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</si>
  <si>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</si>
  <si>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</si>
  <si>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</si>
  <si>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</si>
  <si>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</si>
  <si>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</si>
  <si>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</si>
  <si>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</si>
  <si>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</si>
  <si>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</si>
  <si>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</si>
  <si>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</si>
  <si>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</si>
  <si>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</si>
  <si>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</si>
  <si>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</si>
  <si>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</si>
  <si>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</si>
  <si>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</si>
  <si>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</si>
  <si>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</si>
  <si>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</si>
  <si>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</si>
  <si>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</si>
  <si>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</si>
  <si>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</si>
  <si>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</si>
  <si>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</si>
  <si>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</si>
  <si>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</si>
  <si>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</si>
  <si>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</si>
  <si>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</si>
  <si>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</si>
  <si>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</si>
  <si>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</si>
  <si>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</si>
  <si>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</si>
  <si>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</si>
  <si>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</si>
  <si>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</si>
  <si>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</si>
  <si>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</si>
  <si>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</si>
  <si>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</si>
  <si>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</si>
  <si>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</si>
  <si>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</si>
  <si>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</si>
  <si>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</si>
  <si>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</si>
  <si>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</si>
  <si>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</si>
  <si>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</si>
  <si>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</si>
  <si>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</si>
  <si>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</si>
  <si>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</si>
  <si>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</si>
  <si>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</si>
  <si>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</si>
  <si>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</si>
  <si>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</si>
  <si>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</si>
  <si>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</si>
  <si>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</si>
  <si>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</si>
  <si>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</si>
  <si>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</si>
  <si>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</si>
  <si>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</si>
  <si>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</si>
  <si>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</si>
  <si>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</si>
  <si>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</si>
  <si>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</si>
  <si>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</si>
  <si>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</si>
  <si>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</si>
  <si>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</si>
  <si>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</si>
  <si>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</si>
  <si>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</si>
  <si>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</si>
  <si>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</si>
  <si>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</si>
  <si>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</si>
  <si>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</si>
  <si>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</si>
  <si>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</si>
  <si>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</si>
  <si>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</si>
  <si>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</si>
  <si>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</si>
  <si>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</si>
  <si>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</si>
  <si>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</si>
  <si>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</si>
  <si>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</si>
  <si>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</si>
  <si>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</si>
  <si>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</si>
  <si>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</si>
  <si>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</si>
  <si>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</si>
  <si>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</si>
  <si>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</si>
  <si>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</si>
  <si>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</si>
  <si>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</si>
  <si>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</si>
  <si>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</si>
  <si>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</si>
  <si>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</si>
  <si>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</si>
  <si>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</si>
  <si>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</si>
  <si>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</si>
  <si>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</si>
  <si>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</si>
  <si>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</si>
  <si>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</si>
  <si>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</si>
  <si>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</si>
  <si>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</si>
  <si>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</si>
  <si>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</si>
  <si>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</si>
  <si>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</si>
  <si>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</si>
  <si>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</si>
  <si>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</si>
  <si>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</si>
  <si>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</si>
  <si>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</si>
  <si>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</si>
  <si>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</si>
  <si>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</si>
  <si>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</si>
  <si>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</si>
  <si>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</si>
  <si>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</si>
  <si>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</si>
  <si>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</si>
  <si>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</si>
  <si>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</si>
  <si>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</si>
  <si>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</si>
  <si>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</si>
  <si>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</si>
  <si>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</si>
  <si>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</si>
  <si>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</si>
  <si>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</si>
  <si>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</si>
  <si>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</si>
  <si>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</si>
  <si>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</si>
  <si>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</si>
  <si>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</si>
  <si>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</si>
  <si>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</si>
  <si>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</si>
  <si>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</si>
  <si>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</si>
  <si>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</si>
  <si>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</si>
  <si>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</si>
  <si>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</si>
  <si>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</si>
  <si>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</si>
  <si>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</si>
  <si>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</si>
  <si>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</si>
  <si>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</si>
  <si>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</si>
  <si>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</si>
  <si>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</si>
  <si>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</si>
  <si>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</si>
  <si>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</si>
  <si>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</si>
  <si>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</si>
  <si>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</si>
  <si>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</si>
  <si>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</si>
  <si>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</si>
  <si>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</si>
  <si>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</si>
  <si>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</si>
  <si>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</si>
  <si>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</si>
  <si>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</si>
  <si>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</si>
  <si>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</si>
  <si>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</si>
  <si>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</si>
  <si>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</si>
  <si>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</si>
  <si>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</si>
  <si>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</si>
  <si>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</si>
  <si>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</si>
  <si>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</si>
  <si>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</si>
  <si>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</si>
  <si>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</si>
  <si>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</si>
  <si>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</si>
  <si>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</si>
  <si>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</si>
  <si>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</si>
  <si>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</si>
  <si>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</si>
  <si>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</si>
  <si>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</si>
  <si>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</si>
  <si>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</si>
  <si>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</si>
  <si>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</si>
  <si>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</si>
  <si>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</si>
  <si>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</si>
  <si>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</si>
  <si>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</si>
  <si>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</si>
  <si>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</si>
  <si>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</si>
  <si>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</si>
  <si>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</si>
  <si>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</si>
  <si>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</si>
  <si>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</si>
  <si>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</si>
  <si>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</si>
  <si>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</si>
  <si>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</si>
  <si>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</si>
  <si>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</si>
  <si>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</si>
  <si>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</si>
  <si>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</si>
  <si>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</si>
  <si>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</si>
  <si>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</si>
  <si>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</si>
  <si>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</si>
  <si>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</si>
  <si>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</si>
  <si>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</si>
  <si>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</si>
  <si>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</si>
  <si>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</si>
  <si>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</si>
  <si>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</si>
  <si>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</si>
  <si>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</si>
  <si>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</si>
  <si>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</si>
  <si>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</si>
  <si>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</si>
  <si>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</si>
  <si>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</si>
  <si>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</si>
  <si>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</si>
  <si>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</si>
  <si>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</si>
  <si>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</si>
  <si>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</si>
  <si>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</si>
  <si>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</si>
  <si>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</si>
  <si>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</si>
  <si>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</si>
  <si>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</si>
  <si>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</si>
  <si>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</si>
  <si>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</si>
  <si>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</si>
  <si>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</si>
  <si>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</si>
  <si>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</si>
  <si>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</si>
  <si>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</si>
  <si>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</si>
  <si>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</si>
  <si>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</si>
  <si>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</si>
  <si>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</si>
  <si>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</si>
  <si>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</si>
  <si>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</si>
  <si>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</si>
  <si>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</si>
  <si>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</si>
  <si>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</si>
  <si>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</si>
  <si>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</si>
  <si>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</si>
  <si>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</si>
  <si>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</si>
  <si>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</si>
  <si>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</si>
  <si>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</si>
  <si>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</si>
  <si>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</si>
  <si>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</si>
  <si>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</si>
  <si>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</si>
  <si>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</si>
  <si>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</si>
  <si>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</si>
  <si>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</si>
  <si>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</si>
  <si>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</si>
  <si>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</si>
  <si>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</si>
  <si>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</si>
  <si>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</si>
  <si>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</si>
  <si>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</si>
  <si>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</si>
  <si>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</si>
  <si>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</si>
  <si>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</si>
  <si>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</si>
  <si>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</si>
  <si>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</si>
  <si>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</si>
  <si>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</si>
  <si>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</si>
  <si>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</si>
  <si>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</si>
  <si>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</si>
  <si>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</si>
  <si>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</si>
  <si>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</si>
  <si>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</si>
  <si>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</si>
  <si>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</si>
  <si>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</si>
  <si>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</si>
  <si>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</si>
  <si>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</si>
  <si>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</si>
  <si>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</si>
  <si>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</si>
  <si>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</si>
  <si>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</si>
  <si>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</si>
  <si>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</si>
  <si>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</si>
  <si>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</si>
  <si>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</si>
  <si>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</si>
  <si>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</si>
  <si>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</si>
  <si>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</si>
  <si>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</si>
  <si>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</si>
  <si>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</si>
  <si>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</si>
  <si>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</si>
  <si>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</si>
  <si>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</si>
  <si>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</si>
  <si>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</si>
  <si>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</si>
  <si>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</si>
  <si>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</si>
  <si>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</si>
  <si>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</si>
  <si>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</si>
  <si>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</si>
  <si>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</si>
  <si>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</si>
  <si>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</si>
  <si>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</si>
  <si>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</si>
  <si>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</si>
  <si>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</si>
  <si>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</si>
  <si>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</si>
  <si>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</si>
  <si>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</si>
  <si>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</si>
  <si>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</si>
  <si>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</si>
  <si>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</si>
  <si>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</si>
  <si>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</si>
  <si>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</si>
  <si>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</si>
  <si>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</si>
  <si>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</si>
  <si>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</si>
  <si>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</si>
  <si>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</si>
  <si>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</si>
  <si>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</si>
  <si>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</si>
  <si>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</si>
  <si>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</si>
  <si>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</si>
  <si>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</si>
  <si>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</si>
  <si>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</si>
  <si>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</si>
  <si>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</si>
  <si>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</si>
  <si>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</si>
  <si>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</si>
  <si>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</si>
  <si>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</si>
  <si>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</si>
  <si>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</si>
  <si>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</si>
  <si>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</si>
  <si>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</si>
  <si>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</si>
  <si>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</si>
  <si>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</si>
  <si>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</si>
  <si>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</si>
  <si>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</si>
  <si>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</si>
  <si>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</si>
  <si>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</si>
  <si>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</si>
  <si>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</si>
  <si>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</si>
  <si>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</si>
  <si>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</si>
  <si>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</si>
  <si>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</si>
  <si>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</si>
  <si>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</si>
  <si>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</si>
  <si>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</si>
  <si>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</si>
  <si>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</si>
  <si>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</si>
  <si>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</si>
  <si>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</si>
  <si>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</si>
  <si>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</si>
  <si>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</si>
  <si>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</si>
  <si>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</si>
  <si>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</si>
  <si>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</si>
  <si>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 xml:space="preserve">09/02/2026 al 11/02/2026: Se está trabajando en el cargue de las diversas fuentes requeridas para la gestión de procesos jurídicos:
        Base siniestro y Bodega de datos.
        Cálculos y Consecutivos de Juntas.
        Resumen de Pago de Siniestros.
25/02/2026: Refacción de Archivos y Formatos. Adaptación de archivos de acuerdo a los procesos de la unidad. Se enfrentaron retos técnicos por carga de archivos de alta capacidad (más de 40 GB).
</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</si>
  <si>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</si>
  <si>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</si>
  <si>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</si>
  <si>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</si>
  <si>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</si>
  <si>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</si>
  <si>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</si>
  <si>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
25/02/2026: Se finaliza desarrollo y despliegue en ambientes de pruebas y producciòn</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</si>
  <si>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</si>
  <si>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</si>
  <si>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</si>
  <si>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
26/02/2026: Se finaliza desarrollo y despliegue en ambientes de pruebas y producciòn</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</si>
  <si>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</si>
  <si>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</si>
  <si>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</si>
  <si>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</si>
  <si>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</si>
  <si>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</si>
  <si>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</si>
  <si>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
27/02/2026: Se finaliza desarrollo y despliegue en ambientes de pruebas y producciòn</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</si>
  <si>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</si>
  <si>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</si>
  <si>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</si>
  <si>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
23/02/2026: Rediseño integral del flujo para la creación de planes de trabajo, optimizando la entrada de datos.</t>
  </si>
  <si>
    <t>SST_2025_026</t>
  </si>
  <si>
    <t>Plan de Trabajo ALFASST - Pre-Orden de Servicio</t>
  </si>
  <si>
    <t>Modificación en la creación y generación de ordenes de servicio</t>
  </si>
  <si>
    <t>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25/02/2026: Integración de la nueva funcionalidad para agendar órdenes de servicio (OS) directamente desde el plan de trabajo.</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</si>
  <si>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</si>
  <si>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</si>
  <si>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</si>
  <si>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</si>
  <si>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</si>
  <si>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</si>
  <si>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</si>
  <si>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</si>
  <si>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</si>
  <si>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</si>
  <si>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</si>
  <si>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</si>
  <si>
    <t>SST_2025_027</t>
  </si>
  <si>
    <t>Plan de Trabajo ALFASST - Modulo de Edición</t>
  </si>
  <si>
    <t>Se requiere que los datos registrados en las OS puedan ser editados</t>
  </si>
  <si>
    <t>24/02/2026: Ajuste y optimización de la funcionalidad para modificar registros existentes de forma fluida.</t>
  </si>
  <si>
    <t>SST_2025_028</t>
  </si>
  <si>
    <t>Plan de Trabajo ALFASST - Logica de Validaciones</t>
  </si>
  <si>
    <t>Se requiere que las OS sean agendadas correctamente</t>
  </si>
  <si>
    <t>26/02/2026: Implementación de reglas técnicas y de negocio para asegurar que las agendas se generen sin errores ni traslapes.</t>
  </si>
  <si>
    <t>PRV_2025_045</t>
  </si>
  <si>
    <t>Configuración de Servidor</t>
  </si>
  <si>
    <t xml:space="preserve">Ajustes de infraestructura en el servidor para cargar archivos </t>
  </si>
  <si>
    <t>26/02/2026: Ajustes en la infraestructura para evitar caídas y detenciones del sistema causadas por el volumen excesivo de los archivos cargados.</t>
  </si>
  <si>
    <t>PRV_2025_046</t>
  </si>
  <si>
    <t>Acompañamiento en sesiòn de unidad</t>
  </si>
  <si>
    <t>Sesión de validaciones</t>
  </si>
  <si>
    <t>27/02/2026: Sesión de validación sobre la carga de archivos. Se planteó nuevamente la necesidad técnica de integrar la base de datos para optimizar los procesos.</t>
  </si>
  <si>
    <t>PRV_2025_047</t>
  </si>
  <si>
    <t>Tablero de Control - Control de cambios</t>
  </si>
  <si>
    <t>Ajuste de visualizaciòn de datos</t>
  </si>
  <si>
    <t>27/02/2026: Corrección del error en el tablero de control que impedía la generación del año en vigencia, normalizando los reportes actuales.</t>
  </si>
  <si>
    <t>SST_2025_029</t>
  </si>
  <si>
    <t>Plan de Trabajo ALFASST - Ordenes de Servicio</t>
  </si>
  <si>
    <t>Tarea Programada de Agendamiento.</t>
  </si>
  <si>
    <t>02/03/2026 - 03/03/2026: Desarrollo del proceso automático para la generación masiva de órdenes de servicio, sincronizada con la agenda programada.</t>
  </si>
  <si>
    <t>SST_2025_030</t>
  </si>
  <si>
    <t>Plan de Trabajo ALFASST - Optimización Integral (CRUD)</t>
  </si>
  <si>
    <t>Creación, Edición, Modificación y Eliminación</t>
  </si>
  <si>
    <t>04/03/2026: Fortalecimiento de procesos (Creación, Edición, Modificación y Eliminación). Ajuste de lógica para permitir la edición de planes cuando no existan agendas previas.</t>
  </si>
  <si>
    <t>SST_2025_031</t>
  </si>
  <si>
    <t>Plan de Trabajo ALFASST - Asignación actividades</t>
  </si>
  <si>
    <t>Mejora Visual de Asignación.</t>
  </si>
  <si>
    <t>04/03/2026: Optimización de la interfaz (UI) para la asignación de actividades, facilitando la gestión visual.</t>
  </si>
  <si>
    <t>PRV_2025_048</t>
  </si>
  <si>
    <t>Reservas</t>
  </si>
  <si>
    <t>Nuevo Módulo de Carga (Reservas).</t>
  </si>
  <si>
    <t>03/03/2026 al 05/03/2026: Creación del módulo para carga masiva de reservas con formatos específicos. Se implementó un reporte dinámico para exportar información por tipo de formato.</t>
  </si>
  <si>
    <t>PRV_2025_049</t>
  </si>
  <si>
    <t>Optimización de Importación Masiva.</t>
  </si>
  <si>
    <t>05/03/2026: Se eliminó el conteo de registros en caliente al adjuntar archivos, logrando una carga mucho más rápida y eficiente.</t>
  </si>
  <si>
    <t>PRV_2025_050</t>
  </si>
  <si>
    <t>06/03/2026: Pruebas finales para validar las mejoras, asegurando que la calidad de la información cumpla con las necesidades operativas de la unidad.</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</si>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</sst>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70">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b/>
      <u/>
      <sz val="10"/>
      <color theme="1"/>
      <name val="Quattrocento Sans"/>
    </font>
    <font>
      <b/>
      <sz val="10"/>
      <color theme="1"/>
      <name val="Quattrocento Sans"/>
    </font>
    <font>
      <b/>
      <sz val="8"/>
      <color theme="1"/>
      <name val="Quattrocento Sans"/>
    </font>
    <font>
      <sz val="10"/>
      <color rgb="FF000000"/>
      <name val="Quattrocento Sans"/>
      <scheme val="minor"/>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sz val="12"/>
      <color theme="1"/>
      <name val="Quattrocento Sans"/>
      <scheme val="minor"/>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b/>
      <sz val="13"/>
      <color theme="1"/>
      <name val="Quattrocento Sans"/>
    </font>
    <font>
      <b/>
      <sz val="11"/>
      <color theme="1"/>
      <name val="Quattrocento Sans"/>
    </font>
    <font>
      <u/>
      <sz val="10"/>
      <color rgb="FF0000FF"/>
      <name val="Quattrocento Sans"/>
    </font>
    <font>
      <u/>
      <sz val="10"/>
      <color rgb="FF0000FF"/>
      <name val="Quattrocento Sans"/>
    </font>
    <font>
      <u/>
      <sz val="10"/>
      <color rgb="FF0000FF"/>
      <name val="Quattrocento Sans"/>
    </font>
    <font>
      <u/>
      <sz val="10"/>
      <color rgb="FF434343"/>
      <name val="Quattrocento Sans"/>
    </font>
    <font>
      <sz val="11"/>
      <color rgb="FF434343"/>
      <name val="Roboto"/>
    </font>
    <font>
      <u/>
      <sz val="10"/>
      <color theme="1"/>
      <name val="Quattrocento Sans"/>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12"/>
      <color rgb="FF000000"/>
      <name val="Arial"/>
    </font>
    <font>
      <u/>
      <sz val="10"/>
      <color theme="1"/>
      <name val="Quattrocento Sans"/>
    </font>
    <font>
      <b/>
      <u/>
      <sz val="12"/>
      <color rgb="FFFFFFFF"/>
      <name val="Quattrocento Sans"/>
    </font>
    <font>
      <u/>
      <sz val="10"/>
      <color theme="1"/>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1"/>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12"/>
      <color theme="1"/>
      <name val="&quot;Calibri&quot;"/>
    </font>
    <font>
      <b/>
      <u/>
      <sz val="9"/>
      <color rgb="FF434343"/>
      <name val="Quattrocento Sans"/>
    </font>
    <font>
      <b/>
      <u/>
      <sz val="12"/>
      <color rgb="FF434343"/>
      <name val="Quattrocento Sans"/>
    </font>
    <font>
      <u/>
      <sz val="11"/>
      <color rgb="FF434343"/>
      <name val="Quattrocento Sans"/>
    </font>
    <font>
      <u/>
      <sz val="12"/>
      <color rgb="FF434343"/>
      <name val="Quattrocento Sans"/>
    </font>
    <font>
      <b/>
      <u/>
      <sz val="12"/>
      <color rgb="FF434343"/>
      <name val="Quattrocento Sans"/>
    </font>
    <font>
      <u/>
      <sz val="12"/>
      <color rgb="FF473821"/>
      <name val="Quattrocento Sans"/>
    </font>
    <font>
      <b/>
      <sz val="12"/>
      <color rgb="FF434343"/>
      <name val="Quattrocento Sans"/>
    </font>
    <font>
      <b/>
      <u/>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14">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2" borderId="0" xfId="0" applyNumberFormat="1" applyFont="1" applyFill="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10" fillId="3" borderId="0" xfId="0" applyFont="1" applyFill="1" applyAlignment="1">
      <alignment horizontal="center" vertical="top" wrapText="1"/>
    </xf>
    <xf numFmtId="0" fontId="7" fillId="0" borderId="0" xfId="0" applyFont="1" applyAlignment="1">
      <alignment horizontal="center" vertical="top" wrapText="1"/>
    </xf>
    <xf numFmtId="0" fontId="11" fillId="4" borderId="1" xfId="0" applyFont="1" applyFill="1" applyBorder="1" applyAlignment="1">
      <alignment horizontal="center" vertical="center" wrapText="1"/>
    </xf>
    <xf numFmtId="0" fontId="12" fillId="0" borderId="1" xfId="0" applyFont="1" applyBorder="1" applyAlignment="1">
      <alignment vertical="center"/>
    </xf>
    <xf numFmtId="0" fontId="13" fillId="4" borderId="1" xfId="0" applyFont="1" applyFill="1" applyBorder="1" applyAlignment="1">
      <alignment horizontal="left" vertical="center" wrapText="1"/>
    </xf>
    <xf numFmtId="0" fontId="14" fillId="4" borderId="1" xfId="0" applyFont="1" applyFill="1" applyBorder="1" applyAlignment="1">
      <alignment horizontal="center" vertical="center" wrapText="1"/>
    </xf>
    <xf numFmtId="0" fontId="15" fillId="4" borderId="1" xfId="0" applyFont="1" applyFill="1" applyBorder="1" applyAlignment="1">
      <alignment vertical="center" wrapText="1"/>
    </xf>
    <xf numFmtId="0" fontId="16" fillId="4" borderId="1" xfId="0" applyFont="1" applyFill="1" applyBorder="1" applyAlignment="1">
      <alignment horizontal="center" vertical="center" wrapText="1"/>
    </xf>
    <xf numFmtId="3" fontId="7"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wrapText="1"/>
    </xf>
    <xf numFmtId="165" fontId="16" fillId="4" borderId="1" xfId="0" applyNumberFormat="1" applyFont="1" applyFill="1" applyBorder="1" applyAlignment="1">
      <alignment vertical="center" wrapText="1"/>
    </xf>
    <xf numFmtId="165" fontId="7" fillId="4" borderId="1" xfId="0" applyNumberFormat="1" applyFont="1" applyFill="1" applyBorder="1" applyAlignment="1">
      <alignment vertical="center"/>
    </xf>
    <xf numFmtId="165" fontId="16" fillId="4" borderId="1" xfId="0" applyNumberFormat="1" applyFont="1" applyFill="1" applyBorder="1" applyAlignment="1">
      <alignment vertical="center" wrapText="1"/>
    </xf>
    <xf numFmtId="3" fontId="16" fillId="4" borderId="1" xfId="0" applyNumberFormat="1" applyFont="1" applyFill="1" applyBorder="1" applyAlignment="1">
      <alignment horizontal="center" vertical="center" wrapText="1"/>
    </xf>
    <xf numFmtId="0" fontId="17" fillId="0" borderId="0" xfId="0" applyFont="1" applyAlignment="1">
      <alignment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vertical="top"/>
    </xf>
    <xf numFmtId="49" fontId="16" fillId="4" borderId="1" xfId="0" applyNumberFormat="1" applyFont="1" applyFill="1" applyBorder="1" applyAlignment="1">
      <alignment vertical="top"/>
    </xf>
    <xf numFmtId="14"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6" fillId="4" borderId="0" xfId="0" applyFont="1" applyFill="1" applyAlignment="1">
      <alignment horizontal="left" vertical="top"/>
    </xf>
    <xf numFmtId="0" fontId="7" fillId="4" borderId="1" xfId="0" applyFont="1" applyFill="1" applyBorder="1" applyAlignment="1">
      <alignment horizontal="left" vertical="top"/>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horizontal="left" vertical="top"/>
    </xf>
    <xf numFmtId="0" fontId="7" fillId="4" borderId="1" xfId="0" applyFont="1" applyFill="1" applyBorder="1" applyAlignment="1">
      <alignment horizontal="left" vertical="top"/>
    </xf>
    <xf numFmtId="0" fontId="7" fillId="4" borderId="0" xfId="0" applyFont="1" applyFill="1" applyAlignment="1">
      <alignment horizontal="left" vertical="top"/>
    </xf>
    <xf numFmtId="0" fontId="18" fillId="4" borderId="1" xfId="0" applyFont="1" applyFill="1" applyBorder="1" applyAlignment="1">
      <alignment horizontal="left" vertical="center" wrapText="1"/>
    </xf>
    <xf numFmtId="0" fontId="19" fillId="5" borderId="1" xfId="0" applyFont="1" applyFill="1" applyBorder="1" applyAlignment="1">
      <alignment horizontal="left" vertical="center" wrapText="1"/>
    </xf>
    <xf numFmtId="165" fontId="20" fillId="4" borderId="1" xfId="0" applyNumberFormat="1" applyFont="1" applyFill="1" applyBorder="1" applyAlignment="1">
      <alignment horizontal="right" vertical="center"/>
    </xf>
    <xf numFmtId="164" fontId="16" fillId="4" borderId="1" xfId="0" applyNumberFormat="1" applyFont="1" applyFill="1" applyBorder="1" applyAlignment="1">
      <alignment vertical="center" wrapText="1"/>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7" fillId="4"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4" borderId="0" xfId="0" applyFont="1" applyFill="1" applyAlignment="1">
      <alignment horizontal="left" vertical="top" wrapText="1"/>
    </xf>
    <xf numFmtId="165" fontId="7" fillId="4" borderId="1" xfId="0" applyNumberFormat="1" applyFont="1" applyFill="1" applyBorder="1" applyAlignment="1">
      <alignment vertical="center"/>
    </xf>
    <xf numFmtId="14" fontId="16" fillId="4" borderId="1" xfId="0" applyNumberFormat="1" applyFont="1" applyFill="1" applyBorder="1" applyAlignment="1">
      <alignment horizontal="left" vertical="top"/>
    </xf>
    <xf numFmtId="0" fontId="7" fillId="4" borderId="0" xfId="0" applyFont="1" applyFill="1" applyAlignment="1">
      <alignment horizontal="left" vertical="top"/>
    </xf>
    <xf numFmtId="0" fontId="21" fillId="4" borderId="1" xfId="0" applyFont="1" applyFill="1" applyBorder="1" applyAlignment="1">
      <alignment horizontal="center" vertical="center"/>
    </xf>
    <xf numFmtId="0" fontId="22" fillId="6" borderId="1" xfId="0" applyFont="1" applyFill="1" applyBorder="1" applyAlignment="1">
      <alignment horizontal="left" vertical="center"/>
    </xf>
    <xf numFmtId="0" fontId="23" fillId="4" borderId="1" xfId="0" applyFont="1" applyFill="1" applyBorder="1" applyAlignment="1">
      <alignmen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24" fillId="4" borderId="1" xfId="0" applyFont="1" applyFill="1" applyBorder="1" applyAlignment="1">
      <alignment vertical="center" wrapText="1"/>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top"/>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vertical="top"/>
    </xf>
    <xf numFmtId="0" fontId="16" fillId="4" borderId="0" xfId="0" applyFont="1" applyFill="1" applyAlignment="1">
      <alignment vertical="top"/>
    </xf>
    <xf numFmtId="0" fontId="16" fillId="4" borderId="0" xfId="0" applyFont="1" applyFill="1" applyAlignment="1">
      <alignment vertical="top"/>
    </xf>
    <xf numFmtId="0" fontId="25" fillId="4" borderId="1" xfId="0" applyFont="1" applyFill="1" applyBorder="1" applyAlignment="1">
      <alignment horizontal="lef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16" fillId="4" borderId="0" xfId="0" applyFont="1" applyFill="1" applyAlignment="1">
      <alignment vertical="center"/>
    </xf>
    <xf numFmtId="0" fontId="16" fillId="4" borderId="0" xfId="0" applyFont="1" applyFill="1" applyAlignment="1">
      <alignment vertical="center"/>
    </xf>
    <xf numFmtId="164" fontId="16" fillId="4" borderId="1" xfId="0" applyNumberFormat="1" applyFont="1" applyFill="1" applyBorder="1" applyAlignment="1">
      <alignmen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26" fillId="4" borderId="1" xfId="0" applyFont="1" applyFill="1" applyBorder="1" applyAlignment="1">
      <alignment horizontal="left" vertical="center" wrapText="1"/>
    </xf>
    <xf numFmtId="0" fontId="27" fillId="4" borderId="1" xfId="0" applyFont="1" applyFill="1" applyBorder="1" applyAlignment="1">
      <alignment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28" fillId="4" borderId="1" xfId="0" applyFont="1" applyFill="1" applyBorder="1" applyAlignment="1">
      <alignment horizontal="center" vertical="center"/>
    </xf>
    <xf numFmtId="0" fontId="12" fillId="5" borderId="1" xfId="0" applyFont="1" applyFill="1" applyBorder="1" applyAlignment="1">
      <alignment vertical="center"/>
    </xf>
    <xf numFmtId="0" fontId="29"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2" fillId="0" borderId="1" xfId="0" applyFont="1" applyBorder="1" applyAlignment="1">
      <alignment vertical="center"/>
    </xf>
    <xf numFmtId="0" fontId="17" fillId="0" borderId="1" xfId="0" applyFont="1" applyBorder="1" applyAlignment="1">
      <alignment vertical="center"/>
    </xf>
    <xf numFmtId="0" fontId="31" fillId="4" borderId="1" xfId="0" applyFont="1" applyFill="1" applyBorder="1" applyAlignment="1">
      <alignment horizontal="left" vertical="center"/>
    </xf>
    <xf numFmtId="0" fontId="16" fillId="4" borderId="1" xfId="0" applyFont="1" applyFill="1" applyBorder="1" applyAlignment="1">
      <alignment vertical="center"/>
    </xf>
    <xf numFmtId="0" fontId="29" fillId="0" borderId="1" xfId="0" applyFont="1" applyBorder="1" applyAlignment="1">
      <alignment vertical="center" wrapText="1"/>
    </xf>
    <xf numFmtId="0" fontId="32" fillId="0" borderId="1" xfId="0" applyFont="1" applyBorder="1" applyAlignment="1">
      <alignment vertical="center"/>
    </xf>
    <xf numFmtId="0" fontId="16" fillId="4" borderId="1" xfId="0" applyFont="1" applyFill="1" applyBorder="1" applyAlignment="1">
      <alignment vertical="center" wrapText="1"/>
    </xf>
    <xf numFmtId="49" fontId="16" fillId="4" borderId="1" xfId="0" applyNumberFormat="1" applyFont="1" applyFill="1" applyBorder="1" applyAlignment="1">
      <alignment vertical="center" wrapText="1"/>
    </xf>
    <xf numFmtId="0" fontId="33" fillId="4" borderId="1" xfId="0" applyFont="1" applyFill="1" applyBorder="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vertical="top" wrapText="1"/>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17" fillId="5" borderId="1" xfId="0" applyFont="1" applyFill="1" applyBorder="1" applyAlignment="1">
      <alignment vertical="center" wrapText="1"/>
    </xf>
    <xf numFmtId="0" fontId="30" fillId="0" borderId="1" xfId="0" applyFont="1" applyBorder="1" applyAlignment="1">
      <alignment horizontal="left"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xf>
    <xf numFmtId="0" fontId="34" fillId="4" borderId="1" xfId="0" applyFont="1" applyFill="1" applyBorder="1" applyAlignment="1">
      <alignment horizontal="left" vertical="center"/>
    </xf>
    <xf numFmtId="0" fontId="16" fillId="4" borderId="1" xfId="0" applyFont="1" applyFill="1" applyBorder="1" applyAlignment="1">
      <alignment horizontal="left" vertical="top"/>
    </xf>
    <xf numFmtId="0" fontId="17" fillId="0" borderId="1" xfId="0" applyFont="1" applyBorder="1" applyAlignment="1">
      <alignment vertical="center"/>
    </xf>
    <xf numFmtId="0" fontId="17" fillId="0" borderId="1" xfId="0" applyFont="1" applyBorder="1" applyAlignment="1">
      <alignment vertical="center"/>
    </xf>
    <xf numFmtId="0" fontId="17" fillId="0" borderId="1" xfId="0" applyFont="1" applyBorder="1" applyAlignment="1">
      <alignment vertical="center"/>
    </xf>
    <xf numFmtId="0" fontId="17" fillId="0" borderId="0" xfId="0" applyFont="1" applyAlignment="1">
      <alignment vertical="center"/>
    </xf>
    <xf numFmtId="0" fontId="17" fillId="0" borderId="0" xfId="0" applyFont="1" applyAlignment="1">
      <alignment vertical="center"/>
    </xf>
    <xf numFmtId="0" fontId="35" fillId="4" borderId="2" xfId="0" applyFont="1" applyFill="1" applyBorder="1" applyAlignment="1">
      <alignment horizontal="left" vertical="top" wrapText="1"/>
    </xf>
    <xf numFmtId="0" fontId="36" fillId="4" borderId="2" xfId="0" applyFont="1" applyFill="1" applyBorder="1" applyAlignment="1">
      <alignment vertical="center"/>
    </xf>
    <xf numFmtId="0" fontId="37" fillId="4" borderId="2" xfId="0" applyFont="1" applyFill="1" applyBorder="1" applyAlignment="1">
      <alignment vertical="center"/>
    </xf>
    <xf numFmtId="0" fontId="20" fillId="4" borderId="1" xfId="0" applyFont="1" applyFill="1" applyBorder="1" applyAlignment="1">
      <alignment horizontal="center" vertical="center"/>
    </xf>
    <xf numFmtId="164" fontId="38" fillId="4" borderId="1" xfId="0" applyNumberFormat="1" applyFont="1" applyFill="1" applyBorder="1" applyAlignment="1">
      <alignment horizontal="right" vertical="center"/>
    </xf>
    <xf numFmtId="0" fontId="16" fillId="4" borderId="1" xfId="0" applyFont="1" applyFill="1" applyBorder="1" applyAlignment="1">
      <alignment horizontal="center" vertical="center"/>
    </xf>
    <xf numFmtId="0" fontId="39" fillId="0" borderId="2" xfId="0" applyFont="1" applyBorder="1" applyAlignment="1">
      <alignment horizontal="left" vertical="center"/>
    </xf>
    <xf numFmtId="0" fontId="40" fillId="0" borderId="1" xfId="0" applyFont="1" applyBorder="1" applyAlignment="1">
      <alignment vertical="center"/>
    </xf>
    <xf numFmtId="14" fontId="16" fillId="4" borderId="1" xfId="0" applyNumberFormat="1" applyFont="1" applyFill="1" applyBorder="1" applyAlignment="1">
      <alignment horizontal="center" vertical="center"/>
    </xf>
    <xf numFmtId="0" fontId="16" fillId="4" borderId="0" xfId="0" applyFont="1" applyFill="1" applyAlignment="1">
      <alignment horizontal="center" vertical="top"/>
    </xf>
    <xf numFmtId="0" fontId="17" fillId="0" borderId="1" xfId="0" applyFont="1" applyBorder="1" applyAlignment="1">
      <alignment vertical="center" wrapText="1"/>
    </xf>
    <xf numFmtId="0" fontId="17"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left" vertical="center"/>
    </xf>
    <xf numFmtId="0" fontId="17" fillId="0" borderId="0" xfId="0" applyFont="1" applyAlignment="1">
      <alignment vertical="center"/>
    </xf>
    <xf numFmtId="0" fontId="41" fillId="4" borderId="1" xfId="0" applyFont="1" applyFill="1" applyBorder="1" applyAlignment="1">
      <alignment horizontal="left" vertical="center" wrapText="1"/>
    </xf>
    <xf numFmtId="0" fontId="20" fillId="4" borderId="1" xfId="0" applyFont="1" applyFill="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horizontal="left" vertical="center" wrapText="1"/>
    </xf>
    <xf numFmtId="0" fontId="17" fillId="0" borderId="1" xfId="0" applyFont="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vertical="center" wrapText="1"/>
    </xf>
    <xf numFmtId="0" fontId="17" fillId="0" borderId="1" xfId="0" applyFont="1" applyBorder="1" applyAlignment="1">
      <alignment vertical="center"/>
    </xf>
    <xf numFmtId="0" fontId="42" fillId="4" borderId="1" xfId="0" applyFont="1" applyFill="1" applyBorder="1" applyAlignment="1">
      <alignment horizontal="center" vertical="center"/>
    </xf>
    <xf numFmtId="0" fontId="43" fillId="4" borderId="1" xfId="0" applyFont="1" applyFill="1" applyBorder="1" applyAlignment="1">
      <alignment horizontal="left" vertical="center"/>
    </xf>
    <xf numFmtId="0" fontId="42"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44" fillId="4" borderId="0" xfId="0" applyFont="1" applyFill="1" applyAlignment="1">
      <alignment vertical="center" wrapText="1"/>
    </xf>
    <xf numFmtId="0" fontId="42" fillId="4" borderId="0" xfId="0"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30" fillId="5" borderId="1" xfId="0" applyFont="1" applyFill="1" applyBorder="1" applyAlignment="1">
      <alignment horizontal="left" vertical="center"/>
    </xf>
    <xf numFmtId="14" fontId="16" fillId="4" borderId="0" xfId="0" applyNumberFormat="1"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45" fillId="4" borderId="0" xfId="0" applyFont="1" applyFill="1" applyAlignment="1">
      <alignment horizontal="left" vertical="top"/>
    </xf>
    <xf numFmtId="0" fontId="16" fillId="4" borderId="0" xfId="0" applyFont="1" applyFill="1" applyAlignment="1">
      <alignment horizontal="center" vertical="center"/>
    </xf>
    <xf numFmtId="0" fontId="16" fillId="4" borderId="0" xfId="0" applyFont="1" applyFill="1" applyAlignment="1">
      <alignment vertical="center"/>
    </xf>
    <xf numFmtId="14" fontId="17" fillId="0" borderId="0" xfId="0" applyNumberFormat="1" applyFont="1" applyAlignment="1">
      <alignment vertical="center"/>
    </xf>
    <xf numFmtId="0" fontId="46" fillId="4" borderId="0" xfId="0" applyFont="1" applyFill="1" applyAlignment="1">
      <alignment vertical="center"/>
    </xf>
    <xf numFmtId="0" fontId="16" fillId="4" borderId="0" xfId="0" applyFont="1" applyFill="1" applyAlignment="1">
      <alignment vertical="center"/>
    </xf>
    <xf numFmtId="0" fontId="30" fillId="4" borderId="1" xfId="0" applyFont="1" applyFill="1" applyBorder="1" applyAlignment="1">
      <alignment horizontal="left" vertical="center" wrapText="1"/>
    </xf>
    <xf numFmtId="0" fontId="47" fillId="4" borderId="0" xfId="0" applyFont="1" applyFill="1" applyAlignment="1">
      <alignment horizontal="left" vertical="top"/>
    </xf>
    <xf numFmtId="166" fontId="17" fillId="0" borderId="0" xfId="0" applyNumberFormat="1" applyFont="1" applyAlignment="1">
      <alignment vertical="center"/>
    </xf>
    <xf numFmtId="164" fontId="17" fillId="0" borderId="1" xfId="0" applyNumberFormat="1" applyFont="1" applyBorder="1" applyAlignment="1">
      <alignment vertical="center"/>
    </xf>
    <xf numFmtId="164" fontId="17" fillId="0" borderId="0" xfId="0" applyNumberFormat="1" applyFont="1" applyAlignment="1">
      <alignment vertical="center"/>
    </xf>
    <xf numFmtId="0" fontId="16" fillId="4" borderId="1" xfId="0" applyFont="1" applyFill="1" applyBorder="1" applyAlignment="1">
      <alignment vertical="center" wrapText="1"/>
    </xf>
    <xf numFmtId="0" fontId="30" fillId="4" borderId="0" xfId="0" applyFont="1" applyFill="1" applyAlignment="1">
      <alignment horizontal="left" vertical="center"/>
    </xf>
    <xf numFmtId="0" fontId="16" fillId="4" borderId="0" xfId="0" applyFont="1" applyFill="1" applyAlignment="1">
      <alignment horizontal="left"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14" fontId="16" fillId="4" borderId="0" xfId="0" applyNumberFormat="1" applyFont="1" applyFill="1" applyAlignment="1">
      <alignment vertical="center"/>
    </xf>
    <xf numFmtId="165" fontId="17" fillId="0" borderId="1" xfId="0" applyNumberFormat="1" applyFont="1" applyBorder="1" applyAlignment="1">
      <alignment vertical="center"/>
    </xf>
    <xf numFmtId="164" fontId="16" fillId="4" borderId="1" xfId="0" applyNumberFormat="1" applyFont="1" applyFill="1" applyBorder="1" applyAlignment="1">
      <alignment horizontal="center" vertical="center"/>
    </xf>
    <xf numFmtId="0" fontId="17" fillId="5" borderId="1" xfId="0" applyFont="1" applyFill="1" applyBorder="1" applyAlignment="1">
      <alignment vertical="center"/>
    </xf>
    <xf numFmtId="0" fontId="30" fillId="4" borderId="1" xfId="0" applyFont="1" applyFill="1" applyBorder="1" applyAlignment="1">
      <alignment horizontal="left" vertical="center"/>
    </xf>
    <xf numFmtId="165" fontId="17" fillId="0" borderId="0" xfId="0" applyNumberFormat="1" applyFont="1" applyAlignment="1">
      <alignment vertical="center"/>
    </xf>
    <xf numFmtId="0" fontId="29" fillId="5" borderId="1" xfId="0" applyFont="1" applyFill="1" applyBorder="1" applyAlignment="1">
      <alignment vertical="center"/>
    </xf>
    <xf numFmtId="0" fontId="7" fillId="4" borderId="1" xfId="0" applyFont="1" applyFill="1" applyBorder="1" applyAlignment="1">
      <alignment horizontal="center" vertical="center"/>
    </xf>
    <xf numFmtId="0" fontId="17" fillId="0" borderId="0" xfId="0" applyFont="1" applyAlignment="1">
      <alignment vertical="center"/>
    </xf>
    <xf numFmtId="164" fontId="28" fillId="4" borderId="1" xfId="0" applyNumberFormat="1" applyFont="1" applyFill="1" applyBorder="1" applyAlignment="1">
      <alignment horizontal="center" vertical="center"/>
    </xf>
    <xf numFmtId="165" fontId="17" fillId="0" borderId="0" xfId="0" applyNumberFormat="1" applyFont="1" applyAlignment="1">
      <alignment vertical="center"/>
    </xf>
    <xf numFmtId="0" fontId="48" fillId="4" borderId="1" xfId="0" applyFont="1" applyFill="1" applyBorder="1" applyAlignment="1">
      <alignment vertical="center"/>
    </xf>
    <xf numFmtId="166" fontId="16" fillId="4" borderId="1" xfId="0" applyNumberFormat="1" applyFont="1" applyFill="1" applyBorder="1" applyAlignment="1">
      <alignment vertical="center"/>
    </xf>
    <xf numFmtId="0" fontId="49" fillId="4" borderId="1" xfId="0" applyFont="1" applyFill="1" applyBorder="1" applyAlignment="1">
      <alignment vertical="center" wrapText="1"/>
    </xf>
    <xf numFmtId="166" fontId="16" fillId="4" borderId="1" xfId="0" applyNumberFormat="1" applyFont="1" applyFill="1" applyBorder="1" applyAlignment="1">
      <alignment horizontal="center" vertical="center"/>
    </xf>
    <xf numFmtId="14" fontId="17" fillId="0" borderId="0" xfId="0" applyNumberFormat="1" applyFont="1" applyAlignment="1">
      <alignment vertical="center"/>
    </xf>
    <xf numFmtId="0" fontId="50" fillId="4" borderId="1" xfId="0" applyFont="1" applyFill="1" applyBorder="1" applyAlignment="1">
      <alignment horizontal="left" vertical="top"/>
    </xf>
    <xf numFmtId="0" fontId="51" fillId="0" borderId="1" xfId="0" applyFont="1" applyBorder="1" applyAlignment="1">
      <alignment horizontal="left" vertical="center" wrapText="1"/>
    </xf>
    <xf numFmtId="0" fontId="52" fillId="4" borderId="1" xfId="0" applyFont="1" applyFill="1" applyBorder="1" applyAlignment="1">
      <alignment horizontal="left" vertical="center"/>
    </xf>
    <xf numFmtId="14" fontId="42" fillId="4" borderId="1" xfId="0" applyNumberFormat="1" applyFont="1" applyFill="1" applyBorder="1" applyAlignment="1">
      <alignment horizontal="center" vertical="center"/>
    </xf>
    <xf numFmtId="0" fontId="29" fillId="0" borderId="1" xfId="0" applyFont="1" applyBorder="1" applyAlignment="1">
      <alignment vertical="center"/>
    </xf>
    <xf numFmtId="0" fontId="17" fillId="5" borderId="1" xfId="0" applyFont="1" applyFill="1" applyBorder="1" applyAlignment="1">
      <alignment vertical="center"/>
    </xf>
    <xf numFmtId="0" fontId="32" fillId="5" borderId="0" xfId="0" applyFont="1" applyFill="1" applyAlignment="1">
      <alignment vertical="center"/>
    </xf>
    <xf numFmtId="0" fontId="32" fillId="0" borderId="0" xfId="0" applyFont="1" applyAlignment="1">
      <alignment vertical="center"/>
    </xf>
    <xf numFmtId="0" fontId="53" fillId="4" borderId="1" xfId="0" applyFont="1" applyFill="1" applyBorder="1" applyAlignment="1">
      <alignment vertical="center" wrapText="1"/>
    </xf>
    <xf numFmtId="0" fontId="30" fillId="4" borderId="0" xfId="0" applyFont="1" applyFill="1" applyAlignment="1">
      <alignment horizontal="left" vertical="center" wrapText="1"/>
    </xf>
    <xf numFmtId="0" fontId="54" fillId="4" borderId="1" xfId="0" applyFont="1" applyFill="1" applyBorder="1" applyAlignment="1">
      <alignment vertical="center" wrapText="1"/>
    </xf>
    <xf numFmtId="0" fontId="55" fillId="4" borderId="0" xfId="0" applyFont="1" applyFill="1" applyAlignment="1">
      <alignment horizontal="left" vertical="top"/>
    </xf>
    <xf numFmtId="0" fontId="16" fillId="4" borderId="0" xfId="0" applyFont="1" applyFill="1" applyAlignment="1">
      <alignment horizontal="left" vertical="top"/>
    </xf>
    <xf numFmtId="0" fontId="56" fillId="0" borderId="1" xfId="0" applyFont="1" applyBorder="1" applyAlignment="1">
      <alignment vertical="center"/>
    </xf>
    <xf numFmtId="0" fontId="12" fillId="0" borderId="1" xfId="0" applyFont="1" applyBorder="1" applyAlignment="1">
      <alignment vertical="center"/>
    </xf>
    <xf numFmtId="165" fontId="57" fillId="0" borderId="1" xfId="0" applyNumberFormat="1" applyFont="1" applyBorder="1" applyAlignment="1">
      <alignment horizontal="center" vertical="center"/>
    </xf>
    <xf numFmtId="164" fontId="16" fillId="4" borderId="1" xfId="0" applyNumberFormat="1" applyFont="1" applyFill="1" applyBorder="1" applyAlignment="1">
      <alignment horizontal="center" vertical="center"/>
    </xf>
    <xf numFmtId="0" fontId="16" fillId="4" borderId="1" xfId="0" applyFont="1" applyFill="1" applyBorder="1" applyAlignment="1">
      <alignment horizontal="left" vertical="top" wrapText="1"/>
    </xf>
    <xf numFmtId="164" fontId="30" fillId="0" borderId="1" xfId="0" applyNumberFormat="1" applyFont="1" applyBorder="1" applyAlignment="1">
      <alignment horizontal="center" vertical="center"/>
    </xf>
    <xf numFmtId="165" fontId="30" fillId="0" borderId="1" xfId="0" applyNumberFormat="1" applyFont="1" applyBorder="1" applyAlignment="1">
      <alignment horizontal="center" vertical="center"/>
    </xf>
    <xf numFmtId="165" fontId="16" fillId="4" borderId="1" xfId="0" applyNumberFormat="1" applyFont="1" applyFill="1" applyBorder="1" applyAlignment="1">
      <alignment vertical="center"/>
    </xf>
    <xf numFmtId="165" fontId="30" fillId="0" borderId="1" xfId="0" applyNumberFormat="1" applyFont="1" applyBorder="1" applyAlignment="1">
      <alignment horizontal="center" vertical="center"/>
    </xf>
    <xf numFmtId="14" fontId="30" fillId="0" borderId="1" xfId="0" applyNumberFormat="1" applyFont="1" applyBorder="1" applyAlignment="1">
      <alignment horizontal="center" vertical="center"/>
    </xf>
    <xf numFmtId="14" fontId="16" fillId="4" borderId="1" xfId="0" applyNumberFormat="1" applyFont="1" applyFill="1" applyBorder="1" applyAlignment="1">
      <alignment vertical="center" wrapText="1"/>
    </xf>
    <xf numFmtId="0" fontId="29" fillId="5" borderId="1" xfId="0" applyFont="1" applyFill="1" applyBorder="1" applyAlignment="1">
      <alignment vertical="center" wrapText="1"/>
    </xf>
    <xf numFmtId="0" fontId="17" fillId="0" borderId="0" xfId="0" applyFont="1" applyAlignment="1">
      <alignment vertical="center" wrapText="1"/>
    </xf>
    <xf numFmtId="0" fontId="28" fillId="4" borderId="0" xfId="0" applyFont="1" applyFill="1" applyAlignment="1">
      <alignment horizontal="center" vertical="center"/>
    </xf>
    <xf numFmtId="166" fontId="16" fillId="4" borderId="0" xfId="0" applyNumberFormat="1" applyFont="1" applyFill="1" applyAlignment="1">
      <alignment horizontal="center" vertical="center"/>
    </xf>
    <xf numFmtId="49" fontId="58" fillId="7" borderId="0" xfId="0" applyNumberFormat="1" applyFont="1" applyFill="1" applyAlignment="1">
      <alignment horizontal="center" vertical="center" wrapText="1"/>
    </xf>
    <xf numFmtId="49" fontId="59" fillId="8" borderId="3" xfId="0" applyNumberFormat="1" applyFont="1" applyFill="1" applyBorder="1" applyAlignment="1">
      <alignment horizontal="center" vertical="center"/>
    </xf>
    <xf numFmtId="0" fontId="60" fillId="0" borderId="0" xfId="0" applyFont="1" applyAlignment="1">
      <alignment horizontal="center" vertical="center" wrapText="1"/>
    </xf>
    <xf numFmtId="49" fontId="61" fillId="2" borderId="0" xfId="0" applyNumberFormat="1" applyFont="1" applyFill="1" applyAlignment="1">
      <alignment horizontal="center" vertical="center" wrapText="1"/>
    </xf>
    <xf numFmtId="0" fontId="7" fillId="7" borderId="0" xfId="0" applyFont="1" applyFill="1" applyAlignment="1">
      <alignment horizontal="center" vertical="top" wrapText="1"/>
    </xf>
    <xf numFmtId="0" fontId="62" fillId="4" borderId="1" xfId="0" applyFont="1" applyFill="1" applyBorder="1" applyAlignment="1">
      <alignment horizontal="center" vertical="center" wrapText="1"/>
    </xf>
    <xf numFmtId="0" fontId="63" fillId="4" borderId="1" xfId="0" applyFont="1" applyFill="1" applyBorder="1" applyAlignment="1">
      <alignment vertical="center" wrapText="1"/>
    </xf>
    <xf numFmtId="0" fontId="64"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164" fontId="17" fillId="0" borderId="1" xfId="0" applyNumberFormat="1" applyFont="1" applyBorder="1" applyAlignment="1">
      <alignment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xf>
    <xf numFmtId="49" fontId="65" fillId="4" borderId="1" xfId="0" applyNumberFormat="1" applyFont="1" applyFill="1" applyBorder="1" applyAlignment="1">
      <alignment vertical="center" wrapText="1"/>
    </xf>
    <xf numFmtId="0" fontId="66" fillId="0" borderId="1" xfId="0" applyFont="1" applyBorder="1" applyAlignment="1">
      <alignment horizontal="left" vertical="center" wrapText="1"/>
    </xf>
    <xf numFmtId="0" fontId="67" fillId="4" borderId="1" xfId="0" applyFont="1" applyFill="1" applyBorder="1" applyAlignment="1">
      <alignment vertical="center" wrapText="1"/>
    </xf>
    <xf numFmtId="0" fontId="68" fillId="4" borderId="1" xfId="0" applyFont="1" applyFill="1" applyBorder="1" applyAlignment="1">
      <alignment vertical="center" wrapText="1"/>
    </xf>
    <xf numFmtId="0" fontId="69" fillId="4" borderId="1" xfId="0" applyFont="1" applyFill="1" applyBorder="1" applyAlignment="1">
      <alignment horizontal="center" vertical="center"/>
    </xf>
    <xf numFmtId="0" fontId="70" fillId="0" borderId="1" xfId="0" applyFont="1" applyBorder="1" applyAlignment="1">
      <alignment horizontal="left" vertical="center" wrapText="1"/>
    </xf>
    <xf numFmtId="165" fontId="7" fillId="4" borderId="1" xfId="0" applyNumberFormat="1" applyFont="1" applyFill="1" applyBorder="1" applyAlignment="1">
      <alignment vertical="center" wrapText="1"/>
    </xf>
    <xf numFmtId="0" fontId="71" fillId="4" borderId="1" xfId="0" applyFont="1" applyFill="1" applyBorder="1" applyAlignment="1">
      <alignment horizontal="center" vertical="center"/>
    </xf>
    <xf numFmtId="0" fontId="72" fillId="0" borderId="1" xfId="0" applyFont="1" applyBorder="1" applyAlignment="1">
      <alignment horizontal="left" vertical="center"/>
    </xf>
    <xf numFmtId="0" fontId="73" fillId="4" borderId="1" xfId="0" applyFont="1" applyFill="1" applyBorder="1" applyAlignment="1">
      <alignment horizontal="center" vertical="center"/>
    </xf>
    <xf numFmtId="0" fontId="16" fillId="4" borderId="1" xfId="0" applyFont="1" applyFill="1" applyBorder="1" applyAlignment="1">
      <alignment vertical="center"/>
    </xf>
    <xf numFmtId="164" fontId="7" fillId="4" borderId="1" xfId="0" applyNumberFormat="1" applyFont="1" applyFill="1" applyBorder="1" applyAlignment="1">
      <alignment vertical="center"/>
    </xf>
    <xf numFmtId="0" fontId="7" fillId="4" borderId="1" xfId="0" applyFont="1" applyFill="1" applyBorder="1" applyAlignment="1">
      <alignment horizontal="left" vertical="top" wrapText="1"/>
    </xf>
    <xf numFmtId="0" fontId="30" fillId="0" borderId="1" xfId="0" applyFont="1" applyBorder="1" applyAlignment="1">
      <alignment horizontal="left" vertical="center"/>
    </xf>
    <xf numFmtId="0" fontId="16" fillId="4" borderId="1" xfId="0" applyFont="1" applyFill="1" applyBorder="1" applyAlignment="1">
      <alignment vertical="center" wrapText="1"/>
    </xf>
    <xf numFmtId="0" fontId="74" fillId="4" borderId="1" xfId="0" applyFont="1" applyFill="1" applyBorder="1" applyAlignment="1">
      <alignment horizontal="center" vertical="center"/>
    </xf>
    <xf numFmtId="0" fontId="7" fillId="4" borderId="1" xfId="0" applyFont="1" applyFill="1" applyBorder="1" applyAlignment="1">
      <alignment horizontal="left" vertical="top" wrapText="1"/>
    </xf>
    <xf numFmtId="0" fontId="75" fillId="0" borderId="1" xfId="0" applyFont="1" applyBorder="1" applyAlignment="1">
      <alignment horizontal="left" vertical="center"/>
    </xf>
    <xf numFmtId="0" fontId="16" fillId="4" borderId="1" xfId="0" applyFont="1" applyFill="1" applyBorder="1" applyAlignment="1">
      <alignment vertical="top"/>
    </xf>
    <xf numFmtId="0" fontId="16" fillId="4" borderId="1" xfId="0" applyFont="1" applyFill="1" applyBorder="1" applyAlignment="1">
      <alignment vertical="top"/>
    </xf>
    <xf numFmtId="0" fontId="76" fillId="4" borderId="1" xfId="0" applyFont="1" applyFill="1" applyBorder="1" applyAlignment="1">
      <alignment horizontal="center" vertical="center" wrapText="1"/>
    </xf>
    <xf numFmtId="0" fontId="16" fillId="4" borderId="1" xfId="0" applyFont="1" applyFill="1" applyBorder="1" applyAlignment="1">
      <alignment vertical="center"/>
    </xf>
    <xf numFmtId="0" fontId="77" fillId="5" borderId="1" xfId="0" applyFont="1" applyFill="1" applyBorder="1" applyAlignment="1">
      <alignment horizontal="center" vertical="center" wrapText="1"/>
    </xf>
    <xf numFmtId="0" fontId="78" fillId="4" borderId="1" xfId="0" applyFont="1" applyFill="1" applyBorder="1" applyAlignment="1">
      <alignment horizontal="center" vertical="center" wrapText="1"/>
    </xf>
    <xf numFmtId="0" fontId="79" fillId="4" borderId="1" xfId="0" applyFont="1" applyFill="1" applyBorder="1" applyAlignment="1">
      <alignment vertical="center"/>
    </xf>
    <xf numFmtId="0" fontId="80" fillId="0" borderId="2" xfId="0" applyFont="1" applyBorder="1" applyAlignment="1">
      <alignment horizontal="left" vertical="top" wrapText="1"/>
    </xf>
    <xf numFmtId="0" fontId="81" fillId="4" borderId="2" xfId="0" applyFont="1" applyFill="1" applyBorder="1" applyAlignment="1">
      <alignment vertical="center"/>
    </xf>
    <xf numFmtId="0" fontId="82" fillId="4" borderId="2" xfId="0" applyFont="1" applyFill="1" applyBorder="1" applyAlignment="1">
      <alignment vertical="center"/>
    </xf>
    <xf numFmtId="0" fontId="83" fillId="4" borderId="1" xfId="0" applyFont="1" applyFill="1" applyBorder="1" applyAlignment="1">
      <alignment vertical="center"/>
    </xf>
    <xf numFmtId="0" fontId="84" fillId="4" borderId="1" xfId="0" applyFont="1" applyFill="1" applyBorder="1" applyAlignment="1">
      <alignment vertical="center"/>
    </xf>
    <xf numFmtId="0" fontId="85" fillId="4" borderId="1" xfId="0" applyFont="1" applyFill="1" applyBorder="1" applyAlignment="1">
      <alignment vertical="center"/>
    </xf>
    <xf numFmtId="164" fontId="7" fillId="4" borderId="1" xfId="0" applyNumberFormat="1" applyFont="1" applyFill="1" applyBorder="1" applyAlignment="1">
      <alignment vertical="center"/>
    </xf>
    <xf numFmtId="0" fontId="86" fillId="4" borderId="1" xfId="0" applyFont="1" applyFill="1" applyBorder="1" applyAlignment="1">
      <alignment horizontal="center" vertical="center" wrapText="1"/>
    </xf>
    <xf numFmtId="0" fontId="87" fillId="4" borderId="1" xfId="0" applyFont="1" applyFill="1" applyBorder="1" applyAlignment="1">
      <alignment horizontal="center" vertical="center" wrapText="1"/>
    </xf>
    <xf numFmtId="0" fontId="88" fillId="9" borderId="1" xfId="0" applyFont="1" applyFill="1" applyBorder="1" applyAlignment="1">
      <alignment vertical="center"/>
    </xf>
    <xf numFmtId="0" fontId="89" fillId="4" borderId="1" xfId="0" applyFont="1" applyFill="1" applyBorder="1" applyAlignment="1">
      <alignment vertical="center"/>
    </xf>
    <xf numFmtId="0" fontId="90" fillId="9" borderId="1" xfId="0" applyFont="1" applyFill="1" applyBorder="1" applyAlignment="1">
      <alignment horizontal="center" vertical="center" wrapText="1"/>
    </xf>
    <xf numFmtId="0" fontId="91" fillId="4" borderId="1" xfId="0" applyFont="1" applyFill="1" applyBorder="1" applyAlignment="1">
      <alignment vertical="center"/>
    </xf>
    <xf numFmtId="0" fontId="92" fillId="4" borderId="1" xfId="0" applyFont="1" applyFill="1" applyBorder="1" applyAlignment="1">
      <alignment horizontal="center"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164" fontId="89" fillId="4" borderId="1" xfId="0" applyNumberFormat="1" applyFont="1" applyFill="1" applyBorder="1" applyAlignment="1">
      <alignment vertical="center"/>
    </xf>
    <xf numFmtId="14" fontId="89" fillId="4" borderId="1" xfId="0" applyNumberFormat="1" applyFont="1" applyFill="1" applyBorder="1" applyAlignment="1">
      <alignment vertical="center"/>
    </xf>
    <xf numFmtId="0" fontId="92" fillId="9" borderId="1" xfId="0" applyFont="1" applyFill="1" applyBorder="1" applyAlignment="1">
      <alignment vertical="top"/>
    </xf>
    <xf numFmtId="49" fontId="93" fillId="9" borderId="1" xfId="0" applyNumberFormat="1" applyFont="1" applyFill="1" applyBorder="1" applyAlignment="1">
      <alignment vertical="center" wrapText="1"/>
    </xf>
    <xf numFmtId="0" fontId="89" fillId="9" borderId="1" xfId="0" applyFont="1" applyFill="1" applyBorder="1" applyAlignment="1">
      <alignment vertical="top"/>
    </xf>
    <xf numFmtId="0" fontId="94" fillId="4" borderId="1" xfId="0" applyFont="1" applyFill="1" applyBorder="1" applyAlignment="1">
      <alignment vertical="center"/>
    </xf>
    <xf numFmtId="165" fontId="95" fillId="9" borderId="1" xfId="0" applyNumberFormat="1" applyFont="1" applyFill="1" applyBorder="1" applyAlignment="1">
      <alignment horizontal="right" vertical="center"/>
    </xf>
    <xf numFmtId="0" fontId="95" fillId="9" borderId="1" xfId="0" applyFont="1" applyFill="1" applyBorder="1" applyAlignment="1">
      <alignment vertical="top"/>
    </xf>
    <xf numFmtId="0" fontId="96" fillId="4" borderId="1" xfId="0" applyFont="1" applyFill="1" applyBorder="1" applyAlignment="1">
      <alignment vertical="center"/>
    </xf>
    <xf numFmtId="0" fontId="97" fillId="9" borderId="1" xfId="0" applyFont="1" applyFill="1" applyBorder="1" applyAlignment="1">
      <alignment horizontal="center" vertical="center" wrapText="1"/>
    </xf>
    <xf numFmtId="0" fontId="98" fillId="4" borderId="1" xfId="0" applyFont="1" applyFill="1" applyBorder="1" applyAlignment="1">
      <alignment vertical="center"/>
    </xf>
    <xf numFmtId="0" fontId="89" fillId="4" borderId="1" xfId="0" applyFont="1" applyFill="1" applyBorder="1" applyAlignment="1">
      <alignment vertical="center"/>
    </xf>
    <xf numFmtId="0" fontId="99" fillId="9" borderId="1" xfId="0" applyFont="1" applyFill="1" applyBorder="1" applyAlignment="1">
      <alignment horizontal="center" vertical="center" wrapText="1"/>
    </xf>
    <xf numFmtId="0" fontId="100" fillId="4" borderId="1" xfId="0" applyFont="1" applyFill="1" applyBorder="1" applyAlignment="1">
      <alignment vertical="center"/>
    </xf>
    <xf numFmtId="0" fontId="92" fillId="4" borderId="1" xfId="0" applyFont="1" applyFill="1" applyBorder="1" applyAlignment="1">
      <alignment horizontal="center"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0" fontId="89" fillId="4" borderId="1" xfId="0" applyFont="1" applyFill="1" applyBorder="1" applyAlignment="1">
      <alignment vertical="top"/>
    </xf>
    <xf numFmtId="0" fontId="101" fillId="4" borderId="1" xfId="0" applyFont="1" applyFill="1" applyBorder="1" applyAlignment="1">
      <alignment horizontal="center" vertical="center" wrapText="1"/>
    </xf>
    <xf numFmtId="0" fontId="102" fillId="4" borderId="1" xfId="0" applyFont="1" applyFill="1" applyBorder="1" applyAlignment="1">
      <alignment vertical="center"/>
    </xf>
    <xf numFmtId="0" fontId="95" fillId="4" borderId="1" xfId="0" applyFont="1" applyFill="1" applyBorder="1" applyAlignment="1">
      <alignment horizontal="center" vertical="center"/>
    </xf>
    <xf numFmtId="49" fontId="103" fillId="4" borderId="1" xfId="0" applyNumberFormat="1" applyFont="1" applyFill="1" applyBorder="1" applyAlignment="1">
      <alignment vertical="center" wrapText="1"/>
    </xf>
    <xf numFmtId="0" fontId="104" fillId="4" borderId="1" xfId="0" applyFont="1" applyFill="1" applyBorder="1" applyAlignment="1">
      <alignment vertical="center"/>
    </xf>
    <xf numFmtId="0" fontId="95" fillId="4" borderId="1" xfId="0" applyFont="1" applyFill="1" applyBorder="1" applyAlignment="1">
      <alignment horizontal="center" vertical="center"/>
    </xf>
    <xf numFmtId="0" fontId="105" fillId="9" borderId="1" xfId="0" applyFont="1" applyFill="1" applyBorder="1" applyAlignment="1">
      <alignment horizontal="center" vertical="center" wrapText="1"/>
    </xf>
    <xf numFmtId="0" fontId="106" fillId="9" borderId="1" xfId="0" applyFont="1" applyFill="1" applyBorder="1" applyAlignment="1">
      <alignment vertical="center"/>
    </xf>
    <xf numFmtId="0" fontId="107" fillId="9" borderId="1" xfId="0" applyFont="1" applyFill="1" applyBorder="1" applyAlignment="1">
      <alignment vertical="center"/>
    </xf>
    <xf numFmtId="0" fontId="95" fillId="9" borderId="1" xfId="0" applyFont="1" applyFill="1" applyBorder="1" applyAlignment="1">
      <alignment horizontal="center" vertical="center"/>
    </xf>
    <xf numFmtId="164" fontId="89" fillId="9" borderId="1" xfId="0" applyNumberFormat="1" applyFont="1" applyFill="1" applyBorder="1" applyAlignment="1">
      <alignment vertical="center"/>
    </xf>
    <xf numFmtId="14" fontId="89" fillId="9" borderId="1" xfId="0" applyNumberFormat="1" applyFont="1" applyFill="1" applyBorder="1" applyAlignment="1">
      <alignment vertical="center"/>
    </xf>
    <xf numFmtId="0" fontId="108" fillId="9" borderId="1" xfId="0" applyFont="1" applyFill="1" applyBorder="1" applyAlignment="1">
      <alignment vertical="center"/>
    </xf>
    <xf numFmtId="164" fontId="95" fillId="9" borderId="1" xfId="0" applyNumberFormat="1" applyFont="1" applyFill="1" applyBorder="1" applyAlignment="1">
      <alignment horizontal="right" vertical="center"/>
    </xf>
    <xf numFmtId="0" fontId="109" fillId="4" borderId="1" xfId="0" applyFont="1" applyFill="1" applyBorder="1" applyAlignment="1">
      <alignment vertical="center" wrapText="1"/>
    </xf>
    <xf numFmtId="0" fontId="110" fillId="4" borderId="1" xfId="0" applyFont="1" applyFill="1" applyBorder="1" applyAlignment="1">
      <alignment horizontal="center" vertical="center" wrapText="1"/>
    </xf>
    <xf numFmtId="0" fontId="111" fillId="4" borderId="1" xfId="0" applyFont="1" applyFill="1" applyBorder="1" applyAlignment="1">
      <alignment horizontal="center" vertical="center" wrapText="1"/>
    </xf>
    <xf numFmtId="0" fontId="112" fillId="4" borderId="1" xfId="0" applyFont="1" applyFill="1" applyBorder="1" applyAlignment="1">
      <alignment vertical="center"/>
    </xf>
    <xf numFmtId="0" fontId="113" fillId="4" borderId="1" xfId="0" applyFont="1" applyFill="1" applyBorder="1" applyAlignment="1">
      <alignment horizontal="center" vertical="center" wrapText="1"/>
    </xf>
    <xf numFmtId="0" fontId="114" fillId="4" borderId="1" xfId="0" applyFont="1" applyFill="1" applyBorder="1" applyAlignment="1">
      <alignment vertical="center"/>
    </xf>
    <xf numFmtId="0" fontId="89" fillId="4" borderId="1" xfId="0" applyFont="1" applyFill="1" applyBorder="1" applyAlignment="1">
      <alignment vertical="top"/>
    </xf>
    <xf numFmtId="0" fontId="115" fillId="9" borderId="1" xfId="0" applyFont="1" applyFill="1" applyBorder="1" applyAlignment="1">
      <alignment vertical="center"/>
    </xf>
    <xf numFmtId="0" fontId="95" fillId="9" borderId="1" xfId="0" applyFont="1" applyFill="1" applyBorder="1" applyAlignment="1">
      <alignment horizontal="center" vertical="center"/>
    </xf>
    <xf numFmtId="0" fontId="95" fillId="9" borderId="1" xfId="0" applyFont="1" applyFill="1" applyBorder="1" applyAlignment="1">
      <alignment vertical="center"/>
    </xf>
    <xf numFmtId="0" fontId="116" fillId="4" borderId="1" xfId="0" applyFont="1" applyFill="1" applyBorder="1" applyAlignment="1">
      <alignment vertical="center"/>
    </xf>
    <xf numFmtId="164" fontId="95" fillId="4" borderId="1" xfId="0" applyNumberFormat="1" applyFont="1" applyFill="1" applyBorder="1" applyAlignment="1">
      <alignment horizontal="right" vertical="center"/>
    </xf>
    <xf numFmtId="165" fontId="95" fillId="4" borderId="1" xfId="0" applyNumberFormat="1" applyFont="1" applyFill="1" applyBorder="1" applyAlignment="1">
      <alignment horizontal="right" vertical="center"/>
    </xf>
    <xf numFmtId="0" fontId="95" fillId="4" borderId="1" xfId="0" applyFont="1" applyFill="1" applyBorder="1" applyAlignment="1">
      <alignment vertical="top"/>
    </xf>
    <xf numFmtId="0" fontId="117" fillId="9" borderId="1" xfId="0" applyFont="1" applyFill="1" applyBorder="1" applyAlignment="1">
      <alignment vertical="center"/>
    </xf>
    <xf numFmtId="0" fontId="89" fillId="9" borderId="1" xfId="0" applyFont="1" applyFill="1" applyBorder="1" applyAlignment="1">
      <alignment vertical="top"/>
    </xf>
    <xf numFmtId="0" fontId="118" fillId="9" borderId="1" xfId="0" applyFont="1" applyFill="1" applyBorder="1" applyAlignment="1">
      <alignment vertical="center"/>
    </xf>
    <xf numFmtId="0" fontId="119" fillId="4" borderId="1" xfId="0" applyFont="1" applyFill="1" applyBorder="1" applyAlignment="1">
      <alignment vertical="center"/>
    </xf>
    <xf numFmtId="0" fontId="120" fillId="4" borderId="1" xfId="0" applyFont="1" applyFill="1" applyBorder="1" applyAlignment="1">
      <alignment vertical="center"/>
    </xf>
    <xf numFmtId="164" fontId="95" fillId="4" borderId="1" xfId="0" applyNumberFormat="1" applyFont="1" applyFill="1" applyBorder="1" applyAlignment="1">
      <alignment horizontal="right" vertical="center"/>
    </xf>
    <xf numFmtId="165" fontId="95" fillId="4" borderId="1" xfId="0" applyNumberFormat="1" applyFont="1" applyFill="1" applyBorder="1" applyAlignment="1">
      <alignment horizontal="right" vertical="center"/>
    </xf>
    <xf numFmtId="0" fontId="95" fillId="4" borderId="1" xfId="0" applyFont="1" applyFill="1" applyBorder="1" applyAlignment="1">
      <alignment vertical="top"/>
    </xf>
    <xf numFmtId="0" fontId="121" fillId="0" borderId="1" xfId="0" applyFont="1" applyBorder="1" applyAlignment="1">
      <alignment vertical="center"/>
    </xf>
    <xf numFmtId="0" fontId="122" fillId="4" borderId="0" xfId="0" applyFont="1" applyFill="1" applyAlignment="1">
      <alignment horizontal="center" vertical="center" wrapText="1"/>
    </xf>
    <xf numFmtId="0" fontId="123" fillId="9" borderId="0" xfId="0" applyFont="1" applyFill="1" applyAlignment="1">
      <alignment horizontal="center" vertical="center" wrapText="1"/>
    </xf>
    <xf numFmtId="0" fontId="124" fillId="4" borderId="0" xfId="0" applyFont="1" applyFill="1" applyAlignment="1">
      <alignment vertical="center"/>
    </xf>
    <xf numFmtId="0" fontId="125" fillId="4" borderId="0" xfId="0" applyFont="1" applyFill="1" applyAlignment="1">
      <alignment vertical="center"/>
    </xf>
    <xf numFmtId="0" fontId="126" fillId="4" borderId="0" xfId="0" applyFont="1" applyFill="1" applyAlignment="1">
      <alignment horizontal="center" vertical="center" wrapText="1"/>
    </xf>
    <xf numFmtId="0" fontId="127" fillId="4" borderId="0" xfId="0" applyFont="1" applyFill="1" applyAlignment="1">
      <alignment vertical="center"/>
    </xf>
    <xf numFmtId="0" fontId="95" fillId="4" borderId="0" xfId="0" applyFont="1" applyFill="1" applyAlignment="1">
      <alignment horizontal="center" vertical="center"/>
    </xf>
    <xf numFmtId="164" fontId="95" fillId="4" borderId="0" xfId="0" applyNumberFormat="1" applyFont="1" applyFill="1" applyAlignment="1">
      <alignment horizontal="right" vertical="center"/>
    </xf>
    <xf numFmtId="165" fontId="95" fillId="4" borderId="0" xfId="0" applyNumberFormat="1" applyFont="1" applyFill="1" applyAlignment="1">
      <alignment horizontal="right" vertical="center"/>
    </xf>
    <xf numFmtId="164" fontId="89" fillId="4" borderId="0" xfId="0" applyNumberFormat="1" applyFont="1" applyFill="1" applyAlignment="1">
      <alignment vertical="center"/>
    </xf>
    <xf numFmtId="14" fontId="89" fillId="4" borderId="0" xfId="0" applyNumberFormat="1" applyFont="1" applyFill="1" applyAlignment="1">
      <alignment vertical="center"/>
    </xf>
    <xf numFmtId="0" fontId="128" fillId="4" borderId="0" xfId="0" applyFont="1" applyFill="1" applyAlignment="1">
      <alignment vertical="top"/>
    </xf>
    <xf numFmtId="49" fontId="129" fillId="4" borderId="0" xfId="0" applyNumberFormat="1" applyFont="1" applyFill="1" applyAlignment="1">
      <alignment vertical="center" wrapText="1"/>
    </xf>
    <xf numFmtId="0" fontId="89" fillId="4" borderId="0" xfId="0" applyFont="1" applyFill="1" applyAlignment="1">
      <alignment vertical="top"/>
    </xf>
    <xf numFmtId="0" fontId="28" fillId="4" borderId="0" xfId="0" applyFont="1" applyFill="1" applyAlignment="1">
      <alignment horizontal="center" vertical="center"/>
    </xf>
    <xf numFmtId="0" fontId="130" fillId="4" borderId="0" xfId="0" applyFont="1" applyFill="1" applyAlignment="1">
      <alignment horizontal="center" vertical="center"/>
    </xf>
    <xf numFmtId="0" fontId="30" fillId="0" borderId="0" xfId="0" applyFont="1" applyAlignment="1">
      <alignment horizontal="left" vertical="center"/>
    </xf>
    <xf numFmtId="0" fontId="16" fillId="4" borderId="0" xfId="0" applyFont="1" applyFill="1" applyAlignment="1">
      <alignment vertical="center"/>
    </xf>
    <xf numFmtId="0" fontId="89" fillId="4" borderId="4" xfId="0" applyFont="1" applyFill="1" applyBorder="1" applyAlignment="1">
      <alignment vertical="center"/>
    </xf>
    <xf numFmtId="0" fontId="16" fillId="4" borderId="0" xfId="0" applyFont="1" applyFill="1" applyAlignment="1">
      <alignment vertical="center"/>
    </xf>
    <xf numFmtId="166" fontId="16" fillId="4" borderId="0" xfId="0" applyNumberFormat="1" applyFont="1" applyFill="1" applyAlignment="1">
      <alignment horizontal="center"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0" fontId="131" fillId="0" borderId="0" xfId="0" applyFont="1" applyAlignment="1"/>
    <xf numFmtId="49" fontId="89" fillId="4" borderId="4" xfId="0" applyNumberFormat="1" applyFont="1" applyFill="1" applyBorder="1" applyAlignment="1">
      <alignment vertical="center"/>
    </xf>
    <xf numFmtId="0" fontId="130" fillId="4" borderId="0" xfId="0" applyFont="1" applyFill="1" applyAlignment="1">
      <alignment horizontal="center" vertical="center"/>
    </xf>
    <xf numFmtId="0" fontId="30" fillId="0" borderId="0" xfId="0" applyFont="1" applyAlignment="1">
      <alignment horizontal="left" vertical="center"/>
    </xf>
    <xf numFmtId="0" fontId="16" fillId="4" borderId="0" xfId="0" applyFont="1" applyFill="1" applyAlignment="1">
      <alignment vertical="center"/>
    </xf>
    <xf numFmtId="0" fontId="89" fillId="9" borderId="5" xfId="0" applyFont="1" applyFill="1" applyBorder="1" applyAlignment="1">
      <alignment vertical="center"/>
    </xf>
    <xf numFmtId="49" fontId="89" fillId="9" borderId="5" xfId="0" applyNumberFormat="1" applyFont="1" applyFill="1" applyBorder="1" applyAlignment="1">
      <alignment vertical="center"/>
    </xf>
    <xf numFmtId="0" fontId="89" fillId="4" borderId="6" xfId="0" applyFont="1" applyFill="1" applyBorder="1" applyAlignment="1">
      <alignment vertical="center"/>
    </xf>
    <xf numFmtId="49" fontId="89" fillId="4" borderId="6" xfId="0" applyNumberFormat="1" applyFont="1" applyFill="1" applyBorder="1" applyAlignment="1">
      <alignment vertical="center"/>
    </xf>
    <xf numFmtId="0" fontId="89" fillId="4" borderId="0" xfId="0" applyFont="1" applyFill="1" applyAlignment="1">
      <alignment vertical="center"/>
    </xf>
    <xf numFmtId="49" fontId="89" fillId="4" borderId="0" xfId="0" applyNumberFormat="1" applyFont="1" applyFill="1" applyAlignment="1">
      <alignment vertical="center"/>
    </xf>
    <xf numFmtId="0" fontId="43" fillId="10" borderId="1" xfId="0" applyFont="1" applyFill="1" applyBorder="1" applyAlignment="1">
      <alignment horizontal="center" vertical="center"/>
    </xf>
    <xf numFmtId="0" fontId="43" fillId="11" borderId="1" xfId="0" applyFont="1" applyFill="1" applyBorder="1" applyAlignment="1">
      <alignment horizontal="center" vertical="center"/>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xf>
    <xf numFmtId="0" fontId="43" fillId="0" borderId="1" xfId="0" applyFont="1" applyBorder="1" applyAlignment="1">
      <alignment horizontal="center" vertical="center"/>
    </xf>
    <xf numFmtId="0" fontId="30" fillId="0" borderId="0" xfId="0" applyFont="1" applyAlignment="1">
      <alignment horizontal="center" vertical="center"/>
    </xf>
    <xf numFmtId="0" fontId="30" fillId="0" borderId="7" xfId="0" applyFont="1" applyBorder="1" applyAlignment="1">
      <alignment vertical="center"/>
    </xf>
    <xf numFmtId="0" fontId="43" fillId="5" borderId="8" xfId="0" applyFont="1" applyFill="1" applyBorder="1" applyAlignment="1">
      <alignment wrapText="1"/>
    </xf>
    <xf numFmtId="0" fontId="30" fillId="0" borderId="7" xfId="0" applyFont="1" applyBorder="1"/>
    <xf numFmtId="0" fontId="30" fillId="0" borderId="7" xfId="0" applyFont="1" applyBorder="1" applyAlignment="1">
      <alignment horizontal="center" vertical="center" wrapText="1"/>
    </xf>
    <xf numFmtId="14" fontId="30" fillId="0" borderId="7" xfId="0" applyNumberFormat="1" applyFont="1" applyBorder="1"/>
    <xf numFmtId="0" fontId="30" fillId="0" borderId="0" xfId="0" applyFont="1"/>
    <xf numFmtId="0" fontId="30" fillId="0" borderId="1" xfId="0" applyFont="1" applyBorder="1" applyAlignment="1">
      <alignment vertical="center"/>
    </xf>
    <xf numFmtId="0" fontId="43" fillId="0" borderId="1" xfId="0" applyFont="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 fontId="30" fillId="0" borderId="1" xfId="0" applyNumberFormat="1" applyFont="1" applyBorder="1" applyAlignment="1">
      <alignment horizontal="center" vertical="center" wrapText="1"/>
    </xf>
    <xf numFmtId="0" fontId="30" fillId="0" borderId="1" xfId="0" applyFont="1" applyBorder="1" applyAlignment="1">
      <alignment horizontal="left" vertical="top" wrapText="1"/>
    </xf>
    <xf numFmtId="0" fontId="30" fillId="13" borderId="1" xfId="0" applyFont="1" applyFill="1" applyBorder="1" applyAlignment="1">
      <alignment vertical="center" wrapText="1"/>
    </xf>
    <xf numFmtId="0" fontId="43" fillId="5" borderId="1" xfId="0" applyFont="1" applyFill="1" applyBorder="1" applyAlignment="1">
      <alignment vertical="center" wrapText="1"/>
    </xf>
    <xf numFmtId="0" fontId="43" fillId="13" borderId="1" xfId="0" applyFont="1" applyFill="1" applyBorder="1" applyAlignment="1">
      <alignment vertical="center" wrapText="1"/>
    </xf>
    <xf numFmtId="0" fontId="30" fillId="13" borderId="1" xfId="0" applyFont="1" applyFill="1" applyBorder="1" applyAlignment="1">
      <alignment horizontal="center" vertical="center" wrapText="1"/>
    </xf>
    <xf numFmtId="14" fontId="30" fillId="13" borderId="1" xfId="0" applyNumberFormat="1" applyFont="1" applyFill="1" applyBorder="1" applyAlignment="1">
      <alignment vertical="center"/>
    </xf>
    <xf numFmtId="14" fontId="30" fillId="13" borderId="9" xfId="0" applyNumberFormat="1" applyFont="1" applyFill="1" applyBorder="1" applyAlignment="1">
      <alignment vertical="center"/>
    </xf>
    <xf numFmtId="1" fontId="30" fillId="13" borderId="1" xfId="0" applyNumberFormat="1" applyFont="1" applyFill="1" applyBorder="1" applyAlignment="1">
      <alignment horizontal="center" vertical="center" wrapText="1"/>
    </xf>
    <xf numFmtId="0" fontId="30" fillId="0" borderId="0" xfId="0" applyFont="1" applyAlignment="1">
      <alignment vertical="center"/>
    </xf>
    <xf numFmtId="0" fontId="89" fillId="0" borderId="1" xfId="0" applyFont="1" applyBorder="1" applyAlignment="1">
      <alignment vertical="center"/>
    </xf>
    <xf numFmtId="0" fontId="43" fillId="13" borderId="1" xfId="0" applyFont="1" applyFill="1" applyBorder="1" applyAlignment="1">
      <alignment horizontal="center" vertical="center" wrapText="1"/>
    </xf>
    <xf numFmtId="14" fontId="43" fillId="13" borderId="1" xfId="0" applyNumberFormat="1" applyFont="1" applyFill="1" applyBorder="1" applyAlignment="1">
      <alignment horizontal="center" vertical="center"/>
    </xf>
    <xf numFmtId="0" fontId="43" fillId="13" borderId="1" xfId="0" applyFont="1" applyFill="1" applyBorder="1" applyAlignment="1">
      <alignment horizontal="center" vertical="top" wrapText="1"/>
    </xf>
    <xf numFmtId="0" fontId="30" fillId="13" borderId="10" xfId="0" applyFont="1" applyFill="1" applyBorder="1" applyAlignment="1">
      <alignment horizontal="left" vertical="center"/>
    </xf>
    <xf numFmtId="0" fontId="30" fillId="13" borderId="10" xfId="0" applyFont="1" applyFill="1" applyBorder="1" applyAlignment="1">
      <alignment horizontal="center" vertical="center"/>
    </xf>
    <xf numFmtId="0" fontId="89" fillId="0" borderId="1" xfId="0" applyFont="1" applyBorder="1" applyAlignment="1">
      <alignment horizontal="center" vertical="center" wrapText="1"/>
    </xf>
    <xf numFmtId="14" fontId="89" fillId="0" borderId="1" xfId="0" applyNumberFormat="1" applyFont="1" applyBorder="1" applyAlignment="1">
      <alignment vertical="center"/>
    </xf>
    <xf numFmtId="0" fontId="30" fillId="0" borderId="1" xfId="0" applyFont="1" applyBorder="1" applyAlignment="1">
      <alignment vertical="center" wrapText="1"/>
    </xf>
    <xf numFmtId="0" fontId="89" fillId="0" borderId="0" xfId="0" applyFont="1" applyAlignment="1">
      <alignment vertical="center"/>
    </xf>
    <xf numFmtId="0" fontId="43" fillId="14" borderId="1" xfId="0" applyFont="1" applyFill="1" applyBorder="1" applyAlignment="1">
      <alignment horizontal="center" vertical="center"/>
    </xf>
    <xf numFmtId="0" fontId="43" fillId="5" borderId="1" xfId="0" applyFont="1" applyFill="1" applyBorder="1" applyAlignment="1">
      <alignment horizontal="left" vertical="center" wrapText="1"/>
    </xf>
    <xf numFmtId="0" fontId="30" fillId="14" borderId="1" xfId="0" applyFont="1" applyFill="1" applyBorder="1" applyAlignment="1">
      <alignment horizontal="left" vertical="center"/>
    </xf>
    <xf numFmtId="14" fontId="30" fillId="14" borderId="1" xfId="0" applyNumberFormat="1" applyFont="1" applyFill="1" applyBorder="1" applyAlignment="1">
      <alignment horizontal="center" vertical="center"/>
    </xf>
    <xf numFmtId="1" fontId="30" fillId="14" borderId="1" xfId="0" applyNumberFormat="1" applyFont="1" applyFill="1" applyBorder="1" applyAlignment="1">
      <alignment horizontal="center" vertical="center" wrapText="1"/>
    </xf>
    <xf numFmtId="0" fontId="30" fillId="14" borderId="1" xfId="0" applyFont="1" applyFill="1" applyBorder="1" applyAlignment="1">
      <alignment horizontal="left" vertical="top" wrapText="1"/>
    </xf>
    <xf numFmtId="0" fontId="43" fillId="13" borderId="1" xfId="0" applyFont="1" applyFill="1" applyBorder="1" applyAlignment="1">
      <alignment horizontal="center" vertical="center"/>
    </xf>
    <xf numFmtId="0" fontId="43" fillId="13" borderId="8" xfId="0" applyFont="1" applyFill="1" applyBorder="1" applyAlignment="1">
      <alignment horizontal="center" vertical="center" wrapText="1"/>
    </xf>
    <xf numFmtId="0" fontId="30" fillId="13" borderId="1" xfId="0" applyFont="1" applyFill="1" applyBorder="1"/>
    <xf numFmtId="0" fontId="30" fillId="13" borderId="1" xfId="0" applyFont="1" applyFill="1" applyBorder="1" applyAlignment="1">
      <alignment horizontal="left" vertical="center" wrapText="1"/>
    </xf>
    <xf numFmtId="14" fontId="30" fillId="13" borderId="1" xfId="0" applyNumberFormat="1" applyFont="1" applyFill="1" applyBorder="1" applyAlignment="1">
      <alignment horizontal="center" vertical="center"/>
    </xf>
    <xf numFmtId="14" fontId="30" fillId="13" borderId="1" xfId="0" applyNumberFormat="1" applyFont="1" applyFill="1" applyBorder="1" applyAlignment="1">
      <alignment horizontal="center"/>
    </xf>
    <xf numFmtId="0" fontId="30" fillId="13" borderId="1" xfId="0" applyFont="1" applyFill="1" applyBorder="1" applyAlignment="1">
      <alignment wrapText="1"/>
    </xf>
    <xf numFmtId="0" fontId="89" fillId="0" borderId="0" xfId="0" applyFont="1"/>
    <xf numFmtId="0" fontId="43" fillId="13" borderId="11" xfId="0" applyFont="1" applyFill="1" applyBorder="1" applyAlignment="1">
      <alignment horizontal="center" vertical="center" wrapText="1"/>
    </xf>
    <xf numFmtId="0" fontId="43" fillId="13" borderId="12" xfId="0" applyFont="1" applyFill="1" applyBorder="1" applyAlignment="1">
      <alignment horizontal="center" vertical="center" wrapText="1"/>
    </xf>
    <xf numFmtId="0" fontId="30" fillId="5" borderId="1" xfId="0" applyFont="1" applyFill="1" applyBorder="1" applyAlignment="1">
      <alignment wrapText="1"/>
    </xf>
    <xf numFmtId="0" fontId="28" fillId="0" borderId="0" xfId="0" applyFont="1" applyAlignment="1">
      <alignment horizontal="center" vertical="center"/>
    </xf>
    <xf numFmtId="0" fontId="7" fillId="0" borderId="0" xfId="0" applyFont="1" applyAlignment="1">
      <alignment horizontal="center" vertical="center"/>
    </xf>
    <xf numFmtId="0" fontId="30" fillId="0" borderId="0" xfId="0" applyFont="1" applyAlignment="1">
      <alignment horizontal="left" vertical="center"/>
    </xf>
    <xf numFmtId="0" fontId="16" fillId="0" borderId="0" xfId="0" applyFont="1" applyAlignment="1">
      <alignment horizontal="center" vertical="center" wrapText="1"/>
    </xf>
    <xf numFmtId="0" fontId="7" fillId="0" borderId="0" xfId="0" applyFont="1" applyAlignment="1">
      <alignment horizontal="center" vertical="top" wrapText="1"/>
    </xf>
    <xf numFmtId="0" fontId="28"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4" fontId="7"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0" fontId="16" fillId="4" borderId="0" xfId="0" applyFont="1" applyFill="1" applyAlignment="1">
      <alignment horizontal="left" vertical="top" wrapText="1"/>
    </xf>
    <xf numFmtId="0" fontId="7" fillId="4" borderId="1" xfId="0" applyFont="1" applyFill="1" applyBorder="1" applyAlignment="1">
      <alignment horizontal="center" vertical="center" wrapText="1"/>
    </xf>
    <xf numFmtId="0" fontId="43" fillId="4" borderId="1" xfId="0" applyFont="1" applyFill="1" applyBorder="1" applyAlignment="1">
      <alignment horizontal="left" vertical="center" wrapText="1"/>
    </xf>
    <xf numFmtId="0" fontId="30" fillId="15" borderId="1" xfId="0" applyFont="1" applyFill="1" applyBorder="1" applyAlignment="1">
      <alignment horizontal="left" vertical="center"/>
    </xf>
    <xf numFmtId="0" fontId="132" fillId="4" borderId="1" xfId="0" applyFont="1" applyFill="1" applyBorder="1" applyAlignment="1">
      <alignment vertical="center"/>
    </xf>
    <xf numFmtId="0" fontId="132" fillId="4" borderId="1" xfId="0" applyFont="1" applyFill="1" applyBorder="1" applyAlignment="1">
      <alignment horizontal="center" vertical="center"/>
    </xf>
    <xf numFmtId="0" fontId="132" fillId="4" borderId="1" xfId="0" applyFont="1" applyFill="1" applyBorder="1" applyAlignment="1">
      <alignment vertical="center"/>
    </xf>
    <xf numFmtId="164" fontId="132" fillId="4" borderId="1" xfId="0" applyNumberFormat="1" applyFont="1" applyFill="1" applyBorder="1" applyAlignment="1">
      <alignment vertical="center"/>
    </xf>
    <xf numFmtId="165" fontId="132" fillId="4" borderId="1" xfId="0" applyNumberFormat="1" applyFont="1" applyFill="1" applyBorder="1" applyAlignment="1">
      <alignment vertical="center"/>
    </xf>
    <xf numFmtId="0" fontId="132" fillId="4" borderId="1" xfId="0" applyFont="1" applyFill="1" applyBorder="1" applyAlignment="1">
      <alignment horizontal="center" vertical="center"/>
    </xf>
    <xf numFmtId="14" fontId="132" fillId="4" borderId="1" xfId="0" applyNumberFormat="1" applyFont="1" applyFill="1" applyBorder="1" applyAlignment="1">
      <alignment vertical="center"/>
    </xf>
    <xf numFmtId="0" fontId="132" fillId="4" borderId="0" xfId="0" applyFont="1" applyFill="1" applyAlignment="1">
      <alignment vertical="center"/>
    </xf>
    <xf numFmtId="0" fontId="132" fillId="4" borderId="0" xfId="0" applyFont="1" applyFill="1" applyAlignment="1">
      <alignment vertical="center"/>
    </xf>
    <xf numFmtId="0" fontId="30" fillId="4" borderId="1" xfId="0" applyFont="1" applyFill="1" applyBorder="1" applyAlignment="1">
      <alignment horizontal="left" vertical="center"/>
    </xf>
    <xf numFmtId="0" fontId="28"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30" fillId="4" borderId="1" xfId="0" applyFont="1" applyFill="1" applyBorder="1" applyAlignment="1">
      <alignment horizontal="left" vertical="center" wrapText="1"/>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center" vertical="center"/>
    </xf>
    <xf numFmtId="0" fontId="16" fillId="4" borderId="1" xfId="0" applyFont="1" applyFill="1" applyBorder="1" applyAlignment="1">
      <alignment vertical="center" wrapText="1"/>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6" fillId="4" borderId="0" xfId="0" applyFont="1" applyFill="1" applyAlignment="1">
      <alignment horizontal="left" vertical="top"/>
    </xf>
    <xf numFmtId="0" fontId="132" fillId="0" borderId="0" xfId="0" applyFont="1"/>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xf numFmtId="0" fontId="7" fillId="4" borderId="1" xfId="0" applyFont="1" applyFill="1" applyBorder="1" applyAlignment="1">
      <alignment horizontal="center" vertical="center" wrapText="1"/>
    </xf>
    <xf numFmtId="0" fontId="16" fillId="4" borderId="1" xfId="0" applyFont="1" applyFill="1" applyBorder="1" applyAlignment="1">
      <alignment horizontal="center" wrapText="1"/>
    </xf>
    <xf numFmtId="165" fontId="16" fillId="4" borderId="1" xfId="0" applyNumberFormat="1" applyFont="1" applyFill="1" applyBorder="1" applyAlignment="1">
      <alignment wrapText="1"/>
    </xf>
    <xf numFmtId="165" fontId="16" fillId="4" borderId="1" xfId="0" applyNumberFormat="1" applyFont="1" applyFill="1" applyBorder="1" applyAlignment="1">
      <alignment vertical="center" wrapText="1"/>
    </xf>
    <xf numFmtId="0" fontId="16" fillId="4" borderId="1" xfId="0" applyFont="1" applyFill="1" applyBorder="1" applyAlignment="1">
      <alignment horizontal="center"/>
    </xf>
    <xf numFmtId="164" fontId="16" fillId="4" borderId="1" xfId="0" applyNumberFormat="1" applyFont="1" applyFill="1" applyBorder="1"/>
    <xf numFmtId="0" fontId="16" fillId="4" borderId="1" xfId="0" applyFont="1" applyFill="1" applyBorder="1"/>
    <xf numFmtId="14" fontId="16" fillId="4" borderId="1" xfId="0" applyNumberFormat="1" applyFont="1" applyFill="1" applyBorder="1"/>
    <xf numFmtId="14" fontId="16" fillId="4" borderId="1" xfId="0" applyNumberFormat="1" applyFont="1" applyFill="1" applyBorder="1" applyAlignment="1">
      <alignment horizontal="left" vertical="top" wrapText="1"/>
    </xf>
    <xf numFmtId="0" fontId="16" fillId="4" borderId="0" xfId="0" applyFont="1" applyFill="1" applyAlignment="1">
      <alignment horizontal="left" vertical="top" wrapText="1"/>
    </xf>
    <xf numFmtId="0" fontId="132" fillId="4" borderId="1" xfId="0" applyFont="1" applyFill="1" applyBorder="1" applyAlignment="1">
      <alignment horizontal="center" wrapText="1"/>
    </xf>
    <xf numFmtId="165" fontId="132" fillId="4" borderId="1" xfId="0" applyNumberFormat="1" applyFont="1" applyFill="1" applyBorder="1"/>
    <xf numFmtId="165" fontId="132" fillId="4" borderId="1" xfId="0" applyNumberFormat="1" applyFont="1" applyFill="1" applyBorder="1" applyAlignment="1">
      <alignment wrapText="1"/>
    </xf>
    <xf numFmtId="0" fontId="132" fillId="4" borderId="1" xfId="0" applyFont="1" applyFill="1" applyBorder="1" applyAlignment="1">
      <alignment horizontal="center"/>
    </xf>
    <xf numFmtId="164" fontId="132" fillId="4" borderId="1" xfId="0" applyNumberFormat="1" applyFont="1" applyFill="1" applyBorder="1"/>
    <xf numFmtId="0" fontId="132" fillId="4" borderId="1" xfId="0" applyFont="1" applyFill="1" applyBorder="1"/>
    <xf numFmtId="14" fontId="132" fillId="4" borderId="1" xfId="0" applyNumberFormat="1" applyFont="1" applyFill="1" applyBorder="1"/>
    <xf numFmtId="0" fontId="16" fillId="4" borderId="0" xfId="0" applyFont="1" applyFill="1"/>
    <xf numFmtId="0" fontId="7" fillId="4" borderId="1" xfId="0" applyFont="1" applyFill="1" applyBorder="1" applyAlignment="1">
      <alignment horizontal="center" vertical="center"/>
    </xf>
    <xf numFmtId="0" fontId="30" fillId="4" borderId="1" xfId="0" applyFont="1" applyFill="1" applyBorder="1" applyAlignment="1">
      <alignment horizontal="left" vertical="center"/>
    </xf>
    <xf numFmtId="14" fontId="16" fillId="4" borderId="1" xfId="0" applyNumberFormat="1" applyFont="1" applyFill="1" applyBorder="1" applyAlignment="1">
      <alignment horizontal="center"/>
    </xf>
    <xf numFmtId="0" fontId="16" fillId="4" borderId="1" xfId="0" applyFont="1" applyFill="1" applyBorder="1" applyAlignment="1">
      <alignment vertical="top" wrapText="1"/>
    </xf>
    <xf numFmtId="0" fontId="16" fillId="4" borderId="0" xfId="0" applyFont="1" applyFill="1" applyAlignment="1">
      <alignment vertical="top" wrapText="1"/>
    </xf>
    <xf numFmtId="0" fontId="16" fillId="4" borderId="0" xfId="0" applyFont="1" applyFill="1" applyAlignment="1">
      <alignment vertical="top" wrapText="1"/>
    </xf>
    <xf numFmtId="0" fontId="28" fillId="4" borderId="1" xfId="0" applyFont="1" applyFill="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0" fontId="130" fillId="4" borderId="1" xfId="0" applyFont="1" applyFill="1" applyBorder="1" applyAlignment="1">
      <alignment horizontal="center"/>
    </xf>
    <xf numFmtId="0" fontId="16" fillId="4" borderId="1" xfId="0"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0" fontId="16" fillId="4" borderId="0" xfId="0" applyFont="1" applyFill="1" applyAlignment="1">
      <alignment horizontal="left" vertical="top"/>
    </xf>
    <xf numFmtId="0" fontId="16" fillId="4" borderId="0" xfId="0" applyFont="1" applyFill="1" applyAlignment="1">
      <alignment horizontal="left" vertical="top"/>
    </xf>
    <xf numFmtId="0" fontId="130" fillId="4" borderId="1" xfId="0" applyFont="1" applyFill="1" applyBorder="1" applyAlignment="1">
      <alignment horizontal="center"/>
    </xf>
    <xf numFmtId="0" fontId="28" fillId="4" borderId="1" xfId="0" applyFont="1" applyFill="1" applyBorder="1" applyAlignment="1">
      <alignment horizontal="center" vertical="center" wrapText="1"/>
    </xf>
    <xf numFmtId="0" fontId="28" fillId="4" borderId="1" xfId="0" applyFont="1" applyFill="1" applyBorder="1" applyAlignment="1">
      <alignment vertical="center"/>
    </xf>
    <xf numFmtId="0" fontId="16" fillId="4" borderId="1" xfId="0" applyFont="1" applyFill="1" applyBorder="1" applyAlignment="1">
      <alignment horizontal="center" vertical="center" wrapText="1"/>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30" fillId="4" borderId="1" xfId="0" applyFont="1" applyFill="1" applyBorder="1" applyAlignment="1">
      <alignment horizontal="left" vertical="center"/>
    </xf>
    <xf numFmtId="0" fontId="16" fillId="4" borderId="1" xfId="0" applyFont="1" applyFill="1" applyBorder="1" applyAlignment="1">
      <alignment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0" fontId="16" fillId="4" borderId="0" xfId="0" applyFont="1" applyFill="1" applyAlignment="1">
      <alignment vertical="center"/>
    </xf>
    <xf numFmtId="14" fontId="16" fillId="4" borderId="0" xfId="0" applyNumberFormat="1" applyFont="1" applyFill="1" applyAlignment="1">
      <alignment vertical="center"/>
    </xf>
    <xf numFmtId="0" fontId="16" fillId="4" borderId="0" xfId="0" applyFont="1" applyFill="1" applyAlignment="1">
      <alignment horizontal="left" vertical="top"/>
    </xf>
    <xf numFmtId="0" fontId="133" fillId="4" borderId="1" xfId="0" applyFont="1" applyFill="1" applyBorder="1" applyAlignment="1">
      <alignment horizontal="center" vertical="center"/>
    </xf>
    <xf numFmtId="1"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wrapText="1"/>
    </xf>
    <xf numFmtId="0" fontId="134" fillId="4" borderId="1" xfId="0" applyFont="1" applyFill="1" applyBorder="1" applyAlignment="1">
      <alignment horizontal="center"/>
    </xf>
    <xf numFmtId="0" fontId="130" fillId="4" borderId="1" xfId="0" applyFont="1" applyFill="1" applyBorder="1" applyAlignment="1">
      <alignment horizontal="center"/>
    </xf>
    <xf numFmtId="0" fontId="135" fillId="4" borderId="1" xfId="0" applyFont="1" applyFill="1" applyBorder="1" applyAlignment="1">
      <alignment horizontal="center" vertical="center"/>
    </xf>
    <xf numFmtId="0" fontId="136" fillId="4" borderId="1" xfId="0" applyFont="1" applyFill="1" applyBorder="1" applyAlignment="1">
      <alignment horizontal="center"/>
    </xf>
    <xf numFmtId="0" fontId="137" fillId="4" borderId="2" xfId="0" applyFont="1" applyFill="1" applyBorder="1" applyAlignment="1">
      <alignment horizontal="center"/>
    </xf>
    <xf numFmtId="0" fontId="138" fillId="4" borderId="1" xfId="0" applyFont="1" applyFill="1" applyBorder="1" applyAlignment="1">
      <alignment horizontal="left" vertical="center"/>
    </xf>
    <xf numFmtId="0" fontId="139" fillId="4" borderId="1" xfId="0" applyFont="1" applyFill="1" applyBorder="1" applyAlignment="1">
      <alignment vertical="center"/>
    </xf>
    <xf numFmtId="164" fontId="38" fillId="4" borderId="1" xfId="0" applyNumberFormat="1" applyFont="1" applyFill="1" applyBorder="1" applyAlignment="1">
      <alignment horizontal="right"/>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40" fillId="4" borderId="1" xfId="0" applyFont="1" applyFill="1" applyBorder="1" applyAlignment="1">
      <alignment horizontal="center" vertical="center"/>
    </xf>
    <xf numFmtId="0" fontId="141" fillId="4" borderId="1" xfId="0" applyFont="1" applyFill="1" applyBorder="1" applyAlignment="1">
      <alignment horizontal="center"/>
    </xf>
    <xf numFmtId="0" fontId="142" fillId="4" borderId="1" xfId="0" applyFont="1" applyFill="1" applyBorder="1" applyAlignment="1">
      <alignment horizontal="left" vertical="center" wrapText="1"/>
    </xf>
    <xf numFmtId="0" fontId="143" fillId="4" borderId="1" xfId="0" applyFont="1" applyFill="1" applyBorder="1" applyAlignment="1">
      <alignment horizontal="center"/>
    </xf>
    <xf numFmtId="0" fontId="144" fillId="4" borderId="1" xfId="0" applyFont="1" applyFill="1" applyBorder="1" applyAlignment="1">
      <alignment horizontal="center"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45" fillId="0" borderId="1" xfId="0" applyFont="1" applyBorder="1" applyAlignment="1">
      <alignment horizontal="left" vertical="center"/>
    </xf>
    <xf numFmtId="0" fontId="16" fillId="0" borderId="1" xfId="0" applyFont="1" applyBorder="1" applyAlignment="1">
      <alignment horizontal="center" vertical="center"/>
    </xf>
    <xf numFmtId="0" fontId="30" fillId="0" borderId="1" xfId="0" applyFont="1" applyBorder="1" applyAlignment="1">
      <alignment horizontal="left" vertical="center"/>
    </xf>
    <xf numFmtId="0" fontId="146" fillId="4" borderId="1" xfId="0" applyFont="1" applyFill="1" applyBorder="1" applyAlignment="1">
      <alignment horizontal="center"/>
    </xf>
    <xf numFmtId="166" fontId="16" fillId="0" borderId="1" xfId="0" applyNumberFormat="1" applyFont="1" applyBorder="1" applyAlignment="1">
      <alignment horizontal="center" vertical="center"/>
    </xf>
    <xf numFmtId="0" fontId="7" fillId="16"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xf>
    <xf numFmtId="0" fontId="7" fillId="10" borderId="1" xfId="0" applyFont="1" applyFill="1" applyBorder="1" applyAlignment="1">
      <alignment horizontal="center" vertical="center"/>
    </xf>
    <xf numFmtId="0" fontId="7" fillId="0" borderId="1" xfId="0" applyFont="1" applyBorder="1" applyAlignment="1">
      <alignment horizontal="center" vertical="center"/>
    </xf>
    <xf numFmtId="0" fontId="16" fillId="0" borderId="1" xfId="0" applyFont="1" applyBorder="1" applyAlignment="1">
      <alignment vertical="center" wrapText="1"/>
    </xf>
    <xf numFmtId="0" fontId="7" fillId="0" borderId="7" xfId="0" applyFont="1" applyBorder="1" applyAlignment="1">
      <alignment horizontal="left" vertical="center"/>
    </xf>
    <xf numFmtId="0" fontId="16" fillId="0" borderId="1" xfId="0" applyFont="1" applyBorder="1" applyAlignment="1">
      <alignment horizontal="left" vertical="center"/>
    </xf>
    <xf numFmtId="0" fontId="16" fillId="0" borderId="1" xfId="0" applyFont="1" applyBorder="1" applyAlignment="1">
      <alignment horizontal="center" vertical="center"/>
    </xf>
    <xf numFmtId="14" fontId="16" fillId="0" borderId="1" xfId="0" applyNumberFormat="1" applyFont="1" applyBorder="1" applyAlignment="1">
      <alignment horizontal="center" vertical="center"/>
    </xf>
    <xf numFmtId="14" fontId="16" fillId="0" borderId="0" xfId="0" applyNumberFormat="1" applyFont="1" applyAlignment="1">
      <alignment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89" fillId="0" borderId="13" xfId="0" applyFont="1" applyBorder="1"/>
    <xf numFmtId="0" fontId="7" fillId="0" borderId="14" xfId="0" applyFont="1" applyBorder="1" applyAlignment="1">
      <alignment horizontal="center" vertical="center" wrapText="1"/>
    </xf>
    <xf numFmtId="0" fontId="89" fillId="0" borderId="15" xfId="0" applyFont="1" applyBorder="1"/>
    <xf numFmtId="0" fontId="16" fillId="0" borderId="1" xfId="0" applyFont="1" applyBorder="1" applyAlignment="1">
      <alignment horizontal="left" vertical="center" wrapText="1"/>
    </xf>
    <xf numFmtId="0" fontId="7" fillId="0" borderId="1" xfId="0" applyFont="1" applyBorder="1" applyAlignment="1">
      <alignment horizontal="left" vertical="center" wrapText="1"/>
    </xf>
    <xf numFmtId="0" fontId="16"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6" fillId="0" borderId="1" xfId="0" applyFont="1" applyBorder="1"/>
    <xf numFmtId="14" fontId="16" fillId="0" borderId="1" xfId="0" applyNumberFormat="1" applyFont="1" applyBorder="1" applyAlignment="1">
      <alignment vertical="center"/>
    </xf>
    <xf numFmtId="0" fontId="16" fillId="0" borderId="1" xfId="0" applyFont="1" applyBorder="1" applyAlignment="1">
      <alignment vertical="top" wrapText="1"/>
    </xf>
    <xf numFmtId="0" fontId="147" fillId="0" borderId="0" xfId="0" applyFont="1" applyAlignment="1">
      <alignment vertical="top" wrapText="1"/>
    </xf>
    <xf numFmtId="0" fontId="7" fillId="5"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6" fillId="0" borderId="7" xfId="0" applyFont="1" applyBorder="1" applyAlignment="1">
      <alignment horizontal="center" vertical="center" wrapText="1"/>
    </xf>
    <xf numFmtId="14" fontId="16" fillId="0" borderId="7" xfId="0" applyNumberFormat="1" applyFont="1" applyBorder="1" applyAlignment="1">
      <alignment horizontal="center" vertical="center"/>
    </xf>
    <xf numFmtId="1" fontId="16" fillId="0" borderId="7" xfId="0" applyNumberFormat="1" applyFont="1" applyBorder="1" applyAlignment="1">
      <alignment horizontal="center" vertical="center" wrapText="1"/>
    </xf>
    <xf numFmtId="0" fontId="16" fillId="0" borderId="7" xfId="0" applyFont="1" applyBorder="1" applyAlignment="1">
      <alignment horizontal="center" vertical="center"/>
    </xf>
    <xf numFmtId="0" fontId="16"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9" fillId="0" borderId="17" xfId="0" applyFont="1" applyBorder="1"/>
    <xf numFmtId="0" fontId="7" fillId="5" borderId="1" xfId="0" applyFont="1" applyFill="1" applyBorder="1" applyAlignment="1">
      <alignment horizontal="center" vertical="center"/>
    </xf>
    <xf numFmtId="0" fontId="7" fillId="5" borderId="12" xfId="0" applyFont="1" applyFill="1" applyBorder="1" applyAlignment="1">
      <alignment horizontal="center" vertical="center" wrapText="1"/>
    </xf>
    <xf numFmtId="0" fontId="7" fillId="0" borderId="18" xfId="0" applyFont="1" applyBorder="1" applyAlignment="1">
      <alignment vertical="center"/>
    </xf>
    <xf numFmtId="0" fontId="7" fillId="5" borderId="8" xfId="0" applyFont="1" applyFill="1" applyBorder="1" applyAlignment="1">
      <alignment horizontal="center" vertical="center"/>
    </xf>
    <xf numFmtId="0" fontId="16" fillId="0" borderId="7" xfId="0" applyFont="1" applyBorder="1" applyAlignment="1">
      <alignment horizontal="left" vertical="center" wrapText="1"/>
    </xf>
    <xf numFmtId="0" fontId="43" fillId="5" borderId="1" xfId="0" applyFont="1" applyFill="1" applyBorder="1" applyAlignment="1">
      <alignment horizontal="center" vertical="center"/>
    </xf>
    <xf numFmtId="0" fontId="43" fillId="0" borderId="7" xfId="0" applyFont="1" applyBorder="1" applyAlignment="1">
      <alignment vertical="center" wrapText="1"/>
    </xf>
    <xf numFmtId="0" fontId="30" fillId="0" borderId="1" xfId="0" applyFont="1" applyBorder="1" applyAlignment="1">
      <alignment horizontal="left" vertical="center"/>
    </xf>
    <xf numFmtId="0" fontId="43" fillId="5" borderId="12" xfId="0" applyFont="1" applyFill="1" applyBorder="1" applyAlignment="1">
      <alignment horizontal="center" vertical="center" wrapText="1"/>
    </xf>
    <xf numFmtId="0" fontId="43" fillId="0" borderId="19" xfId="0" applyFont="1" applyBorder="1" applyAlignment="1">
      <alignment vertical="center" wrapText="1"/>
    </xf>
    <xf numFmtId="0" fontId="43" fillId="0" borderId="20" xfId="0" applyFont="1" applyBorder="1" applyAlignment="1">
      <alignment horizontal="left" vertical="center" wrapText="1"/>
    </xf>
    <xf numFmtId="0" fontId="30" fillId="0" borderId="20" xfId="0" applyFont="1" applyBorder="1" applyAlignment="1">
      <alignment horizontal="center" vertical="center"/>
    </xf>
    <xf numFmtId="14" fontId="30" fillId="0" borderId="20" xfId="0" applyNumberFormat="1" applyFont="1" applyBorder="1" applyAlignment="1">
      <alignment horizontal="center" vertical="center"/>
    </xf>
    <xf numFmtId="14" fontId="30" fillId="0" borderId="13" xfId="0" applyNumberFormat="1" applyFont="1" applyBorder="1"/>
    <xf numFmtId="1" fontId="30" fillId="0" borderId="13" xfId="0" applyNumberFormat="1" applyFont="1" applyBorder="1" applyAlignment="1">
      <alignment horizontal="center" vertical="center" wrapText="1"/>
    </xf>
    <xf numFmtId="0" fontId="30" fillId="0" borderId="20" xfId="0" applyFont="1" applyBorder="1" applyAlignment="1">
      <alignment horizontal="left" vertical="top" wrapText="1"/>
    </xf>
    <xf numFmtId="0" fontId="43" fillId="0" borderId="18" xfId="0" applyFont="1" applyBorder="1" applyAlignment="1">
      <alignment vertical="center" wrapText="1"/>
    </xf>
    <xf numFmtId="0" fontId="43" fillId="0" borderId="1" xfId="0" applyFont="1" applyBorder="1" applyAlignment="1">
      <alignment horizontal="left" vertical="center" wrapText="1"/>
    </xf>
    <xf numFmtId="14" fontId="30" fillId="0" borderId="1" xfId="0" applyNumberFormat="1" applyFont="1" applyBorder="1"/>
    <xf numFmtId="0" fontId="30" fillId="0" borderId="1" xfId="0" applyFont="1" applyBorder="1" applyAlignment="1">
      <alignment vertical="top" wrapText="1"/>
    </xf>
    <xf numFmtId="0" fontId="43" fillId="5" borderId="8" xfId="0" applyFont="1" applyFill="1" applyBorder="1" applyAlignment="1">
      <alignment horizontal="center" vertical="center" wrapText="1"/>
    </xf>
    <xf numFmtId="0" fontId="30" fillId="0" borderId="1" xfId="0" applyFont="1" applyBorder="1" applyAlignment="1">
      <alignment horizontal="center" vertical="center" wrapText="1"/>
    </xf>
    <xf numFmtId="0" fontId="43" fillId="0" borderId="1" xfId="0" applyFont="1" applyBorder="1" applyAlignment="1">
      <alignment horizontal="left" vertical="top" wrapText="1"/>
    </xf>
    <xf numFmtId="0" fontId="43" fillId="0" borderId="1" xfId="0" applyFont="1" applyBorder="1" applyAlignment="1">
      <alignment horizontal="center" vertical="center" wrapText="1"/>
    </xf>
    <xf numFmtId="0" fontId="30" fillId="0" borderId="0" xfId="0" applyFont="1" applyAlignment="1">
      <alignment horizontal="left" vertical="center"/>
    </xf>
    <xf numFmtId="0" fontId="148" fillId="0" borderId="0" xfId="0" applyFont="1" applyAlignment="1">
      <alignment horizontal="left" vertical="center"/>
    </xf>
    <xf numFmtId="0" fontId="43" fillId="0" borderId="7" xfId="0" applyFont="1" applyBorder="1" applyAlignment="1">
      <alignment horizontal="center" vertical="center" wrapText="1"/>
    </xf>
    <xf numFmtId="0" fontId="43" fillId="0" borderId="7" xfId="0" applyFont="1" applyBorder="1" applyAlignment="1">
      <alignment horizontal="center" vertical="center"/>
    </xf>
    <xf numFmtId="0" fontId="43" fillId="5" borderId="8" xfId="0" applyFont="1" applyFill="1" applyBorder="1" applyAlignment="1">
      <alignment horizontal="center" vertical="center"/>
    </xf>
    <xf numFmtId="0" fontId="89" fillId="0" borderId="20" xfId="0" applyFont="1" applyBorder="1"/>
    <xf numFmtId="0" fontId="30" fillId="0" borderId="7" xfId="0" applyFont="1" applyBorder="1" applyAlignment="1">
      <alignment horizontal="left" vertical="center"/>
    </xf>
    <xf numFmtId="0" fontId="30" fillId="0" borderId="7" xfId="0" applyFont="1" applyBorder="1" applyAlignment="1">
      <alignment horizontal="center" vertical="center"/>
    </xf>
    <xf numFmtId="14" fontId="30" fillId="0" borderId="7" xfId="0" applyNumberFormat="1" applyFont="1" applyBorder="1" applyAlignment="1">
      <alignment horizontal="center" vertical="center"/>
    </xf>
    <xf numFmtId="1" fontId="30" fillId="0" borderId="7" xfId="0" applyNumberFormat="1" applyFont="1" applyBorder="1" applyAlignment="1">
      <alignment horizontal="center" vertical="center" wrapText="1"/>
    </xf>
    <xf numFmtId="0" fontId="30" fillId="0" borderId="7" xfId="0" applyFont="1" applyBorder="1" applyAlignment="1">
      <alignment horizontal="left" vertical="top" wrapText="1"/>
    </xf>
    <xf numFmtId="0" fontId="43" fillId="0" borderId="20" xfId="0" applyFont="1" applyBorder="1" applyAlignment="1">
      <alignment horizontal="center" vertical="center" wrapText="1"/>
    </xf>
    <xf numFmtId="0" fontId="43" fillId="0" borderId="13" xfId="0" applyFont="1" applyBorder="1" applyAlignment="1">
      <alignment horizontal="left" vertical="center" wrapText="1"/>
    </xf>
    <xf numFmtId="0" fontId="30" fillId="0" borderId="13" xfId="0" applyFont="1" applyBorder="1" applyAlignment="1">
      <alignment horizontal="center" vertical="center"/>
    </xf>
    <xf numFmtId="14" fontId="30" fillId="0" borderId="13" xfId="0" applyNumberFormat="1" applyFont="1" applyBorder="1" applyAlignment="1">
      <alignment vertical="center"/>
    </xf>
    <xf numFmtId="0" fontId="30" fillId="0" borderId="13" xfId="0" applyFont="1" applyBorder="1" applyAlignment="1">
      <alignment vertical="top" wrapText="1"/>
    </xf>
    <xf numFmtId="0" fontId="43" fillId="5" borderId="11" xfId="0" applyFont="1" applyFill="1" applyBorder="1" applyAlignment="1">
      <alignment horizontal="center" vertical="center" wrapText="1"/>
    </xf>
    <xf numFmtId="14" fontId="30" fillId="0" borderId="20" xfId="0" applyNumberFormat="1" applyFont="1" applyBorder="1"/>
    <xf numFmtId="0" fontId="30" fillId="0" borderId="20" xfId="0" applyFont="1" applyBorder="1" applyAlignment="1">
      <alignment vertical="top" wrapText="1"/>
    </xf>
    <xf numFmtId="0" fontId="43" fillId="5" borderId="1" xfId="0" applyFont="1" applyFill="1" applyBorder="1" applyAlignment="1">
      <alignment horizontal="center" vertical="center" wrapText="1"/>
    </xf>
    <xf numFmtId="0" fontId="43" fillId="0" borderId="20" xfId="0" applyFont="1" applyBorder="1" applyAlignment="1">
      <alignment vertical="center" wrapText="1"/>
    </xf>
    <xf numFmtId="0" fontId="30" fillId="0" borderId="13" xfId="0" applyFont="1" applyBorder="1" applyAlignment="1">
      <alignment horizontal="center" vertical="center" wrapText="1"/>
    </xf>
    <xf numFmtId="0" fontId="43" fillId="0" borderId="13" xfId="0" applyFont="1" applyBorder="1" applyAlignment="1">
      <alignment wrapText="1"/>
    </xf>
    <xf numFmtId="0" fontId="30" fillId="0" borderId="13" xfId="0" applyFont="1" applyBorder="1"/>
    <xf numFmtId="0" fontId="30" fillId="0" borderId="13" xfId="0" applyFont="1" applyBorder="1" applyAlignment="1">
      <alignment horizontal="center" wrapText="1"/>
    </xf>
    <xf numFmtId="0" fontId="30" fillId="0" borderId="13" xfId="0" applyFont="1" applyBorder="1" applyAlignment="1">
      <alignment wrapText="1"/>
    </xf>
    <xf numFmtId="0" fontId="43" fillId="13" borderId="21" xfId="0" applyFont="1" applyFill="1" applyBorder="1" applyAlignment="1">
      <alignment horizontal="center" vertical="center" wrapText="1"/>
    </xf>
    <xf numFmtId="0" fontId="43" fillId="13" borderId="8" xfId="0" applyFont="1" applyFill="1" applyBorder="1" applyAlignment="1">
      <alignment vertical="center" wrapText="1"/>
    </xf>
    <xf numFmtId="0" fontId="30" fillId="13" borderId="1" xfId="0" applyFont="1" applyFill="1" applyBorder="1" applyAlignment="1">
      <alignment horizontal="left" vertical="center"/>
    </xf>
    <xf numFmtId="0" fontId="30" fillId="13" borderId="1" xfId="0" applyFont="1" applyFill="1" applyBorder="1" applyAlignment="1">
      <alignment horizontal="center" vertical="center"/>
    </xf>
    <xf numFmtId="0" fontId="30" fillId="13" borderId="1" xfId="0" applyFont="1" applyFill="1" applyBorder="1" applyAlignment="1">
      <alignment horizontal="left" vertical="top" wrapText="1"/>
    </xf>
    <xf numFmtId="0" fontId="43" fillId="13" borderId="1" xfId="0" applyFont="1" applyFill="1" applyBorder="1" applyAlignment="1">
      <alignment horizontal="left" vertical="center" wrapText="1"/>
    </xf>
    <xf numFmtId="0" fontId="43" fillId="0" borderId="16" xfId="0" applyFont="1" applyBorder="1" applyAlignment="1">
      <alignment vertical="center" wrapText="1"/>
    </xf>
    <xf numFmtId="0" fontId="30" fillId="0" borderId="1" xfId="0" applyFont="1" applyBorder="1" applyAlignment="1">
      <alignment wrapText="1"/>
    </xf>
    <xf numFmtId="0" fontId="30" fillId="0" borderId="1" xfId="0" applyFont="1" applyBorder="1"/>
    <xf numFmtId="0" fontId="30" fillId="0" borderId="0" xfId="0" applyFont="1" applyAlignment="1">
      <alignment horizontal="left"/>
    </xf>
    <xf numFmtId="0" fontId="30" fillId="0" borderId="7" xfId="0" applyFont="1" applyBorder="1" applyAlignment="1">
      <alignment wrapText="1"/>
    </xf>
    <xf numFmtId="0" fontId="30" fillId="0" borderId="20" xfId="0" applyFont="1" applyBorder="1" applyAlignment="1">
      <alignment wrapText="1"/>
    </xf>
    <xf numFmtId="0" fontId="30" fillId="0" borderId="22" xfId="0" applyFont="1" applyBorder="1" applyAlignment="1">
      <alignment horizontal="center" vertical="center"/>
    </xf>
    <xf numFmtId="0" fontId="30" fillId="0" borderId="13" xfId="0" applyFont="1" applyBorder="1" applyAlignment="1">
      <alignment horizontal="left" vertical="center"/>
    </xf>
    <xf numFmtId="0" fontId="30" fillId="13" borderId="12" xfId="0" applyFont="1" applyFill="1" applyBorder="1" applyAlignment="1">
      <alignment horizontal="center" vertical="center"/>
    </xf>
    <xf numFmtId="14" fontId="30" fillId="13" borderId="23" xfId="0" applyNumberFormat="1" applyFont="1" applyFill="1" applyBorder="1" applyAlignment="1">
      <alignment horizontal="center" vertical="center"/>
    </xf>
    <xf numFmtId="14" fontId="30" fillId="13" borderId="12" xfId="0" applyNumberFormat="1" applyFont="1" applyFill="1" applyBorder="1" applyAlignment="1">
      <alignment horizontal="center" vertical="center"/>
    </xf>
    <xf numFmtId="0" fontId="30" fillId="13" borderId="12" xfId="0" applyFont="1" applyFill="1" applyBorder="1" applyAlignment="1">
      <alignment horizontal="left" vertical="top" wrapText="1"/>
    </xf>
    <xf numFmtId="14" fontId="30" fillId="0" borderId="24" xfId="0" applyNumberFormat="1" applyFont="1" applyBorder="1" applyAlignment="1">
      <alignment horizontal="center" vertical="center"/>
    </xf>
    <xf numFmtId="14" fontId="30" fillId="0" borderId="13" xfId="0" applyNumberFormat="1" applyFont="1" applyBorder="1" applyAlignment="1">
      <alignment horizontal="center" vertical="center"/>
    </xf>
    <xf numFmtId="0" fontId="30" fillId="0" borderId="13" xfId="0" applyFont="1" applyBorder="1" applyAlignment="1">
      <alignment horizontal="left" vertical="top" wrapText="1"/>
    </xf>
    <xf numFmtId="14" fontId="30" fillId="0" borderId="1" xfId="0" applyNumberFormat="1" applyFont="1" applyBorder="1" applyAlignment="1">
      <alignment vertical="center"/>
    </xf>
    <xf numFmtId="0" fontId="30" fillId="0" borderId="18" xfId="0" applyFont="1" applyBorder="1" applyAlignment="1">
      <alignment wrapText="1"/>
    </xf>
    <xf numFmtId="0" fontId="30" fillId="0" borderId="22" xfId="0" applyFont="1" applyBorder="1" applyAlignment="1">
      <alignment vertical="center" wrapText="1"/>
    </xf>
    <xf numFmtId="0" fontId="149" fillId="0" borderId="20" xfId="0" applyFont="1" applyBorder="1" applyAlignment="1">
      <alignment horizontal="left" vertical="center"/>
    </xf>
    <xf numFmtId="1" fontId="30" fillId="0" borderId="20" xfId="0" applyNumberFormat="1" applyFont="1" applyBorder="1" applyAlignment="1">
      <alignment horizontal="center" vertical="center" wrapText="1"/>
    </xf>
    <xf numFmtId="0" fontId="43" fillId="0" borderId="20" xfId="0" applyFont="1" applyBorder="1" applyAlignment="1">
      <alignment horizontal="left" vertical="top" wrapText="1"/>
    </xf>
    <xf numFmtId="14" fontId="43" fillId="13" borderId="21" xfId="0" applyNumberFormat="1" applyFont="1" applyFill="1" applyBorder="1" applyAlignment="1">
      <alignment horizontal="center" vertical="center" wrapText="1"/>
    </xf>
    <xf numFmtId="0" fontId="43" fillId="13" borderId="21" xfId="0" applyFont="1" applyFill="1" applyBorder="1" applyAlignment="1">
      <alignment horizontal="left" vertical="center" wrapText="1"/>
    </xf>
    <xf numFmtId="0" fontId="43" fillId="0" borderId="18" xfId="0" applyFont="1" applyBorder="1" applyAlignment="1">
      <alignment horizontal="center" vertical="center" wrapText="1"/>
    </xf>
    <xf numFmtId="0" fontId="30" fillId="13" borderId="8" xfId="0" applyFont="1" applyFill="1" applyBorder="1" applyAlignment="1">
      <alignment vertical="center" wrapText="1"/>
    </xf>
    <xf numFmtId="0" fontId="43" fillId="13" borderId="11" xfId="0" applyFont="1" applyFill="1" applyBorder="1" applyAlignment="1">
      <alignment wrapText="1"/>
    </xf>
    <xf numFmtId="0" fontId="30" fillId="13" borderId="8" xfId="0" applyFont="1" applyFill="1" applyBorder="1" applyAlignment="1">
      <alignment wrapText="1"/>
    </xf>
    <xf numFmtId="0" fontId="30" fillId="13" borderId="8" xfId="0" applyFont="1" applyFill="1" applyBorder="1" applyAlignment="1">
      <alignment horizontal="center" vertical="center" wrapText="1"/>
    </xf>
    <xf numFmtId="14" fontId="30" fillId="13" borderId="8" xfId="0" applyNumberFormat="1" applyFont="1" applyFill="1" applyBorder="1" applyAlignment="1">
      <alignment vertical="center"/>
    </xf>
    <xf numFmtId="0" fontId="30" fillId="13" borderId="11" xfId="0" applyFont="1" applyFill="1" applyBorder="1" applyAlignment="1">
      <alignment vertical="center"/>
    </xf>
    <xf numFmtId="14" fontId="30" fillId="13" borderId="11" xfId="0" applyNumberFormat="1" applyFont="1" applyFill="1" applyBorder="1" applyAlignment="1">
      <alignment horizontal="center" vertical="center"/>
    </xf>
    <xf numFmtId="1" fontId="30" fillId="13" borderId="11" xfId="0" applyNumberFormat="1" applyFont="1" applyFill="1" applyBorder="1" applyAlignment="1">
      <alignment horizontal="center" vertical="center" wrapText="1"/>
    </xf>
    <xf numFmtId="14" fontId="30" fillId="13" borderId="11" xfId="0" applyNumberFormat="1" applyFont="1" applyFill="1" applyBorder="1" applyAlignment="1">
      <alignment vertical="center"/>
    </xf>
    <xf numFmtId="0" fontId="30" fillId="13" borderId="11" xfId="0" applyFont="1" applyFill="1" applyBorder="1" applyAlignment="1">
      <alignment vertical="center" wrapText="1"/>
    </xf>
    <xf numFmtId="0" fontId="30" fillId="0" borderId="20" xfId="0" applyFont="1" applyBorder="1" applyAlignment="1">
      <alignment horizontal="left" vertical="center" wrapText="1"/>
    </xf>
    <xf numFmtId="14" fontId="30" fillId="0" borderId="15" xfId="0" applyNumberFormat="1" applyFont="1" applyBorder="1" applyAlignment="1">
      <alignment horizontal="center" vertical="center"/>
    </xf>
    <xf numFmtId="0" fontId="30" fillId="0" borderId="1" xfId="0" applyFont="1" applyBorder="1" applyAlignment="1">
      <alignment horizontal="center" vertical="top" wrapText="1"/>
    </xf>
    <xf numFmtId="0" fontId="43" fillId="0" borderId="7" xfId="0" applyFont="1" applyBorder="1" applyAlignment="1">
      <alignment horizontal="left" vertical="center"/>
    </xf>
    <xf numFmtId="0" fontId="30" fillId="13" borderId="1" xfId="0" applyFont="1" applyFill="1" applyBorder="1" applyAlignment="1">
      <alignment vertical="center"/>
    </xf>
    <xf numFmtId="0" fontId="30" fillId="0" borderId="13" xfId="0" applyFont="1" applyBorder="1" applyAlignment="1">
      <alignment horizontal="left" vertical="center" wrapText="1"/>
    </xf>
    <xf numFmtId="0" fontId="30" fillId="0" borderId="22" xfId="0" applyFont="1" applyBorder="1" applyAlignment="1">
      <alignment horizontal="left" vertical="center" wrapText="1"/>
    </xf>
    <xf numFmtId="14" fontId="30" fillId="0" borderId="2" xfId="0" applyNumberFormat="1" applyFont="1" applyBorder="1" applyAlignment="1">
      <alignment horizontal="center" vertical="center"/>
    </xf>
    <xf numFmtId="0" fontId="30" fillId="5" borderId="8" xfId="0" applyFont="1" applyFill="1" applyBorder="1" applyAlignment="1">
      <alignment wrapText="1"/>
    </xf>
    <xf numFmtId="0" fontId="30" fillId="0" borderId="14" xfId="0" applyFont="1" applyBorder="1" applyAlignment="1">
      <alignment horizontal="center" vertical="center"/>
    </xf>
    <xf numFmtId="14" fontId="30" fillId="0" borderId="14" xfId="0" applyNumberFormat="1" applyFont="1" applyBorder="1" applyAlignment="1">
      <alignment horizontal="center" vertical="center"/>
    </xf>
    <xf numFmtId="0" fontId="30" fillId="5" borderId="1" xfId="0" applyFont="1" applyFill="1" applyBorder="1" applyAlignment="1">
      <alignment horizontal="left" vertical="center" wrapText="1"/>
    </xf>
    <xf numFmtId="0" fontId="43" fillId="0" borderId="1" xfId="0" applyFont="1" applyBorder="1" applyAlignment="1">
      <alignment vertical="center"/>
    </xf>
    <xf numFmtId="14" fontId="43" fillId="0" borderId="7" xfId="0" applyNumberFormat="1" applyFont="1" applyBorder="1" applyAlignment="1">
      <alignment horizontal="center" vertical="center"/>
    </xf>
    <xf numFmtId="14" fontId="43" fillId="0" borderId="7" xfId="0" applyNumberFormat="1" applyFont="1" applyBorder="1" applyAlignment="1">
      <alignment horizontal="center" vertical="center" wrapText="1"/>
    </xf>
    <xf numFmtId="0" fontId="43" fillId="0" borderId="7" xfId="0" applyFont="1" applyBorder="1" applyAlignment="1">
      <alignment horizontal="center" vertical="top" wrapText="1"/>
    </xf>
    <xf numFmtId="0" fontId="43" fillId="13" borderId="8" xfId="0" applyFont="1" applyFill="1" applyBorder="1" applyAlignment="1">
      <alignment horizontal="center" vertical="center"/>
    </xf>
    <xf numFmtId="0" fontId="43" fillId="13" borderId="8" xfId="0" applyFont="1" applyFill="1" applyBorder="1" applyAlignment="1">
      <alignment horizontal="left" vertical="center" wrapText="1"/>
    </xf>
    <xf numFmtId="0" fontId="30" fillId="13" borderId="11" xfId="0" applyFont="1" applyFill="1" applyBorder="1" applyAlignment="1">
      <alignment horizontal="left" vertical="center"/>
    </xf>
    <xf numFmtId="14" fontId="30" fillId="13" borderId="8" xfId="0" applyNumberFormat="1" applyFont="1" applyFill="1" applyBorder="1" applyAlignment="1">
      <alignment horizontal="center" vertical="center"/>
    </xf>
    <xf numFmtId="1" fontId="30" fillId="13" borderId="8" xfId="0" applyNumberFormat="1" applyFont="1" applyFill="1" applyBorder="1" applyAlignment="1">
      <alignment horizontal="center" vertical="center" wrapText="1"/>
    </xf>
    <xf numFmtId="0" fontId="30" fillId="13" borderId="8" xfId="0" applyFont="1" applyFill="1" applyBorder="1" applyAlignment="1">
      <alignment horizontal="left" vertical="top" wrapText="1"/>
    </xf>
    <xf numFmtId="0" fontId="43" fillId="13" borderId="1" xfId="0" applyFont="1" applyFill="1" applyBorder="1" applyAlignment="1">
      <alignment horizontal="left" vertical="top" wrapText="1"/>
    </xf>
    <xf numFmtId="0" fontId="30" fillId="13" borderId="8" xfId="0" applyFont="1" applyFill="1" applyBorder="1" applyAlignment="1">
      <alignment horizontal="center" vertical="center"/>
    </xf>
    <xf numFmtId="14" fontId="43" fillId="13" borderId="8" xfId="0" applyNumberFormat="1" applyFont="1" applyFill="1" applyBorder="1" applyAlignment="1">
      <alignment horizontal="center" vertical="center"/>
    </xf>
    <xf numFmtId="0" fontId="43" fillId="13" borderId="8" xfId="0" applyFont="1" applyFill="1" applyBorder="1" applyAlignment="1">
      <alignment horizontal="left" vertical="top" wrapText="1"/>
    </xf>
    <xf numFmtId="14" fontId="30" fillId="0" borderId="1" xfId="0" applyNumberFormat="1" applyFont="1" applyBorder="1" applyAlignment="1">
      <alignment horizontal="center"/>
    </xf>
    <xf numFmtId="0" fontId="89" fillId="0" borderId="1" xfId="0" applyFont="1" applyBorder="1"/>
    <xf numFmtId="14" fontId="89" fillId="0" borderId="1" xfId="0" applyNumberFormat="1" applyFont="1" applyBorder="1"/>
    <xf numFmtId="0" fontId="43" fillId="14" borderId="1" xfId="0" applyFont="1" applyFill="1" applyBorder="1" applyAlignment="1">
      <alignment horizontal="left" vertical="center" wrapText="1"/>
    </xf>
    <xf numFmtId="0" fontId="43" fillId="14" borderId="1" xfId="0" applyFont="1" applyFill="1" applyBorder="1" applyAlignment="1">
      <alignment horizontal="center" vertical="center" wrapText="1"/>
    </xf>
    <xf numFmtId="14" fontId="43" fillId="14" borderId="1" xfId="0" applyNumberFormat="1" applyFont="1" applyFill="1" applyBorder="1" applyAlignment="1">
      <alignment horizontal="center" vertical="center"/>
    </xf>
    <xf numFmtId="0" fontId="43" fillId="14" borderId="1" xfId="0" applyFont="1" applyFill="1" applyBorder="1" applyAlignment="1">
      <alignment horizontal="left" vertical="top" wrapText="1"/>
    </xf>
    <xf numFmtId="0" fontId="30" fillId="14" borderId="10" xfId="0" applyFont="1" applyFill="1" applyBorder="1" applyAlignment="1">
      <alignment horizontal="left" vertical="center"/>
    </xf>
    <xf numFmtId="0" fontId="30" fillId="14" borderId="10" xfId="0" applyFont="1" applyFill="1" applyBorder="1" applyAlignment="1">
      <alignment horizontal="center" vertical="center"/>
    </xf>
    <xf numFmtId="0" fontId="89" fillId="14" borderId="10" xfId="0" applyFont="1" applyFill="1" applyBorder="1"/>
    <xf numFmtId="0" fontId="43" fillId="4"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1" fontId="30" fillId="4" borderId="1" xfId="0" applyNumberFormat="1" applyFont="1" applyFill="1" applyBorder="1" applyAlignment="1">
      <alignment horizontal="center" vertical="center" wrapText="1"/>
    </xf>
    <xf numFmtId="14" fontId="43" fillId="0" borderId="1" xfId="0" applyNumberFormat="1" applyFont="1" applyBorder="1" applyAlignment="1">
      <alignment horizontal="center" vertical="center"/>
    </xf>
    <xf numFmtId="0" fontId="43" fillId="4" borderId="8" xfId="0" applyFont="1" applyFill="1" applyBorder="1" applyAlignment="1">
      <alignment vertical="center" wrapText="1"/>
    </xf>
    <xf numFmtId="0" fontId="43" fillId="4" borderId="1" xfId="0" applyFont="1" applyFill="1" applyBorder="1" applyAlignment="1">
      <alignment horizontal="center" vertical="center" wrapText="1"/>
    </xf>
    <xf numFmtId="0" fontId="30" fillId="4" borderId="1" xfId="0" applyFont="1" applyFill="1" applyBorder="1" applyAlignment="1">
      <alignment horizontal="center" vertical="center"/>
    </xf>
    <xf numFmtId="14" fontId="30" fillId="4" borderId="1" xfId="0" applyNumberFormat="1" applyFont="1" applyFill="1" applyBorder="1" applyAlignment="1">
      <alignment horizontal="center" vertical="center"/>
    </xf>
    <xf numFmtId="14" fontId="30" fillId="4" borderId="1" xfId="0" applyNumberFormat="1" applyFont="1" applyFill="1" applyBorder="1" applyAlignment="1">
      <alignment horizontal="center" vertical="center" wrapText="1"/>
    </xf>
    <xf numFmtId="14" fontId="43" fillId="4" borderId="1" xfId="0" applyNumberFormat="1" applyFont="1" applyFill="1" applyBorder="1" applyAlignment="1">
      <alignment horizontal="center" vertical="center"/>
    </xf>
    <xf numFmtId="0" fontId="43" fillId="4" borderId="1" xfId="0" applyFont="1" applyFill="1" applyBorder="1" applyAlignment="1">
      <alignment horizontal="left" vertical="top" wrapText="1"/>
    </xf>
    <xf numFmtId="0" fontId="30" fillId="13" borderId="8" xfId="0" applyFont="1" applyFill="1" applyBorder="1" applyAlignment="1">
      <alignment horizontal="left" vertical="center"/>
    </xf>
    <xf numFmtId="0" fontId="43" fillId="4" borderId="1" xfId="0" applyFont="1" applyFill="1" applyBorder="1" applyAlignment="1">
      <alignment vertical="center" wrapText="1"/>
    </xf>
    <xf numFmtId="0" fontId="30" fillId="4" borderId="1" xfId="0" applyFont="1" applyFill="1" applyBorder="1" applyAlignment="1">
      <alignment horizontal="center" vertical="center" wrapText="1"/>
    </xf>
    <xf numFmtId="14" fontId="43" fillId="4" borderId="9" xfId="0" applyNumberFormat="1" applyFont="1" applyFill="1" applyBorder="1" applyAlignment="1">
      <alignment horizontal="center" vertical="center"/>
    </xf>
    <xf numFmtId="0" fontId="43" fillId="0" borderId="18" xfId="0" applyFont="1" applyBorder="1" applyAlignment="1">
      <alignment vertical="center"/>
    </xf>
    <xf numFmtId="0" fontId="30" fillId="13" borderId="25"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8" xfId="0" applyFont="1" applyFill="1" applyBorder="1" applyAlignment="1">
      <alignment horizontal="center" vertical="center" wrapText="1"/>
    </xf>
    <xf numFmtId="0" fontId="30" fillId="4" borderId="8" xfId="0" applyFont="1" applyFill="1" applyBorder="1" applyAlignment="1">
      <alignment horizontal="center" vertical="center" wrapText="1"/>
    </xf>
    <xf numFmtId="14" fontId="30" fillId="4" borderId="8" xfId="0" applyNumberFormat="1" applyFont="1" applyFill="1" applyBorder="1" applyAlignment="1">
      <alignment horizontal="center" vertical="center"/>
    </xf>
    <xf numFmtId="0" fontId="43" fillId="13" borderId="1" xfId="0" applyFont="1" applyFill="1" applyBorder="1" applyAlignment="1">
      <alignment horizontal="left" vertical="center"/>
    </xf>
    <xf numFmtId="14" fontId="30" fillId="13" borderId="9" xfId="0" applyNumberFormat="1" applyFont="1" applyFill="1" applyBorder="1" applyAlignment="1">
      <alignment horizontal="center" vertical="center"/>
    </xf>
    <xf numFmtId="14" fontId="30" fillId="13" borderId="1" xfId="0" applyNumberFormat="1" applyFont="1" applyFill="1" applyBorder="1" applyAlignment="1">
      <alignment horizontal="left" vertical="top" wrapText="1"/>
    </xf>
    <xf numFmtId="0" fontId="43" fillId="0" borderId="13" xfId="0" applyFont="1" applyBorder="1" applyAlignment="1">
      <alignment horizontal="center" vertical="center" wrapText="1"/>
    </xf>
    <xf numFmtId="0" fontId="89" fillId="5" borderId="1" xfId="0" applyFont="1" applyFill="1" applyBorder="1" applyAlignment="1">
      <alignment wrapText="1"/>
    </xf>
    <xf numFmtId="14" fontId="89" fillId="0" borderId="1" xfId="0" applyNumberFormat="1" applyFont="1" applyBorder="1" applyAlignment="1">
      <alignment horizontal="center"/>
    </xf>
    <xf numFmtId="0" fontId="89" fillId="0" borderId="1" xfId="0" applyFont="1" applyBorder="1" applyAlignment="1">
      <alignment vertical="top" wrapText="1"/>
    </xf>
    <xf numFmtId="0" fontId="43" fillId="13" borderId="25" xfId="0" applyFont="1" applyFill="1" applyBorder="1" applyAlignment="1">
      <alignment horizontal="center" vertical="center" wrapText="1"/>
    </xf>
    <xf numFmtId="14" fontId="43" fillId="13" borderId="8" xfId="0" applyNumberFormat="1" applyFont="1" applyFill="1" applyBorder="1" applyAlignment="1">
      <alignment horizontal="left" vertical="top" wrapText="1"/>
    </xf>
    <xf numFmtId="0" fontId="43" fillId="13" borderId="25" xfId="0" applyFont="1" applyFill="1" applyBorder="1" applyAlignment="1">
      <alignment horizontal="center" vertical="center"/>
    </xf>
    <xf numFmtId="0" fontId="43" fillId="13" borderId="26" xfId="0" applyFont="1" applyFill="1" applyBorder="1" applyAlignment="1">
      <alignment horizontal="left" vertical="center" wrapText="1"/>
    </xf>
    <xf numFmtId="1" fontId="30" fillId="13" borderId="12" xfId="0" applyNumberFormat="1" applyFont="1" applyFill="1" applyBorder="1" applyAlignment="1">
      <alignment horizontal="center" vertical="center" wrapText="1"/>
    </xf>
    <xf numFmtId="14" fontId="30" fillId="13" borderId="12" xfId="0" applyNumberFormat="1" applyFont="1" applyFill="1" applyBorder="1" applyAlignment="1">
      <alignment horizontal="left" vertical="top" wrapText="1"/>
    </xf>
    <xf numFmtId="0" fontId="43" fillId="5" borderId="1" xfId="0" applyFont="1" applyFill="1" applyBorder="1" applyAlignment="1">
      <alignment vertical="center"/>
    </xf>
    <xf numFmtId="0" fontId="30" fillId="4" borderId="10" xfId="0" applyFont="1" applyFill="1" applyBorder="1" applyAlignment="1">
      <alignment horizontal="center" vertical="center"/>
    </xf>
    <xf numFmtId="0" fontId="89" fillId="4" borderId="10" xfId="0" applyFont="1" applyFill="1" applyBorder="1"/>
    <xf numFmtId="0" fontId="43" fillId="5" borderId="8" xfId="0" applyFont="1" applyFill="1" applyBorder="1" applyAlignment="1">
      <alignment horizontal="left" vertical="center"/>
    </xf>
    <xf numFmtId="0" fontId="30" fillId="13" borderId="8" xfId="0" applyFont="1" applyFill="1" applyBorder="1" applyAlignment="1">
      <alignment horizontal="left" vertical="center" wrapText="1"/>
    </xf>
    <xf numFmtId="14" fontId="30" fillId="13" borderId="25" xfId="0" applyNumberFormat="1" applyFont="1" applyFill="1" applyBorder="1" applyAlignment="1">
      <alignment horizontal="center" vertical="center"/>
    </xf>
    <xf numFmtId="0" fontId="30" fillId="5" borderId="8" xfId="0" applyFont="1" applyFill="1" applyBorder="1" applyAlignment="1">
      <alignment vertical="center" wrapText="1"/>
    </xf>
    <xf numFmtId="0" fontId="30" fillId="5" borderId="8" xfId="0" applyFont="1" applyFill="1" applyBorder="1" applyAlignment="1">
      <alignment vertical="top" wrapText="1"/>
    </xf>
    <xf numFmtId="0" fontId="30" fillId="0" borderId="7" xfId="0" applyFont="1" applyBorder="1" applyAlignment="1">
      <alignment vertical="center" wrapText="1"/>
    </xf>
    <xf numFmtId="0" fontId="43" fillId="13" borderId="27" xfId="0" applyFont="1" applyFill="1" applyBorder="1" applyAlignment="1">
      <alignment horizontal="center" vertical="center" wrapText="1"/>
    </xf>
    <xf numFmtId="0" fontId="30" fillId="13" borderId="12" xfId="0" applyFont="1" applyFill="1" applyBorder="1" applyAlignment="1">
      <alignment horizontal="left" vertical="center" wrapText="1"/>
    </xf>
    <xf numFmtId="0" fontId="43" fillId="13" borderId="12" xfId="0" applyFont="1" applyFill="1" applyBorder="1" applyAlignment="1">
      <alignment horizontal="center" vertical="center"/>
    </xf>
    <xf numFmtId="0" fontId="30" fillId="13" borderId="21" xfId="0" applyFont="1" applyFill="1" applyBorder="1" applyAlignment="1">
      <alignment horizontal="center" vertical="center" wrapText="1"/>
    </xf>
    <xf numFmtId="0" fontId="30" fillId="0" borderId="7" xfId="0" applyFont="1" applyBorder="1" applyAlignment="1">
      <alignment vertical="top" wrapText="1"/>
    </xf>
    <xf numFmtId="14" fontId="43" fillId="0" borderId="1" xfId="0" applyNumberFormat="1" applyFont="1" applyBorder="1" applyAlignment="1">
      <alignment horizontal="left" vertical="top" wrapText="1"/>
    </xf>
    <xf numFmtId="0" fontId="150" fillId="13" borderId="1" xfId="0" applyFont="1" applyFill="1" applyBorder="1" applyAlignment="1">
      <alignment vertical="center"/>
    </xf>
    <xf numFmtId="0" fontId="89" fillId="13" borderId="1" xfId="0" applyFont="1" applyFill="1" applyBorder="1" applyAlignment="1">
      <alignment vertical="center"/>
    </xf>
    <xf numFmtId="0" fontId="89" fillId="13" borderId="1" xfId="0" applyFont="1" applyFill="1" applyBorder="1" applyAlignment="1">
      <alignment horizontal="center" vertical="center"/>
    </xf>
    <xf numFmtId="14" fontId="89" fillId="13" borderId="1" xfId="0" applyNumberFormat="1" applyFont="1" applyFill="1" applyBorder="1" applyAlignment="1">
      <alignment vertical="center"/>
    </xf>
    <xf numFmtId="0" fontId="89" fillId="13" borderId="1" xfId="0" applyFont="1" applyFill="1" applyBorder="1" applyAlignment="1">
      <alignment vertical="center" wrapText="1"/>
    </xf>
    <xf numFmtId="0" fontId="43" fillId="13" borderId="1" xfId="0" applyFont="1" applyFill="1" applyBorder="1" applyAlignment="1">
      <alignment vertical="top" wrapText="1"/>
    </xf>
    <xf numFmtId="0" fontId="16" fillId="0" borderId="2" xfId="0" applyFont="1" applyBorder="1" applyAlignment="1">
      <alignment vertical="top" wrapText="1"/>
    </xf>
    <xf numFmtId="0" fontId="43" fillId="13" borderId="1" xfId="0" applyFont="1" applyFill="1" applyBorder="1" applyAlignment="1">
      <alignment vertical="center"/>
    </xf>
    <xf numFmtId="0" fontId="30" fillId="13" borderId="8" xfId="0" applyFont="1" applyFill="1" applyBorder="1" applyAlignment="1">
      <alignment vertical="center"/>
    </xf>
    <xf numFmtId="0" fontId="30" fillId="13" borderId="8" xfId="0" applyFont="1" applyFill="1" applyBorder="1" applyAlignment="1">
      <alignment vertical="top" wrapText="1"/>
    </xf>
    <xf numFmtId="14" fontId="30" fillId="13" borderId="10" xfId="0" applyNumberFormat="1" applyFont="1" applyFill="1" applyBorder="1" applyAlignment="1">
      <alignment horizontal="center" vertical="center"/>
    </xf>
    <xf numFmtId="0" fontId="30" fillId="13" borderId="1" xfId="0" applyFont="1" applyFill="1" applyBorder="1" applyAlignment="1">
      <alignment vertical="top" wrapText="1"/>
    </xf>
    <xf numFmtId="14" fontId="30" fillId="13" borderId="1" xfId="0" applyNumberFormat="1" applyFont="1" applyFill="1" applyBorder="1" applyAlignment="1">
      <alignment vertical="top" wrapText="1"/>
    </xf>
    <xf numFmtId="0" fontId="30" fillId="13" borderId="28" xfId="0" applyFont="1" applyFill="1" applyBorder="1" applyAlignment="1">
      <alignment horizontal="center" vertical="center" wrapText="1"/>
    </xf>
    <xf numFmtId="0" fontId="30" fillId="5" borderId="12" xfId="0" applyFont="1" applyFill="1" applyBorder="1" applyAlignment="1">
      <alignment horizontal="left" vertical="center"/>
    </xf>
    <xf numFmtId="0" fontId="30" fillId="5" borderId="8" xfId="0" applyFont="1" applyFill="1" applyBorder="1" applyAlignment="1">
      <alignment horizontal="left" vertical="center"/>
    </xf>
    <xf numFmtId="14" fontId="30" fillId="0" borderId="1" xfId="0" applyNumberFormat="1" applyFont="1" applyBorder="1" applyAlignment="1">
      <alignment vertical="center" wrapText="1"/>
    </xf>
    <xf numFmtId="0" fontId="30" fillId="5" borderId="1" xfId="0" applyFont="1" applyFill="1" applyBorder="1" applyAlignment="1">
      <alignment vertical="center"/>
    </xf>
    <xf numFmtId="0" fontId="89" fillId="0" borderId="0" xfId="0" applyFont="1" applyAlignment="1">
      <alignment wrapText="1"/>
    </xf>
    <xf numFmtId="0" fontId="89" fillId="0" borderId="1" xfId="0" applyFont="1" applyBorder="1" applyAlignment="1">
      <alignment horizontal="left" vertical="center" wrapText="1"/>
    </xf>
    <xf numFmtId="0" fontId="151" fillId="0" borderId="1" xfId="0" applyFont="1" applyBorder="1" applyAlignment="1">
      <alignment horizontal="left" vertical="center" wrapText="1"/>
    </xf>
    <xf numFmtId="0" fontId="43" fillId="5" borderId="10" xfId="0" applyFont="1" applyFill="1" applyBorder="1" applyAlignment="1">
      <alignment horizontal="left" vertical="center" wrapText="1"/>
    </xf>
    <xf numFmtId="14" fontId="30" fillId="13" borderId="1" xfId="0" applyNumberFormat="1" applyFont="1" applyFill="1" applyBorder="1" applyAlignment="1">
      <alignment horizontal="left" vertical="center" wrapText="1"/>
    </xf>
    <xf numFmtId="14" fontId="30" fillId="13" borderId="1" xfId="0" applyNumberFormat="1" applyFont="1" applyFill="1" applyBorder="1"/>
    <xf numFmtId="0" fontId="43" fillId="14" borderId="12" xfId="0" applyFont="1" applyFill="1" applyBorder="1" applyAlignment="1">
      <alignment horizontal="center" vertical="center"/>
    </xf>
    <xf numFmtId="0" fontId="43" fillId="5" borderId="12" xfId="0" applyFont="1" applyFill="1" applyBorder="1" applyAlignment="1">
      <alignment horizontal="left" vertical="center" wrapText="1"/>
    </xf>
    <xf numFmtId="0" fontId="30" fillId="14" borderId="12" xfId="0" applyFont="1" applyFill="1" applyBorder="1" applyAlignment="1">
      <alignment horizontal="left" vertical="center"/>
    </xf>
    <xf numFmtId="0" fontId="30" fillId="14" borderId="12" xfId="0" applyFont="1" applyFill="1" applyBorder="1" applyAlignment="1">
      <alignment horizontal="center" vertical="center"/>
    </xf>
    <xf numFmtId="14" fontId="30" fillId="14" borderId="12" xfId="0" applyNumberFormat="1" applyFont="1" applyFill="1" applyBorder="1" applyAlignment="1">
      <alignment horizontal="center" vertical="center"/>
    </xf>
    <xf numFmtId="1" fontId="30" fillId="14" borderId="12" xfId="0" applyNumberFormat="1" applyFont="1" applyFill="1" applyBorder="1" applyAlignment="1">
      <alignment horizontal="center" vertical="center" wrapText="1"/>
    </xf>
    <xf numFmtId="0" fontId="30" fillId="14" borderId="12" xfId="0" applyFont="1" applyFill="1" applyBorder="1" applyAlignment="1">
      <alignment horizontal="left" vertical="top" wrapText="1"/>
    </xf>
    <xf numFmtId="0" fontId="43" fillId="0" borderId="13" xfId="0" applyFont="1" applyBorder="1" applyAlignment="1">
      <alignment horizontal="center" vertical="center"/>
    </xf>
    <xf numFmtId="14" fontId="30" fillId="0" borderId="13" xfId="0" applyNumberFormat="1" applyFont="1" applyBorder="1" applyAlignment="1">
      <alignment horizontal="left" vertical="top" wrapText="1"/>
    </xf>
    <xf numFmtId="0" fontId="43" fillId="0" borderId="13" xfId="0" applyFont="1" applyBorder="1" applyAlignment="1">
      <alignment horizontal="left" vertical="center"/>
    </xf>
    <xf numFmtId="0" fontId="43" fillId="0" borderId="1" xfId="0" applyFont="1" applyBorder="1" applyAlignment="1">
      <alignment horizontal="left" vertical="center"/>
    </xf>
    <xf numFmtId="0" fontId="30" fillId="5" borderId="28" xfId="0" applyFont="1" applyFill="1" applyBorder="1" applyAlignment="1">
      <alignment wrapText="1"/>
    </xf>
    <xf numFmtId="0" fontId="30" fillId="0" borderId="22" xfId="0" applyFont="1" applyBorder="1" applyAlignment="1">
      <alignment wrapText="1"/>
    </xf>
    <xf numFmtId="0" fontId="43" fillId="13" borderId="8" xfId="0" applyFont="1" applyFill="1" applyBorder="1" applyAlignment="1">
      <alignment vertical="center"/>
    </xf>
    <xf numFmtId="0" fontId="30" fillId="13" borderId="12" xfId="0" applyFont="1" applyFill="1" applyBorder="1" applyAlignment="1">
      <alignment horizontal="left" vertical="center"/>
    </xf>
    <xf numFmtId="0" fontId="43" fillId="13" borderId="10" xfId="0" applyFont="1" applyFill="1" applyBorder="1" applyAlignment="1">
      <alignment horizontal="center" vertical="center"/>
    </xf>
    <xf numFmtId="0" fontId="30" fillId="5" borderId="12" xfId="0" applyFont="1" applyFill="1" applyBorder="1" applyAlignment="1">
      <alignment horizontal="left" vertical="center" wrapText="1"/>
    </xf>
    <xf numFmtId="0" fontId="30" fillId="13" borderId="11" xfId="0" applyFont="1" applyFill="1" applyBorder="1" applyAlignment="1">
      <alignment horizontal="center" vertical="center"/>
    </xf>
    <xf numFmtId="0" fontId="30" fillId="5" borderId="26" xfId="0" applyFont="1" applyFill="1" applyBorder="1" applyAlignment="1">
      <alignment horizontal="left" vertical="center" wrapText="1"/>
    </xf>
    <xf numFmtId="0" fontId="30" fillId="13" borderId="12" xfId="0" applyFont="1" applyFill="1" applyBorder="1" applyAlignment="1">
      <alignment horizontal="center" vertical="center" wrapText="1"/>
    </xf>
    <xf numFmtId="0" fontId="43" fillId="5" borderId="26" xfId="0" applyFont="1" applyFill="1" applyBorder="1" applyAlignment="1">
      <alignment horizontal="left" vertical="center" wrapText="1"/>
    </xf>
    <xf numFmtId="0" fontId="43" fillId="5" borderId="27" xfId="0" applyFont="1" applyFill="1" applyBorder="1" applyAlignment="1">
      <alignment horizontal="left" vertical="center" wrapText="1"/>
    </xf>
    <xf numFmtId="14" fontId="30" fillId="13" borderId="29" xfId="0" applyNumberFormat="1" applyFont="1" applyFill="1" applyBorder="1" applyAlignment="1">
      <alignment horizontal="center" vertical="center"/>
    </xf>
    <xf numFmtId="14" fontId="30" fillId="13" borderId="11" xfId="0" applyNumberFormat="1" applyFont="1" applyFill="1" applyBorder="1" applyAlignment="1">
      <alignment horizontal="left" vertical="top" wrapText="1"/>
    </xf>
    <xf numFmtId="0" fontId="43" fillId="13" borderId="30" xfId="0" applyFont="1" applyFill="1" applyBorder="1" applyAlignment="1">
      <alignment horizontal="center" vertical="center"/>
    </xf>
    <xf numFmtId="1" fontId="30" fillId="17" borderId="1" xfId="0" applyNumberFormat="1" applyFont="1" applyFill="1" applyBorder="1" applyAlignment="1">
      <alignment horizontal="center" vertical="center" wrapText="1"/>
    </xf>
    <xf numFmtId="14" fontId="30" fillId="13" borderId="1" xfId="0" applyNumberFormat="1" applyFont="1" applyFill="1" applyBorder="1" applyAlignment="1">
      <alignment wrapText="1"/>
    </xf>
    <xf numFmtId="0" fontId="30" fillId="13" borderId="1" xfId="0" applyFont="1" applyFill="1" applyBorder="1" applyAlignment="1">
      <alignment vertical="top"/>
    </xf>
    <xf numFmtId="0" fontId="89" fillId="0" borderId="20" xfId="0" applyFont="1" applyBorder="1" applyAlignment="1">
      <alignment horizontal="left" vertical="center" wrapText="1"/>
    </xf>
    <xf numFmtId="0" fontId="30" fillId="0" borderId="20" xfId="0" applyFont="1" applyBorder="1" applyAlignment="1">
      <alignment horizontal="left" vertical="center"/>
    </xf>
    <xf numFmtId="14" fontId="43" fillId="13" borderId="1" xfId="0" applyNumberFormat="1" applyFont="1" applyFill="1" applyBorder="1" applyAlignment="1">
      <alignment horizontal="left" vertical="top" wrapText="1"/>
    </xf>
    <xf numFmtId="0" fontId="89" fillId="0" borderId="0" xfId="0" applyFont="1" applyAlignment="1">
      <alignment horizontal="center"/>
    </xf>
    <xf numFmtId="0" fontId="43" fillId="0" borderId="20" xfId="0" applyFont="1" applyBorder="1" applyAlignment="1">
      <alignment horizontal="center" vertical="center"/>
    </xf>
    <xf numFmtId="0" fontId="89" fillId="0" borderId="13" xfId="0" applyFont="1" applyBorder="1" applyAlignment="1">
      <alignment horizontal="left" vertical="center" wrapText="1"/>
    </xf>
    <xf numFmtId="0" fontId="30" fillId="5" borderId="1" xfId="0" applyFont="1" applyFill="1" applyBorder="1" applyAlignment="1">
      <alignment vertical="top" wrapText="1"/>
    </xf>
    <xf numFmtId="14" fontId="30" fillId="13" borderId="1" xfId="0" applyNumberFormat="1" applyFont="1" applyFill="1" applyBorder="1" applyAlignment="1">
      <alignment horizontal="center" vertical="center" wrapText="1"/>
    </xf>
    <xf numFmtId="0" fontId="30" fillId="5" borderId="1" xfId="0" applyFont="1" applyFill="1" applyBorder="1"/>
    <xf numFmtId="0" fontId="89" fillId="0" borderId="1" xfId="0" applyFont="1" applyBorder="1" applyAlignment="1">
      <alignment vertical="center" wrapText="1"/>
    </xf>
    <xf numFmtId="0" fontId="89" fillId="5" borderId="1" xfId="0" applyFont="1" applyFill="1" applyBorder="1" applyAlignment="1">
      <alignment vertical="center"/>
    </xf>
    <xf numFmtId="0" fontId="150" fillId="13" borderId="1" xfId="0" applyFont="1" applyFill="1" applyBorder="1" applyAlignment="1">
      <alignment vertical="center" wrapText="1"/>
    </xf>
    <xf numFmtId="14" fontId="89" fillId="13" borderId="1" xfId="0" applyNumberFormat="1" applyFont="1" applyFill="1" applyBorder="1" applyAlignment="1">
      <alignment vertical="center" wrapText="1"/>
    </xf>
    <xf numFmtId="0" fontId="89" fillId="5" borderId="1" xfId="0" applyFont="1" applyFill="1" applyBorder="1" applyAlignment="1">
      <alignment horizontal="center" vertical="center"/>
    </xf>
    <xf numFmtId="14" fontId="89" fillId="0" borderId="1" xfId="0" applyNumberFormat="1" applyFont="1" applyBorder="1" applyAlignment="1">
      <alignment horizontal="center" vertical="center"/>
    </xf>
    <xf numFmtId="0" fontId="89" fillId="0" borderId="1" xfId="0" applyFont="1" applyBorder="1" applyAlignment="1">
      <alignment horizontal="center" vertical="center"/>
    </xf>
    <xf numFmtId="0" fontId="89" fillId="0" borderId="0" xfId="0" applyFont="1" applyAlignment="1">
      <alignment horizontal="center" vertical="center"/>
    </xf>
    <xf numFmtId="0" fontId="30" fillId="5" borderId="1" xfId="0" applyFont="1" applyFill="1" applyBorder="1" applyAlignment="1">
      <alignment horizontal="left" vertical="center"/>
    </xf>
    <xf numFmtId="0" fontId="89" fillId="0" borderId="1" xfId="0" applyFont="1" applyBorder="1" applyAlignment="1">
      <alignment horizontal="center" wrapText="1"/>
    </xf>
    <xf numFmtId="0" fontId="89" fillId="0" borderId="1" xfId="0" applyFont="1" applyBorder="1" applyAlignment="1">
      <alignment wrapText="1"/>
    </xf>
    <xf numFmtId="0" fontId="30" fillId="13" borderId="1" xfId="0" applyFont="1" applyFill="1" applyBorder="1" applyAlignment="1">
      <alignment horizontal="left" vertical="top"/>
    </xf>
    <xf numFmtId="0" fontId="43" fillId="0" borderId="1" xfId="0" applyFont="1" applyBorder="1" applyAlignment="1">
      <alignment vertical="top" wrapText="1"/>
    </xf>
    <xf numFmtId="0" fontId="153" fillId="0" borderId="0" xfId="0" applyFont="1"/>
    <xf numFmtId="0" fontId="30" fillId="0" borderId="1" xfId="0" applyFont="1" applyBorder="1" applyAlignment="1">
      <alignment horizontal="center"/>
    </xf>
    <xf numFmtId="0" fontId="43" fillId="0" borderId="1" xfId="0" applyFont="1" applyBorder="1" applyAlignment="1">
      <alignment horizontal="center" vertical="top" wrapText="1"/>
    </xf>
    <xf numFmtId="0" fontId="43" fillId="5" borderId="1" xfId="0" applyFont="1" applyFill="1" applyBorder="1" applyAlignment="1">
      <alignment vertical="top" wrapText="1"/>
    </xf>
    <xf numFmtId="0" fontId="89" fillId="5" borderId="10" xfId="0" applyFont="1" applyFill="1" applyBorder="1"/>
    <xf numFmtId="14" fontId="89" fillId="0" borderId="0" xfId="0" applyNumberFormat="1" applyFont="1"/>
    <xf numFmtId="14" fontId="30" fillId="13" borderId="1" xfId="0" applyNumberFormat="1" applyFont="1" applyFill="1" applyBorder="1" applyAlignment="1">
      <alignment horizontal="left" vertical="center"/>
    </xf>
    <xf numFmtId="14" fontId="154" fillId="13" borderId="1" xfId="0" applyNumberFormat="1" applyFont="1" applyFill="1" applyBorder="1" applyAlignment="1">
      <alignment horizontal="left" vertical="top"/>
    </xf>
    <xf numFmtId="0" fontId="150" fillId="0" borderId="1" xfId="0" applyFont="1" applyBorder="1" applyAlignment="1">
      <alignment vertical="center" wrapText="1"/>
    </xf>
    <xf numFmtId="0" fontId="89" fillId="13" borderId="1" xfId="0" applyFont="1" applyFill="1" applyBorder="1" applyAlignment="1">
      <alignment horizontal="center" vertical="center" wrapText="1"/>
    </xf>
    <xf numFmtId="14" fontId="89" fillId="13" borderId="1" xfId="0" applyNumberFormat="1" applyFont="1" applyFill="1" applyBorder="1" applyAlignment="1">
      <alignment vertical="center"/>
    </xf>
    <xf numFmtId="0" fontId="89" fillId="13" borderId="1" xfId="0" applyFont="1" applyFill="1" applyBorder="1" applyAlignment="1">
      <alignment vertical="top"/>
    </xf>
    <xf numFmtId="0" fontId="150" fillId="5" borderId="10" xfId="0" applyFont="1" applyFill="1" applyBorder="1"/>
    <xf numFmtId="0" fontId="30" fillId="13" borderId="1" xfId="0" applyFont="1" applyFill="1" applyBorder="1" applyAlignment="1">
      <alignment horizontal="center" vertical="center" wrapText="1"/>
    </xf>
    <xf numFmtId="0" fontId="43" fillId="13" borderId="10" xfId="0" applyFont="1" applyFill="1" applyBorder="1" applyAlignment="1">
      <alignment horizontal="left" vertical="center" wrapText="1"/>
    </xf>
    <xf numFmtId="0" fontId="30" fillId="5" borderId="10" xfId="0" applyFont="1" applyFill="1" applyBorder="1" applyAlignment="1">
      <alignment horizontal="left" vertical="center"/>
    </xf>
    <xf numFmtId="0" fontId="30" fillId="13" borderId="10" xfId="0" applyFont="1" applyFill="1" applyBorder="1" applyAlignment="1">
      <alignment horizontal="left" vertical="top"/>
    </xf>
    <xf numFmtId="0" fontId="89" fillId="5" borderId="1" xfId="0" applyFont="1" applyFill="1" applyBorder="1"/>
    <xf numFmtId="0" fontId="43" fillId="0" borderId="7" xfId="0" applyFont="1" applyBorder="1" applyAlignment="1">
      <alignment vertical="top"/>
    </xf>
    <xf numFmtId="0" fontId="30" fillId="5" borderId="8" xfId="0" applyFont="1" applyFill="1" applyBorder="1"/>
    <xf numFmtId="14" fontId="30" fillId="0" borderId="7" xfId="0" applyNumberFormat="1" applyFont="1" applyBorder="1" applyAlignment="1">
      <alignment horizontal="center"/>
    </xf>
    <xf numFmtId="1" fontId="30" fillId="13" borderId="8" xfId="0" applyNumberFormat="1" applyFont="1" applyFill="1" applyBorder="1" applyAlignment="1">
      <alignment horizontal="center" vertical="center"/>
    </xf>
    <xf numFmtId="0" fontId="43" fillId="13" borderId="10" xfId="0" applyFont="1" applyFill="1" applyBorder="1" applyAlignment="1">
      <alignment horizontal="center" vertical="center" wrapText="1"/>
    </xf>
    <xf numFmtId="0" fontId="43" fillId="0" borderId="7" xfId="0" applyFont="1" applyBorder="1" applyAlignment="1">
      <alignment vertical="top" wrapText="1"/>
    </xf>
    <xf numFmtId="14" fontId="30" fillId="13" borderId="1" xfId="0" applyNumberFormat="1" applyFont="1" applyFill="1" applyBorder="1" applyAlignment="1">
      <alignment horizontal="left" vertical="top"/>
    </xf>
    <xf numFmtId="0" fontId="43" fillId="13" borderId="10" xfId="0" applyFont="1" applyFill="1" applyBorder="1" applyAlignment="1">
      <alignment horizontal="left" vertical="top" wrapText="1"/>
    </xf>
    <xf numFmtId="0" fontId="30" fillId="0" borderId="7" xfId="0" applyFont="1" applyBorder="1" applyAlignment="1">
      <alignment vertical="top"/>
    </xf>
    <xf numFmtId="0" fontId="150" fillId="0" borderId="0" xfId="0" applyFont="1"/>
    <xf numFmtId="0" fontId="30" fillId="13" borderId="9" xfId="0" applyFont="1" applyFill="1" applyBorder="1" applyAlignment="1">
      <alignment horizontal="center" vertical="center" wrapText="1"/>
    </xf>
    <xf numFmtId="0" fontId="155" fillId="13" borderId="21" xfId="0" applyFont="1" applyFill="1" applyBorder="1" applyAlignment="1">
      <alignment horizontal="left" vertical="center" wrapText="1"/>
    </xf>
    <xf numFmtId="0" fontId="43" fillId="0" borderId="18" xfId="0" applyFont="1" applyBorder="1" applyAlignment="1">
      <alignment vertical="top" wrapText="1"/>
    </xf>
    <xf numFmtId="0" fontId="150" fillId="5" borderId="1" xfId="0" applyFont="1" applyFill="1" applyBorder="1" applyAlignment="1">
      <alignment vertical="center"/>
    </xf>
    <xf numFmtId="1" fontId="30" fillId="13" borderId="1" xfId="0" applyNumberFormat="1" applyFont="1" applyFill="1" applyBorder="1" applyAlignment="1">
      <alignment horizontal="center" vertical="center"/>
    </xf>
    <xf numFmtId="0" fontId="150" fillId="5" borderId="1" xfId="0" applyFont="1" applyFill="1" applyBorder="1" applyAlignment="1">
      <alignment vertical="center" wrapText="1"/>
    </xf>
    <xf numFmtId="0" fontId="89" fillId="5" borderId="1" xfId="0" applyFont="1" applyFill="1" applyBorder="1" applyAlignment="1">
      <alignment vertical="center" wrapText="1"/>
    </xf>
    <xf numFmtId="14" fontId="89" fillId="0" borderId="1" xfId="0" applyNumberFormat="1" applyFont="1" applyBorder="1" applyAlignment="1">
      <alignment vertical="center" wrapText="1"/>
    </xf>
    <xf numFmtId="0" fontId="89" fillId="0" borderId="0" xfId="0" applyFont="1" applyAlignment="1">
      <alignment vertical="center" wrapText="1"/>
    </xf>
    <xf numFmtId="0" fontId="30" fillId="0" borderId="1" xfId="0" applyFont="1" applyBorder="1" applyAlignment="1">
      <alignment vertical="top"/>
    </xf>
    <xf numFmtId="0" fontId="43" fillId="4" borderId="1" xfId="0" applyFont="1" applyFill="1" applyBorder="1" applyAlignment="1">
      <alignment vertical="center"/>
    </xf>
    <xf numFmtId="0" fontId="30" fillId="4" borderId="1" xfId="0" applyFont="1" applyFill="1" applyBorder="1" applyAlignment="1">
      <alignment horizontal="left" vertical="top" wrapText="1"/>
    </xf>
    <xf numFmtId="0" fontId="16" fillId="0" borderId="0" xfId="0" applyFont="1" applyAlignment="1">
      <alignment horizontal="center"/>
    </xf>
    <xf numFmtId="0" fontId="17" fillId="0" borderId="0" xfId="0" applyFont="1" applyAlignment="1">
      <alignment horizontal="center"/>
    </xf>
    <xf numFmtId="14" fontId="89" fillId="0" borderId="0" xfId="0" applyNumberFormat="1" applyFont="1"/>
    <xf numFmtId="0" fontId="17" fillId="0" borderId="0" xfId="0" applyFont="1" applyAlignment="1"/>
    <xf numFmtId="14" fontId="17" fillId="0" borderId="0" xfId="0" applyNumberFormat="1" applyFont="1" applyAlignment="1"/>
    <xf numFmtId="0" fontId="150" fillId="18" borderId="1" xfId="0" applyFont="1" applyFill="1" applyBorder="1" applyAlignment="1">
      <alignment vertical="center"/>
    </xf>
    <xf numFmtId="14" fontId="150" fillId="18" borderId="1" xfId="0" applyNumberFormat="1" applyFont="1" applyFill="1" applyBorder="1" applyAlignment="1">
      <alignment horizontal="center" vertical="center" wrapText="1"/>
    </xf>
    <xf numFmtId="14" fontId="150" fillId="18" borderId="8" xfId="0" applyNumberFormat="1" applyFont="1" applyFill="1" applyBorder="1" applyAlignment="1">
      <alignment horizontal="center" vertical="center" wrapText="1"/>
    </xf>
    <xf numFmtId="14" fontId="150" fillId="18" borderId="21" xfId="0" applyNumberFormat="1" applyFont="1" applyFill="1" applyBorder="1" applyAlignment="1">
      <alignment horizontal="center" vertical="center" wrapText="1"/>
    </xf>
    <xf numFmtId="0" fontId="150" fillId="13" borderId="1" xfId="0" applyFont="1" applyFill="1" applyBorder="1"/>
    <xf numFmtId="0" fontId="89" fillId="0" borderId="1" xfId="0" applyFont="1" applyBorder="1" applyAlignment="1">
      <alignment horizontal="center"/>
    </xf>
    <xf numFmtId="0" fontId="156" fillId="0" borderId="1" xfId="0" applyFont="1" applyBorder="1"/>
    <xf numFmtId="0" fontId="89" fillId="0" borderId="22" xfId="0" applyFont="1" applyBorder="1"/>
    <xf numFmtId="0" fontId="157" fillId="0" borderId="1" xfId="0" applyFont="1" applyBorder="1"/>
    <xf numFmtId="0" fontId="29" fillId="0" borderId="1" xfId="0" applyFont="1" applyBorder="1" applyAlignment="1"/>
    <xf numFmtId="0" fontId="29" fillId="0" borderId="1" xfId="0" applyFont="1" applyBorder="1" applyAlignment="1">
      <alignment horizontal="center"/>
    </xf>
    <xf numFmtId="0" fontId="29" fillId="0" borderId="1" xfId="0" applyFont="1" applyBorder="1" applyAlignment="1">
      <alignment wrapText="1"/>
    </xf>
    <xf numFmtId="167" fontId="17" fillId="0" borderId="1" xfId="0" applyNumberFormat="1" applyFont="1" applyBorder="1" applyAlignment="1">
      <alignment horizontal="center" vertical="center"/>
    </xf>
    <xf numFmtId="20"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left" vertical="center" wrapText="1"/>
    </xf>
    <xf numFmtId="0" fontId="17" fillId="0" borderId="0" xfId="0" applyFont="1" applyAlignment="1">
      <alignment horizontal="center" vertical="center"/>
    </xf>
    <xf numFmtId="20" fontId="17" fillId="0" borderId="1" xfId="0" applyNumberFormat="1" applyFont="1" applyBorder="1" applyAlignment="1">
      <alignment horizontal="center"/>
    </xf>
    <xf numFmtId="0" fontId="17" fillId="0" borderId="1" xfId="0" applyFont="1" applyBorder="1" applyAlignment="1">
      <alignment horizontal="center"/>
    </xf>
    <xf numFmtId="0" fontId="17" fillId="0" borderId="1" xfId="0" applyFont="1" applyBorder="1" applyAlignment="1">
      <alignment wrapText="1"/>
    </xf>
    <xf numFmtId="167" fontId="17" fillId="0" borderId="1" xfId="0" applyNumberFormat="1" applyFont="1" applyBorder="1" applyAlignment="1">
      <alignment horizontal="left"/>
    </xf>
    <xf numFmtId="20" fontId="17" fillId="0" borderId="1" xfId="0" applyNumberFormat="1" applyFont="1" applyBorder="1" applyAlignment="1">
      <alignment horizontal="left"/>
    </xf>
    <xf numFmtId="20" fontId="17" fillId="0" borderId="1" xfId="0" applyNumberFormat="1" applyFont="1" applyBorder="1" applyAlignment="1">
      <alignment horizontal="left" vertical="center"/>
    </xf>
    <xf numFmtId="0" fontId="17" fillId="0" borderId="1" xfId="0" applyFont="1" applyBorder="1" applyAlignment="1">
      <alignment horizontal="left"/>
    </xf>
    <xf numFmtId="0" fontId="17" fillId="0" borderId="1" xfId="0" applyFont="1" applyBorder="1" applyAlignment="1">
      <alignment horizontal="left" wrapText="1"/>
    </xf>
    <xf numFmtId="0" fontId="17" fillId="0" borderId="1" xfId="0" applyFont="1" applyBorder="1"/>
    <xf numFmtId="0" fontId="17" fillId="0" borderId="1" xfId="0" applyFont="1" applyBorder="1" applyAlignment="1">
      <alignment horizontal="center"/>
    </xf>
    <xf numFmtId="0" fontId="17" fillId="0" borderId="1" xfId="0" applyFont="1" applyBorder="1" applyAlignment="1">
      <alignment wrapText="1"/>
    </xf>
    <xf numFmtId="0" fontId="17" fillId="0" borderId="0" xfId="0" applyFont="1" applyAlignment="1">
      <alignment wrapText="1"/>
    </xf>
    <xf numFmtId="0" fontId="7" fillId="19" borderId="1" xfId="0" applyFont="1" applyFill="1" applyBorder="1" applyAlignment="1">
      <alignment horizontal="center" vertical="center"/>
    </xf>
    <xf numFmtId="0" fontId="16" fillId="0" borderId="0" xfId="0" applyFont="1" applyAlignment="1">
      <alignment horizontal="left" vertical="center"/>
    </xf>
    <xf numFmtId="0" fontId="43" fillId="13" borderId="7" xfId="0" applyFont="1" applyFill="1" applyBorder="1" applyAlignment="1">
      <alignment horizontal="center" vertical="center"/>
    </xf>
    <xf numFmtId="0" fontId="152" fillId="0" borderId="13" xfId="0" applyFont="1" applyBorder="1"/>
    <xf numFmtId="0" fontId="89" fillId="0" borderId="7" xfId="0" applyFont="1" applyBorder="1" applyAlignment="1">
      <alignment horizontal="center" vertical="center" wrapText="1"/>
    </xf>
    <xf numFmtId="0" fontId="152"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372">
  <autoFilter ref="A1:BO372"/>
  <tableColumns count="67">
    <tableColumn id="1" name="Asignado a"/>
    <tableColumn id="2" name="Jira Caja"/>
    <tableColumn id="3" name="Requerimiento "/>
    <tableColumn id="4" name="Descripcion req "/>
    <tableColumn id="5" name="Actividad"/>
    <tableColumn id="6" name="ESTADO"/>
    <tableColumn id="7" name="% Avanc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S1065">
  <autoFilter ref="A1:S1065"/>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Imaginesas/oficina_virtual/compare/master...hotfix/validacionTipoFecha?expand=1" TargetMode="External"/><Relationship Id="rId13" Type="http://schemas.openxmlformats.org/officeDocument/2006/relationships/hyperlink" Target="https://github.com/Imaginesas/bolivar/compare/master...feature/flujo_modalidades_2?expand=1" TargetMode="External"/><Relationship Id="rId3" Type="http://schemas.openxmlformats.org/officeDocument/2006/relationships/hyperlink" Target="https://github.com/Imaginesas/bolivar/compare/master...hotfix/copiarJobsPortales" TargetMode="External"/><Relationship Id="rId7" Type="http://schemas.openxmlformats.org/officeDocument/2006/relationships/hyperlink" Target="https://github.com/Imaginesas/portales/compare/master...feature/copiaIncapacidadApiOcr?expand=1" TargetMode="External"/><Relationship Id="rId12" Type="http://schemas.openxmlformats.org/officeDocument/2006/relationships/hyperlink" Target="https://github.com/Imaginesas/bolivar_migration/compare/master...hotfix/yiras2810?expand=1" TargetMode="External"/><Relationship Id="rId17" Type="http://schemas.openxmlformats.org/officeDocument/2006/relationships/comments" Target="../comments1.xml"/><Relationship Id="rId2" Type="http://schemas.openxmlformats.org/officeDocument/2006/relationships/hyperlink" Target="https://jirasegurosbolivar.atlassian.net/browse/GD772-81" TargetMode="External"/><Relationship Id="rId16" Type="http://schemas.openxmlformats.org/officeDocument/2006/relationships/table" Target="../tables/table1.xm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ocultarBotonInc?expand=1" TargetMode="External"/><Relationship Id="rId11" Type="http://schemas.openxmlformats.org/officeDocument/2006/relationships/hyperlink" Target="https://imaginex-portales.segurosbolivar.com/incapacidadeps/incapacidadeseps" TargetMode="External"/><Relationship Id="rId5" Type="http://schemas.openxmlformats.org/officeDocument/2006/relationships/hyperlink" Target="https://github.com/Imaginesas/portales/compare/master...feature/copiaIncapacidadApiOcr?expand=1" TargetMode="External"/><Relationship Id="rId15" Type="http://schemas.openxmlformats.org/officeDocument/2006/relationships/vmlDrawing" Target="../drawings/vmlDrawing1.vml"/><Relationship Id="rId10" Type="http://schemas.openxmlformats.org/officeDocument/2006/relationships/hyperlink" Target="https://imaginex-arlbolivar.segurosbolivar.com/oficina/express/1" TargetMode="External"/><Relationship Id="rId4" Type="http://schemas.openxmlformats.org/officeDocument/2006/relationships/hyperlink" Target="https://github.com/Imaginesas/bolivar/compare/master...feature/despliegue-login" TargetMode="External"/><Relationship Id="rId9" Type="http://schemas.openxmlformats.org/officeDocument/2006/relationships/hyperlink" Target="http://marzo.se/" TargetMode="External"/><Relationship Id="rId14" Type="http://schemas.openxmlformats.org/officeDocument/2006/relationships/hyperlink" Target="http://septiembre.se/"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O1177"/>
  <sheetViews>
    <sheetView tabSelected="1" topLeftCell="A2" workbookViewId="0">
      <selection activeCell="A2" sqref="A2"/>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13" customWidth="1"/>
    <col min="9" max="9" width="14.6640625" customWidth="1"/>
    <col min="10" max="10" width="10.21875" customWidth="1"/>
    <col min="11" max="11" width="13.5546875" customWidth="1"/>
    <col min="12" max="12" width="12.5546875" customWidth="1"/>
    <col min="13" max="13" width="14.6640625" customWidth="1"/>
    <col min="14" max="14" width="15.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customHeight="1">
      <c r="A2" s="16" t="s">
        <v>67</v>
      </c>
      <c r="B2" s="17" t="s">
        <v>68</v>
      </c>
      <c r="C2" s="18" t="s">
        <v>69</v>
      </c>
      <c r="D2" s="18"/>
      <c r="E2" s="19"/>
      <c r="F2" s="20" t="s">
        <v>70</v>
      </c>
      <c r="G2" s="21">
        <v>90</v>
      </c>
      <c r="H2" s="22">
        <f>IF(OR(J2="",K2="",K2&lt;J2),0,NETWORKDAYS(J2,K2,fESTIVOS!$A$2:$A$53))</f>
        <v>40</v>
      </c>
      <c r="I2" s="23">
        <v>45715</v>
      </c>
      <c r="J2" s="24">
        <v>45715</v>
      </c>
      <c r="K2" s="25">
        <v>45775</v>
      </c>
      <c r="L2" s="26">
        <v>45734</v>
      </c>
      <c r="M2" s="27">
        <f ca="1">IF(OR(J2="",AND(L2="",TODAY()&lt;J2),AND(L2&lt;&gt;"",L2&lt;J2)),0,
   IF(L2="",
      NETWORKDAYS(J2,TODAY(),fESTIVOS!$A$2:$A$53),
      NETWORKDAYS(J2,L2,fESTIVOS!$A$2:$A$53)
   )
)</f>
        <v>14</v>
      </c>
      <c r="N2" s="28"/>
      <c r="O2" s="23">
        <v>45734</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v>
      </c>
      <c r="AV2" s="37"/>
      <c r="AW2" s="37"/>
      <c r="AX2" s="37"/>
      <c r="AY2" s="37"/>
      <c r="AZ2" s="37"/>
      <c r="BA2" s="37"/>
      <c r="BB2" s="37"/>
      <c r="BC2" s="37"/>
      <c r="BD2" s="37"/>
      <c r="BE2" s="37"/>
      <c r="BF2" s="37"/>
      <c r="BG2" s="37"/>
      <c r="BH2" s="37"/>
      <c r="BI2" s="37"/>
      <c r="BJ2" s="37"/>
      <c r="BK2" s="37"/>
      <c r="BL2" s="37"/>
      <c r="BM2" s="37"/>
      <c r="BN2" s="37"/>
      <c r="BO2" s="37"/>
    </row>
    <row r="3" spans="1:67" ht="29.25" customHeight="1">
      <c r="A3" s="16" t="s">
        <v>67</v>
      </c>
      <c r="B3" s="17" t="s">
        <v>74</v>
      </c>
      <c r="C3" s="18" t="s">
        <v>75</v>
      </c>
      <c r="D3" s="18"/>
      <c r="E3" s="19"/>
      <c r="F3" s="20" t="s">
        <v>76</v>
      </c>
      <c r="G3" s="21">
        <v>100</v>
      </c>
      <c r="H3" s="22">
        <f>IF(OR(J3="",K3="",K3&lt;J3),0,NETWORKDAYS(J3,K3,fESTIVOS!$A$2:$A$53))</f>
        <v>64</v>
      </c>
      <c r="I3" s="23">
        <v>45702</v>
      </c>
      <c r="J3" s="24">
        <v>45702</v>
      </c>
      <c r="K3" s="25">
        <v>45797</v>
      </c>
      <c r="L3" s="26">
        <v>45713</v>
      </c>
      <c r="M3" s="27">
        <f ca="1">IF(OR(J3="",AND(L3="",TODAY()&lt;J3),AND(L3&lt;&gt;"",L3&lt;J3)),0,
   IF(L3="",
      NETWORKDAYS(J3,TODAY(),fESTIVOS!$A$2:$A$53),
      NETWORKDAYS(J3,L3,fESTIVOS!$A$2:$A$53)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spans="1:67" ht="29.25" customHeight="1">
      <c r="A4" s="16" t="s">
        <v>67</v>
      </c>
      <c r="B4" s="17" t="s">
        <v>88</v>
      </c>
      <c r="C4" s="43" t="s">
        <v>89</v>
      </c>
      <c r="D4" s="44" t="s">
        <v>90</v>
      </c>
      <c r="E4" s="19"/>
      <c r="F4" s="20" t="s">
        <v>91</v>
      </c>
      <c r="G4" s="21">
        <v>95</v>
      </c>
      <c r="H4" s="22">
        <f>IF(OR(J4="",K4="",K4&lt;J4),0,NETWORKDAYS(J4,K4,fESTIVOS!$A$2:$A$53))</f>
        <v>3</v>
      </c>
      <c r="I4" s="23">
        <v>45701</v>
      </c>
      <c r="J4" s="26">
        <v>45762</v>
      </c>
      <c r="K4" s="25">
        <v>45768</v>
      </c>
      <c r="L4" s="45">
        <v>45799</v>
      </c>
      <c r="M4" s="27">
        <f ca="1">IF(OR(J4="",AND(L4="",TODAY()&lt;J4),AND(L4&lt;&gt;"",L4&lt;J4)),0,
   IF(L4="",
      NETWORKDAYS(J4,TODAY(),fESTIVOS!$A$2:$A$53),
      NETWORKDAYS(J4,L4,fESTIVOS!$A$2:$A$53)
   )
)</f>
        <v>25</v>
      </c>
      <c r="N4" s="28"/>
      <c r="O4" s="46">
        <v>45939</v>
      </c>
      <c r="P4" s="29"/>
      <c r="Q4" s="38" t="s">
        <v>92</v>
      </c>
      <c r="R4" s="31" t="s">
        <v>93</v>
      </c>
      <c r="S4" s="47">
        <v>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spans="1:67" ht="29.25" customHeight="1">
      <c r="A5" s="16" t="s">
        <v>67</v>
      </c>
      <c r="B5" s="17" t="s">
        <v>121</v>
      </c>
      <c r="C5" s="43" t="s">
        <v>122</v>
      </c>
      <c r="D5" s="43"/>
      <c r="E5" s="19"/>
      <c r="F5" s="20" t="s">
        <v>123</v>
      </c>
      <c r="G5" s="32"/>
      <c r="H5" s="22">
        <f>IF(OR(J5="",K5="",K5&lt;J5),0,NETWORKDAYS(J5,K5,fESTIVOS!$A$2:$A$53))</f>
        <v>0</v>
      </c>
      <c r="I5" s="23">
        <v>45712</v>
      </c>
      <c r="J5" s="24">
        <v>45715</v>
      </c>
      <c r="K5" s="52"/>
      <c r="L5" s="24">
        <v>45723</v>
      </c>
      <c r="M5" s="27">
        <f ca="1">IF(OR(J5="",AND(L5="",TODAY()&lt;J5),AND(L5&lt;&gt;"",L5&lt;J5)),0,
   IF(L5="",
      NETWORKDAYS(J5,TODAY(),fESTIVOS!$A$2:$A$53),
      NETWORKDAYS(J5,L5,fESTIVOS!$A$2:$A$53)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spans="1:67" ht="29.25" customHeight="1">
      <c r="A6" s="16" t="s">
        <v>67</v>
      </c>
      <c r="B6" s="17" t="s">
        <v>125</v>
      </c>
      <c r="C6" s="43" t="s">
        <v>126</v>
      </c>
      <c r="D6" s="43"/>
      <c r="E6" s="19"/>
      <c r="F6" s="20" t="s">
        <v>123</v>
      </c>
      <c r="G6" s="32"/>
      <c r="H6" s="22">
        <f>IF(OR(J6="",K6="",K6&lt;J6),0,NETWORKDAYS(J6,K6,fESTIVOS!$A$2:$A$53))</f>
        <v>0</v>
      </c>
      <c r="I6" s="23">
        <v>45747</v>
      </c>
      <c r="J6" s="24">
        <v>45747</v>
      </c>
      <c r="K6" s="52"/>
      <c r="L6" s="24"/>
      <c r="M6" s="27">
        <f ca="1">IF(OR(J6="",AND(L6="",TODAY()&lt;J6),AND(L6&lt;&gt;"",L6&lt;J6)),0,
   IF(L6="",
      NETWORKDAYS(J6,TODAY(),fESTIVOS!$A$2:$A$53),
      NETWORKDAYS(J6,L6,fESTIVOS!$A$2:$A$53)
   )
)</f>
        <v>230</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spans="1:67" ht="39" customHeight="1">
      <c r="A7" s="55" t="s">
        <v>128</v>
      </c>
      <c r="B7" s="17" t="s">
        <v>129</v>
      </c>
      <c r="C7" s="56" t="s">
        <v>130</v>
      </c>
      <c r="D7" s="56"/>
      <c r="E7" s="57"/>
      <c r="F7" s="20" t="s">
        <v>76</v>
      </c>
      <c r="G7" s="58">
        <v>100</v>
      </c>
      <c r="H7" s="22">
        <f>IF(OR(J7="",K7="",K7&lt;J7),0,NETWORKDAYS(J7,K7,fESTIVOS!$A$2:$A$53))</f>
        <v>11</v>
      </c>
      <c r="I7" s="59">
        <v>45719</v>
      </c>
      <c r="J7" s="60">
        <v>45779</v>
      </c>
      <c r="K7" s="60">
        <v>45793</v>
      </c>
      <c r="L7" s="60">
        <v>45791</v>
      </c>
      <c r="M7" s="27">
        <f ca="1">IF(OR(J7="",AND(L7="",TODAY()&lt;J7),AND(L7&lt;&gt;"",L7&lt;J7)),0,
   IF(L7="",
      NETWORKDAYS(J7,TODAY(),fESTIVOS!$A$2:$A$53),
      NETWORKDAYS(J7,L7,fESTIVOS!$A$2:$A$53)
   )
)</f>
        <v>9</v>
      </c>
      <c r="N7" s="28"/>
      <c r="O7" s="59"/>
      <c r="P7" s="61">
        <v>45883</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spans="1:67" ht="29.25" customHeight="1">
      <c r="A8" s="55" t="s">
        <v>157</v>
      </c>
      <c r="B8" s="17" t="s">
        <v>158</v>
      </c>
      <c r="C8" s="18" t="s">
        <v>159</v>
      </c>
      <c r="D8" s="18"/>
      <c r="E8" s="67" t="s">
        <v>160</v>
      </c>
      <c r="F8" s="20" t="s">
        <v>76</v>
      </c>
      <c r="G8" s="58">
        <v>100</v>
      </c>
      <c r="H8" s="22">
        <f>IF(OR(J8="",K8="",K8&lt;J8),0,NETWORKDAYS(J8,K8,fESTIVOS!$A$2:$A$53))</f>
        <v>0</v>
      </c>
      <c r="I8" s="59">
        <v>45730</v>
      </c>
      <c r="J8" s="68">
        <v>45733</v>
      </c>
      <c r="K8" s="24"/>
      <c r="L8" s="26">
        <v>45824</v>
      </c>
      <c r="M8" s="27">
        <f ca="1">IF(OR(J8="",AND(L8="",TODAY()&lt;J8),AND(L8&lt;&gt;"",L8&lt;J8)),0,
   IF(L8="",
      NETWORKDAYS(J8,TODAY(),fESTIVOS!$A$2:$A$53),
      NETWORKDAYS(J8,L8,fESTIVOS!$A$2:$A$53)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spans="1:67" ht="29.25" customHeight="1">
      <c r="A9" s="55" t="s">
        <v>157</v>
      </c>
      <c r="B9" s="17" t="s">
        <v>164</v>
      </c>
      <c r="C9" s="76" t="s">
        <v>165</v>
      </c>
      <c r="D9" s="76"/>
      <c r="E9" s="57"/>
      <c r="F9" s="20" t="s">
        <v>123</v>
      </c>
      <c r="G9" s="58">
        <v>97</v>
      </c>
      <c r="H9" s="22">
        <f>IF(OR(J9="",K9="",K9&lt;J9),0,NETWORKDAYS(J9,K9,fESTIVOS!$A$2:$A$53))</f>
        <v>2</v>
      </c>
      <c r="I9" s="59">
        <v>45691</v>
      </c>
      <c r="J9" s="68">
        <v>45688</v>
      </c>
      <c r="K9" s="24">
        <v>45691</v>
      </c>
      <c r="L9" s="24">
        <v>45700</v>
      </c>
      <c r="M9" s="27">
        <f ca="1">IF(OR(J9="",AND(L9="",TODAY()&lt;J9),AND(L9&lt;&gt;"",L9&lt;J9)),0,
   IF(L9="",
      NETWORKDAYS(J9,TODAY(),fESTIVOS!$A$2:$A$53),
      NETWORKDAYS(J9,L9,fESTIVOS!$A$2:$A$53)
   )
)</f>
        <v>9</v>
      </c>
      <c r="N9" s="28"/>
      <c r="O9" s="59">
        <v>45723</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spans="1:67" ht="29.25" customHeight="1">
      <c r="A10" s="55" t="s">
        <v>157</v>
      </c>
      <c r="B10" s="17" t="s">
        <v>174</v>
      </c>
      <c r="C10" s="76" t="s">
        <v>175</v>
      </c>
      <c r="D10" s="76"/>
      <c r="E10" s="57"/>
      <c r="F10" s="20" t="s">
        <v>123</v>
      </c>
      <c r="G10" s="58">
        <v>97</v>
      </c>
      <c r="H10" s="22">
        <f>IF(OR(J10="",K10="",K10&lt;J10),0,NETWORKDAYS(J10,K10,fESTIVOS!$A$2:$A$53))</f>
        <v>0</v>
      </c>
      <c r="I10" s="59">
        <v>45761</v>
      </c>
      <c r="J10" s="68">
        <v>45761</v>
      </c>
      <c r="K10" s="24"/>
      <c r="L10" s="60">
        <v>45771</v>
      </c>
      <c r="M10" s="27">
        <f ca="1">IF(OR(J10="",AND(L10="",TODAY()&lt;J10),AND(L10&lt;&gt;"",L10&lt;J10)),0,
   IF(L10="",
      NETWORKDAYS(J10,TODAY(),fESTIVOS!$A$2:$A$53),
      NETWORKDAYS(J10,L10,fESTIVOS!$A$2:$A$53)
   )
)</f>
        <v>7</v>
      </c>
      <c r="N10" s="28"/>
      <c r="O10" s="81">
        <v>45771</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spans="1:67" ht="29.25" customHeight="1">
      <c r="A11" s="55" t="s">
        <v>157</v>
      </c>
      <c r="B11" s="17" t="s">
        <v>182</v>
      </c>
      <c r="C11" s="76" t="s">
        <v>183</v>
      </c>
      <c r="D11" s="76"/>
      <c r="E11" s="84"/>
      <c r="F11" s="85" t="s">
        <v>76</v>
      </c>
      <c r="G11" s="58">
        <v>100</v>
      </c>
      <c r="H11" s="22">
        <f>IF(OR(J11="",K11="",K11&lt;J11),0,NETWORKDAYS(J11,K11,fESTIVOS!$A$2:$A$53))</f>
        <v>11</v>
      </c>
      <c r="I11" s="81">
        <v>45814</v>
      </c>
      <c r="J11" s="60">
        <v>45826</v>
      </c>
      <c r="K11" s="60">
        <v>45842</v>
      </c>
      <c r="L11" s="60">
        <v>45849</v>
      </c>
      <c r="M11" s="27">
        <f ca="1">IF(OR(J11="",AND(L11="",TODAY()&lt;J11),AND(L11&lt;&gt;"",L11&lt;J11)),0,
   IF(L11="",
      NETWORKDAYS(J11,TODAY(),fESTIVOS!$A$2:$A$53),
      NETWORKDAYS(J11,L11,fESTIVOS!$A$2:$A$53)
   )
)</f>
        <v>16</v>
      </c>
      <c r="N11" s="28"/>
      <c r="O11" s="81">
        <v>45849</v>
      </c>
      <c r="P11" s="61">
        <v>45924</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spans="1:67" ht="29.25" customHeight="1">
      <c r="A12" s="92" t="s">
        <v>157</v>
      </c>
      <c r="B12" s="93" t="s">
        <v>204</v>
      </c>
      <c r="C12" s="94" t="s">
        <v>205</v>
      </c>
      <c r="D12" s="95" t="s">
        <v>206</v>
      </c>
      <c r="E12" s="96"/>
      <c r="F12" s="20" t="s">
        <v>207</v>
      </c>
      <c r="G12" s="97">
        <v>90</v>
      </c>
      <c r="H12" s="22">
        <f>IF(OR(J12="",K12="",K12&lt;J12),0,NETWORKDAYS(J12,K12,fESTIVOS!$A$2:$A$53))</f>
        <v>0</v>
      </c>
      <c r="I12" s="98">
        <v>45958</v>
      </c>
      <c r="J12" s="99">
        <v>45988</v>
      </c>
      <c r="K12" s="99"/>
      <c r="L12" s="99">
        <v>46000</v>
      </c>
      <c r="M12" s="27">
        <f ca="1">IF(OR(J12="",AND(L12="",TODAY()&lt;J12),AND(L12&lt;&gt;"",L12&lt;J12)),0,
   IF(L12="",
      NETWORKDAYS(J12,TODAY(),fESTIVOS!$A$2:$A$53),
      NETWORKDAYS(J12,L12,fESTIVOS!$A$2:$A$53)
   )
)</f>
        <v>8</v>
      </c>
      <c r="N12" s="28"/>
      <c r="O12" s="98">
        <v>45995</v>
      </c>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spans="1:67" ht="29.25" customHeight="1">
      <c r="A13" s="55" t="s">
        <v>210</v>
      </c>
      <c r="B13" s="105" t="s">
        <v>211</v>
      </c>
      <c r="C13" s="106" t="s">
        <v>212</v>
      </c>
      <c r="D13" s="107"/>
      <c r="E13" s="84"/>
      <c r="F13" s="85" t="s">
        <v>76</v>
      </c>
      <c r="G13" s="58">
        <v>100</v>
      </c>
      <c r="H13" s="22">
        <f>IF(OR(J13="",K13="",K13&lt;J13),0,NETWORKDAYS(J13,K13,fESTIVOS!$A$2:$A$53))</f>
        <v>0</v>
      </c>
      <c r="I13" s="81">
        <v>45938</v>
      </c>
      <c r="J13" s="60">
        <v>45938</v>
      </c>
      <c r="K13" s="60"/>
      <c r="L13" s="60">
        <v>45946</v>
      </c>
      <c r="M13" s="27">
        <f ca="1">IF(OR(J13="",AND(L13="",TODAY()&lt;J13),AND(L13&lt;&gt;"",L13&lt;J13)),0,
   IF(L13="",
      NETWORKDAYS(J13,TODAY(),fESTIVOS!$A$2:$A$53),
      NETWORKDAYS(J13,L13,fESTIVOS!$A$2:$A$53)
   )
)</f>
        <v>6</v>
      </c>
      <c r="N13" s="28"/>
      <c r="O13" s="81"/>
      <c r="P13" s="61"/>
      <c r="Q13" s="86" t="s">
        <v>213</v>
      </c>
      <c r="R13" s="31" t="s">
        <v>78</v>
      </c>
      <c r="S13" s="58"/>
      <c r="T13" s="58"/>
      <c r="U13" s="108"/>
      <c r="V13" s="87"/>
      <c r="W13" s="87"/>
      <c r="X13" s="88"/>
      <c r="Y13" s="89"/>
      <c r="Z13" s="88"/>
      <c r="AA13" s="88"/>
      <c r="AB13" s="88"/>
      <c r="AC13" s="89"/>
      <c r="AD13" s="89"/>
      <c r="AE13" s="89"/>
      <c r="AF13" s="89"/>
      <c r="AG13" s="89"/>
      <c r="AH13" s="89"/>
      <c r="AI13" s="90"/>
      <c r="AJ13" s="90"/>
      <c r="AK13" s="91"/>
      <c r="AL13" s="91"/>
      <c r="AM13" s="91"/>
      <c r="AN13" s="91"/>
      <c r="AO13" s="91"/>
      <c r="AP13" s="91"/>
      <c r="AQ13" s="91"/>
      <c r="AR13" s="91"/>
      <c r="AS13" s="91"/>
      <c r="AT13" s="91"/>
      <c r="AU13" s="91"/>
      <c r="AV13" s="91"/>
      <c r="AW13" s="91"/>
      <c r="AX13" s="91"/>
      <c r="AY13" s="91"/>
      <c r="AZ13" s="91"/>
      <c r="BA13" s="91"/>
      <c r="BB13" s="91"/>
      <c r="BC13" s="91"/>
      <c r="BD13" s="91"/>
      <c r="BE13" s="91"/>
      <c r="BF13" s="91"/>
      <c r="BG13" s="91"/>
      <c r="BH13" s="91"/>
      <c r="BI13" s="91"/>
      <c r="BJ13" s="91"/>
      <c r="BK13" s="91"/>
      <c r="BL13" s="91"/>
      <c r="BM13" s="91"/>
      <c r="BN13" s="91"/>
      <c r="BO13" s="91"/>
    </row>
    <row r="14" spans="1:67" ht="29.25" customHeight="1">
      <c r="A14" s="92" t="s">
        <v>214</v>
      </c>
      <c r="B14" s="93" t="s">
        <v>215</v>
      </c>
      <c r="C14" s="109" t="s">
        <v>216</v>
      </c>
      <c r="D14" s="110"/>
      <c r="E14" s="96"/>
      <c r="F14" s="111" t="s">
        <v>76</v>
      </c>
      <c r="G14" s="97">
        <v>100</v>
      </c>
      <c r="H14" s="22">
        <f>IF(OR(J14="",K14="",K14&lt;J14),0,NETWORKDAYS(J14,K14,fESTIVOS!$A$2:$A$53))</f>
        <v>0</v>
      </c>
      <c r="I14" s="98">
        <v>46001</v>
      </c>
      <c r="J14" s="99">
        <v>46002</v>
      </c>
      <c r="K14" s="99">
        <v>45970</v>
      </c>
      <c r="L14" s="99">
        <v>46009</v>
      </c>
      <c r="M14" s="27">
        <f ca="1">IF(OR(J14="",AND(L14="",TODAY()&lt;J14),AND(L14&lt;&gt;"",L14&lt;J14)),0,
   IF(L14="",
      NETWORKDAYS(J14,TODAY(),fESTIVOS!$A$2:$A$53),
      NETWORKDAYS(J14,L14,fESTIVOS!$A$2:$A$53)
   )
)</f>
        <v>6</v>
      </c>
      <c r="N14" s="28"/>
      <c r="O14" s="98">
        <v>46009</v>
      </c>
      <c r="P14" s="100">
        <v>46021</v>
      </c>
      <c r="Q14" s="34" t="s">
        <v>217</v>
      </c>
      <c r="R14" s="112" t="s">
        <v>78</v>
      </c>
      <c r="S14" s="97"/>
      <c r="T14" s="97"/>
      <c r="U14" s="102"/>
      <c r="V14" s="113" t="s">
        <v>218</v>
      </c>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spans="1:67" ht="29.25" customHeight="1">
      <c r="A15" s="55" t="s">
        <v>157</v>
      </c>
      <c r="B15" s="105" t="s">
        <v>219</v>
      </c>
      <c r="C15" s="106" t="s">
        <v>220</v>
      </c>
      <c r="D15" s="114" t="s">
        <v>221</v>
      </c>
      <c r="E15" s="115"/>
      <c r="F15" s="116" t="s">
        <v>76</v>
      </c>
      <c r="G15" s="58">
        <v>100</v>
      </c>
      <c r="H15" s="22">
        <f>IF(OR(J15="",K15="",K15&lt;J15),0,NETWORKDAYS(J15,K15,fESTIVOS!$A$2:$A$53))</f>
        <v>0</v>
      </c>
      <c r="I15" s="81">
        <v>45894</v>
      </c>
      <c r="J15" s="60">
        <v>45894</v>
      </c>
      <c r="K15" s="68"/>
      <c r="L15" s="60">
        <v>45895</v>
      </c>
      <c r="M15" s="27">
        <f ca="1">IF(OR(J15="",AND(L15="",TODAY()&lt;J15),AND(L15&lt;&gt;"",L15&lt;J15)),0,
   IF(L15="",
      NETWORKDAYS(J15,TODAY(),fESTIVOS!$A$2:$A$53),
      NETWORKDAYS(J15,L15,fESTIVOS!$A$2:$A$53)
   )
)</f>
        <v>2</v>
      </c>
      <c r="N15" s="28"/>
      <c r="O15" s="81">
        <v>45898</v>
      </c>
      <c r="P15" s="69"/>
      <c r="Q15" s="62" t="s">
        <v>222</v>
      </c>
      <c r="R15" s="112" t="s">
        <v>78</v>
      </c>
      <c r="S15" s="71"/>
      <c r="T15" s="71"/>
      <c r="U15" s="72"/>
      <c r="V15" s="117"/>
      <c r="W15" s="117"/>
      <c r="X15" s="117"/>
      <c r="Y15" s="117"/>
      <c r="Z15" s="117"/>
      <c r="AA15" s="117"/>
      <c r="AB15" s="117"/>
      <c r="AC15" s="117"/>
      <c r="AD15" s="117"/>
      <c r="AE15" s="117"/>
      <c r="AF15" s="117"/>
      <c r="AG15" s="117"/>
      <c r="AH15" s="117"/>
      <c r="AI15" s="118"/>
      <c r="AJ15" s="118"/>
      <c r="AK15" s="118"/>
      <c r="AL15" s="118"/>
      <c r="AM15" s="118"/>
      <c r="AN15" s="118"/>
      <c r="AO15" s="118"/>
      <c r="AP15" s="66"/>
      <c r="AQ15" s="118"/>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row>
    <row r="16" spans="1:67" ht="29.25" customHeight="1">
      <c r="A16" s="92" t="s">
        <v>157</v>
      </c>
      <c r="B16" s="105" t="s">
        <v>223</v>
      </c>
      <c r="C16" s="119" t="s">
        <v>224</v>
      </c>
      <c r="D16" s="120" t="s">
        <v>225</v>
      </c>
      <c r="E16" s="96"/>
      <c r="F16" s="121" t="s">
        <v>76</v>
      </c>
      <c r="G16" s="97">
        <v>100</v>
      </c>
      <c r="H16" s="22">
        <f>IF(OR(J16="",K16="",K16&lt;J16),0,NETWORKDAYS(J16,K16,fESTIVOS!$A$2:$A$53))</f>
        <v>0</v>
      </c>
      <c r="I16" s="98">
        <v>45994</v>
      </c>
      <c r="J16" s="99">
        <v>46003</v>
      </c>
      <c r="K16" s="99"/>
      <c r="L16" s="99">
        <v>46003</v>
      </c>
      <c r="M16" s="27">
        <f ca="1">IF(OR(J16="",AND(L16="",TODAY()&lt;J16),AND(L16&lt;&gt;"",L16&lt;J16)),0,
   IF(L16="",
      NETWORKDAYS(J16,TODAY(),fESTIVOS!$A$2:$A$53),
      NETWORKDAYS(J16,L16,fESTIVOS!$A$2:$A$53)
   )
)</f>
        <v>1</v>
      </c>
      <c r="N16" s="28"/>
      <c r="O16" s="98">
        <v>46003</v>
      </c>
      <c r="P16" s="100">
        <v>46003</v>
      </c>
      <c r="Q16" s="34" t="s">
        <v>226</v>
      </c>
      <c r="R16" s="112" t="s">
        <v>78</v>
      </c>
      <c r="S16" s="101"/>
      <c r="T16" s="97"/>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spans="1:67" ht="29.25" customHeight="1">
      <c r="A17" s="92" t="s">
        <v>214</v>
      </c>
      <c r="B17" s="93" t="s">
        <v>227</v>
      </c>
      <c r="C17" s="109" t="s">
        <v>228</v>
      </c>
      <c r="D17" s="120"/>
      <c r="E17" s="96"/>
      <c r="F17" s="121" t="s">
        <v>76</v>
      </c>
      <c r="G17" s="97">
        <v>100</v>
      </c>
      <c r="H17" s="22">
        <f>IF(OR(J17="",K17="",K17&lt;J17),0,NETWORKDAYS(J17,K17,fESTIVOS!$A$2:$A$53))</f>
        <v>0</v>
      </c>
      <c r="I17" s="98">
        <v>46014</v>
      </c>
      <c r="J17" s="99">
        <v>46014</v>
      </c>
      <c r="K17" s="99"/>
      <c r="L17" s="99">
        <v>46014</v>
      </c>
      <c r="M17" s="27">
        <f ca="1">IF(OR(J17="",AND(L17="",TODAY()&lt;J17),AND(L17&lt;&gt;"",L17&lt;J17)),0,
   IF(L17="",
      NETWORKDAYS(J17,TODAY(),fESTIVOS!$A$2:$A$53),
      NETWORKDAYS(J17,L17,fESTIVOS!$A$2:$A$53)
   )
)</f>
        <v>1</v>
      </c>
      <c r="N17" s="28"/>
      <c r="O17" s="98">
        <v>46014</v>
      </c>
      <c r="P17" s="100">
        <v>46021</v>
      </c>
      <c r="Q17" s="34" t="s">
        <v>229</v>
      </c>
      <c r="R17" s="31" t="s">
        <v>78</v>
      </c>
      <c r="S17" s="101"/>
      <c r="T17" s="97"/>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spans="1:67" ht="29.25" customHeight="1">
      <c r="A18" s="122" t="s">
        <v>210</v>
      </c>
      <c r="B18" s="105" t="s">
        <v>230</v>
      </c>
      <c r="C18" s="109" t="s">
        <v>231</v>
      </c>
      <c r="D18" s="120" t="s">
        <v>232</v>
      </c>
      <c r="E18" s="96"/>
      <c r="F18" s="121" t="s">
        <v>76</v>
      </c>
      <c r="G18" s="97">
        <v>100</v>
      </c>
      <c r="H18" s="22">
        <f>IF(OR(J18="",K18="",K18&lt;J18),0,NETWORKDAYS(J18,K18,fESTIVOS!$A$2:$A$53))</f>
        <v>0</v>
      </c>
      <c r="I18" s="98">
        <v>46042</v>
      </c>
      <c r="J18" s="99">
        <v>46062</v>
      </c>
      <c r="K18" s="99"/>
      <c r="L18" s="99">
        <v>46063</v>
      </c>
      <c r="M18" s="27">
        <f ca="1">IF(OR(J18="",AND(L18="",TODAY()&lt;J18),AND(L18&lt;&gt;"",L18&lt;J18)),0,
   IF(L18="",
      NETWORKDAYS(J18,TODAY(),fESTIVOS!$A$2:$A$53),
      NETWORKDAYS(J18,L18,fESTIVOS!$A$2:$A$53)
   )
)</f>
        <v>2</v>
      </c>
      <c r="N18" s="28"/>
      <c r="O18" s="98"/>
      <c r="P18" s="100"/>
      <c r="Q18" s="34" t="s">
        <v>233</v>
      </c>
      <c r="R18" s="31" t="s">
        <v>234</v>
      </c>
      <c r="S18" s="101"/>
      <c r="T18" s="97"/>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spans="1:67" ht="29.25" customHeight="1">
      <c r="A19" s="122" t="s">
        <v>210</v>
      </c>
      <c r="B19" s="93" t="s">
        <v>235</v>
      </c>
      <c r="C19" s="109" t="s">
        <v>236</v>
      </c>
      <c r="D19" s="120"/>
      <c r="E19" s="96"/>
      <c r="F19" s="121" t="s">
        <v>76</v>
      </c>
      <c r="G19" s="97">
        <v>100</v>
      </c>
      <c r="H19" s="22">
        <f>IF(OR(J19="",K19="",K19&lt;J19),0,NETWORKDAYS(J19,K19,fESTIVOS!$A$2:$A$53))</f>
        <v>0</v>
      </c>
      <c r="I19" s="98">
        <v>46022</v>
      </c>
      <c r="J19" s="99">
        <v>46064</v>
      </c>
      <c r="K19" s="99"/>
      <c r="L19" s="99">
        <v>46064</v>
      </c>
      <c r="M19" s="27">
        <f ca="1">IF(OR(J19="",AND(L19="",TODAY()&lt;J19),AND(L19&lt;&gt;"",L19&lt;J19)),0,
   IF(L19="",
      NETWORKDAYS(J19,TODAY(),fESTIVOS!$A$2:$A$53),
      NETWORKDAYS(J19,L19,fESTIVOS!$A$2:$A$53)
   )
)</f>
        <v>1</v>
      </c>
      <c r="N19" s="28"/>
      <c r="O19" s="98"/>
      <c r="P19" s="100"/>
      <c r="Q19" s="34" t="s">
        <v>237</v>
      </c>
      <c r="R19" s="31" t="s">
        <v>234</v>
      </c>
      <c r="S19" s="101"/>
      <c r="T19" s="97"/>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spans="1:67" ht="29.25" customHeight="1">
      <c r="A20" s="92" t="s">
        <v>157</v>
      </c>
      <c r="B20" s="93" t="s">
        <v>238</v>
      </c>
      <c r="C20" s="109" t="s">
        <v>239</v>
      </c>
      <c r="D20" s="120" t="s">
        <v>240</v>
      </c>
      <c r="E20" s="96"/>
      <c r="F20" s="121" t="s">
        <v>76</v>
      </c>
      <c r="G20" s="97">
        <v>100</v>
      </c>
      <c r="H20" s="22">
        <f>IF(OR(J20="",K20="",K20&lt;J20),0,NETWORKDAYS(J20,K20,fESTIVOS!$A$2:$A$53))</f>
        <v>0</v>
      </c>
      <c r="I20" s="98">
        <v>46000</v>
      </c>
      <c r="J20" s="99">
        <v>46001</v>
      </c>
      <c r="K20" s="99"/>
      <c r="L20" s="99">
        <v>46009</v>
      </c>
      <c r="M20" s="27">
        <f ca="1">IF(OR(J20="",AND(L20="",TODAY()&lt;J20),AND(L20&lt;&gt;"",L20&lt;J20)),0,
   IF(L20="",
      NETWORKDAYS(J20,TODAY(),fESTIVOS!$A$2:$A$53),
      NETWORKDAYS(J20,L20,fESTIVOS!$A$2:$A$53)
   )
)</f>
        <v>7</v>
      </c>
      <c r="N20" s="28"/>
      <c r="O20" s="98">
        <v>46009</v>
      </c>
      <c r="P20" s="100">
        <v>46020</v>
      </c>
      <c r="Q20" s="34" t="s">
        <v>241</v>
      </c>
      <c r="R20" s="31" t="s">
        <v>78</v>
      </c>
      <c r="S20" s="101"/>
      <c r="T20" s="97"/>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spans="1:67" ht="29.25" customHeight="1">
      <c r="A21" s="55" t="s">
        <v>128</v>
      </c>
      <c r="B21" s="17" t="s">
        <v>242</v>
      </c>
      <c r="C21" s="106" t="s">
        <v>243</v>
      </c>
      <c r="D21" s="76"/>
      <c r="E21" s="123" t="s">
        <v>244</v>
      </c>
      <c r="F21" s="20" t="s">
        <v>123</v>
      </c>
      <c r="G21" s="58"/>
      <c r="H21" s="22">
        <f>IF(OR(J21="",K21="",K21&lt;J21),0,NETWORKDAYS(J21,K21,fESTIVOS!$A$2:$A$53))</f>
        <v>0</v>
      </c>
      <c r="I21" s="59">
        <v>45757</v>
      </c>
      <c r="J21" s="68"/>
      <c r="K21" s="68"/>
      <c r="L21" s="68"/>
      <c r="M21" s="27">
        <f ca="1">IF(OR(J21="",AND(L21="",TODAY()&lt;J21),AND(L21&lt;&gt;"",L21&lt;J21)),0,
   IF(L21="",
      NETWORKDAYS(J21,TODAY(),fESTIVOS!$A$2:$A$53),
      NETWORKDAYS(J21,L21,fESTIVOS!$A$2:$A$53)
   )
)</f>
        <v>0</v>
      </c>
      <c r="N21" s="28"/>
      <c r="O21" s="59"/>
      <c r="P21" s="69"/>
      <c r="Q21" s="124"/>
      <c r="R21" s="31" t="s">
        <v>93</v>
      </c>
      <c r="S21" s="34"/>
      <c r="T21" s="34"/>
      <c r="U21" s="72"/>
      <c r="V21" s="34" t="s">
        <v>245</v>
      </c>
      <c r="W21" s="35"/>
      <c r="X21" s="35"/>
      <c r="Y21" s="35"/>
      <c r="Z21" s="35"/>
      <c r="AA21" s="125"/>
      <c r="AB21" s="126"/>
      <c r="AC21" s="126"/>
      <c r="AD21" s="126"/>
      <c r="AE21" s="126"/>
      <c r="AF21" s="126"/>
      <c r="AG21" s="127" t="s">
        <v>246</v>
      </c>
      <c r="AH21" s="126"/>
      <c r="AI21" s="128"/>
      <c r="AJ21" s="128"/>
      <c r="AK21" s="128"/>
      <c r="AL21" s="128"/>
      <c r="AM21" s="128"/>
      <c r="AN21" s="128"/>
      <c r="AO21" s="128"/>
      <c r="AP21" s="129" t="s">
        <v>247</v>
      </c>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row>
    <row r="22" spans="1:67" ht="29.25" customHeight="1">
      <c r="A22" s="55" t="s">
        <v>128</v>
      </c>
      <c r="B22" s="17" t="s">
        <v>248</v>
      </c>
      <c r="C22" s="106" t="s">
        <v>249</v>
      </c>
      <c r="D22" s="130"/>
      <c r="E22" s="131" t="s">
        <v>250</v>
      </c>
      <c r="F22" s="132" t="s">
        <v>76</v>
      </c>
      <c r="G22" s="133">
        <v>100</v>
      </c>
      <c r="H22" s="22">
        <f>IF(OR(J22="",K22="",K22&lt;J22),0,NETWORKDAYS(J22,K22,fESTIVOS!$A$2:$A$53))</f>
        <v>0</v>
      </c>
      <c r="I22" s="134">
        <v>45800</v>
      </c>
      <c r="J22" s="60">
        <v>45800</v>
      </c>
      <c r="K22" s="60"/>
      <c r="L22" s="60">
        <v>45825</v>
      </c>
      <c r="M22" s="27">
        <f ca="1">IF(OR(J22="",AND(L22="",TODAY()&lt;J22),AND(L22&lt;&gt;"",L22&lt;J22)),0,
   IF(L22="",
      NETWORKDAYS(J22,TODAY(),fESTIVOS!$A$2:$A$53),
      NETWORKDAYS(J22,L22,fESTIVOS!$A$2:$A$53)
   )
)</f>
        <v>17</v>
      </c>
      <c r="N22" s="28"/>
      <c r="O22" s="81">
        <v>45825</v>
      </c>
      <c r="P22" s="61">
        <v>45835</v>
      </c>
      <c r="Q22" s="124"/>
      <c r="R22" s="31" t="s">
        <v>78</v>
      </c>
      <c r="S22" s="135"/>
      <c r="T22" s="135"/>
      <c r="U22" s="108"/>
      <c r="V22" s="34"/>
      <c r="W22" s="34"/>
      <c r="X22" s="35"/>
      <c r="Y22" s="35"/>
      <c r="Z22" s="35"/>
      <c r="AA22" s="34"/>
      <c r="AB22" s="34"/>
      <c r="AC22" s="35"/>
      <c r="AD22" s="34"/>
      <c r="AE22" s="34"/>
      <c r="AF22" s="34"/>
      <c r="AG22" s="34" t="s">
        <v>251</v>
      </c>
      <c r="AH22" s="34" t="s">
        <v>252</v>
      </c>
      <c r="AI22" s="37" t="s">
        <v>253</v>
      </c>
      <c r="AJ22" s="37" t="s">
        <v>254</v>
      </c>
      <c r="AK22" s="37"/>
      <c r="AL22" s="37"/>
      <c r="AM22" s="37" t="s">
        <v>255</v>
      </c>
      <c r="AN22" s="37" t="s">
        <v>256</v>
      </c>
      <c r="AO22" s="37" t="s">
        <v>257</v>
      </c>
      <c r="AP22" s="37" t="s">
        <v>258</v>
      </c>
      <c r="AQ22" s="37" t="s">
        <v>259</v>
      </c>
      <c r="AR22" s="37" t="s">
        <v>260</v>
      </c>
      <c r="AS22" s="37" t="s">
        <v>261</v>
      </c>
      <c r="AT22" s="37"/>
      <c r="AU22" s="37" t="s">
        <v>262</v>
      </c>
      <c r="AV22" s="37"/>
      <c r="AW22" s="37" t="s">
        <v>263</v>
      </c>
      <c r="AX22" s="37"/>
      <c r="AY22" s="37"/>
      <c r="AZ22" s="37"/>
      <c r="BA22" s="37"/>
      <c r="BB22" s="37"/>
      <c r="BC22" s="37"/>
      <c r="BD22" s="37"/>
      <c r="BE22" s="37"/>
      <c r="BF22" s="37"/>
      <c r="BG22" s="37"/>
      <c r="BH22" s="37"/>
      <c r="BI22" s="37"/>
      <c r="BJ22" s="37"/>
      <c r="BK22" s="37"/>
      <c r="BL22" s="37"/>
      <c r="BM22" s="37"/>
      <c r="BN22" s="37"/>
      <c r="BO22" s="37"/>
    </row>
    <row r="23" spans="1:67" ht="29.25" customHeight="1">
      <c r="A23" s="55" t="s">
        <v>128</v>
      </c>
      <c r="B23" s="17" t="s">
        <v>264</v>
      </c>
      <c r="C23" s="106" t="s">
        <v>265</v>
      </c>
      <c r="D23" s="136"/>
      <c r="E23" s="131" t="s">
        <v>250</v>
      </c>
      <c r="F23" s="132" t="s">
        <v>76</v>
      </c>
      <c r="G23" s="133">
        <v>100</v>
      </c>
      <c r="H23" s="22">
        <f>IF(OR(J23="",K23="",K23&lt;J23),0,NETWORKDAYS(J23,K23,fESTIVOS!$A$2:$A$53))</f>
        <v>0</v>
      </c>
      <c r="I23" s="134">
        <v>45800</v>
      </c>
      <c r="J23" s="60">
        <v>45813</v>
      </c>
      <c r="K23" s="60"/>
      <c r="L23" s="60">
        <v>45835</v>
      </c>
      <c r="M23" s="27">
        <f ca="1">IF(OR(J23="",AND(L23="",TODAY()&lt;J23),AND(L23&lt;&gt;"",L23&lt;J23)),0,
   IF(L23="",
      NETWORKDAYS(J23,TODAY(),fESTIVOS!$A$2:$A$53),
      NETWORKDAYS(J23,L23,fESTIVOS!$A$2:$A$53)
   )
)</f>
        <v>16</v>
      </c>
      <c r="N23" s="28"/>
      <c r="O23" s="81">
        <v>45813</v>
      </c>
      <c r="P23" s="61">
        <v>45835</v>
      </c>
      <c r="Q23" s="124"/>
      <c r="R23" s="31" t="s">
        <v>78</v>
      </c>
      <c r="S23" s="135"/>
      <c r="T23" s="135"/>
      <c r="U23" s="108"/>
      <c r="V23" s="34"/>
      <c r="W23" s="34"/>
      <c r="X23" s="35"/>
      <c r="Y23" s="35"/>
      <c r="Z23" s="35"/>
      <c r="AA23" s="34"/>
      <c r="AB23" s="34"/>
      <c r="AC23" s="35"/>
      <c r="AD23" s="34"/>
      <c r="AE23" s="34"/>
      <c r="AF23" s="34"/>
      <c r="AG23" s="34" t="s">
        <v>266</v>
      </c>
      <c r="AH23" s="35"/>
      <c r="AI23" s="37" t="s">
        <v>253</v>
      </c>
      <c r="AJ23" s="37"/>
      <c r="AK23" s="37" t="s">
        <v>267</v>
      </c>
      <c r="AL23" s="37" t="s">
        <v>268</v>
      </c>
      <c r="AM23" s="37" t="s">
        <v>269</v>
      </c>
      <c r="AN23" s="37" t="s">
        <v>270</v>
      </c>
      <c r="AO23" s="37"/>
      <c r="AP23" s="37"/>
      <c r="AQ23" s="37"/>
      <c r="AR23" s="37"/>
      <c r="AS23" s="37" t="s">
        <v>271</v>
      </c>
      <c r="AT23" s="37"/>
      <c r="AU23" s="37" t="s">
        <v>272</v>
      </c>
      <c r="AV23" s="37"/>
      <c r="AW23" s="37" t="s">
        <v>273</v>
      </c>
      <c r="AX23" s="37"/>
      <c r="AY23" s="37"/>
      <c r="AZ23" s="37"/>
      <c r="BA23" s="37"/>
      <c r="BB23" s="37"/>
      <c r="BC23" s="37"/>
      <c r="BD23" s="37"/>
      <c r="BE23" s="37"/>
      <c r="BF23" s="37"/>
      <c r="BG23" s="37"/>
      <c r="BH23" s="37"/>
      <c r="BI23" s="37"/>
      <c r="BJ23" s="37"/>
      <c r="BK23" s="37"/>
      <c r="BL23" s="37"/>
      <c r="BM23" s="37"/>
      <c r="BN23" s="37"/>
      <c r="BO23" s="37"/>
    </row>
    <row r="24" spans="1:67" ht="29.25" customHeight="1">
      <c r="A24" s="55" t="s">
        <v>157</v>
      </c>
      <c r="B24" s="137" t="s">
        <v>274</v>
      </c>
      <c r="C24" s="106" t="s">
        <v>275</v>
      </c>
      <c r="D24" s="76"/>
      <c r="E24" s="123"/>
      <c r="F24" s="85" t="s">
        <v>123</v>
      </c>
      <c r="G24" s="58">
        <v>90</v>
      </c>
      <c r="H24" s="22">
        <f>IF(OR(J24="",K24="",K24&lt;J24),0,NETWORKDAYS(J24,K24,fESTIVOS!$A$2:$A$53))</f>
        <v>3</v>
      </c>
      <c r="I24" s="81">
        <v>45772</v>
      </c>
      <c r="J24" s="60">
        <v>45775</v>
      </c>
      <c r="K24" s="60">
        <v>45777</v>
      </c>
      <c r="L24" s="60"/>
      <c r="M24" s="27">
        <f ca="1">IF(OR(J24="",AND(L24="",TODAY()&lt;J24),AND(L24&lt;&gt;"",L24&lt;J24)),0,
   IF(L24="",
      NETWORKDAYS(J24,TODAY(),fESTIVOS!$A$2:$A$53),
      NETWORKDAYS(J24,L24,fESTIVOS!$A$2:$A$53)
   )
)</f>
        <v>212</v>
      </c>
      <c r="N24" s="28"/>
      <c r="O24" s="81"/>
      <c r="P24" s="61"/>
      <c r="Q24" s="34" t="s">
        <v>276</v>
      </c>
      <c r="R24" s="31" t="s">
        <v>93</v>
      </c>
      <c r="S24" s="138"/>
      <c r="T24" s="138"/>
      <c r="U24" s="102"/>
      <c r="V24" s="34" t="s">
        <v>277</v>
      </c>
      <c r="W24" s="88" t="s">
        <v>278</v>
      </c>
      <c r="X24" s="88" t="s">
        <v>279</v>
      </c>
      <c r="Y24" s="89"/>
      <c r="Z24" s="89"/>
      <c r="AA24" s="89"/>
      <c r="AB24" s="89"/>
      <c r="AC24" s="89"/>
      <c r="AD24" s="89"/>
      <c r="AE24" s="88" t="s">
        <v>280</v>
      </c>
      <c r="AF24" s="89"/>
      <c r="AG24" s="89"/>
      <c r="AH24" s="89"/>
      <c r="AI24" s="90"/>
      <c r="AJ24" s="90"/>
      <c r="AK24" s="90"/>
      <c r="AL24" s="90"/>
      <c r="AM24" s="90"/>
      <c r="AN24" s="90"/>
      <c r="AO24" s="90"/>
      <c r="AP24" s="90"/>
      <c r="AQ24" s="90"/>
      <c r="AR24" s="90"/>
      <c r="AS24" s="90"/>
      <c r="AT24" s="90"/>
      <c r="AU24" s="90"/>
      <c r="AV24" s="90"/>
      <c r="AW24" s="90"/>
      <c r="AX24" s="90"/>
      <c r="AY24" s="90"/>
      <c r="AZ24" s="91" t="s">
        <v>281</v>
      </c>
      <c r="BA24" s="91" t="s">
        <v>282</v>
      </c>
      <c r="BB24" s="91"/>
      <c r="BC24" s="91"/>
      <c r="BD24" s="91" t="s">
        <v>283</v>
      </c>
      <c r="BE24" s="91"/>
      <c r="BF24" s="91" t="s">
        <v>284</v>
      </c>
      <c r="BG24" s="91"/>
      <c r="BH24" s="91" t="s">
        <v>285</v>
      </c>
      <c r="BI24" s="91" t="s">
        <v>286</v>
      </c>
      <c r="BJ24" s="91" t="s">
        <v>287</v>
      </c>
      <c r="BK24" s="91" t="s">
        <v>288</v>
      </c>
      <c r="BL24" s="91"/>
      <c r="BM24" s="91"/>
      <c r="BN24" s="91"/>
      <c r="BO24" s="91"/>
    </row>
    <row r="25" spans="1:67" ht="29.25" customHeight="1">
      <c r="A25" s="16" t="s">
        <v>67</v>
      </c>
      <c r="B25" s="17" t="s">
        <v>289</v>
      </c>
      <c r="C25" s="106" t="s">
        <v>290</v>
      </c>
      <c r="D25" s="76"/>
      <c r="E25" s="123"/>
      <c r="F25" s="85" t="s">
        <v>76</v>
      </c>
      <c r="G25" s="58">
        <v>100</v>
      </c>
      <c r="H25" s="22">
        <f>IF(OR(J25="",K25="",K25&lt;J25),0,NETWORKDAYS(J25,K25,fESTIVOS!$A$2:$A$53))</f>
        <v>2</v>
      </c>
      <c r="I25" s="81">
        <v>45827</v>
      </c>
      <c r="J25" s="60">
        <v>45827</v>
      </c>
      <c r="K25" s="60">
        <v>45828</v>
      </c>
      <c r="L25" s="60">
        <v>45867</v>
      </c>
      <c r="M25" s="27">
        <f ca="1">IF(OR(J25="",AND(L25="",TODAY()&lt;J25),AND(L25&lt;&gt;"",L25&lt;J25)),0,
   IF(L25="",
      NETWORKDAYS(J25,TODAY(),fESTIVOS!$A$2:$A$53),
      NETWORKDAYS(J25,L25,fESTIVOS!$A$2:$A$53)
   )
)</f>
        <v>27</v>
      </c>
      <c r="N25" s="28"/>
      <c r="O25" s="81"/>
      <c r="P25" s="100"/>
      <c r="Q25" s="103"/>
      <c r="R25" s="31" t="s">
        <v>78</v>
      </c>
      <c r="S25" s="138"/>
      <c r="T25" s="138"/>
      <c r="U25" s="102"/>
      <c r="V25" s="103"/>
      <c r="W25" s="103"/>
      <c r="X25" s="34"/>
      <c r="Y25" s="35"/>
      <c r="Z25" s="35"/>
      <c r="AA25" s="34"/>
      <c r="AB25" s="35"/>
      <c r="AC25" s="35"/>
      <c r="AD25" s="35"/>
      <c r="AE25" s="35"/>
      <c r="AF25" s="35"/>
      <c r="AG25" s="35"/>
      <c r="AH25" s="35"/>
      <c r="AI25" s="37"/>
      <c r="AJ25" s="37"/>
      <c r="AK25" s="37"/>
      <c r="AL25" s="37"/>
      <c r="AM25" s="37"/>
      <c r="AN25" s="37"/>
      <c r="AO25" s="37"/>
      <c r="AP25" s="37"/>
      <c r="AQ25" s="37"/>
      <c r="AR25" s="37" t="s">
        <v>291</v>
      </c>
      <c r="AS25" s="37" t="s">
        <v>292</v>
      </c>
      <c r="AT25" s="37"/>
      <c r="AU25" s="37" t="s">
        <v>293</v>
      </c>
      <c r="AV25" s="37"/>
      <c r="AW25" s="37"/>
      <c r="AX25" s="37"/>
      <c r="AY25" s="37"/>
      <c r="AZ25" s="37"/>
      <c r="BA25" s="37"/>
      <c r="BB25" s="37"/>
      <c r="BC25" s="37"/>
      <c r="BD25" s="37"/>
      <c r="BE25" s="37"/>
      <c r="BF25" s="37"/>
      <c r="BG25" s="37"/>
      <c r="BH25" s="37"/>
      <c r="BI25" s="37"/>
      <c r="BJ25" s="37" t="s">
        <v>294</v>
      </c>
      <c r="BK25" s="37" t="s">
        <v>295</v>
      </c>
      <c r="BL25" s="37"/>
      <c r="BM25" s="37" t="s">
        <v>296</v>
      </c>
      <c r="BN25" s="37"/>
      <c r="BO25" s="37"/>
    </row>
    <row r="26" spans="1:67" ht="29.25" customHeight="1">
      <c r="A26" s="16" t="s">
        <v>67</v>
      </c>
      <c r="B26" s="17" t="s">
        <v>297</v>
      </c>
      <c r="C26" s="106" t="s">
        <v>298</v>
      </c>
      <c r="D26" s="76"/>
      <c r="E26" s="123"/>
      <c r="F26" s="85" t="s">
        <v>76</v>
      </c>
      <c r="G26" s="58">
        <v>100</v>
      </c>
      <c r="H26" s="22">
        <f>IF(OR(J26="",K26="",K26&lt;J26),0,NETWORKDAYS(J26,K26,fESTIVOS!$A$2:$A$53))</f>
        <v>0</v>
      </c>
      <c r="I26" s="81">
        <v>45785</v>
      </c>
      <c r="J26" s="60">
        <v>45791</v>
      </c>
      <c r="K26" s="60"/>
      <c r="L26" s="60">
        <v>45972</v>
      </c>
      <c r="M26" s="27">
        <f ca="1">IF(OR(J26="",AND(L26="",TODAY()&lt;J26),AND(L26&lt;&gt;"",L26&lt;J26)),0,
   IF(L26="",
      NETWORKDAYS(J26,TODAY(),fESTIVOS!$A$2:$A$53),
      NETWORKDAYS(J26,L26,fESTIVOS!$A$2:$A$53)
   )
)</f>
        <v>123</v>
      </c>
      <c r="N26" s="28"/>
      <c r="O26" s="81"/>
      <c r="P26" s="100"/>
      <c r="Q26" s="34" t="s">
        <v>299</v>
      </c>
      <c r="R26" s="31" t="s">
        <v>78</v>
      </c>
      <c r="S26" s="138"/>
      <c r="T26" s="138"/>
      <c r="U26" s="102"/>
      <c r="V26" s="103"/>
      <c r="W26" s="103"/>
      <c r="X26" s="103"/>
      <c r="Y26" s="103"/>
      <c r="Z26" s="103"/>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39" t="s">
        <v>319</v>
      </c>
      <c r="BM26" s="139"/>
      <c r="BN26" s="139" t="s">
        <v>320</v>
      </c>
      <c r="BO26" s="139"/>
    </row>
    <row r="27" spans="1:67" ht="29.25" customHeight="1">
      <c r="A27" s="92" t="s">
        <v>157</v>
      </c>
      <c r="B27" s="105" t="s">
        <v>321</v>
      </c>
      <c r="C27" s="140" t="s">
        <v>322</v>
      </c>
      <c r="D27" s="120" t="s">
        <v>323</v>
      </c>
      <c r="E27" s="96"/>
      <c r="F27" s="121" t="s">
        <v>76</v>
      </c>
      <c r="G27" s="97">
        <v>100</v>
      </c>
      <c r="H27" s="22">
        <f>IF(OR(J27="",K27="",K27&lt;J27),0,NETWORKDAYS(J27,K27,fESTIVOS!$A$2:$A$53))</f>
        <v>0</v>
      </c>
      <c r="I27" s="98">
        <v>46002</v>
      </c>
      <c r="J27" s="99">
        <v>46003</v>
      </c>
      <c r="K27" s="99"/>
      <c r="L27" s="99">
        <v>46003</v>
      </c>
      <c r="M27" s="27">
        <f ca="1">IF(OR(J27="",AND(L27="",TODAY()&lt;J27),AND(L27&lt;&gt;"",L27&lt;J27)),0,
   IF(L27="",
      NETWORKDAYS(J27,TODAY(),fESTIVOS!$A$2:$A$53),
      NETWORKDAYS(J27,L27,fESTIVOS!$A$2:$A$53)
   )
)</f>
        <v>1</v>
      </c>
      <c r="N27" s="28"/>
      <c r="O27" s="98"/>
      <c r="P27" s="100"/>
      <c r="Q27" s="34" t="s">
        <v>324</v>
      </c>
      <c r="R27" s="31" t="s">
        <v>78</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spans="1:67" ht="29.25" customHeight="1">
      <c r="A28" s="92" t="s">
        <v>157</v>
      </c>
      <c r="B28" s="93" t="s">
        <v>325</v>
      </c>
      <c r="C28" s="119" t="s">
        <v>326</v>
      </c>
      <c r="D28" s="120" t="s">
        <v>327</v>
      </c>
      <c r="E28" s="96"/>
      <c r="F28" s="121" t="s">
        <v>76</v>
      </c>
      <c r="G28" s="97">
        <v>100</v>
      </c>
      <c r="H28" s="22">
        <f>IF(OR(J28="",K28="",K28&lt;J28),0,NETWORKDAYS(J28,K28,fESTIVOS!$A$2:$A$53))</f>
        <v>0</v>
      </c>
      <c r="I28" s="98">
        <v>46003</v>
      </c>
      <c r="J28" s="99">
        <v>46006</v>
      </c>
      <c r="K28" s="99"/>
      <c r="L28" s="99">
        <v>46007</v>
      </c>
      <c r="M28" s="27">
        <f ca="1">IF(OR(J28="",AND(L28="",TODAY()&lt;J28),AND(L28&lt;&gt;"",L28&lt;J28)),0,
   IF(L28="",
      NETWORKDAYS(J28,TODAY(),fESTIVOS!$A$2:$A$53),
      NETWORKDAYS(J28,L28,fESTIVOS!$A$2:$A$53)
   )
)</f>
        <v>2</v>
      </c>
      <c r="N28" s="28"/>
      <c r="O28" s="98"/>
      <c r="P28" s="100"/>
      <c r="Q28" s="34" t="s">
        <v>328</v>
      </c>
      <c r="R28" s="31" t="s">
        <v>78</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spans="1:67" ht="29.25" customHeight="1">
      <c r="A29" s="55" t="s">
        <v>157</v>
      </c>
      <c r="B29" s="105" t="s">
        <v>329</v>
      </c>
      <c r="C29" s="141" t="s">
        <v>330</v>
      </c>
      <c r="D29" s="76" t="s">
        <v>331</v>
      </c>
      <c r="E29" s="84"/>
      <c r="F29" s="85" t="s">
        <v>76</v>
      </c>
      <c r="G29" s="58">
        <v>100</v>
      </c>
      <c r="H29" s="22">
        <f>IF(OR(J29="",K29="",K29&lt;J29),0,NETWORKDAYS(J29,K29,fESTIVOS!$A$2:$A$53))</f>
        <v>0</v>
      </c>
      <c r="I29" s="81">
        <v>45918</v>
      </c>
      <c r="J29" s="60">
        <v>45929</v>
      </c>
      <c r="K29" s="60"/>
      <c r="L29" s="60">
        <v>45930</v>
      </c>
      <c r="M29" s="27">
        <f ca="1">IF(OR(J29="",AND(L29="",TODAY()&lt;J29),AND(L29&lt;&gt;"",L29&lt;J29)),0,
   IF(L29="",
      NETWORKDAYS(J29,TODAY(),fESTIVOS!$A$2:$A$53),
      NETWORKDAYS(J29,L29,fESTIVOS!$A$2:$A$53)
   )
)</f>
        <v>2</v>
      </c>
      <c r="N29" s="28"/>
      <c r="O29" s="81">
        <v>45930</v>
      </c>
      <c r="P29" s="61">
        <v>46009</v>
      </c>
      <c r="Q29" s="86" t="s">
        <v>332</v>
      </c>
      <c r="R29" s="31" t="s">
        <v>78</v>
      </c>
      <c r="S29" s="58"/>
      <c r="T29" s="58"/>
      <c r="U29" s="108"/>
      <c r="V29" s="88" t="s">
        <v>333</v>
      </c>
      <c r="W29" s="87"/>
      <c r="X29" s="88"/>
      <c r="Y29" s="89"/>
      <c r="Z29" s="88"/>
      <c r="AA29" s="88"/>
      <c r="AB29" s="88"/>
      <c r="AC29" s="89"/>
      <c r="AD29" s="89"/>
      <c r="AE29" s="89"/>
      <c r="AF29" s="89"/>
      <c r="AG29" s="89"/>
      <c r="AH29" s="89"/>
      <c r="AI29" s="90"/>
      <c r="AJ29" s="90"/>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row>
    <row r="30" spans="1:67" ht="29.25" customHeight="1">
      <c r="A30" s="55" t="s">
        <v>128</v>
      </c>
      <c r="B30" s="17" t="s">
        <v>334</v>
      </c>
      <c r="C30" s="106" t="s">
        <v>335</v>
      </c>
      <c r="D30" s="142"/>
      <c r="E30" s="143"/>
      <c r="F30" s="63" t="s">
        <v>76</v>
      </c>
      <c r="G30" s="58">
        <v>100</v>
      </c>
      <c r="H30" s="22">
        <f>IF(OR(J30="",K30="",K30&lt;J30),0,NETWORKDAYS(J30,K30,fESTIVOS!$A$2:$A$53))</f>
        <v>0</v>
      </c>
      <c r="I30" s="81">
        <v>45806</v>
      </c>
      <c r="J30" s="60">
        <v>45806</v>
      </c>
      <c r="K30" s="60"/>
      <c r="L30" s="60">
        <v>45835</v>
      </c>
      <c r="M30" s="27">
        <f ca="1">IF(OR(J30="",AND(L30="",TODAY()&lt;J30),AND(L30&lt;&gt;"",L30&lt;J30)),0,
   IF(L30="",
      NETWORKDAYS(J30,TODAY(),fESTIVOS!$A$2:$A$53),
      NETWORKDAYS(J30,L30,fESTIVOS!$A$2:$A$53)
   )
)</f>
        <v>20</v>
      </c>
      <c r="N30" s="28"/>
      <c r="O30" s="81"/>
      <c r="P30" s="100"/>
      <c r="Q30" s="103"/>
      <c r="R30" s="31" t="s">
        <v>78</v>
      </c>
      <c r="S30" s="138"/>
      <c r="T30" s="138"/>
      <c r="U30" s="102"/>
      <c r="V30" s="103"/>
      <c r="W30" s="103"/>
      <c r="X30" s="103"/>
      <c r="Y30" s="103"/>
      <c r="Z30" s="103"/>
      <c r="AA30" s="103"/>
      <c r="AB30" s="103"/>
      <c r="AC30" s="103"/>
      <c r="AD30" s="103"/>
      <c r="AE30" s="103"/>
      <c r="AF30" s="103"/>
      <c r="AG30" s="103"/>
      <c r="AH30" s="103"/>
      <c r="AI30" s="103"/>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spans="1:67" ht="29.25" customHeight="1">
      <c r="A31" s="55" t="s">
        <v>157</v>
      </c>
      <c r="B31" s="105" t="s">
        <v>344</v>
      </c>
      <c r="C31" s="106" t="s">
        <v>345</v>
      </c>
      <c r="D31" s="142"/>
      <c r="E31" s="143"/>
      <c r="F31" s="63" t="s">
        <v>76</v>
      </c>
      <c r="G31" s="58">
        <v>100</v>
      </c>
      <c r="H31" s="22">
        <f>IF(OR(J31="",K31="",K31&lt;J31),0,NETWORKDAYS(J31,K31,fESTIVOS!$A$2:$A$53))</f>
        <v>0</v>
      </c>
      <c r="I31" s="81">
        <v>45834</v>
      </c>
      <c r="J31" s="60">
        <v>45834</v>
      </c>
      <c r="K31" s="60"/>
      <c r="L31" s="60">
        <v>45834</v>
      </c>
      <c r="M31" s="27">
        <f ca="1">IF(OR(J31="",AND(L31="",TODAY()&lt;J31),AND(L31&lt;&gt;"",L31&lt;J31)),0,
   IF(L31="",
      NETWORKDAYS(J31,TODAY(),fESTIVOS!$A$2:$A$53),
      NETWORKDAYS(J31,L31,fESTIVOS!$A$2:$A$53)
   )
)</f>
        <v>1</v>
      </c>
      <c r="N31" s="28"/>
      <c r="O31" s="81"/>
      <c r="P31" s="100"/>
      <c r="Q31" s="103"/>
      <c r="R31" s="31" t="s">
        <v>78</v>
      </c>
      <c r="S31" s="138"/>
      <c r="T31" s="138"/>
      <c r="U31" s="102"/>
      <c r="V31" s="103"/>
      <c r="W31" s="103"/>
      <c r="X31" s="103"/>
      <c r="Y31" s="103"/>
      <c r="Z31" s="103"/>
      <c r="AA31" s="103"/>
      <c r="AB31" s="103"/>
      <c r="AC31" s="103"/>
      <c r="AD31" s="103"/>
      <c r="AE31" s="103"/>
      <c r="AF31" s="103"/>
      <c r="AG31" s="103"/>
      <c r="AH31" s="103"/>
      <c r="AI31" s="103"/>
      <c r="AJ31" s="103"/>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spans="1:67" ht="29.25" customHeight="1">
      <c r="A32" s="55" t="s">
        <v>157</v>
      </c>
      <c r="B32" s="17" t="s">
        <v>346</v>
      </c>
      <c r="C32" s="106" t="s">
        <v>347</v>
      </c>
      <c r="D32" s="114"/>
      <c r="E32" s="143"/>
      <c r="F32" s="63" t="s">
        <v>76</v>
      </c>
      <c r="G32" s="58">
        <v>100</v>
      </c>
      <c r="H32" s="22">
        <f>IF(OR(J32="",K32="",K32&lt;J32),0,NETWORKDAYS(J32,K32,fESTIVOS!$A$2:$A$53))</f>
        <v>0</v>
      </c>
      <c r="I32" s="81">
        <v>45846</v>
      </c>
      <c r="J32" s="60">
        <v>45848</v>
      </c>
      <c r="K32" s="60"/>
      <c r="L32" s="60">
        <v>45848</v>
      </c>
      <c r="M32" s="27">
        <f ca="1">IF(OR(J32="",AND(L32="",TODAY()&lt;J32),AND(L32&lt;&gt;"",L32&lt;J32)),0,
   IF(L32="",
      NETWORKDAYS(J32,TODAY(),fESTIVOS!$A$2:$A$53),
      NETWORKDAYS(J32,L32,fESTIVOS!$A$2:$A$53)
   )
)</f>
        <v>1</v>
      </c>
      <c r="N32" s="28"/>
      <c r="O32" s="81"/>
      <c r="P32" s="100"/>
      <c r="Q32" s="103"/>
      <c r="R32" s="31" t="s">
        <v>78</v>
      </c>
      <c r="S32" s="138"/>
      <c r="T32" s="138"/>
      <c r="U32" s="102"/>
      <c r="V32" s="103"/>
      <c r="W32" s="103"/>
      <c r="X32" s="103"/>
      <c r="Y32" s="103"/>
      <c r="Z32" s="103"/>
      <c r="AA32" s="103"/>
      <c r="AB32" s="103"/>
      <c r="AC32" s="103"/>
      <c r="AD32" s="103"/>
      <c r="AE32" s="103"/>
      <c r="AF32" s="103"/>
      <c r="AG32" s="103"/>
      <c r="AH32" s="103"/>
      <c r="AI32" s="103"/>
      <c r="AJ32" s="103"/>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spans="1:67" ht="29.25" customHeight="1">
      <c r="A33" s="55" t="s">
        <v>67</v>
      </c>
      <c r="B33" s="105" t="s">
        <v>349</v>
      </c>
      <c r="C33" s="106" t="s">
        <v>350</v>
      </c>
      <c r="D33" s="142"/>
      <c r="E33" s="143"/>
      <c r="F33" s="63" t="s">
        <v>76</v>
      </c>
      <c r="G33" s="58">
        <v>100</v>
      </c>
      <c r="H33" s="22">
        <f>IF(OR(J33="",K33="",K33&lt;J33),0,NETWORKDAYS(J33,K33,fESTIVOS!$A$2:$A$53))</f>
        <v>0</v>
      </c>
      <c r="I33" s="81">
        <v>45835</v>
      </c>
      <c r="J33" s="60">
        <v>45840</v>
      </c>
      <c r="K33" s="60"/>
      <c r="L33" s="60">
        <v>45915</v>
      </c>
      <c r="M33" s="27">
        <f ca="1">IF(OR(J33="",AND(L33="",TODAY()&lt;J33),AND(L33&lt;&gt;"",L33&lt;J33)),0,
   IF(L33="",
      NETWORKDAYS(J33,TODAY(),fESTIVOS!$A$2:$A$53),
      NETWORKDAYS(J33,L33,fESTIVOS!$A$2:$A$53)
   )
)</f>
        <v>52</v>
      </c>
      <c r="N33" s="28"/>
      <c r="O33" s="81">
        <v>45916</v>
      </c>
      <c r="P33" s="100">
        <v>45929</v>
      </c>
      <c r="Q33" s="34" t="s">
        <v>351</v>
      </c>
      <c r="R33" s="31" t="s">
        <v>78</v>
      </c>
      <c r="S33" s="138"/>
      <c r="T33" s="138"/>
      <c r="U33" s="102"/>
      <c r="V33" s="103"/>
      <c r="W33" s="103"/>
      <c r="X33" s="103"/>
      <c r="Y33" s="103"/>
      <c r="Z33" s="103"/>
      <c r="AA33" s="103"/>
      <c r="AB33" s="103"/>
      <c r="AC33" s="103"/>
      <c r="AD33" s="103"/>
      <c r="AE33" s="103"/>
      <c r="AF33" s="103"/>
      <c r="AG33" s="103"/>
      <c r="AH33" s="103"/>
      <c r="AI33" s="103"/>
      <c r="AJ33" s="103"/>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spans="1:67" ht="29.25" customHeight="1">
      <c r="A34" s="55" t="s">
        <v>157</v>
      </c>
      <c r="B34" s="105" t="s">
        <v>361</v>
      </c>
      <c r="C34" s="106" t="s">
        <v>362</v>
      </c>
      <c r="D34" s="142"/>
      <c r="E34" s="143"/>
      <c r="F34" s="63" t="s">
        <v>76</v>
      </c>
      <c r="G34" s="58">
        <v>100</v>
      </c>
      <c r="H34" s="22">
        <f>IF(OR(J34="",K34="",K34&lt;J34),0,NETWORKDAYS(J34,K34,fESTIVOS!$A$2:$A$53))</f>
        <v>1</v>
      </c>
      <c r="I34" s="81">
        <v>45811</v>
      </c>
      <c r="J34" s="60">
        <v>45817</v>
      </c>
      <c r="K34" s="60">
        <v>45817</v>
      </c>
      <c r="L34" s="60">
        <v>45834</v>
      </c>
      <c r="M34" s="27">
        <f ca="1">IF(OR(J34="",AND(L34="",TODAY()&lt;J34),AND(L34&lt;&gt;"",L34&lt;J34)),0,
   IF(L34="",
      NETWORKDAYS(J34,TODAY(),fESTIVOS!$A$2:$A$53),
      NETWORKDAYS(J34,L34,fESTIVOS!$A$2:$A$53)
   )
)</f>
        <v>13</v>
      </c>
      <c r="N34" s="28"/>
      <c r="O34" s="81"/>
      <c r="P34" s="100"/>
      <c r="Q34" s="103"/>
      <c r="R34" s="31" t="s">
        <v>78</v>
      </c>
      <c r="S34" s="138"/>
      <c r="T34" s="138"/>
      <c r="U34" s="102"/>
      <c r="V34" s="103"/>
      <c r="W34" s="103"/>
      <c r="X34" s="103"/>
      <c r="Y34" s="103"/>
      <c r="Z34" s="103"/>
      <c r="AA34" s="103"/>
      <c r="AB34" s="103"/>
      <c r="AC34" s="103"/>
      <c r="AD34" s="103"/>
      <c r="AE34" s="103"/>
      <c r="AF34" s="103"/>
      <c r="AG34" s="103"/>
      <c r="AH34" s="103"/>
      <c r="AI34" s="103"/>
      <c r="AJ34" s="103"/>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spans="1:67" ht="41.25" customHeight="1">
      <c r="A35" s="55" t="s">
        <v>128</v>
      </c>
      <c r="B35" s="105" t="s">
        <v>374</v>
      </c>
      <c r="C35" s="106" t="s">
        <v>375</v>
      </c>
      <c r="D35" s="114"/>
      <c r="E35" s="144"/>
      <c r="F35" s="63" t="s">
        <v>76</v>
      </c>
      <c r="G35" s="58">
        <v>100</v>
      </c>
      <c r="H35" s="22">
        <f>IF(OR(J35="",K35="",K35&lt;J35),0,NETWORKDAYS(J35,K35,fESTIVOS!$A$2:$A$53))</f>
        <v>0</v>
      </c>
      <c r="I35" s="81">
        <v>45845</v>
      </c>
      <c r="J35" s="60">
        <v>45845</v>
      </c>
      <c r="K35" s="60"/>
      <c r="L35" s="60">
        <v>45849</v>
      </c>
      <c r="M35" s="27">
        <f ca="1">IF(OR(J35="",AND(L35="",TODAY()&lt;J35),AND(L35&lt;&gt;"",L35&lt;J35)),0,
   IF(L35="",
      NETWORKDAYS(J35,TODAY(),fESTIVOS!$A$2:$A$53),
      NETWORKDAYS(J35,L35,fESTIVOS!$A$2:$A$53)
   )
)</f>
        <v>5</v>
      </c>
      <c r="N35" s="28"/>
      <c r="O35" s="81">
        <v>45849</v>
      </c>
      <c r="P35" s="100"/>
      <c r="Q35" s="103"/>
      <c r="R35" s="31" t="s">
        <v>78</v>
      </c>
      <c r="S35" s="138"/>
      <c r="T35" s="138"/>
      <c r="U35" s="102"/>
      <c r="V35" s="103"/>
      <c r="W35" s="103"/>
      <c r="X35" s="103"/>
      <c r="Y35" s="103"/>
      <c r="Z35" s="103"/>
      <c r="AA35" s="103"/>
      <c r="AB35" s="103"/>
      <c r="AC35" s="103"/>
      <c r="AD35" s="103"/>
      <c r="AE35" s="103"/>
      <c r="AF35" s="103"/>
      <c r="AG35" s="103"/>
      <c r="AH35" s="103"/>
      <c r="AI35" s="103"/>
      <c r="AJ35" s="103"/>
      <c r="AK35" s="37"/>
      <c r="AL35" s="37"/>
      <c r="AM35" s="37"/>
      <c r="AN35" s="37"/>
      <c r="AO35" s="37"/>
      <c r="AP35" s="37"/>
      <c r="AQ35" s="37"/>
      <c r="AR35" s="37"/>
      <c r="AS35" s="37"/>
      <c r="AT35" s="37"/>
      <c r="AU35" s="37"/>
      <c r="AV35" s="37"/>
      <c r="AW35" s="37"/>
      <c r="AX35" s="37"/>
      <c r="AY35" s="66" t="s">
        <v>376</v>
      </c>
      <c r="AZ35" s="66"/>
      <c r="BA35" s="66" t="s">
        <v>377</v>
      </c>
      <c r="BB35" s="66"/>
      <c r="BC35" s="66" t="s">
        <v>378</v>
      </c>
      <c r="BD35" s="66" t="s">
        <v>379</v>
      </c>
      <c r="BE35" s="66"/>
      <c r="BF35" s="145" t="s">
        <v>153</v>
      </c>
      <c r="BG35" s="145"/>
      <c r="BH35" s="145"/>
      <c r="BI35" s="145"/>
      <c r="BJ35" s="145"/>
      <c r="BK35" s="145"/>
      <c r="BL35" s="145"/>
      <c r="BM35" s="145"/>
      <c r="BN35" s="145"/>
      <c r="BO35" s="145"/>
    </row>
    <row r="36" spans="1:67" ht="29.25" customHeight="1">
      <c r="A36" s="92" t="s">
        <v>128</v>
      </c>
      <c r="B36" s="93" t="s">
        <v>380</v>
      </c>
      <c r="C36" s="106" t="s">
        <v>381</v>
      </c>
      <c r="D36" s="95" t="s">
        <v>382</v>
      </c>
      <c r="E36" s="96"/>
      <c r="F36" s="111" t="s">
        <v>76</v>
      </c>
      <c r="G36" s="97">
        <v>100</v>
      </c>
      <c r="H36" s="22">
        <f>IF(OR(J36="",K36="",K36&lt;J36),0,NETWORKDAYS(J36,K36,fESTIVOS!$A$2:$A$53))</f>
        <v>0</v>
      </c>
      <c r="I36" s="98">
        <v>45902</v>
      </c>
      <c r="J36" s="99">
        <v>45946</v>
      </c>
      <c r="K36" s="99"/>
      <c r="L36" s="99">
        <v>45967</v>
      </c>
      <c r="M36" s="27">
        <f ca="1">IF(OR(J36="",AND(L36="",TODAY()&lt;J36),AND(L36&lt;&gt;"",L36&lt;J36)),0,
   IF(L36="",
      NETWORKDAYS(J36,TODAY(),fESTIVOS!$A$2:$A$53),
      NETWORKDAYS(J36,L36,fESTIVOS!$A$2:$A$53)
   )
)</f>
        <v>15</v>
      </c>
      <c r="N36" s="28"/>
      <c r="O36" s="98">
        <v>45967</v>
      </c>
      <c r="P36" s="100">
        <v>46003</v>
      </c>
      <c r="Q36" s="34" t="s">
        <v>383</v>
      </c>
      <c r="R36" s="31" t="s">
        <v>78</v>
      </c>
      <c r="S36" s="101"/>
      <c r="T36" s="97" t="s">
        <v>384</v>
      </c>
      <c r="U36" s="121" t="s">
        <v>385</v>
      </c>
      <c r="V36" s="103"/>
      <c r="W36" s="103"/>
      <c r="X36" s="103"/>
      <c r="Y36" s="103"/>
      <c r="Z36" s="103"/>
      <c r="AA36" s="103"/>
      <c r="AB36" s="103"/>
      <c r="AC36" s="103"/>
      <c r="AD36" s="103"/>
      <c r="AE36" s="103"/>
      <c r="AF36" s="103"/>
      <c r="AG36" s="103"/>
      <c r="AH36" s="103"/>
      <c r="AI36" s="103"/>
      <c r="AJ36" s="103"/>
      <c r="AK36" s="103"/>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spans="1:67" ht="29.25" customHeight="1">
      <c r="A37" s="92" t="s">
        <v>210</v>
      </c>
      <c r="B37" s="105" t="s">
        <v>386</v>
      </c>
      <c r="C37" s="119" t="s">
        <v>387</v>
      </c>
      <c r="D37" s="95"/>
      <c r="E37" s="96"/>
      <c r="F37" s="121" t="s">
        <v>76</v>
      </c>
      <c r="G37" s="97">
        <v>100</v>
      </c>
      <c r="H37" s="22">
        <f>IF(OR(J37="",K37="",K37&lt;J37),0,NETWORKDAYS(J37,K37,fESTIVOS!$A$2:$A$53))</f>
        <v>0</v>
      </c>
      <c r="I37" s="98">
        <v>46006</v>
      </c>
      <c r="J37" s="99">
        <v>46009</v>
      </c>
      <c r="K37" s="99"/>
      <c r="L37" s="99">
        <v>46021</v>
      </c>
      <c r="M37" s="27">
        <f ca="1">IF(OR(J37="",AND(L37="",TODAY()&lt;J37),AND(L37&lt;&gt;"",L37&lt;J37)),0,
   IF(L37="",
      NETWORKDAYS(J37,TODAY(),fESTIVOS!$A$2:$A$53),
      NETWORKDAYS(J37,L37,fESTIVOS!$A$2:$A$53)
   )
)</f>
        <v>8</v>
      </c>
      <c r="N37" s="28"/>
      <c r="O37" s="98"/>
      <c r="P37" s="100"/>
      <c r="Q37" s="34" t="s">
        <v>388</v>
      </c>
      <c r="R37" s="112" t="s">
        <v>78</v>
      </c>
      <c r="S37" s="101"/>
      <c r="T37" s="97"/>
      <c r="U37" s="102"/>
      <c r="V37" s="103"/>
      <c r="W37" s="103"/>
      <c r="X37" s="103"/>
      <c r="Y37" s="103"/>
      <c r="Z37" s="103"/>
      <c r="AA37" s="103"/>
      <c r="AB37" s="103"/>
      <c r="AC37" s="103"/>
      <c r="AD37" s="103"/>
      <c r="AE37" s="103"/>
      <c r="AF37" s="103"/>
      <c r="AG37" s="103"/>
      <c r="AH37" s="103"/>
      <c r="AI37" s="103"/>
      <c r="AJ37" s="103"/>
      <c r="AK37" s="103"/>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spans="1:67" ht="29.25" customHeight="1">
      <c r="A38" s="55" t="s">
        <v>128</v>
      </c>
      <c r="B38" s="17" t="s">
        <v>389</v>
      </c>
      <c r="C38" s="106" t="s">
        <v>390</v>
      </c>
      <c r="D38" s="146"/>
      <c r="E38" s="147"/>
      <c r="F38" s="63" t="s">
        <v>76</v>
      </c>
      <c r="G38" s="58">
        <v>100</v>
      </c>
      <c r="H38" s="22">
        <f>IF(OR(J38="",K38="",K38&lt;J38),0,NETWORKDAYS(J38,K38,fESTIVOS!$A$2:$A$53))</f>
        <v>0</v>
      </c>
      <c r="I38" s="81">
        <v>45841</v>
      </c>
      <c r="J38" s="60">
        <v>45853</v>
      </c>
      <c r="K38" s="60"/>
      <c r="L38" s="60">
        <v>45859</v>
      </c>
      <c r="M38" s="27">
        <f ca="1">IF(OR(J38="",AND(L38="",TODAY()&lt;J38),AND(L38&lt;&gt;"",L38&lt;J38)),0,
   IF(L38="",
      NETWORKDAYS(J38,TODAY(),fESTIVOS!$A$2:$A$53),
      NETWORKDAYS(J38,L38,fESTIVOS!$A$2:$A$53)
   )
)</f>
        <v>5</v>
      </c>
      <c r="N38" s="28"/>
      <c r="O38" s="81"/>
      <c r="P38" s="100"/>
      <c r="Q38" s="103"/>
      <c r="R38" s="31" t="s">
        <v>78</v>
      </c>
      <c r="S38" s="58"/>
      <c r="T38" s="58"/>
      <c r="U38" s="102"/>
      <c r="V38" s="103"/>
      <c r="W38" s="103"/>
      <c r="X38" s="103"/>
      <c r="Y38" s="103"/>
      <c r="Z38" s="103"/>
      <c r="AA38" s="103"/>
      <c r="AB38" s="103"/>
      <c r="AC38" s="103"/>
      <c r="AD38" s="103"/>
      <c r="AE38" s="103"/>
      <c r="AF38" s="103"/>
      <c r="AG38" s="103"/>
      <c r="AH38" s="103"/>
      <c r="AI38" s="103"/>
      <c r="AJ38" s="103"/>
      <c r="AK38" s="103"/>
      <c r="AL38" s="37"/>
      <c r="AM38" s="37"/>
      <c r="AN38" s="145"/>
      <c r="AO38" s="145"/>
      <c r="AP38" s="145"/>
      <c r="AQ38" s="145"/>
      <c r="AR38" s="37"/>
      <c r="AS38" s="37"/>
      <c r="AT38" s="37"/>
      <c r="AU38" s="37"/>
      <c r="AV38" s="37"/>
      <c r="AW38" s="37"/>
      <c r="AX38" s="37"/>
      <c r="AY38" s="66" t="s">
        <v>391</v>
      </c>
      <c r="AZ38" s="66"/>
      <c r="BA38" s="66" t="s">
        <v>392</v>
      </c>
      <c r="BB38" s="66"/>
      <c r="BC38" s="66"/>
      <c r="BD38" s="66"/>
      <c r="BE38" s="66"/>
      <c r="BF38" s="66" t="s">
        <v>393</v>
      </c>
      <c r="BG38" s="66"/>
      <c r="BH38" s="66" t="s">
        <v>394</v>
      </c>
      <c r="BI38" s="66" t="s">
        <v>395</v>
      </c>
      <c r="BJ38" s="66" t="s">
        <v>396</v>
      </c>
      <c r="BK38" s="66"/>
      <c r="BL38" s="66"/>
      <c r="BM38" s="66"/>
      <c r="BN38" s="66"/>
      <c r="BO38" s="66"/>
    </row>
    <row r="39" spans="1:67" ht="29.25" customHeight="1">
      <c r="A39" s="55" t="s">
        <v>128</v>
      </c>
      <c r="B39" s="17" t="s">
        <v>397</v>
      </c>
      <c r="C39" s="106" t="s">
        <v>398</v>
      </c>
      <c r="D39" s="146"/>
      <c r="E39" s="147"/>
      <c r="F39" s="63" t="s">
        <v>76</v>
      </c>
      <c r="G39" s="58">
        <v>100</v>
      </c>
      <c r="H39" s="22">
        <f>IF(OR(J39="",K39="",K39&lt;J39),0,NETWORKDAYS(J39,K39,fESTIVOS!$A$2:$A$53))</f>
        <v>0</v>
      </c>
      <c r="I39" s="81">
        <v>45836</v>
      </c>
      <c r="J39" s="60">
        <v>45836</v>
      </c>
      <c r="K39" s="60"/>
      <c r="L39" s="60">
        <v>45841</v>
      </c>
      <c r="M39" s="27">
        <f ca="1">IF(OR(J39="",AND(L39="",TODAY()&lt;J39),AND(L39&lt;&gt;"",L39&lt;J39)),0,
   IF(L39="",
      NETWORKDAYS(J39,TODAY(),fESTIVOS!$A$2:$A$53),
      NETWORKDAYS(J39,L39,fESTIVOS!$A$2:$A$53)
   )
)</f>
        <v>3</v>
      </c>
      <c r="N39" s="28"/>
      <c r="O39" s="81"/>
      <c r="P39" s="100"/>
      <c r="Q39" s="103"/>
      <c r="R39" s="31" t="s">
        <v>78</v>
      </c>
      <c r="S39" s="58"/>
      <c r="T39" s="58"/>
      <c r="U39" s="102"/>
      <c r="V39" s="103"/>
      <c r="W39" s="103"/>
      <c r="X39" s="103"/>
      <c r="Y39" s="103"/>
      <c r="Z39" s="103"/>
      <c r="AA39" s="103"/>
      <c r="AB39" s="103"/>
      <c r="AC39" s="103"/>
      <c r="AD39" s="103"/>
      <c r="AE39" s="103"/>
      <c r="AF39" s="103"/>
      <c r="AG39" s="103"/>
      <c r="AH39" s="103"/>
      <c r="AI39" s="103"/>
      <c r="AJ39" s="103"/>
      <c r="AK39" s="103"/>
      <c r="AL39" s="37"/>
      <c r="AM39" s="37"/>
      <c r="AN39" s="145"/>
      <c r="AO39" s="145"/>
      <c r="AP39" s="145"/>
      <c r="AQ39" s="145"/>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spans="1:67" ht="29.25" customHeight="1">
      <c r="A40" s="55" t="s">
        <v>128</v>
      </c>
      <c r="B40" s="17" t="s">
        <v>402</v>
      </c>
      <c r="C40" s="106" t="s">
        <v>403</v>
      </c>
      <c r="D40" s="148"/>
      <c r="E40" s="147" t="s">
        <v>250</v>
      </c>
      <c r="F40" s="63" t="s">
        <v>76</v>
      </c>
      <c r="G40" s="58">
        <v>100</v>
      </c>
      <c r="H40" s="22">
        <f>IF(OR(J40="",K40="",K40&lt;J40),0,NETWORKDAYS(J40,K40,fESTIVOS!$A$2:$A$53))</f>
        <v>0</v>
      </c>
      <c r="I40" s="81">
        <v>45814</v>
      </c>
      <c r="J40" s="60">
        <v>45819</v>
      </c>
      <c r="K40" s="60"/>
      <c r="L40" s="60">
        <v>45833</v>
      </c>
      <c r="M40" s="27">
        <f ca="1">IF(OR(J40="",AND(L40="",TODAY()&lt;J40),AND(L40&lt;&gt;"",L40&lt;J40)),0,
   IF(L40="",
      NETWORKDAYS(J40,TODAY(),fESTIVOS!$A$2:$A$53),
      NETWORKDAYS(J40,L40,fESTIVOS!$A$2:$A$53)
   )
)</f>
        <v>10</v>
      </c>
      <c r="N40" s="28"/>
      <c r="O40" s="81">
        <v>45827</v>
      </c>
      <c r="P40" s="100">
        <v>45841</v>
      </c>
      <c r="Q40" s="103"/>
      <c r="R40" s="31" t="s">
        <v>78</v>
      </c>
      <c r="S40" s="58"/>
      <c r="T40" s="58" t="s">
        <v>404</v>
      </c>
      <c r="U40" s="121" t="s">
        <v>405</v>
      </c>
      <c r="V40" s="103"/>
      <c r="W40" s="103"/>
      <c r="X40" s="103"/>
      <c r="Y40" s="103"/>
      <c r="Z40" s="103"/>
      <c r="AA40" s="103"/>
      <c r="AB40" s="103"/>
      <c r="AC40" s="103"/>
      <c r="AD40" s="103"/>
      <c r="AE40" s="103"/>
      <c r="AF40" s="103"/>
      <c r="AG40" s="103"/>
      <c r="AH40" s="103"/>
      <c r="AI40" s="103"/>
      <c r="AJ40" s="103"/>
      <c r="AK40" s="103"/>
      <c r="AL40" s="34" t="s">
        <v>406</v>
      </c>
      <c r="AM40" s="37" t="s">
        <v>407</v>
      </c>
      <c r="AN40" s="145" t="s">
        <v>408</v>
      </c>
      <c r="AO40" s="145" t="s">
        <v>409</v>
      </c>
      <c r="AP40" s="145" t="s">
        <v>410</v>
      </c>
      <c r="AQ40" s="145"/>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spans="1:67" ht="29.25" customHeight="1">
      <c r="A41" s="16" t="s">
        <v>67</v>
      </c>
      <c r="B41" s="17" t="s">
        <v>417</v>
      </c>
      <c r="C41" s="106" t="s">
        <v>418</v>
      </c>
      <c r="D41" s="142"/>
      <c r="E41" s="143"/>
      <c r="F41" s="20" t="s">
        <v>76</v>
      </c>
      <c r="G41" s="58">
        <v>100</v>
      </c>
      <c r="H41" s="22">
        <f>IF(OR(J41="",K41="",K41&lt;J41),0,NETWORKDAYS(J41,K41,fESTIVOS!$A$2:$A$53))</f>
        <v>0</v>
      </c>
      <c r="I41" s="81">
        <v>45818</v>
      </c>
      <c r="J41" s="60">
        <v>45818</v>
      </c>
      <c r="K41" s="60"/>
      <c r="L41" s="60">
        <v>45820</v>
      </c>
      <c r="M41" s="27">
        <f ca="1">IF(OR(J41="",AND(L41="",TODAY()&lt;J41),AND(L41&lt;&gt;"",L41&lt;J41)),0,
   IF(L41="",
      NETWORKDAYS(J41,TODAY(),fESTIVOS!$A$2:$A$53),
      NETWORKDAYS(J41,L41,fESTIVOS!$A$2:$A$53)
   )
)</f>
        <v>3</v>
      </c>
      <c r="N41" s="28"/>
      <c r="O41" s="81"/>
      <c r="P41" s="100"/>
      <c r="Q41" s="34" t="s">
        <v>419</v>
      </c>
      <c r="R41" s="31" t="s">
        <v>78</v>
      </c>
      <c r="S41" s="138"/>
      <c r="T41" s="138"/>
      <c r="U41" s="102"/>
      <c r="V41" s="103"/>
      <c r="W41" s="103"/>
      <c r="X41" s="103"/>
      <c r="Y41" s="103"/>
      <c r="Z41" s="103"/>
      <c r="AA41" s="103"/>
      <c r="AB41" s="103"/>
      <c r="AC41" s="103"/>
      <c r="AD41" s="103"/>
      <c r="AE41" s="103"/>
      <c r="AF41" s="103"/>
      <c r="AG41" s="103"/>
      <c r="AH41" s="103"/>
      <c r="AI41" s="103"/>
      <c r="AJ41" s="103"/>
      <c r="AK41" s="103"/>
      <c r="AL41" s="103"/>
      <c r="AM41" s="103"/>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spans="1:67" ht="29.25" customHeight="1">
      <c r="A42" s="16" t="s">
        <v>67</v>
      </c>
      <c r="B42" s="17" t="s">
        <v>423</v>
      </c>
      <c r="C42" s="106" t="s">
        <v>424</v>
      </c>
      <c r="D42" s="114"/>
      <c r="E42" s="143"/>
      <c r="F42" s="63" t="s">
        <v>76</v>
      </c>
      <c r="G42" s="58">
        <v>100</v>
      </c>
      <c r="H42" s="22">
        <f>IF(OR(J42="",K42="",K42&lt;J42),0,NETWORKDAYS(J42,K42,fESTIVOS!$A$2:$A$53))</f>
        <v>10</v>
      </c>
      <c r="I42" s="81">
        <v>45818</v>
      </c>
      <c r="J42" s="60">
        <v>45821</v>
      </c>
      <c r="K42" s="60">
        <v>45835</v>
      </c>
      <c r="L42" s="60">
        <v>45832</v>
      </c>
      <c r="M42" s="27">
        <f ca="1">IF(OR(J42="",AND(L42="",TODAY()&lt;J42),AND(L42&lt;&gt;"",L42&lt;J42)),0,
   IF(L42="",
      NETWORKDAYS(J42,TODAY(),fESTIVOS!$A$2:$A$53),
      NETWORKDAYS(J42,L42,fESTIVOS!$A$2:$A$53)
   )
)</f>
        <v>7</v>
      </c>
      <c r="N42" s="28"/>
      <c r="O42" s="81"/>
      <c r="P42" s="100"/>
      <c r="Q42" s="103"/>
      <c r="R42" s="31" t="s">
        <v>78</v>
      </c>
      <c r="S42" s="138"/>
      <c r="T42" s="138"/>
      <c r="U42" s="102"/>
      <c r="V42" s="103"/>
      <c r="W42" s="103"/>
      <c r="X42" s="103"/>
      <c r="Y42" s="103"/>
      <c r="Z42" s="103"/>
      <c r="AA42" s="103"/>
      <c r="AB42" s="103"/>
      <c r="AC42" s="103"/>
      <c r="AD42" s="103"/>
      <c r="AE42" s="103"/>
      <c r="AF42" s="103"/>
      <c r="AG42" s="103"/>
      <c r="AH42" s="103"/>
      <c r="AI42" s="103"/>
      <c r="AJ42" s="103"/>
      <c r="AK42" s="103"/>
      <c r="AL42" s="103"/>
      <c r="AM42" s="103"/>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spans="1:67" ht="29.25" customHeight="1">
      <c r="A43" s="16" t="s">
        <v>67</v>
      </c>
      <c r="B43" s="105" t="s">
        <v>430</v>
      </c>
      <c r="C43" s="106" t="s">
        <v>431</v>
      </c>
      <c r="D43" s="114"/>
      <c r="E43" s="143"/>
      <c r="F43" s="63" t="s">
        <v>76</v>
      </c>
      <c r="G43" s="58">
        <v>100</v>
      </c>
      <c r="H43" s="22">
        <f>IF(OR(J43="",K43="",K43&lt;J43),0,NETWORKDAYS(J43,K43,fESTIVOS!$A$2:$A$53))</f>
        <v>0</v>
      </c>
      <c r="I43" s="81">
        <v>45839</v>
      </c>
      <c r="J43" s="60">
        <v>45839</v>
      </c>
      <c r="K43" s="60"/>
      <c r="L43" s="60">
        <v>45840</v>
      </c>
      <c r="M43" s="27">
        <f ca="1">IF(OR(J43="",AND(L43="",TODAY()&lt;J43),AND(L43&lt;&gt;"",L43&lt;J43)),0,
   IF(L43="",
      NETWORKDAYS(J43,TODAY(),fESTIVOS!$A$2:$A$53),
      NETWORKDAYS(J43,L43,fESTIVOS!$A$2:$A$53)
   )
)</f>
        <v>2</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103"/>
      <c r="AL43" s="103"/>
      <c r="AM43" s="103"/>
      <c r="AN43" s="34"/>
      <c r="AO43" s="104"/>
      <c r="AP43" s="104"/>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spans="1:67" ht="29.25" customHeight="1">
      <c r="A44" s="16" t="s">
        <v>67</v>
      </c>
      <c r="B44" s="17" t="s">
        <v>434</v>
      </c>
      <c r="C44" s="106" t="s">
        <v>435</v>
      </c>
      <c r="D44" s="114"/>
      <c r="E44" s="143"/>
      <c r="F44" s="63" t="s">
        <v>76</v>
      </c>
      <c r="G44" s="58">
        <v>100</v>
      </c>
      <c r="H44" s="22">
        <f>IF(OR(J44="",K44="",K44&lt;J44),0,NETWORKDAYS(J44,K44,fESTIVOS!$A$2:$A$53))</f>
        <v>24</v>
      </c>
      <c r="I44" s="81">
        <v>45818</v>
      </c>
      <c r="J44" s="60">
        <v>45825</v>
      </c>
      <c r="K44" s="60">
        <v>45860</v>
      </c>
      <c r="L44" s="60">
        <v>45847</v>
      </c>
      <c r="M44" s="27">
        <f ca="1">IF(OR(J44="",AND(L44="",TODAY()&lt;J44),AND(L44&lt;&gt;"",L44&lt;J44)),0,
   IF(L44="",
      NETWORKDAYS(J44,TODAY(),fESTIVOS!$A$2:$A$53),
      NETWORKDAYS(J44,L44,fESTIVOS!$A$2:$A$53)
   )
)</f>
        <v>15</v>
      </c>
      <c r="N44" s="28"/>
      <c r="O44" s="81">
        <v>45847</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103"/>
      <c r="AL44" s="103"/>
      <c r="AM44" s="103"/>
      <c r="AN44" s="34" t="s">
        <v>436</v>
      </c>
      <c r="AO44" s="104"/>
      <c r="AP44" s="104"/>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spans="1:67" ht="29.25" customHeight="1">
      <c r="A45" s="16" t="s">
        <v>67</v>
      </c>
      <c r="B45" s="105" t="s">
        <v>450</v>
      </c>
      <c r="C45" s="106" t="s">
        <v>451</v>
      </c>
      <c r="D45" s="114"/>
      <c r="E45" s="143"/>
      <c r="F45" s="63" t="s">
        <v>76</v>
      </c>
      <c r="G45" s="58">
        <v>100</v>
      </c>
      <c r="H45" s="22">
        <f>IF(OR(J45="",K45="",K45&lt;J45),0,NETWORKDAYS(J45,K45,fESTIVOS!$A$2:$A$53))</f>
        <v>0</v>
      </c>
      <c r="I45" s="81">
        <v>45864</v>
      </c>
      <c r="J45" s="60">
        <v>45864</v>
      </c>
      <c r="K45" s="60">
        <v>45839</v>
      </c>
      <c r="L45" s="60">
        <v>45865</v>
      </c>
      <c r="M45" s="27">
        <f ca="1">IF(OR(J45="",AND(L45="",TODAY()&lt;J45),AND(L45&lt;&gt;"",L45&lt;J45)),0,
   IF(L45="",
      NETWORKDAYS(J45,TODAY(),fESTIVOS!$A$2:$A$53),
      NETWORKDAYS(J45,L45,fESTIVOS!$A$2:$A$53)
   )
)</f>
        <v>0</v>
      </c>
      <c r="N45" s="28"/>
      <c r="O45" s="81"/>
      <c r="P45" s="100"/>
      <c r="Q45" s="103"/>
      <c r="R45" s="31" t="s">
        <v>78</v>
      </c>
      <c r="S45" s="138"/>
      <c r="T45" s="138"/>
      <c r="U45" s="102"/>
      <c r="V45" s="103"/>
      <c r="W45" s="103"/>
      <c r="X45" s="103"/>
      <c r="Y45" s="103"/>
      <c r="Z45" s="103"/>
      <c r="AA45" s="103"/>
      <c r="AB45" s="103"/>
      <c r="AC45" s="103"/>
      <c r="AD45" s="103"/>
      <c r="AE45" s="103"/>
      <c r="AF45" s="103"/>
      <c r="AG45" s="103"/>
      <c r="AH45" s="103"/>
      <c r="AI45" s="103"/>
      <c r="AJ45" s="103"/>
      <c r="AK45" s="103"/>
      <c r="AL45" s="103"/>
      <c r="AM45" s="103"/>
      <c r="AN45" s="34"/>
      <c r="AO45" s="104"/>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spans="1:67" ht="29.25" customHeight="1">
      <c r="A46" s="16" t="s">
        <v>67</v>
      </c>
      <c r="B46" s="17" t="s">
        <v>453</v>
      </c>
      <c r="C46" s="106" t="s">
        <v>454</v>
      </c>
      <c r="D46" s="114"/>
      <c r="E46" s="143"/>
      <c r="F46" s="63" t="s">
        <v>76</v>
      </c>
      <c r="G46" s="58">
        <v>100</v>
      </c>
      <c r="H46" s="22">
        <f>IF(OR(J46="",K46="",K46&lt;J46),0,NETWORKDAYS(J46,K46,fESTIVOS!$A$2:$A$53))</f>
        <v>15</v>
      </c>
      <c r="I46" s="81">
        <v>45818</v>
      </c>
      <c r="J46" s="60">
        <v>45821</v>
      </c>
      <c r="K46" s="60">
        <v>45845</v>
      </c>
      <c r="L46" s="60">
        <v>45867</v>
      </c>
      <c r="M46" s="27">
        <f ca="1">IF(OR(J46="",AND(L46="",TODAY()&lt;J46),AND(L46&lt;&gt;"",L46&lt;J46)),0,
   IF(L46="",
      NETWORKDAYS(J46,TODAY(),fESTIVOS!$A$2:$A$53),
      NETWORKDAYS(J46,L46,fESTIVOS!$A$2:$A$53)
   )
)</f>
        <v>31</v>
      </c>
      <c r="N46" s="28"/>
      <c r="O46" s="81"/>
      <c r="P46" s="100">
        <v>45868</v>
      </c>
      <c r="Q46" s="103"/>
      <c r="R46" s="31" t="s">
        <v>78</v>
      </c>
      <c r="S46" s="138"/>
      <c r="T46" s="138"/>
      <c r="U46" s="102"/>
      <c r="V46" s="103"/>
      <c r="W46" s="103"/>
      <c r="X46" s="103"/>
      <c r="Y46" s="103"/>
      <c r="Z46" s="103"/>
      <c r="AA46" s="103"/>
      <c r="AB46" s="103"/>
      <c r="AC46" s="103"/>
      <c r="AD46" s="103"/>
      <c r="AE46" s="103"/>
      <c r="AF46" s="103"/>
      <c r="AG46" s="103"/>
      <c r="AH46" s="103"/>
      <c r="AI46" s="103"/>
      <c r="AJ46" s="103"/>
      <c r="AK46" s="103"/>
      <c r="AL46" s="103"/>
      <c r="AM46" s="103"/>
      <c r="AN46" s="34" t="s">
        <v>455</v>
      </c>
      <c r="AO46" s="104"/>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spans="1:67" ht="29.25" customHeight="1">
      <c r="A47" s="122" t="s">
        <v>465</v>
      </c>
      <c r="B47" s="105" t="s">
        <v>466</v>
      </c>
      <c r="C47" s="106" t="s">
        <v>467</v>
      </c>
      <c r="D47" s="142" t="s">
        <v>468</v>
      </c>
      <c r="E47" s="143"/>
      <c r="F47" s="20" t="s">
        <v>76</v>
      </c>
      <c r="G47" s="58">
        <v>100</v>
      </c>
      <c r="H47" s="22">
        <f>IF(OR(J47="",K47="",K47&lt;J47),0,NETWORKDAYS(J47,K47,fESTIVOS!$A$2:$A$53))</f>
        <v>10</v>
      </c>
      <c r="I47" s="81">
        <v>45813</v>
      </c>
      <c r="J47" s="60">
        <v>45813</v>
      </c>
      <c r="K47" s="60">
        <v>45826</v>
      </c>
      <c r="L47" s="60">
        <v>45895</v>
      </c>
      <c r="M47" s="27">
        <f ca="1">IF(OR(J47="",AND(L47="",TODAY()&lt;J47),AND(L47&lt;&gt;"",L47&lt;J47)),0,
   IF(L47="",
      NETWORKDAYS(J47,TODAY(),fESTIVOS!$A$2:$A$53),
      NETWORKDAYS(J47,L47,fESTIVOS!$A$2:$A$53)
   )
)</f>
        <v>55</v>
      </c>
      <c r="N47" s="28"/>
      <c r="O47" s="81"/>
      <c r="P47" s="100"/>
      <c r="Q47" s="34" t="s">
        <v>469</v>
      </c>
      <c r="R47" s="31" t="s">
        <v>78</v>
      </c>
      <c r="S47" s="138"/>
      <c r="T47" s="138"/>
      <c r="U47" s="102"/>
      <c r="V47" s="103"/>
      <c r="W47" s="103"/>
      <c r="X47" s="103"/>
      <c r="Y47" s="103"/>
      <c r="Z47" s="103"/>
      <c r="AA47" s="103"/>
      <c r="AB47" s="103"/>
      <c r="AC47" s="103"/>
      <c r="AD47" s="103"/>
      <c r="AE47" s="103"/>
      <c r="AF47" s="103"/>
      <c r="AG47" s="103"/>
      <c r="AH47" s="103"/>
      <c r="AI47" s="103"/>
      <c r="AJ47" s="103"/>
      <c r="AK47" s="103"/>
      <c r="AL47" s="103"/>
      <c r="AM47" s="103"/>
      <c r="AN47" s="103"/>
      <c r="AO47" s="103"/>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spans="1:67" ht="29.25" customHeight="1">
      <c r="A48" s="55" t="s">
        <v>128</v>
      </c>
      <c r="B48" s="17" t="s">
        <v>475</v>
      </c>
      <c r="C48" s="106" t="s">
        <v>476</v>
      </c>
      <c r="D48" s="114" t="s">
        <v>476</v>
      </c>
      <c r="E48" s="143"/>
      <c r="F48" s="63" t="s">
        <v>76</v>
      </c>
      <c r="G48" s="58">
        <v>100</v>
      </c>
      <c r="H48" s="22">
        <f>IF(OR(J48="",K48="",K48&lt;J48),0,NETWORKDAYS(J48,K48,fESTIVOS!$A$2:$A$53))</f>
        <v>0</v>
      </c>
      <c r="I48" s="81">
        <v>45825</v>
      </c>
      <c r="J48" s="60">
        <v>45832</v>
      </c>
      <c r="K48" s="60"/>
      <c r="L48" s="60">
        <v>45833</v>
      </c>
      <c r="M48" s="27">
        <f ca="1">IF(OR(J48="",AND(L48="",TODAY()&lt;J48),AND(L48&lt;&gt;"",L48&lt;J48)),0,
   IF(L48="",
      NETWORKDAYS(J48,TODAY(),fESTIVOS!$A$2:$A$53),
      NETWORKDAYS(J48,L48,fESTIVOS!$A$2:$A$53)
   )
)</f>
        <v>2</v>
      </c>
      <c r="N48" s="28"/>
      <c r="O48" s="81"/>
      <c r="P48" s="100"/>
      <c r="Q48" s="34" t="s">
        <v>477</v>
      </c>
      <c r="R48" s="31" t="s">
        <v>78</v>
      </c>
      <c r="S48" s="138"/>
      <c r="T48" s="138"/>
      <c r="U48" s="102"/>
      <c r="V48" s="103"/>
      <c r="W48" s="103"/>
      <c r="X48" s="103"/>
      <c r="Y48" s="103"/>
      <c r="Z48" s="103"/>
      <c r="AA48" s="103"/>
      <c r="AB48" s="103"/>
      <c r="AC48" s="103"/>
      <c r="AD48" s="103"/>
      <c r="AE48" s="103"/>
      <c r="AF48" s="103"/>
      <c r="AG48" s="103"/>
      <c r="AH48" s="103"/>
      <c r="AI48" s="103"/>
      <c r="AJ48" s="103"/>
      <c r="AK48" s="103"/>
      <c r="AL48" s="103"/>
      <c r="AM48" s="103"/>
      <c r="AN48" s="103"/>
      <c r="AO48" s="103"/>
      <c r="AP48" s="103"/>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spans="1:67" ht="29.25" customHeight="1">
      <c r="A49" s="122" t="s">
        <v>210</v>
      </c>
      <c r="B49" s="17" t="s">
        <v>481</v>
      </c>
      <c r="C49" s="106" t="s">
        <v>482</v>
      </c>
      <c r="D49" s="142"/>
      <c r="E49" s="143"/>
      <c r="F49" s="63" t="s">
        <v>76</v>
      </c>
      <c r="G49" s="58">
        <v>100</v>
      </c>
      <c r="H49" s="22">
        <f>IF(OR(J49="",K49="",K49&lt;J49),0,NETWORKDAYS(J49,K49,fESTIVOS!$A$2:$A$53))</f>
        <v>0</v>
      </c>
      <c r="I49" s="81">
        <v>45826</v>
      </c>
      <c r="J49" s="60">
        <v>45888</v>
      </c>
      <c r="K49" s="60"/>
      <c r="L49" s="60">
        <v>45888</v>
      </c>
      <c r="M49" s="27">
        <f ca="1">IF(OR(J49="",AND(L49="",TODAY()&lt;J49),AND(L49&lt;&gt;"",L49&lt;J49)),0,
   IF(L49="",
      NETWORKDAYS(J49,TODAY(),fESTIVOS!$A$2:$A$53),
      NETWORKDAYS(J49,L49,fESTIVOS!$A$2:$A$53)
   )
)</f>
        <v>1</v>
      </c>
      <c r="N49" s="28"/>
      <c r="O49" s="81"/>
      <c r="P49" s="100"/>
      <c r="Q49" s="34" t="s">
        <v>483</v>
      </c>
      <c r="R49" s="31" t="s">
        <v>78</v>
      </c>
      <c r="S49" s="138"/>
      <c r="T49" s="138"/>
      <c r="U49" s="102"/>
      <c r="V49" s="103"/>
      <c r="W49" s="103"/>
      <c r="X49" s="103"/>
      <c r="Y49" s="103"/>
      <c r="Z49" s="103"/>
      <c r="AA49" s="103"/>
      <c r="AB49" s="103"/>
      <c r="AC49" s="103"/>
      <c r="AD49" s="103"/>
      <c r="AE49" s="103"/>
      <c r="AF49" s="103"/>
      <c r="AG49" s="103"/>
      <c r="AH49" s="103"/>
      <c r="AI49" s="103"/>
      <c r="AJ49" s="103"/>
      <c r="AK49" s="103"/>
      <c r="AL49" s="103"/>
      <c r="AM49" s="103"/>
      <c r="AN49" s="103"/>
      <c r="AO49" s="103"/>
      <c r="AP49" s="103"/>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spans="1:67" ht="29.25" customHeight="1">
      <c r="A50" s="122" t="s">
        <v>210</v>
      </c>
      <c r="B50" s="17" t="s">
        <v>404</v>
      </c>
      <c r="C50" s="106" t="s">
        <v>485</v>
      </c>
      <c r="D50" s="95"/>
      <c r="E50" s="96"/>
      <c r="F50" s="121" t="s">
        <v>76</v>
      </c>
      <c r="G50" s="97">
        <v>100</v>
      </c>
      <c r="H50" s="22">
        <f>IF(OR(J50="",K50="",K50&lt;J50),0,NETWORKDAYS(J50,K50,fESTIVOS!$A$2:$A$53))</f>
        <v>0</v>
      </c>
      <c r="I50" s="98">
        <v>45827</v>
      </c>
      <c r="J50" s="99">
        <v>45827</v>
      </c>
      <c r="K50" s="99"/>
      <c r="L50" s="99">
        <v>45827</v>
      </c>
      <c r="M50" s="27">
        <f ca="1">IF(OR(J50="",AND(L50="",TODAY()&lt;J50),AND(L50&lt;&gt;"",L50&lt;J50)),0,
   IF(L50="",
      NETWORKDAYS(J50,TODAY(),fESTIVOS!$A$2:$A$53),
      NETWORKDAYS(J50,L50,fESTIVOS!$A$2:$A$53)
   )
)</f>
        <v>1</v>
      </c>
      <c r="N50" s="28"/>
      <c r="O50" s="98"/>
      <c r="P50" s="100"/>
      <c r="Q50" s="103"/>
      <c r="R50" s="31" t="s">
        <v>78</v>
      </c>
      <c r="S50" s="101"/>
      <c r="T50" s="101"/>
      <c r="U50" s="102"/>
      <c r="V50" s="103"/>
      <c r="W50" s="103"/>
      <c r="X50" s="103"/>
      <c r="Y50" s="103"/>
      <c r="Z50" s="103"/>
      <c r="AA50" s="103"/>
      <c r="AB50" s="103"/>
      <c r="AC50" s="103"/>
      <c r="AD50" s="103"/>
      <c r="AE50" s="103"/>
      <c r="AF50" s="103"/>
      <c r="AG50" s="103"/>
      <c r="AH50" s="103"/>
      <c r="AI50" s="103"/>
      <c r="AJ50" s="103"/>
      <c r="AK50" s="103"/>
      <c r="AL50" s="103"/>
      <c r="AM50" s="103"/>
      <c r="AN50" s="103"/>
      <c r="AO50" s="103"/>
      <c r="AP50" s="103"/>
      <c r="AQ50" s="103"/>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spans="1:67" ht="29.25" customHeight="1">
      <c r="A51" s="122" t="s">
        <v>210</v>
      </c>
      <c r="B51" s="105" t="s">
        <v>487</v>
      </c>
      <c r="C51" s="106" t="s">
        <v>488</v>
      </c>
      <c r="D51" s="95"/>
      <c r="E51" s="96"/>
      <c r="F51" s="121" t="s">
        <v>76</v>
      </c>
      <c r="G51" s="97">
        <v>100</v>
      </c>
      <c r="H51" s="22">
        <f>IF(OR(J51="",K51="",K51&lt;J51),0,NETWORKDAYS(J51,K51,fESTIVOS!$A$2:$A$53))</f>
        <v>0</v>
      </c>
      <c r="I51" s="98">
        <v>45821</v>
      </c>
      <c r="J51" s="99">
        <v>45827</v>
      </c>
      <c r="K51" s="99"/>
      <c r="L51" s="99">
        <v>45827</v>
      </c>
      <c r="M51" s="27">
        <f ca="1">IF(OR(J51="",AND(L51="",TODAY()&lt;J51),AND(L51&lt;&gt;"",L51&lt;J51)),0,
   IF(L51="",
      NETWORKDAYS(J51,TODAY(),fESTIVOS!$A$2:$A$53),
      NETWORKDAYS(J51,L51,fESTIVOS!$A$2:$A$53)
   )
)</f>
        <v>1</v>
      </c>
      <c r="N51" s="28"/>
      <c r="O51" s="98"/>
      <c r="P51" s="100"/>
      <c r="Q51" s="103"/>
      <c r="R51" s="31" t="s">
        <v>78</v>
      </c>
      <c r="S51" s="101"/>
      <c r="T51" s="101"/>
      <c r="U51" s="102"/>
      <c r="V51" s="103"/>
      <c r="W51" s="103"/>
      <c r="X51" s="103"/>
      <c r="Y51" s="103"/>
      <c r="Z51" s="103"/>
      <c r="AA51" s="103"/>
      <c r="AB51" s="103"/>
      <c r="AC51" s="103"/>
      <c r="AD51" s="103"/>
      <c r="AE51" s="103"/>
      <c r="AF51" s="103"/>
      <c r="AG51" s="103"/>
      <c r="AH51" s="103"/>
      <c r="AI51" s="103"/>
      <c r="AJ51" s="103"/>
      <c r="AK51" s="103"/>
      <c r="AL51" s="103"/>
      <c r="AM51" s="103"/>
      <c r="AN51" s="103"/>
      <c r="AO51" s="103"/>
      <c r="AP51" s="103"/>
      <c r="AQ51" s="103"/>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spans="1:67" ht="29.25" customHeight="1">
      <c r="A52" s="122" t="s">
        <v>210</v>
      </c>
      <c r="B52" s="105" t="s">
        <v>490</v>
      </c>
      <c r="C52" s="106" t="s">
        <v>491</v>
      </c>
      <c r="D52" s="149" t="s">
        <v>492</v>
      </c>
      <c r="E52" s="96"/>
      <c r="F52" s="20" t="s">
        <v>76</v>
      </c>
      <c r="G52" s="97">
        <v>100</v>
      </c>
      <c r="H52" s="22">
        <f>IF(OR(J52="",K52="",K52&lt;J52),0,NETWORKDAYS(J52,K52,fESTIVOS!$A$2:$A$53))</f>
        <v>0</v>
      </c>
      <c r="I52" s="98">
        <v>45820</v>
      </c>
      <c r="J52" s="99">
        <v>45820</v>
      </c>
      <c r="K52" s="99"/>
      <c r="L52" s="99">
        <v>45933</v>
      </c>
      <c r="M52" s="27">
        <f ca="1">IF(OR(J52="",AND(L52="",TODAY()&lt;J52),AND(L52&lt;&gt;"",L52&lt;J52)),0,
   IF(L52="",
      NETWORKDAYS(J52,TODAY(),fESTIVOS!$A$2:$A$53),
      NETWORKDAYS(J52,L52,fESTIVOS!$A$2:$A$53)
   )
)</f>
        <v>78</v>
      </c>
      <c r="N52" s="28"/>
      <c r="O52" s="98"/>
      <c r="P52" s="100"/>
      <c r="Q52" s="34" t="s">
        <v>493</v>
      </c>
      <c r="R52" s="31" t="s">
        <v>78</v>
      </c>
      <c r="S52" s="101"/>
      <c r="T52" s="101"/>
      <c r="U52" s="102"/>
      <c r="V52" s="103"/>
      <c r="W52" s="103"/>
      <c r="X52" s="103"/>
      <c r="Y52" s="103"/>
      <c r="Z52" s="103"/>
      <c r="AA52" s="103"/>
      <c r="AB52" s="103"/>
      <c r="AC52" s="103"/>
      <c r="AD52" s="103"/>
      <c r="AE52" s="103"/>
      <c r="AF52" s="103"/>
      <c r="AG52" s="103"/>
      <c r="AH52" s="103"/>
      <c r="AI52" s="103"/>
      <c r="AJ52" s="103"/>
      <c r="AK52" s="103"/>
      <c r="AL52" s="103"/>
      <c r="AM52" s="103"/>
      <c r="AN52" s="103"/>
      <c r="AO52" s="103"/>
      <c r="AP52" s="103"/>
      <c r="AQ52" s="103"/>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spans="1:67" ht="29.25" customHeight="1">
      <c r="A53" s="122" t="s">
        <v>210</v>
      </c>
      <c r="B53" s="105" t="s">
        <v>498</v>
      </c>
      <c r="C53" s="150" t="s">
        <v>499</v>
      </c>
      <c r="D53" s="149" t="s">
        <v>500</v>
      </c>
      <c r="E53" s="96"/>
      <c r="F53" s="20" t="s">
        <v>76</v>
      </c>
      <c r="G53" s="97">
        <v>100</v>
      </c>
      <c r="H53" s="22">
        <f>IF(OR(J53="",K53="",K53&lt;J53),0,NETWORKDAYS(J53,K53,fESTIVOS!$A$2:$A$53))</f>
        <v>0</v>
      </c>
      <c r="I53" s="98">
        <v>45953</v>
      </c>
      <c r="J53" s="99">
        <v>46048</v>
      </c>
      <c r="K53" s="99"/>
      <c r="L53" s="99">
        <v>46050</v>
      </c>
      <c r="M53" s="27">
        <f ca="1">IF(OR(J53="",AND(L53="",TODAY()&lt;J53),AND(L53&lt;&gt;"",L53&lt;J53)),0,
   IF(L53="",
      NETWORKDAYS(J53,TODAY(),fESTIVOS!$A$2:$A$53),
      NETWORKDAYS(J53,L53,fESTIVOS!$A$2:$A$53)
   )
)</f>
        <v>3</v>
      </c>
      <c r="N53" s="28"/>
      <c r="O53" s="98"/>
      <c r="P53" s="100"/>
      <c r="Q53" s="34" t="s">
        <v>501</v>
      </c>
      <c r="R53" s="31" t="s">
        <v>78</v>
      </c>
      <c r="S53" s="101"/>
      <c r="T53" s="101"/>
      <c r="U53" s="102"/>
      <c r="V53" s="103"/>
      <c r="W53" s="103"/>
      <c r="X53" s="103"/>
      <c r="Y53" s="103"/>
      <c r="Z53" s="103"/>
      <c r="AA53" s="103"/>
      <c r="AB53" s="103"/>
      <c r="AC53" s="103"/>
      <c r="AD53" s="103"/>
      <c r="AE53" s="103"/>
      <c r="AF53" s="103"/>
      <c r="AG53" s="103"/>
      <c r="AH53" s="103"/>
      <c r="AI53" s="103"/>
      <c r="AJ53" s="103"/>
      <c r="AK53" s="103"/>
      <c r="AL53" s="103"/>
      <c r="AM53" s="103"/>
      <c r="AN53" s="103"/>
      <c r="AO53" s="103"/>
      <c r="AP53" s="103"/>
      <c r="AQ53" s="103"/>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spans="1:67" ht="29.25" customHeight="1">
      <c r="A54" s="122" t="s">
        <v>210</v>
      </c>
      <c r="B54" s="105" t="s">
        <v>502</v>
      </c>
      <c r="C54" s="106" t="s">
        <v>503</v>
      </c>
      <c r="D54" s="151"/>
      <c r="E54" s="147" t="s">
        <v>504</v>
      </c>
      <c r="F54" s="121" t="s">
        <v>76</v>
      </c>
      <c r="G54" s="97">
        <v>100</v>
      </c>
      <c r="H54" s="22">
        <f>IF(OR(J54="",K54="",K54&lt;J54),0,NETWORKDAYS(J54,K54,fESTIVOS!$A$2:$A$53))</f>
        <v>0</v>
      </c>
      <c r="I54" s="98">
        <v>45828</v>
      </c>
      <c r="J54" s="99">
        <v>45832</v>
      </c>
      <c r="K54" s="99"/>
      <c r="L54" s="99">
        <v>45832</v>
      </c>
      <c r="M54" s="27">
        <f ca="1">IF(OR(J54="",AND(L54="",TODAY()&lt;J54),AND(L54&lt;&gt;"",L54&lt;J54)),0,
   IF(L54="",
      NETWORKDAYS(J54,TODAY(),fESTIVOS!$A$2:$A$53),
      NETWORKDAYS(J54,L54,fESTIVOS!$A$2:$A$53)
   )
)</f>
        <v>1</v>
      </c>
      <c r="N54" s="28"/>
      <c r="O54" s="98"/>
      <c r="P54" s="100"/>
      <c r="Q54" s="103"/>
      <c r="R54" s="31" t="s">
        <v>78</v>
      </c>
      <c r="S54" s="101"/>
      <c r="T54" s="101"/>
      <c r="U54" s="102"/>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spans="1:67" ht="29.25" customHeight="1">
      <c r="A55" s="122" t="s">
        <v>210</v>
      </c>
      <c r="B55" s="105" t="s">
        <v>506</v>
      </c>
      <c r="C55" s="106" t="s">
        <v>507</v>
      </c>
      <c r="D55" s="95"/>
      <c r="E55" s="96"/>
      <c r="F55" s="121" t="s">
        <v>76</v>
      </c>
      <c r="G55" s="97">
        <v>100</v>
      </c>
      <c r="H55" s="22">
        <f>IF(OR(J55="",K55="",K55&lt;J55),0,NETWORKDAYS(J55,K55,fESTIVOS!$A$2:$A$53))</f>
        <v>0</v>
      </c>
      <c r="I55" s="98">
        <v>45832</v>
      </c>
      <c r="J55" s="99">
        <v>45832</v>
      </c>
      <c r="K55" s="99"/>
      <c r="L55" s="99">
        <v>45833</v>
      </c>
      <c r="M55" s="27">
        <f ca="1">IF(OR(J55="",AND(L55="",TODAY()&lt;J55),AND(L55&lt;&gt;"",L55&lt;J55)),0,
   IF(L55="",
      NETWORKDAYS(J55,TODAY(),fESTIVOS!$A$2:$A$53),
      NETWORKDAYS(J55,L55,fESTIVOS!$A$2:$A$53)
   )
)</f>
        <v>2</v>
      </c>
      <c r="N55" s="28"/>
      <c r="O55" s="98"/>
      <c r="P55" s="100"/>
      <c r="Q55" s="103"/>
      <c r="R55" s="31" t="s">
        <v>78</v>
      </c>
      <c r="S55" s="101"/>
      <c r="T55" s="101"/>
      <c r="U55" s="102"/>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spans="1:67" ht="29.25" customHeight="1">
      <c r="A56" s="55" t="s">
        <v>157</v>
      </c>
      <c r="B56" s="17" t="s">
        <v>509</v>
      </c>
      <c r="C56" s="106" t="s">
        <v>510</v>
      </c>
      <c r="D56" s="95"/>
      <c r="E56" s="96"/>
      <c r="F56" s="121" t="s">
        <v>76</v>
      </c>
      <c r="G56" s="97">
        <v>100</v>
      </c>
      <c r="H56" s="22">
        <f>IF(OR(J56="",K56="",K56&lt;J56),0,NETWORKDAYS(J56,K56,fESTIVOS!$A$2:$A$53))</f>
        <v>0</v>
      </c>
      <c r="I56" s="98">
        <v>45833</v>
      </c>
      <c r="J56" s="99">
        <v>45833</v>
      </c>
      <c r="K56" s="99"/>
      <c r="L56" s="99">
        <v>45833</v>
      </c>
      <c r="M56" s="27">
        <f ca="1">IF(OR(J56="",AND(L56="",TODAY()&lt;J56),AND(L56&lt;&gt;"",L56&lt;J56)),0,
   IF(L56="",
      NETWORKDAYS(J56,TODAY(),fESTIVOS!$A$2:$A$53),
      NETWORKDAYS(J56,L56,fESTIVOS!$A$2:$A$53)
   )
)</f>
        <v>1</v>
      </c>
      <c r="N56" s="28"/>
      <c r="O56" s="98"/>
      <c r="P56" s="100"/>
      <c r="Q56" s="103"/>
      <c r="R56" s="31" t="s">
        <v>78</v>
      </c>
      <c r="S56" s="101"/>
      <c r="T56" s="101"/>
      <c r="U56" s="102"/>
      <c r="V56" s="103"/>
      <c r="W56" s="103"/>
      <c r="X56" s="103"/>
      <c r="Y56" s="103"/>
      <c r="Z56" s="103"/>
      <c r="AA56" s="103"/>
      <c r="AB56" s="103"/>
      <c r="AC56" s="103"/>
      <c r="AD56" s="103"/>
      <c r="AE56" s="103"/>
      <c r="AF56" s="103"/>
      <c r="AG56" s="103"/>
      <c r="AH56" s="103"/>
      <c r="AI56" s="103"/>
      <c r="AJ56" s="103"/>
      <c r="AK56" s="103"/>
      <c r="AL56" s="103"/>
      <c r="AM56" s="103"/>
      <c r="AN56" s="103"/>
      <c r="AO56" s="103"/>
      <c r="AP56" s="103"/>
      <c r="AQ56" s="103"/>
      <c r="AR56" s="103"/>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spans="1:67" ht="29.25" customHeight="1">
      <c r="A57" s="55" t="s">
        <v>157</v>
      </c>
      <c r="B57" s="17" t="s">
        <v>512</v>
      </c>
      <c r="C57" s="106" t="s">
        <v>513</v>
      </c>
      <c r="D57" s="149"/>
      <c r="E57" s="96"/>
      <c r="F57" s="121" t="s">
        <v>76</v>
      </c>
      <c r="G57" s="97">
        <v>100</v>
      </c>
      <c r="H57" s="22">
        <f>IF(OR(J57="",K57="",K57&lt;J57),0,NETWORKDAYS(J57,K57,fESTIVOS!$A$2:$A$53))</f>
        <v>0</v>
      </c>
      <c r="I57" s="98">
        <v>45833</v>
      </c>
      <c r="J57" s="99">
        <v>45833</v>
      </c>
      <c r="K57" s="99"/>
      <c r="L57" s="99">
        <v>45833</v>
      </c>
      <c r="M57" s="27">
        <f ca="1">IF(OR(J57="",AND(L57="",TODAY()&lt;J57),AND(L57&lt;&gt;"",L57&lt;J57)),0,
   IF(L57="",
      NETWORKDAYS(J57,TODAY(),fESTIVOS!$A$2:$A$53),
      NETWORKDAYS(J57,L57,fESTIVOS!$A$2:$A$53)
   )
)</f>
        <v>1</v>
      </c>
      <c r="N57" s="28"/>
      <c r="O57" s="98"/>
      <c r="P57" s="100"/>
      <c r="Q57" s="103"/>
      <c r="R57" s="31" t="s">
        <v>78</v>
      </c>
      <c r="S57" s="101"/>
      <c r="T57" s="101"/>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103"/>
      <c r="AR57" s="103"/>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spans="1:67" ht="29.25" customHeight="1">
      <c r="A58" s="122" t="s">
        <v>210</v>
      </c>
      <c r="B58" s="105" t="s">
        <v>515</v>
      </c>
      <c r="C58" s="150" t="s">
        <v>516</v>
      </c>
      <c r="D58" s="152"/>
      <c r="E58" s="96"/>
      <c r="F58" s="121" t="s">
        <v>76</v>
      </c>
      <c r="G58" s="97">
        <v>100</v>
      </c>
      <c r="H58" s="22">
        <f>IF(OR(J58="",K58="",K58&lt;J58),0,NETWORKDAYS(J58,K58,fESTIVOS!$A$2:$A$53))</f>
        <v>2</v>
      </c>
      <c r="I58" s="98">
        <v>46036</v>
      </c>
      <c r="J58" s="99">
        <v>46037</v>
      </c>
      <c r="K58" s="99">
        <v>46038</v>
      </c>
      <c r="L58" s="99">
        <v>46038</v>
      </c>
      <c r="M58" s="27">
        <f ca="1">IF(OR(J58="",AND(L58="",TODAY()&lt;J58),AND(L58&lt;&gt;"",L58&lt;J58)),0,
   IF(L58="",
      NETWORKDAYS(J58,TODAY(),fESTIVOS!$A$2:$A$53),
      NETWORKDAYS(J58,L58,fESTIVOS!$A$2:$A$53)
   )
)</f>
        <v>2</v>
      </c>
      <c r="N58" s="28"/>
      <c r="O58" s="98"/>
      <c r="P58" s="100"/>
      <c r="Q58" s="34" t="s">
        <v>517</v>
      </c>
      <c r="R58" s="31" t="s">
        <v>78</v>
      </c>
      <c r="S58" s="101"/>
      <c r="T58" s="101"/>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37"/>
      <c r="AU58" s="37"/>
      <c r="AV58" s="37"/>
      <c r="AW58" s="37"/>
      <c r="AX58" s="37"/>
      <c r="AY58" s="37"/>
      <c r="AZ58" s="37"/>
      <c r="BA58" s="37"/>
      <c r="BB58" s="37"/>
      <c r="BC58" s="37"/>
      <c r="BD58" s="37"/>
      <c r="BE58" s="37"/>
      <c r="BF58" s="37"/>
      <c r="BG58" s="37"/>
      <c r="BH58" s="37"/>
      <c r="BI58" s="37"/>
      <c r="BJ58" s="37"/>
      <c r="BK58" s="37"/>
      <c r="BL58" s="37"/>
      <c r="BM58" s="37"/>
      <c r="BN58" s="37"/>
      <c r="BO58" s="37"/>
    </row>
    <row r="59" spans="1:67" ht="29.25" customHeight="1">
      <c r="A59" s="122" t="s">
        <v>210</v>
      </c>
      <c r="B59" s="105" t="s">
        <v>518</v>
      </c>
      <c r="C59" s="153" t="s">
        <v>519</v>
      </c>
      <c r="D59" s="152"/>
      <c r="E59" s="96"/>
      <c r="F59" s="121" t="s">
        <v>76</v>
      </c>
      <c r="G59" s="97">
        <v>100</v>
      </c>
      <c r="H59" s="22">
        <f>IF(OR(J59="",K59="",K59&lt;J59),0,NETWORKDAYS(J59,K59,fESTIVOS!$A$2:$A$53))</f>
        <v>0</v>
      </c>
      <c r="I59" s="98">
        <v>46063</v>
      </c>
      <c r="J59" s="99">
        <v>46063</v>
      </c>
      <c r="K59" s="99"/>
      <c r="L59" s="99">
        <v>46063</v>
      </c>
      <c r="M59" s="27">
        <f ca="1">IF(OR(J59="",AND(L59="",TODAY()&lt;J59),AND(L59&lt;&gt;"",L59&lt;J59)),0,
   IF(L59="",
      NETWORKDAYS(J59,TODAY(),fESTIVOS!$A$2:$A$53),
      NETWORKDAYS(J59,L59,fESTIVOS!$A$2:$A$53)
   )
)</f>
        <v>1</v>
      </c>
      <c r="N59" s="28"/>
      <c r="O59" s="98"/>
      <c r="P59" s="100"/>
      <c r="Q59" s="34" t="s">
        <v>520</v>
      </c>
      <c r="R59" s="112"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37"/>
      <c r="AU59" s="37"/>
      <c r="AV59" s="37"/>
      <c r="AW59" s="37"/>
      <c r="AX59" s="37"/>
      <c r="AY59" s="37"/>
      <c r="AZ59" s="37"/>
      <c r="BA59" s="37"/>
      <c r="BB59" s="37"/>
      <c r="BC59" s="37"/>
      <c r="BD59" s="37"/>
      <c r="BE59" s="37"/>
      <c r="BF59" s="37"/>
      <c r="BG59" s="37"/>
      <c r="BH59" s="37"/>
      <c r="BI59" s="37"/>
      <c r="BJ59" s="37"/>
      <c r="BK59" s="37"/>
      <c r="BL59" s="37"/>
      <c r="BM59" s="37"/>
      <c r="BN59" s="37"/>
      <c r="BO59" s="37"/>
    </row>
    <row r="60" spans="1:67" ht="29.25" customHeight="1">
      <c r="A60" s="122" t="s">
        <v>210</v>
      </c>
      <c r="B60" s="105" t="s">
        <v>521</v>
      </c>
      <c r="C60" s="140" t="s">
        <v>522</v>
      </c>
      <c r="D60" s="152"/>
      <c r="E60" s="96"/>
      <c r="F60" s="121" t="s">
        <v>207</v>
      </c>
      <c r="G60" s="97">
        <v>30</v>
      </c>
      <c r="H60" s="22">
        <f>IF(OR(J60="",K60="",K60&lt;J60),0,NETWORKDAYS(J60,K60,fESTIVOS!$A$2:$A$53))</f>
        <v>0</v>
      </c>
      <c r="I60" s="98">
        <v>46070</v>
      </c>
      <c r="J60" s="99">
        <v>46070</v>
      </c>
      <c r="K60" s="99"/>
      <c r="L60" s="99"/>
      <c r="M60" s="27">
        <f ca="1">IF(OR(J60="",AND(L60="",TODAY()&lt;J60),AND(L60&lt;&gt;"",L60&lt;J60)),0,
   IF(L60="",
      NETWORKDAYS(J60,TODAY(),fESTIVOS!$A$2:$A$53),
      NETWORKDAYS(J60,L60,fESTIVOS!$A$2:$A$53)
   )
)</f>
        <v>14</v>
      </c>
      <c r="N60" s="28"/>
      <c r="O60" s="98"/>
      <c r="P60" s="100"/>
      <c r="Q60" s="34" t="s">
        <v>523</v>
      </c>
      <c r="R60" s="112" t="s">
        <v>524</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37"/>
      <c r="AU60" s="37"/>
      <c r="AV60" s="37"/>
      <c r="AW60" s="37"/>
      <c r="AX60" s="37"/>
      <c r="AY60" s="37"/>
      <c r="AZ60" s="37"/>
      <c r="BA60" s="37"/>
      <c r="BB60" s="37"/>
      <c r="BC60" s="37"/>
      <c r="BD60" s="37"/>
      <c r="BE60" s="37"/>
      <c r="BF60" s="37"/>
      <c r="BG60" s="37"/>
      <c r="BH60" s="37"/>
      <c r="BI60" s="37"/>
      <c r="BJ60" s="37"/>
      <c r="BK60" s="37"/>
      <c r="BL60" s="37"/>
      <c r="BM60" s="37"/>
      <c r="BN60" s="37"/>
      <c r="BO60" s="37"/>
    </row>
    <row r="61" spans="1:67" ht="29.25" customHeight="1">
      <c r="A61" s="122" t="s">
        <v>210</v>
      </c>
      <c r="B61" s="17" t="s">
        <v>405</v>
      </c>
      <c r="C61" s="106" t="s">
        <v>525</v>
      </c>
      <c r="D61" s="95"/>
      <c r="E61" s="96"/>
      <c r="F61" s="121" t="s">
        <v>76</v>
      </c>
      <c r="G61" s="97">
        <v>100</v>
      </c>
      <c r="H61" s="22">
        <f>IF(OR(J61="",K61="",K61&lt;J61),0,NETWORKDAYS(J61,K61,fESTIVOS!$A$2:$A$53))</f>
        <v>0</v>
      </c>
      <c r="I61" s="98">
        <v>45834</v>
      </c>
      <c r="J61" s="99">
        <v>45834</v>
      </c>
      <c r="K61" s="99"/>
      <c r="L61" s="99">
        <v>45841</v>
      </c>
      <c r="M61" s="27">
        <f ca="1">IF(OR(J61="",AND(L61="",TODAY()&lt;J61),AND(L61&lt;&gt;"",L61&lt;J61)),0,
   IF(L61="",
      NETWORKDAYS(J61,TODAY(),fESTIVOS!$A$2:$A$53),
      NETWORKDAYS(J61,L61,fESTIVOS!$A$2:$A$53)
   )
)</f>
        <v>5</v>
      </c>
      <c r="N61" s="28"/>
      <c r="O61" s="98"/>
      <c r="P61" s="100"/>
      <c r="Q61" s="103"/>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34" t="s">
        <v>526</v>
      </c>
      <c r="AU61" s="37"/>
      <c r="AV61" s="37" t="s">
        <v>527</v>
      </c>
      <c r="AW61" s="37" t="s">
        <v>415</v>
      </c>
      <c r="AX61" s="37" t="s">
        <v>528</v>
      </c>
      <c r="AY61" s="37"/>
      <c r="AZ61" s="37"/>
      <c r="BA61" s="37"/>
      <c r="BB61" s="37"/>
      <c r="BC61" s="37"/>
      <c r="BD61" s="37"/>
      <c r="BE61" s="37"/>
      <c r="BF61" s="37"/>
      <c r="BG61" s="37"/>
      <c r="BH61" s="37"/>
      <c r="BI61" s="37"/>
      <c r="BJ61" s="37"/>
      <c r="BK61" s="37"/>
      <c r="BL61" s="37"/>
      <c r="BM61" s="37"/>
      <c r="BN61" s="37"/>
      <c r="BO61" s="37"/>
    </row>
    <row r="62" spans="1:67" ht="29.25" customHeight="1">
      <c r="A62" s="55" t="s">
        <v>157</v>
      </c>
      <c r="B62" s="17" t="s">
        <v>529</v>
      </c>
      <c r="C62" s="106" t="s">
        <v>530</v>
      </c>
      <c r="D62" s="149"/>
      <c r="E62" s="96"/>
      <c r="F62" s="121" t="s">
        <v>76</v>
      </c>
      <c r="G62" s="97">
        <v>100</v>
      </c>
      <c r="H62" s="22">
        <f>IF(OR(J62="",K62="",K62&lt;J62),0,NETWORKDAYS(J62,K62,fESTIVOS!$A$2:$A$53))</f>
        <v>0</v>
      </c>
      <c r="I62" s="98">
        <v>45841</v>
      </c>
      <c r="J62" s="99">
        <v>45841</v>
      </c>
      <c r="K62" s="99"/>
      <c r="L62" s="99">
        <v>45841</v>
      </c>
      <c r="M62" s="27">
        <f ca="1">IF(OR(J62="",AND(L62="",TODAY()&lt;J62),AND(L62&lt;&gt;"",L62&lt;J62)),0,
   IF(L62="",
      NETWORKDAYS(J62,TODAY(),fESTIVOS!$A$2:$A$53),
      NETWORKDAYS(J62,L62,fESTIVOS!$A$2:$A$53)
   )
)</f>
        <v>1</v>
      </c>
      <c r="N62" s="28"/>
      <c r="O62" s="98"/>
      <c r="P62" s="100"/>
      <c r="Q62" s="103"/>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37" t="s">
        <v>531</v>
      </c>
      <c r="AY62" s="37"/>
      <c r="AZ62" s="37"/>
      <c r="BA62" s="37"/>
      <c r="BB62" s="37"/>
      <c r="BC62" s="37"/>
      <c r="BD62" s="37"/>
      <c r="BE62" s="37"/>
      <c r="BF62" s="37"/>
      <c r="BG62" s="37"/>
      <c r="BH62" s="37"/>
      <c r="BI62" s="37"/>
      <c r="BJ62" s="37"/>
      <c r="BK62" s="37"/>
      <c r="BL62" s="37"/>
      <c r="BM62" s="37"/>
      <c r="BN62" s="37"/>
      <c r="BO62" s="37"/>
    </row>
    <row r="63" spans="1:67" ht="29.25" customHeight="1">
      <c r="A63" s="55" t="s">
        <v>157</v>
      </c>
      <c r="B63" s="17" t="s">
        <v>532</v>
      </c>
      <c r="C63" s="106" t="s">
        <v>533</v>
      </c>
      <c r="D63" s="95"/>
      <c r="E63" s="96"/>
      <c r="F63" s="121" t="s">
        <v>76</v>
      </c>
      <c r="G63" s="97">
        <v>100</v>
      </c>
      <c r="H63" s="22">
        <f>IF(OR(J63="",K63="",K63&lt;J63),0,NETWORKDAYS(J63,K63,fESTIVOS!$A$2:$A$53))</f>
        <v>0</v>
      </c>
      <c r="I63" s="98">
        <v>45845</v>
      </c>
      <c r="J63" s="99">
        <v>45845</v>
      </c>
      <c r="K63" s="99"/>
      <c r="L63" s="99">
        <v>45845</v>
      </c>
      <c r="M63" s="27">
        <f ca="1">IF(OR(J63="",AND(L63="",TODAY()&lt;J63),AND(L63&lt;&gt;"",L63&lt;J63)),0,
   IF(L63="",
      NETWORKDAYS(J63,TODAY(),fESTIVOS!$A$2:$A$53),
      NETWORKDAYS(J63,L63,fESTIVOS!$A$2:$A$53)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103"/>
      <c r="AT63" s="103"/>
      <c r="AU63" s="103"/>
      <c r="AV63" s="103"/>
      <c r="AW63" s="103"/>
      <c r="AX63" s="104"/>
      <c r="AY63" s="37" t="s">
        <v>534</v>
      </c>
      <c r="AZ63" s="37"/>
      <c r="BA63" s="37"/>
      <c r="BB63" s="37"/>
      <c r="BC63" s="37"/>
      <c r="BD63" s="37"/>
      <c r="BE63" s="37"/>
      <c r="BF63" s="37"/>
      <c r="BG63" s="37"/>
      <c r="BH63" s="37"/>
      <c r="BI63" s="37"/>
      <c r="BJ63" s="37"/>
      <c r="BK63" s="37"/>
      <c r="BL63" s="37"/>
      <c r="BM63" s="37"/>
      <c r="BN63" s="37"/>
      <c r="BO63" s="37"/>
    </row>
    <row r="64" spans="1:67" ht="29.25" customHeight="1">
      <c r="A64" s="55" t="s">
        <v>157</v>
      </c>
      <c r="B64" s="17" t="s">
        <v>535</v>
      </c>
      <c r="C64" s="106" t="s">
        <v>536</v>
      </c>
      <c r="D64" s="95"/>
      <c r="E64" s="96"/>
      <c r="F64" s="121" t="s">
        <v>76</v>
      </c>
      <c r="G64" s="97">
        <v>100</v>
      </c>
      <c r="H64" s="22">
        <f>IF(OR(J64="",K64="",K64&lt;J64),0,NETWORKDAYS(J64,K64,fESTIVOS!$A$2:$A$53))</f>
        <v>0</v>
      </c>
      <c r="I64" s="98">
        <v>45842</v>
      </c>
      <c r="J64" s="99">
        <v>45842</v>
      </c>
      <c r="K64" s="99"/>
      <c r="L64" s="99">
        <v>45845</v>
      </c>
      <c r="M64" s="27">
        <f ca="1">IF(OR(J64="",AND(L64="",TODAY()&lt;J64),AND(L64&lt;&gt;"",L64&lt;J64)),0,
   IF(L64="",
      NETWORKDAYS(J64,TODAY(),fESTIVOS!$A$2:$A$53),
      NETWORKDAYS(J64,L64,fESTIVOS!$A$2:$A$53)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37" t="s">
        <v>537</v>
      </c>
      <c r="AZ64" s="37"/>
      <c r="BA64" s="37"/>
      <c r="BB64" s="37"/>
      <c r="BC64" s="37"/>
      <c r="BD64" s="37"/>
      <c r="BE64" s="37"/>
      <c r="BF64" s="37"/>
      <c r="BG64" s="37"/>
      <c r="BH64" s="37"/>
      <c r="BI64" s="37"/>
      <c r="BJ64" s="37"/>
      <c r="BK64" s="37"/>
      <c r="BL64" s="37"/>
      <c r="BM64" s="37"/>
      <c r="BN64" s="37"/>
      <c r="BO64" s="37"/>
    </row>
    <row r="65" spans="1:67" ht="29.25" customHeight="1">
      <c r="A65" s="55" t="s">
        <v>128</v>
      </c>
      <c r="B65" s="17" t="s">
        <v>538</v>
      </c>
      <c r="C65" s="106" t="s">
        <v>539</v>
      </c>
      <c r="D65" s="149"/>
      <c r="E65" s="96"/>
      <c r="F65" s="121" t="s">
        <v>76</v>
      </c>
      <c r="G65" s="97">
        <v>100</v>
      </c>
      <c r="H65" s="22">
        <f>IF(OR(J65="",K65="",K65&lt;J65),0,NETWORKDAYS(J65,K65,fESTIVOS!$A$2:$A$53))</f>
        <v>0</v>
      </c>
      <c r="I65" s="98">
        <v>45846</v>
      </c>
      <c r="J65" s="99">
        <v>45846</v>
      </c>
      <c r="K65" s="99"/>
      <c r="L65" s="99">
        <v>45847</v>
      </c>
      <c r="M65" s="27">
        <f ca="1">IF(OR(J65="",AND(L65="",TODAY()&lt;J65),AND(L65&lt;&gt;"",L65&lt;J65)),0,
   IF(L65="",
      NETWORKDAYS(J65,TODAY(),fESTIVOS!$A$2:$A$53),
      NETWORKDAYS(J65,L65,fESTIVOS!$A$2:$A$53)
   )
)</f>
        <v>2</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4"/>
      <c r="AZ65" s="104"/>
      <c r="BA65" s="37" t="s">
        <v>540</v>
      </c>
      <c r="BB65" s="37"/>
      <c r="BC65" s="37" t="s">
        <v>541</v>
      </c>
      <c r="BD65" s="37"/>
      <c r="BE65" s="37"/>
      <c r="BF65" s="37"/>
      <c r="BG65" s="37"/>
      <c r="BH65" s="37"/>
      <c r="BI65" s="37"/>
      <c r="BJ65" s="37"/>
      <c r="BK65" s="37"/>
      <c r="BL65" s="37"/>
      <c r="BM65" s="37"/>
      <c r="BN65" s="37"/>
      <c r="BO65" s="37"/>
    </row>
    <row r="66" spans="1:67" ht="29.25" customHeight="1">
      <c r="A66" s="55" t="s">
        <v>128</v>
      </c>
      <c r="B66" s="17" t="s">
        <v>542</v>
      </c>
      <c r="C66" s="106" t="s">
        <v>543</v>
      </c>
      <c r="D66" s="149"/>
      <c r="E66" s="96"/>
      <c r="F66" s="121" t="s">
        <v>76</v>
      </c>
      <c r="G66" s="97">
        <v>100</v>
      </c>
      <c r="H66" s="22">
        <f>IF(OR(J66="",K66="",K66&lt;J66),0,NETWORKDAYS(J66,K66,fESTIVOS!$A$2:$A$53))</f>
        <v>0</v>
      </c>
      <c r="I66" s="98">
        <v>45845</v>
      </c>
      <c r="J66" s="99">
        <v>45846</v>
      </c>
      <c r="K66" s="99"/>
      <c r="L66" s="99">
        <v>45846</v>
      </c>
      <c r="M66" s="27">
        <f ca="1">IF(OR(J66="",AND(L66="",TODAY()&lt;J66),AND(L66&lt;&gt;"",L66&lt;J66)),0,
   IF(L66="",
      NETWORKDAYS(J66,TODAY(),fESTIVOS!$A$2:$A$53),
      NETWORKDAYS(J66,L66,fESTIVOS!$A$2:$A$53)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37" t="s">
        <v>544</v>
      </c>
      <c r="BB66" s="37"/>
      <c r="BC66" s="37"/>
      <c r="BD66" s="37"/>
      <c r="BE66" s="37"/>
      <c r="BF66" s="37"/>
      <c r="BG66" s="37"/>
      <c r="BH66" s="37"/>
      <c r="BI66" s="37"/>
      <c r="BJ66" s="37"/>
      <c r="BK66" s="37"/>
      <c r="BL66" s="37"/>
      <c r="BM66" s="37"/>
      <c r="BN66" s="37"/>
      <c r="BO66" s="37"/>
    </row>
    <row r="67" spans="1:67" ht="29.25" customHeight="1">
      <c r="A67" s="55" t="s">
        <v>128</v>
      </c>
      <c r="B67" s="17" t="s">
        <v>545</v>
      </c>
      <c r="C67" s="106" t="s">
        <v>546</v>
      </c>
      <c r="D67" s="149"/>
      <c r="E67" s="96"/>
      <c r="F67" s="121" t="s">
        <v>76</v>
      </c>
      <c r="G67" s="97">
        <v>100</v>
      </c>
      <c r="H67" s="22">
        <f>IF(OR(J67="",K67="",K67&lt;J67),0,NETWORKDAYS(J67,K67,fESTIVOS!$A$2:$A$53))</f>
        <v>0</v>
      </c>
      <c r="I67" s="98">
        <v>45845</v>
      </c>
      <c r="J67" s="99">
        <v>45846</v>
      </c>
      <c r="K67" s="99"/>
      <c r="L67" s="99">
        <v>45846</v>
      </c>
      <c r="M67" s="27">
        <f ca="1">IF(OR(J67="",AND(L67="",TODAY()&lt;J67),AND(L67&lt;&gt;"",L67&lt;J67)),0,
   IF(L67="",
      NETWORKDAYS(J67,TODAY(),fESTIVOS!$A$2:$A$53),
      NETWORKDAYS(J67,L67,fESTIVOS!$A$2:$A$53)
   )
)</f>
        <v>1</v>
      </c>
      <c r="N67" s="28"/>
      <c r="O67" s="98"/>
      <c r="P67" s="100"/>
      <c r="Q67" s="103"/>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37" t="s">
        <v>547</v>
      </c>
      <c r="BB67" s="37"/>
      <c r="BC67" s="37"/>
      <c r="BD67" s="37"/>
      <c r="BE67" s="37"/>
      <c r="BF67" s="37"/>
      <c r="BG67" s="37"/>
      <c r="BH67" s="37"/>
      <c r="BI67" s="37"/>
      <c r="BJ67" s="37"/>
      <c r="BK67" s="37"/>
      <c r="BL67" s="37"/>
      <c r="BM67" s="37"/>
      <c r="BN67" s="37"/>
      <c r="BO67" s="37"/>
    </row>
    <row r="68" spans="1:67" ht="29.25" customHeight="1">
      <c r="A68" s="92" t="s">
        <v>128</v>
      </c>
      <c r="B68" s="105" t="s">
        <v>548</v>
      </c>
      <c r="C68" s="140" t="s">
        <v>549</v>
      </c>
      <c r="D68" s="95"/>
      <c r="E68" s="96"/>
      <c r="F68" s="121" t="s">
        <v>76</v>
      </c>
      <c r="G68" s="97">
        <v>100</v>
      </c>
      <c r="H68" s="22">
        <f>IF(OR(J68="",K68="",K68&lt;J68),0,NETWORKDAYS(J68,K68,fESTIVOS!$A$2:$A$53))</f>
        <v>0</v>
      </c>
      <c r="I68" s="98">
        <v>45975</v>
      </c>
      <c r="J68" s="99">
        <v>45975</v>
      </c>
      <c r="K68" s="99"/>
      <c r="L68" s="99">
        <v>45975</v>
      </c>
      <c r="M68" s="27">
        <f ca="1">IF(OR(J68="",AND(L68="",TODAY()&lt;J68),AND(L68&lt;&gt;"",L68&lt;J68)),0,
   IF(L68="",
      NETWORKDAYS(J68,TODAY(),fESTIVOS!$A$2:$A$53),
      NETWORKDAYS(J68,L68,fESTIVOS!$A$2:$A$53)
   )
)</f>
        <v>1</v>
      </c>
      <c r="N68" s="28"/>
      <c r="O68" s="98"/>
      <c r="P68" s="100"/>
      <c r="Q68" s="34" t="s">
        <v>550</v>
      </c>
      <c r="R68" s="112" t="s">
        <v>78</v>
      </c>
      <c r="S68" s="154"/>
      <c r="T68" s="97"/>
      <c r="U68" s="102"/>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row>
    <row r="69" spans="1:67" ht="29.25" customHeight="1">
      <c r="A69" s="92" t="s">
        <v>128</v>
      </c>
      <c r="B69" s="105" t="s">
        <v>551</v>
      </c>
      <c r="C69" s="140" t="s">
        <v>552</v>
      </c>
      <c r="D69" s="95" t="s">
        <v>553</v>
      </c>
      <c r="E69" s="96"/>
      <c r="F69" s="121" t="s">
        <v>76</v>
      </c>
      <c r="G69" s="97">
        <v>100</v>
      </c>
      <c r="H69" s="22">
        <f>IF(OR(J69="",K69="",K69&lt;J69),0,NETWORKDAYS(J69,K69,fESTIVOS!$A$2:$A$53))</f>
        <v>0</v>
      </c>
      <c r="I69" s="98">
        <v>45975</v>
      </c>
      <c r="J69" s="99">
        <v>45975</v>
      </c>
      <c r="K69" s="99"/>
      <c r="L69" s="99">
        <v>45985</v>
      </c>
      <c r="M69" s="27">
        <f ca="1">IF(OR(J69="",AND(L69="",TODAY()&lt;J69),AND(L69&lt;&gt;"",L69&lt;J69)),0,
   IF(L69="",
      NETWORKDAYS(J69,TODAY(),fESTIVOS!$A$2:$A$53),
      NETWORKDAYS(J69,L69,fESTIVOS!$A$2:$A$53)
   )
)</f>
        <v>6</v>
      </c>
      <c r="N69" s="28"/>
      <c r="O69" s="98"/>
      <c r="P69" s="100"/>
      <c r="Q69" s="34" t="s">
        <v>554</v>
      </c>
      <c r="R69" s="112" t="s">
        <v>78</v>
      </c>
      <c r="S69" s="154"/>
      <c r="T69" s="97"/>
      <c r="U69" s="102"/>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row>
    <row r="70" spans="1:67" ht="29.25" customHeight="1">
      <c r="A70" s="92" t="s">
        <v>128</v>
      </c>
      <c r="B70" s="105" t="s">
        <v>555</v>
      </c>
      <c r="C70" s="140" t="s">
        <v>556</v>
      </c>
      <c r="D70" s="95" t="s">
        <v>557</v>
      </c>
      <c r="E70" s="96"/>
      <c r="F70" s="121" t="s">
        <v>76</v>
      </c>
      <c r="G70" s="97">
        <v>100</v>
      </c>
      <c r="H70" s="22">
        <f>IF(OR(J70="",K70="",K70&lt;J70),0,NETWORKDAYS(J70,K70,fESTIVOS!$A$2:$A$53))</f>
        <v>0</v>
      </c>
      <c r="I70" s="98">
        <v>46000</v>
      </c>
      <c r="J70" s="99">
        <v>46000</v>
      </c>
      <c r="K70" s="99"/>
      <c r="L70" s="99">
        <v>45972</v>
      </c>
      <c r="M70" s="27">
        <f ca="1">IF(OR(J70="",AND(L70="",TODAY()&lt;J70),AND(L70&lt;&gt;"",L70&lt;J70)),0,
   IF(L70="",
      NETWORKDAYS(J70,TODAY(),fESTIVOS!$A$2:$A$53),
      NETWORKDAYS(J70,L70,fESTIVOS!$A$2:$A$53)
   )
)</f>
        <v>0</v>
      </c>
      <c r="N70" s="28"/>
      <c r="O70" s="98"/>
      <c r="P70" s="100">
        <v>45972</v>
      </c>
      <c r="Q70" s="34" t="s">
        <v>558</v>
      </c>
      <c r="R70" s="112"/>
      <c r="S70" s="154"/>
      <c r="T70" s="97"/>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4"/>
      <c r="BD70" s="104"/>
      <c r="BE70" s="104"/>
      <c r="BF70" s="104"/>
      <c r="BG70" s="104"/>
      <c r="BH70" s="104"/>
      <c r="BI70" s="104"/>
      <c r="BJ70" s="104"/>
      <c r="BK70" s="104"/>
      <c r="BL70" s="104"/>
      <c r="BM70" s="104"/>
      <c r="BN70" s="104"/>
      <c r="BO70" s="104"/>
    </row>
    <row r="71" spans="1:67" ht="29.25" customHeight="1">
      <c r="A71" s="122" t="s">
        <v>210</v>
      </c>
      <c r="B71" s="105" t="s">
        <v>559</v>
      </c>
      <c r="C71" s="106" t="s">
        <v>560</v>
      </c>
      <c r="D71" s="76"/>
      <c r="E71" s="96"/>
      <c r="F71" s="121" t="s">
        <v>76</v>
      </c>
      <c r="G71" s="97">
        <v>100</v>
      </c>
      <c r="H71" s="22">
        <f>IF(OR(J71="",K71="",K71&lt;J71),0,NETWORKDAYS(J71,K71,fESTIVOS!$A$2:$A$53))</f>
        <v>0</v>
      </c>
      <c r="I71" s="98">
        <v>45849</v>
      </c>
      <c r="J71" s="99">
        <v>45849</v>
      </c>
      <c r="K71" s="99"/>
      <c r="L71" s="99">
        <v>45855</v>
      </c>
      <c r="M71" s="27">
        <f ca="1">IF(OR(J71="",AND(L71="",TODAY()&lt;J71),AND(L71&lt;&gt;"",L71&lt;J71)),0,
   IF(L71="",
      NETWORKDAYS(J71,TODAY(),fESTIVOS!$A$2:$A$53),
      NETWORKDAYS(J71,L71,fESTIVOS!$A$2:$A$53)
   )
)</f>
        <v>5</v>
      </c>
      <c r="N71" s="28"/>
      <c r="O71" s="98"/>
      <c r="P71" s="100"/>
      <c r="Q71" s="103"/>
      <c r="R71" s="31" t="s">
        <v>78</v>
      </c>
      <c r="S71" s="101"/>
      <c r="T71" s="101"/>
      <c r="U71" s="102"/>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37" t="s">
        <v>561</v>
      </c>
      <c r="BD71" s="37"/>
      <c r="BE71" s="37"/>
      <c r="BF71" s="37" t="s">
        <v>562</v>
      </c>
      <c r="BG71" s="37"/>
      <c r="BH71" s="37" t="s">
        <v>563</v>
      </c>
      <c r="BI71" s="37"/>
      <c r="BJ71" s="37"/>
      <c r="BK71" s="37"/>
      <c r="BL71" s="37"/>
      <c r="BM71" s="37"/>
      <c r="BN71" s="37"/>
      <c r="BO71" s="37"/>
    </row>
    <row r="72" spans="1:67" ht="29.25" customHeight="1">
      <c r="A72" s="16" t="s">
        <v>67</v>
      </c>
      <c r="B72" s="17" t="s">
        <v>564</v>
      </c>
      <c r="C72" s="106" t="s">
        <v>565</v>
      </c>
      <c r="D72" s="95"/>
      <c r="E72" s="96"/>
      <c r="F72" s="121" t="s">
        <v>76</v>
      </c>
      <c r="G72" s="97">
        <v>100</v>
      </c>
      <c r="H72" s="22">
        <f>IF(OR(J72="",K72="",K72&lt;J72),0,NETWORKDAYS(J72,K72,fESTIVOS!$A$2:$A$53))</f>
        <v>0</v>
      </c>
      <c r="I72" s="98">
        <v>45852</v>
      </c>
      <c r="J72" s="99">
        <v>45852</v>
      </c>
      <c r="K72" s="99"/>
      <c r="L72" s="99">
        <v>45852</v>
      </c>
      <c r="M72" s="27">
        <f ca="1">IF(OR(J72="",AND(L72="",TODAY()&lt;J72),AND(L72&lt;&gt;"",L72&lt;J72)),0,
   IF(L72="",
      NETWORKDAYS(J72,TODAY(),fESTIVOS!$A$2:$A$53),
      NETWORKDAYS(J72,L72,fESTIVOS!$A$2:$A$53)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34" t="s">
        <v>566</v>
      </c>
      <c r="BE72" s="37"/>
      <c r="BF72" s="37" t="s">
        <v>567</v>
      </c>
      <c r="BG72" s="37"/>
      <c r="BH72" s="37"/>
      <c r="BI72" s="37"/>
      <c r="BJ72" s="37"/>
      <c r="BK72" s="37"/>
      <c r="BL72" s="37"/>
      <c r="BM72" s="37"/>
      <c r="BN72" s="37"/>
      <c r="BO72" s="37"/>
    </row>
    <row r="73" spans="1:67" ht="29.25" customHeight="1">
      <c r="A73" s="16" t="s">
        <v>67</v>
      </c>
      <c r="B73" s="17" t="s">
        <v>568</v>
      </c>
      <c r="C73" s="106" t="s">
        <v>569</v>
      </c>
      <c r="D73" s="155"/>
      <c r="E73" s="96"/>
      <c r="F73" s="121" t="s">
        <v>91</v>
      </c>
      <c r="G73" s="97">
        <v>15</v>
      </c>
      <c r="H73" s="22">
        <f>IF(OR(J73="",K73="",K73&lt;J73),0,NETWORKDAYS(J73,K73,fESTIVOS!$A$2:$A$53))</f>
        <v>0</v>
      </c>
      <c r="I73" s="98">
        <v>45852</v>
      </c>
      <c r="J73" s="99">
        <v>45856</v>
      </c>
      <c r="K73" s="99"/>
      <c r="L73" s="99"/>
      <c r="M73" s="27">
        <f ca="1">IF(OR(J73="",AND(L73="",TODAY()&lt;J73),AND(L73&lt;&gt;"",L73&lt;J73)),0,
   IF(L73="",
      NETWORKDAYS(J73,TODAY(),fESTIVOS!$A$2:$A$53),
      NETWORKDAYS(J73,L73,fESTIVOS!$A$2:$A$53)
   )
)</f>
        <v>157</v>
      </c>
      <c r="N73" s="28"/>
      <c r="O73" s="98"/>
      <c r="P73" s="100"/>
      <c r="Q73" s="34" t="s">
        <v>570</v>
      </c>
      <c r="R73" s="112" t="s">
        <v>93</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34" t="s">
        <v>571</v>
      </c>
      <c r="BE73" s="37"/>
      <c r="BF73" s="37"/>
      <c r="BG73" s="37"/>
      <c r="BH73" s="37"/>
      <c r="BI73" s="37" t="s">
        <v>572</v>
      </c>
      <c r="BJ73" s="37" t="s">
        <v>573</v>
      </c>
      <c r="BK73" s="37"/>
      <c r="BL73" s="37"/>
      <c r="BM73" s="37"/>
      <c r="BN73" s="37"/>
      <c r="BO73" s="37"/>
    </row>
    <row r="74" spans="1:67" ht="29.25" customHeight="1">
      <c r="A74" s="55" t="s">
        <v>128</v>
      </c>
      <c r="B74" s="17" t="s">
        <v>574</v>
      </c>
      <c r="C74" s="106" t="s">
        <v>575</v>
      </c>
      <c r="D74" s="95"/>
      <c r="E74" s="96"/>
      <c r="F74" s="121" t="s">
        <v>76</v>
      </c>
      <c r="G74" s="97">
        <v>100</v>
      </c>
      <c r="H74" s="22">
        <f>IF(OR(J74="",K74="",K74&lt;J74),0,NETWORKDAYS(J74,K74,fESTIVOS!$A$2:$A$53))</f>
        <v>0</v>
      </c>
      <c r="I74" s="98">
        <v>45853</v>
      </c>
      <c r="J74" s="99">
        <v>45859</v>
      </c>
      <c r="K74" s="99"/>
      <c r="L74" s="99">
        <v>45859</v>
      </c>
      <c r="M74" s="27">
        <f ca="1">IF(OR(J74="",AND(L74="",TODAY()&lt;J74),AND(L74&lt;&gt;"",L74&lt;J74)),0,
   IF(L74="",
      NETWORKDAYS(J74,TODAY(),fESTIVOS!$A$2:$A$53),
      NETWORKDAYS(J74,L74,fESTIVOS!$A$2:$A$53)
   )
)</f>
        <v>1</v>
      </c>
      <c r="N74" s="28"/>
      <c r="O74" s="98">
        <v>45859</v>
      </c>
      <c r="P74" s="100">
        <v>45860</v>
      </c>
      <c r="Q74" s="103"/>
      <c r="R74" s="31" t="s">
        <v>78</v>
      </c>
      <c r="S74" s="101"/>
      <c r="T74" s="101"/>
      <c r="U74" s="102"/>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37" t="s">
        <v>576</v>
      </c>
      <c r="BG74" s="37"/>
      <c r="BH74" s="37"/>
      <c r="BI74" s="37" t="s">
        <v>577</v>
      </c>
      <c r="BJ74" s="37" t="s">
        <v>578</v>
      </c>
      <c r="BK74" s="37"/>
      <c r="BL74" s="37"/>
      <c r="BM74" s="37"/>
      <c r="BN74" s="37"/>
      <c r="BO74" s="37"/>
    </row>
    <row r="75" spans="1:67" ht="29.25" customHeight="1">
      <c r="A75" s="55" t="s">
        <v>128</v>
      </c>
      <c r="B75" s="17" t="s">
        <v>579</v>
      </c>
      <c r="C75" s="106" t="s">
        <v>580</v>
      </c>
      <c r="D75" s="149"/>
      <c r="E75" s="96"/>
      <c r="F75" s="20" t="s">
        <v>76</v>
      </c>
      <c r="G75" s="97">
        <v>100</v>
      </c>
      <c r="H75" s="22">
        <f>IF(OR(J75="",K75="",K75&lt;J75),0,NETWORKDAYS(J75,K75,fESTIVOS!$A$2:$A$53))</f>
        <v>3</v>
      </c>
      <c r="I75" s="98">
        <v>45855</v>
      </c>
      <c r="J75" s="99">
        <v>45868</v>
      </c>
      <c r="K75" s="99">
        <v>45870</v>
      </c>
      <c r="L75" s="99">
        <v>45877</v>
      </c>
      <c r="M75" s="27">
        <f ca="1">IF(OR(J75="",AND(L75="",TODAY()&lt;J75),AND(L75&lt;&gt;"",L75&lt;J75)),0,
   IF(L75="",
      NETWORKDAYS(J75,TODAY(),fESTIVOS!$A$2:$A$53),
      NETWORKDAYS(J75,L75,fESTIVOS!$A$2:$A$53)
   )
)</f>
        <v>7</v>
      </c>
      <c r="N75" s="28"/>
      <c r="O75" s="98">
        <v>45877</v>
      </c>
      <c r="P75" s="100">
        <v>45953</v>
      </c>
      <c r="Q75" s="88" t="s">
        <v>581</v>
      </c>
      <c r="R75" s="31" t="s">
        <v>78</v>
      </c>
      <c r="S75" s="156"/>
      <c r="T75" s="157" t="s">
        <v>582</v>
      </c>
      <c r="U75" s="121" t="s">
        <v>583</v>
      </c>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37" t="s">
        <v>584</v>
      </c>
      <c r="BN75" s="37"/>
      <c r="BO75" s="37"/>
    </row>
    <row r="76" spans="1:67" ht="29.25" customHeight="1">
      <c r="A76" s="55" t="s">
        <v>210</v>
      </c>
      <c r="B76" s="105" t="s">
        <v>585</v>
      </c>
      <c r="C76" s="150" t="s">
        <v>586</v>
      </c>
      <c r="D76" s="149"/>
      <c r="E76" s="96"/>
      <c r="F76" s="20" t="s">
        <v>76</v>
      </c>
      <c r="G76" s="97">
        <v>100</v>
      </c>
      <c r="H76" s="22">
        <f>IF(OR(J76="",K76="",K76&lt;J76),0,NETWORKDAYS(J76,K76,fESTIVOS!$A$2:$A$53))</f>
        <v>0</v>
      </c>
      <c r="I76" s="98">
        <v>45952</v>
      </c>
      <c r="J76" s="99">
        <v>45917</v>
      </c>
      <c r="K76" s="99"/>
      <c r="L76" s="99">
        <v>45917</v>
      </c>
      <c r="M76" s="27">
        <f ca="1">IF(OR(J76="",AND(L76="",TODAY()&lt;J76),AND(L76&lt;&gt;"",L76&lt;J76)),0,
   IF(L76="",
      NETWORKDAYS(J76,TODAY(),fESTIVOS!$A$2:$A$53),
      NETWORKDAYS(J76,L76,fESTIVOS!$A$2:$A$53)
   )
)</f>
        <v>1</v>
      </c>
      <c r="N76" s="28"/>
      <c r="O76" s="98"/>
      <c r="P76" s="100"/>
      <c r="Q76" s="88" t="s">
        <v>587</v>
      </c>
      <c r="R76" s="31" t="s">
        <v>78</v>
      </c>
      <c r="S76" s="156"/>
      <c r="T76" s="157"/>
      <c r="U76" s="102"/>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37"/>
      <c r="BN76" s="37"/>
      <c r="BO76" s="37"/>
    </row>
    <row r="77" spans="1:67" ht="29.25" customHeight="1">
      <c r="A77" s="55" t="s">
        <v>128</v>
      </c>
      <c r="B77" s="105" t="s">
        <v>588</v>
      </c>
      <c r="C77" s="106" t="s">
        <v>589</v>
      </c>
      <c r="D77" s="149"/>
      <c r="E77" s="96"/>
      <c r="F77" s="121" t="s">
        <v>76</v>
      </c>
      <c r="G77" s="97">
        <v>100</v>
      </c>
      <c r="H77" s="22">
        <f>IF(OR(J77="",K77="",K77&lt;J77),0,NETWORKDAYS(J77,K77,fESTIVOS!$A$2:$A$53))</f>
        <v>0</v>
      </c>
      <c r="I77" s="98">
        <v>45877</v>
      </c>
      <c r="J77" s="99">
        <v>45917</v>
      </c>
      <c r="K77" s="99"/>
      <c r="L77" s="99">
        <v>45917</v>
      </c>
      <c r="M77" s="27">
        <f ca="1">IF(OR(J77="",AND(L77="",TODAY()&lt;J77),AND(L77&lt;&gt;"",L77&lt;J77)),0,
   IF(L77="",
      NETWORKDAYS(J77,TODAY(),fESTIVOS!$A$2:$A$53),
      NETWORKDAYS(J77,L77,fESTIVOS!$A$2:$A$53)
   )
)</f>
        <v>1</v>
      </c>
      <c r="N77" s="28"/>
      <c r="O77" s="98"/>
      <c r="P77" s="100"/>
      <c r="Q77" s="88" t="s">
        <v>590</v>
      </c>
      <c r="R77" s="112" t="s">
        <v>78</v>
      </c>
      <c r="S77" s="101"/>
      <c r="T77" s="101"/>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spans="1:67" ht="29.25" customHeight="1">
      <c r="A78" s="92" t="s">
        <v>128</v>
      </c>
      <c r="B78" s="105" t="s">
        <v>591</v>
      </c>
      <c r="C78" s="106" t="s">
        <v>592</v>
      </c>
      <c r="D78" s="95" t="s">
        <v>593</v>
      </c>
      <c r="E78" s="96"/>
      <c r="F78" s="121" t="s">
        <v>76</v>
      </c>
      <c r="G78" s="97">
        <v>100</v>
      </c>
      <c r="H78" s="22">
        <f>IF(OR(J78="",K78="",K78&lt;J78),0,NETWORKDAYS(J78,K78,fESTIVOS!$A$2:$A$53))</f>
        <v>0</v>
      </c>
      <c r="I78" s="98">
        <v>45953</v>
      </c>
      <c r="J78" s="99">
        <v>45958</v>
      </c>
      <c r="K78" s="99"/>
      <c r="L78" s="99">
        <v>45965</v>
      </c>
      <c r="M78" s="27">
        <f ca="1">IF(OR(J78="",AND(L78="",TODAY()&lt;J78),AND(L78&lt;&gt;"",L78&lt;J78)),0,
   IF(L78="",
      NETWORKDAYS(J78,TODAY(),fESTIVOS!$A$2:$A$53),
      NETWORKDAYS(J78,L78,fESTIVOS!$A$2:$A$53)
   )
)</f>
        <v>5</v>
      </c>
      <c r="N78" s="28"/>
      <c r="O78" s="98">
        <v>45965</v>
      </c>
      <c r="P78" s="100"/>
      <c r="Q78" s="34" t="s">
        <v>594</v>
      </c>
      <c r="R78" s="112" t="s">
        <v>78</v>
      </c>
      <c r="S78" s="154"/>
      <c r="T78" s="97" t="s">
        <v>595</v>
      </c>
      <c r="U78" s="121" t="s">
        <v>596</v>
      </c>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spans="1:67" ht="29.25" customHeight="1">
      <c r="A79" s="92" t="s">
        <v>128</v>
      </c>
      <c r="B79" s="105" t="s">
        <v>597</v>
      </c>
      <c r="C79" s="119" t="s">
        <v>598</v>
      </c>
      <c r="D79" s="95"/>
      <c r="E79" s="96"/>
      <c r="F79" s="121" t="s">
        <v>76</v>
      </c>
      <c r="G79" s="97">
        <v>100</v>
      </c>
      <c r="H79" s="22">
        <f>IF(OR(J79="",K79="",K79&lt;J79),0,NETWORKDAYS(J79,K79,fESTIVOS!$A$2:$A$53))</f>
        <v>0</v>
      </c>
      <c r="I79" s="98">
        <v>45973</v>
      </c>
      <c r="J79" s="99">
        <v>46003</v>
      </c>
      <c r="K79" s="99"/>
      <c r="L79" s="99">
        <v>46009</v>
      </c>
      <c r="M79" s="27">
        <f ca="1">IF(OR(J79="",AND(L79="",TODAY()&lt;J79),AND(L79&lt;&gt;"",L79&lt;J79)),0,
   IF(L79="",
      NETWORKDAYS(J79,TODAY(),fESTIVOS!$A$2:$A$53),
      NETWORKDAYS(J79,L79,fESTIVOS!$A$2:$A$53)
   )
)</f>
        <v>5</v>
      </c>
      <c r="N79" s="28"/>
      <c r="O79" s="98"/>
      <c r="P79" s="100"/>
      <c r="Q79" s="34" t="s">
        <v>599</v>
      </c>
      <c r="R79" s="112" t="s">
        <v>209</v>
      </c>
      <c r="S79" s="154"/>
      <c r="T79" s="97"/>
      <c r="U79" s="102"/>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row>
    <row r="80" spans="1:67" ht="29.25" customHeight="1">
      <c r="A80" s="16" t="s">
        <v>67</v>
      </c>
      <c r="B80" s="17" t="s">
        <v>600</v>
      </c>
      <c r="C80" s="106" t="s">
        <v>601</v>
      </c>
      <c r="D80" s="95"/>
      <c r="E80" s="96"/>
      <c r="F80" s="121" t="s">
        <v>76</v>
      </c>
      <c r="G80" s="97">
        <v>100</v>
      </c>
      <c r="H80" s="22">
        <f>IF(OR(J80="",K80="",K80&lt;J80),0,NETWORKDAYS(J80,K80,fESTIVOS!$A$2:$A$53))</f>
        <v>0</v>
      </c>
      <c r="I80" s="98">
        <v>45856</v>
      </c>
      <c r="J80" s="99">
        <v>45862</v>
      </c>
      <c r="K80" s="99"/>
      <c r="L80" s="99">
        <v>45862</v>
      </c>
      <c r="M80" s="27">
        <f ca="1">IF(OR(J80="",AND(L80="",TODAY()&lt;J80),AND(L80&lt;&gt;"",L80&lt;J80)),0,
   IF(L80="",
      NETWORKDAYS(J80,TODAY(),fESTIVOS!$A$2:$A$53),
      NETWORKDAYS(J80,L80,fESTIVOS!$A$2:$A$53)
   )
)</f>
        <v>1</v>
      </c>
      <c r="N80" s="28"/>
      <c r="O80" s="98"/>
      <c r="P80" s="100"/>
      <c r="Q80" s="34" t="s">
        <v>602</v>
      </c>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37" t="s">
        <v>603</v>
      </c>
      <c r="BJ80" s="37"/>
      <c r="BK80" s="37"/>
      <c r="BL80" s="37"/>
      <c r="BM80" s="37" t="s">
        <v>604</v>
      </c>
      <c r="BN80" s="37"/>
      <c r="BO80" s="37"/>
    </row>
    <row r="81" spans="1:67" ht="29.25" customHeight="1">
      <c r="A81" s="16" t="s">
        <v>67</v>
      </c>
      <c r="B81" s="17" t="s">
        <v>605</v>
      </c>
      <c r="C81" s="106" t="s">
        <v>606</v>
      </c>
      <c r="D81" s="95"/>
      <c r="E81" s="96"/>
      <c r="F81" s="121" t="s">
        <v>76</v>
      </c>
      <c r="G81" s="97">
        <v>100</v>
      </c>
      <c r="H81" s="22">
        <f>IF(OR(J81="",K81="",K81&lt;J81),0,NETWORKDAYS(J81,K81,fESTIVOS!$A$2:$A$53))</f>
        <v>0</v>
      </c>
      <c r="I81" s="98">
        <v>45860</v>
      </c>
      <c r="J81" s="99">
        <v>45860</v>
      </c>
      <c r="K81" s="99"/>
      <c r="L81" s="99">
        <v>45861</v>
      </c>
      <c r="M81" s="27">
        <f ca="1">IF(OR(J81="",AND(L81="",TODAY()&lt;J81),AND(L81&lt;&gt;"",L81&lt;J81)),0,
   IF(L81="",
      NETWORKDAYS(J81,TODAY(),fESTIVOS!$A$2:$A$53),
      NETWORKDAYS(J81,L81,fESTIVOS!$A$2:$A$53)
   )
)</f>
        <v>2</v>
      </c>
      <c r="N81" s="28"/>
      <c r="O81" s="98"/>
      <c r="P81" s="100"/>
      <c r="Q81" s="34" t="s">
        <v>607</v>
      </c>
      <c r="R81" s="31" t="s">
        <v>78</v>
      </c>
      <c r="S81" s="101"/>
      <c r="T81" s="101"/>
      <c r="U81" s="102"/>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37"/>
      <c r="BL81" s="37" t="s">
        <v>608</v>
      </c>
      <c r="BM81" s="37"/>
      <c r="BN81" s="37"/>
      <c r="BO81" s="37"/>
    </row>
    <row r="82" spans="1:67" ht="29.25" customHeight="1">
      <c r="A82" s="55" t="s">
        <v>128</v>
      </c>
      <c r="B82" s="17" t="s">
        <v>609</v>
      </c>
      <c r="C82" s="106" t="s">
        <v>610</v>
      </c>
      <c r="D82" s="95"/>
      <c r="E82" s="96"/>
      <c r="F82" s="121" t="s">
        <v>76</v>
      </c>
      <c r="G82" s="97">
        <v>100</v>
      </c>
      <c r="H82" s="22">
        <f>IF(OR(J82="",K82="",K82&lt;J82),0,NETWORKDAYS(J82,K82,fESTIVOS!$A$2:$A$53))</f>
        <v>0</v>
      </c>
      <c r="I82" s="98">
        <v>45860</v>
      </c>
      <c r="J82" s="99">
        <v>45860</v>
      </c>
      <c r="K82" s="99"/>
      <c r="L82" s="99">
        <v>45863</v>
      </c>
      <c r="M82" s="27">
        <f ca="1">IF(OR(J82="",AND(L82="",TODAY()&lt;J82),AND(L82&lt;&gt;"",L82&lt;J82)),0,
   IF(L82="",
      NETWORKDAYS(J82,TODAY(),fESTIVOS!$A$2:$A$53),
      NETWORKDAYS(J82,L82,fESTIVOS!$A$2:$A$53)
   )
)</f>
        <v>4</v>
      </c>
      <c r="N82" s="28"/>
      <c r="O82" s="98"/>
      <c r="P82" s="100">
        <v>45867</v>
      </c>
      <c r="Q82" s="34" t="s">
        <v>611</v>
      </c>
      <c r="R82" s="31" t="s">
        <v>78</v>
      </c>
      <c r="S82" s="101"/>
      <c r="T82" s="101"/>
      <c r="U82" s="102"/>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37"/>
      <c r="BL82" s="37"/>
      <c r="BM82" s="37" t="s">
        <v>612</v>
      </c>
      <c r="BN82" s="37"/>
      <c r="BO82" s="37"/>
    </row>
    <row r="83" spans="1:67" ht="29.25" customHeight="1">
      <c r="A83" s="55" t="s">
        <v>157</v>
      </c>
      <c r="B83" s="17" t="s">
        <v>613</v>
      </c>
      <c r="C83" s="106" t="s">
        <v>614</v>
      </c>
      <c r="D83" s="95"/>
      <c r="E83" s="96"/>
      <c r="F83" s="121" t="s">
        <v>76</v>
      </c>
      <c r="G83" s="97">
        <v>100</v>
      </c>
      <c r="H83" s="22">
        <f>IF(OR(J83="",K83="",K83&lt;J83),0,NETWORKDAYS(J83,K83,fESTIVOS!$A$2:$A$53))</f>
        <v>0</v>
      </c>
      <c r="I83" s="98">
        <v>45861</v>
      </c>
      <c r="J83" s="99">
        <v>45861</v>
      </c>
      <c r="K83" s="99"/>
      <c r="L83" s="99">
        <v>45862</v>
      </c>
      <c r="M83" s="27">
        <f ca="1">IF(OR(J83="",AND(L83="",TODAY()&lt;J83),AND(L83&lt;&gt;"",L83&lt;J83)),0,
   IF(L83="",
      NETWORKDAYS(J83,TODAY(),fESTIVOS!$A$2:$A$53),
      NETWORKDAYS(J83,L83,fESTIVOS!$A$2:$A$53)
   )
)</f>
        <v>2</v>
      </c>
      <c r="N83" s="28"/>
      <c r="O83" s="98"/>
      <c r="P83" s="100"/>
      <c r="Q83" s="34" t="s">
        <v>615</v>
      </c>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row>
    <row r="84" spans="1:67" ht="29.25" customHeight="1">
      <c r="A84" s="55" t="s">
        <v>157</v>
      </c>
      <c r="B84" s="17" t="s">
        <v>616</v>
      </c>
      <c r="C84" s="106" t="s">
        <v>617</v>
      </c>
      <c r="D84" s="149"/>
      <c r="E84" s="96"/>
      <c r="F84" s="121" t="s">
        <v>76</v>
      </c>
      <c r="G84" s="97">
        <v>100</v>
      </c>
      <c r="H84" s="22">
        <f>IF(OR(J84="",K84="",K84&lt;J84),0,NETWORKDAYS(J84,K84,fESTIVOS!$A$2:$A$53))</f>
        <v>0</v>
      </c>
      <c r="I84" s="98">
        <v>45861</v>
      </c>
      <c r="J84" s="99">
        <v>45861</v>
      </c>
      <c r="K84" s="99"/>
      <c r="L84" s="99">
        <v>45861</v>
      </c>
      <c r="M84" s="27">
        <f ca="1">IF(OR(J84="",AND(L84="",TODAY()&lt;J84),AND(L84&lt;&gt;"",L84&lt;J84)),0,
   IF(L84="",
      NETWORKDAYS(J84,TODAY(),fESTIVOS!$A$2:$A$53),
      NETWORKDAYS(J84,L84,fESTIVOS!$A$2:$A$53)
   )
)</f>
        <v>1</v>
      </c>
      <c r="N84" s="28"/>
      <c r="O84" s="98"/>
      <c r="P84" s="100"/>
      <c r="Q84" s="34" t="s">
        <v>618</v>
      </c>
      <c r="R84" s="31" t="s">
        <v>78</v>
      </c>
      <c r="S84" s="101"/>
      <c r="T84" s="101"/>
      <c r="U84" s="102"/>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row>
    <row r="85" spans="1:67" ht="29.25" customHeight="1">
      <c r="A85" s="92" t="s">
        <v>157</v>
      </c>
      <c r="B85" s="93" t="s">
        <v>619</v>
      </c>
      <c r="C85" s="109" t="s">
        <v>620</v>
      </c>
      <c r="D85" s="114" t="s">
        <v>621</v>
      </c>
      <c r="E85" s="115"/>
      <c r="F85" s="116" t="s">
        <v>76</v>
      </c>
      <c r="G85" s="58">
        <v>100</v>
      </c>
      <c r="H85" s="22">
        <f>IF(OR(J85="",K85="",K85&lt;J85),0,NETWORKDAYS(J85,K85,fESTIVOS!$A$2:$A$53))</f>
        <v>0</v>
      </c>
      <c r="I85" s="81">
        <v>46009</v>
      </c>
      <c r="J85" s="60">
        <v>46010</v>
      </c>
      <c r="K85" s="68"/>
      <c r="L85" s="60">
        <v>46010</v>
      </c>
      <c r="M85" s="27">
        <f ca="1">IF(OR(J85="",AND(L85="",TODAY()&lt;J85),AND(L85&lt;&gt;"",L85&lt;J85)),0,
   IF(L85="",
      NETWORKDAYS(J85,TODAY(),fESTIVOS!$A$2:$A$53),
      NETWORKDAYS(J85,L85,fESTIVOS!$A$2:$A$53)
   )
)</f>
        <v>1</v>
      </c>
      <c r="N85" s="28"/>
      <c r="O85" s="81">
        <v>46010</v>
      </c>
      <c r="P85" s="61">
        <v>46020</v>
      </c>
      <c r="Q85" s="62" t="s">
        <v>622</v>
      </c>
      <c r="R85" s="31" t="s">
        <v>78</v>
      </c>
      <c r="S85" s="71"/>
      <c r="T85" s="71"/>
      <c r="U85" s="72"/>
      <c r="V85" s="158" t="s">
        <v>623</v>
      </c>
      <c r="W85" s="118"/>
      <c r="X85" s="118"/>
      <c r="Y85" s="118"/>
      <c r="Z85" s="118"/>
      <c r="AA85" s="118"/>
      <c r="AB85" s="118"/>
      <c r="AC85" s="118"/>
      <c r="AD85" s="118"/>
      <c r="AE85" s="118"/>
      <c r="AF85" s="118"/>
      <c r="AG85" s="118"/>
      <c r="AH85" s="118"/>
      <c r="AI85" s="118"/>
      <c r="AJ85" s="118"/>
      <c r="AK85" s="118"/>
      <c r="AL85" s="118"/>
      <c r="AM85" s="118"/>
      <c r="AN85" s="118"/>
      <c r="AO85" s="118"/>
      <c r="AP85" s="66"/>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row>
    <row r="86" spans="1:67" ht="29.25" customHeight="1">
      <c r="A86" s="92" t="s">
        <v>128</v>
      </c>
      <c r="B86" s="93" t="s">
        <v>624</v>
      </c>
      <c r="C86" s="140" t="s">
        <v>625</v>
      </c>
      <c r="D86" s="95" t="s">
        <v>626</v>
      </c>
      <c r="E86" s="96"/>
      <c r="F86" s="111" t="s">
        <v>76</v>
      </c>
      <c r="G86" s="97">
        <v>100</v>
      </c>
      <c r="H86" s="22">
        <f>IF(OR(J86="",K86="",K86&lt;J86),0,NETWORKDAYS(J86,K86,fESTIVOS!$A$2:$A$53))</f>
        <v>0</v>
      </c>
      <c r="I86" s="98">
        <v>46010</v>
      </c>
      <c r="J86" s="99">
        <v>46010</v>
      </c>
      <c r="K86" s="99"/>
      <c r="L86" s="99">
        <v>46013</v>
      </c>
      <c r="M86" s="27">
        <f ca="1">IF(OR(J86="",AND(L86="",TODAY()&lt;J86),AND(L86&lt;&gt;"",L86&lt;J86)),0,
   IF(L86="",
      NETWORKDAYS(J86,TODAY(),fESTIVOS!$A$2:$A$53),
      NETWORKDAYS(J86,L86,fESTIVOS!$A$2:$A$53)
   )
)</f>
        <v>2</v>
      </c>
      <c r="N86" s="28"/>
      <c r="O86" s="98">
        <v>46013</v>
      </c>
      <c r="P86" s="100">
        <v>46044</v>
      </c>
      <c r="Q86" s="34" t="s">
        <v>627</v>
      </c>
      <c r="R86" s="112" t="s">
        <v>78</v>
      </c>
      <c r="S86" s="154">
        <v>2</v>
      </c>
      <c r="T86" s="58" t="s">
        <v>628</v>
      </c>
      <c r="U86" s="121" t="s">
        <v>629</v>
      </c>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spans="1:67" ht="29.25" customHeight="1">
      <c r="A87" s="122" t="s">
        <v>210</v>
      </c>
      <c r="B87" s="93" t="s">
        <v>630</v>
      </c>
      <c r="C87" s="140" t="s">
        <v>631</v>
      </c>
      <c r="D87" s="95"/>
      <c r="E87" s="96"/>
      <c r="F87" s="111" t="s">
        <v>250</v>
      </c>
      <c r="G87" s="97"/>
      <c r="H87" s="22">
        <f>IF(OR(J87="",K87="",K87&lt;J87),0,NETWORKDAYS(J87,K87,fESTIVOS!$A$2:$A$53))</f>
        <v>0</v>
      </c>
      <c r="I87" s="98">
        <v>46042</v>
      </c>
      <c r="J87" s="99"/>
      <c r="K87" s="99"/>
      <c r="L87" s="99"/>
      <c r="M87" s="27">
        <f ca="1">IF(OR(J87="",AND(L87="",TODAY()&lt;J87),AND(L87&lt;&gt;"",L87&lt;J87)),0,
   IF(L87="",
      NETWORKDAYS(J87,TODAY(),fESTIVOS!$A$2:$A$53),
      NETWORKDAYS(J87,L87,fESTIVOS!$A$2:$A$53)
   )
)</f>
        <v>0</v>
      </c>
      <c r="N87" s="28"/>
      <c r="O87" s="98"/>
      <c r="P87" s="100"/>
      <c r="Q87" s="34" t="s">
        <v>632</v>
      </c>
      <c r="R87" s="112" t="s">
        <v>633</v>
      </c>
      <c r="S87" s="159"/>
      <c r="T87" s="160"/>
      <c r="U87" s="161"/>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spans="1:67" ht="29.25" customHeight="1">
      <c r="A88" s="92" t="s">
        <v>157</v>
      </c>
      <c r="B88" s="105" t="s">
        <v>634</v>
      </c>
      <c r="C88" s="141" t="s">
        <v>635</v>
      </c>
      <c r="D88" s="162" t="s">
        <v>636</v>
      </c>
      <c r="E88" s="96"/>
      <c r="F88" s="121" t="s">
        <v>76</v>
      </c>
      <c r="G88" s="97">
        <v>100</v>
      </c>
      <c r="H88" s="22">
        <f>IF(OR(J88="",K88="",K88&lt;J88),0,NETWORKDAYS(J88,K88,fESTIVOS!$A$2:$A$53))</f>
        <v>0</v>
      </c>
      <c r="I88" s="98">
        <v>45954</v>
      </c>
      <c r="J88" s="99">
        <v>45957</v>
      </c>
      <c r="K88" s="99"/>
      <c r="L88" s="99">
        <v>45982</v>
      </c>
      <c r="M88" s="27">
        <f ca="1">IF(OR(J88="",AND(L88="",TODAY()&lt;J88),AND(L88&lt;&gt;"",L88&lt;J88)),0,
   IF(L88="",
      NETWORKDAYS(J88,TODAY(),fESTIVOS!$A$2:$A$53),
      NETWORKDAYS(J88,L88,fESTIVOS!$A$2:$A$53)
   )
)</f>
        <v>18</v>
      </c>
      <c r="N88" s="28"/>
      <c r="O88" s="98">
        <v>45982</v>
      </c>
      <c r="P88" s="100">
        <v>46055</v>
      </c>
      <c r="Q88" s="34" t="s">
        <v>637</v>
      </c>
      <c r="R88" s="31" t="s">
        <v>78</v>
      </c>
      <c r="S88" s="163"/>
      <c r="T88" s="164" t="s">
        <v>638</v>
      </c>
      <c r="U88" s="165" t="s">
        <v>639</v>
      </c>
      <c r="V88" s="166" t="s">
        <v>640</v>
      </c>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spans="1:67" ht="29.25" customHeight="1">
      <c r="A89" s="92" t="s">
        <v>157</v>
      </c>
      <c r="B89" s="105" t="s">
        <v>641</v>
      </c>
      <c r="C89" s="140" t="s">
        <v>642</v>
      </c>
      <c r="D89" s="95" t="s">
        <v>643</v>
      </c>
      <c r="E89" s="115"/>
      <c r="F89" s="116" t="s">
        <v>76</v>
      </c>
      <c r="G89" s="58">
        <v>100</v>
      </c>
      <c r="H89" s="22">
        <f>IF(OR(J89="",K89="",K89&lt;J89),0,NETWORKDAYS(J89,K89,fESTIVOS!$A$2:$A$53))</f>
        <v>0</v>
      </c>
      <c r="I89" s="81">
        <v>46038</v>
      </c>
      <c r="J89" s="60">
        <v>46038</v>
      </c>
      <c r="K89" s="60"/>
      <c r="L89" s="60">
        <v>46038</v>
      </c>
      <c r="M89" s="27">
        <f ca="1">IF(OR(J89="",AND(L89="",TODAY()&lt;J89),AND(L89&lt;&gt;"",L89&lt;J89)),0,
   IF(L89="",
      NETWORKDAYS(J89,TODAY(),fESTIVOS!$A$2:$A$53),
      NETWORKDAYS(J89,L89,fESTIVOS!$A$2:$A$53)
   )
)</f>
        <v>1</v>
      </c>
      <c r="N89" s="28"/>
      <c r="O89" s="59"/>
      <c r="P89" s="61">
        <v>46038</v>
      </c>
      <c r="Q89" s="62" t="s">
        <v>644</v>
      </c>
      <c r="R89" s="31" t="s">
        <v>524</v>
      </c>
      <c r="S89" s="167"/>
      <c r="U89" s="168"/>
      <c r="V89" s="118"/>
      <c r="W89" s="118"/>
      <c r="X89" s="118"/>
      <c r="Y89" s="118"/>
      <c r="Z89" s="118"/>
      <c r="AA89" s="118"/>
      <c r="AB89" s="118"/>
      <c r="AC89" s="118"/>
      <c r="AD89" s="118"/>
      <c r="AE89" s="118"/>
      <c r="AF89" s="118"/>
      <c r="AG89" s="118"/>
      <c r="AH89" s="118"/>
      <c r="AI89" s="118"/>
      <c r="AJ89" s="118"/>
      <c r="AK89" s="118"/>
      <c r="AL89" s="118"/>
      <c r="AM89" s="118"/>
      <c r="AN89" s="118"/>
      <c r="AO89" s="118"/>
      <c r="AP89" s="66"/>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row>
    <row r="90" spans="1:67" ht="29.25" customHeight="1">
      <c r="A90" s="92" t="s">
        <v>157</v>
      </c>
      <c r="B90" s="93" t="s">
        <v>645</v>
      </c>
      <c r="C90" s="140" t="s">
        <v>646</v>
      </c>
      <c r="D90" s="95" t="s">
        <v>647</v>
      </c>
      <c r="E90" s="115"/>
      <c r="F90" s="116" t="s">
        <v>70</v>
      </c>
      <c r="G90" s="58">
        <v>70</v>
      </c>
      <c r="H90" s="22">
        <f>IF(OR(J90="",K90="",K90&lt;J90),0,NETWORKDAYS(J90,K90,fESTIVOS!$A$2:$A$53))</f>
        <v>9</v>
      </c>
      <c r="I90" s="81">
        <v>46010</v>
      </c>
      <c r="J90" s="60">
        <v>46020</v>
      </c>
      <c r="K90" s="60">
        <v>46031</v>
      </c>
      <c r="L90" s="60">
        <v>46043</v>
      </c>
      <c r="M90" s="27">
        <f ca="1">IF(OR(J90="",AND(L90="",TODAY()&lt;J90),AND(L90&lt;&gt;"",L90&lt;J90)),0,
   IF(L90="",
      NETWORKDAYS(J90,TODAY(),fESTIVOS!$A$2:$A$53),
      NETWORKDAYS(J90,L90,fESTIVOS!$A$2:$A$53)
   )
)</f>
        <v>16</v>
      </c>
      <c r="N90" s="169"/>
      <c r="O90" s="59"/>
      <c r="P90" s="69"/>
      <c r="Q90" s="62" t="s">
        <v>648</v>
      </c>
      <c r="R90" s="31" t="s">
        <v>78</v>
      </c>
      <c r="S90" s="71"/>
      <c r="T90" s="145" t="s">
        <v>649</v>
      </c>
      <c r="U90" s="63" t="s">
        <v>650</v>
      </c>
      <c r="V90" s="170" t="s">
        <v>651</v>
      </c>
      <c r="W90" s="118"/>
      <c r="X90" s="118"/>
      <c r="Y90" s="118"/>
      <c r="Z90" s="118"/>
      <c r="AA90" s="118"/>
      <c r="AB90" s="118"/>
      <c r="AC90" s="118"/>
      <c r="AD90" s="118"/>
      <c r="AE90" s="118"/>
      <c r="AF90" s="118"/>
      <c r="AG90" s="118"/>
      <c r="AH90" s="118"/>
      <c r="AI90" s="118"/>
      <c r="AJ90" s="118"/>
      <c r="AK90" s="118"/>
      <c r="AL90" s="118"/>
      <c r="AM90" s="118"/>
      <c r="AN90" s="118"/>
      <c r="AO90" s="118"/>
      <c r="AP90" s="66"/>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row>
    <row r="91" spans="1:67" ht="29.25" customHeight="1">
      <c r="A91" s="92" t="s">
        <v>157</v>
      </c>
      <c r="B91" s="93" t="s">
        <v>652</v>
      </c>
      <c r="C91" s="140" t="s">
        <v>653</v>
      </c>
      <c r="D91" s="95"/>
      <c r="E91" s="115"/>
      <c r="F91" s="116" t="s">
        <v>654</v>
      </c>
      <c r="G91" s="58">
        <v>90</v>
      </c>
      <c r="H91" s="22">
        <f>IF(OR(J91="",K91="",K91&lt;J91),0,NETWORKDAYS(J91,K91,fESTIVOS!$A$2:$A$53))</f>
        <v>0</v>
      </c>
      <c r="I91" s="81">
        <v>46083</v>
      </c>
      <c r="J91" s="60">
        <v>46083</v>
      </c>
      <c r="K91" s="60"/>
      <c r="L91" s="60">
        <v>46084</v>
      </c>
      <c r="M91" s="27">
        <f ca="1">IF(OR(J91="",AND(L91="",TODAY()&lt;J91),AND(L91&lt;&gt;"",L91&lt;J91)),0,
   IF(L91="",
      NETWORKDAYS(J91,TODAY(),fESTIVOS!$A$2:$A$53),
      NETWORKDAYS(J91,L91,fESTIVOS!$A$2:$A$53)
   )
)</f>
        <v>2</v>
      </c>
      <c r="N91" s="28"/>
      <c r="O91" s="59"/>
      <c r="P91" s="69"/>
      <c r="Q91" s="62" t="s">
        <v>655</v>
      </c>
      <c r="R91" s="31" t="s">
        <v>234</v>
      </c>
      <c r="S91" s="71"/>
      <c r="T91" s="145"/>
      <c r="U91" s="108"/>
      <c r="V91" s="171"/>
      <c r="W91" s="118"/>
      <c r="X91" s="118"/>
      <c r="Y91" s="118"/>
      <c r="Z91" s="118"/>
      <c r="AA91" s="118"/>
      <c r="AB91" s="118"/>
      <c r="AC91" s="118"/>
      <c r="AD91" s="118"/>
      <c r="AE91" s="118"/>
      <c r="AF91" s="118"/>
      <c r="AG91" s="118"/>
      <c r="AH91" s="118"/>
      <c r="AI91" s="118"/>
      <c r="AJ91" s="118"/>
      <c r="AK91" s="118"/>
      <c r="AL91" s="118"/>
      <c r="AM91" s="118"/>
      <c r="AN91" s="118"/>
      <c r="AO91" s="118"/>
      <c r="AP91" s="66"/>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row>
    <row r="92" spans="1:67" ht="29.25" customHeight="1">
      <c r="A92" s="92" t="s">
        <v>157</v>
      </c>
      <c r="B92" s="93" t="s">
        <v>656</v>
      </c>
      <c r="C92" s="140" t="s">
        <v>657</v>
      </c>
      <c r="D92" s="172"/>
      <c r="E92" s="115"/>
      <c r="F92" s="116" t="s">
        <v>76</v>
      </c>
      <c r="G92" s="58">
        <v>100</v>
      </c>
      <c r="H92" s="22">
        <f>IF(OR(J92="",K92="",K92&lt;J92),0,NETWORKDAYS(J92,K92,fESTIVOS!$A$2:$A$53))</f>
        <v>0</v>
      </c>
      <c r="I92" s="81">
        <v>46013</v>
      </c>
      <c r="J92" s="60">
        <v>46014</v>
      </c>
      <c r="K92" s="68"/>
      <c r="L92" s="60">
        <v>46020</v>
      </c>
      <c r="M92" s="27">
        <f ca="1">IF(OR(J92="",AND(L92="",TODAY()&lt;J92),AND(L92&lt;&gt;"",L92&lt;J92)),0,
   IF(L92="",
      NETWORKDAYS(J92,TODAY(),fESTIVOS!$A$2:$A$53),
      NETWORKDAYS(J92,L92,fESTIVOS!$A$2:$A$53)
   )
)</f>
        <v>4</v>
      </c>
      <c r="N92" s="28"/>
      <c r="O92" s="81">
        <v>46020</v>
      </c>
      <c r="P92" s="61">
        <v>46020</v>
      </c>
      <c r="Q92" s="62" t="s">
        <v>658</v>
      </c>
      <c r="R92" s="31" t="s">
        <v>78</v>
      </c>
      <c r="S92" s="71"/>
      <c r="T92" s="167"/>
      <c r="U92" s="72"/>
      <c r="V92" s="118"/>
      <c r="W92" s="118"/>
      <c r="X92" s="118"/>
      <c r="Y92" s="118"/>
      <c r="Z92" s="118"/>
      <c r="AA92" s="118"/>
      <c r="AB92" s="118"/>
      <c r="AC92" s="118"/>
      <c r="AD92" s="118"/>
      <c r="AE92" s="118"/>
      <c r="AF92" s="118"/>
      <c r="AG92" s="118"/>
      <c r="AH92" s="118"/>
      <c r="AI92" s="118"/>
      <c r="AJ92" s="118"/>
      <c r="AK92" s="118"/>
      <c r="AL92" s="118"/>
      <c r="AM92" s="118"/>
      <c r="AN92" s="118"/>
      <c r="AO92" s="118"/>
      <c r="AP92" s="66"/>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row>
    <row r="93" spans="1:67" ht="29.25" customHeight="1">
      <c r="A93" s="92" t="s">
        <v>157</v>
      </c>
      <c r="B93" s="93" t="s">
        <v>659</v>
      </c>
      <c r="C93" s="140" t="s">
        <v>660</v>
      </c>
      <c r="D93" s="120" t="s">
        <v>661</v>
      </c>
      <c r="E93" s="96"/>
      <c r="F93" s="121" t="s">
        <v>76</v>
      </c>
      <c r="G93" s="97">
        <v>100</v>
      </c>
      <c r="H93" s="22">
        <f>IF(OR(J93="",K93="",K93&lt;J93),0,NETWORKDAYS(J93,K93,fESTIVOS!$A$2:$A$53))</f>
        <v>0</v>
      </c>
      <c r="I93" s="98">
        <v>46020</v>
      </c>
      <c r="J93" s="99">
        <v>46022</v>
      </c>
      <c r="K93" s="99"/>
      <c r="L93" s="99">
        <v>46022</v>
      </c>
      <c r="M93" s="27">
        <f ca="1">IF(OR(J93="",AND(L93="",TODAY()&lt;J93),AND(L93&lt;&gt;"",L93&lt;J93)),0,
   IF(L93="",
      NETWORKDAYS(J93,TODAY(),fESTIVOS!$A$2:$A$53),
      NETWORKDAYS(J93,L93,fESTIVOS!$A$2:$A$53)
   )
)</f>
        <v>1</v>
      </c>
      <c r="N93" s="28"/>
      <c r="O93" s="98">
        <v>46022</v>
      </c>
      <c r="P93" s="100"/>
      <c r="Q93" s="34" t="s">
        <v>662</v>
      </c>
      <c r="R93" s="31" t="s">
        <v>78</v>
      </c>
      <c r="S93" s="163"/>
      <c r="T93" s="164"/>
      <c r="U93" s="161"/>
      <c r="V93" s="166" t="s">
        <v>663</v>
      </c>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spans="1:67" ht="29.25" customHeight="1">
      <c r="A94" s="92" t="s">
        <v>157</v>
      </c>
      <c r="B94" s="105" t="s">
        <v>664</v>
      </c>
      <c r="C94" s="140" t="s">
        <v>665</v>
      </c>
      <c r="D94" s="114" t="s">
        <v>666</v>
      </c>
      <c r="E94" s="115"/>
      <c r="F94" s="116" t="s">
        <v>76</v>
      </c>
      <c r="G94" s="58">
        <v>100</v>
      </c>
      <c r="H94" s="22">
        <f>IF(OR(J94="",K94="",K94&lt;J94),0,NETWORKDAYS(J94,K94,fESTIVOS!$A$2:$A$53))</f>
        <v>0</v>
      </c>
      <c r="I94" s="81">
        <v>46028</v>
      </c>
      <c r="J94" s="60">
        <v>46028</v>
      </c>
      <c r="K94" s="68"/>
      <c r="L94" s="60">
        <v>46035</v>
      </c>
      <c r="M94" s="27">
        <f ca="1">IF(OR(J94="",AND(L94="",TODAY()&lt;J94),AND(L94&lt;&gt;"",L94&lt;J94)),0,
   IF(L94="",
      NETWORKDAYS(J94,TODAY(),fESTIVOS!$A$2:$A$53),
      NETWORKDAYS(J94,L94,fESTIVOS!$A$2:$A$53)
   )
)</f>
        <v>5</v>
      </c>
      <c r="N94" s="28"/>
      <c r="O94" s="81">
        <v>46036</v>
      </c>
      <c r="P94" s="61">
        <v>46036</v>
      </c>
      <c r="Q94" s="62" t="s">
        <v>667</v>
      </c>
      <c r="R94" s="31" t="s">
        <v>524</v>
      </c>
      <c r="S94" s="167"/>
      <c r="T94" s="167"/>
      <c r="U94" s="168"/>
      <c r="V94" s="118"/>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spans="1:67" ht="29.25" customHeight="1">
      <c r="A95" s="92" t="s">
        <v>157</v>
      </c>
      <c r="B95" s="93" t="s">
        <v>668</v>
      </c>
      <c r="C95" s="119" t="s">
        <v>669</v>
      </c>
      <c r="D95" s="114" t="s">
        <v>670</v>
      </c>
      <c r="E95" s="115"/>
      <c r="F95" s="116" t="s">
        <v>76</v>
      </c>
      <c r="G95" s="58">
        <v>100</v>
      </c>
      <c r="H95" s="22">
        <f>IF(OR(J95="",K95="",K95&lt;J95),0,NETWORKDAYS(J95,K95,fESTIVOS!$A$2:$A$53))</f>
        <v>0</v>
      </c>
      <c r="I95" s="81">
        <v>46030</v>
      </c>
      <c r="J95" s="60">
        <v>46035</v>
      </c>
      <c r="K95" s="68"/>
      <c r="L95" s="60">
        <v>46035</v>
      </c>
      <c r="M95" s="27">
        <f ca="1">IF(OR(J95="",AND(L95="",TODAY()&lt;J95),AND(L95&lt;&gt;"",L95&lt;J95)),0,
   IF(L95="",
      NETWORKDAYS(J95,TODAY(),fESTIVOS!$A$2:$A$53),
      NETWORKDAYS(J95,L95,fESTIVOS!$A$2:$A$53)
   )
)</f>
        <v>1</v>
      </c>
      <c r="N95" s="28"/>
      <c r="O95" s="81">
        <v>46035</v>
      </c>
      <c r="P95" s="61">
        <v>46035</v>
      </c>
      <c r="Q95" s="62" t="s">
        <v>671</v>
      </c>
      <c r="R95" s="112" t="s">
        <v>524</v>
      </c>
      <c r="S95" s="167"/>
      <c r="T95" s="167"/>
      <c r="U95" s="168"/>
      <c r="V95" s="118"/>
      <c r="W95" s="118"/>
      <c r="X95" s="118"/>
      <c r="Y95" s="118"/>
      <c r="Z95" s="118"/>
      <c r="AA95" s="118"/>
      <c r="AB95" s="118"/>
      <c r="AC95" s="118"/>
      <c r="AD95" s="118"/>
      <c r="AE95" s="118"/>
      <c r="AF95" s="118"/>
      <c r="AG95" s="118"/>
      <c r="AH95" s="118"/>
      <c r="AI95" s="118"/>
      <c r="AJ95" s="118"/>
      <c r="AK95" s="118"/>
      <c r="AL95" s="118"/>
      <c r="AM95" s="118"/>
      <c r="AN95" s="118"/>
      <c r="AO95" s="118"/>
      <c r="AP95" s="66"/>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row>
    <row r="96" spans="1:67" ht="29.25" customHeight="1">
      <c r="A96" s="92" t="s">
        <v>210</v>
      </c>
      <c r="B96" s="105" t="s">
        <v>672</v>
      </c>
      <c r="C96" s="140" t="s">
        <v>673</v>
      </c>
      <c r="D96" s="114" t="s">
        <v>670</v>
      </c>
      <c r="E96" s="115"/>
      <c r="F96" s="116" t="s">
        <v>76</v>
      </c>
      <c r="G96" s="58">
        <v>100</v>
      </c>
      <c r="H96" s="22">
        <f>IF(OR(J96="",K96="",K96&lt;J96),0,NETWORKDAYS(J96,K96,fESTIVOS!$A$2:$A$53))</f>
        <v>0</v>
      </c>
      <c r="I96" s="81">
        <v>46029</v>
      </c>
      <c r="J96" s="60">
        <v>46030</v>
      </c>
      <c r="K96" s="68"/>
      <c r="L96" s="60">
        <v>46030</v>
      </c>
      <c r="M96" s="27">
        <f ca="1">IF(OR(J96="",AND(L96="",TODAY()&lt;J96),AND(L96&lt;&gt;"",L96&lt;J96)),0,
   IF(L96="",
      NETWORKDAYS(J96,TODAY(),fESTIVOS!$A$2:$A$53),
      NETWORKDAYS(J96,L96,fESTIVOS!$A$2:$A$53)
   )
)</f>
        <v>1</v>
      </c>
      <c r="N96" s="28"/>
      <c r="O96" s="59"/>
      <c r="P96" s="69"/>
      <c r="Q96" s="62" t="s">
        <v>674</v>
      </c>
      <c r="R96" s="112" t="s">
        <v>524</v>
      </c>
      <c r="S96" s="167"/>
      <c r="T96" s="167"/>
      <c r="U96" s="168"/>
      <c r="V96" s="118"/>
      <c r="W96" s="118"/>
      <c r="X96" s="118"/>
      <c r="Y96" s="118"/>
      <c r="Z96" s="118"/>
      <c r="AA96" s="118"/>
      <c r="AB96" s="118"/>
      <c r="AC96" s="118"/>
      <c r="AD96" s="118"/>
      <c r="AE96" s="118"/>
      <c r="AF96" s="118"/>
      <c r="AG96" s="118"/>
      <c r="AH96" s="118"/>
      <c r="AI96" s="118"/>
      <c r="AJ96" s="118"/>
      <c r="AK96" s="118"/>
      <c r="AL96" s="118"/>
      <c r="AM96" s="118"/>
      <c r="AN96" s="118"/>
      <c r="AO96" s="118"/>
      <c r="AP96" s="66"/>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row>
    <row r="97" spans="1:67" ht="29.25" customHeight="1">
      <c r="A97" s="92" t="s">
        <v>157</v>
      </c>
      <c r="B97" s="105" t="s">
        <v>675</v>
      </c>
      <c r="C97" s="140" t="s">
        <v>676</v>
      </c>
      <c r="D97" s="114" t="s">
        <v>677</v>
      </c>
      <c r="E97" s="115"/>
      <c r="F97" s="116" t="s">
        <v>76</v>
      </c>
      <c r="G97" s="58">
        <v>100</v>
      </c>
      <c r="H97" s="22">
        <f>IF(OR(J97="",K97="",K97&lt;J97),0,NETWORKDAYS(J97,K97,fESTIVOS!$A$2:$A$53))</f>
        <v>0</v>
      </c>
      <c r="I97" s="81">
        <v>46045</v>
      </c>
      <c r="J97" s="60">
        <v>46045</v>
      </c>
      <c r="K97" s="68"/>
      <c r="L97" s="60">
        <v>46045</v>
      </c>
      <c r="M97" s="27">
        <f ca="1">IF(OR(J97="",AND(L97="",TODAY()&lt;J97),AND(L97&lt;&gt;"",L97&lt;J97)),0,
   IF(L97="",
      NETWORKDAYS(J97,TODAY(),fESTIVOS!$A$2:$A$53),
      NETWORKDAYS(J97,L97,fESTIVOS!$A$2:$A$53)
   )
)</f>
        <v>1</v>
      </c>
      <c r="N97" s="28"/>
      <c r="O97" s="59"/>
      <c r="P97" s="69"/>
      <c r="Q97" s="62" t="s">
        <v>678</v>
      </c>
      <c r="R97" s="31" t="s">
        <v>524</v>
      </c>
      <c r="S97" s="167"/>
      <c r="T97" s="167"/>
      <c r="U97" s="168"/>
      <c r="V97" s="118"/>
      <c r="W97" s="118"/>
      <c r="X97" s="118"/>
      <c r="Y97" s="118"/>
      <c r="Z97" s="118"/>
      <c r="AA97" s="118"/>
      <c r="AB97" s="118"/>
      <c r="AC97" s="118"/>
      <c r="AD97" s="118"/>
      <c r="AE97" s="118"/>
      <c r="AF97" s="118"/>
      <c r="AG97" s="118"/>
      <c r="AH97" s="118"/>
      <c r="AI97" s="118"/>
      <c r="AJ97" s="118"/>
      <c r="AK97" s="118"/>
      <c r="AL97" s="118"/>
      <c r="AM97" s="118"/>
      <c r="AN97" s="118"/>
      <c r="AO97" s="118"/>
      <c r="AP97" s="66"/>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row>
    <row r="98" spans="1:67" ht="29.25" customHeight="1">
      <c r="A98" s="92" t="s">
        <v>157</v>
      </c>
      <c r="B98" s="93" t="s">
        <v>679</v>
      </c>
      <c r="C98" s="140" t="s">
        <v>680</v>
      </c>
      <c r="D98" s="95"/>
      <c r="E98" s="96"/>
      <c r="F98" s="121" t="s">
        <v>681</v>
      </c>
      <c r="G98" s="97">
        <v>80</v>
      </c>
      <c r="H98" s="22">
        <f>IF(OR(J98="",K98="",K98&lt;J98),0,NETWORKDAYS(J98,K98,fESTIVOS!$A$2:$A$53))</f>
        <v>7</v>
      </c>
      <c r="I98" s="98"/>
      <c r="J98" s="99">
        <v>46043</v>
      </c>
      <c r="K98" s="99">
        <v>46051</v>
      </c>
      <c r="L98" s="99">
        <v>46052</v>
      </c>
      <c r="M98" s="27">
        <f ca="1">IF(OR(J98="",AND(L98="",TODAY()&lt;J98),AND(L98&lt;&gt;"",L98&lt;J98)),0,
   IF(L98="",
      NETWORKDAYS(J98,TODAY(),fESTIVOS!$A$2:$A$53),
      NETWORKDAYS(J98,L98,fESTIVOS!$A$2:$A$53)
   )
)</f>
        <v>8</v>
      </c>
      <c r="N98" s="28"/>
      <c r="O98" s="98"/>
      <c r="P98" s="100"/>
      <c r="Q98" s="34" t="s">
        <v>682</v>
      </c>
      <c r="R98" s="31" t="s">
        <v>72</v>
      </c>
      <c r="S98" s="163"/>
      <c r="T98" s="163"/>
      <c r="U98" s="161"/>
      <c r="V98" s="173" t="s">
        <v>651</v>
      </c>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row>
    <row r="99" spans="1:67" ht="29.25" customHeight="1">
      <c r="A99" s="92" t="s">
        <v>157</v>
      </c>
      <c r="B99" s="105" t="s">
        <v>683</v>
      </c>
      <c r="C99" s="109" t="s">
        <v>684</v>
      </c>
      <c r="D99" s="95" t="s">
        <v>685</v>
      </c>
      <c r="E99" s="96"/>
      <c r="F99" s="121" t="s">
        <v>76</v>
      </c>
      <c r="G99" s="97">
        <v>100</v>
      </c>
      <c r="H99" s="22">
        <f>IF(OR(J99="",K99="",K99&lt;J99),0,NETWORKDAYS(J99,K99,fESTIVOS!$A$2:$A$53))</f>
        <v>8</v>
      </c>
      <c r="I99" s="98">
        <v>46055</v>
      </c>
      <c r="J99" s="99">
        <v>46057</v>
      </c>
      <c r="K99" s="99">
        <v>46066</v>
      </c>
      <c r="L99" s="99"/>
      <c r="M99" s="27">
        <f ca="1">IF(OR(J99="",AND(L99="",TODAY()&lt;J99),AND(L99&lt;&gt;"",L99&lt;J99)),0,
   IF(L99="",
      NETWORKDAYS(J99,TODAY(),fESTIVOS!$A$2:$A$53),
      NETWORKDAYS(J99,L99,fESTIVOS!$A$2:$A$53)
   )
)</f>
        <v>23</v>
      </c>
      <c r="N99" s="174"/>
      <c r="O99" s="98"/>
      <c r="P99" s="100"/>
      <c r="Q99" s="34" t="s">
        <v>686</v>
      </c>
      <c r="R99" s="31" t="s">
        <v>78</v>
      </c>
      <c r="S99" s="163"/>
      <c r="T99" s="163"/>
      <c r="U99" s="161"/>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row>
    <row r="100" spans="1:67" ht="29.25" customHeight="1">
      <c r="A100" s="92" t="s">
        <v>157</v>
      </c>
      <c r="B100" s="105" t="s">
        <v>687</v>
      </c>
      <c r="C100" s="109" t="s">
        <v>688</v>
      </c>
      <c r="D100" s="95"/>
      <c r="E100" s="96"/>
      <c r="F100" s="121" t="s">
        <v>76</v>
      </c>
      <c r="G100" s="97">
        <v>100</v>
      </c>
      <c r="H100" s="22">
        <f>IF(OR(J100="",K100="",K100&lt;J100),0,NETWORKDAYS(J100,K100,fESTIVOS!$A$2:$A$53))</f>
        <v>1</v>
      </c>
      <c r="I100" s="175">
        <v>46080</v>
      </c>
      <c r="J100" s="99">
        <v>46080</v>
      </c>
      <c r="K100" s="99">
        <v>46080</v>
      </c>
      <c r="L100" s="99">
        <v>46080</v>
      </c>
      <c r="M100" s="27">
        <f ca="1">IF(OR(J100="",AND(L100="",TODAY()&lt;J100),AND(L100&lt;&gt;"",L100&lt;J100)),0,
   IF(L100="",
      NETWORKDAYS(J100,TODAY(),fESTIVOS!$A$2:$A$53),
      NETWORKDAYS(J100,L100,fESTIVOS!$A$2:$A$53)
   )
)</f>
        <v>1</v>
      </c>
      <c r="N100" s="28"/>
      <c r="O100" s="98"/>
      <c r="P100" s="100"/>
      <c r="Q100" s="34" t="s">
        <v>689</v>
      </c>
      <c r="R100" s="31" t="s">
        <v>78</v>
      </c>
      <c r="S100" s="163"/>
      <c r="T100" s="163"/>
      <c r="U100" s="161"/>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row>
    <row r="101" spans="1:67" ht="29.25" customHeight="1">
      <c r="A101" s="92" t="s">
        <v>157</v>
      </c>
      <c r="B101" s="105" t="s">
        <v>690</v>
      </c>
      <c r="C101" s="109" t="s">
        <v>691</v>
      </c>
      <c r="D101" s="95" t="s">
        <v>692</v>
      </c>
      <c r="E101" s="96"/>
      <c r="F101" s="121" t="s">
        <v>504</v>
      </c>
      <c r="G101" s="97">
        <v>40</v>
      </c>
      <c r="H101" s="22">
        <f>IF(OR(J101="",K101="",K101&lt;J101),0,NETWORKDAYS(J101,K101,fESTIVOS!$A$2:$A$53))</f>
        <v>0</v>
      </c>
      <c r="I101" s="176">
        <v>46085</v>
      </c>
      <c r="J101" s="99">
        <v>46084</v>
      </c>
      <c r="K101" s="99"/>
      <c r="L101" s="99"/>
      <c r="M101" s="27">
        <f ca="1">IF(OR(J101="",AND(L101="",TODAY()&lt;J101),AND(L101&lt;&gt;"",L101&lt;J101)),0,
   IF(L101="",
      NETWORKDAYS(J101,TODAY(),fESTIVOS!$A$2:$A$53),
      NETWORKDAYS(J101,L101,fESTIVOS!$A$2:$A$53)
   )
)</f>
        <v>4</v>
      </c>
      <c r="N101" s="28"/>
      <c r="O101" s="98"/>
      <c r="P101" s="100"/>
      <c r="Q101" s="34" t="s">
        <v>693</v>
      </c>
      <c r="R101" s="112" t="s">
        <v>234</v>
      </c>
      <c r="S101" s="163"/>
      <c r="T101" s="163"/>
      <c r="U101" s="161"/>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row>
    <row r="102" spans="1:67" ht="29.25" customHeight="1">
      <c r="A102" s="92" t="s">
        <v>157</v>
      </c>
      <c r="B102" s="105" t="s">
        <v>694</v>
      </c>
      <c r="C102" s="109" t="s">
        <v>695</v>
      </c>
      <c r="D102" s="95" t="s">
        <v>696</v>
      </c>
      <c r="E102" s="96"/>
      <c r="F102" s="121" t="s">
        <v>76</v>
      </c>
      <c r="G102" s="97">
        <v>100</v>
      </c>
      <c r="H102" s="22">
        <f>IF(OR(J102="",K102="",K102&lt;J102),0,NETWORKDAYS(J102,K102,fESTIVOS!$A$2:$A$53))</f>
        <v>1</v>
      </c>
      <c r="I102" s="98">
        <v>46045</v>
      </c>
      <c r="J102" s="99">
        <v>46055</v>
      </c>
      <c r="K102" s="99">
        <v>46055</v>
      </c>
      <c r="L102" s="99">
        <v>46055</v>
      </c>
      <c r="M102" s="27">
        <f ca="1">IF(OR(J102="",AND(L102="",TODAY()&lt;J102),AND(L102&lt;&gt;"",L102&lt;J102)),0,
   IF(L102="",
      NETWORKDAYS(J102,TODAY(),fESTIVOS!$A$2:$A$53),
      NETWORKDAYS(J102,L102,fESTIVOS!$A$2:$A$53)
   )
)</f>
        <v>1</v>
      </c>
      <c r="N102" s="169">
        <v>46058</v>
      </c>
      <c r="O102" s="98"/>
      <c r="P102" s="100"/>
      <c r="Q102" s="34" t="s">
        <v>697</v>
      </c>
      <c r="R102" s="31" t="s">
        <v>524</v>
      </c>
      <c r="S102" s="101"/>
      <c r="T102" s="101"/>
      <c r="U102" s="102"/>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row>
    <row r="103" spans="1:67" ht="29.25" customHeight="1">
      <c r="A103" s="92" t="s">
        <v>157</v>
      </c>
      <c r="B103" s="105" t="s">
        <v>698</v>
      </c>
      <c r="C103" s="140" t="s">
        <v>699</v>
      </c>
      <c r="D103" s="114" t="s">
        <v>700</v>
      </c>
      <c r="E103" s="115"/>
      <c r="F103" s="116" t="s">
        <v>76</v>
      </c>
      <c r="G103" s="58">
        <v>100</v>
      </c>
      <c r="H103" s="22">
        <f>IF(OR(J103="",K103="",K103&lt;J103),0,NETWORKDAYS(J103,K103,fESTIVOS!$A$2:$A$53))</f>
        <v>0</v>
      </c>
      <c r="I103" s="81">
        <v>46050</v>
      </c>
      <c r="J103" s="60">
        <v>46050</v>
      </c>
      <c r="K103" s="68"/>
      <c r="L103" s="60">
        <v>46050</v>
      </c>
      <c r="M103" s="27">
        <f ca="1">IF(OR(J103="",AND(L103="",TODAY()&lt;J103),AND(L103&lt;&gt;"",L103&lt;J103)),0,
   IF(L103="",
      NETWORKDAYS(J103,TODAY(),fESTIVOS!$A$2:$A$53),
      NETWORKDAYS(J103,L103,fESTIVOS!$A$2:$A$53)
   )
)</f>
        <v>1</v>
      </c>
      <c r="N103" s="28"/>
      <c r="O103" s="59"/>
      <c r="P103" s="69"/>
      <c r="Q103" s="62" t="s">
        <v>701</v>
      </c>
      <c r="R103" s="31" t="s">
        <v>524</v>
      </c>
      <c r="S103" s="71"/>
      <c r="T103" s="71"/>
      <c r="U103" s="72"/>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spans="1:67" ht="29.25" customHeight="1">
      <c r="A104" s="55" t="s">
        <v>157</v>
      </c>
      <c r="B104" s="105" t="s">
        <v>702</v>
      </c>
      <c r="C104" s="140" t="s">
        <v>703</v>
      </c>
      <c r="D104" s="114" t="s">
        <v>704</v>
      </c>
      <c r="E104" s="115"/>
      <c r="F104" s="116" t="s">
        <v>76</v>
      </c>
      <c r="G104" s="58">
        <v>100</v>
      </c>
      <c r="H104" s="22">
        <f>IF(OR(J104="",K104="",K104&lt;J104),0,NETWORKDAYS(J104,K104,fESTIVOS!$A$2:$A$53))</f>
        <v>0</v>
      </c>
      <c r="I104" s="81">
        <v>46059</v>
      </c>
      <c r="J104" s="60">
        <v>46059</v>
      </c>
      <c r="K104" s="68"/>
      <c r="L104" s="60">
        <v>46059</v>
      </c>
      <c r="M104" s="27">
        <f ca="1">IF(OR(J104="",AND(L104="",TODAY()&lt;J104),AND(L104&lt;&gt;"",L104&lt;J104)),0,
   IF(L104="",
      NETWORKDAYS(J104,TODAY(),fESTIVOS!$A$2:$A$53),
      NETWORKDAYS(J104,L104,fESTIVOS!$A$2:$A$53)
   )
)</f>
        <v>1</v>
      </c>
      <c r="N104" s="28"/>
      <c r="O104" s="59"/>
      <c r="P104" s="69"/>
      <c r="Q104" s="62" t="s">
        <v>705</v>
      </c>
      <c r="R104" s="112" t="s">
        <v>234</v>
      </c>
      <c r="S104" s="71"/>
      <c r="T104" s="71"/>
      <c r="U104" s="72"/>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spans="1:67" ht="29.25" customHeight="1">
      <c r="A105" s="92" t="s">
        <v>157</v>
      </c>
      <c r="B105" s="105" t="s">
        <v>706</v>
      </c>
      <c r="C105" s="140" t="s">
        <v>707</v>
      </c>
      <c r="D105" s="172"/>
      <c r="E105" s="115"/>
      <c r="F105" s="116" t="s">
        <v>76</v>
      </c>
      <c r="G105" s="58">
        <v>100</v>
      </c>
      <c r="H105" s="22">
        <f>IF(OR(J105="",K105="",K105&lt;J105),0,NETWORKDAYS(J105,K105,fESTIVOS!$A$2:$A$53))</f>
        <v>0</v>
      </c>
      <c r="I105" s="98">
        <v>46063</v>
      </c>
      <c r="J105" s="60">
        <v>46063</v>
      </c>
      <c r="K105" s="68"/>
      <c r="L105" s="60">
        <v>46063</v>
      </c>
      <c r="M105" s="27">
        <f ca="1">IF(OR(J105="",AND(L105="",TODAY()&lt;J105),AND(L105&lt;&gt;"",L105&lt;J105)),0,
   IF(L105="",
      NETWORKDAYS(J105,TODAY(),fESTIVOS!$A$2:$A$53),
      NETWORKDAYS(J105,L105,fESTIVOS!$A$2:$A$53)
   )
)</f>
        <v>1</v>
      </c>
      <c r="N105" s="28"/>
      <c r="O105" s="59"/>
      <c r="P105" s="69"/>
      <c r="Q105" s="62" t="s">
        <v>708</v>
      </c>
      <c r="R105" s="112" t="s">
        <v>234</v>
      </c>
      <c r="S105" s="71"/>
      <c r="T105" s="71"/>
      <c r="U105" s="72"/>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spans="1:67" ht="29.25" customHeight="1">
      <c r="A106" s="92" t="s">
        <v>157</v>
      </c>
      <c r="B106" s="105" t="s">
        <v>709</v>
      </c>
      <c r="C106" s="140" t="s">
        <v>710</v>
      </c>
      <c r="D106" s="114" t="s">
        <v>711</v>
      </c>
      <c r="E106" s="115"/>
      <c r="F106" s="116" t="s">
        <v>76</v>
      </c>
      <c r="G106" s="58">
        <v>100</v>
      </c>
      <c r="H106" s="22">
        <f>IF(OR(J106="",K106="",K106&lt;J106),0,NETWORKDAYS(J106,K106,fESTIVOS!$A$2:$A$53))</f>
        <v>0</v>
      </c>
      <c r="I106" s="81">
        <v>46063</v>
      </c>
      <c r="J106" s="60">
        <v>46064</v>
      </c>
      <c r="K106" s="68"/>
      <c r="L106" s="60">
        <v>46064</v>
      </c>
      <c r="M106" s="27">
        <f ca="1">IF(OR(J106="",AND(L106="",TODAY()&lt;J106),AND(L106&lt;&gt;"",L106&lt;J106)),0,
   IF(L106="",
      NETWORKDAYS(J106,TODAY(),fESTIVOS!$A$2:$A$53),
      NETWORKDAYS(J106,L106,fESTIVOS!$A$2:$A$53)
   )
)</f>
        <v>1</v>
      </c>
      <c r="N106" s="28"/>
      <c r="O106" s="59"/>
      <c r="P106" s="69"/>
      <c r="Q106" s="62" t="s">
        <v>712</v>
      </c>
      <c r="R106" s="112" t="s">
        <v>234</v>
      </c>
      <c r="S106" s="71"/>
      <c r="T106" s="71"/>
      <c r="U106" s="72"/>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spans="1:67" ht="29.25" customHeight="1">
      <c r="A107" s="92" t="s">
        <v>157</v>
      </c>
      <c r="B107" s="105" t="s">
        <v>713</v>
      </c>
      <c r="C107" s="140" t="s">
        <v>714</v>
      </c>
      <c r="D107" s="114" t="s">
        <v>715</v>
      </c>
      <c r="E107" s="115"/>
      <c r="F107" s="116" t="s">
        <v>76</v>
      </c>
      <c r="G107" s="58">
        <v>100</v>
      </c>
      <c r="H107" s="22">
        <f>IF(OR(J107="",K107="",K107&lt;J107),0,NETWORKDAYS(J107,K107,fESTIVOS!$A$2:$A$53))</f>
        <v>0</v>
      </c>
      <c r="I107" s="81">
        <v>46066</v>
      </c>
      <c r="J107" s="60">
        <v>46066</v>
      </c>
      <c r="K107" s="68"/>
      <c r="L107" s="60">
        <v>46069</v>
      </c>
      <c r="M107" s="27">
        <f ca="1">IF(OR(J107="",AND(L107="",TODAY()&lt;J107),AND(L107&lt;&gt;"",L107&lt;J107)),0,
   IF(L107="",
      NETWORKDAYS(J107,TODAY(),fESTIVOS!$A$2:$A$53),
      NETWORKDAYS(J107,L107,fESTIVOS!$A$2:$A$53)
   )
)</f>
        <v>2</v>
      </c>
      <c r="N107" s="28"/>
      <c r="O107" s="59"/>
      <c r="P107" s="61">
        <v>46070</v>
      </c>
      <c r="Q107" s="62" t="s">
        <v>716</v>
      </c>
      <c r="R107" s="112" t="s">
        <v>234</v>
      </c>
      <c r="S107" s="71"/>
      <c r="T107" s="71"/>
      <c r="U107" s="72"/>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66"/>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row>
    <row r="108" spans="1:67" ht="29.25" customHeight="1">
      <c r="A108" s="92" t="s">
        <v>157</v>
      </c>
      <c r="B108" s="105" t="s">
        <v>717</v>
      </c>
      <c r="C108" s="140" t="s">
        <v>718</v>
      </c>
      <c r="D108" s="114"/>
      <c r="E108" s="115"/>
      <c r="F108" s="116" t="s">
        <v>76</v>
      </c>
      <c r="G108" s="58">
        <v>100</v>
      </c>
      <c r="H108" s="22">
        <f>IF(OR(J108="",K108="",K108&lt;J108),0,NETWORKDAYS(J108,K108,fESTIVOS!$A$2:$A$53))</f>
        <v>0</v>
      </c>
      <c r="I108" s="81">
        <v>46077</v>
      </c>
      <c r="J108" s="60">
        <v>46077</v>
      </c>
      <c r="K108" s="68"/>
      <c r="L108" s="60">
        <v>46077</v>
      </c>
      <c r="M108" s="27">
        <f ca="1">IF(OR(J108="",AND(L108="",TODAY()&lt;J108),AND(L108&lt;&gt;"",L108&lt;J108)),0,
   IF(L108="",
      NETWORKDAYS(J108,TODAY(),fESTIVOS!$A$2:$A$53),
      NETWORKDAYS(J108,L108,fESTIVOS!$A$2:$A$53)
   )
)</f>
        <v>1</v>
      </c>
      <c r="N108" s="28"/>
      <c r="O108" s="59"/>
      <c r="P108" s="61">
        <v>46077</v>
      </c>
      <c r="Q108" s="62" t="s">
        <v>719</v>
      </c>
      <c r="R108" s="112" t="s">
        <v>524</v>
      </c>
      <c r="S108" s="71"/>
      <c r="T108" s="71"/>
      <c r="U108" s="72"/>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66"/>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row>
    <row r="109" spans="1:67" ht="29.25" customHeight="1">
      <c r="A109" s="92" t="s">
        <v>157</v>
      </c>
      <c r="B109" s="105" t="s">
        <v>720</v>
      </c>
      <c r="C109" s="140" t="s">
        <v>721</v>
      </c>
      <c r="D109" s="114" t="s">
        <v>722</v>
      </c>
      <c r="E109" s="115"/>
      <c r="F109" s="116" t="s">
        <v>76</v>
      </c>
      <c r="G109" s="58">
        <v>100</v>
      </c>
      <c r="H109" s="22">
        <f>IF(OR(J109="",K109="",K109&lt;J109),0,NETWORKDAYS(J109,K109,fESTIVOS!$A$2:$A$53))</f>
        <v>0</v>
      </c>
      <c r="I109" s="81">
        <v>46078</v>
      </c>
      <c r="J109" s="60">
        <v>46078</v>
      </c>
      <c r="K109" s="68"/>
      <c r="L109" s="68"/>
      <c r="M109" s="27">
        <f ca="1">IF(OR(J109="",AND(L109="",TODAY()&lt;J109),AND(L109&lt;&gt;"",L109&lt;J109)),0,
   IF(L109="",
      NETWORKDAYS(J109,TODAY(),fESTIVOS!$A$2:$A$53),
      NETWORKDAYS(J109,L109,fESTIVOS!$A$2:$A$53)
   )
)</f>
        <v>8</v>
      </c>
      <c r="N109" s="28"/>
      <c r="O109" s="59"/>
      <c r="P109" s="69"/>
      <c r="Q109" s="62" t="s">
        <v>723</v>
      </c>
      <c r="R109" s="112" t="s">
        <v>524</v>
      </c>
      <c r="S109" s="71"/>
      <c r="T109" s="71"/>
      <c r="U109" s="72"/>
      <c r="V109" s="158" t="s">
        <v>724</v>
      </c>
      <c r="W109" s="118"/>
      <c r="X109" s="118"/>
      <c r="Y109" s="118"/>
      <c r="Z109" s="118"/>
      <c r="AA109" s="118"/>
      <c r="AB109" s="118"/>
      <c r="AC109" s="118"/>
      <c r="AD109" s="118"/>
      <c r="AE109" s="118"/>
      <c r="AF109" s="118"/>
      <c r="AG109" s="118"/>
      <c r="AH109" s="118"/>
      <c r="AI109" s="118"/>
      <c r="AJ109" s="118"/>
      <c r="AK109" s="118"/>
      <c r="AL109" s="118"/>
      <c r="AM109" s="118"/>
      <c r="AN109" s="118"/>
      <c r="AO109" s="118"/>
      <c r="AP109" s="66"/>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row>
    <row r="110" spans="1:67" ht="29.25" customHeight="1">
      <c r="A110" s="92" t="s">
        <v>67</v>
      </c>
      <c r="B110" s="105" t="s">
        <v>725</v>
      </c>
      <c r="C110" s="140" t="s">
        <v>726</v>
      </c>
      <c r="D110" s="114" t="s">
        <v>727</v>
      </c>
      <c r="E110" s="115"/>
      <c r="F110" s="116" t="s">
        <v>250</v>
      </c>
      <c r="G110" s="138"/>
      <c r="H110" s="22">
        <f>IF(OR(J110="",K110="",K110&lt;J110),0,NETWORKDAYS(J110,K110,fESTIVOS!$A$2:$A$53))</f>
        <v>0</v>
      </c>
      <c r="I110" s="81">
        <v>46070</v>
      </c>
      <c r="J110" s="68"/>
      <c r="K110" s="68"/>
      <c r="L110" s="68"/>
      <c r="M110" s="27">
        <f ca="1">IF(OR(J110="",AND(L110="",TODAY()&lt;J110),AND(L110&lt;&gt;"",L110&lt;J110)),0,
   IF(L110="",
      NETWORKDAYS(J110,TODAY(),fESTIVOS!$A$2:$A$53),
      NETWORKDAYS(J110,L110,fESTIVOS!$A$2:$A$53)
   )
)</f>
        <v>0</v>
      </c>
      <c r="N110" s="28"/>
      <c r="O110" s="59"/>
      <c r="P110" s="69"/>
      <c r="Q110" s="177"/>
      <c r="R110" s="112" t="s">
        <v>93</v>
      </c>
      <c r="S110" s="71"/>
      <c r="T110" s="71"/>
      <c r="U110" s="72"/>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66"/>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row>
    <row r="111" spans="1:67" ht="29.25" customHeight="1">
      <c r="A111" s="55" t="s">
        <v>210</v>
      </c>
      <c r="B111" s="105" t="s">
        <v>728</v>
      </c>
      <c r="C111" s="141" t="s">
        <v>729</v>
      </c>
      <c r="D111" s="172"/>
      <c r="E111" s="115"/>
      <c r="F111" s="116" t="s">
        <v>250</v>
      </c>
      <c r="G111" s="138"/>
      <c r="H111" s="22">
        <f>IF(OR(J111="",K111="",K111&lt;J111),0,NETWORKDAYS(J111,K111,fESTIVOS!$A$2:$A$53))</f>
        <v>0</v>
      </c>
      <c r="I111" s="81">
        <v>45902</v>
      </c>
      <c r="J111" s="68"/>
      <c r="K111" s="68"/>
      <c r="L111" s="68"/>
      <c r="M111" s="27">
        <f ca="1">IF(OR(J111="",AND(L111="",TODAY()&lt;J111),AND(L111&lt;&gt;"",L111&lt;J111)),0,
   IF(L111="",
      NETWORKDAYS(J111,TODAY(),fESTIVOS!$A$2:$A$53),
      NETWORKDAYS(J111,L111,fESTIVOS!$A$2:$A$53)
   )
)</f>
        <v>0</v>
      </c>
      <c r="N111" s="28"/>
      <c r="O111" s="59"/>
      <c r="P111" s="69"/>
      <c r="Q111" s="177"/>
      <c r="R111" s="112" t="s">
        <v>93</v>
      </c>
      <c r="S111" s="71"/>
      <c r="T111" s="71"/>
      <c r="U111" s="72"/>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66"/>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row>
    <row r="112" spans="1:67" ht="29.25" customHeight="1">
      <c r="A112" s="55" t="s">
        <v>157</v>
      </c>
      <c r="B112" s="17" t="s">
        <v>730</v>
      </c>
      <c r="C112" s="106" t="s">
        <v>731</v>
      </c>
      <c r="D112" s="95"/>
      <c r="E112" s="96"/>
      <c r="F112" s="121" t="s">
        <v>76</v>
      </c>
      <c r="G112" s="97">
        <v>100</v>
      </c>
      <c r="H112" s="22">
        <f>IF(OR(J112="",K112="",K112&lt;J112),0,NETWORKDAYS(J112,K112,fESTIVOS!$A$2:$A$53))</f>
        <v>0</v>
      </c>
      <c r="I112" s="98">
        <v>45862</v>
      </c>
      <c r="J112" s="99">
        <v>45863</v>
      </c>
      <c r="K112" s="99"/>
      <c r="L112" s="99">
        <v>45863</v>
      </c>
      <c r="M112" s="27">
        <f ca="1">IF(OR(J112="",AND(L112="",TODAY()&lt;J112),AND(L112&lt;&gt;"",L112&lt;J112)),0,
   IF(L112="",
      NETWORKDAYS(J112,TODAY(),fESTIVOS!$A$2:$A$53),
      NETWORKDAYS(J112,L112,fESTIVOS!$A$2:$A$53)
   )
)</f>
        <v>1</v>
      </c>
      <c r="N112" s="28"/>
      <c r="O112" s="98"/>
      <c r="P112" s="100"/>
      <c r="Q112" s="34" t="s">
        <v>732</v>
      </c>
      <c r="R112" s="31" t="s">
        <v>78</v>
      </c>
      <c r="S112" s="101"/>
      <c r="T112" s="101"/>
      <c r="U112" s="102"/>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spans="1:67" ht="29.25" customHeight="1">
      <c r="A113" s="55" t="s">
        <v>157</v>
      </c>
      <c r="B113" s="17" t="s">
        <v>733</v>
      </c>
      <c r="C113" s="106" t="s">
        <v>734</v>
      </c>
      <c r="D113" s="95"/>
      <c r="E113" s="96"/>
      <c r="F113" s="121" t="s">
        <v>76</v>
      </c>
      <c r="G113" s="97">
        <v>100</v>
      </c>
      <c r="H113" s="22">
        <f>IF(OR(J113="",K113="",K113&lt;J113),0,NETWORKDAYS(J113,K113,fESTIVOS!$A$2:$A$53))</f>
        <v>0</v>
      </c>
      <c r="I113" s="98">
        <v>45862</v>
      </c>
      <c r="J113" s="99">
        <v>45862</v>
      </c>
      <c r="K113" s="99"/>
      <c r="L113" s="99"/>
      <c r="M113" s="27">
        <f ca="1">IF(OR(J113="",AND(L113="",TODAY()&lt;J113),AND(L113&lt;&gt;"",L113&lt;J113)),0,
   IF(L113="",
      NETWORKDAYS(J113,TODAY(),fESTIVOS!$A$2:$A$53),
      NETWORKDAYS(J113,L113,fESTIVOS!$A$2:$A$53)
   )
)</f>
        <v>153</v>
      </c>
      <c r="N113" s="28"/>
      <c r="O113" s="98"/>
      <c r="P113" s="100"/>
      <c r="Q113" s="34" t="s">
        <v>735</v>
      </c>
      <c r="R113" s="31" t="s">
        <v>78</v>
      </c>
      <c r="S113" s="101"/>
      <c r="T113" s="101"/>
      <c r="U113" s="102"/>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37" t="s">
        <v>736</v>
      </c>
      <c r="BM113" s="37"/>
      <c r="BN113" s="37"/>
      <c r="BO113" s="37"/>
    </row>
    <row r="114" spans="1:67" ht="29.25" customHeight="1">
      <c r="A114" s="122" t="s">
        <v>210</v>
      </c>
      <c r="B114" s="105" t="s">
        <v>737</v>
      </c>
      <c r="C114" s="106" t="s">
        <v>738</v>
      </c>
      <c r="D114" s="178"/>
      <c r="E114" s="179"/>
      <c r="F114" s="165" t="s">
        <v>76</v>
      </c>
      <c r="G114" s="164">
        <v>100</v>
      </c>
      <c r="H114" s="22">
        <f>IF(OR(J114="",K114="",K114&lt;J114),0,NETWORKDAYS(J114,K114,fESTIVOS!$A$2:$A$53))</f>
        <v>0</v>
      </c>
      <c r="I114" s="180">
        <v>45862</v>
      </c>
      <c r="J114" s="181">
        <v>45862</v>
      </c>
      <c r="K114" s="181"/>
      <c r="L114" s="181">
        <v>45863</v>
      </c>
      <c r="M114" s="27">
        <f ca="1">IF(OR(J114="",AND(L114="",TODAY()&lt;J114),AND(L114&lt;&gt;"",L114&lt;J114)),0,
   IF(L114="",
      NETWORKDAYS(J114,TODAY(),fESTIVOS!$A$2:$A$53),
      NETWORKDAYS(J114,L114,fESTIVOS!$A$2:$A$53)
   )
)</f>
        <v>2</v>
      </c>
      <c r="N114" s="28"/>
      <c r="O114" s="180"/>
      <c r="P114" s="182"/>
      <c r="Q114" s="37" t="s">
        <v>739</v>
      </c>
      <c r="R114" s="31" t="s">
        <v>78</v>
      </c>
      <c r="S114" s="163"/>
      <c r="T114" s="163"/>
      <c r="U114" s="161"/>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spans="1:67" ht="29.25" customHeight="1">
      <c r="A115" s="16" t="s">
        <v>67</v>
      </c>
      <c r="B115" s="17" t="s">
        <v>740</v>
      </c>
      <c r="C115" s="106" t="s">
        <v>741</v>
      </c>
      <c r="D115" s="95"/>
      <c r="E115" s="96"/>
      <c r="F115" s="121" t="s">
        <v>76</v>
      </c>
      <c r="G115" s="97">
        <v>100</v>
      </c>
      <c r="H115" s="22">
        <f>IF(OR(J115="",K115="",K115&lt;J115),0,NETWORKDAYS(J115,K115,fESTIVOS!$A$2:$A$53))</f>
        <v>0</v>
      </c>
      <c r="I115" s="98">
        <v>45863</v>
      </c>
      <c r="J115" s="99">
        <v>45863</v>
      </c>
      <c r="K115" s="99"/>
      <c r="L115" s="99">
        <v>45863</v>
      </c>
      <c r="M115" s="27">
        <f ca="1">IF(OR(J115="",AND(L115="",TODAY()&lt;J115),AND(L115&lt;&gt;"",L115&lt;J115)),0,
   IF(L115="",
      NETWORKDAYS(J115,TODAY(),fESTIVOS!$A$2:$A$53),
      NETWORKDAYS(J115,L115,fESTIVOS!$A$2:$A$53)
   )
)</f>
        <v>1</v>
      </c>
      <c r="N115" s="28"/>
      <c r="O115" s="98"/>
      <c r="P115" s="100"/>
      <c r="Q115" s="34" t="s">
        <v>742</v>
      </c>
      <c r="R115" s="31" t="s">
        <v>78</v>
      </c>
      <c r="S115" s="101"/>
      <c r="T115" s="101"/>
      <c r="U115" s="102"/>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spans="1:67" ht="29.25" customHeight="1">
      <c r="A116" s="55" t="s">
        <v>128</v>
      </c>
      <c r="B116" s="17" t="s">
        <v>743</v>
      </c>
      <c r="C116" s="106" t="s">
        <v>744</v>
      </c>
      <c r="D116" s="95"/>
      <c r="E116" s="96"/>
      <c r="F116" s="121" t="s">
        <v>76</v>
      </c>
      <c r="G116" s="97">
        <v>100</v>
      </c>
      <c r="H116" s="22">
        <f>IF(OR(J116="",K116="",K116&lt;J116),0,NETWORKDAYS(J116,K116,fESTIVOS!$A$2:$A$53))</f>
        <v>0</v>
      </c>
      <c r="I116" s="98">
        <v>45863</v>
      </c>
      <c r="J116" s="99">
        <v>45863</v>
      </c>
      <c r="K116" s="99"/>
      <c r="L116" s="99">
        <v>45863</v>
      </c>
      <c r="M116" s="27">
        <f ca="1">IF(OR(J116="",AND(L116="",TODAY()&lt;J116),AND(L116&lt;&gt;"",L116&lt;J116)),0,
   IF(L116="",
      NETWORKDAYS(J116,TODAY(),fESTIVOS!$A$2:$A$53),
      NETWORKDAYS(J116,L116,fESTIVOS!$A$2:$A$53)
   )
)</f>
        <v>1</v>
      </c>
      <c r="N116" s="28"/>
      <c r="O116" s="98"/>
      <c r="P116" s="100"/>
      <c r="Q116" s="34" t="s">
        <v>745</v>
      </c>
      <c r="R116" s="31" t="s">
        <v>78</v>
      </c>
      <c r="S116" s="101"/>
      <c r="T116" s="101"/>
      <c r="U116" s="102"/>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spans="1:67" ht="29.25" customHeight="1">
      <c r="A117" s="55" t="s">
        <v>128</v>
      </c>
      <c r="B117" s="17" t="s">
        <v>746</v>
      </c>
      <c r="C117" s="106" t="s">
        <v>747</v>
      </c>
      <c r="D117" s="95"/>
      <c r="E117" s="96"/>
      <c r="F117" s="121" t="s">
        <v>76</v>
      </c>
      <c r="G117" s="97">
        <v>100</v>
      </c>
      <c r="H117" s="22">
        <f>IF(OR(J117="",K117="",K117&lt;J117),0,NETWORKDAYS(J117,K117,fESTIVOS!$A$2:$A$53))</f>
        <v>0</v>
      </c>
      <c r="I117" s="98">
        <v>45866</v>
      </c>
      <c r="J117" s="99">
        <v>45866</v>
      </c>
      <c r="K117" s="99"/>
      <c r="L117" s="99">
        <v>45867</v>
      </c>
      <c r="M117" s="27">
        <f ca="1">IF(OR(J117="",AND(L117="",TODAY()&lt;J117),AND(L117&lt;&gt;"",L117&lt;J117)),0,
   IF(L117="",
      NETWORKDAYS(J117,TODAY(),fESTIVOS!$A$2:$A$53),
      NETWORKDAYS(J117,L117,fESTIVOS!$A$2:$A$53)
   )
)</f>
        <v>2</v>
      </c>
      <c r="N117" s="28"/>
      <c r="O117" s="98"/>
      <c r="P117" s="100"/>
      <c r="Q117" s="34" t="s">
        <v>748</v>
      </c>
      <c r="R117" s="31" t="s">
        <v>78</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37"/>
      <c r="BN117" s="37"/>
      <c r="BO117" s="37"/>
    </row>
    <row r="118" spans="1:67" ht="29.25" customHeight="1">
      <c r="A118" s="16" t="s">
        <v>67</v>
      </c>
      <c r="B118" s="17" t="s">
        <v>749</v>
      </c>
      <c r="C118" s="106" t="s">
        <v>750</v>
      </c>
      <c r="D118" s="95"/>
      <c r="E118" s="96"/>
      <c r="F118" s="121" t="s">
        <v>76</v>
      </c>
      <c r="G118" s="97">
        <v>100</v>
      </c>
      <c r="H118" s="22">
        <f>IF(OR(J118="",K118="",K118&lt;J118),0,NETWORKDAYS(J118,K118,fESTIVOS!$A$2:$A$53))</f>
        <v>0</v>
      </c>
      <c r="I118" s="98">
        <v>45866</v>
      </c>
      <c r="J118" s="99">
        <v>45866</v>
      </c>
      <c r="K118" s="99"/>
      <c r="L118" s="99">
        <v>45866</v>
      </c>
      <c r="M118" s="27">
        <f ca="1">IF(OR(J118="",AND(L118="",TODAY()&lt;J118),AND(L118&lt;&gt;"",L118&lt;J118)),0,
   IF(L118="",
      NETWORKDAYS(J118,TODAY(),fESTIVOS!$A$2:$A$53),
      NETWORKDAYS(J118,L118,fESTIVOS!$A$2:$A$53)
   )
)</f>
        <v>1</v>
      </c>
      <c r="N118" s="28"/>
      <c r="O118" s="98"/>
      <c r="P118" s="100"/>
      <c r="Q118" s="34" t="s">
        <v>751</v>
      </c>
      <c r="R118" s="31" t="s">
        <v>78</v>
      </c>
      <c r="S118" s="101"/>
      <c r="T118" s="101"/>
      <c r="U118" s="102"/>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37" t="s">
        <v>752</v>
      </c>
      <c r="BN118" s="37"/>
      <c r="BO118" s="37"/>
    </row>
    <row r="119" spans="1:67" ht="29.25" customHeight="1">
      <c r="A119" s="55" t="s">
        <v>157</v>
      </c>
      <c r="B119" s="17" t="s">
        <v>753</v>
      </c>
      <c r="C119" s="106" t="s">
        <v>754</v>
      </c>
      <c r="D119" s="95"/>
      <c r="E119" s="96"/>
      <c r="F119" s="121" t="s">
        <v>76</v>
      </c>
      <c r="G119" s="97">
        <v>100</v>
      </c>
      <c r="H119" s="22">
        <f>IF(OR(J119="",K119="",K119&lt;J119),0,NETWORKDAYS(J119,K119,fESTIVOS!$A$2:$A$53))</f>
        <v>0</v>
      </c>
      <c r="I119" s="98">
        <v>45863</v>
      </c>
      <c r="J119" s="99">
        <v>45866</v>
      </c>
      <c r="K119" s="99"/>
      <c r="L119" s="99">
        <v>45867</v>
      </c>
      <c r="M119" s="27">
        <f ca="1">IF(OR(J119="",AND(L119="",TODAY()&lt;J119),AND(L119&lt;&gt;"",L119&lt;J119)),0,
   IF(L119="",
      NETWORKDAYS(J119,TODAY(),fESTIVOS!$A$2:$A$53),
      NETWORKDAYS(J119,L119,fESTIVOS!$A$2:$A$53)
   )
)</f>
        <v>2</v>
      </c>
      <c r="N119" s="28"/>
      <c r="O119" s="98"/>
      <c r="P119" s="100"/>
      <c r="Q119" s="34" t="s">
        <v>755</v>
      </c>
      <c r="R119" s="31" t="s">
        <v>78</v>
      </c>
      <c r="S119" s="101"/>
      <c r="T119" s="101"/>
      <c r="U119" s="102"/>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row>
    <row r="120" spans="1:67" ht="29.25" customHeight="1">
      <c r="A120" s="55" t="s">
        <v>157</v>
      </c>
      <c r="B120" s="17" t="s">
        <v>756</v>
      </c>
      <c r="C120" s="106" t="s">
        <v>757</v>
      </c>
      <c r="D120" s="95"/>
      <c r="E120" s="96"/>
      <c r="F120" s="121" t="s">
        <v>76</v>
      </c>
      <c r="G120" s="97">
        <v>100</v>
      </c>
      <c r="H120" s="22">
        <f>IF(OR(J120="",K120="",K120&lt;J120),0,NETWORKDAYS(J120,K120,fESTIVOS!$A$2:$A$53))</f>
        <v>0</v>
      </c>
      <c r="I120" s="98">
        <v>45867</v>
      </c>
      <c r="J120" s="99">
        <v>45867</v>
      </c>
      <c r="K120" s="99"/>
      <c r="L120" s="99">
        <v>45867</v>
      </c>
      <c r="M120" s="27">
        <f ca="1">IF(OR(J120="",AND(L120="",TODAY()&lt;J120),AND(L120&lt;&gt;"",L120&lt;J120)),0,
   IF(L120="",
      NETWORKDAYS(J120,TODAY(),fESTIVOS!$A$2:$A$53),
      NETWORKDAYS(J120,L120,fESTIVOS!$A$2:$A$53)
   )
)</f>
        <v>1</v>
      </c>
      <c r="N120" s="28"/>
      <c r="O120" s="98"/>
      <c r="P120" s="100"/>
      <c r="Q120" s="34" t="s">
        <v>758</v>
      </c>
      <c r="R120" s="31" t="s">
        <v>78</v>
      </c>
      <c r="S120" s="101"/>
      <c r="T120" s="101"/>
      <c r="U120" s="102"/>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row>
    <row r="121" spans="1:67" ht="29.25" customHeight="1">
      <c r="A121" s="55" t="s">
        <v>157</v>
      </c>
      <c r="B121" s="17" t="s">
        <v>759</v>
      </c>
      <c r="C121" s="106" t="s">
        <v>760</v>
      </c>
      <c r="D121" s="149"/>
      <c r="E121" s="96"/>
      <c r="F121" s="121" t="s">
        <v>76</v>
      </c>
      <c r="G121" s="97">
        <v>100</v>
      </c>
      <c r="H121" s="22">
        <f>IF(OR(J121="",K121="",K121&lt;J121),0,NETWORKDAYS(J121,K121,fESTIVOS!$A$2:$A$53))</f>
        <v>0</v>
      </c>
      <c r="I121" s="98">
        <v>45867</v>
      </c>
      <c r="J121" s="99">
        <v>45867</v>
      </c>
      <c r="K121" s="99"/>
      <c r="L121" s="99">
        <v>45867</v>
      </c>
      <c r="M121" s="27">
        <f ca="1">IF(OR(J121="",AND(L121="",TODAY()&lt;J121),AND(L121&lt;&gt;"",L121&lt;J121)),0,
   IF(L121="",
      NETWORKDAYS(J121,TODAY(),fESTIVOS!$A$2:$A$53),
      NETWORKDAYS(J121,L121,fESTIVOS!$A$2:$A$53)
   )
)</f>
        <v>1</v>
      </c>
      <c r="N121" s="28"/>
      <c r="O121" s="98"/>
      <c r="P121" s="100"/>
      <c r="Q121" s="34" t="s">
        <v>761</v>
      </c>
      <c r="R121" s="31" t="s">
        <v>78</v>
      </c>
      <c r="S121" s="101"/>
      <c r="T121" s="101"/>
      <c r="U121" s="102"/>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row>
    <row r="122" spans="1:67" ht="29.25" customHeight="1">
      <c r="A122" s="55" t="s">
        <v>157</v>
      </c>
      <c r="B122" s="17" t="s">
        <v>762</v>
      </c>
      <c r="C122" s="106" t="s">
        <v>763</v>
      </c>
      <c r="D122" s="149"/>
      <c r="E122" s="96"/>
      <c r="F122" s="121" t="s">
        <v>76</v>
      </c>
      <c r="G122" s="97">
        <v>100</v>
      </c>
      <c r="H122" s="22">
        <f>IF(OR(J122="",K122="",K122&lt;J122),0,NETWORKDAYS(J122,K122,fESTIVOS!$A$2:$A$53))</f>
        <v>0</v>
      </c>
      <c r="I122" s="98">
        <v>45867</v>
      </c>
      <c r="J122" s="99">
        <v>45867</v>
      </c>
      <c r="K122" s="99"/>
      <c r="L122" s="99">
        <v>45867</v>
      </c>
      <c r="M122" s="27">
        <f ca="1">IF(OR(J122="",AND(L122="",TODAY()&lt;J122),AND(L122&lt;&gt;"",L122&lt;J122)),0,
   IF(L122="",
      NETWORKDAYS(J122,TODAY(),fESTIVOS!$A$2:$A$53),
      NETWORKDAYS(J122,L122,fESTIVOS!$A$2:$A$53)
   )
)</f>
        <v>1</v>
      </c>
      <c r="N122" s="28"/>
      <c r="O122" s="98"/>
      <c r="P122" s="100"/>
      <c r="Q122" s="34" t="s">
        <v>764</v>
      </c>
      <c r="R122" s="31" t="s">
        <v>78</v>
      </c>
      <c r="S122" s="101"/>
      <c r="T122" s="101"/>
      <c r="U122" s="102"/>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row>
    <row r="123" spans="1:67" ht="29.25" customHeight="1">
      <c r="A123" s="55" t="s">
        <v>157</v>
      </c>
      <c r="B123" s="17" t="s">
        <v>765</v>
      </c>
      <c r="C123" s="106" t="s">
        <v>766</v>
      </c>
      <c r="D123" s="149"/>
      <c r="E123" s="96"/>
      <c r="F123" s="121" t="s">
        <v>76</v>
      </c>
      <c r="G123" s="97">
        <v>100</v>
      </c>
      <c r="H123" s="22">
        <f>IF(OR(J123="",K123="",K123&lt;J123),0,NETWORKDAYS(J123,K123,fESTIVOS!$A$2:$A$53))</f>
        <v>0</v>
      </c>
      <c r="I123" s="98">
        <v>45867</v>
      </c>
      <c r="J123" s="99">
        <v>45868</v>
      </c>
      <c r="K123" s="99"/>
      <c r="L123" s="99">
        <v>45870</v>
      </c>
      <c r="M123" s="27">
        <f ca="1">IF(OR(J123="",AND(L123="",TODAY()&lt;J123),AND(L123&lt;&gt;"",L123&lt;J123)),0,
   IF(L123="",
      NETWORKDAYS(J123,TODAY(),fESTIVOS!$A$2:$A$53),
      NETWORKDAYS(J123,L123,fESTIVOS!$A$2:$A$53)
   )
)</f>
        <v>3</v>
      </c>
      <c r="N123" s="28"/>
      <c r="O123" s="98">
        <v>45870</v>
      </c>
      <c r="P123" s="100">
        <v>45881</v>
      </c>
      <c r="Q123" s="34" t="s">
        <v>767</v>
      </c>
      <c r="R123" s="31" t="s">
        <v>78</v>
      </c>
      <c r="S123" s="101"/>
      <c r="T123" s="101"/>
      <c r="U123" s="102"/>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37" t="s">
        <v>768</v>
      </c>
    </row>
    <row r="124" spans="1:67" ht="29.25" customHeight="1">
      <c r="A124" s="16" t="s">
        <v>67</v>
      </c>
      <c r="B124" s="17" t="s">
        <v>769</v>
      </c>
      <c r="C124" s="106" t="s">
        <v>770</v>
      </c>
      <c r="D124" s="149"/>
      <c r="E124" s="96"/>
      <c r="F124" s="121" t="s">
        <v>76</v>
      </c>
      <c r="G124" s="97">
        <v>100</v>
      </c>
      <c r="H124" s="22">
        <f>IF(OR(J124="",K124="",K124&lt;J124),0,NETWORKDAYS(J124,K124,fESTIVOS!$A$2:$A$53))</f>
        <v>0</v>
      </c>
      <c r="I124" s="98">
        <v>45867</v>
      </c>
      <c r="J124" s="99">
        <v>45867</v>
      </c>
      <c r="K124" s="99"/>
      <c r="L124" s="99"/>
      <c r="M124" s="27">
        <f ca="1">IF(OR(J124="",AND(L124="",TODAY()&lt;J124),AND(L124&lt;&gt;"",L124&lt;J124)),0,
   IF(L124="",
      NETWORKDAYS(J124,TODAY(),fESTIVOS!$A$2:$A$53),
      NETWORKDAYS(J124,L124,fESTIVOS!$A$2:$A$53)
   )
)</f>
        <v>150</v>
      </c>
      <c r="N124" s="28"/>
      <c r="O124" s="98"/>
      <c r="P124" s="100"/>
      <c r="Q124" s="34" t="s">
        <v>771</v>
      </c>
      <c r="R124" s="31" t="s">
        <v>78</v>
      </c>
      <c r="S124" s="101"/>
      <c r="T124" s="101"/>
      <c r="U124" s="102"/>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row>
    <row r="125" spans="1:67" ht="29.25" customHeight="1">
      <c r="A125" s="55" t="s">
        <v>157</v>
      </c>
      <c r="B125" s="17" t="s">
        <v>772</v>
      </c>
      <c r="C125" s="106" t="s">
        <v>773</v>
      </c>
      <c r="D125" s="149"/>
      <c r="E125" s="96"/>
      <c r="F125" s="121" t="s">
        <v>76</v>
      </c>
      <c r="G125" s="97">
        <v>100</v>
      </c>
      <c r="H125" s="22">
        <f>IF(OR(J125="",K125="",K125&lt;J125),0,NETWORKDAYS(J125,K125,fESTIVOS!$A$2:$A$53))</f>
        <v>0</v>
      </c>
      <c r="I125" s="98">
        <v>45866</v>
      </c>
      <c r="J125" s="99">
        <v>45867</v>
      </c>
      <c r="K125" s="99"/>
      <c r="L125" s="99">
        <v>45868</v>
      </c>
      <c r="M125" s="27">
        <f ca="1">IF(OR(J125="",AND(L125="",TODAY()&lt;J125),AND(L125&lt;&gt;"",L125&lt;J125)),0,
   IF(L125="",
      NETWORKDAYS(J125,TODAY(),fESTIVOS!$A$2:$A$53),
      NETWORKDAYS(J125,L125,fESTIVOS!$A$2:$A$53)
   )
)</f>
        <v>2</v>
      </c>
      <c r="N125" s="28"/>
      <c r="O125" s="98"/>
      <c r="P125" s="100"/>
      <c r="Q125" s="34" t="s">
        <v>774</v>
      </c>
      <c r="R125" s="31" t="s">
        <v>78</v>
      </c>
      <c r="S125" s="101"/>
      <c r="T125" s="101"/>
      <c r="U125" s="102"/>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row>
    <row r="126" spans="1:67" ht="29.25" customHeight="1">
      <c r="A126" s="16" t="s">
        <v>67</v>
      </c>
      <c r="B126" s="17" t="s">
        <v>775</v>
      </c>
      <c r="C126" s="106" t="s">
        <v>776</v>
      </c>
      <c r="D126" s="149"/>
      <c r="E126" s="96"/>
      <c r="F126" s="121" t="s">
        <v>76</v>
      </c>
      <c r="G126" s="97">
        <v>100</v>
      </c>
      <c r="H126" s="22">
        <f>IF(OR(J126="",K126="",K126&lt;J126),0,NETWORKDAYS(J126,K126,fESTIVOS!$A$2:$A$53))</f>
        <v>0</v>
      </c>
      <c r="I126" s="98">
        <v>45867</v>
      </c>
      <c r="J126" s="99">
        <v>45867</v>
      </c>
      <c r="K126" s="99"/>
      <c r="L126" s="99">
        <v>45875</v>
      </c>
      <c r="M126" s="27">
        <f ca="1">IF(OR(J126="",AND(L126="",TODAY()&lt;J126),AND(L126&lt;&gt;"",L126&lt;J126)),0,
   IF(L126="",
      NETWORKDAYS(J126,TODAY(),fESTIVOS!$A$2:$A$53),
      NETWORKDAYS(J126,L126,fESTIVOS!$A$2:$A$53)
   )
)</f>
        <v>7</v>
      </c>
      <c r="N126" s="28"/>
      <c r="O126" s="98"/>
      <c r="P126" s="100"/>
      <c r="Q126" s="34" t="s">
        <v>777</v>
      </c>
      <c r="R126" s="31" t="s">
        <v>78</v>
      </c>
      <c r="S126" s="101"/>
      <c r="T126" s="101"/>
      <c r="U126" s="102"/>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row>
    <row r="127" spans="1:67" ht="29.25" customHeight="1">
      <c r="A127" s="16" t="s">
        <v>67</v>
      </c>
      <c r="B127" s="17" t="s">
        <v>778</v>
      </c>
      <c r="C127" s="106" t="s">
        <v>779</v>
      </c>
      <c r="D127" s="149"/>
      <c r="E127" s="96"/>
      <c r="F127" s="20" t="s">
        <v>91</v>
      </c>
      <c r="G127" s="97">
        <v>20</v>
      </c>
      <c r="H127" s="22">
        <f>IF(OR(J127="",K127="",K127&lt;J127),0,NETWORKDAYS(J127,K127,fESTIVOS!$A$2:$A$53))</f>
        <v>0</v>
      </c>
      <c r="I127" s="98">
        <v>45867</v>
      </c>
      <c r="J127" s="99">
        <v>45867</v>
      </c>
      <c r="K127" s="99"/>
      <c r="L127" s="99"/>
      <c r="M127" s="27">
        <f ca="1">IF(OR(J127="",AND(L127="",TODAY()&lt;J127),AND(L127&lt;&gt;"",L127&lt;J127)),0,
   IF(L127="",
      NETWORKDAYS(J127,TODAY(),fESTIVOS!$A$2:$A$53),
      NETWORKDAYS(J127,L127,fESTIVOS!$A$2:$A$53)
   )
)</f>
        <v>150</v>
      </c>
      <c r="N127" s="28"/>
      <c r="O127" s="98"/>
      <c r="P127" s="100"/>
      <c r="Q127" s="34" t="s">
        <v>780</v>
      </c>
      <c r="R127" s="31" t="s">
        <v>93</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spans="1:67" ht="29.25" customHeight="1">
      <c r="A128" s="92" t="s">
        <v>128</v>
      </c>
      <c r="B128" s="105" t="s">
        <v>781</v>
      </c>
      <c r="C128" s="150" t="s">
        <v>782</v>
      </c>
      <c r="D128" s="142" t="s">
        <v>783</v>
      </c>
      <c r="E128" s="144"/>
      <c r="F128" s="20" t="s">
        <v>76</v>
      </c>
      <c r="G128" s="58">
        <v>100</v>
      </c>
      <c r="H128" s="22">
        <f>IF(OR(J128="",K128="",K128&lt;J128),0,NETWORKDAYS(J128,K128,fESTIVOS!$A$2:$A$53))</f>
        <v>0</v>
      </c>
      <c r="I128" s="81">
        <v>46020</v>
      </c>
      <c r="J128" s="60">
        <v>46020</v>
      </c>
      <c r="K128" s="60"/>
      <c r="L128" s="60">
        <v>46027</v>
      </c>
      <c r="M128" s="27">
        <f ca="1">IF(OR(J128="",AND(L128="",TODAY()&lt;J128),AND(L128&lt;&gt;"",L128&lt;J128)),0,
   IF(L128="",
      NETWORKDAYS(J128,TODAY(),fESTIVOS!$A$2:$A$53),
      NETWORKDAYS(J128,L128,fESTIVOS!$A$2:$A$53)
   )
)</f>
        <v>5</v>
      </c>
      <c r="N128" s="28"/>
      <c r="O128" s="81"/>
      <c r="P128" s="61"/>
      <c r="Q128" s="34" t="s">
        <v>784</v>
      </c>
      <c r="R128" s="112" t="s">
        <v>78</v>
      </c>
      <c r="S128" s="138"/>
      <c r="T128" s="138"/>
      <c r="U128" s="102"/>
      <c r="V128" s="104"/>
      <c r="W128" s="104"/>
      <c r="X128" s="104"/>
      <c r="Y128" s="104"/>
      <c r="Z128" s="104"/>
      <c r="AA128" s="104"/>
      <c r="AB128" s="104"/>
      <c r="AC128" s="104"/>
      <c r="AD128" s="104"/>
      <c r="AE128" s="104"/>
      <c r="AF128" s="104"/>
      <c r="AG128" s="104"/>
      <c r="AH128" s="104"/>
      <c r="AI128" s="104"/>
      <c r="AJ128" s="104"/>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row>
    <row r="129" spans="1:67" ht="29.25" customHeight="1">
      <c r="A129" s="55" t="s">
        <v>128</v>
      </c>
      <c r="B129" s="17" t="s">
        <v>785</v>
      </c>
      <c r="C129" s="106" t="s">
        <v>786</v>
      </c>
      <c r="D129" s="142" t="s">
        <v>787</v>
      </c>
      <c r="E129" s="144" t="s">
        <v>504</v>
      </c>
      <c r="F129" s="20" t="s">
        <v>76</v>
      </c>
      <c r="G129" s="58">
        <v>100</v>
      </c>
      <c r="H129" s="22">
        <f>IF(OR(J129="",K129="",K129&lt;J129),0,NETWORKDAYS(J129,K129,fESTIVOS!$A$2:$A$53))</f>
        <v>0</v>
      </c>
      <c r="I129" s="81">
        <v>45807</v>
      </c>
      <c r="J129" s="60">
        <v>45926</v>
      </c>
      <c r="K129" s="60"/>
      <c r="L129" s="60">
        <v>45966</v>
      </c>
      <c r="M129" s="27">
        <f ca="1">IF(OR(J129="",AND(L129="",TODAY()&lt;J129),AND(L129&lt;&gt;"",L129&lt;J129)),0,
   IF(L129="",
      NETWORKDAYS(J129,TODAY(),fESTIVOS!$A$2:$A$53),
      NETWORKDAYS(J129,L129,fESTIVOS!$A$2:$A$53)
   )
)</f>
        <v>27</v>
      </c>
      <c r="N129" s="28"/>
      <c r="O129" s="81">
        <v>45966</v>
      </c>
      <c r="P129" s="61">
        <v>45966</v>
      </c>
      <c r="Q129" s="34" t="s">
        <v>788</v>
      </c>
      <c r="R129" s="31" t="s">
        <v>78</v>
      </c>
      <c r="S129" s="138"/>
      <c r="T129" s="138"/>
      <c r="U129" s="102"/>
      <c r="V129" s="104"/>
      <c r="W129" s="104"/>
      <c r="X129" s="104"/>
      <c r="Y129" s="104"/>
      <c r="Z129" s="104"/>
      <c r="AA129" s="104"/>
      <c r="AB129" s="104"/>
      <c r="AC129" s="104"/>
      <c r="AD129" s="104"/>
      <c r="AE129" s="104"/>
      <c r="AF129" s="104"/>
      <c r="AG129" s="104"/>
      <c r="AH129" s="104"/>
      <c r="AI129" s="104"/>
      <c r="AJ129" s="104"/>
      <c r="AK129" s="37" t="s">
        <v>789</v>
      </c>
      <c r="AL129" s="37" t="s">
        <v>790</v>
      </c>
      <c r="AM129" s="37" t="s">
        <v>791</v>
      </c>
      <c r="AN129" s="37" t="s">
        <v>792</v>
      </c>
      <c r="AO129" s="37"/>
      <c r="AP129" s="37"/>
      <c r="AQ129" s="37"/>
      <c r="AR129" s="37" t="s">
        <v>793</v>
      </c>
      <c r="AS129" s="37" t="s">
        <v>794</v>
      </c>
      <c r="AT129" s="37"/>
      <c r="AU129" s="37"/>
      <c r="AV129" s="37"/>
      <c r="AW129" s="37"/>
      <c r="AX129" s="37" t="s">
        <v>795</v>
      </c>
      <c r="AY129" s="37"/>
      <c r="AZ129" s="37"/>
      <c r="BA129" s="37"/>
      <c r="BB129" s="37"/>
      <c r="BC129" s="37"/>
      <c r="BD129" s="37"/>
      <c r="BE129" s="37"/>
      <c r="BF129" s="37"/>
      <c r="BG129" s="37"/>
      <c r="BH129" s="37" t="s">
        <v>796</v>
      </c>
      <c r="BI129" s="37"/>
      <c r="BJ129" s="37"/>
      <c r="BK129" s="37" t="s">
        <v>797</v>
      </c>
      <c r="BL129" s="37"/>
      <c r="BM129" s="37"/>
      <c r="BN129" s="37"/>
      <c r="BO129" s="37"/>
    </row>
    <row r="130" spans="1:67" ht="29.25" customHeight="1">
      <c r="A130" s="55" t="s">
        <v>157</v>
      </c>
      <c r="B130" s="17" t="s">
        <v>798</v>
      </c>
      <c r="C130" s="106" t="s">
        <v>799</v>
      </c>
      <c r="D130" s="149"/>
      <c r="E130" s="96"/>
      <c r="F130" s="121" t="s">
        <v>76</v>
      </c>
      <c r="G130" s="97">
        <v>100</v>
      </c>
      <c r="H130" s="22">
        <f>IF(OR(J130="",K130="",K130&lt;J130),0,NETWORKDAYS(J130,K130,fESTIVOS!$A$2:$A$53))</f>
        <v>0</v>
      </c>
      <c r="I130" s="98">
        <v>45868</v>
      </c>
      <c r="J130" s="99">
        <v>45868</v>
      </c>
      <c r="K130" s="99"/>
      <c r="L130" s="99">
        <v>45869</v>
      </c>
      <c r="M130" s="27">
        <f ca="1">IF(OR(J130="",AND(L130="",TODAY()&lt;J130),AND(L130&lt;&gt;"",L130&lt;J130)),0,
   IF(L130="",
      NETWORKDAYS(J130,TODAY(),fESTIVOS!$A$2:$A$53),
      NETWORKDAYS(J130,L130,fESTIVOS!$A$2:$A$53)
   )
)</f>
        <v>2</v>
      </c>
      <c r="N130" s="28"/>
      <c r="O130" s="98"/>
      <c r="P130" s="100"/>
      <c r="Q130" s="34" t="s">
        <v>800</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spans="1:67" ht="29.25" customHeight="1">
      <c r="A131" s="55" t="s">
        <v>128</v>
      </c>
      <c r="B131" s="17" t="s">
        <v>801</v>
      </c>
      <c r="C131" s="106" t="s">
        <v>802</v>
      </c>
      <c r="D131" s="149"/>
      <c r="E131" s="96"/>
      <c r="F131" s="121" t="s">
        <v>76</v>
      </c>
      <c r="G131" s="97">
        <v>100</v>
      </c>
      <c r="H131" s="22">
        <f>IF(OR(J131="",K131="",K131&lt;J131),0,NETWORKDAYS(J131,K131,fESTIVOS!$A$2:$A$53))</f>
        <v>0</v>
      </c>
      <c r="I131" s="98">
        <v>45870</v>
      </c>
      <c r="J131" s="99">
        <v>45874</v>
      </c>
      <c r="K131" s="99"/>
      <c r="L131" s="99">
        <v>45874</v>
      </c>
      <c r="M131" s="27">
        <f ca="1">IF(OR(J131="",AND(L131="",TODAY()&lt;J131),AND(L131&lt;&gt;"",L131&lt;J131)),0,
   IF(L131="",
      NETWORKDAYS(J131,TODAY(),fESTIVOS!$A$2:$A$53),
      NETWORKDAYS(J131,L131,fESTIVOS!$A$2:$A$53)
   )
)</f>
        <v>1</v>
      </c>
      <c r="N131" s="28"/>
      <c r="O131" s="98">
        <v>45874</v>
      </c>
      <c r="P131" s="100">
        <v>45874</v>
      </c>
      <c r="Q131" s="34" t="s">
        <v>803</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spans="1:67" ht="29.25" customHeight="1">
      <c r="A132" s="55" t="s">
        <v>128</v>
      </c>
      <c r="B132" s="105" t="s">
        <v>804</v>
      </c>
      <c r="C132" s="106" t="s">
        <v>805</v>
      </c>
      <c r="D132" s="95"/>
      <c r="E132" s="96"/>
      <c r="F132" s="121" t="s">
        <v>76</v>
      </c>
      <c r="G132" s="97">
        <v>100</v>
      </c>
      <c r="H132" s="22">
        <f>IF(OR(J132="",K132="",K132&lt;J132),0,NETWORKDAYS(J132,K132,fESTIVOS!$A$2:$A$53))</f>
        <v>0</v>
      </c>
      <c r="I132" s="98">
        <v>45917</v>
      </c>
      <c r="J132" s="183">
        <v>45917</v>
      </c>
      <c r="K132" s="99"/>
      <c r="L132" s="99">
        <v>45917</v>
      </c>
      <c r="M132" s="27">
        <f ca="1">IF(OR(J132="",AND(L132="",TODAY()&lt;J132),AND(L132&lt;&gt;"",L132&lt;J132)),0,
   IF(L132="",
      NETWORKDAYS(J132,TODAY(),fESTIVOS!$A$2:$A$53),
      NETWORKDAYS(J132,L132,fESTIVOS!$A$2:$A$53)
   )
)</f>
        <v>1</v>
      </c>
      <c r="N132" s="28"/>
      <c r="O132" s="98"/>
      <c r="P132" s="100"/>
      <c r="Q132" s="88" t="s">
        <v>590</v>
      </c>
      <c r="R132" s="112" t="s">
        <v>78</v>
      </c>
      <c r="S132" s="97"/>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row>
    <row r="133" spans="1:67" ht="33" customHeight="1">
      <c r="A133" s="55" t="s">
        <v>128</v>
      </c>
      <c r="B133" s="105" t="s">
        <v>806</v>
      </c>
      <c r="C133" s="106" t="s">
        <v>807</v>
      </c>
      <c r="D133" s="95"/>
      <c r="E133" s="96"/>
      <c r="F133" s="121" t="s">
        <v>76</v>
      </c>
      <c r="G133" s="97">
        <v>100</v>
      </c>
      <c r="H133" s="22">
        <f>IF(OR(J133="",K133="",K133&lt;J133),0,NETWORKDAYS(J133,K133,fESTIVOS!$A$2:$A$53))</f>
        <v>0</v>
      </c>
      <c r="I133" s="98">
        <v>45868</v>
      </c>
      <c r="J133" s="183">
        <v>45911</v>
      </c>
      <c r="K133" s="99"/>
      <c r="L133" s="99">
        <v>45912</v>
      </c>
      <c r="M133" s="27">
        <f ca="1">IF(OR(J133="",AND(L133="",TODAY()&lt;J133),AND(L133&lt;&gt;"",L133&lt;J133)),0,
   IF(L133="",
      NETWORKDAYS(J133,TODAY(),fESTIVOS!$A$2:$A$53),
      NETWORKDAYS(J133,L133,fESTIVOS!$A$2:$A$53)
   )
)</f>
        <v>2</v>
      </c>
      <c r="N133" s="28"/>
      <c r="O133" s="98"/>
      <c r="P133" s="100">
        <v>45930</v>
      </c>
      <c r="Q133" s="34" t="s">
        <v>808</v>
      </c>
      <c r="R133" s="112" t="s">
        <v>78</v>
      </c>
      <c r="S133" s="97"/>
      <c r="T133" s="101"/>
      <c r="U133" s="121" t="s">
        <v>809</v>
      </c>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row>
    <row r="134" spans="1:67" ht="29.25" customHeight="1">
      <c r="A134" s="92" t="s">
        <v>128</v>
      </c>
      <c r="B134" s="105" t="s">
        <v>810</v>
      </c>
      <c r="C134" s="109" t="s">
        <v>811</v>
      </c>
      <c r="D134" s="95"/>
      <c r="E134" s="96"/>
      <c r="F134" s="111" t="s">
        <v>207</v>
      </c>
      <c r="G134" s="97">
        <v>50</v>
      </c>
      <c r="H134" s="22">
        <f>IF(OR(J134="",K134="",K134&lt;J134),0,NETWORKDAYS(J134,K134,fESTIVOS!$A$2:$A$53))</f>
        <v>20</v>
      </c>
      <c r="I134" s="184">
        <v>46007</v>
      </c>
      <c r="J134" s="99">
        <v>46024</v>
      </c>
      <c r="K134" s="99">
        <v>46052</v>
      </c>
      <c r="L134" s="99"/>
      <c r="M134" s="27">
        <f ca="1">IF(OR(J134="",AND(L134="",TODAY()&lt;J134),AND(L134&lt;&gt;"",L134&lt;J134)),0,
   IF(L134="",
      NETWORKDAYS(J134,TODAY(),fESTIVOS!$A$2:$A$53),
      NETWORKDAYS(J134,L134,fESTIVOS!$A$2:$A$53)
   )
)</f>
        <v>45</v>
      </c>
      <c r="N134" s="28"/>
      <c r="O134" s="98"/>
      <c r="P134" s="100"/>
      <c r="Q134" s="34" t="s">
        <v>812</v>
      </c>
      <c r="R134" s="112" t="s">
        <v>93</v>
      </c>
      <c r="S134" s="154"/>
      <c r="T134" s="97"/>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spans="1:67" ht="29.25" customHeight="1">
      <c r="A135" s="92" t="s">
        <v>128</v>
      </c>
      <c r="B135" s="105" t="s">
        <v>813</v>
      </c>
      <c r="C135" s="185" t="s">
        <v>814</v>
      </c>
      <c r="D135" s="155" t="s">
        <v>815</v>
      </c>
      <c r="E135" s="96"/>
      <c r="F135" s="20" t="s">
        <v>76</v>
      </c>
      <c r="G135" s="97">
        <v>100</v>
      </c>
      <c r="H135" s="22">
        <f>IF(OR(J135="",K135="",K135&lt;J135),0,NETWORKDAYS(J135,K135,fESTIVOS!$A$2:$A$53))</f>
        <v>0</v>
      </c>
      <c r="I135" s="98">
        <v>46036</v>
      </c>
      <c r="J135" s="99">
        <v>46048</v>
      </c>
      <c r="K135" s="99"/>
      <c r="L135" s="99">
        <v>46048</v>
      </c>
      <c r="M135" s="27">
        <f ca="1">IF(OR(J135="",AND(L135="",TODAY()&lt;J135),AND(L135&lt;&gt;"",L135&lt;J135)),0,
   IF(L135="",
      NETWORKDAYS(J135,TODAY(),fESTIVOS!$A$2:$A$53),
      NETWORKDAYS(J135,L135,fESTIVOS!$A$2:$A$53)
   )
)</f>
        <v>1</v>
      </c>
      <c r="N135" s="28"/>
      <c r="O135" s="98"/>
      <c r="P135" s="100"/>
      <c r="Q135" s="34" t="s">
        <v>816</v>
      </c>
      <c r="R135" s="112" t="s">
        <v>524</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37"/>
      <c r="BG135" s="37"/>
      <c r="BH135" s="37"/>
      <c r="BI135" s="37"/>
      <c r="BJ135" s="37"/>
      <c r="BK135" s="37"/>
      <c r="BL135" s="37"/>
      <c r="BM135" s="37"/>
      <c r="BN135" s="37"/>
      <c r="BO135" s="37"/>
    </row>
    <row r="136" spans="1:67" ht="29.25" customHeight="1">
      <c r="A136" s="92" t="s">
        <v>128</v>
      </c>
      <c r="B136" s="105" t="s">
        <v>817</v>
      </c>
      <c r="C136" s="150" t="s">
        <v>818</v>
      </c>
      <c r="D136" s="95" t="s">
        <v>819</v>
      </c>
      <c r="E136" s="96"/>
      <c r="F136" s="111" t="s">
        <v>76</v>
      </c>
      <c r="G136" s="97">
        <v>100</v>
      </c>
      <c r="H136" s="22">
        <f>IF(OR(J136="",K136="",K136&lt;J136),0,NETWORKDAYS(J136,K136,fESTIVOS!$A$2:$A$53))</f>
        <v>0</v>
      </c>
      <c r="I136" s="98">
        <v>46000</v>
      </c>
      <c r="J136" s="99">
        <v>45971</v>
      </c>
      <c r="K136" s="99"/>
      <c r="L136" s="99">
        <v>46024</v>
      </c>
      <c r="M136" s="27">
        <f ca="1">IF(OR(J136="",AND(L136="",TODAY()&lt;J136),AND(L136&lt;&gt;"",L136&lt;J136)),0,
   IF(L136="",
      NETWORKDAYS(J136,TODAY(),fESTIVOS!$A$2:$A$53),
      NETWORKDAYS(J136,L136,fESTIVOS!$A$2:$A$53)
   )
)</f>
        <v>36</v>
      </c>
      <c r="N136" s="28"/>
      <c r="O136" s="98">
        <v>46024</v>
      </c>
      <c r="P136" s="100">
        <v>46044</v>
      </c>
      <c r="Q136" s="34" t="s">
        <v>820</v>
      </c>
      <c r="R136" s="112" t="s">
        <v>78</v>
      </c>
      <c r="S136" s="101"/>
      <c r="T136" s="97" t="s">
        <v>821</v>
      </c>
      <c r="U136" s="121" t="s">
        <v>822</v>
      </c>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spans="1:67" ht="29.25" customHeight="1">
      <c r="A137" s="92" t="s">
        <v>128</v>
      </c>
      <c r="B137" s="105" t="s">
        <v>823</v>
      </c>
      <c r="C137" s="150" t="s">
        <v>824</v>
      </c>
      <c r="D137" s="95" t="s">
        <v>825</v>
      </c>
      <c r="E137" s="96"/>
      <c r="F137" s="111" t="s">
        <v>76</v>
      </c>
      <c r="G137" s="97">
        <v>100</v>
      </c>
      <c r="H137" s="22">
        <f>IF(OR(J137="",K137="",K137&lt;J137),0,NETWORKDAYS(J137,K137,fESTIVOS!$A$2:$A$53))</f>
        <v>0</v>
      </c>
      <c r="I137" s="184">
        <v>46048</v>
      </c>
      <c r="J137" s="183">
        <v>46048</v>
      </c>
      <c r="K137" s="99"/>
      <c r="L137" s="99">
        <v>46049</v>
      </c>
      <c r="M137" s="27">
        <f ca="1">IF(OR(J137="",AND(L137="",TODAY()&lt;J137),AND(L137&lt;&gt;"",L137&lt;J137)),0,
   IF(L137="",
      NETWORKDAYS(J137,TODAY(),fESTIVOS!$A$2:$A$53),
      NETWORKDAYS(J137,L137,fESTIVOS!$A$2:$A$53)
   )
)</f>
        <v>2</v>
      </c>
      <c r="N137" s="28"/>
      <c r="O137" s="98"/>
      <c r="P137" s="100">
        <v>46069</v>
      </c>
      <c r="Q137" s="34" t="s">
        <v>826</v>
      </c>
      <c r="R137" s="112" t="s">
        <v>524</v>
      </c>
      <c r="S137" s="154"/>
      <c r="T137" s="97" t="s">
        <v>827</v>
      </c>
      <c r="U137" s="121" t="s">
        <v>828</v>
      </c>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spans="1:67" ht="29.25" customHeight="1">
      <c r="A138" s="92" t="s">
        <v>128</v>
      </c>
      <c r="B138" s="105" t="s">
        <v>829</v>
      </c>
      <c r="C138" s="106" t="s">
        <v>830</v>
      </c>
      <c r="D138" s="95" t="s">
        <v>831</v>
      </c>
      <c r="E138" s="96"/>
      <c r="F138" s="111" t="s">
        <v>76</v>
      </c>
      <c r="G138" s="97">
        <v>100</v>
      </c>
      <c r="H138" s="22">
        <f>IF(OR(J138="",K138="",K138&lt;J138),0,NETWORKDAYS(J138,K138,fESTIVOS!$A$2:$A$53))</f>
        <v>0</v>
      </c>
      <c r="I138" s="98">
        <v>45957</v>
      </c>
      <c r="J138" s="183">
        <v>46041</v>
      </c>
      <c r="K138" s="99"/>
      <c r="L138" s="99">
        <v>46043</v>
      </c>
      <c r="M138" s="27">
        <f ca="1">IF(OR(J138="",AND(L138="",TODAY()&lt;J138),AND(L138&lt;&gt;"",L138&lt;J138)),0,
   IF(L138="",
      NETWORKDAYS(J138,TODAY(),fESTIVOS!$A$2:$A$53),
      NETWORKDAYS(J138,L138,fESTIVOS!$A$2:$A$53)
   )
)</f>
        <v>3</v>
      </c>
      <c r="N138" s="28"/>
      <c r="O138" s="98"/>
      <c r="P138" s="100">
        <v>46058</v>
      </c>
      <c r="Q138" s="34" t="s">
        <v>832</v>
      </c>
      <c r="R138" s="112" t="s">
        <v>524</v>
      </c>
      <c r="S138" s="154"/>
      <c r="T138" s="97" t="s">
        <v>833</v>
      </c>
      <c r="U138" s="121" t="s">
        <v>834</v>
      </c>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row>
    <row r="139" spans="1:67" ht="29.25" customHeight="1">
      <c r="A139" s="92" t="s">
        <v>128</v>
      </c>
      <c r="B139" s="105" t="s">
        <v>835</v>
      </c>
      <c r="C139" s="140" t="s">
        <v>836</v>
      </c>
      <c r="D139" s="186" t="s">
        <v>837</v>
      </c>
      <c r="E139" s="96"/>
      <c r="F139" s="20" t="s">
        <v>76</v>
      </c>
      <c r="G139" s="97">
        <v>100</v>
      </c>
      <c r="H139" s="22">
        <f>IF(OR(J139="",K139="",K139&lt;J139),0,NETWORKDAYS(J139,K139,fESTIVOS!$A$2:$A$53))</f>
        <v>0</v>
      </c>
      <c r="I139" s="98">
        <v>46055</v>
      </c>
      <c r="J139" s="99">
        <v>46056</v>
      </c>
      <c r="K139" s="99"/>
      <c r="L139" s="99">
        <v>46056</v>
      </c>
      <c r="M139" s="27">
        <f ca="1">IF(OR(J139="",AND(L139="",TODAY()&lt;J139),AND(L139&lt;&gt;"",L139&lt;J139)),0,
   IF(L139="",
      NETWORKDAYS(J139,TODAY(),fESTIVOS!$A$2:$A$53),
      NETWORKDAYS(J139,L139,fESTIVOS!$A$2:$A$53)
   )
)</f>
        <v>1</v>
      </c>
      <c r="N139" s="187">
        <v>46056</v>
      </c>
      <c r="O139" s="98"/>
      <c r="P139" s="100"/>
      <c r="Q139" s="34" t="s">
        <v>838</v>
      </c>
      <c r="R139" s="112" t="s">
        <v>524</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37"/>
      <c r="BG139" s="37"/>
      <c r="BH139" s="37"/>
      <c r="BI139" s="37"/>
      <c r="BJ139" s="37"/>
      <c r="BK139" s="37"/>
      <c r="BL139" s="37"/>
      <c r="BM139" s="37"/>
      <c r="BN139" s="37"/>
      <c r="BO139" s="37"/>
    </row>
    <row r="140" spans="1:67" ht="29.25" customHeight="1">
      <c r="A140" s="92" t="s">
        <v>128</v>
      </c>
      <c r="B140" s="105" t="s">
        <v>839</v>
      </c>
      <c r="C140" s="140" t="s">
        <v>840</v>
      </c>
      <c r="D140" s="155" t="s">
        <v>841</v>
      </c>
      <c r="E140" s="96"/>
      <c r="F140" s="20" t="s">
        <v>76</v>
      </c>
      <c r="G140" s="97">
        <v>100</v>
      </c>
      <c r="H140" s="22">
        <f>IF(OR(J140="",K140="",K140&lt;J140),0,NETWORKDAYS(J140,K140,fESTIVOS!$A$2:$A$53))</f>
        <v>0</v>
      </c>
      <c r="I140" s="98">
        <v>46058</v>
      </c>
      <c r="J140" s="99">
        <v>46058</v>
      </c>
      <c r="K140" s="99"/>
      <c r="L140" s="99">
        <v>46058</v>
      </c>
      <c r="M140" s="27">
        <f ca="1">IF(OR(J140="",AND(L140="",TODAY()&lt;J140),AND(L140&lt;&gt;"",L140&lt;J140)),0,
   IF(L140="",
      NETWORKDAYS(J140,TODAY(),fESTIVOS!$A$2:$A$53),
      NETWORKDAYS(J140,L140,fESTIVOS!$A$2:$A$53)
   )
)</f>
        <v>1</v>
      </c>
      <c r="N140" s="28"/>
      <c r="O140" s="98"/>
      <c r="P140" s="100">
        <v>46058</v>
      </c>
      <c r="Q140" s="34" t="s">
        <v>842</v>
      </c>
      <c r="R140" s="112" t="s">
        <v>234</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37"/>
      <c r="BG140" s="37"/>
      <c r="BH140" s="37"/>
      <c r="BI140" s="37"/>
      <c r="BJ140" s="37"/>
      <c r="BK140" s="37"/>
      <c r="BL140" s="37"/>
      <c r="BM140" s="37"/>
      <c r="BN140" s="37"/>
      <c r="BO140" s="37"/>
    </row>
    <row r="141" spans="1:67" ht="29.25" customHeight="1">
      <c r="A141" s="92" t="s">
        <v>128</v>
      </c>
      <c r="B141" s="105" t="s">
        <v>843</v>
      </c>
      <c r="C141" s="140" t="s">
        <v>844</v>
      </c>
      <c r="D141" s="155"/>
      <c r="E141" s="96"/>
      <c r="F141" s="20" t="s">
        <v>76</v>
      </c>
      <c r="G141" s="97">
        <v>100</v>
      </c>
      <c r="H141" s="22">
        <f>IF(OR(J141="",K141="",K141&lt;J141),0,NETWORKDAYS(J141,K141,fESTIVOS!$A$2:$A$53))</f>
        <v>0</v>
      </c>
      <c r="I141" s="98">
        <v>46058</v>
      </c>
      <c r="J141" s="99">
        <v>46058</v>
      </c>
      <c r="K141" s="99"/>
      <c r="L141" s="99">
        <v>46058</v>
      </c>
      <c r="M141" s="27">
        <f ca="1">IF(OR(J141="",AND(L141="",TODAY()&lt;J141),AND(L141&lt;&gt;"",L141&lt;J141)),0,
   IF(L141="",
      NETWORKDAYS(J141,TODAY(),fESTIVOS!$A$2:$A$53),
      NETWORKDAYS(J141,L141,fESTIVOS!$A$2:$A$53)
   )
)</f>
        <v>1</v>
      </c>
      <c r="N141" s="28"/>
      <c r="O141" s="98"/>
      <c r="P141" s="100">
        <v>46058</v>
      </c>
      <c r="Q141" s="34" t="s">
        <v>845</v>
      </c>
      <c r="R141" s="112" t="s">
        <v>524</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37"/>
      <c r="BG141" s="37"/>
      <c r="BH141" s="37"/>
      <c r="BI141" s="37"/>
      <c r="BJ141" s="37"/>
      <c r="BK141" s="37"/>
      <c r="BL141" s="37"/>
      <c r="BM141" s="37"/>
      <c r="BN141" s="37"/>
      <c r="BO141" s="37"/>
    </row>
    <row r="142" spans="1:67" ht="29.25" customHeight="1">
      <c r="A142" s="92" t="s">
        <v>128</v>
      </c>
      <c r="B142" s="105" t="s">
        <v>846</v>
      </c>
      <c r="C142" s="119" t="s">
        <v>847</v>
      </c>
      <c r="D142" s="95" t="s">
        <v>848</v>
      </c>
      <c r="E142" s="96"/>
      <c r="F142" s="111" t="s">
        <v>76</v>
      </c>
      <c r="G142" s="97">
        <v>100</v>
      </c>
      <c r="H142" s="22">
        <f>IF(OR(J142="",K142="",K142&lt;J142),0,NETWORKDAYS(J142,K142,fESTIVOS!$A$2:$A$53))</f>
        <v>2</v>
      </c>
      <c r="I142" s="184">
        <v>46058</v>
      </c>
      <c r="J142" s="99">
        <v>46063</v>
      </c>
      <c r="K142" s="99">
        <v>46064</v>
      </c>
      <c r="L142" s="99">
        <v>46064</v>
      </c>
      <c r="M142" s="27">
        <f ca="1">IF(OR(J142="",AND(L142="",TODAY()&lt;J142),AND(L142&lt;&gt;"",L142&lt;J142)),0,
   IF(L142="",
      NETWORKDAYS(J142,TODAY(),fESTIVOS!$A$2:$A$53),
      NETWORKDAYS(J142,L142,fESTIVOS!$A$2:$A$53)
   )
)</f>
        <v>2</v>
      </c>
      <c r="N142" s="174">
        <v>46071</v>
      </c>
      <c r="O142" s="98"/>
      <c r="P142" s="100">
        <v>46064</v>
      </c>
      <c r="Q142" s="34" t="s">
        <v>849</v>
      </c>
      <c r="R142" s="112" t="s">
        <v>234</v>
      </c>
      <c r="S142" s="154"/>
      <c r="T142" s="97"/>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spans="1:67" ht="29.25" customHeight="1">
      <c r="A143" s="92" t="s">
        <v>128</v>
      </c>
      <c r="B143" s="105" t="s">
        <v>850</v>
      </c>
      <c r="C143" s="119" t="s">
        <v>851</v>
      </c>
      <c r="D143" s="95" t="s">
        <v>852</v>
      </c>
      <c r="E143" s="96"/>
      <c r="F143" s="111" t="s">
        <v>250</v>
      </c>
      <c r="G143" s="97"/>
      <c r="H143" s="22">
        <f>IF(OR(J143="",K143="",K143&lt;J143),0,NETWORKDAYS(J143,K143,fESTIVOS!$A$2:$A$53))</f>
        <v>0</v>
      </c>
      <c r="I143" s="184">
        <v>46036</v>
      </c>
      <c r="J143" s="99"/>
      <c r="K143" s="99"/>
      <c r="L143" s="99"/>
      <c r="M143" s="27">
        <f ca="1">IF(OR(J143="",AND(L143="",TODAY()&lt;J143),AND(L143&lt;&gt;"",L143&lt;J143)),0,
   IF(L143="",
      NETWORKDAYS(J143,TODAY(),fESTIVOS!$A$2:$A$53),
      NETWORKDAYS(J143,L143,fESTIVOS!$A$2:$A$53)
   )
)</f>
        <v>0</v>
      </c>
      <c r="N143" s="174">
        <v>46101</v>
      </c>
      <c r="O143" s="98"/>
      <c r="P143" s="100"/>
      <c r="Q143" s="34" t="s">
        <v>853</v>
      </c>
      <c r="R143" s="112" t="s">
        <v>234</v>
      </c>
      <c r="S143" s="154"/>
      <c r="T143" s="97"/>
      <c r="U143" s="102"/>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row>
    <row r="144" spans="1:67" ht="29.25" customHeight="1">
      <c r="A144" s="92" t="s">
        <v>128</v>
      </c>
      <c r="B144" s="105" t="s">
        <v>854</v>
      </c>
      <c r="C144" s="188" t="s">
        <v>855</v>
      </c>
      <c r="D144" s="95" t="s">
        <v>856</v>
      </c>
      <c r="E144" s="96"/>
      <c r="F144" s="111" t="s">
        <v>207</v>
      </c>
      <c r="G144" s="189">
        <v>20</v>
      </c>
      <c r="H144" s="22">
        <f>IF(OR(J144="",K144="",K144&lt;J144),0,NETWORKDAYS(J144,K144,fESTIVOS!$A$2:$A$53))</f>
        <v>0</v>
      </c>
      <c r="I144" s="184">
        <v>46000</v>
      </c>
      <c r="J144" s="99">
        <v>46057</v>
      </c>
      <c r="K144" s="99"/>
      <c r="L144" s="99"/>
      <c r="M144" s="27">
        <f ca="1">IF(OR(J144="",AND(L144="",TODAY()&lt;J144),AND(L144&lt;&gt;"",L144&lt;J144)),0,
   IF(L144="",
      NETWORKDAYS(J144,TODAY(),fESTIVOS!$A$2:$A$53),
      NETWORKDAYS(J144,L144,fESTIVOS!$A$2:$A$53)
   )
)</f>
        <v>23</v>
      </c>
      <c r="N144" s="28"/>
      <c r="O144" s="98"/>
      <c r="P144" s="100"/>
      <c r="Q144" s="34" t="s">
        <v>857</v>
      </c>
      <c r="R144" s="31" t="s">
        <v>234</v>
      </c>
      <c r="S144" s="154"/>
      <c r="T144" s="101"/>
      <c r="U144" s="102"/>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row>
    <row r="145" spans="1:67" ht="29.25" customHeight="1">
      <c r="A145" s="92" t="s">
        <v>128</v>
      </c>
      <c r="B145" s="105" t="s">
        <v>858</v>
      </c>
      <c r="C145" s="109" t="s">
        <v>859</v>
      </c>
      <c r="D145" s="155" t="s">
        <v>860</v>
      </c>
      <c r="E145" s="96"/>
      <c r="F145" s="20" t="s">
        <v>207</v>
      </c>
      <c r="G145" s="97">
        <v>50</v>
      </c>
      <c r="H145" s="22">
        <f>IF(OR(J145="",K145="",K145&lt;J145),0,NETWORKDAYS(J145,K145,fESTIVOS!$A$2:$A$53))</f>
        <v>0</v>
      </c>
      <c r="I145" s="184">
        <v>46064</v>
      </c>
      <c r="J145" s="99">
        <v>46064</v>
      </c>
      <c r="K145" s="99"/>
      <c r="L145" s="99"/>
      <c r="M145" s="27">
        <f ca="1">IF(OR(J145="",AND(L145="",TODAY()&lt;J145),AND(L145&lt;&gt;"",L145&lt;J145)),0,
   IF(L145="",
      NETWORKDAYS(J145,TODAY(),fESTIVOS!$A$2:$A$53),
      NETWORKDAYS(J145,L145,fESTIVOS!$A$2:$A$53)
   )
)</f>
        <v>18</v>
      </c>
      <c r="N145" s="28"/>
      <c r="O145" s="98"/>
      <c r="P145" s="100"/>
      <c r="Q145" s="34" t="s">
        <v>861</v>
      </c>
      <c r="R145" s="112" t="s">
        <v>234</v>
      </c>
      <c r="S145" s="101"/>
      <c r="T145" s="97" t="s">
        <v>862</v>
      </c>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37"/>
      <c r="BG145" s="37"/>
      <c r="BH145" s="37"/>
      <c r="BI145" s="37"/>
      <c r="BJ145" s="37"/>
      <c r="BK145" s="37"/>
      <c r="BL145" s="37"/>
      <c r="BM145" s="37"/>
      <c r="BN145" s="37"/>
      <c r="BO145" s="37"/>
    </row>
    <row r="146" spans="1:67" ht="29.25" customHeight="1">
      <c r="A146" s="92" t="s">
        <v>128</v>
      </c>
      <c r="B146" s="105" t="s">
        <v>863</v>
      </c>
      <c r="C146" s="140" t="s">
        <v>864</v>
      </c>
      <c r="D146" s="155" t="s">
        <v>865</v>
      </c>
      <c r="E146" s="96"/>
      <c r="F146" s="20" t="s">
        <v>76</v>
      </c>
      <c r="G146" s="97">
        <v>100</v>
      </c>
      <c r="H146" s="22">
        <f>IF(OR(J146="",K146="",K146&lt;J146),0,NETWORKDAYS(J146,K146,fESTIVOS!$A$2:$A$53))</f>
        <v>0</v>
      </c>
      <c r="I146" s="184">
        <v>46064</v>
      </c>
      <c r="J146" s="99">
        <v>46066</v>
      </c>
      <c r="K146" s="99"/>
      <c r="L146" s="99">
        <v>46066</v>
      </c>
      <c r="M146" s="27">
        <f ca="1">IF(OR(J146="",AND(L146="",TODAY()&lt;J146),AND(L146&lt;&gt;"",L146&lt;J146)),0,
   IF(L146="",
      NETWORKDAYS(J146,TODAY(),fESTIVOS!$A$2:$A$53),
      NETWORKDAYS(J146,L146,fESTIVOS!$A$2:$A$53)
   )
)</f>
        <v>1</v>
      </c>
      <c r="N146" s="28"/>
      <c r="O146" s="98"/>
      <c r="P146" s="100"/>
      <c r="Q146" s="34" t="s">
        <v>866</v>
      </c>
      <c r="R146" s="112" t="s">
        <v>234</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37"/>
      <c r="BG146" s="37"/>
      <c r="BH146" s="37"/>
      <c r="BI146" s="37"/>
      <c r="BJ146" s="37"/>
      <c r="BK146" s="37"/>
      <c r="BL146" s="37"/>
      <c r="BM146" s="37"/>
      <c r="BN146" s="37"/>
      <c r="BO146" s="37"/>
    </row>
    <row r="147" spans="1:67" ht="29.25" customHeight="1">
      <c r="A147" s="92" t="s">
        <v>128</v>
      </c>
      <c r="B147" s="105" t="s">
        <v>867</v>
      </c>
      <c r="C147" s="140" t="s">
        <v>868</v>
      </c>
      <c r="D147" s="95" t="s">
        <v>869</v>
      </c>
      <c r="E147" s="96"/>
      <c r="F147" s="111" t="s">
        <v>76</v>
      </c>
      <c r="G147" s="97">
        <v>100</v>
      </c>
      <c r="H147" s="22">
        <f>IF(OR(J147="",K147="",K147&lt;J147),0,NETWORKDAYS(J147,K147,fESTIVOS!$A$2:$A$53))</f>
        <v>2</v>
      </c>
      <c r="I147" s="184">
        <v>46063</v>
      </c>
      <c r="J147" s="99">
        <v>46069</v>
      </c>
      <c r="K147" s="99">
        <v>46070</v>
      </c>
      <c r="L147" s="99">
        <v>46071</v>
      </c>
      <c r="M147" s="27">
        <f ca="1">IF(OR(J147="",AND(L147="",TODAY()&lt;J147),AND(L147&lt;&gt;"",L147&lt;J147)),0,
   IF(L147="",
      NETWORKDAYS(J147,TODAY(),fESTIVOS!$A$2:$A$53),
      NETWORKDAYS(J147,L147,fESTIVOS!$A$2:$A$53)
   )
)</f>
        <v>3</v>
      </c>
      <c r="N147" s="174">
        <v>46073</v>
      </c>
      <c r="O147" s="98">
        <v>46071</v>
      </c>
      <c r="P147" s="100">
        <v>46080</v>
      </c>
      <c r="Q147" s="34" t="s">
        <v>870</v>
      </c>
      <c r="R147" s="112" t="s">
        <v>234</v>
      </c>
      <c r="S147" s="154"/>
      <c r="T147" s="97"/>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spans="1:67" ht="29.25" customHeight="1">
      <c r="A148" s="92" t="s">
        <v>128</v>
      </c>
      <c r="B148" s="105" t="s">
        <v>871</v>
      </c>
      <c r="C148" s="140" t="s">
        <v>872</v>
      </c>
      <c r="D148" s="155" t="s">
        <v>873</v>
      </c>
      <c r="E148" s="96"/>
      <c r="F148" s="20" t="s">
        <v>76</v>
      </c>
      <c r="G148" s="97">
        <v>100</v>
      </c>
      <c r="H148" s="22">
        <f>IF(OR(J148="",K148="",K148&lt;J148),0,NETWORKDAYS(J148,K148,fESTIVOS!$A$2:$A$53))</f>
        <v>0</v>
      </c>
      <c r="I148" s="184">
        <v>46069</v>
      </c>
      <c r="J148" s="99">
        <v>46069</v>
      </c>
      <c r="K148" s="99"/>
      <c r="L148" s="99">
        <v>46069</v>
      </c>
      <c r="M148" s="27">
        <f ca="1">IF(OR(J148="",AND(L148="",TODAY()&lt;J148),AND(L148&lt;&gt;"",L148&lt;J148)),0,
   IF(L148="",
      NETWORKDAYS(J148,TODAY(),fESTIVOS!$A$2:$A$53),
      NETWORKDAYS(J148,L148,fESTIVOS!$A$2:$A$53)
   )
)</f>
        <v>1</v>
      </c>
      <c r="N148" s="28"/>
      <c r="O148" s="98"/>
      <c r="P148" s="100">
        <v>46070</v>
      </c>
      <c r="Q148" s="34" t="s">
        <v>874</v>
      </c>
      <c r="R148" s="112" t="s">
        <v>234</v>
      </c>
      <c r="S148" s="101"/>
      <c r="T148" s="101"/>
      <c r="U148" s="102"/>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37"/>
      <c r="BG148" s="37"/>
      <c r="BH148" s="37"/>
      <c r="BI148" s="37"/>
      <c r="BJ148" s="37"/>
      <c r="BK148" s="37"/>
      <c r="BL148" s="37"/>
      <c r="BM148" s="37"/>
      <c r="BN148" s="37"/>
      <c r="BO148" s="37"/>
    </row>
    <row r="149" spans="1:67" ht="29.25" customHeight="1">
      <c r="A149" s="92" t="s">
        <v>128</v>
      </c>
      <c r="B149" s="105" t="s">
        <v>875</v>
      </c>
      <c r="C149" s="140" t="s">
        <v>876</v>
      </c>
      <c r="D149" s="95" t="s">
        <v>877</v>
      </c>
      <c r="E149" s="96"/>
      <c r="F149" s="111" t="s">
        <v>76</v>
      </c>
      <c r="G149" s="97">
        <v>100</v>
      </c>
      <c r="H149" s="22">
        <f>IF(OR(J149="",K149="",K149&lt;J149),0,NETWORKDAYS(J149,K149,fESTIVOS!$A$2:$A$53))</f>
        <v>0</v>
      </c>
      <c r="I149" s="184">
        <v>46070</v>
      </c>
      <c r="J149" s="99">
        <v>46070</v>
      </c>
      <c r="K149" s="99"/>
      <c r="L149" s="99">
        <v>46073</v>
      </c>
      <c r="M149" s="27">
        <f ca="1">IF(OR(J149="",AND(L149="",TODAY()&lt;J149),AND(L149&lt;&gt;"",L149&lt;J149)),0,
   IF(L149="",
      NETWORKDAYS(J149,TODAY(),fESTIVOS!$A$2:$A$53),
      NETWORKDAYS(J149,L149,fESTIVOS!$A$2:$A$53)
   )
)</f>
        <v>4</v>
      </c>
      <c r="N149" s="28"/>
      <c r="O149" s="98"/>
      <c r="P149" s="100">
        <v>46073</v>
      </c>
      <c r="Q149" s="34" t="s">
        <v>878</v>
      </c>
      <c r="R149" s="112" t="s">
        <v>234</v>
      </c>
      <c r="S149" s="154"/>
      <c r="T149" s="97"/>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row>
    <row r="150" spans="1:67" ht="29.25" customHeight="1">
      <c r="A150" s="92" t="s">
        <v>128</v>
      </c>
      <c r="B150" s="105" t="s">
        <v>879</v>
      </c>
      <c r="C150" s="119" t="s">
        <v>880</v>
      </c>
      <c r="D150" s="95" t="s">
        <v>881</v>
      </c>
      <c r="E150" s="96"/>
      <c r="F150" s="111" t="s">
        <v>504</v>
      </c>
      <c r="G150" s="97">
        <v>30</v>
      </c>
      <c r="H150" s="22">
        <f>IF(OR(J150="",K150="",K150&lt;J150),0,NETWORKDAYS(J150,K150,fESTIVOS!$A$2:$A$53))</f>
        <v>0</v>
      </c>
      <c r="I150" s="184">
        <v>46069</v>
      </c>
      <c r="J150" s="99">
        <v>46076</v>
      </c>
      <c r="K150" s="99"/>
      <c r="L150" s="99"/>
      <c r="M150" s="27">
        <f ca="1">IF(OR(J150="",AND(L150="",TODAY()&lt;J150),AND(L150&lt;&gt;"",L150&lt;J150)),0,
   IF(L150="",
      NETWORKDAYS(J150,TODAY(),fESTIVOS!$A$2:$A$53),
      NETWORKDAYS(J150,L150,fESTIVOS!$A$2:$A$53)
   )
)</f>
        <v>10</v>
      </c>
      <c r="N150" s="174"/>
      <c r="O150" s="98"/>
      <c r="P150" s="100"/>
      <c r="Q150" s="34" t="s">
        <v>882</v>
      </c>
      <c r="R150" s="112" t="s">
        <v>234</v>
      </c>
      <c r="S150" s="154"/>
      <c r="T150" s="97"/>
      <c r="U150" s="102"/>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spans="1:67" ht="29.25" customHeight="1">
      <c r="A151" s="92" t="s">
        <v>128</v>
      </c>
      <c r="B151" s="105" t="s">
        <v>883</v>
      </c>
      <c r="C151" s="119" t="s">
        <v>884</v>
      </c>
      <c r="D151" s="95" t="s">
        <v>885</v>
      </c>
      <c r="E151" s="96"/>
      <c r="F151" s="111" t="s">
        <v>76</v>
      </c>
      <c r="G151" s="97">
        <v>100</v>
      </c>
      <c r="H151" s="22">
        <f>IF(OR(J151="",K151="",K151&lt;J151),0,NETWORKDAYS(J151,K151,fESTIVOS!$A$2:$A$53))</f>
        <v>0</v>
      </c>
      <c r="I151" s="184">
        <v>46079</v>
      </c>
      <c r="J151" s="99">
        <v>46080</v>
      </c>
      <c r="K151" s="99"/>
      <c r="L151" s="99">
        <v>46080</v>
      </c>
      <c r="M151" s="27">
        <f ca="1">IF(OR(J151="",AND(L151="",TODAY()&lt;J151),AND(L151&lt;&gt;"",L151&lt;J151)),0,
   IF(L151="",
      NETWORKDAYS(J151,TODAY(),fESTIVOS!$A$2:$A$53),
      NETWORKDAYS(J151,L151,fESTIVOS!$A$2:$A$53)
   )
)</f>
        <v>1</v>
      </c>
      <c r="N151" s="190"/>
      <c r="O151" s="98"/>
      <c r="P151" s="100">
        <v>46080</v>
      </c>
      <c r="Q151" s="34" t="s">
        <v>886</v>
      </c>
      <c r="R151" s="112" t="s">
        <v>234</v>
      </c>
      <c r="S151" s="154"/>
      <c r="T151" s="97"/>
      <c r="U151" s="102"/>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spans="1:67" ht="29.25" customHeight="1">
      <c r="A152" s="92" t="s">
        <v>128</v>
      </c>
      <c r="B152" s="105" t="s">
        <v>887</v>
      </c>
      <c r="C152" s="140" t="s">
        <v>888</v>
      </c>
      <c r="D152" s="95" t="s">
        <v>889</v>
      </c>
      <c r="E152" s="96"/>
      <c r="F152" s="111" t="s">
        <v>76</v>
      </c>
      <c r="G152" s="97">
        <v>100</v>
      </c>
      <c r="H152" s="22">
        <f>IF(OR(J152="",K152="",K152&lt;J152),0,NETWORKDAYS(J152,K152,fESTIVOS!$A$2:$A$53))</f>
        <v>0</v>
      </c>
      <c r="I152" s="184">
        <v>46071</v>
      </c>
      <c r="J152" s="99">
        <v>46072</v>
      </c>
      <c r="K152" s="99"/>
      <c r="L152" s="99">
        <v>46072</v>
      </c>
      <c r="M152" s="27">
        <f ca="1">IF(OR(J152="",AND(L152="",TODAY()&lt;J152),AND(L152&lt;&gt;"",L152&lt;J152)),0,
   IF(L152="",
      NETWORKDAYS(J152,TODAY(),fESTIVOS!$A$2:$A$53),
      NETWORKDAYS(J152,L152,fESTIVOS!$A$2:$A$53)
   )
)</f>
        <v>1</v>
      </c>
      <c r="N152" s="28"/>
      <c r="O152" s="98"/>
      <c r="P152" s="100"/>
      <c r="Q152" s="34" t="s">
        <v>890</v>
      </c>
      <c r="R152" s="112" t="s">
        <v>234</v>
      </c>
      <c r="S152" s="154"/>
      <c r="T152" s="97"/>
      <c r="U152" s="102"/>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spans="1:67" ht="29.25" customHeight="1">
      <c r="A153" s="92" t="s">
        <v>128</v>
      </c>
      <c r="B153" s="105" t="s">
        <v>891</v>
      </c>
      <c r="C153" s="140" t="s">
        <v>892</v>
      </c>
      <c r="D153" s="95" t="s">
        <v>893</v>
      </c>
      <c r="E153" s="96"/>
      <c r="F153" s="111" t="s">
        <v>76</v>
      </c>
      <c r="G153" s="97">
        <v>100</v>
      </c>
      <c r="H153" s="22">
        <f>IF(OR(J153="",K153="",K153&lt;J153),0,NETWORKDAYS(J153,K153,fESTIVOS!$A$2:$A$53))</f>
        <v>0</v>
      </c>
      <c r="I153" s="184">
        <v>46080</v>
      </c>
      <c r="J153" s="99">
        <v>46080</v>
      </c>
      <c r="K153" s="99"/>
      <c r="L153" s="99">
        <v>46083</v>
      </c>
      <c r="M153" s="27">
        <f ca="1">IF(OR(J153="",AND(L153="",TODAY()&lt;J153),AND(L153&lt;&gt;"",L153&lt;J153)),0,
   IF(L153="",
      NETWORKDAYS(J153,TODAY(),fESTIVOS!$A$2:$A$53),
      NETWORKDAYS(J153,L153,fESTIVOS!$A$2:$A$53)
   )
)</f>
        <v>2</v>
      </c>
      <c r="N153" s="28"/>
      <c r="O153" s="98"/>
      <c r="P153" s="100"/>
      <c r="Q153" s="34" t="s">
        <v>894</v>
      </c>
      <c r="R153" s="112" t="s">
        <v>234</v>
      </c>
      <c r="S153" s="154"/>
      <c r="T153" s="97"/>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row>
    <row r="154" spans="1:67" ht="29.25" customHeight="1">
      <c r="A154" s="92" t="s">
        <v>128</v>
      </c>
      <c r="B154" s="105" t="s">
        <v>895</v>
      </c>
      <c r="C154" s="140" t="s">
        <v>896</v>
      </c>
      <c r="D154" s="95" t="s">
        <v>897</v>
      </c>
      <c r="E154" s="96"/>
      <c r="F154" s="111" t="s">
        <v>681</v>
      </c>
      <c r="G154" s="97"/>
      <c r="H154" s="22">
        <f>IF(OR(J154="",K154="",K154&lt;J154),0,NETWORKDAYS(J154,K154,fESTIVOS!$A$2:$A$53))</f>
        <v>0</v>
      </c>
      <c r="I154" s="184">
        <v>46066</v>
      </c>
      <c r="J154" s="99"/>
      <c r="K154" s="99"/>
      <c r="L154" s="99"/>
      <c r="M154" s="27">
        <f ca="1">IF(OR(J154="",AND(L154="",TODAY()&lt;J154),AND(L154&lt;&gt;"",L154&lt;J154)),0,
   IF(L154="",
      NETWORKDAYS(J154,TODAY(),fESTIVOS!$A$2:$A$53),
      NETWORKDAYS(J154,L154,fESTIVOS!$A$2:$A$53)
   )
)</f>
        <v>0</v>
      </c>
      <c r="N154" s="28"/>
      <c r="O154" s="98"/>
      <c r="P154" s="100"/>
      <c r="Q154" s="34" t="s">
        <v>898</v>
      </c>
      <c r="R154" s="112" t="s">
        <v>93</v>
      </c>
      <c r="S154" s="154"/>
      <c r="T154" s="97"/>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row>
    <row r="155" spans="1:67" ht="29.25" customHeight="1">
      <c r="A155" s="55" t="s">
        <v>128</v>
      </c>
      <c r="B155" s="17" t="s">
        <v>899</v>
      </c>
      <c r="C155" s="106" t="s">
        <v>900</v>
      </c>
      <c r="D155" s="155"/>
      <c r="E155" s="96"/>
      <c r="F155" s="20" t="s">
        <v>207</v>
      </c>
      <c r="G155" s="97">
        <v>20</v>
      </c>
      <c r="H155" s="22">
        <f>IF(OR(J155="",K155="",K155&lt;J155),0,NETWORKDAYS(J155,K155,fESTIVOS!$A$2:$A$53))</f>
        <v>0</v>
      </c>
      <c r="I155" s="184">
        <v>45847</v>
      </c>
      <c r="J155" s="99">
        <v>45890</v>
      </c>
      <c r="K155" s="99"/>
      <c r="L155" s="99"/>
      <c r="M155" s="27">
        <f ca="1">IF(OR(J155="",AND(L155="",TODAY()&lt;J155),AND(L155&lt;&gt;"",L155&lt;J155)),0,
   IF(L155="",
      NETWORKDAYS(J155,TODAY(),fESTIVOS!$A$2:$A$53),
      NETWORKDAYS(J155,L155,fESTIVOS!$A$2:$A$53)
   )
)</f>
        <v>135</v>
      </c>
      <c r="N155" s="28"/>
      <c r="O155" s="98"/>
      <c r="P155" s="100"/>
      <c r="Q155" s="34" t="s">
        <v>901</v>
      </c>
      <c r="R155" s="112" t="s">
        <v>93</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37" t="s">
        <v>902</v>
      </c>
      <c r="BG155" s="37"/>
      <c r="BH155" s="37"/>
      <c r="BI155" s="37"/>
      <c r="BJ155" s="37"/>
      <c r="BK155" s="37"/>
      <c r="BL155" s="37"/>
      <c r="BM155" s="37"/>
      <c r="BN155" s="37"/>
      <c r="BO155" s="37"/>
    </row>
    <row r="156" spans="1:67" ht="29.25" customHeight="1">
      <c r="A156" s="55" t="s">
        <v>128</v>
      </c>
      <c r="B156" s="17" t="s">
        <v>903</v>
      </c>
      <c r="C156" s="106" t="s">
        <v>904</v>
      </c>
      <c r="D156" s="95" t="s">
        <v>905</v>
      </c>
      <c r="E156" s="96"/>
      <c r="F156" s="121" t="s">
        <v>76</v>
      </c>
      <c r="G156" s="97">
        <v>100</v>
      </c>
      <c r="H156" s="22">
        <f>IF(OR(J156="",K156="",K156&lt;J156),0,NETWORKDAYS(J156,K156,fESTIVOS!$A$2:$A$53))</f>
        <v>4</v>
      </c>
      <c r="I156" s="191">
        <v>45890</v>
      </c>
      <c r="J156" s="183">
        <v>45922</v>
      </c>
      <c r="K156" s="99">
        <v>45925</v>
      </c>
      <c r="L156" s="99">
        <v>45937</v>
      </c>
      <c r="M156" s="27">
        <f ca="1">IF(OR(J156="",AND(L156="",TODAY()&lt;J156),AND(L156&lt;&gt;"",L156&lt;J156)),0,
   IF(L156="",
      NETWORKDAYS(J156,TODAY(),fESTIVOS!$A$2:$A$53),
      NETWORKDAYS(J156,L156,fESTIVOS!$A$2:$A$53)
   )
)</f>
        <v>12</v>
      </c>
      <c r="N156" s="28"/>
      <c r="O156" s="98">
        <v>45937</v>
      </c>
      <c r="P156" s="100"/>
      <c r="Q156" s="34" t="s">
        <v>906</v>
      </c>
      <c r="R156" s="112" t="s">
        <v>78</v>
      </c>
      <c r="S156" s="97"/>
      <c r="T156" s="97" t="s">
        <v>907</v>
      </c>
      <c r="U156" s="121" t="s">
        <v>908</v>
      </c>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row>
    <row r="157" spans="1:67" ht="29.25" customHeight="1">
      <c r="A157" s="55" t="s">
        <v>128</v>
      </c>
      <c r="B157" s="105" t="s">
        <v>909</v>
      </c>
      <c r="C157" s="106" t="s">
        <v>910</v>
      </c>
      <c r="D157" s="95" t="s">
        <v>911</v>
      </c>
      <c r="E157" s="96"/>
      <c r="F157" s="121" t="s">
        <v>76</v>
      </c>
      <c r="G157" s="97">
        <v>100</v>
      </c>
      <c r="H157" s="22">
        <f>IF(OR(J157="",K157="",K157&lt;J157),0,NETWORKDAYS(J157,K157,fESTIVOS!$A$2:$A$53))</f>
        <v>0</v>
      </c>
      <c r="I157" s="191">
        <v>45958</v>
      </c>
      <c r="J157" s="192">
        <v>45973</v>
      </c>
      <c r="K157" s="99"/>
      <c r="L157" s="99">
        <v>45973</v>
      </c>
      <c r="M157" s="27">
        <f ca="1">IF(OR(J157="",AND(L157="",TODAY()&lt;J157),AND(L157&lt;&gt;"",L157&lt;J157)),0,
   IF(L157="",
      NETWORKDAYS(J157,TODAY(),fESTIVOS!$A$2:$A$53),
      NETWORKDAYS(J157,L157,fESTIVOS!$A$2:$A$53)
   )
)</f>
        <v>1</v>
      </c>
      <c r="N157" s="28"/>
      <c r="O157" s="98"/>
      <c r="P157" s="100"/>
      <c r="Q157" s="34" t="s">
        <v>912</v>
      </c>
      <c r="R157" s="112" t="s">
        <v>78</v>
      </c>
      <c r="S157" s="97"/>
      <c r="T157" s="97"/>
      <c r="U157" s="121" t="s">
        <v>913</v>
      </c>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spans="1:67" ht="29.25" customHeight="1">
      <c r="A158" s="16" t="s">
        <v>67</v>
      </c>
      <c r="B158" s="17" t="s">
        <v>914</v>
      </c>
      <c r="C158" s="106" t="s">
        <v>915</v>
      </c>
      <c r="D158" s="149"/>
      <c r="E158" s="96"/>
      <c r="F158" s="121" t="s">
        <v>76</v>
      </c>
      <c r="G158" s="97">
        <v>100</v>
      </c>
      <c r="H158" s="22">
        <f>IF(OR(J158="",K158="",K158&lt;J158),0,NETWORKDAYS(J158,K158,fESTIVOS!$A$2:$A$53))</f>
        <v>0</v>
      </c>
      <c r="I158" s="98">
        <v>45869</v>
      </c>
      <c r="J158" s="99">
        <v>45870</v>
      </c>
      <c r="K158" s="99"/>
      <c r="L158" s="99">
        <v>45880</v>
      </c>
      <c r="M158" s="27">
        <f ca="1">IF(OR(J158="",AND(L158="",TODAY()&lt;J158),AND(L158&lt;&gt;"",L158&lt;J158)),0,
   IF(L158="",
      NETWORKDAYS(J158,TODAY(),fESTIVOS!$A$2:$A$53),
      NETWORKDAYS(J158,L158,fESTIVOS!$A$2:$A$53)
   )
)</f>
        <v>6</v>
      </c>
      <c r="N158" s="28"/>
      <c r="O158" s="98"/>
      <c r="P158" s="100"/>
      <c r="Q158" s="34" t="s">
        <v>916</v>
      </c>
      <c r="R158" s="31" t="s">
        <v>78</v>
      </c>
      <c r="S158" s="101"/>
      <c r="T158" s="101"/>
      <c r="U158" s="102"/>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spans="1:67" ht="29.25" customHeight="1">
      <c r="A159" s="122" t="s">
        <v>210</v>
      </c>
      <c r="B159" s="105" t="s">
        <v>917</v>
      </c>
      <c r="C159" s="150" t="s">
        <v>918</v>
      </c>
      <c r="D159" s="149"/>
      <c r="E159" s="96"/>
      <c r="F159" s="121" t="s">
        <v>504</v>
      </c>
      <c r="G159" s="97">
        <v>70</v>
      </c>
      <c r="H159" s="22">
        <f>IF(OR(J159="",K159="",K159&lt;J159),0,NETWORKDAYS(J159,K159,fESTIVOS!$A$2:$A$53))</f>
        <v>2</v>
      </c>
      <c r="I159" s="98">
        <v>46084</v>
      </c>
      <c r="J159" s="99">
        <v>46084</v>
      </c>
      <c r="K159" s="99">
        <v>46085</v>
      </c>
      <c r="L159" s="99"/>
      <c r="M159" s="27">
        <f ca="1">IF(OR(J159="",AND(L159="",TODAY()&lt;J159),AND(L159&lt;&gt;"",L159&lt;J159)),0,
   IF(L159="",
      NETWORKDAYS(J159,TODAY(),fESTIVOS!$A$2:$A$53),
      NETWORKDAYS(J159,L159,fESTIVOS!$A$2:$A$53)
   )
)</f>
        <v>4</v>
      </c>
      <c r="N159" s="28"/>
      <c r="O159" s="98"/>
      <c r="P159" s="100"/>
      <c r="Q159" s="34"/>
      <c r="R159" s="112" t="s">
        <v>524</v>
      </c>
      <c r="S159" s="101"/>
      <c r="T159" s="101"/>
      <c r="U159" s="102"/>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37"/>
    </row>
    <row r="160" spans="1:67" ht="29.25" customHeight="1">
      <c r="A160" s="122" t="s">
        <v>210</v>
      </c>
      <c r="B160" s="17" t="s">
        <v>919</v>
      </c>
      <c r="C160" s="106" t="s">
        <v>920</v>
      </c>
      <c r="D160" s="149"/>
      <c r="E160" s="96"/>
      <c r="F160" s="121" t="s">
        <v>654</v>
      </c>
      <c r="G160" s="97">
        <v>85</v>
      </c>
      <c r="H160" s="22">
        <f>IF(OR(J160="",K160="",K160&lt;J160),0,NETWORKDAYS(J160,K160,fESTIVOS!$A$2:$A$53))</f>
        <v>0</v>
      </c>
      <c r="I160" s="98">
        <v>45870</v>
      </c>
      <c r="J160" s="99">
        <v>45870</v>
      </c>
      <c r="K160" s="99"/>
      <c r="L160" s="99">
        <v>45881</v>
      </c>
      <c r="M160" s="27">
        <f ca="1">IF(OR(J160="",AND(L160="",TODAY()&lt;J160),AND(L160&lt;&gt;"",L160&lt;J160)),0,
   IF(L160="",
      NETWORKDAYS(J160,TODAY(),fESTIVOS!$A$2:$A$53),
      NETWORKDAYS(J160,L160,fESTIVOS!$A$2:$A$53)
   )
)</f>
        <v>7</v>
      </c>
      <c r="N160" s="28"/>
      <c r="O160" s="98">
        <v>45881</v>
      </c>
      <c r="P160" s="100"/>
      <c r="Q160" s="34" t="s">
        <v>921</v>
      </c>
      <c r="R160" s="31" t="s">
        <v>93</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37" t="s">
        <v>922</v>
      </c>
    </row>
    <row r="161" spans="1:67" ht="29.25" customHeight="1">
      <c r="A161" s="16" t="s">
        <v>210</v>
      </c>
      <c r="B161" s="105" t="s">
        <v>923</v>
      </c>
      <c r="C161" s="106" t="s">
        <v>924</v>
      </c>
      <c r="D161" s="149"/>
      <c r="E161" s="96"/>
      <c r="F161" s="121" t="s">
        <v>76</v>
      </c>
      <c r="G161" s="97">
        <v>100</v>
      </c>
      <c r="H161" s="22">
        <f>IF(OR(J161="",K161="",K161&lt;J161),0,NETWORKDAYS(J161,K161,fESTIVOS!$A$2:$A$53))</f>
        <v>0</v>
      </c>
      <c r="I161" s="98">
        <v>45917</v>
      </c>
      <c r="J161" s="99">
        <v>45918</v>
      </c>
      <c r="K161" s="99"/>
      <c r="L161" s="99">
        <v>45919</v>
      </c>
      <c r="M161" s="27">
        <f ca="1">IF(OR(J161="",AND(L161="",TODAY()&lt;J161),AND(L161&lt;&gt;"",L161&lt;J161)),0,
   IF(L161="",
      NETWORKDAYS(J161,TODAY(),fESTIVOS!$A$2:$A$53),
      NETWORKDAYS(J161,L161,fESTIVOS!$A$2:$A$53)
   )
)</f>
        <v>2</v>
      </c>
      <c r="N161" s="28"/>
      <c r="O161" s="98"/>
      <c r="P161" s="100"/>
      <c r="Q161" s="34" t="s">
        <v>925</v>
      </c>
      <c r="R161" s="31" t="s">
        <v>78</v>
      </c>
      <c r="S161" s="101"/>
      <c r="T161" s="101"/>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37"/>
    </row>
    <row r="162" spans="1:67" ht="29.25" customHeight="1">
      <c r="A162" s="16" t="s">
        <v>210</v>
      </c>
      <c r="B162" s="105" t="s">
        <v>926</v>
      </c>
      <c r="C162" s="106" t="s">
        <v>927</v>
      </c>
      <c r="D162" s="149"/>
      <c r="E162" s="96"/>
      <c r="F162" s="121" t="s">
        <v>76</v>
      </c>
      <c r="G162" s="97">
        <v>100</v>
      </c>
      <c r="H162" s="22">
        <f>IF(OR(J162="",K162="",K162&lt;J162),0,NETWORKDAYS(J162,K162,fESTIVOS!$A$2:$A$53))</f>
        <v>0</v>
      </c>
      <c r="I162" s="98">
        <v>45912</v>
      </c>
      <c r="J162" s="99">
        <v>45925</v>
      </c>
      <c r="K162" s="99"/>
      <c r="L162" s="99">
        <v>45992</v>
      </c>
      <c r="M162" s="27">
        <f ca="1">IF(OR(J162="",AND(L162="",TODAY()&lt;J162),AND(L162&lt;&gt;"",L162&lt;J162)),0,
   IF(L162="",
      NETWORKDAYS(J162,TODAY(),fESTIVOS!$A$2:$A$53),
      NETWORKDAYS(J162,L162,fESTIVOS!$A$2:$A$53)
   )
)</f>
        <v>45</v>
      </c>
      <c r="N162" s="28"/>
      <c r="O162" s="98"/>
      <c r="P162" s="100">
        <v>45992</v>
      </c>
      <c r="Q162" s="34" t="s">
        <v>928</v>
      </c>
      <c r="R162" s="31" t="s">
        <v>78</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37"/>
    </row>
    <row r="163" spans="1:67" ht="29.25" customHeight="1">
      <c r="A163" s="16" t="s">
        <v>210</v>
      </c>
      <c r="B163" s="105" t="s">
        <v>929</v>
      </c>
      <c r="C163" s="150" t="s">
        <v>930</v>
      </c>
      <c r="D163" s="149"/>
      <c r="E163" s="96"/>
      <c r="F163" s="121" t="s">
        <v>76</v>
      </c>
      <c r="G163" s="97">
        <v>100</v>
      </c>
      <c r="H163" s="22">
        <f>IF(OR(J163="",K163="",K163&lt;J163),0,NETWORKDAYS(J163,K163,fESTIVOS!$A$2:$A$53))</f>
        <v>0</v>
      </c>
      <c r="I163" s="98">
        <v>45953</v>
      </c>
      <c r="J163" s="99">
        <v>45960</v>
      </c>
      <c r="K163" s="99"/>
      <c r="L163" s="99">
        <v>45971</v>
      </c>
      <c r="M163" s="27">
        <f ca="1">IF(OR(J163="",AND(L163="",TODAY()&lt;J163),AND(L163&lt;&gt;"",L163&lt;J163)),0,
   IF(L163="",
      NETWORKDAYS(J163,TODAY(),fESTIVOS!$A$2:$A$53),
      NETWORKDAYS(J163,L163,fESTIVOS!$A$2:$A$53)
   )
)</f>
        <v>7</v>
      </c>
      <c r="N163" s="28"/>
      <c r="O163" s="98"/>
      <c r="P163" s="100"/>
      <c r="Q163" s="34" t="s">
        <v>931</v>
      </c>
      <c r="R163" s="112" t="s">
        <v>78</v>
      </c>
      <c r="S163" s="101"/>
      <c r="T163" s="101"/>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37"/>
    </row>
    <row r="164" spans="1:67" ht="29.25" customHeight="1">
      <c r="A164" s="16" t="s">
        <v>210</v>
      </c>
      <c r="B164" s="105" t="s">
        <v>932</v>
      </c>
      <c r="C164" s="106" t="s">
        <v>933</v>
      </c>
      <c r="D164" s="149"/>
      <c r="E164" s="96"/>
      <c r="F164" s="121" t="s">
        <v>76</v>
      </c>
      <c r="G164" s="97">
        <v>100</v>
      </c>
      <c r="H164" s="22">
        <f>IF(OR(J164="",K164="",K164&lt;J164),0,NETWORKDAYS(J164,K164,fESTIVOS!$A$2:$A$53))</f>
        <v>0</v>
      </c>
      <c r="I164" s="98">
        <v>45958</v>
      </c>
      <c r="J164" s="99">
        <v>45959</v>
      </c>
      <c r="K164" s="99"/>
      <c r="L164" s="99">
        <v>45960</v>
      </c>
      <c r="M164" s="27">
        <f ca="1">IF(OR(J164="",AND(L164="",TODAY()&lt;J164),AND(L164&lt;&gt;"",L164&lt;J164)),0,
   IF(L164="",
      NETWORKDAYS(J164,TODAY(),fESTIVOS!$A$2:$A$53),
      NETWORKDAYS(J164,L164,fESTIVOS!$A$2:$A$53)
   )
)</f>
        <v>2</v>
      </c>
      <c r="N164" s="28"/>
      <c r="O164" s="98"/>
      <c r="P164" s="100"/>
      <c r="Q164" s="34" t="s">
        <v>934</v>
      </c>
      <c r="R164" s="112" t="s">
        <v>78</v>
      </c>
      <c r="S164" s="101"/>
      <c r="T164" s="101"/>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37"/>
    </row>
    <row r="165" spans="1:67" ht="29.25" customHeight="1">
      <c r="A165" s="16" t="s">
        <v>210</v>
      </c>
      <c r="B165" s="105" t="s">
        <v>935</v>
      </c>
      <c r="C165" s="150" t="s">
        <v>936</v>
      </c>
      <c r="D165" s="149"/>
      <c r="E165" s="96"/>
      <c r="F165" s="121" t="s">
        <v>76</v>
      </c>
      <c r="G165" s="97">
        <v>100</v>
      </c>
      <c r="H165" s="22">
        <f>IF(OR(J165="",K165="",K165&lt;J165),0,NETWORKDAYS(J165,K165,fESTIVOS!$A$2:$A$53))</f>
        <v>0</v>
      </c>
      <c r="I165" s="98">
        <v>45954</v>
      </c>
      <c r="J165" s="99">
        <v>45992</v>
      </c>
      <c r="K165" s="99"/>
      <c r="L165" s="99">
        <v>45992</v>
      </c>
      <c r="M165" s="27">
        <f ca="1">IF(OR(J165="",AND(L165="",TODAY()&lt;J165),AND(L165&lt;&gt;"",L165&lt;J165)),0,
   IF(L165="",
      NETWORKDAYS(J165,TODAY(),fESTIVOS!$A$2:$A$53),
      NETWORKDAYS(J165,L165,fESTIVOS!$A$2:$A$53)
   )
)</f>
        <v>1</v>
      </c>
      <c r="N165" s="28"/>
      <c r="O165" s="98"/>
      <c r="P165" s="100"/>
      <c r="Q165" s="34" t="s">
        <v>937</v>
      </c>
      <c r="R165" s="112" t="s">
        <v>78</v>
      </c>
      <c r="S165" s="101"/>
      <c r="T165" s="101"/>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37"/>
    </row>
    <row r="166" spans="1:67" ht="29.25" customHeight="1">
      <c r="A166" s="16" t="s">
        <v>210</v>
      </c>
      <c r="B166" s="105" t="s">
        <v>938</v>
      </c>
      <c r="C166" s="140" t="s">
        <v>939</v>
      </c>
      <c r="D166" s="149" t="s">
        <v>940</v>
      </c>
      <c r="E166" s="96"/>
      <c r="F166" s="121" t="s">
        <v>76</v>
      </c>
      <c r="G166" s="97">
        <v>100</v>
      </c>
      <c r="H166" s="22">
        <f>IF(OR(J166="",K166="",K166&lt;J166),0,NETWORKDAYS(J166,K166,fESTIVOS!$A$2:$A$53))</f>
        <v>0</v>
      </c>
      <c r="I166" s="98">
        <v>45972</v>
      </c>
      <c r="J166" s="99">
        <v>45974</v>
      </c>
      <c r="K166" s="99"/>
      <c r="L166" s="99">
        <v>45980</v>
      </c>
      <c r="M166" s="27">
        <f ca="1">IF(OR(J166="",AND(L166="",TODAY()&lt;J166),AND(L166&lt;&gt;"",L166&lt;J166)),0,
   IF(L166="",
      NETWORKDAYS(J166,TODAY(),fESTIVOS!$A$2:$A$53),
      NETWORKDAYS(J166,L166,fESTIVOS!$A$2:$A$53)
   )
)</f>
        <v>4</v>
      </c>
      <c r="N166" s="28"/>
      <c r="O166" s="98"/>
      <c r="P166" s="100"/>
      <c r="Q166" s="34" t="s">
        <v>941</v>
      </c>
      <c r="R166" s="112" t="s">
        <v>78</v>
      </c>
      <c r="S166" s="101"/>
      <c r="T166" s="101"/>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37"/>
    </row>
    <row r="167" spans="1:67" ht="29.25" customHeight="1">
      <c r="A167" s="16" t="s">
        <v>210</v>
      </c>
      <c r="B167" s="193" t="s">
        <v>942</v>
      </c>
      <c r="C167" s="106" t="s">
        <v>943</v>
      </c>
      <c r="D167" s="149"/>
      <c r="E167" s="96"/>
      <c r="F167" s="121" t="s">
        <v>76</v>
      </c>
      <c r="G167" s="97">
        <v>100</v>
      </c>
      <c r="H167" s="22">
        <f>IF(OR(J167="",K167="",K167&lt;J167),0,NETWORKDAYS(J167,K167,fESTIVOS!$A$2:$A$53))</f>
        <v>0</v>
      </c>
      <c r="I167" s="98">
        <v>45937</v>
      </c>
      <c r="J167" s="99">
        <v>45937</v>
      </c>
      <c r="K167" s="99"/>
      <c r="L167" s="99"/>
      <c r="M167" s="27">
        <f ca="1">IF(OR(J167="",AND(L167="",TODAY()&lt;J167),AND(L167&lt;&gt;"",L167&lt;J167)),0,
   IF(L167="",
      NETWORKDAYS(J167,TODAY(),fESTIVOS!$A$2:$A$53),
      NETWORKDAYS(J167,L167,fESTIVOS!$A$2:$A$53)
   )
)</f>
        <v>102</v>
      </c>
      <c r="N167" s="28"/>
      <c r="O167" s="98"/>
      <c r="P167" s="100"/>
      <c r="Q167" s="34" t="s">
        <v>944</v>
      </c>
      <c r="R167" s="31" t="s">
        <v>78</v>
      </c>
      <c r="S167" s="101"/>
      <c r="T167" s="101"/>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37"/>
    </row>
    <row r="168" spans="1:67" ht="29.25" customHeight="1">
      <c r="A168" s="16" t="s">
        <v>210</v>
      </c>
      <c r="B168" s="193" t="s">
        <v>945</v>
      </c>
      <c r="C168" s="106" t="s">
        <v>946</v>
      </c>
      <c r="D168" s="149"/>
      <c r="E168" s="96"/>
      <c r="F168" s="121" t="s">
        <v>76</v>
      </c>
      <c r="G168" s="97">
        <v>100</v>
      </c>
      <c r="H168" s="22">
        <f>IF(OR(J168="",K168="",K168&lt;J168),0,NETWORKDAYS(J168,K168,fESTIVOS!$A$2:$A$53))</f>
        <v>0</v>
      </c>
      <c r="I168" s="98">
        <v>45945</v>
      </c>
      <c r="J168" s="99">
        <v>45945</v>
      </c>
      <c r="K168" s="99"/>
      <c r="L168" s="99">
        <v>45945</v>
      </c>
      <c r="M168" s="27">
        <f ca="1">IF(OR(J168="",AND(L168="",TODAY()&lt;J168),AND(L168&lt;&gt;"",L168&lt;J168)),0,
   IF(L168="",
      NETWORKDAYS(J168,TODAY(),fESTIVOS!$A$2:$A$53),
      NETWORKDAYS(J168,L168,fESTIVOS!$A$2:$A$53)
   )
)</f>
        <v>1</v>
      </c>
      <c r="N168" s="28"/>
      <c r="O168" s="98"/>
      <c r="P168" s="100"/>
      <c r="Q168" s="34"/>
      <c r="R168" s="31" t="s">
        <v>78</v>
      </c>
      <c r="S168" s="101"/>
      <c r="T168" s="101"/>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37"/>
    </row>
    <row r="169" spans="1:67" ht="29.25" customHeight="1">
      <c r="A169" s="55" t="s">
        <v>128</v>
      </c>
      <c r="B169" s="17" t="s">
        <v>947</v>
      </c>
      <c r="C169" s="106" t="s">
        <v>948</v>
      </c>
      <c r="D169" s="95"/>
      <c r="E169" s="96"/>
      <c r="F169" s="121" t="s">
        <v>76</v>
      </c>
      <c r="G169" s="97">
        <v>100</v>
      </c>
      <c r="H169" s="22">
        <f>IF(OR(J169="",K169="",K169&lt;J169),0,NETWORKDAYS(J169,K169,fESTIVOS!$A$2:$A$53))</f>
        <v>0</v>
      </c>
      <c r="I169" s="98">
        <v>45869</v>
      </c>
      <c r="J169" s="99">
        <v>45869</v>
      </c>
      <c r="K169" s="99"/>
      <c r="L169" s="99">
        <v>45870</v>
      </c>
      <c r="M169" s="27">
        <f ca="1">IF(OR(J169="",AND(L169="",TODAY()&lt;J169),AND(L169&lt;&gt;"",L169&lt;J169)),0,
   IF(L169="",
      NETWORKDAYS(J169,TODAY(),fESTIVOS!$A$2:$A$53),
      NETWORKDAYS(J169,L169,fESTIVOS!$A$2:$A$53)
   )
)</f>
        <v>2</v>
      </c>
      <c r="N169" s="28"/>
      <c r="O169" s="98"/>
      <c r="P169" s="100"/>
      <c r="Q169" s="34" t="s">
        <v>949</v>
      </c>
      <c r="R169" s="31" t="s">
        <v>78</v>
      </c>
      <c r="S169" s="101"/>
      <c r="T169" s="101"/>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spans="1:67" ht="29.25" customHeight="1">
      <c r="A170" s="55" t="s">
        <v>128</v>
      </c>
      <c r="B170" s="17" t="s">
        <v>950</v>
      </c>
      <c r="C170" s="106" t="s">
        <v>951</v>
      </c>
      <c r="D170" s="149"/>
      <c r="E170" s="96"/>
      <c r="F170" s="121" t="s">
        <v>76</v>
      </c>
      <c r="G170" s="97">
        <v>100</v>
      </c>
      <c r="H170" s="22">
        <f>IF(OR(J170="",K170="",K170&lt;J170),0,NETWORKDAYS(J170,K170,fESTIVOS!$A$2:$A$53))</f>
        <v>0</v>
      </c>
      <c r="I170" s="98">
        <v>45870</v>
      </c>
      <c r="J170" s="99">
        <v>45873</v>
      </c>
      <c r="K170" s="99"/>
      <c r="L170" s="99">
        <v>45873</v>
      </c>
      <c r="M170" s="27">
        <f ca="1">IF(OR(J170="",AND(L170="",TODAY()&lt;J170),AND(L170&lt;&gt;"",L170&lt;J170)),0,
   IF(L170="",
      NETWORKDAYS(J170,TODAY(),fESTIVOS!$A$2:$A$53),
      NETWORKDAYS(J170,L170,fESTIVOS!$A$2:$A$53)
   )
)</f>
        <v>1</v>
      </c>
      <c r="N170" s="28"/>
      <c r="O170" s="98">
        <v>45873</v>
      </c>
      <c r="P170" s="100">
        <v>45873</v>
      </c>
      <c r="Q170" s="34" t="s">
        <v>952</v>
      </c>
      <c r="R170" s="31" t="s">
        <v>78</v>
      </c>
      <c r="S170" s="101"/>
      <c r="T170" s="101"/>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37" t="s">
        <v>953</v>
      </c>
    </row>
    <row r="171" spans="1:67" ht="29.25" customHeight="1">
      <c r="A171" s="55" t="s">
        <v>128</v>
      </c>
      <c r="B171" s="17" t="s">
        <v>954</v>
      </c>
      <c r="C171" s="106" t="s">
        <v>955</v>
      </c>
      <c r="D171" s="95"/>
      <c r="E171" s="96"/>
      <c r="F171" s="121" t="s">
        <v>76</v>
      </c>
      <c r="G171" s="97">
        <v>100</v>
      </c>
      <c r="H171" s="22">
        <f>IF(OR(J171="",K171="",K171&lt;J171),0,NETWORKDAYS(J171,K171,fESTIVOS!$A$2:$A$53))</f>
        <v>0</v>
      </c>
      <c r="I171" s="98">
        <v>45870</v>
      </c>
      <c r="J171" s="99">
        <v>45874</v>
      </c>
      <c r="K171" s="99"/>
      <c r="L171" s="99">
        <v>45875</v>
      </c>
      <c r="M171" s="27">
        <f ca="1">IF(OR(J171="",AND(L171="",TODAY()&lt;J171),AND(L171&lt;&gt;"",L171&lt;J171)),0,
   IF(L171="",
      NETWORKDAYS(J171,TODAY(),fESTIVOS!$A$2:$A$53),
      NETWORKDAYS(J171,L171,fESTIVOS!$A$2:$A$53)
   )
)</f>
        <v>2</v>
      </c>
      <c r="N171" s="28"/>
      <c r="O171" s="176">
        <v>45875</v>
      </c>
      <c r="P171" s="100">
        <v>45883</v>
      </c>
      <c r="Q171" s="34" t="s">
        <v>956</v>
      </c>
      <c r="R171" s="31" t="s">
        <v>78</v>
      </c>
      <c r="S171" s="82"/>
      <c r="T171" s="82" t="s">
        <v>957</v>
      </c>
      <c r="U171" s="121" t="s">
        <v>958</v>
      </c>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37" t="s">
        <v>959</v>
      </c>
    </row>
    <row r="172" spans="1:67" ht="29.25" customHeight="1">
      <c r="A172" s="55" t="s">
        <v>128</v>
      </c>
      <c r="B172" s="17" t="s">
        <v>960</v>
      </c>
      <c r="C172" s="106" t="s">
        <v>961</v>
      </c>
      <c r="D172" s="95" t="s">
        <v>962</v>
      </c>
      <c r="E172" s="96"/>
      <c r="F172" s="20" t="s">
        <v>76</v>
      </c>
      <c r="G172" s="97">
        <v>100</v>
      </c>
      <c r="H172" s="22">
        <f>IF(OR(J172="",K172="",K172&lt;J172),0,NETWORKDAYS(J172,K172,fESTIVOS!$A$2:$A$53))</f>
        <v>0</v>
      </c>
      <c r="I172" s="98">
        <v>45870</v>
      </c>
      <c r="J172" s="99">
        <v>45890</v>
      </c>
      <c r="K172" s="99"/>
      <c r="L172" s="99">
        <v>45916</v>
      </c>
      <c r="M172" s="27">
        <f ca="1">IF(OR(J172="",AND(L172="",TODAY()&lt;J172),AND(L172&lt;&gt;"",L172&lt;J172)),0,
   IF(L172="",
      NETWORKDAYS(J172,TODAY(),fESTIVOS!$A$2:$A$53),
      NETWORKDAYS(J172,L172,fESTIVOS!$A$2:$A$53)
   )
)</f>
        <v>19</v>
      </c>
      <c r="N172" s="28"/>
      <c r="O172" s="98"/>
      <c r="P172" s="100"/>
      <c r="Q172" s="34" t="s">
        <v>963</v>
      </c>
      <c r="R172" s="31" t="s">
        <v>78</v>
      </c>
      <c r="S172" s="101"/>
      <c r="T172" s="101"/>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spans="1:67" ht="29.25" customHeight="1">
      <c r="A173" s="55" t="s">
        <v>128</v>
      </c>
      <c r="B173" s="17" t="s">
        <v>964</v>
      </c>
      <c r="C173" s="106" t="s">
        <v>965</v>
      </c>
      <c r="D173" s="95"/>
      <c r="E173" s="96"/>
      <c r="F173" s="121" t="s">
        <v>76</v>
      </c>
      <c r="G173" s="97">
        <v>100</v>
      </c>
      <c r="H173" s="22">
        <f>IF(OR(J173="",K173="",K173&lt;J173),0,NETWORKDAYS(J173,K173,fESTIVOS!$A$2:$A$53))</f>
        <v>0</v>
      </c>
      <c r="I173" s="98">
        <v>45870</v>
      </c>
      <c r="J173" s="99">
        <v>45917</v>
      </c>
      <c r="K173" s="99"/>
      <c r="L173" s="99">
        <v>45918</v>
      </c>
      <c r="M173" s="27">
        <f ca="1">IF(OR(J173="",AND(L173="",TODAY()&lt;J173),AND(L173&lt;&gt;"",L173&lt;J173)),0,
   IF(L173="",
      NETWORKDAYS(J173,TODAY(),fESTIVOS!$A$2:$A$53),
      NETWORKDAYS(J173,L173,fESTIVOS!$A$2:$A$53)
   )
)</f>
        <v>2</v>
      </c>
      <c r="N173" s="28"/>
      <c r="O173" s="98">
        <v>45918</v>
      </c>
      <c r="P173" s="100"/>
      <c r="Q173" s="34" t="s">
        <v>966</v>
      </c>
      <c r="R173" s="112" t="s">
        <v>78</v>
      </c>
      <c r="S173" s="101"/>
      <c r="T173" s="101"/>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spans="1:67" ht="29.25" customHeight="1">
      <c r="A174" s="55" t="s">
        <v>128</v>
      </c>
      <c r="B174" s="105" t="s">
        <v>967</v>
      </c>
      <c r="C174" s="106" t="s">
        <v>968</v>
      </c>
      <c r="D174" s="95"/>
      <c r="E174" s="96"/>
      <c r="F174" s="121" t="s">
        <v>76</v>
      </c>
      <c r="G174" s="97">
        <v>100</v>
      </c>
      <c r="H174" s="22">
        <f>IF(OR(J174="",K174="",K174&lt;J174),0,NETWORKDAYS(J174,K174,fESTIVOS!$A$2:$A$53))</f>
        <v>0</v>
      </c>
      <c r="I174" s="98">
        <v>45904</v>
      </c>
      <c r="J174" s="99">
        <v>45904</v>
      </c>
      <c r="K174" s="99"/>
      <c r="L174" s="99">
        <v>45904</v>
      </c>
      <c r="M174" s="27">
        <f ca="1">IF(OR(J174="",AND(L174="",TODAY()&lt;J174),AND(L174&lt;&gt;"",L174&lt;J174)),0,
   IF(L174="",
      NETWORKDAYS(J174,TODAY(),fESTIVOS!$A$2:$A$53),
      NETWORKDAYS(J174,L174,fESTIVOS!$A$2:$A$53)
   )
)</f>
        <v>1</v>
      </c>
      <c r="N174" s="28"/>
      <c r="O174" s="98"/>
      <c r="P174" s="100"/>
      <c r="Q174" s="34" t="s">
        <v>969</v>
      </c>
      <c r="R174" s="112" t="s">
        <v>78</v>
      </c>
      <c r="S174" s="101"/>
      <c r="T174" s="101"/>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spans="1:67" ht="29.25" customHeight="1">
      <c r="A175" s="16" t="s">
        <v>67</v>
      </c>
      <c r="B175" s="17" t="s">
        <v>970</v>
      </c>
      <c r="C175" s="106" t="s">
        <v>971</v>
      </c>
      <c r="D175" s="95"/>
      <c r="E175" s="96"/>
      <c r="F175" s="121" t="s">
        <v>76</v>
      </c>
      <c r="G175" s="97">
        <v>100</v>
      </c>
      <c r="H175" s="22">
        <f>IF(OR(J175="",K175="",K175&lt;J175),0,NETWORKDAYS(J175,K175,fESTIVOS!$A$2:$A$53))</f>
        <v>0</v>
      </c>
      <c r="I175" s="98">
        <v>45870</v>
      </c>
      <c r="J175" s="99">
        <v>45870</v>
      </c>
      <c r="K175" s="99"/>
      <c r="L175" s="99">
        <v>45870</v>
      </c>
      <c r="M175" s="27">
        <f ca="1">IF(OR(J175="",AND(L175="",TODAY()&lt;J175),AND(L175&lt;&gt;"",L175&lt;J175)),0,
   IF(L175="",
      NETWORKDAYS(J175,TODAY(),fESTIVOS!$A$2:$A$53),
      NETWORKDAYS(J175,L175,fESTIVOS!$A$2:$A$53)
   )
)</f>
        <v>1</v>
      </c>
      <c r="N175" s="28"/>
      <c r="O175" s="98"/>
      <c r="P175" s="100"/>
      <c r="Q175" s="34" t="s">
        <v>972</v>
      </c>
      <c r="R175" s="31" t="s">
        <v>78</v>
      </c>
      <c r="S175" s="101"/>
      <c r="T175" s="101"/>
      <c r="U175" s="102"/>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spans="1:67" ht="29.25" customHeight="1">
      <c r="A176" s="16" t="s">
        <v>67</v>
      </c>
      <c r="B176" s="17" t="s">
        <v>973</v>
      </c>
      <c r="C176" s="106" t="s">
        <v>974</v>
      </c>
      <c r="D176" s="95"/>
      <c r="E176" s="96"/>
      <c r="F176" s="20" t="s">
        <v>76</v>
      </c>
      <c r="G176" s="97">
        <v>100</v>
      </c>
      <c r="H176" s="22">
        <f>IF(OR(J176="",K176="",K176&lt;J176),0,NETWORKDAYS(J176,K176,fESTIVOS!$A$2:$A$53))</f>
        <v>14</v>
      </c>
      <c r="I176" s="98">
        <v>45870</v>
      </c>
      <c r="J176" s="99">
        <v>45870</v>
      </c>
      <c r="K176" s="99">
        <v>45891</v>
      </c>
      <c r="L176" s="99">
        <v>45898</v>
      </c>
      <c r="M176" s="27">
        <f ca="1">IF(OR(J176="",AND(L176="",TODAY()&lt;J176),AND(L176&lt;&gt;"",L176&lt;J176)),0,
   IF(L176="",
      NETWORKDAYS(J176,TODAY(),fESTIVOS!$A$2:$A$53),
      NETWORKDAYS(J176,L176,fESTIVOS!$A$2:$A$53)
   )
)</f>
        <v>19</v>
      </c>
      <c r="N176" s="28"/>
      <c r="O176" s="98"/>
      <c r="P176" s="100">
        <v>45901</v>
      </c>
      <c r="Q176" s="34" t="s">
        <v>975</v>
      </c>
      <c r="R176" s="112" t="s">
        <v>78</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spans="1:67" ht="29.25" customHeight="1">
      <c r="A177" s="16" t="s">
        <v>67</v>
      </c>
      <c r="B177" s="17" t="s">
        <v>976</v>
      </c>
      <c r="C177" s="106" t="s">
        <v>977</v>
      </c>
      <c r="D177" s="95"/>
      <c r="E177" s="96"/>
      <c r="F177" s="121" t="s">
        <v>76</v>
      </c>
      <c r="G177" s="97">
        <v>100</v>
      </c>
      <c r="H177" s="22">
        <f>IF(OR(J177="",K177="",K177&lt;J177),0,NETWORKDAYS(J177,K177,fESTIVOS!$A$2:$A$53))</f>
        <v>0</v>
      </c>
      <c r="I177" s="98">
        <v>45873</v>
      </c>
      <c r="J177" s="99">
        <v>45873</v>
      </c>
      <c r="K177" s="99"/>
      <c r="L177" s="99">
        <v>45874</v>
      </c>
      <c r="M177" s="27">
        <f ca="1">IF(OR(J177="",AND(L177="",TODAY()&lt;J177),AND(L177&lt;&gt;"",L177&lt;J177)),0,
   IF(L177="",
      NETWORKDAYS(J177,TODAY(),fESTIVOS!$A$2:$A$53),
      NETWORKDAYS(J177,L177,fESTIVOS!$A$2:$A$53)
   )
)</f>
        <v>2</v>
      </c>
      <c r="N177" s="28"/>
      <c r="O177" s="98"/>
      <c r="P177" s="100">
        <v>45874</v>
      </c>
      <c r="Q177" s="34" t="s">
        <v>978</v>
      </c>
      <c r="R177" s="31" t="s">
        <v>78</v>
      </c>
      <c r="S177" s="101"/>
      <c r="T177" s="101"/>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spans="1:67" ht="29.25" customHeight="1">
      <c r="A178" s="55" t="s">
        <v>128</v>
      </c>
      <c r="B178" s="17" t="s">
        <v>979</v>
      </c>
      <c r="C178" s="106" t="s">
        <v>980</v>
      </c>
      <c r="D178" s="95"/>
      <c r="E178" s="96"/>
      <c r="F178" s="121" t="s">
        <v>76</v>
      </c>
      <c r="G178" s="97">
        <v>100</v>
      </c>
      <c r="H178" s="22">
        <f>IF(OR(J178="",K178="",K178&lt;J178),0,NETWORKDAYS(J178,K178,fESTIVOS!$A$2:$A$53))</f>
        <v>0</v>
      </c>
      <c r="I178" s="98">
        <v>45874</v>
      </c>
      <c r="J178" s="99">
        <v>45877</v>
      </c>
      <c r="K178" s="99"/>
      <c r="L178" s="99">
        <v>45877</v>
      </c>
      <c r="M178" s="27">
        <f ca="1">IF(OR(J178="",AND(L178="",TODAY()&lt;J178),AND(L178&lt;&gt;"",L178&lt;J178)),0,
   IF(L178="",
      NETWORKDAYS(J178,TODAY(),fESTIVOS!$A$2:$A$53),
      NETWORKDAYS(J178,L178,fESTIVOS!$A$2:$A$53)
   )
)</f>
        <v>1</v>
      </c>
      <c r="N178" s="28"/>
      <c r="O178" s="98">
        <v>45877</v>
      </c>
      <c r="P178" s="100">
        <v>45891</v>
      </c>
      <c r="Q178" s="34" t="s">
        <v>981</v>
      </c>
      <c r="R178" s="31" t="s">
        <v>78</v>
      </c>
      <c r="S178" s="101"/>
      <c r="T178" s="101"/>
      <c r="U178" s="19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spans="1:67" ht="29.25" customHeight="1">
      <c r="A179" s="55" t="s">
        <v>157</v>
      </c>
      <c r="B179" s="17" t="s">
        <v>982</v>
      </c>
      <c r="C179" s="106" t="s">
        <v>983</v>
      </c>
      <c r="D179" s="149"/>
      <c r="E179" s="96"/>
      <c r="F179" s="20" t="s">
        <v>76</v>
      </c>
      <c r="G179" s="97">
        <v>100</v>
      </c>
      <c r="H179" s="22">
        <f>IF(OR(J179="",K179="",K179&lt;J179),0,NETWORKDAYS(J179,K179,fESTIVOS!$A$2:$A$53))</f>
        <v>0</v>
      </c>
      <c r="I179" s="98">
        <v>45874</v>
      </c>
      <c r="J179" s="99">
        <v>45875</v>
      </c>
      <c r="K179" s="99"/>
      <c r="L179" s="99">
        <v>45880</v>
      </c>
      <c r="M179" s="27">
        <f ca="1">IF(OR(J179="",AND(L179="",TODAY()&lt;J179),AND(L179&lt;&gt;"",L179&lt;J179)),0,
   IF(L179="",
      NETWORKDAYS(J179,TODAY(),fESTIVOS!$A$2:$A$53),
      NETWORKDAYS(J179,L179,fESTIVOS!$A$2:$A$53)
   )
)</f>
        <v>3</v>
      </c>
      <c r="N179" s="28"/>
      <c r="O179" s="98"/>
      <c r="P179" s="100"/>
      <c r="Q179" s="34" t="s">
        <v>984</v>
      </c>
      <c r="R179" s="31" t="s">
        <v>78</v>
      </c>
      <c r="S179" s="101"/>
      <c r="T179" s="101"/>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spans="1:67" ht="29.25" customHeight="1">
      <c r="A180" s="55" t="s">
        <v>157</v>
      </c>
      <c r="B180" s="17" t="s">
        <v>985</v>
      </c>
      <c r="C180" s="106" t="s">
        <v>986</v>
      </c>
      <c r="D180" s="95"/>
      <c r="E180" s="96"/>
      <c r="F180" s="121" t="s">
        <v>76</v>
      </c>
      <c r="G180" s="97">
        <v>100</v>
      </c>
      <c r="H180" s="22">
        <f>IF(OR(J180="",K180="",K180&lt;J180),0,NETWORKDAYS(J180,K180,fESTIVOS!$A$2:$A$53))</f>
        <v>0</v>
      </c>
      <c r="I180" s="98">
        <v>45873</v>
      </c>
      <c r="J180" s="99">
        <v>45874</v>
      </c>
      <c r="K180" s="99"/>
      <c r="L180" s="99">
        <v>45874</v>
      </c>
      <c r="M180" s="27">
        <f ca="1">IF(OR(J180="",AND(L180="",TODAY()&lt;J180),AND(L180&lt;&gt;"",L180&lt;J180)),0,
   IF(L180="",
      NETWORKDAYS(J180,TODAY(),fESTIVOS!$A$2:$A$53),
      NETWORKDAYS(J180,L180,fESTIVOS!$A$2:$A$53)
   )
)</f>
        <v>1</v>
      </c>
      <c r="N180" s="28"/>
      <c r="O180" s="98"/>
      <c r="P180" s="100"/>
      <c r="Q180" s="34" t="s">
        <v>987</v>
      </c>
      <c r="R180" s="31" t="s">
        <v>78</v>
      </c>
      <c r="S180" s="101"/>
      <c r="T180" s="101"/>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spans="1:67" ht="29.25" customHeight="1">
      <c r="A181" s="92" t="s">
        <v>157</v>
      </c>
      <c r="B181" s="105" t="s">
        <v>988</v>
      </c>
      <c r="C181" s="140" t="s">
        <v>989</v>
      </c>
      <c r="D181" s="114" t="s">
        <v>990</v>
      </c>
      <c r="E181" s="115"/>
      <c r="F181" s="116" t="s">
        <v>76</v>
      </c>
      <c r="G181" s="58">
        <v>100</v>
      </c>
      <c r="H181" s="22">
        <f>IF(OR(J181="",K181="",K181&lt;J181),0,NETWORKDAYS(J181,K181,fESTIVOS!$A$2:$A$53))</f>
        <v>1</v>
      </c>
      <c r="I181" s="81">
        <v>46085</v>
      </c>
      <c r="J181" s="60">
        <v>46085</v>
      </c>
      <c r="K181" s="60">
        <v>46085</v>
      </c>
      <c r="L181" s="60">
        <v>46085</v>
      </c>
      <c r="M181" s="27">
        <f ca="1">IF(OR(J181="",AND(L181="",TODAY()&lt;J181),AND(L181&lt;&gt;"",L181&lt;J181)),0,
   IF(L181="",
      NETWORKDAYS(J181,TODAY(),fESTIVOS!$A$2:$A$53),
      NETWORKDAYS(J181,L181,fESTIVOS!$A$2:$A$53)
   )
)</f>
        <v>1</v>
      </c>
      <c r="N181" s="28"/>
      <c r="O181" s="59"/>
      <c r="P181" s="69"/>
      <c r="Q181" s="195" t="s">
        <v>991</v>
      </c>
      <c r="R181" s="112" t="s">
        <v>234</v>
      </c>
      <c r="S181" s="71"/>
      <c r="T181" s="71"/>
      <c r="U181" s="72"/>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66"/>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row>
    <row r="182" spans="1:67" ht="29.25" customHeight="1">
      <c r="A182" s="92" t="s">
        <v>157</v>
      </c>
      <c r="B182" s="105" t="s">
        <v>992</v>
      </c>
      <c r="C182" s="140" t="s">
        <v>993</v>
      </c>
      <c r="D182" s="114" t="s">
        <v>994</v>
      </c>
      <c r="E182" s="115"/>
      <c r="F182" s="116" t="s">
        <v>250</v>
      </c>
      <c r="G182" s="138"/>
      <c r="H182" s="22">
        <f>IF(OR(J182="",K182="",K182&lt;J182),0,NETWORKDAYS(J182,K182,fESTIVOS!$A$2:$A$53))</f>
        <v>0</v>
      </c>
      <c r="I182" s="81">
        <v>46087</v>
      </c>
      <c r="J182" s="68"/>
      <c r="K182" s="68"/>
      <c r="L182" s="68"/>
      <c r="M182" s="27">
        <f ca="1">IF(OR(J182="",AND(L182="",TODAY()&lt;J182),AND(L182&lt;&gt;"",L182&lt;J182)),0,
   IF(L182="",
      NETWORKDAYS(J182,TODAY(),fESTIVOS!$A$2:$A$53),
      NETWORKDAYS(J182,L182,fESTIVOS!$A$2:$A$53)
   )
)</f>
        <v>0</v>
      </c>
      <c r="N182" s="28"/>
      <c r="O182" s="59"/>
      <c r="P182" s="69"/>
      <c r="Q182" s="177"/>
      <c r="R182" s="112"/>
      <c r="S182" s="71"/>
      <c r="T182" s="71"/>
      <c r="U182" s="72"/>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66"/>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row>
    <row r="183" spans="1:67" ht="29.25" customHeight="1">
      <c r="A183" s="55" t="s">
        <v>157</v>
      </c>
      <c r="B183" s="17" t="s">
        <v>995</v>
      </c>
      <c r="C183" s="140" t="s">
        <v>996</v>
      </c>
      <c r="D183" s="172"/>
      <c r="E183" s="115"/>
      <c r="F183" s="116" t="s">
        <v>250</v>
      </c>
      <c r="G183" s="138"/>
      <c r="H183" s="22">
        <f>IF(OR(J183="",K183="",K183&lt;J183),0,NETWORKDAYS(J183,K183,fESTIVOS!$A$2:$A$53))</f>
        <v>0</v>
      </c>
      <c r="I183" s="59">
        <v>45712</v>
      </c>
      <c r="J183" s="68"/>
      <c r="K183" s="68"/>
      <c r="L183" s="68"/>
      <c r="M183" s="27">
        <f ca="1">IF(OR(J183="",AND(L183="",TODAY()&lt;J183),AND(L183&lt;&gt;"",L183&lt;J183)),0,
   IF(L183="",
      NETWORKDAYS(J183,TODAY(),fESTIVOS!$A$2:$A$53),
      NETWORKDAYS(J183,L183,fESTIVOS!$A$2:$A$53)
   )
)</f>
        <v>0</v>
      </c>
      <c r="N183" s="28"/>
      <c r="O183" s="59"/>
      <c r="P183" s="69"/>
      <c r="Q183" s="177" t="s">
        <v>997</v>
      </c>
      <c r="R183" s="112" t="s">
        <v>93</v>
      </c>
      <c r="S183" s="71"/>
      <c r="T183" s="71"/>
      <c r="U183" s="72"/>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66" t="s">
        <v>998</v>
      </c>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row>
    <row r="184" spans="1:67" ht="29.25" customHeight="1">
      <c r="A184" s="55" t="s">
        <v>157</v>
      </c>
      <c r="B184" s="17" t="s">
        <v>999</v>
      </c>
      <c r="C184" s="106" t="s">
        <v>1000</v>
      </c>
      <c r="D184" s="95"/>
      <c r="E184" s="96"/>
      <c r="F184" s="121" t="s">
        <v>76</v>
      </c>
      <c r="G184" s="97">
        <v>100</v>
      </c>
      <c r="H184" s="22">
        <f>IF(OR(J184="",K184="",K184&lt;J184),0,NETWORKDAYS(J184,K184,fESTIVOS!$A$2:$A$53))</f>
        <v>0</v>
      </c>
      <c r="I184" s="98">
        <v>45877</v>
      </c>
      <c r="J184" s="99">
        <v>45877</v>
      </c>
      <c r="K184" s="99"/>
      <c r="L184" s="99">
        <v>45877</v>
      </c>
      <c r="M184" s="27">
        <f ca="1">IF(OR(J184="",AND(L184="",TODAY()&lt;J184),AND(L184&lt;&gt;"",L184&lt;J184)),0,
   IF(L184="",
      NETWORKDAYS(J184,TODAY(),fESTIVOS!$A$2:$A$53),
      NETWORKDAYS(J184,L184,fESTIVOS!$A$2:$A$53)
   )
)</f>
        <v>1</v>
      </c>
      <c r="N184" s="28"/>
      <c r="O184" s="98"/>
      <c r="P184" s="100"/>
      <c r="Q184" s="34" t="s">
        <v>1001</v>
      </c>
      <c r="R184" s="31" t="s">
        <v>78</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spans="1:67" ht="29.25" customHeight="1">
      <c r="A185" s="55" t="s">
        <v>157</v>
      </c>
      <c r="B185" s="17" t="s">
        <v>1002</v>
      </c>
      <c r="C185" s="106" t="s">
        <v>1003</v>
      </c>
      <c r="D185" s="95"/>
      <c r="E185" s="96"/>
      <c r="F185" s="121" t="s">
        <v>76</v>
      </c>
      <c r="G185" s="97">
        <v>100</v>
      </c>
      <c r="H185" s="22">
        <f>IF(OR(J185="",K185="",K185&lt;J185),0,NETWORKDAYS(J185,K185,fESTIVOS!$A$2:$A$53))</f>
        <v>0</v>
      </c>
      <c r="I185" s="98">
        <v>45867</v>
      </c>
      <c r="J185" s="99">
        <v>45877</v>
      </c>
      <c r="K185" s="99"/>
      <c r="L185" s="99">
        <v>45877</v>
      </c>
      <c r="M185" s="27">
        <f ca="1">IF(OR(J185="",AND(L185="",TODAY()&lt;J185),AND(L185&lt;&gt;"",L185&lt;J185)),0,
   IF(L185="",
      NETWORKDAYS(J185,TODAY(),fESTIVOS!$A$2:$A$53),
      NETWORKDAYS(J185,L185,fESTIVOS!$A$2:$A$53)
   )
)</f>
        <v>1</v>
      </c>
      <c r="N185" s="28"/>
      <c r="O185" s="98"/>
      <c r="P185" s="100"/>
      <c r="Q185" s="34" t="s">
        <v>1004</v>
      </c>
      <c r="R185" s="31" t="s">
        <v>78</v>
      </c>
      <c r="S185" s="101"/>
      <c r="T185" s="101"/>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spans="1:67" ht="29.25" customHeight="1">
      <c r="A186" s="55" t="s">
        <v>157</v>
      </c>
      <c r="B186" s="17" t="s">
        <v>1005</v>
      </c>
      <c r="C186" s="106" t="s">
        <v>1006</v>
      </c>
      <c r="D186" s="149"/>
      <c r="E186" s="96"/>
      <c r="F186" s="121" t="s">
        <v>76</v>
      </c>
      <c r="G186" s="97">
        <v>100</v>
      </c>
      <c r="H186" s="22">
        <f>IF(OR(J186="",K186="",K186&lt;J186),0,NETWORKDAYS(J186,K186,fESTIVOS!$A$2:$A$53))</f>
        <v>0</v>
      </c>
      <c r="I186" s="98">
        <v>45877</v>
      </c>
      <c r="J186" s="99">
        <v>45877</v>
      </c>
      <c r="K186" s="99"/>
      <c r="L186" s="99">
        <v>45880</v>
      </c>
      <c r="M186" s="27">
        <f ca="1">IF(OR(J186="",AND(L186="",TODAY()&lt;J186),AND(L186&lt;&gt;"",L186&lt;J186)),0,
   IF(L186="",
      NETWORKDAYS(J186,TODAY(),fESTIVOS!$A$2:$A$53),
      NETWORKDAYS(J186,L186,fESTIVOS!$A$2:$A$53)
   )
)</f>
        <v>2</v>
      </c>
      <c r="N186" s="28"/>
      <c r="O186" s="98"/>
      <c r="P186" s="100"/>
      <c r="Q186" s="34" t="s">
        <v>1007</v>
      </c>
      <c r="R186" s="31" t="s">
        <v>78</v>
      </c>
      <c r="S186" s="101"/>
      <c r="T186" s="101"/>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spans="1:67" ht="29.25" customHeight="1">
      <c r="A187" s="55" t="s">
        <v>157</v>
      </c>
      <c r="B187" s="17" t="s">
        <v>1008</v>
      </c>
      <c r="C187" s="106" t="s">
        <v>1009</v>
      </c>
      <c r="D187" s="149"/>
      <c r="E187" s="96"/>
      <c r="F187" s="20" t="s">
        <v>76</v>
      </c>
      <c r="G187" s="97">
        <v>100</v>
      </c>
      <c r="H187" s="22">
        <f>IF(OR(J187="",K187="",K187&lt;J187),0,NETWORKDAYS(J187,K187,fESTIVOS!$A$2:$A$53))</f>
        <v>0</v>
      </c>
      <c r="I187" s="98">
        <v>45881</v>
      </c>
      <c r="J187" s="99">
        <v>45882</v>
      </c>
      <c r="K187" s="99"/>
      <c r="L187" s="99">
        <v>45883</v>
      </c>
      <c r="M187" s="27">
        <f ca="1">IF(OR(J187="",AND(L187="",TODAY()&lt;J187),AND(L187&lt;&gt;"",L187&lt;J187)),0,
   IF(L187="",
      NETWORKDAYS(J187,TODAY(),fESTIVOS!$A$2:$A$53),
      NETWORKDAYS(J187,L187,fESTIVOS!$A$2:$A$53)
   )
)</f>
        <v>2</v>
      </c>
      <c r="N187" s="28"/>
      <c r="O187" s="98"/>
      <c r="P187" s="100">
        <v>45891</v>
      </c>
      <c r="Q187" s="34" t="s">
        <v>1010</v>
      </c>
      <c r="R187" s="31" t="s">
        <v>78</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spans="1:67" ht="29.25" customHeight="1">
      <c r="A188" s="16" t="s">
        <v>67</v>
      </c>
      <c r="B188" s="17" t="s">
        <v>1011</v>
      </c>
      <c r="C188" s="106" t="s">
        <v>1012</v>
      </c>
      <c r="D188" s="95"/>
      <c r="E188" s="96"/>
      <c r="F188" s="121" t="s">
        <v>76</v>
      </c>
      <c r="G188" s="97">
        <v>100</v>
      </c>
      <c r="H188" s="22">
        <f>IF(OR(J188="",K188="",K188&lt;J188),0,NETWORKDAYS(J188,K188,fESTIVOS!$A$2:$A$53))</f>
        <v>0</v>
      </c>
      <c r="I188" s="98">
        <v>45881</v>
      </c>
      <c r="J188" s="99">
        <v>45881</v>
      </c>
      <c r="K188" s="99"/>
      <c r="L188" s="99">
        <v>45882</v>
      </c>
      <c r="M188" s="27">
        <f ca="1">IF(OR(J188="",AND(L188="",TODAY()&lt;J188),AND(L188&lt;&gt;"",L188&lt;J188)),0,
   IF(L188="",
      NETWORKDAYS(J188,TODAY(),fESTIVOS!$A$2:$A$53),
      NETWORKDAYS(J188,L188,fESTIVOS!$A$2:$A$53)
   )
)</f>
        <v>2</v>
      </c>
      <c r="N188" s="28"/>
      <c r="O188" s="98"/>
      <c r="P188" s="100"/>
      <c r="Q188" s="34" t="s">
        <v>1013</v>
      </c>
      <c r="R188" s="31" t="s">
        <v>78</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spans="1:67" ht="29.25" customHeight="1">
      <c r="A189" s="55" t="s">
        <v>157</v>
      </c>
      <c r="B189" s="17" t="s">
        <v>1014</v>
      </c>
      <c r="C189" s="106" t="s">
        <v>1015</v>
      </c>
      <c r="D189" s="149"/>
      <c r="E189" s="96"/>
      <c r="F189" s="121" t="s">
        <v>76</v>
      </c>
      <c r="G189" s="97">
        <v>100</v>
      </c>
      <c r="H189" s="22">
        <f>IF(OR(J189="",K189="",K189&lt;J189),0,NETWORKDAYS(J189,K189,fESTIVOS!$A$2:$A$53))</f>
        <v>0</v>
      </c>
      <c r="I189" s="98">
        <v>45882</v>
      </c>
      <c r="J189" s="99">
        <v>45883</v>
      </c>
      <c r="K189" s="99"/>
      <c r="L189" s="99">
        <v>45883</v>
      </c>
      <c r="M189" s="27">
        <f ca="1">IF(OR(J189="",AND(L189="",TODAY()&lt;J189),AND(L189&lt;&gt;"",L189&lt;J189)),0,
   IF(L189="",
      NETWORKDAYS(J189,TODAY(),fESTIVOS!$A$2:$A$53),
      NETWORKDAYS(J189,L189,fESTIVOS!$A$2:$A$53)
   )
)</f>
        <v>1</v>
      </c>
      <c r="N189" s="28"/>
      <c r="O189" s="98"/>
      <c r="P189" s="100"/>
      <c r="Q189" s="34" t="s">
        <v>1016</v>
      </c>
      <c r="R189" s="31" t="s">
        <v>78</v>
      </c>
      <c r="S189" s="101"/>
      <c r="T189" s="101"/>
      <c r="U189" s="102"/>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spans="1:67" ht="29.25" customHeight="1">
      <c r="A190" s="55" t="s">
        <v>157</v>
      </c>
      <c r="B190" s="17" t="s">
        <v>1017</v>
      </c>
      <c r="C190" s="106" t="s">
        <v>1018</v>
      </c>
      <c r="D190" s="149"/>
      <c r="E190" s="96"/>
      <c r="F190" s="121" t="s">
        <v>76</v>
      </c>
      <c r="G190" s="97">
        <v>100</v>
      </c>
      <c r="H190" s="22">
        <f>IF(OR(J190="",K190="",K190&lt;J190),0,NETWORKDAYS(J190,K190,fESTIVOS!$A$2:$A$53))</f>
        <v>0</v>
      </c>
      <c r="I190" s="98">
        <v>45883</v>
      </c>
      <c r="J190" s="99">
        <v>45883</v>
      </c>
      <c r="K190" s="99"/>
      <c r="L190" s="99">
        <v>45884</v>
      </c>
      <c r="M190" s="27">
        <f ca="1">IF(OR(J190="",AND(L190="",TODAY()&lt;J190),AND(L190&lt;&gt;"",L190&lt;J190)),0,
   IF(L190="",
      NETWORKDAYS(J190,TODAY(),fESTIVOS!$A$2:$A$53),
      NETWORKDAYS(J190,L190,fESTIVOS!$A$2:$A$53)
   )
)</f>
        <v>2</v>
      </c>
      <c r="N190" s="28"/>
      <c r="O190" s="98">
        <v>45884</v>
      </c>
      <c r="P190" s="100"/>
      <c r="Q190" s="34" t="s">
        <v>1019</v>
      </c>
      <c r="R190" s="31" t="s">
        <v>78</v>
      </c>
      <c r="S190" s="101"/>
      <c r="T190" s="101"/>
      <c r="U190" s="102"/>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spans="1:67" ht="29.25" customHeight="1">
      <c r="A191" s="55" t="s">
        <v>157</v>
      </c>
      <c r="B191" s="17" t="s">
        <v>1020</v>
      </c>
      <c r="C191" s="141" t="s">
        <v>1021</v>
      </c>
      <c r="D191" s="76"/>
      <c r="E191" s="123"/>
      <c r="F191" s="20" t="s">
        <v>76</v>
      </c>
      <c r="G191" s="58">
        <v>100</v>
      </c>
      <c r="H191" s="22">
        <f>IF(OR(J191="",K191="",K191&lt;J191),0,NETWORKDAYS(J191,K191,fESTIVOS!$A$2:$A$53))</f>
        <v>2</v>
      </c>
      <c r="I191" s="81">
        <v>45786</v>
      </c>
      <c r="J191" s="60">
        <v>45792</v>
      </c>
      <c r="K191" s="60">
        <v>45793</v>
      </c>
      <c r="L191" s="60"/>
      <c r="M191" s="27">
        <f ca="1">IF(OR(J191="",AND(L191="",TODAY()&lt;J191),AND(L191&lt;&gt;"",L191&lt;J191)),0,
   IF(L191="",
      NETWORKDAYS(J191,TODAY(),fESTIVOS!$A$2:$A$53),
      NETWORKDAYS(J191,L191,fESTIVOS!$A$2:$A$53)
   )
)</f>
        <v>200</v>
      </c>
      <c r="N191" s="28"/>
      <c r="O191" s="81">
        <v>45793</v>
      </c>
      <c r="P191" s="100"/>
      <c r="Q191" s="34" t="s">
        <v>1022</v>
      </c>
      <c r="R191" s="31" t="s">
        <v>93</v>
      </c>
      <c r="S191" s="138"/>
      <c r="T191" s="138"/>
      <c r="U191" s="102"/>
      <c r="V191" s="104"/>
      <c r="W191" s="104"/>
      <c r="X191" s="104"/>
      <c r="Y191" s="104"/>
      <c r="Z191" s="104"/>
      <c r="AA191" s="104"/>
      <c r="AB191" s="104"/>
      <c r="AC191" s="104"/>
      <c r="AD191" s="37" t="s">
        <v>1023</v>
      </c>
      <c r="AE191" s="37" t="s">
        <v>1024</v>
      </c>
      <c r="AF191" s="36"/>
      <c r="AG191" s="37" t="s">
        <v>1025</v>
      </c>
      <c r="AH191" s="37" t="s">
        <v>1026</v>
      </c>
      <c r="AI191" s="37" t="s">
        <v>1027</v>
      </c>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row>
    <row r="192" spans="1:67" ht="29.25" customHeight="1">
      <c r="A192" s="55" t="s">
        <v>157</v>
      </c>
      <c r="B192" s="17" t="s">
        <v>1028</v>
      </c>
      <c r="C192" s="106" t="s">
        <v>1029</v>
      </c>
      <c r="D192" s="95"/>
      <c r="E192" s="96"/>
      <c r="F192" s="20" t="s">
        <v>76</v>
      </c>
      <c r="G192" s="97">
        <v>100</v>
      </c>
      <c r="H192" s="22">
        <f>IF(OR(J192="",K192="",K192&lt;J192),0,NETWORKDAYS(J192,K192,fESTIVOS!$A$2:$A$53))</f>
        <v>5</v>
      </c>
      <c r="I192" s="98">
        <v>45884</v>
      </c>
      <c r="J192" s="99">
        <v>45884</v>
      </c>
      <c r="K192" s="99">
        <v>45891</v>
      </c>
      <c r="L192" s="99">
        <v>45897</v>
      </c>
      <c r="M192" s="27">
        <f ca="1">IF(OR(J192="",AND(L192="",TODAY()&lt;J192),AND(L192&lt;&gt;"",L192&lt;J192)),0,
   IF(L192="",
      NETWORKDAYS(J192,TODAY(),fESTIVOS!$A$2:$A$53),
      NETWORKDAYS(J192,L192,fESTIVOS!$A$2:$A$53)
   )
)</f>
        <v>9</v>
      </c>
      <c r="N192" s="28"/>
      <c r="O192" s="98">
        <v>45928</v>
      </c>
      <c r="P192" s="100"/>
      <c r="Q192" s="34" t="s">
        <v>1030</v>
      </c>
      <c r="R192" s="31" t="s">
        <v>78</v>
      </c>
      <c r="S192" s="97"/>
      <c r="T192" s="97" t="s">
        <v>1031</v>
      </c>
      <c r="U192" s="121" t="s">
        <v>1032</v>
      </c>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row>
    <row r="193" spans="1:67" ht="29.25" customHeight="1">
      <c r="A193" s="55" t="s">
        <v>128</v>
      </c>
      <c r="B193" s="105" t="s">
        <v>1033</v>
      </c>
      <c r="C193" s="106" t="s">
        <v>1034</v>
      </c>
      <c r="D193" s="95"/>
      <c r="E193" s="96"/>
      <c r="F193" s="121" t="s">
        <v>76</v>
      </c>
      <c r="G193" s="97">
        <v>100</v>
      </c>
      <c r="H193" s="22">
        <f>IF(OR(J193="",K193="",K193&lt;J193),0,NETWORKDAYS(J193,K193,fESTIVOS!$A$2:$A$53))</f>
        <v>0</v>
      </c>
      <c r="I193" s="98">
        <v>45870</v>
      </c>
      <c r="J193" s="99">
        <v>45915</v>
      </c>
      <c r="K193" s="99"/>
      <c r="L193" s="99">
        <v>45918</v>
      </c>
      <c r="M193" s="27">
        <f ca="1">IF(OR(J193="",AND(L193="",TODAY()&lt;J193),AND(L193&lt;&gt;"",L193&lt;J193)),0,
   IF(L193="",
      NETWORKDAYS(J193,TODAY(),fESTIVOS!$A$2:$A$53),
      NETWORKDAYS(J193,L193,fESTIVOS!$A$2:$A$53)
   )
)</f>
        <v>4</v>
      </c>
      <c r="N193" s="28"/>
      <c r="O193" s="98"/>
      <c r="P193" s="100"/>
      <c r="Q193" s="34" t="s">
        <v>1035</v>
      </c>
      <c r="R193" s="112" t="s">
        <v>78</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row>
    <row r="194" spans="1:67" ht="29.25" customHeight="1">
      <c r="A194" s="55" t="s">
        <v>128</v>
      </c>
      <c r="B194" s="17" t="s">
        <v>1036</v>
      </c>
      <c r="C194" s="106" t="s">
        <v>1037</v>
      </c>
      <c r="D194" s="149"/>
      <c r="E194" s="96"/>
      <c r="F194" s="111" t="s">
        <v>681</v>
      </c>
      <c r="G194" s="196"/>
      <c r="H194" s="22">
        <f>IF(OR(J194="",K194="",K194&lt;J194),0,NETWORKDAYS(J194,K194,fESTIVOS!$A$2:$A$53))</f>
        <v>0</v>
      </c>
      <c r="I194" s="184">
        <v>45855</v>
      </c>
      <c r="J194" s="99"/>
      <c r="K194" s="99"/>
      <c r="L194" s="99"/>
      <c r="M194" s="27">
        <f ca="1">IF(OR(J194="",AND(L194="",TODAY()&lt;J194),AND(L194&lt;&gt;"",L194&lt;J194)),0,
   IF(L194="",
      NETWORKDAYS(J194,TODAY(),fESTIVOS!$A$2:$A$53),
      NETWORKDAYS(J194,L194,fESTIVOS!$A$2:$A$53)
   )
)</f>
        <v>0</v>
      </c>
      <c r="N194" s="28"/>
      <c r="O194" s="98"/>
      <c r="P194" s="100"/>
      <c r="Q194" s="88" t="s">
        <v>1038</v>
      </c>
      <c r="R194" s="112" t="s">
        <v>93</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row>
    <row r="195" spans="1:67" ht="29.25" customHeight="1">
      <c r="A195" s="55" t="s">
        <v>128</v>
      </c>
      <c r="B195" s="105" t="s">
        <v>1039</v>
      </c>
      <c r="C195" s="106" t="s">
        <v>1040</v>
      </c>
      <c r="D195" s="95" t="s">
        <v>1041</v>
      </c>
      <c r="E195" s="96"/>
      <c r="F195" s="121" t="s">
        <v>76</v>
      </c>
      <c r="G195" s="97">
        <v>100</v>
      </c>
      <c r="H195" s="22">
        <f>IF(OR(J195="",K195="",K195&lt;J195),0,NETWORKDAYS(J195,K195,fESTIVOS!$A$2:$A$53))</f>
        <v>0</v>
      </c>
      <c r="I195" s="191">
        <v>45890</v>
      </c>
      <c r="J195" s="99">
        <v>45894</v>
      </c>
      <c r="K195" s="99"/>
      <c r="L195" s="99">
        <v>45898</v>
      </c>
      <c r="M195" s="27">
        <f ca="1">IF(OR(J195="",AND(L195="",TODAY()&lt;J195),AND(L195&lt;&gt;"",L195&lt;J195)),0,
   IF(L195="",
      NETWORKDAYS(J195,TODAY(),fESTIVOS!$A$2:$A$53),
      NETWORKDAYS(J195,L195,fESTIVOS!$A$2:$A$53)
   )
)</f>
        <v>5</v>
      </c>
      <c r="N195" s="28"/>
      <c r="O195" s="98">
        <v>45898</v>
      </c>
      <c r="P195" s="197">
        <v>45902</v>
      </c>
      <c r="Q195" s="34" t="s">
        <v>1042</v>
      </c>
      <c r="R195" s="112" t="s">
        <v>78</v>
      </c>
      <c r="S195" s="97"/>
      <c r="T195" s="97" t="s">
        <v>1043</v>
      </c>
      <c r="U195" s="121" t="s">
        <v>1044</v>
      </c>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row>
    <row r="196" spans="1:67" ht="29.25" customHeight="1">
      <c r="A196" s="55" t="s">
        <v>210</v>
      </c>
      <c r="B196" s="105" t="s">
        <v>1045</v>
      </c>
      <c r="C196" s="140" t="s">
        <v>1046</v>
      </c>
      <c r="D196" s="95" t="s">
        <v>1047</v>
      </c>
      <c r="E196" s="96"/>
      <c r="F196" s="121" t="s">
        <v>76</v>
      </c>
      <c r="G196" s="97">
        <v>100</v>
      </c>
      <c r="H196" s="22">
        <f>IF(OR(J196="",K196="",K196&lt;J196),0,NETWORKDAYS(J196,K196,fESTIVOS!$A$2:$A$53))</f>
        <v>0</v>
      </c>
      <c r="I196" s="98">
        <v>45973</v>
      </c>
      <c r="J196" s="99">
        <v>45973</v>
      </c>
      <c r="K196" s="99"/>
      <c r="L196" s="99">
        <v>45973</v>
      </c>
      <c r="M196" s="27">
        <f ca="1">IF(OR(J196="",AND(L196="",TODAY()&lt;J196),AND(L196&lt;&gt;"",L196&lt;J196)),0,
   IF(L196="",
      NETWORKDAYS(J196,TODAY(),fESTIVOS!$A$2:$A$53),
      NETWORKDAYS(J196,L196,fESTIVOS!$A$2:$A$53)
   )
)</f>
        <v>1</v>
      </c>
      <c r="N196" s="28"/>
      <c r="O196" s="98"/>
      <c r="P196" s="100"/>
      <c r="Q196" s="34" t="s">
        <v>1048</v>
      </c>
      <c r="R196" s="112"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row>
    <row r="197" spans="1:67" ht="29.25" customHeight="1">
      <c r="A197" s="55" t="s">
        <v>210</v>
      </c>
      <c r="B197" s="105" t="s">
        <v>1049</v>
      </c>
      <c r="C197" s="140" t="s">
        <v>1050</v>
      </c>
      <c r="D197" s="95" t="s">
        <v>1051</v>
      </c>
      <c r="E197" s="96"/>
      <c r="F197" s="121" t="s">
        <v>76</v>
      </c>
      <c r="G197" s="97">
        <v>100</v>
      </c>
      <c r="H197" s="22">
        <f>IF(OR(J197="",K197="",K197&lt;J197),0,NETWORKDAYS(J197,K197,fESTIVOS!$A$2:$A$53))</f>
        <v>0</v>
      </c>
      <c r="I197" s="98">
        <v>45973</v>
      </c>
      <c r="J197" s="99">
        <v>45974</v>
      </c>
      <c r="K197" s="99"/>
      <c r="L197" s="99">
        <v>45974</v>
      </c>
      <c r="M197" s="27">
        <f ca="1">IF(OR(J197="",AND(L197="",TODAY()&lt;J197),AND(L197&lt;&gt;"",L197&lt;J197)),0,
   IF(L197="",
      NETWORKDAYS(J197,TODAY(),fESTIVOS!$A$2:$A$53),
      NETWORKDAYS(J197,L197,fESTIVOS!$A$2:$A$53)
   )
)</f>
        <v>1</v>
      </c>
      <c r="N197" s="28"/>
      <c r="O197" s="98"/>
      <c r="P197" s="100"/>
      <c r="Q197" s="34" t="s">
        <v>1052</v>
      </c>
      <c r="R197" s="112"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row>
    <row r="198" spans="1:67" ht="29.25" customHeight="1">
      <c r="A198" s="55" t="s">
        <v>128</v>
      </c>
      <c r="B198" s="17" t="s">
        <v>1053</v>
      </c>
      <c r="C198" s="106" t="s">
        <v>1054</v>
      </c>
      <c r="D198" s="149" t="s">
        <v>1055</v>
      </c>
      <c r="E198" s="96"/>
      <c r="F198" s="20" t="s">
        <v>1056</v>
      </c>
      <c r="G198" s="97">
        <v>50</v>
      </c>
      <c r="H198" s="22">
        <f>IF(OR(J198="",K198="",K198&lt;J198),0,NETWORKDAYS(J198,K198,fESTIVOS!$A$2:$A$53))</f>
        <v>0</v>
      </c>
      <c r="I198" s="184">
        <v>45868</v>
      </c>
      <c r="J198" s="99">
        <v>45881</v>
      </c>
      <c r="K198" s="99"/>
      <c r="L198" s="99">
        <v>45911</v>
      </c>
      <c r="M198" s="27">
        <f ca="1">IF(OR(J198="",AND(L198="",TODAY()&lt;J198),AND(L198&lt;&gt;"",L198&lt;J198)),0,
   IF(L198="",
      NETWORKDAYS(J198,TODAY(),fESTIVOS!$A$2:$A$53),
      NETWORKDAYS(J198,L198,fESTIVOS!$A$2:$A$53)
   )
)</f>
        <v>22</v>
      </c>
      <c r="N198" s="28"/>
      <c r="O198" s="98">
        <v>45911</v>
      </c>
      <c r="P198" s="100"/>
      <c r="Q198" s="34" t="s">
        <v>1057</v>
      </c>
      <c r="R198" s="112" t="s">
        <v>93</v>
      </c>
      <c r="S198" s="154"/>
      <c r="T198" s="97" t="s">
        <v>1058</v>
      </c>
      <c r="U198" s="121" t="s">
        <v>809</v>
      </c>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row>
    <row r="199" spans="1:67" ht="29.25" customHeight="1">
      <c r="A199" s="16" t="s">
        <v>67</v>
      </c>
      <c r="B199" s="105" t="s">
        <v>1059</v>
      </c>
      <c r="C199" s="106" t="s">
        <v>1060</v>
      </c>
      <c r="D199" s="95" t="s">
        <v>1061</v>
      </c>
      <c r="E199" s="96"/>
      <c r="F199" s="20" t="s">
        <v>76</v>
      </c>
      <c r="G199" s="97">
        <v>100</v>
      </c>
      <c r="H199" s="22">
        <f>IF(OR(J199="",K199="",K199&lt;J199),0,NETWORKDAYS(J199,K199,fESTIVOS!$A$2:$A$53))</f>
        <v>0</v>
      </c>
      <c r="I199" s="98">
        <v>45889</v>
      </c>
      <c r="J199" s="99">
        <v>45889</v>
      </c>
      <c r="K199" s="99"/>
      <c r="L199" s="99">
        <v>45920</v>
      </c>
      <c r="M199" s="27">
        <f ca="1">IF(OR(J199="",AND(L199="",TODAY()&lt;J199),AND(L199&lt;&gt;"",L199&lt;J199)),0,
   IF(L199="",
      NETWORKDAYS(J199,TODAY(),fESTIVOS!$A$2:$A$53),
      NETWORKDAYS(J199,L199,fESTIVOS!$A$2:$A$53)
   )
)</f>
        <v>23</v>
      </c>
      <c r="N199" s="28"/>
      <c r="O199" s="98"/>
      <c r="P199" s="100"/>
      <c r="Q199" s="34" t="s">
        <v>1062</v>
      </c>
      <c r="R199" s="31" t="s">
        <v>78</v>
      </c>
      <c r="S199" s="97">
        <v>1</v>
      </c>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row>
    <row r="200" spans="1:67" ht="29.25" customHeight="1">
      <c r="A200" s="16" t="s">
        <v>67</v>
      </c>
      <c r="B200" s="17" t="s">
        <v>1063</v>
      </c>
      <c r="C200" s="106" t="s">
        <v>1064</v>
      </c>
      <c r="D200" s="149"/>
      <c r="E200" s="96"/>
      <c r="F200" s="121" t="s">
        <v>76</v>
      </c>
      <c r="G200" s="97">
        <v>100</v>
      </c>
      <c r="H200" s="22">
        <f>IF(OR(J200="",K200="",K200&lt;J200),0,NETWORKDAYS(J200,K200,fESTIVOS!$A$2:$A$53))</f>
        <v>0</v>
      </c>
      <c r="I200" s="98">
        <v>45889</v>
      </c>
      <c r="J200" s="99">
        <v>45908</v>
      </c>
      <c r="K200" s="99"/>
      <c r="L200" s="99">
        <v>45920</v>
      </c>
      <c r="M200" s="27">
        <f ca="1">IF(OR(J200="",AND(L200="",TODAY()&lt;J200),AND(L200&lt;&gt;"",L200&lt;J200)),0,
   IF(L200="",
      NETWORKDAYS(J200,TODAY(),fESTIVOS!$A$2:$A$53),
      NETWORKDAYS(J200,L200,fESTIVOS!$A$2:$A$53)
   )
)</f>
        <v>10</v>
      </c>
      <c r="N200" s="28"/>
      <c r="O200" s="98"/>
      <c r="P200" s="100"/>
      <c r="Q200" s="34" t="s">
        <v>1065</v>
      </c>
      <c r="R200" s="112"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row>
    <row r="201" spans="1:67" ht="29.25" customHeight="1">
      <c r="A201" s="55" t="s">
        <v>157</v>
      </c>
      <c r="B201" s="17" t="s">
        <v>1066</v>
      </c>
      <c r="C201" s="106" t="s">
        <v>1067</v>
      </c>
      <c r="D201" s="95" t="s">
        <v>1068</v>
      </c>
      <c r="E201" s="96"/>
      <c r="F201" s="121" t="s">
        <v>76</v>
      </c>
      <c r="G201" s="97">
        <v>100</v>
      </c>
      <c r="H201" s="22">
        <f>IF(OR(J201="",K201="",K201&lt;J201),0,NETWORKDAYS(J201,K201,fESTIVOS!$A$2:$A$53))</f>
        <v>2</v>
      </c>
      <c r="I201" s="98">
        <v>45889</v>
      </c>
      <c r="J201" s="99">
        <v>45890</v>
      </c>
      <c r="K201" s="99">
        <v>45891</v>
      </c>
      <c r="L201" s="99">
        <v>45901</v>
      </c>
      <c r="M201" s="27">
        <f ca="1">IF(OR(J201="",AND(L201="",TODAY()&lt;J201),AND(L201&lt;&gt;"",L201&lt;J201)),0,
   IF(L201="",
      NETWORKDAYS(J201,TODAY(),fESTIVOS!$A$2:$A$53),
      NETWORKDAYS(J201,L201,fESTIVOS!$A$2:$A$53)
   )
)</f>
        <v>8</v>
      </c>
      <c r="N201" s="28"/>
      <c r="O201" s="98">
        <v>45901</v>
      </c>
      <c r="P201" s="100">
        <v>45903</v>
      </c>
      <c r="Q201" s="34" t="s">
        <v>1069</v>
      </c>
      <c r="R201" s="112"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row>
    <row r="202" spans="1:67" ht="29.25" customHeight="1">
      <c r="A202" s="55" t="s">
        <v>157</v>
      </c>
      <c r="B202" s="17" t="s">
        <v>1070</v>
      </c>
      <c r="C202" s="106" t="s">
        <v>1071</v>
      </c>
      <c r="D202" s="95" t="s">
        <v>1072</v>
      </c>
      <c r="E202" s="96"/>
      <c r="F202" s="121" t="s">
        <v>76</v>
      </c>
      <c r="G202" s="97">
        <v>100</v>
      </c>
      <c r="H202" s="22">
        <f>IF(OR(J202="",K202="",K202&lt;J202),0,NETWORKDAYS(J202,K202,fESTIVOS!$A$2:$A$53))</f>
        <v>0</v>
      </c>
      <c r="I202" s="98">
        <v>45890</v>
      </c>
      <c r="J202" s="99">
        <v>45890</v>
      </c>
      <c r="K202" s="99"/>
      <c r="L202" s="99">
        <v>45891</v>
      </c>
      <c r="M202" s="27">
        <f ca="1">IF(OR(J202="",AND(L202="",TODAY()&lt;J202),AND(L202&lt;&gt;"",L202&lt;J202)),0,
   IF(L202="",
      NETWORKDAYS(J202,TODAY(),fESTIVOS!$A$2:$A$53),
      NETWORKDAYS(J202,L202,fESTIVOS!$A$2:$A$53)
   )
)</f>
        <v>2</v>
      </c>
      <c r="N202" s="28"/>
      <c r="O202" s="98"/>
      <c r="P202" s="100"/>
      <c r="Q202" s="34" t="s">
        <v>1073</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spans="1:67" ht="29.25" customHeight="1">
      <c r="A203" s="92" t="s">
        <v>67</v>
      </c>
      <c r="B203" s="105" t="s">
        <v>1074</v>
      </c>
      <c r="C203" s="106" t="s">
        <v>1075</v>
      </c>
      <c r="D203" s="95" t="s">
        <v>1076</v>
      </c>
      <c r="E203" s="96"/>
      <c r="F203" s="20" t="s">
        <v>76</v>
      </c>
      <c r="G203" s="97">
        <v>100</v>
      </c>
      <c r="H203" s="22">
        <f>IF(OR(J203="",K203="",K203&lt;J203),0,NETWORKDAYS(J203,K203,fESTIVOS!$A$2:$A$53))</f>
        <v>0</v>
      </c>
      <c r="I203" s="98">
        <v>45883</v>
      </c>
      <c r="J203" s="99">
        <v>45883</v>
      </c>
      <c r="K203" s="99"/>
      <c r="L203" s="99">
        <v>45901</v>
      </c>
      <c r="M203" s="27">
        <f ca="1">IF(OR(J203="",AND(L203="",TODAY()&lt;J203),AND(L203&lt;&gt;"",L203&lt;J203)),0,
   IF(L203="",
      NETWORKDAYS(J203,TODAY(),fESTIVOS!$A$2:$A$53),
      NETWORKDAYS(J203,L203,fESTIVOS!$A$2:$A$53)
   )
)</f>
        <v>12</v>
      </c>
      <c r="N203" s="28"/>
      <c r="O203" s="98"/>
      <c r="P203" s="100"/>
      <c r="Q203" s="34" t="s">
        <v>1077</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row>
    <row r="204" spans="1:67" ht="29.25" customHeight="1">
      <c r="A204" s="92" t="s">
        <v>67</v>
      </c>
      <c r="B204" s="105" t="s">
        <v>1078</v>
      </c>
      <c r="C204" s="106" t="s">
        <v>1079</v>
      </c>
      <c r="D204" s="95"/>
      <c r="E204" s="96"/>
      <c r="F204" s="20" t="s">
        <v>76</v>
      </c>
      <c r="G204" s="97">
        <v>100</v>
      </c>
      <c r="H204" s="22">
        <f>IF(OR(J204="",K204="",K204&lt;J204),0,NETWORKDAYS(J204,K204,fESTIVOS!$A$2:$A$53))</f>
        <v>0</v>
      </c>
      <c r="I204" s="98">
        <v>45903</v>
      </c>
      <c r="J204" s="99">
        <v>45904</v>
      </c>
      <c r="K204" s="99"/>
      <c r="L204" s="99">
        <v>45904</v>
      </c>
      <c r="M204" s="27">
        <f ca="1">IF(OR(J204="",AND(L204="",TODAY()&lt;J204),AND(L204&lt;&gt;"",L204&lt;J204)),0,
   IF(L204="",
      NETWORKDAYS(J204,TODAY(),fESTIVOS!$A$2:$A$53),
      NETWORKDAYS(J204,L204,fESTIVOS!$A$2:$A$53)
   )
)</f>
        <v>1</v>
      </c>
      <c r="N204" s="28"/>
      <c r="O204" s="98"/>
      <c r="P204" s="100"/>
      <c r="Q204" s="34" t="s">
        <v>1080</v>
      </c>
      <c r="R204" s="31" t="s">
        <v>78</v>
      </c>
      <c r="S204" s="101"/>
      <c r="T204" s="101"/>
      <c r="U204" s="102"/>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row>
    <row r="205" spans="1:67" ht="29.25" customHeight="1">
      <c r="A205" s="92" t="s">
        <v>67</v>
      </c>
      <c r="B205" s="105" t="s">
        <v>1081</v>
      </c>
      <c r="C205" s="106" t="s">
        <v>1082</v>
      </c>
      <c r="D205" s="95" t="s">
        <v>1083</v>
      </c>
      <c r="E205" s="96"/>
      <c r="F205" s="20" t="s">
        <v>76</v>
      </c>
      <c r="G205" s="97">
        <v>100</v>
      </c>
      <c r="H205" s="22">
        <f>IF(OR(J205="",K205="",K205&lt;J205),0,NETWORKDAYS(J205,K205,fESTIVOS!$A$2:$A$53))</f>
        <v>0</v>
      </c>
      <c r="I205" s="98">
        <v>45905</v>
      </c>
      <c r="J205" s="99">
        <v>45905</v>
      </c>
      <c r="K205" s="99"/>
      <c r="L205" s="99"/>
      <c r="M205" s="27">
        <f ca="1">IF(OR(J205="",AND(L205="",TODAY()&lt;J205),AND(L205&lt;&gt;"",L205&lt;J205)),0,
   IF(L205="",
      NETWORKDAYS(J205,TODAY(),fESTIVOS!$A$2:$A$53),
      NETWORKDAYS(J205,L205,fESTIVOS!$A$2:$A$53)
   )
)</f>
        <v>124</v>
      </c>
      <c r="N205" s="28"/>
      <c r="O205" s="98"/>
      <c r="P205" s="100"/>
      <c r="Q205" s="34" t="s">
        <v>1084</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spans="1:67" ht="29.25" customHeight="1">
      <c r="A206" s="92" t="s">
        <v>157</v>
      </c>
      <c r="B206" s="105" t="s">
        <v>1085</v>
      </c>
      <c r="C206" s="106" t="s">
        <v>1086</v>
      </c>
      <c r="D206" s="95" t="s">
        <v>1087</v>
      </c>
      <c r="E206" s="96"/>
      <c r="F206" s="20" t="s">
        <v>76</v>
      </c>
      <c r="G206" s="97">
        <v>100</v>
      </c>
      <c r="H206" s="22">
        <f>IF(OR(J206="",K206="",K206&lt;J206),0,NETWORKDAYS(J206,K206,fESTIVOS!$A$2:$A$53))</f>
        <v>0</v>
      </c>
      <c r="I206" s="98">
        <v>45909</v>
      </c>
      <c r="J206" s="99">
        <v>45909</v>
      </c>
      <c r="K206" s="99"/>
      <c r="L206" s="99">
        <v>45930</v>
      </c>
      <c r="M206" s="27">
        <f ca="1">IF(OR(J206="",AND(L206="",TODAY()&lt;J206),AND(L206&lt;&gt;"",L206&lt;J206)),0,
   IF(L206="",
      NETWORKDAYS(J206,TODAY(),fESTIVOS!$A$2:$A$53),
      NETWORKDAYS(J206,L206,fESTIVOS!$A$2:$A$53)
   )
)</f>
        <v>16</v>
      </c>
      <c r="N206" s="28"/>
      <c r="O206" s="98"/>
      <c r="P206" s="100"/>
      <c r="Q206" s="34" t="s">
        <v>1088</v>
      </c>
      <c r="R206" s="112"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spans="1:67" ht="29.25" customHeight="1">
      <c r="A207" s="92" t="s">
        <v>67</v>
      </c>
      <c r="B207" s="105" t="s">
        <v>1089</v>
      </c>
      <c r="C207" s="106" t="s">
        <v>1090</v>
      </c>
      <c r="D207" s="95"/>
      <c r="E207" s="96"/>
      <c r="F207" s="20" t="s">
        <v>76</v>
      </c>
      <c r="G207" s="97">
        <v>100</v>
      </c>
      <c r="H207" s="22">
        <f>IF(OR(J207="",K207="",K207&lt;J207),0,NETWORKDAYS(J207,K207,fESTIVOS!$A$2:$A$53))</f>
        <v>0</v>
      </c>
      <c r="I207" s="98">
        <v>45905</v>
      </c>
      <c r="J207" s="99">
        <v>45916</v>
      </c>
      <c r="K207" s="99"/>
      <c r="L207" s="99"/>
      <c r="M207" s="27">
        <f ca="1">IF(OR(J207="",AND(L207="",TODAY()&lt;J207),AND(L207&lt;&gt;"",L207&lt;J207)),0,
   IF(L207="",
      NETWORKDAYS(J207,TODAY(),fESTIVOS!$A$2:$A$53),
      NETWORKDAYS(J207,L207,fESTIVOS!$A$2:$A$53)
   )
)</f>
        <v>117</v>
      </c>
      <c r="N207" s="28"/>
      <c r="O207" s="98">
        <v>45954</v>
      </c>
      <c r="P207" s="100">
        <v>46021</v>
      </c>
      <c r="Q207" s="198" t="s">
        <v>1091</v>
      </c>
      <c r="R207" s="31"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spans="1:67" ht="29.25" customHeight="1">
      <c r="A208" s="92" t="s">
        <v>157</v>
      </c>
      <c r="B208" s="105" t="s">
        <v>1092</v>
      </c>
      <c r="C208" s="106" t="s">
        <v>1093</v>
      </c>
      <c r="D208" s="95" t="s">
        <v>1094</v>
      </c>
      <c r="E208" s="96"/>
      <c r="F208" s="20" t="s">
        <v>76</v>
      </c>
      <c r="G208" s="97">
        <v>100</v>
      </c>
      <c r="H208" s="22">
        <f>IF(OR(J208="",K208="",K208&lt;J208),0,NETWORKDAYS(J208,K208,fESTIVOS!$A$2:$A$53))</f>
        <v>0</v>
      </c>
      <c r="I208" s="98">
        <v>45929</v>
      </c>
      <c r="J208" s="99">
        <v>45929</v>
      </c>
      <c r="K208" s="99"/>
      <c r="L208" s="99">
        <v>45930</v>
      </c>
      <c r="M208" s="27">
        <f ca="1">IF(OR(J208="",AND(L208="",TODAY()&lt;J208),AND(L208&lt;&gt;"",L208&lt;J208)),0,
   IF(L208="",
      NETWORKDAYS(J208,TODAY(),fESTIVOS!$A$2:$A$53),
      NETWORKDAYS(J208,L208,fESTIVOS!$A$2:$A$53)
   )
)</f>
        <v>2</v>
      </c>
      <c r="N208" s="28"/>
      <c r="O208" s="98">
        <v>45930</v>
      </c>
      <c r="P208" s="100">
        <v>45936</v>
      </c>
      <c r="Q208" s="34" t="s">
        <v>1095</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spans="1:67" ht="29.25" customHeight="1">
      <c r="A209" s="92" t="s">
        <v>210</v>
      </c>
      <c r="B209" s="105" t="s">
        <v>1096</v>
      </c>
      <c r="C209" s="106" t="s">
        <v>1097</v>
      </c>
      <c r="D209" s="95" t="s">
        <v>1098</v>
      </c>
      <c r="E209" s="96"/>
      <c r="F209" s="20" t="s">
        <v>76</v>
      </c>
      <c r="G209" s="97">
        <v>100</v>
      </c>
      <c r="H209" s="22">
        <f>IF(OR(J209="",K209="",K209&lt;J209),0,NETWORKDAYS(J209,K209,fESTIVOS!$A$2:$A$53))</f>
        <v>0</v>
      </c>
      <c r="I209" s="98">
        <v>45931</v>
      </c>
      <c r="J209" s="99">
        <v>45931</v>
      </c>
      <c r="K209" s="99"/>
      <c r="L209" s="99">
        <v>45932</v>
      </c>
      <c r="M209" s="27">
        <f ca="1">IF(OR(J209="",AND(L209="",TODAY()&lt;J209),AND(L209&lt;&gt;"",L209&lt;J209)),0,
   IF(L209="",
      NETWORKDAYS(J209,TODAY(),fESTIVOS!$A$2:$A$53),
      NETWORKDAYS(J209,L209,fESTIVOS!$A$2:$A$53)
   )
)</f>
        <v>2</v>
      </c>
      <c r="N209" s="28"/>
      <c r="O209" s="98"/>
      <c r="P209" s="100"/>
      <c r="Q209" s="34" t="s">
        <v>1099</v>
      </c>
      <c r="R209" s="31"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spans="1:67" ht="29.25" customHeight="1">
      <c r="A210" s="55" t="s">
        <v>157</v>
      </c>
      <c r="B210" s="17" t="s">
        <v>1100</v>
      </c>
      <c r="C210" s="141" t="s">
        <v>1101</v>
      </c>
      <c r="D210" s="199"/>
      <c r="E210" s="123"/>
      <c r="F210" s="85" t="s">
        <v>250</v>
      </c>
      <c r="G210" s="58"/>
      <c r="H210" s="22">
        <f>IF(OR(J210="",K210="",K210&lt;J210),0,NETWORKDAYS(J210,K210,fESTIVOS!$A$2:$A$53))</f>
        <v>0</v>
      </c>
      <c r="I210" s="81">
        <v>45797</v>
      </c>
      <c r="J210" s="60"/>
      <c r="K210" s="60"/>
      <c r="L210" s="60"/>
      <c r="M210" s="27">
        <f ca="1">IF(OR(J210="",AND(L210="",TODAY()&lt;J210),AND(L210&lt;&gt;"",L210&lt;J210)),0,
   IF(L210="",
      NETWORKDAYS(J210,TODAY(),fESTIVOS!$A$2:$A$53),
      NETWORKDAYS(J210,L210,fESTIVOS!$A$2:$A$53)
   )
)</f>
        <v>0</v>
      </c>
      <c r="N210" s="28"/>
      <c r="O210" s="81"/>
      <c r="P210" s="100"/>
      <c r="Q210" s="34" t="s">
        <v>1102</v>
      </c>
      <c r="R210" s="112" t="s">
        <v>93</v>
      </c>
      <c r="S210" s="138"/>
      <c r="T210" s="138"/>
      <c r="U210" s="102"/>
      <c r="V210" s="104"/>
      <c r="W210" s="104"/>
      <c r="X210" s="104"/>
      <c r="Y210" s="104"/>
      <c r="Z210" s="104"/>
      <c r="AA210" s="104"/>
      <c r="AB210" s="104"/>
      <c r="AC210" s="104"/>
      <c r="AD210" s="37"/>
      <c r="AE210" s="37"/>
      <c r="AF210" s="36"/>
      <c r="AG210" s="36"/>
      <c r="AH210" s="36"/>
      <c r="AI210" s="36"/>
      <c r="AJ210" s="37" t="s">
        <v>1103</v>
      </c>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row>
    <row r="211" spans="1:67" ht="29.25" customHeight="1">
      <c r="A211" s="122" t="s">
        <v>210</v>
      </c>
      <c r="B211" s="105" t="s">
        <v>1104</v>
      </c>
      <c r="C211" s="140" t="s">
        <v>1105</v>
      </c>
      <c r="D211" s="95"/>
      <c r="E211" s="96"/>
      <c r="F211" s="20" t="s">
        <v>207</v>
      </c>
      <c r="G211" s="97">
        <v>70</v>
      </c>
      <c r="H211" s="22">
        <f>IF(OR(J211="",K211="",K211&lt;J211),0,NETWORKDAYS(J211,K211,fESTIVOS!$A$2:$A$53))</f>
        <v>0</v>
      </c>
      <c r="I211" s="98">
        <v>45995</v>
      </c>
      <c r="J211" s="99">
        <v>45996</v>
      </c>
      <c r="K211" s="99"/>
      <c r="L211" s="99"/>
      <c r="M211" s="27">
        <f ca="1">IF(OR(J211="",AND(L211="",TODAY()&lt;J211),AND(L211&lt;&gt;"",L211&lt;J211)),0,
   IF(L211="",
      NETWORKDAYS(J211,TODAY(),fESTIVOS!$A$2:$A$53),
      NETWORKDAYS(J211,L211,fESTIVOS!$A$2:$A$53)
   )
)</f>
        <v>62</v>
      </c>
      <c r="N211" s="28"/>
      <c r="O211" s="98"/>
      <c r="P211" s="100"/>
      <c r="Q211" s="34" t="s">
        <v>1106</v>
      </c>
      <c r="R211" s="112" t="s">
        <v>209</v>
      </c>
      <c r="S211" s="101"/>
      <c r="T211" s="101"/>
      <c r="U211" s="102"/>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spans="1:67" ht="29.25" customHeight="1">
      <c r="A212" s="122" t="s">
        <v>210</v>
      </c>
      <c r="B212" s="105" t="s">
        <v>1107</v>
      </c>
      <c r="C212" s="140" t="s">
        <v>1108</v>
      </c>
      <c r="D212" s="95"/>
      <c r="E212" s="96"/>
      <c r="F212" s="20" t="s">
        <v>76</v>
      </c>
      <c r="G212" s="97">
        <v>100</v>
      </c>
      <c r="H212" s="22">
        <f>IF(OR(J212="",K212="",K212&lt;J212),0,NETWORKDAYS(J212,K212,fESTIVOS!$A$2:$A$53))</f>
        <v>0</v>
      </c>
      <c r="I212" s="98">
        <v>46071</v>
      </c>
      <c r="J212" s="99">
        <v>46072</v>
      </c>
      <c r="K212" s="99"/>
      <c r="L212" s="99">
        <v>46072</v>
      </c>
      <c r="M212" s="27">
        <f ca="1">IF(OR(J212="",AND(L212="",TODAY()&lt;J212),AND(L212&lt;&gt;"",L212&lt;J212)),0,
   IF(L212="",
      NETWORKDAYS(J212,TODAY(),fESTIVOS!$A$2:$A$53),
      NETWORKDAYS(J212,L212,fESTIVOS!$A$2:$A$53)
   )
)</f>
        <v>1</v>
      </c>
      <c r="N212" s="28"/>
      <c r="O212" s="98"/>
      <c r="P212" s="100"/>
      <c r="Q212" s="34" t="s">
        <v>1109</v>
      </c>
      <c r="R212" s="112" t="s">
        <v>524</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spans="1:67" ht="29.25" customHeight="1">
      <c r="A213" s="122" t="s">
        <v>210</v>
      </c>
      <c r="B213" s="105" t="s">
        <v>1110</v>
      </c>
      <c r="C213" s="140" t="s">
        <v>1111</v>
      </c>
      <c r="D213" s="95"/>
      <c r="E213" s="96"/>
      <c r="F213" s="20" t="s">
        <v>207</v>
      </c>
      <c r="G213" s="97">
        <v>95</v>
      </c>
      <c r="H213" s="22">
        <f>IF(OR(J213="",K213="",K213&lt;J213),0,NETWORKDAYS(J213,K213,fESTIVOS!$A$2:$A$53))</f>
        <v>0</v>
      </c>
      <c r="I213" s="98">
        <v>46071</v>
      </c>
      <c r="J213" s="99">
        <v>46072</v>
      </c>
      <c r="K213" s="99"/>
      <c r="L213" s="99">
        <v>46072</v>
      </c>
      <c r="M213" s="27">
        <f ca="1">IF(OR(J213="",AND(L213="",TODAY()&lt;J213),AND(L213&lt;&gt;"",L213&lt;J213)),0,
   IF(L213="",
      NETWORKDAYS(J213,TODAY(),fESTIVOS!$A$2:$A$53),
      NETWORKDAYS(J213,L213,fESTIVOS!$A$2:$A$53)
   )
)</f>
        <v>1</v>
      </c>
      <c r="N213" s="28"/>
      <c r="O213" s="98"/>
      <c r="P213" s="100"/>
      <c r="Q213" s="34" t="s">
        <v>1112</v>
      </c>
      <c r="R213" s="112" t="s">
        <v>72</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spans="1:67" ht="29.25" customHeight="1">
      <c r="A214" s="122" t="s">
        <v>210</v>
      </c>
      <c r="B214" s="105" t="s">
        <v>1113</v>
      </c>
      <c r="C214" s="140" t="s">
        <v>1114</v>
      </c>
      <c r="D214" s="95"/>
      <c r="E214" s="96"/>
      <c r="F214" s="20" t="s">
        <v>76</v>
      </c>
      <c r="G214" s="97">
        <v>100</v>
      </c>
      <c r="H214" s="22">
        <f>IF(OR(J214="",K214="",K214&lt;J214),0,NETWORKDAYS(J214,K214,fESTIVOS!$A$2:$A$53))</f>
        <v>0</v>
      </c>
      <c r="I214" s="98">
        <v>46073</v>
      </c>
      <c r="J214" s="99">
        <v>46076</v>
      </c>
      <c r="K214" s="99"/>
      <c r="L214" s="99">
        <v>46076</v>
      </c>
      <c r="M214" s="27">
        <f ca="1">IF(OR(J214="",AND(L214="",TODAY()&lt;J214),AND(L214&lt;&gt;"",L214&lt;J214)),0,
   IF(L214="",
      NETWORKDAYS(J214,TODAY(),fESTIVOS!$A$2:$A$53),
      NETWORKDAYS(J214,L214,fESTIVOS!$A$2:$A$53)
   )
)</f>
        <v>1</v>
      </c>
      <c r="N214" s="28"/>
      <c r="O214" s="98"/>
      <c r="P214" s="100"/>
      <c r="Q214" s="34" t="s">
        <v>1115</v>
      </c>
      <c r="R214" s="112" t="s">
        <v>524</v>
      </c>
      <c r="S214" s="101"/>
      <c r="T214" s="101"/>
      <c r="U214" s="102"/>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row>
    <row r="215" spans="1:67" ht="29.25" customHeight="1">
      <c r="A215" s="92" t="s">
        <v>128</v>
      </c>
      <c r="B215" s="105" t="s">
        <v>1116</v>
      </c>
      <c r="C215" s="106" t="s">
        <v>1117</v>
      </c>
      <c r="D215" s="95" t="s">
        <v>1118</v>
      </c>
      <c r="E215" s="96"/>
      <c r="F215" s="20" t="s">
        <v>76</v>
      </c>
      <c r="G215" s="97">
        <v>100</v>
      </c>
      <c r="H215" s="22">
        <f>IF(OR(J215="",K215="",K215&lt;J215),0,NETWORKDAYS(J215,K215,fESTIVOS!$A$2:$A$53))</f>
        <v>0</v>
      </c>
      <c r="I215" s="98">
        <v>45958</v>
      </c>
      <c r="J215" s="99">
        <v>45958</v>
      </c>
      <c r="K215" s="99"/>
      <c r="L215" s="99">
        <v>45958</v>
      </c>
      <c r="M215" s="27">
        <f ca="1">IF(OR(J215="",AND(L215="",TODAY()&lt;J215),AND(L215&lt;&gt;"",L215&lt;J215)),0,
   IF(L215="",
      NETWORKDAYS(J215,TODAY(),fESTIVOS!$A$2:$A$53),
      NETWORKDAYS(J215,L215,fESTIVOS!$A$2:$A$53)
   )
)</f>
        <v>1</v>
      </c>
      <c r="N215" s="28"/>
      <c r="O215" s="98"/>
      <c r="P215" s="100"/>
      <c r="Q215" s="34" t="s">
        <v>1119</v>
      </c>
      <c r="R215" s="31" t="s">
        <v>78</v>
      </c>
      <c r="S215" s="101"/>
      <c r="T215" s="101"/>
      <c r="U215" s="102"/>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row>
    <row r="216" spans="1:67" ht="29.25" customHeight="1">
      <c r="A216" s="92" t="s">
        <v>157</v>
      </c>
      <c r="B216" s="105" t="s">
        <v>1120</v>
      </c>
      <c r="C216" s="106" t="s">
        <v>1121</v>
      </c>
      <c r="D216" s="95" t="s">
        <v>1122</v>
      </c>
      <c r="E216" s="96"/>
      <c r="F216" s="20" t="s">
        <v>76</v>
      </c>
      <c r="G216" s="97">
        <v>100</v>
      </c>
      <c r="H216" s="22">
        <f>IF(OR(J216="",K216="",K216&lt;J216),0,NETWORKDAYS(J216,K216,fESTIVOS!$A$2:$A$53))</f>
        <v>0</v>
      </c>
      <c r="I216" s="98">
        <v>45960</v>
      </c>
      <c r="J216" s="99">
        <v>45961</v>
      </c>
      <c r="K216" s="99"/>
      <c r="L216" s="99">
        <v>45961</v>
      </c>
      <c r="M216" s="27">
        <f ca="1">IF(OR(J216="",AND(L216="",TODAY()&lt;J216),AND(L216&lt;&gt;"",L216&lt;J216)),0,
   IF(L216="",
      NETWORKDAYS(J216,TODAY(),fESTIVOS!$A$2:$A$53),
      NETWORKDAYS(J216,L216,fESTIVOS!$A$2:$A$53)
   )
)</f>
        <v>1</v>
      </c>
      <c r="N216" s="28"/>
      <c r="O216" s="98">
        <v>45961</v>
      </c>
      <c r="P216" s="100">
        <v>45961</v>
      </c>
      <c r="Q216" s="34" t="s">
        <v>1123</v>
      </c>
      <c r="R216" s="31" t="s">
        <v>78</v>
      </c>
      <c r="S216" s="101"/>
      <c r="T216" s="101"/>
      <c r="U216" s="102"/>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row>
    <row r="217" spans="1:67" ht="29.25" customHeight="1">
      <c r="A217" s="92" t="s">
        <v>67</v>
      </c>
      <c r="B217" s="105" t="s">
        <v>1124</v>
      </c>
      <c r="C217" s="140" t="s">
        <v>1125</v>
      </c>
      <c r="D217" s="95" t="s">
        <v>1126</v>
      </c>
      <c r="E217" s="96"/>
      <c r="F217" s="20" t="s">
        <v>76</v>
      </c>
      <c r="G217" s="97">
        <v>100</v>
      </c>
      <c r="H217" s="22">
        <f>IF(OR(J217="",K217="",K217&lt;J217),0,NETWORKDAYS(J217,K217,fESTIVOS!$A$2:$A$53))</f>
        <v>0</v>
      </c>
      <c r="I217" s="98">
        <v>45975</v>
      </c>
      <c r="J217" s="99">
        <v>45975</v>
      </c>
      <c r="K217" s="99"/>
      <c r="L217" s="99">
        <v>46021</v>
      </c>
      <c r="M217" s="27">
        <f ca="1">IF(OR(J217="",AND(L217="",TODAY()&lt;J217),AND(L217&lt;&gt;"",L217&lt;J217)),0,
   IF(L217="",
      NETWORKDAYS(J217,TODAY(),fESTIVOS!$A$2:$A$53),
      NETWORKDAYS(J217,L217,fESTIVOS!$A$2:$A$53)
   )
)</f>
        <v>30</v>
      </c>
      <c r="N217" s="28"/>
      <c r="O217" s="98"/>
      <c r="P217" s="100"/>
      <c r="Q217" s="34" t="s">
        <v>1127</v>
      </c>
      <c r="R217" s="31" t="s">
        <v>78</v>
      </c>
      <c r="S217" s="101"/>
      <c r="T217" s="101"/>
      <c r="U217" s="102"/>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row>
    <row r="218" spans="1:67" ht="29.25" customHeight="1">
      <c r="A218" s="92" t="s">
        <v>67</v>
      </c>
      <c r="B218" s="105" t="s">
        <v>1128</v>
      </c>
      <c r="C218" s="140" t="s">
        <v>1129</v>
      </c>
      <c r="D218" s="95" t="s">
        <v>1130</v>
      </c>
      <c r="E218" s="96"/>
      <c r="F218" s="20" t="s">
        <v>76</v>
      </c>
      <c r="G218" s="97">
        <v>100</v>
      </c>
      <c r="H218" s="22">
        <f>IF(OR(J218="",K218="",K218&lt;J218),0,NETWORKDAYS(J218,K218,fESTIVOS!$A$2:$A$53))</f>
        <v>0</v>
      </c>
      <c r="I218" s="98">
        <v>45967</v>
      </c>
      <c r="J218" s="99">
        <v>45967</v>
      </c>
      <c r="K218" s="99"/>
      <c r="L218" s="99">
        <v>45989</v>
      </c>
      <c r="M218" s="27">
        <f ca="1">IF(OR(J218="",AND(L218="",TODAY()&lt;J218),AND(L218&lt;&gt;"",L218&lt;J218)),0,
   IF(L218="",
      NETWORKDAYS(J218,TODAY(),fESTIVOS!$A$2:$A$53),
      NETWORKDAYS(J218,L218,fESTIVOS!$A$2:$A$53)
   )
)</f>
        <v>16</v>
      </c>
      <c r="N218" s="28"/>
      <c r="O218" s="98">
        <v>45989</v>
      </c>
      <c r="P218" s="100"/>
      <c r="Q218" s="34" t="s">
        <v>1131</v>
      </c>
      <c r="R218" s="31" t="s">
        <v>78</v>
      </c>
      <c r="S218" s="101"/>
      <c r="T218" s="101"/>
      <c r="U218" s="102"/>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row>
    <row r="219" spans="1:67" ht="29.25" customHeight="1">
      <c r="A219" s="92" t="s">
        <v>67</v>
      </c>
      <c r="B219" s="105" t="s">
        <v>1132</v>
      </c>
      <c r="C219" s="140" t="s">
        <v>1133</v>
      </c>
      <c r="D219" s="95" t="s">
        <v>1134</v>
      </c>
      <c r="E219" s="96"/>
      <c r="F219" s="20" t="s">
        <v>76</v>
      </c>
      <c r="G219" s="97">
        <v>100</v>
      </c>
      <c r="H219" s="22">
        <f>IF(OR(J219="",K219="",K219&lt;J219),0,NETWORKDAYS(J219,K219,fESTIVOS!$A$2:$A$53))</f>
        <v>0</v>
      </c>
      <c r="I219" s="98">
        <v>45975</v>
      </c>
      <c r="J219" s="99">
        <v>45975</v>
      </c>
      <c r="K219" s="99"/>
      <c r="L219" s="99">
        <v>45979</v>
      </c>
      <c r="M219" s="27">
        <f ca="1">IF(OR(J219="",AND(L219="",TODAY()&lt;J219),AND(L219&lt;&gt;"",L219&lt;J219)),0,
   IF(L219="",
      NETWORKDAYS(J219,TODAY(),fESTIVOS!$A$2:$A$53),
      NETWORKDAYS(J219,L219,fESTIVOS!$A$2:$A$53)
   )
)</f>
        <v>2</v>
      </c>
      <c r="N219" s="28"/>
      <c r="O219" s="98"/>
      <c r="P219" s="100"/>
      <c r="Q219" s="34" t="s">
        <v>1135</v>
      </c>
      <c r="R219" s="31" t="s">
        <v>78</v>
      </c>
      <c r="S219" s="101"/>
      <c r="T219" s="101"/>
      <c r="U219" s="102"/>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row>
    <row r="220" spans="1:67" ht="29.25" customHeight="1">
      <c r="A220" s="92" t="s">
        <v>67</v>
      </c>
      <c r="B220" s="105" t="s">
        <v>1136</v>
      </c>
      <c r="C220" s="140" t="s">
        <v>1137</v>
      </c>
      <c r="D220" s="95" t="s">
        <v>1138</v>
      </c>
      <c r="E220" s="96"/>
      <c r="F220" s="20" t="s">
        <v>76</v>
      </c>
      <c r="G220" s="97">
        <v>100</v>
      </c>
      <c r="H220" s="22">
        <f>IF(OR(J220="",K220="",K220&lt;J220),0,NETWORKDAYS(J220,K220,fESTIVOS!$A$2:$A$53))</f>
        <v>0</v>
      </c>
      <c r="I220" s="98">
        <v>46021</v>
      </c>
      <c r="J220" s="99">
        <v>46022</v>
      </c>
      <c r="K220" s="99"/>
      <c r="L220" s="99">
        <v>46022</v>
      </c>
      <c r="M220" s="27">
        <f ca="1">IF(OR(J220="",AND(L220="",TODAY()&lt;J220),AND(L220&lt;&gt;"",L220&lt;J220)),0,
   IF(L220="",
      NETWORKDAYS(J220,TODAY(),fESTIVOS!$A$2:$A$53),
      NETWORKDAYS(J220,L220,fESTIVOS!$A$2:$A$53)
   )
)</f>
        <v>1</v>
      </c>
      <c r="N220" s="28"/>
      <c r="O220" s="98"/>
      <c r="P220" s="100"/>
      <c r="Q220" s="34" t="s">
        <v>1139</v>
      </c>
      <c r="R220" s="31" t="s">
        <v>78</v>
      </c>
      <c r="S220" s="101"/>
      <c r="T220" s="101"/>
      <c r="U220" s="102"/>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row>
    <row r="221" spans="1:67" ht="29.25" customHeight="1">
      <c r="A221" s="122" t="s">
        <v>210</v>
      </c>
      <c r="B221" s="105" t="s">
        <v>1140</v>
      </c>
      <c r="C221" s="140" t="s">
        <v>1141</v>
      </c>
      <c r="D221" s="95"/>
      <c r="E221" s="96"/>
      <c r="F221" s="20" t="s">
        <v>76</v>
      </c>
      <c r="G221" s="97">
        <v>100</v>
      </c>
      <c r="H221" s="22">
        <f>IF(OR(J221="",K221="",K221&lt;J221),0,NETWORKDAYS(J221,K221,fESTIVOS!$A$2:$A$53))</f>
        <v>0</v>
      </c>
      <c r="I221" s="98">
        <v>46022</v>
      </c>
      <c r="J221" s="99">
        <v>46064</v>
      </c>
      <c r="K221" s="99"/>
      <c r="L221" s="99">
        <v>46064</v>
      </c>
      <c r="M221" s="27">
        <f ca="1">IF(OR(J221="",AND(L221="",TODAY()&lt;J221),AND(L221&lt;&gt;"",L221&lt;J221)),0,
   IF(L221="",
      NETWORKDAYS(J221,TODAY(),fESTIVOS!$A$2:$A$53),
      NETWORKDAYS(J221,L221,fESTIVOS!$A$2:$A$53)
   )
)</f>
        <v>1</v>
      </c>
      <c r="N221" s="28"/>
      <c r="O221" s="98"/>
      <c r="P221" s="100"/>
      <c r="Q221" s="34" t="s">
        <v>1142</v>
      </c>
      <c r="R221" s="31" t="s">
        <v>78</v>
      </c>
      <c r="S221" s="101"/>
      <c r="T221" s="101"/>
      <c r="U221" s="102"/>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spans="1:67" ht="29.25" customHeight="1">
      <c r="A222" s="92" t="s">
        <v>67</v>
      </c>
      <c r="B222" s="105" t="s">
        <v>1143</v>
      </c>
      <c r="C222" s="140" t="s">
        <v>1144</v>
      </c>
      <c r="D222" s="95" t="s">
        <v>1145</v>
      </c>
      <c r="E222" s="96"/>
      <c r="F222" s="20" t="s">
        <v>76</v>
      </c>
      <c r="G222" s="97">
        <v>100</v>
      </c>
      <c r="H222" s="22">
        <f>IF(OR(J222="",K222="",K222&lt;J222),0,NETWORKDAYS(J222,K222,fESTIVOS!$A$2:$A$53))</f>
        <v>0</v>
      </c>
      <c r="I222" s="98">
        <v>46001</v>
      </c>
      <c r="J222" s="99">
        <v>46001</v>
      </c>
      <c r="K222" s="99"/>
      <c r="L222" s="99">
        <v>46001</v>
      </c>
      <c r="M222" s="27">
        <f ca="1">IF(OR(J222="",AND(L222="",TODAY()&lt;J222),AND(L222&lt;&gt;"",L222&lt;J222)),0,
   IF(L222="",
      NETWORKDAYS(J222,TODAY(),fESTIVOS!$A$2:$A$53),
      NETWORKDAYS(J222,L222,fESTIVOS!$A$2:$A$53)
   )
)</f>
        <v>1</v>
      </c>
      <c r="N222" s="28"/>
      <c r="O222" s="98"/>
      <c r="P222" s="100"/>
      <c r="Q222" s="34" t="s">
        <v>1146</v>
      </c>
      <c r="R222" s="31" t="s">
        <v>78</v>
      </c>
      <c r="S222" s="101"/>
      <c r="T222" s="101"/>
      <c r="U222" s="102"/>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spans="1:67" ht="29.25" customHeight="1">
      <c r="A223" s="92" t="s">
        <v>67</v>
      </c>
      <c r="B223" s="105" t="s">
        <v>1147</v>
      </c>
      <c r="C223" s="140" t="s">
        <v>1148</v>
      </c>
      <c r="D223" s="95" t="s">
        <v>1149</v>
      </c>
      <c r="E223" s="96"/>
      <c r="F223" s="20" t="s">
        <v>76</v>
      </c>
      <c r="G223" s="97">
        <v>100</v>
      </c>
      <c r="H223" s="22">
        <f>IF(OR(J223="",K223="",K223&lt;J223),0,NETWORKDAYS(J223,K223,fESTIVOS!$A$2:$A$53))</f>
        <v>0</v>
      </c>
      <c r="I223" s="98">
        <v>46002</v>
      </c>
      <c r="J223" s="99">
        <v>46002</v>
      </c>
      <c r="K223" s="99"/>
      <c r="L223" s="99">
        <v>46008</v>
      </c>
      <c r="M223" s="27">
        <f ca="1">IF(OR(J223="",AND(L223="",TODAY()&lt;J223),AND(L223&lt;&gt;"",L223&lt;J223)),0,
   IF(L223="",
      NETWORKDAYS(J223,TODAY(),fESTIVOS!$A$2:$A$53),
      NETWORKDAYS(J223,L223,fESTIVOS!$A$2:$A$53)
   )
)</f>
        <v>5</v>
      </c>
      <c r="N223" s="28"/>
      <c r="O223" s="98"/>
      <c r="P223" s="100"/>
      <c r="Q223" s="88" t="s">
        <v>1150</v>
      </c>
      <c r="R223" s="31" t="s">
        <v>78</v>
      </c>
      <c r="S223" s="101"/>
      <c r="T223" s="101"/>
      <c r="U223" s="102"/>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spans="1:67" ht="29.25" customHeight="1">
      <c r="A224" s="92" t="s">
        <v>67</v>
      </c>
      <c r="B224" s="105" t="s">
        <v>1151</v>
      </c>
      <c r="C224" s="140" t="s">
        <v>1152</v>
      </c>
      <c r="D224" s="95" t="s">
        <v>1153</v>
      </c>
      <c r="E224" s="96"/>
      <c r="F224" s="20" t="s">
        <v>76</v>
      </c>
      <c r="G224" s="97">
        <v>100</v>
      </c>
      <c r="H224" s="22">
        <f>IF(OR(J224="",K224="",K224&lt;J224),0,NETWORKDAYS(J224,K224,fESTIVOS!$A$2:$A$53))</f>
        <v>0</v>
      </c>
      <c r="I224" s="98">
        <v>46002</v>
      </c>
      <c r="J224" s="99">
        <v>46002</v>
      </c>
      <c r="K224" s="99"/>
      <c r="L224" s="99">
        <v>46008</v>
      </c>
      <c r="M224" s="27">
        <f ca="1">IF(OR(J224="",AND(L224="",TODAY()&lt;J224),AND(L224&lt;&gt;"",L224&lt;J224)),0,
   IF(L224="",
      NETWORKDAYS(J224,TODAY(),fESTIVOS!$A$2:$A$53),
      NETWORKDAYS(J224,L224,fESTIVOS!$A$2:$A$53)
   )
)</f>
        <v>5</v>
      </c>
      <c r="N224" s="28"/>
      <c r="O224" s="98"/>
      <c r="P224" s="100"/>
      <c r="Q224" s="34" t="s">
        <v>1154</v>
      </c>
      <c r="R224" s="31" t="s">
        <v>78</v>
      </c>
      <c r="S224" s="101"/>
      <c r="T224" s="101"/>
      <c r="U224" s="102"/>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row>
    <row r="225" spans="1:67" ht="29.25" customHeight="1">
      <c r="A225" s="92" t="s">
        <v>67</v>
      </c>
      <c r="B225" s="105" t="s">
        <v>1155</v>
      </c>
      <c r="C225" s="140" t="s">
        <v>1156</v>
      </c>
      <c r="D225" s="95" t="s">
        <v>1157</v>
      </c>
      <c r="E225" s="96"/>
      <c r="F225" s="20" t="s">
        <v>76</v>
      </c>
      <c r="G225" s="97">
        <v>100</v>
      </c>
      <c r="H225" s="22">
        <f>IF(OR(J225="",K225="",K225&lt;J225),0,NETWORKDAYS(J225,K225,fESTIVOS!$A$2:$A$53))</f>
        <v>0</v>
      </c>
      <c r="I225" s="98">
        <v>46007</v>
      </c>
      <c r="J225" s="99">
        <v>46009</v>
      </c>
      <c r="K225" s="99"/>
      <c r="L225" s="99">
        <v>46021</v>
      </c>
      <c r="M225" s="27">
        <f ca="1">IF(OR(J225="",AND(L225="",TODAY()&lt;J225),AND(L225&lt;&gt;"",L225&lt;J225)),0,
   IF(L225="",
      NETWORKDAYS(J225,TODAY(),fESTIVOS!$A$2:$A$53),
      NETWORKDAYS(J225,L225,fESTIVOS!$A$2:$A$53)
   )
)</f>
        <v>8</v>
      </c>
      <c r="N225" s="28"/>
      <c r="O225" s="98"/>
      <c r="P225" s="100"/>
      <c r="Q225" s="34" t="s">
        <v>1158</v>
      </c>
      <c r="R225" s="31" t="s">
        <v>78</v>
      </c>
      <c r="S225" s="101"/>
      <c r="T225" s="101"/>
      <c r="U225" s="102"/>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row>
    <row r="226" spans="1:67" ht="29.25" customHeight="1">
      <c r="A226" s="92" t="s">
        <v>67</v>
      </c>
      <c r="B226" s="105" t="s">
        <v>1159</v>
      </c>
      <c r="C226" s="140" t="s">
        <v>1160</v>
      </c>
      <c r="D226" s="95" t="s">
        <v>1161</v>
      </c>
      <c r="E226" s="96"/>
      <c r="F226" s="20" t="s">
        <v>76</v>
      </c>
      <c r="G226" s="97">
        <v>100</v>
      </c>
      <c r="H226" s="22">
        <f>IF(OR(J226="",K226="",K226&lt;J226),0,NETWORKDAYS(J226,K226,fESTIVOS!$A$2:$A$53))</f>
        <v>0</v>
      </c>
      <c r="I226" s="98">
        <v>46022</v>
      </c>
      <c r="J226" s="99">
        <v>45993</v>
      </c>
      <c r="K226" s="99"/>
      <c r="L226" s="99">
        <v>46024</v>
      </c>
      <c r="M226" s="27">
        <f ca="1">IF(OR(J226="",AND(L226="",TODAY()&lt;J226),AND(L226&lt;&gt;"",L226&lt;J226)),0,
   IF(L226="",
      NETWORKDAYS(J226,TODAY(),fESTIVOS!$A$2:$A$53),
      NETWORKDAYS(J226,L226,fESTIVOS!$A$2:$A$53)
   )
)</f>
        <v>21</v>
      </c>
      <c r="N226" s="28"/>
      <c r="O226" s="98"/>
      <c r="P226" s="100"/>
      <c r="Q226" s="34" t="s">
        <v>1162</v>
      </c>
      <c r="R226" s="31" t="s">
        <v>78</v>
      </c>
      <c r="S226" s="101"/>
      <c r="T226" s="101"/>
      <c r="U226" s="102"/>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row>
    <row r="227" spans="1:67" ht="29.25" customHeight="1">
      <c r="A227" s="92" t="s">
        <v>67</v>
      </c>
      <c r="B227" s="105" t="s">
        <v>1163</v>
      </c>
      <c r="C227" s="106" t="s">
        <v>1164</v>
      </c>
      <c r="D227" s="95"/>
      <c r="E227" s="96"/>
      <c r="F227" s="20" t="s">
        <v>76</v>
      </c>
      <c r="G227" s="97">
        <v>100</v>
      </c>
      <c r="H227" s="22">
        <f>IF(OR(J227="",K227="",K227&lt;J227),0,NETWORKDAYS(J227,K227,fESTIVOS!$A$2:$A$53))</f>
        <v>0</v>
      </c>
      <c r="I227" s="98">
        <v>45965</v>
      </c>
      <c r="J227" s="99">
        <v>45965</v>
      </c>
      <c r="K227" s="99"/>
      <c r="L227" s="99">
        <v>45974</v>
      </c>
      <c r="M227" s="27">
        <f ca="1">IF(OR(J227="",AND(L227="",TODAY()&lt;J227),AND(L227&lt;&gt;"",L227&lt;J227)),0,
   IF(L227="",
      NETWORKDAYS(J227,TODAY(),fESTIVOS!$A$2:$A$53),
      NETWORKDAYS(J227,L227,fESTIVOS!$A$2:$A$53)
   )
)</f>
        <v>8</v>
      </c>
      <c r="N227" s="28"/>
      <c r="O227" s="98"/>
      <c r="P227" s="100">
        <v>45974</v>
      </c>
      <c r="Q227" s="34" t="s">
        <v>1165</v>
      </c>
      <c r="R227" s="31" t="s">
        <v>78</v>
      </c>
      <c r="S227" s="97">
        <v>1</v>
      </c>
      <c r="T227" s="101"/>
      <c r="U227" s="102"/>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row>
    <row r="228" spans="1:67" ht="29.25" customHeight="1">
      <c r="A228" s="92" t="s">
        <v>1166</v>
      </c>
      <c r="B228" s="105" t="s">
        <v>1167</v>
      </c>
      <c r="C228" s="106" t="s">
        <v>1168</v>
      </c>
      <c r="D228" s="95" t="s">
        <v>1169</v>
      </c>
      <c r="E228" s="96"/>
      <c r="F228" s="20" t="s">
        <v>250</v>
      </c>
      <c r="G228" s="97">
        <v>50</v>
      </c>
      <c r="H228" s="22">
        <f>IF(OR(J228="",K228="",K228&lt;J228),0,NETWORKDAYS(J228,K228,fESTIVOS!$A$2:$A$53))</f>
        <v>0</v>
      </c>
      <c r="I228" s="98">
        <v>45965</v>
      </c>
      <c r="J228" s="99">
        <v>45966</v>
      </c>
      <c r="K228" s="99"/>
      <c r="L228" s="99"/>
      <c r="M228" s="27">
        <f ca="1">IF(OR(J228="",AND(L228="",TODAY()&lt;J228),AND(L228&lt;&gt;"",L228&lt;J228)),0,
   IF(L228="",
      NETWORKDAYS(J228,TODAY(),fESTIVOS!$A$2:$A$53),
      NETWORKDAYS(J228,L228,fESTIVOS!$A$2:$A$53)
   )
)</f>
        <v>83</v>
      </c>
      <c r="N228" s="28"/>
      <c r="O228" s="98"/>
      <c r="P228" s="100"/>
      <c r="Q228" s="34" t="s">
        <v>1170</v>
      </c>
      <c r="R228" s="31" t="s">
        <v>633</v>
      </c>
      <c r="S228" s="101"/>
      <c r="T228" s="101"/>
      <c r="U228" s="102"/>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spans="1:67" ht="29.25" customHeight="1">
      <c r="A229" s="92" t="s">
        <v>67</v>
      </c>
      <c r="B229" s="105" t="s">
        <v>1171</v>
      </c>
      <c r="C229" s="106" t="s">
        <v>1172</v>
      </c>
      <c r="D229" s="95"/>
      <c r="E229" s="96"/>
      <c r="F229" s="20" t="s">
        <v>76</v>
      </c>
      <c r="G229" s="97">
        <v>100</v>
      </c>
      <c r="H229" s="22">
        <f>IF(OR(J229="",K229="",K229&lt;J229),0,NETWORKDAYS(J229,K229,fESTIVOS!$A$2:$A$53))</f>
        <v>0</v>
      </c>
      <c r="I229" s="98">
        <v>45967</v>
      </c>
      <c r="J229" s="99">
        <v>45979</v>
      </c>
      <c r="K229" s="99"/>
      <c r="L229" s="99">
        <v>45979</v>
      </c>
      <c r="M229" s="27">
        <f ca="1">IF(OR(J229="",AND(L229="",TODAY()&lt;J229),AND(L229&lt;&gt;"",L229&lt;J229)),0,
   IF(L229="",
      NETWORKDAYS(J229,TODAY(),fESTIVOS!$A$2:$A$53),
      NETWORKDAYS(J229,L229,fESTIVOS!$A$2:$A$53)
   )
)</f>
        <v>1</v>
      </c>
      <c r="N229" s="28"/>
      <c r="O229" s="98"/>
      <c r="P229" s="100"/>
      <c r="Q229" s="34" t="s">
        <v>1173</v>
      </c>
      <c r="R229" s="31" t="s">
        <v>78</v>
      </c>
      <c r="S229" s="101"/>
      <c r="T229" s="101"/>
      <c r="U229" s="102"/>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spans="1:67" ht="29.25" customHeight="1">
      <c r="A230" s="92" t="s">
        <v>67</v>
      </c>
      <c r="B230" s="105" t="s">
        <v>1174</v>
      </c>
      <c r="C230" s="150" t="s">
        <v>1175</v>
      </c>
      <c r="D230" s="95" t="s">
        <v>1176</v>
      </c>
      <c r="E230" s="96"/>
      <c r="F230" s="20" t="s">
        <v>76</v>
      </c>
      <c r="G230" s="97">
        <v>100</v>
      </c>
      <c r="H230" s="22">
        <f>IF(OR(J230="",K230="",K230&lt;J230),0,NETWORKDAYS(J230,K230,fESTIVOS!$A$2:$A$53))</f>
        <v>0</v>
      </c>
      <c r="I230" s="98">
        <v>45972</v>
      </c>
      <c r="J230" s="99">
        <v>45974</v>
      </c>
      <c r="K230" s="99"/>
      <c r="L230" s="99">
        <v>45974</v>
      </c>
      <c r="M230" s="27">
        <f ca="1">IF(OR(J230="",AND(L230="",TODAY()&lt;J230),AND(L230&lt;&gt;"",L230&lt;J230)),0,
   IF(L230="",
      NETWORKDAYS(J230,TODAY(),fESTIVOS!$A$2:$A$53),
      NETWORKDAYS(J230,L230,fESTIVOS!$A$2:$A$53)
   )
)</f>
        <v>1</v>
      </c>
      <c r="N230" s="28"/>
      <c r="O230" s="98"/>
      <c r="P230" s="100"/>
      <c r="Q230" s="34" t="s">
        <v>1177</v>
      </c>
      <c r="R230" s="31" t="s">
        <v>78</v>
      </c>
      <c r="S230" s="101"/>
      <c r="T230" s="101"/>
      <c r="U230" s="102"/>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spans="1:67" ht="29.25" customHeight="1">
      <c r="A231" s="92" t="s">
        <v>67</v>
      </c>
      <c r="B231" s="105" t="s">
        <v>1178</v>
      </c>
      <c r="C231" s="150" t="s">
        <v>1179</v>
      </c>
      <c r="D231" s="200" t="s">
        <v>1180</v>
      </c>
      <c r="E231" s="96"/>
      <c r="F231" s="20" t="s">
        <v>76</v>
      </c>
      <c r="G231" s="97">
        <v>100</v>
      </c>
      <c r="H231" s="22">
        <f>IF(OR(J231="",K231="",K231&lt;J231),0,NETWORKDAYS(J231,K231,fESTIVOS!$A$2:$A$53))</f>
        <v>0</v>
      </c>
      <c r="I231" s="98">
        <v>45972</v>
      </c>
      <c r="J231" s="99">
        <v>45979</v>
      </c>
      <c r="K231" s="99"/>
      <c r="L231" s="99">
        <v>45979</v>
      </c>
      <c r="M231" s="27">
        <f ca="1">IF(OR(J231="",AND(L231="",TODAY()&lt;J231),AND(L231&lt;&gt;"",L231&lt;J231)),0,
   IF(L231="",
      NETWORKDAYS(J231,TODAY(),fESTIVOS!$A$2:$A$53),
      NETWORKDAYS(J231,L231,fESTIVOS!$A$2:$A$53)
   )
)</f>
        <v>1</v>
      </c>
      <c r="N231" s="28"/>
      <c r="O231" s="98"/>
      <c r="P231" s="100"/>
      <c r="Q231" s="34" t="s">
        <v>1181</v>
      </c>
      <c r="R231" s="31" t="s">
        <v>78</v>
      </c>
      <c r="S231" s="101"/>
      <c r="T231" s="101"/>
      <c r="U231" s="102"/>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spans="1:67" ht="29.25" customHeight="1">
      <c r="A232" s="92" t="s">
        <v>1182</v>
      </c>
      <c r="B232" s="105" t="s">
        <v>1183</v>
      </c>
      <c r="C232" s="106" t="s">
        <v>1184</v>
      </c>
      <c r="D232" s="95"/>
      <c r="E232" s="96"/>
      <c r="F232" s="20" t="s">
        <v>250</v>
      </c>
      <c r="G232" s="97"/>
      <c r="H232" s="22">
        <f>IF(OR(J232="",K232="",K232&lt;J232),0,NETWORKDAYS(J232,K232,fESTIVOS!$A$2:$A$53))</f>
        <v>0</v>
      </c>
      <c r="I232" s="98"/>
      <c r="J232" s="99"/>
      <c r="K232" s="99"/>
      <c r="L232" s="99"/>
      <c r="M232" s="27">
        <f ca="1">IF(OR(J232="",AND(L232="",TODAY()&lt;J232),AND(L232&lt;&gt;"",L232&lt;J232)),0,
   IF(L232="",
      NETWORKDAYS(J232,TODAY(),fESTIVOS!$A$2:$A$53),
      NETWORKDAYS(J232,L232,fESTIVOS!$A$2:$A$53)
   )
)</f>
        <v>0</v>
      </c>
      <c r="N232" s="28"/>
      <c r="O232" s="98"/>
      <c r="P232" s="100"/>
      <c r="Q232" s="34" t="s">
        <v>1185</v>
      </c>
      <c r="R232" s="31" t="s">
        <v>93</v>
      </c>
      <c r="S232" s="101"/>
      <c r="T232" s="101"/>
      <c r="U232" s="102"/>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spans="1:67" ht="29.25" customHeight="1">
      <c r="A233" s="92" t="s">
        <v>67</v>
      </c>
      <c r="B233" s="105" t="s">
        <v>1186</v>
      </c>
      <c r="C233" s="106" t="s">
        <v>1187</v>
      </c>
      <c r="D233" s="95" t="s">
        <v>1188</v>
      </c>
      <c r="E233" s="96"/>
      <c r="F233" s="20" t="s">
        <v>76</v>
      </c>
      <c r="G233" s="97">
        <v>100</v>
      </c>
      <c r="H233" s="22">
        <f>IF(OR(J233="",K233="",K233&lt;J233),0,NETWORKDAYS(J233,K233,fESTIVOS!$A$2:$A$53))</f>
        <v>0</v>
      </c>
      <c r="I233" s="98">
        <v>45940</v>
      </c>
      <c r="J233" s="99">
        <v>45945</v>
      </c>
      <c r="K233" s="99"/>
      <c r="L233" s="99">
        <v>45947</v>
      </c>
      <c r="M233" s="27">
        <f ca="1">IF(OR(J233="",AND(L233="",TODAY()&lt;J233),AND(L233&lt;&gt;"",L233&lt;J233)),0,
   IF(L233="",
      NETWORKDAYS(J233,TODAY(),fESTIVOS!$A$2:$A$53),
      NETWORKDAYS(J233,L233,fESTIVOS!$A$2:$A$53)
   )
)</f>
        <v>3</v>
      </c>
      <c r="N233" s="28"/>
      <c r="O233" s="98"/>
      <c r="P233" s="100"/>
      <c r="Q233" s="34" t="s">
        <v>1189</v>
      </c>
      <c r="R233" s="31" t="s">
        <v>78</v>
      </c>
      <c r="S233" s="101"/>
      <c r="T233" s="101"/>
      <c r="U233" s="102"/>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spans="1:67" ht="29.25" customHeight="1">
      <c r="A234" s="92" t="s">
        <v>67</v>
      </c>
      <c r="B234" s="105" t="s">
        <v>1190</v>
      </c>
      <c r="C234" s="106" t="s">
        <v>1191</v>
      </c>
      <c r="D234" s="95" t="s">
        <v>1192</v>
      </c>
      <c r="E234" s="96"/>
      <c r="F234" s="20" t="s">
        <v>76</v>
      </c>
      <c r="G234" s="97">
        <v>100</v>
      </c>
      <c r="H234" s="22">
        <f>IF(OR(J234="",K234="",K234&lt;J234),0,NETWORKDAYS(J234,K234,fESTIVOS!$A$2:$A$53))</f>
        <v>0</v>
      </c>
      <c r="I234" s="98">
        <v>45947</v>
      </c>
      <c r="J234" s="99">
        <v>45947</v>
      </c>
      <c r="K234" s="99"/>
      <c r="L234" s="99">
        <v>45947</v>
      </c>
      <c r="M234" s="27">
        <f ca="1">IF(OR(J234="",AND(L234="",TODAY()&lt;J234),AND(L234&lt;&gt;"",L234&lt;J234)),0,
   IF(L234="",
      NETWORKDAYS(J234,TODAY(),fESTIVOS!$A$2:$A$53),
      NETWORKDAYS(J234,L234,fESTIVOS!$A$2:$A$53)
   )
)</f>
        <v>1</v>
      </c>
      <c r="N234" s="28"/>
      <c r="O234" s="98"/>
      <c r="P234" s="100"/>
      <c r="Q234" s="34" t="s">
        <v>1193</v>
      </c>
      <c r="R234" s="31" t="s">
        <v>78</v>
      </c>
      <c r="S234" s="101"/>
      <c r="T234" s="101"/>
      <c r="U234" s="102"/>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spans="1:67" ht="29.25" customHeight="1">
      <c r="A235" s="92" t="s">
        <v>67</v>
      </c>
      <c r="B235" s="105" t="s">
        <v>1194</v>
      </c>
      <c r="C235" s="106" t="s">
        <v>1195</v>
      </c>
      <c r="D235" s="95" t="s">
        <v>1196</v>
      </c>
      <c r="E235" s="96"/>
      <c r="F235" s="20" t="s">
        <v>76</v>
      </c>
      <c r="G235" s="97">
        <v>100</v>
      </c>
      <c r="H235" s="22">
        <f>IF(OR(J235="",K235="",K235&lt;J235),0,NETWORKDAYS(J235,K235,fESTIVOS!$A$2:$A$53))</f>
        <v>0</v>
      </c>
      <c r="I235" s="98">
        <v>45940</v>
      </c>
      <c r="J235" s="99">
        <v>45945</v>
      </c>
      <c r="K235" s="99"/>
      <c r="L235" s="99">
        <v>45945</v>
      </c>
      <c r="M235" s="27">
        <f ca="1">IF(OR(J235="",AND(L235="",TODAY()&lt;J235),AND(L235&lt;&gt;"",L235&lt;J235)),0,
   IF(L235="",
      NETWORKDAYS(J235,TODAY(),fESTIVOS!$A$2:$A$53),
      NETWORKDAYS(J235,L235,fESTIVOS!$A$2:$A$53)
   )
)</f>
        <v>1</v>
      </c>
      <c r="N235" s="28"/>
      <c r="O235" s="98"/>
      <c r="P235" s="100"/>
      <c r="Q235" s="34" t="s">
        <v>1197</v>
      </c>
      <c r="R235" s="31" t="s">
        <v>78</v>
      </c>
      <c r="S235" s="101"/>
      <c r="T235" s="101"/>
      <c r="U235" s="102"/>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spans="1:67" ht="29.25" customHeight="1">
      <c r="A236" s="92" t="s">
        <v>67</v>
      </c>
      <c r="B236" s="105" t="s">
        <v>1198</v>
      </c>
      <c r="C236" s="106" t="s">
        <v>1199</v>
      </c>
      <c r="D236" s="95" t="s">
        <v>1200</v>
      </c>
      <c r="E236" s="96"/>
      <c r="F236" s="20" t="s">
        <v>76</v>
      </c>
      <c r="G236" s="97">
        <v>100</v>
      </c>
      <c r="H236" s="22">
        <f>IF(OR(J236="",K236="",K236&lt;J236),0,NETWORKDAYS(J236,K236,fESTIVOS!$A$2:$A$53))</f>
        <v>0</v>
      </c>
      <c r="I236" s="98">
        <v>45940</v>
      </c>
      <c r="J236" s="99">
        <v>45945</v>
      </c>
      <c r="K236" s="99"/>
      <c r="L236" s="99">
        <v>45945</v>
      </c>
      <c r="M236" s="27">
        <f ca="1">IF(OR(J236="",AND(L236="",TODAY()&lt;J236),AND(L236&lt;&gt;"",L236&lt;J236)),0,
   IF(L236="",
      NETWORKDAYS(J236,TODAY(),fESTIVOS!$A$2:$A$53),
      NETWORKDAYS(J236,L236,fESTIVOS!$A$2:$A$53)
   )
)</f>
        <v>1</v>
      </c>
      <c r="N236" s="28"/>
      <c r="O236" s="98"/>
      <c r="P236" s="100"/>
      <c r="Q236" s="34" t="s">
        <v>1201</v>
      </c>
      <c r="R236" s="31" t="s">
        <v>78</v>
      </c>
      <c r="S236" s="101"/>
      <c r="T236" s="101"/>
      <c r="U236" s="102"/>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spans="1:67" ht="29.25" customHeight="1">
      <c r="A237" s="92" t="s">
        <v>67</v>
      </c>
      <c r="B237" s="105" t="s">
        <v>1202</v>
      </c>
      <c r="C237" s="106" t="s">
        <v>1203</v>
      </c>
      <c r="D237" s="95" t="s">
        <v>1204</v>
      </c>
      <c r="E237" s="96"/>
      <c r="F237" s="20" t="s">
        <v>76</v>
      </c>
      <c r="G237" s="97">
        <v>100</v>
      </c>
      <c r="H237" s="22">
        <f>IF(OR(J237="",K237="",K237&lt;J237),0,NETWORKDAYS(J237,K237,fESTIVOS!$A$2:$A$53))</f>
        <v>0</v>
      </c>
      <c r="I237" s="98">
        <v>45930</v>
      </c>
      <c r="J237" s="99">
        <v>45930</v>
      </c>
      <c r="K237" s="99"/>
      <c r="L237" s="99">
        <v>45930</v>
      </c>
      <c r="M237" s="27">
        <f ca="1">IF(OR(J237="",AND(L237="",TODAY()&lt;J237),AND(L237&lt;&gt;"",L237&lt;J237)),0,
   IF(L237="",
      NETWORKDAYS(J237,TODAY(),fESTIVOS!$A$2:$A$53),
      NETWORKDAYS(J237,L237,fESTIVOS!$A$2:$A$53)
   )
)</f>
        <v>1</v>
      </c>
      <c r="N237" s="28"/>
      <c r="O237" s="98"/>
      <c r="P237" s="100"/>
      <c r="Q237" s="34" t="s">
        <v>1205</v>
      </c>
      <c r="R237" s="31" t="s">
        <v>78</v>
      </c>
      <c r="S237" s="101"/>
      <c r="T237" s="101"/>
      <c r="U237" s="102"/>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row>
    <row r="238" spans="1:67" ht="29.25" customHeight="1">
      <c r="A238" s="92" t="s">
        <v>67</v>
      </c>
      <c r="B238" s="105" t="s">
        <v>1206</v>
      </c>
      <c r="C238" s="106" t="s">
        <v>1207</v>
      </c>
      <c r="D238" s="95" t="s">
        <v>1208</v>
      </c>
      <c r="E238" s="96"/>
      <c r="F238" s="20" t="s">
        <v>76</v>
      </c>
      <c r="G238" s="97">
        <v>100</v>
      </c>
      <c r="H238" s="22">
        <f>IF(OR(J238="",K238="",K238&lt;J238),0,NETWORKDAYS(J238,K238,fESTIVOS!$A$2:$A$53))</f>
        <v>0</v>
      </c>
      <c r="I238" s="98">
        <v>45916</v>
      </c>
      <c r="J238" s="99">
        <v>45916</v>
      </c>
      <c r="K238" s="99"/>
      <c r="L238" s="99">
        <v>45916</v>
      </c>
      <c r="M238" s="27">
        <f ca="1">IF(OR(J238="",AND(L238="",TODAY()&lt;J238),AND(L238&lt;&gt;"",L238&lt;J238)),0,
   IF(L238="",
      NETWORKDAYS(J238,TODAY(),fESTIVOS!$A$2:$A$53),
      NETWORKDAYS(J238,L238,fESTIVOS!$A$2:$A$53)
   )
)</f>
        <v>1</v>
      </c>
      <c r="N238" s="28"/>
      <c r="O238" s="98"/>
      <c r="P238" s="100">
        <v>45916</v>
      </c>
      <c r="Q238" s="34" t="s">
        <v>1209</v>
      </c>
      <c r="R238" s="31" t="s">
        <v>78</v>
      </c>
      <c r="S238" s="101"/>
      <c r="T238" s="101"/>
      <c r="U238" s="102"/>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row>
    <row r="239" spans="1:67" ht="29.25" customHeight="1">
      <c r="A239" s="92" t="s">
        <v>67</v>
      </c>
      <c r="B239" s="105" t="s">
        <v>1210</v>
      </c>
      <c r="C239" s="106" t="s">
        <v>1211</v>
      </c>
      <c r="D239" s="95" t="s">
        <v>1212</v>
      </c>
      <c r="E239" s="96"/>
      <c r="F239" s="20" t="s">
        <v>76</v>
      </c>
      <c r="G239" s="97">
        <v>100</v>
      </c>
      <c r="H239" s="22">
        <f>IF(OR(J239="",K239="",K239&lt;J239),0,NETWORKDAYS(J239,K239,fESTIVOS!$A$2:$A$53))</f>
        <v>0</v>
      </c>
      <c r="I239" s="98">
        <v>45910</v>
      </c>
      <c r="J239" s="99">
        <v>45910</v>
      </c>
      <c r="K239" s="99"/>
      <c r="L239" s="99">
        <v>45910</v>
      </c>
      <c r="M239" s="27">
        <f ca="1">IF(OR(J239="",AND(L239="",TODAY()&lt;J239),AND(L239&lt;&gt;"",L239&lt;J239)),0,
   IF(L239="",
      NETWORKDAYS(J239,TODAY(),fESTIVOS!$A$2:$A$53),
      NETWORKDAYS(J239,L239,fESTIVOS!$A$2:$A$53)
   )
)</f>
        <v>1</v>
      </c>
      <c r="N239" s="28"/>
      <c r="O239" s="98"/>
      <c r="P239" s="100"/>
      <c r="Q239" s="34" t="s">
        <v>1213</v>
      </c>
      <c r="R239" s="31" t="s">
        <v>78</v>
      </c>
      <c r="S239" s="101"/>
      <c r="T239" s="101"/>
      <c r="U239" s="102"/>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row>
    <row r="240" spans="1:67" ht="29.25" customHeight="1">
      <c r="A240" s="92" t="s">
        <v>157</v>
      </c>
      <c r="B240" s="105" t="s">
        <v>1214</v>
      </c>
      <c r="C240" s="106" t="s">
        <v>1215</v>
      </c>
      <c r="D240" s="95" t="s">
        <v>1216</v>
      </c>
      <c r="E240" s="96"/>
      <c r="F240" s="20" t="s">
        <v>76</v>
      </c>
      <c r="G240" s="97">
        <v>100</v>
      </c>
      <c r="H240" s="22">
        <f>IF(OR(J240="",K240="",K240&lt;J240),0,NETWORKDAYS(J240,K240,fESTIVOS!$A$2:$A$53))</f>
        <v>0</v>
      </c>
      <c r="I240" s="98">
        <v>45908</v>
      </c>
      <c r="J240" s="99">
        <v>45909</v>
      </c>
      <c r="K240" s="99"/>
      <c r="L240" s="99">
        <v>45909</v>
      </c>
      <c r="M240" s="27">
        <f ca="1">IF(OR(J240="",AND(L240="",TODAY()&lt;J240),AND(L240&lt;&gt;"",L240&lt;J240)),0,
   IF(L240="",
      NETWORKDAYS(J240,TODAY(),fESTIVOS!$A$2:$A$53),
      NETWORKDAYS(J240,L240,fESTIVOS!$A$2:$A$53)
   )
)</f>
        <v>1</v>
      </c>
      <c r="N240" s="28"/>
      <c r="O240" s="98">
        <v>45909</v>
      </c>
      <c r="P240" s="100">
        <v>45910</v>
      </c>
      <c r="Q240" s="34" t="s">
        <v>1217</v>
      </c>
      <c r="R240" s="31" t="s">
        <v>78</v>
      </c>
      <c r="S240" s="101"/>
      <c r="T240" s="101"/>
      <c r="U240" s="102"/>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row>
    <row r="241" spans="1:67" ht="29.25" customHeight="1">
      <c r="A241" s="92" t="s">
        <v>128</v>
      </c>
      <c r="B241" s="105" t="s">
        <v>1218</v>
      </c>
      <c r="C241" s="106" t="s">
        <v>1219</v>
      </c>
      <c r="D241" s="95" t="s">
        <v>1220</v>
      </c>
      <c r="E241" s="96"/>
      <c r="F241" s="20" t="s">
        <v>76</v>
      </c>
      <c r="G241" s="97">
        <v>100</v>
      </c>
      <c r="H241" s="22">
        <f>IF(OR(J241="",K241="",K241&lt;J241),0,NETWORKDAYS(J241,K241,fESTIVOS!$A$2:$A$53))</f>
        <v>0</v>
      </c>
      <c r="I241" s="98">
        <v>45905</v>
      </c>
      <c r="J241" s="99">
        <v>45905</v>
      </c>
      <c r="K241" s="99"/>
      <c r="L241" s="99">
        <v>45908</v>
      </c>
      <c r="M241" s="27">
        <f ca="1">IF(OR(J241="",AND(L241="",TODAY()&lt;J241),AND(L241&lt;&gt;"",L241&lt;J241)),0,
   IF(L241="",
      NETWORKDAYS(J241,TODAY(),fESTIVOS!$A$2:$A$53),
      NETWORKDAYS(J241,L241,fESTIVOS!$A$2:$A$53)
   )
)</f>
        <v>2</v>
      </c>
      <c r="N241" s="28"/>
      <c r="O241" s="98"/>
      <c r="P241" s="100"/>
      <c r="Q241" s="34" t="s">
        <v>1221</v>
      </c>
      <c r="R241" s="31" t="s">
        <v>78</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spans="1:67" ht="29.25" customHeight="1">
      <c r="A242" s="92" t="s">
        <v>67</v>
      </c>
      <c r="B242" s="105" t="s">
        <v>1222</v>
      </c>
      <c r="C242" s="106" t="s">
        <v>1223</v>
      </c>
      <c r="D242" s="95" t="s">
        <v>1224</v>
      </c>
      <c r="E242" s="96"/>
      <c r="F242" s="20" t="s">
        <v>76</v>
      </c>
      <c r="G242" s="97">
        <v>100</v>
      </c>
      <c r="H242" s="22">
        <f>IF(OR(J242="",K242="",K242&lt;J242),0,NETWORKDAYS(J242,K242,fESTIVOS!$A$2:$A$53))</f>
        <v>0</v>
      </c>
      <c r="I242" s="98">
        <v>45890</v>
      </c>
      <c r="J242" s="99">
        <v>45890</v>
      </c>
      <c r="K242" s="99"/>
      <c r="L242" s="99">
        <v>45898</v>
      </c>
      <c r="M242" s="27">
        <f ca="1">IF(OR(J242="",AND(L242="",TODAY()&lt;J242),AND(L242&lt;&gt;"",L242&lt;J242)),0,
   IF(L242="",
      NETWORKDAYS(J242,TODAY(),fESTIVOS!$A$2:$A$53),
      NETWORKDAYS(J242,L242,fESTIVOS!$A$2:$A$53)
   )
)</f>
        <v>7</v>
      </c>
      <c r="N242" s="28"/>
      <c r="O242" s="98"/>
      <c r="P242" s="100"/>
      <c r="Q242" s="34" t="s">
        <v>1225</v>
      </c>
      <c r="R242" s="31" t="s">
        <v>78</v>
      </c>
      <c r="S242" s="101"/>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spans="1:67" ht="29.25" customHeight="1">
      <c r="A243" s="55" t="s">
        <v>128</v>
      </c>
      <c r="B243" s="105" t="s">
        <v>1226</v>
      </c>
      <c r="C243" s="106" t="s">
        <v>1227</v>
      </c>
      <c r="D243" s="95"/>
      <c r="E243" s="96"/>
      <c r="F243" s="111" t="s">
        <v>250</v>
      </c>
      <c r="G243" s="97"/>
      <c r="H243" s="22">
        <f>IF(OR(J243="",K243="",K243&lt;J243),0,NETWORKDAYS(J243,K243,fESTIVOS!$A$2:$A$53))</f>
        <v>0</v>
      </c>
      <c r="I243" s="191">
        <v>45912</v>
      </c>
      <c r="J243" s="183"/>
      <c r="K243" s="99"/>
      <c r="L243" s="99"/>
      <c r="M243" s="27">
        <f ca="1">IF(OR(J243="",AND(L243="",TODAY()&lt;J243),AND(L243&lt;&gt;"",L243&lt;J243)),0,
   IF(L243="",
      NETWORKDAYS(J243,TODAY(),fESTIVOS!$A$2:$A$53),
      NETWORKDAYS(J243,L243,fESTIVOS!$A$2:$A$53)
   )
)</f>
        <v>0</v>
      </c>
      <c r="N243" s="28"/>
      <c r="O243" s="98"/>
      <c r="P243" s="100"/>
      <c r="Q243" s="34" t="s">
        <v>1228</v>
      </c>
      <c r="R243" s="112" t="s">
        <v>93</v>
      </c>
      <c r="S243" s="97"/>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spans="1:67" ht="29.25" customHeight="1">
      <c r="A244" s="92" t="s">
        <v>128</v>
      </c>
      <c r="B244" s="105" t="s">
        <v>1229</v>
      </c>
      <c r="C244" s="106" t="s">
        <v>1230</v>
      </c>
      <c r="D244" s="95" t="s">
        <v>1231</v>
      </c>
      <c r="E244" s="96"/>
      <c r="F244" s="121" t="s">
        <v>76</v>
      </c>
      <c r="G244" s="97">
        <v>100</v>
      </c>
      <c r="H244" s="22">
        <f>IF(OR(J244="",K244="",K244&lt;J244),0,NETWORKDAYS(J244,K244,fESTIVOS!$A$2:$A$53))</f>
        <v>5</v>
      </c>
      <c r="I244" s="98">
        <v>45895</v>
      </c>
      <c r="J244" s="99">
        <v>45904</v>
      </c>
      <c r="K244" s="99">
        <v>45910</v>
      </c>
      <c r="L244" s="99">
        <v>45905</v>
      </c>
      <c r="M244" s="27">
        <f ca="1">IF(OR(J244="",AND(L244="",TODAY()&lt;J244),AND(L244&lt;&gt;"",L244&lt;J244)),0,
   IF(L244="",
      NETWORKDAYS(J244,TODAY(),fESTIVOS!$A$2:$A$53),
      NETWORKDAYS(J244,L244,fESTIVOS!$A$2:$A$53)
   )
)</f>
        <v>2</v>
      </c>
      <c r="N244" s="28"/>
      <c r="O244" s="98">
        <v>45905</v>
      </c>
      <c r="P244" s="100">
        <v>45912</v>
      </c>
      <c r="Q244" s="34" t="s">
        <v>1232</v>
      </c>
      <c r="R244" s="31" t="s">
        <v>78</v>
      </c>
      <c r="S244" s="201"/>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spans="1:67" ht="29.25" customHeight="1">
      <c r="A245" s="92" t="s">
        <v>128</v>
      </c>
      <c r="B245" s="105" t="s">
        <v>1233</v>
      </c>
      <c r="C245" s="106" t="s">
        <v>1234</v>
      </c>
      <c r="D245" s="95" t="s">
        <v>1235</v>
      </c>
      <c r="E245" s="96"/>
      <c r="F245" s="121" t="s">
        <v>76</v>
      </c>
      <c r="G245" s="97">
        <v>100</v>
      </c>
      <c r="H245" s="22">
        <f>IF(OR(J245="",K245="",K245&lt;J245),0,NETWORKDAYS(J245,K245,fESTIVOS!$A$2:$A$53))</f>
        <v>0</v>
      </c>
      <c r="I245" s="98">
        <v>45902</v>
      </c>
      <c r="J245" s="99">
        <v>45902</v>
      </c>
      <c r="K245" s="99"/>
      <c r="L245" s="99">
        <v>45902</v>
      </c>
      <c r="M245" s="27">
        <f ca="1">IF(OR(J245="",AND(L245="",TODAY()&lt;J245),AND(L245&lt;&gt;"",L245&lt;J245)),0,
   IF(L245="",
      NETWORKDAYS(J245,TODAY(),fESTIVOS!$A$2:$A$53),
      NETWORKDAYS(J245,L245,fESTIVOS!$A$2:$A$53)
   )
)</f>
        <v>1</v>
      </c>
      <c r="N245" s="28"/>
      <c r="O245" s="98"/>
      <c r="P245" s="100"/>
      <c r="Q245" s="34" t="s">
        <v>1236</v>
      </c>
      <c r="R245" s="31" t="s">
        <v>78</v>
      </c>
      <c r="S245" s="101"/>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spans="1:67" ht="29.25" customHeight="1">
      <c r="A246" s="92" t="s">
        <v>128</v>
      </c>
      <c r="B246" s="105" t="s">
        <v>1237</v>
      </c>
      <c r="C246" s="106" t="s">
        <v>1238</v>
      </c>
      <c r="D246" s="95"/>
      <c r="E246" s="96"/>
      <c r="F246" s="121" t="s">
        <v>76</v>
      </c>
      <c r="G246" s="97">
        <v>100</v>
      </c>
      <c r="H246" s="22">
        <f>IF(OR(J246="",K246="",K246&lt;J246),0,NETWORKDAYS(J246,K246,fESTIVOS!$A$2:$A$53))</f>
        <v>0</v>
      </c>
      <c r="I246" s="98">
        <v>45915</v>
      </c>
      <c r="J246" s="99">
        <v>45915</v>
      </c>
      <c r="K246" s="99"/>
      <c r="L246" s="99">
        <v>45915</v>
      </c>
      <c r="M246" s="27">
        <f ca="1">IF(OR(J246="",AND(L246="",TODAY()&lt;J246),AND(L246&lt;&gt;"",L246&lt;J246)),0,
   IF(L246="",
      NETWORKDAYS(J246,TODAY(),fESTIVOS!$A$2:$A$53),
      NETWORKDAYS(J246,L246,fESTIVOS!$A$2:$A$53)
   )
)</f>
        <v>1</v>
      </c>
      <c r="N246" s="28"/>
      <c r="O246" s="98"/>
      <c r="P246" s="100"/>
      <c r="Q246" s="34" t="s">
        <v>1239</v>
      </c>
      <c r="R246" s="31" t="s">
        <v>78</v>
      </c>
      <c r="S246" s="101"/>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spans="1:67" ht="29.25" customHeight="1">
      <c r="A247" s="55" t="s">
        <v>128</v>
      </c>
      <c r="B247" s="17" t="s">
        <v>1240</v>
      </c>
      <c r="C247" s="106" t="s">
        <v>1241</v>
      </c>
      <c r="D247" s="95" t="s">
        <v>1242</v>
      </c>
      <c r="E247" s="96"/>
      <c r="F247" s="111" t="s">
        <v>681</v>
      </c>
      <c r="G247" s="196"/>
      <c r="H247" s="22">
        <f>IF(OR(J247="",K247="",K247&lt;J247),0,NETWORKDAYS(J247,K247,fESTIVOS!$A$2:$A$53))</f>
        <v>0</v>
      </c>
      <c r="I247" s="184">
        <v>45888</v>
      </c>
      <c r="J247" s="99"/>
      <c r="K247" s="99"/>
      <c r="L247" s="99"/>
      <c r="M247" s="27">
        <f ca="1">IF(OR(J247="",AND(L247="",TODAY()&lt;J247),AND(L247&lt;&gt;"",L247&lt;J247)),0,
   IF(L247="",
      NETWORKDAYS(J247,TODAY(),fESTIVOS!$A$2:$A$53),
      NETWORKDAYS(J247,L247,fESTIVOS!$A$2:$A$53)
   )
)</f>
        <v>0</v>
      </c>
      <c r="N247" s="28"/>
      <c r="O247" s="98"/>
      <c r="P247" s="100"/>
      <c r="Q247" s="34" t="s">
        <v>1243</v>
      </c>
      <c r="R247" s="112" t="s">
        <v>93</v>
      </c>
      <c r="S247" s="101"/>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spans="1:67" ht="29.25" customHeight="1">
      <c r="A248" s="92" t="s">
        <v>128</v>
      </c>
      <c r="B248" s="105" t="s">
        <v>1244</v>
      </c>
      <c r="C248" s="106" t="s">
        <v>1245</v>
      </c>
      <c r="D248" s="95" t="s">
        <v>1246</v>
      </c>
      <c r="E248" s="96"/>
      <c r="F248" s="121" t="s">
        <v>76</v>
      </c>
      <c r="G248" s="97">
        <v>100</v>
      </c>
      <c r="H248" s="22">
        <f>IF(OR(J248="",K248="",K248&lt;J248),0,NETWORKDAYS(J248,K248,fESTIVOS!$A$2:$A$53))</f>
        <v>0</v>
      </c>
      <c r="I248" s="98">
        <v>45904</v>
      </c>
      <c r="J248" s="99">
        <v>45905</v>
      </c>
      <c r="K248" s="99"/>
      <c r="L248" s="99">
        <v>45918</v>
      </c>
      <c r="M248" s="27">
        <f ca="1">IF(OR(J248="",AND(L248="",TODAY()&lt;J248),AND(L248&lt;&gt;"",L248&lt;J248)),0,
   IF(L248="",
      NETWORKDAYS(J248,TODAY(),fESTIVOS!$A$2:$A$53),
      NETWORKDAYS(J248,L248,fESTIVOS!$A$2:$A$53)
   )
)</f>
        <v>10</v>
      </c>
      <c r="N248" s="28"/>
      <c r="O248" s="98">
        <v>45918</v>
      </c>
      <c r="P248" s="100"/>
      <c r="Q248" s="34" t="s">
        <v>1247</v>
      </c>
      <c r="R248" s="31" t="s">
        <v>78</v>
      </c>
      <c r="S248" s="154">
        <v>2</v>
      </c>
      <c r="T248" s="101"/>
      <c r="U248" s="102"/>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row>
    <row r="249" spans="1:67" ht="29.25" customHeight="1">
      <c r="A249" s="92" t="s">
        <v>128</v>
      </c>
      <c r="B249" s="105" t="s">
        <v>1248</v>
      </c>
      <c r="C249" s="106" t="s">
        <v>1249</v>
      </c>
      <c r="D249" s="95" t="s">
        <v>1250</v>
      </c>
      <c r="E249" s="96"/>
      <c r="F249" s="121" t="s">
        <v>76</v>
      </c>
      <c r="G249" s="97">
        <v>100</v>
      </c>
      <c r="H249" s="22">
        <f>IF(OR(J249="",K249="",K249&lt;J249),0,NETWORKDAYS(J249,K249,fESTIVOS!$A$2:$A$53))</f>
        <v>0</v>
      </c>
      <c r="I249" s="98">
        <v>45916</v>
      </c>
      <c r="J249" s="99">
        <v>45919</v>
      </c>
      <c r="K249" s="99"/>
      <c r="L249" s="99">
        <v>45920</v>
      </c>
      <c r="M249" s="27">
        <f ca="1">IF(OR(J249="",AND(L249="",TODAY()&lt;J249),AND(L249&lt;&gt;"",L249&lt;J249)),0,
   IF(L249="",
      NETWORKDAYS(J249,TODAY(),fESTIVOS!$A$2:$A$53),
      NETWORKDAYS(J249,L249,fESTIVOS!$A$2:$A$53)
   )
)</f>
        <v>1</v>
      </c>
      <c r="N249" s="28"/>
      <c r="O249" s="98"/>
      <c r="P249" s="100"/>
      <c r="Q249" s="34" t="s">
        <v>1251</v>
      </c>
      <c r="R249" s="31" t="s">
        <v>78</v>
      </c>
      <c r="S249" s="154"/>
      <c r="T249" s="101"/>
      <c r="U249" s="102"/>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spans="1:67" ht="29.25" customHeight="1">
      <c r="A250" s="55" t="s">
        <v>128</v>
      </c>
      <c r="B250" s="17" t="s">
        <v>1252</v>
      </c>
      <c r="C250" s="106" t="s">
        <v>1253</v>
      </c>
      <c r="D250" s="95" t="s">
        <v>1254</v>
      </c>
      <c r="E250" s="96"/>
      <c r="F250" s="111" t="s">
        <v>207</v>
      </c>
      <c r="G250" s="196"/>
      <c r="H250" s="22">
        <f>IF(OR(J250="",K250="",K250&lt;J250),0,NETWORKDAYS(J250,K250,fESTIVOS!$A$2:$A$53))</f>
        <v>0</v>
      </c>
      <c r="I250" s="184">
        <v>45888</v>
      </c>
      <c r="J250" s="99">
        <v>45894</v>
      </c>
      <c r="K250" s="99"/>
      <c r="L250" s="99"/>
      <c r="M250" s="27">
        <f ca="1">IF(OR(J250="",AND(L250="",TODAY()&lt;J250),AND(L250&lt;&gt;"",L250&lt;J250)),0,
   IF(L250="",
      NETWORKDAYS(J250,TODAY(),fESTIVOS!$A$2:$A$53),
      NETWORKDAYS(J250,L250,fESTIVOS!$A$2:$A$53)
   )
)</f>
        <v>133</v>
      </c>
      <c r="N250" s="28"/>
      <c r="O250" s="98"/>
      <c r="P250" s="100"/>
      <c r="Q250" s="34" t="s">
        <v>1255</v>
      </c>
      <c r="R250" s="112" t="s">
        <v>93</v>
      </c>
      <c r="S250" s="101"/>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spans="1:67" ht="29.25" customHeight="1">
      <c r="A251" s="92" t="s">
        <v>128</v>
      </c>
      <c r="B251" s="105" t="s">
        <v>1256</v>
      </c>
      <c r="C251" s="106" t="s">
        <v>1257</v>
      </c>
      <c r="D251" s="95" t="s">
        <v>1258</v>
      </c>
      <c r="E251" s="96"/>
      <c r="F251" s="121" t="s">
        <v>76</v>
      </c>
      <c r="G251" s="97">
        <v>100</v>
      </c>
      <c r="H251" s="22">
        <f>IF(OR(J251="",K251="",K251&lt;J251),0,NETWORKDAYS(J251,K251,fESTIVOS!$A$2:$A$53))</f>
        <v>0</v>
      </c>
      <c r="I251" s="98">
        <v>45924</v>
      </c>
      <c r="J251" s="99">
        <v>45925</v>
      </c>
      <c r="K251" s="99"/>
      <c r="L251" s="99"/>
      <c r="M251" s="27">
        <f ca="1">IF(OR(J251="",AND(L251="",TODAY()&lt;J251),AND(L251&lt;&gt;"",L251&lt;J251)),0,
   IF(L251="",
      NETWORKDAYS(J251,TODAY(),fESTIVOS!$A$2:$A$53),
      NETWORKDAYS(J251,L251,fESTIVOS!$A$2:$A$53)
   )
)</f>
        <v>110</v>
      </c>
      <c r="N251" s="28"/>
      <c r="O251" s="98"/>
      <c r="P251" s="100"/>
      <c r="Q251" s="34" t="s">
        <v>1259</v>
      </c>
      <c r="R251" s="112" t="s">
        <v>78</v>
      </c>
      <c r="S251" s="154"/>
      <c r="T251" s="97" t="s">
        <v>1260</v>
      </c>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spans="1:67" ht="29.25" customHeight="1">
      <c r="A252" s="92" t="s">
        <v>128</v>
      </c>
      <c r="B252" s="105" t="s">
        <v>1261</v>
      </c>
      <c r="C252" s="106" t="s">
        <v>1262</v>
      </c>
      <c r="D252" s="95" t="s">
        <v>1263</v>
      </c>
      <c r="E252" s="96"/>
      <c r="F252" s="121" t="s">
        <v>76</v>
      </c>
      <c r="G252" s="97">
        <v>100</v>
      </c>
      <c r="H252" s="22">
        <f>IF(OR(J252="",K252="",K252&lt;J252),0,NETWORKDAYS(J252,K252,fESTIVOS!$A$2:$A$53))</f>
        <v>0</v>
      </c>
      <c r="I252" s="98">
        <v>45924</v>
      </c>
      <c r="J252" s="99">
        <v>45924</v>
      </c>
      <c r="K252" s="99"/>
      <c r="L252" s="99">
        <v>45924</v>
      </c>
      <c r="M252" s="27">
        <f ca="1">IF(OR(J252="",AND(L252="",TODAY()&lt;J252),AND(L252&lt;&gt;"",L252&lt;J252)),0,
   IF(L252="",
      NETWORKDAYS(J252,TODAY(),fESTIVOS!$A$2:$A$53),
      NETWORKDAYS(J252,L252,fESTIVOS!$A$2:$A$53)
   )
)</f>
        <v>1</v>
      </c>
      <c r="N252" s="28"/>
      <c r="O252" s="98"/>
      <c r="P252" s="100"/>
      <c r="Q252" s="34" t="s">
        <v>1264</v>
      </c>
      <c r="R252" s="112" t="s">
        <v>78</v>
      </c>
      <c r="S252" s="154"/>
      <c r="T252" s="97"/>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spans="1:67" ht="29.25" customHeight="1">
      <c r="A253" s="92" t="s">
        <v>128</v>
      </c>
      <c r="B253" s="105" t="s">
        <v>1265</v>
      </c>
      <c r="C253" s="106" t="s">
        <v>1266</v>
      </c>
      <c r="D253" s="95" t="s">
        <v>1267</v>
      </c>
      <c r="E253" s="96"/>
      <c r="F253" s="121" t="s">
        <v>76</v>
      </c>
      <c r="G253" s="97">
        <v>100</v>
      </c>
      <c r="H253" s="22">
        <f>IF(OR(J253="",K253="",K253&lt;J253),0,NETWORKDAYS(J253,K253,fESTIVOS!$A$2:$A$53))</f>
        <v>0</v>
      </c>
      <c r="I253" s="98">
        <v>45938</v>
      </c>
      <c r="J253" s="99">
        <v>45939</v>
      </c>
      <c r="K253" s="99"/>
      <c r="L253" s="99">
        <v>45939</v>
      </c>
      <c r="M253" s="27">
        <f ca="1">IF(OR(J253="",AND(L253="",TODAY()&lt;J253),AND(L253&lt;&gt;"",L253&lt;J253)),0,
   IF(L253="",
      NETWORKDAYS(J253,TODAY(),fESTIVOS!$A$2:$A$53),
      NETWORKDAYS(J253,L253,fESTIVOS!$A$2:$A$53)
   )
)</f>
        <v>1</v>
      </c>
      <c r="N253" s="28"/>
      <c r="O253" s="98"/>
      <c r="P253" s="100">
        <v>45939</v>
      </c>
      <c r="Q253" s="34" t="s">
        <v>1268</v>
      </c>
      <c r="R253" s="112" t="s">
        <v>78</v>
      </c>
      <c r="S253" s="154"/>
      <c r="T253" s="97"/>
      <c r="U253" s="102"/>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spans="1:67" ht="29.25" customHeight="1">
      <c r="A254" s="92" t="s">
        <v>128</v>
      </c>
      <c r="B254" s="105" t="s">
        <v>1269</v>
      </c>
      <c r="C254" s="106" t="s">
        <v>1270</v>
      </c>
      <c r="D254" s="95"/>
      <c r="E254" s="96"/>
      <c r="F254" s="121" t="s">
        <v>76</v>
      </c>
      <c r="G254" s="97">
        <v>100</v>
      </c>
      <c r="H254" s="22">
        <f>IF(OR(J254="",K254="",K254&lt;J254),0,NETWORKDAYS(J254,K254,fESTIVOS!$A$2:$A$53))</f>
        <v>0</v>
      </c>
      <c r="I254" s="98">
        <v>45939</v>
      </c>
      <c r="J254" s="99">
        <v>45939</v>
      </c>
      <c r="K254" s="99"/>
      <c r="L254" s="99">
        <v>45939</v>
      </c>
      <c r="M254" s="27">
        <f ca="1">IF(OR(J254="",AND(L254="",TODAY()&lt;J254),AND(L254&lt;&gt;"",L254&lt;J254)),0,
   IF(L254="",
      NETWORKDAYS(J254,TODAY(),fESTIVOS!$A$2:$A$53),
      NETWORKDAYS(J254,L254,fESTIVOS!$A$2:$A$53)
   )
)</f>
        <v>1</v>
      </c>
      <c r="N254" s="28"/>
      <c r="O254" s="98"/>
      <c r="P254" s="100"/>
      <c r="Q254" s="34" t="s">
        <v>1271</v>
      </c>
      <c r="R254" s="112" t="s">
        <v>78</v>
      </c>
      <c r="S254" s="154"/>
      <c r="T254" s="97"/>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spans="1:67" ht="29.25" customHeight="1">
      <c r="A255" s="92" t="s">
        <v>157</v>
      </c>
      <c r="B255" s="105" t="s">
        <v>1272</v>
      </c>
      <c r="C255" s="106" t="s">
        <v>1273</v>
      </c>
      <c r="D255" s="95" t="s">
        <v>1267</v>
      </c>
      <c r="E255" s="96"/>
      <c r="F255" s="121" t="s">
        <v>76</v>
      </c>
      <c r="G255" s="97">
        <v>100</v>
      </c>
      <c r="H255" s="22">
        <f>IF(OR(J255="",K255="",K255&lt;J255),0,NETWORKDAYS(J255,K255,fESTIVOS!$A$2:$A$53))</f>
        <v>0</v>
      </c>
      <c r="I255" s="98">
        <v>45938</v>
      </c>
      <c r="J255" s="99">
        <v>45958</v>
      </c>
      <c r="K255" s="99"/>
      <c r="L255" s="99">
        <v>45961</v>
      </c>
      <c r="M255" s="27">
        <f ca="1">IF(OR(J255="",AND(L255="",TODAY()&lt;J255),AND(L255&lt;&gt;"",L255&lt;J255)),0,
   IF(L255="",
      NETWORKDAYS(J255,TODAY(),fESTIVOS!$A$2:$A$53),
      NETWORKDAYS(J255,L255,fESTIVOS!$A$2:$A$53)
   )
)</f>
        <v>4</v>
      </c>
      <c r="N255" s="28"/>
      <c r="O255" s="98">
        <v>45960</v>
      </c>
      <c r="P255" s="100">
        <v>45961</v>
      </c>
      <c r="Q255" s="34" t="s">
        <v>1274</v>
      </c>
      <c r="R255" s="112" t="s">
        <v>78</v>
      </c>
      <c r="S255" s="154">
        <v>3</v>
      </c>
      <c r="T255" s="97"/>
      <c r="U255" s="102"/>
      <c r="V255" s="166" t="s">
        <v>1275</v>
      </c>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spans="1:67" ht="29.25" customHeight="1">
      <c r="A256" s="92" t="s">
        <v>128</v>
      </c>
      <c r="B256" s="105" t="s">
        <v>1276</v>
      </c>
      <c r="C256" s="106" t="s">
        <v>1277</v>
      </c>
      <c r="D256" s="95" t="s">
        <v>1278</v>
      </c>
      <c r="E256" s="96"/>
      <c r="F256" s="121" t="s">
        <v>76</v>
      </c>
      <c r="G256" s="97">
        <v>100</v>
      </c>
      <c r="H256" s="22">
        <f>IF(OR(J256="",K256="",K256&lt;J256),0,NETWORKDAYS(J256,K256,fESTIVOS!$A$2:$A$53))</f>
        <v>0</v>
      </c>
      <c r="I256" s="98">
        <v>45938</v>
      </c>
      <c r="J256" s="99">
        <v>45945</v>
      </c>
      <c r="K256" s="99"/>
      <c r="L256" s="99">
        <v>45946</v>
      </c>
      <c r="M256" s="27">
        <f ca="1">IF(OR(J256="",AND(L256="",TODAY()&lt;J256),AND(L256&lt;&gt;"",L256&lt;J256)),0,
   IF(L256="",
      NETWORKDAYS(J256,TODAY(),fESTIVOS!$A$2:$A$53),
      NETWORKDAYS(J256,L256,fESTIVOS!$A$2:$A$53)
   )
)</f>
        <v>2</v>
      </c>
      <c r="N256" s="28"/>
      <c r="O256" s="98"/>
      <c r="P256" s="100">
        <v>45946</v>
      </c>
      <c r="Q256" s="34" t="s">
        <v>1279</v>
      </c>
      <c r="R256" s="112" t="s">
        <v>78</v>
      </c>
      <c r="S256" s="154"/>
      <c r="T256" s="97"/>
      <c r="U256" s="102"/>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spans="1:67" ht="29.25" customHeight="1">
      <c r="A257" s="92" t="s">
        <v>128</v>
      </c>
      <c r="B257" s="105" t="s">
        <v>1280</v>
      </c>
      <c r="C257" s="106" t="s">
        <v>1281</v>
      </c>
      <c r="D257" s="95" t="s">
        <v>1282</v>
      </c>
      <c r="E257" s="96"/>
      <c r="F257" s="121" t="s">
        <v>76</v>
      </c>
      <c r="G257" s="97">
        <v>100</v>
      </c>
      <c r="H257" s="22">
        <f>IF(OR(J257="",K257="",K257&lt;J257),0,NETWORKDAYS(J257,K257,fESTIVOS!$A$2:$A$53))</f>
        <v>0</v>
      </c>
      <c r="I257" s="98">
        <v>45938</v>
      </c>
      <c r="J257" s="99">
        <v>45945</v>
      </c>
      <c r="K257" s="99"/>
      <c r="L257" s="99">
        <v>45946</v>
      </c>
      <c r="M257" s="27">
        <f ca="1">IF(OR(J257="",AND(L257="",TODAY()&lt;J257),AND(L257&lt;&gt;"",L257&lt;J257)),0,
   IF(L257="",
      NETWORKDAYS(J257,TODAY(),fESTIVOS!$A$2:$A$53),
      NETWORKDAYS(J257,L257,fESTIVOS!$A$2:$A$53)
   )
)</f>
        <v>2</v>
      </c>
      <c r="N257" s="28"/>
      <c r="O257" s="98"/>
      <c r="P257" s="100">
        <v>45946</v>
      </c>
      <c r="Q257" s="34" t="s">
        <v>1283</v>
      </c>
      <c r="R257" s="112" t="s">
        <v>78</v>
      </c>
      <c r="S257" s="154"/>
      <c r="T257" s="97"/>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spans="1:67" ht="29.25" customHeight="1">
      <c r="A258" s="92" t="s">
        <v>128</v>
      </c>
      <c r="B258" s="105" t="s">
        <v>1284</v>
      </c>
      <c r="C258" s="141" t="s">
        <v>1285</v>
      </c>
      <c r="D258" s="95" t="s">
        <v>1286</v>
      </c>
      <c r="E258" s="96"/>
      <c r="F258" s="121" t="s">
        <v>76</v>
      </c>
      <c r="G258" s="97">
        <v>100</v>
      </c>
      <c r="H258" s="22">
        <f>IF(OR(J258="",K258="",K258&lt;J258),0,NETWORKDAYS(J258,K258,fESTIVOS!$A$2:$A$53))</f>
        <v>0</v>
      </c>
      <c r="I258" s="98">
        <v>45944</v>
      </c>
      <c r="J258" s="99">
        <v>45946</v>
      </c>
      <c r="K258" s="99"/>
      <c r="L258" s="99">
        <v>45967</v>
      </c>
      <c r="M258" s="27">
        <f ca="1">IF(OR(J258="",AND(L258="",TODAY()&lt;J258),AND(L258&lt;&gt;"",L258&lt;J258)),0,
   IF(L258="",
      NETWORKDAYS(J258,TODAY(),fESTIVOS!$A$2:$A$53),
      NETWORKDAYS(J258,L258,fESTIVOS!$A$2:$A$53)
   )
)</f>
        <v>15</v>
      </c>
      <c r="N258" s="28"/>
      <c r="O258" s="98"/>
      <c r="P258" s="100">
        <v>45993</v>
      </c>
      <c r="Q258" s="34" t="s">
        <v>1287</v>
      </c>
      <c r="R258" s="112" t="s">
        <v>78</v>
      </c>
      <c r="S258" s="154">
        <v>1</v>
      </c>
      <c r="T258" s="97" t="s">
        <v>1288</v>
      </c>
      <c r="U258" s="121" t="s">
        <v>1289</v>
      </c>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spans="1:67" ht="29.25" customHeight="1">
      <c r="A259" s="92" t="s">
        <v>128</v>
      </c>
      <c r="B259" s="105" t="s">
        <v>1290</v>
      </c>
      <c r="C259" s="202" t="s">
        <v>1291</v>
      </c>
      <c r="D259" s="95" t="s">
        <v>1292</v>
      </c>
      <c r="E259" s="96"/>
      <c r="F259" s="111" t="s">
        <v>250</v>
      </c>
      <c r="G259" s="189"/>
      <c r="H259" s="22">
        <f>IF(OR(J259="",K259="",K259&lt;J259),0,NETWORKDAYS(J259,K259,fESTIVOS!$A$2:$A$53))</f>
        <v>0</v>
      </c>
      <c r="I259" s="184">
        <v>46000</v>
      </c>
      <c r="J259" s="99"/>
      <c r="K259" s="99"/>
      <c r="L259" s="99"/>
      <c r="M259" s="27">
        <f ca="1">IF(OR(J259="",AND(L259="",TODAY()&lt;J259),AND(L259&lt;&gt;"",L259&lt;J259)),0,
   IF(L259="",
      NETWORKDAYS(J259,TODAY(),fESTIVOS!$A$2:$A$53),
      NETWORKDAYS(J259,L259,fESTIVOS!$A$2:$A$53)
   )
)</f>
        <v>0</v>
      </c>
      <c r="N259" s="28"/>
      <c r="O259" s="98"/>
      <c r="P259" s="100"/>
      <c r="Q259" s="34"/>
      <c r="R259" s="31" t="s">
        <v>93</v>
      </c>
      <c r="S259" s="154"/>
      <c r="T259" s="101"/>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spans="1:67" ht="29.25" customHeight="1">
      <c r="A260" s="92" t="s">
        <v>128</v>
      </c>
      <c r="B260" s="105" t="s">
        <v>1293</v>
      </c>
      <c r="C260" s="106" t="s">
        <v>1294</v>
      </c>
      <c r="D260" s="95" t="s">
        <v>1295</v>
      </c>
      <c r="E260" s="96"/>
      <c r="F260" s="111" t="s">
        <v>250</v>
      </c>
      <c r="G260" s="189"/>
      <c r="H260" s="22">
        <f>IF(OR(J260="",K260="",K260&lt;J260),0,NETWORKDAYS(J260,K260,fESTIVOS!$A$2:$A$53))</f>
        <v>0</v>
      </c>
      <c r="I260" s="184">
        <v>45917</v>
      </c>
      <c r="J260" s="99"/>
      <c r="K260" s="99"/>
      <c r="L260" s="99"/>
      <c r="M260" s="27">
        <f ca="1">IF(OR(J260="",AND(L260="",TODAY()&lt;J260),AND(L260&lt;&gt;"",L260&lt;J260)),0,
   IF(L260="",
      NETWORKDAYS(J260,TODAY(),fESTIVOS!$A$2:$A$53),
      NETWORKDAYS(J260,L260,fESTIVOS!$A$2:$A$53)
   )
)</f>
        <v>0</v>
      </c>
      <c r="N260" s="28"/>
      <c r="O260" s="98"/>
      <c r="P260" s="100"/>
      <c r="Q260" s="34"/>
      <c r="R260" s="31" t="s">
        <v>93</v>
      </c>
      <c r="S260" s="154"/>
      <c r="T260" s="101"/>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spans="1:67" ht="29.25" customHeight="1">
      <c r="A261" s="92" t="s">
        <v>128</v>
      </c>
      <c r="B261" s="105" t="s">
        <v>1296</v>
      </c>
      <c r="C261" s="150" t="s">
        <v>1297</v>
      </c>
      <c r="D261" s="95" t="s">
        <v>1298</v>
      </c>
      <c r="E261" s="96"/>
      <c r="F261" s="121" t="s">
        <v>76</v>
      </c>
      <c r="G261" s="97">
        <v>100</v>
      </c>
      <c r="H261" s="22">
        <f>IF(OR(J261="",K261="",K261&lt;J261),0,NETWORKDAYS(J261,K261,fESTIVOS!$A$2:$A$53))</f>
        <v>0</v>
      </c>
      <c r="I261" s="98">
        <v>46010</v>
      </c>
      <c r="J261" s="99">
        <v>46010</v>
      </c>
      <c r="K261" s="99"/>
      <c r="L261" s="99">
        <v>46013</v>
      </c>
      <c r="M261" s="27">
        <f ca="1">IF(OR(J261="",AND(L261="",TODAY()&lt;J261),AND(L261&lt;&gt;"",L261&lt;J261)),0,
   IF(L261="",
      NETWORKDAYS(J261,TODAY(),fESTIVOS!$A$2:$A$53),
      NETWORKDAYS(J261,L261,fESTIVOS!$A$2:$A$53)
   )
)</f>
        <v>2</v>
      </c>
      <c r="N261" s="28"/>
      <c r="O261" s="98"/>
      <c r="P261" s="100">
        <v>46013</v>
      </c>
      <c r="Q261" s="34" t="s">
        <v>1299</v>
      </c>
      <c r="R261" s="112" t="s">
        <v>78</v>
      </c>
      <c r="S261" s="154"/>
      <c r="T261" s="97"/>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spans="1:67" ht="29.25" customHeight="1">
      <c r="A262" s="92" t="s">
        <v>128</v>
      </c>
      <c r="B262" s="105" t="s">
        <v>1300</v>
      </c>
      <c r="C262" s="106" t="s">
        <v>1301</v>
      </c>
      <c r="D262" s="95" t="s">
        <v>1302</v>
      </c>
      <c r="E262" s="96"/>
      <c r="F262" s="121" t="s">
        <v>76</v>
      </c>
      <c r="G262" s="97">
        <v>100</v>
      </c>
      <c r="H262" s="22">
        <f>IF(OR(J262="",K262="",K262&lt;J262),0,NETWORKDAYS(J262,K262,fESTIVOS!$A$2:$A$53))</f>
        <v>0</v>
      </c>
      <c r="I262" s="98">
        <v>45945</v>
      </c>
      <c r="J262" s="99">
        <v>45947</v>
      </c>
      <c r="K262" s="99"/>
      <c r="L262" s="99">
        <v>45947</v>
      </c>
      <c r="M262" s="27">
        <f ca="1">IF(OR(J262="",AND(L262="",TODAY()&lt;J262),AND(L262&lt;&gt;"",L262&lt;J262)),0,
   IF(L262="",
      NETWORKDAYS(J262,TODAY(),fESTIVOS!$A$2:$A$53),
      NETWORKDAYS(J262,L262,fESTIVOS!$A$2:$A$53)
   )
)</f>
        <v>1</v>
      </c>
      <c r="N262" s="28"/>
      <c r="O262" s="98"/>
      <c r="P262" s="100"/>
      <c r="Q262" s="34" t="s">
        <v>1303</v>
      </c>
      <c r="R262" s="112" t="s">
        <v>78</v>
      </c>
      <c r="S262" s="154"/>
      <c r="T262" s="97"/>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spans="1:67" ht="29.25" customHeight="1">
      <c r="A263" s="92" t="s">
        <v>128</v>
      </c>
      <c r="B263" s="105" t="s">
        <v>1304</v>
      </c>
      <c r="C263" s="203" t="s">
        <v>1305</v>
      </c>
      <c r="D263" s="95" t="s">
        <v>1306</v>
      </c>
      <c r="E263" s="96"/>
      <c r="F263" s="121" t="s">
        <v>76</v>
      </c>
      <c r="G263" s="97">
        <v>100</v>
      </c>
      <c r="H263" s="22">
        <f>IF(OR(J263="",K263="",K263&lt;J263),0,NETWORKDAYS(J263,K263,fESTIVOS!$A$2:$A$53))</f>
        <v>10</v>
      </c>
      <c r="I263" s="98">
        <v>45947</v>
      </c>
      <c r="J263" s="99">
        <v>45958</v>
      </c>
      <c r="K263" s="99">
        <v>45972</v>
      </c>
      <c r="L263" s="99">
        <v>45965</v>
      </c>
      <c r="M263" s="27">
        <f ca="1">IF(OR(J263="",AND(L263="",TODAY()&lt;J263),AND(L263&lt;&gt;"",L263&lt;J263)),0,
   IF(L263="",
      NETWORKDAYS(J263,TODAY(),fESTIVOS!$A$2:$A$53),
      NETWORKDAYS(J263,L263,fESTIVOS!$A$2:$A$53)
   )
)</f>
        <v>5</v>
      </c>
      <c r="N263" s="28"/>
      <c r="O263" s="98">
        <v>45965</v>
      </c>
      <c r="P263" s="100">
        <v>45995</v>
      </c>
      <c r="Q263" s="34" t="s">
        <v>1307</v>
      </c>
      <c r="R263" s="112" t="s">
        <v>78</v>
      </c>
      <c r="S263" s="154"/>
      <c r="T263" s="97"/>
      <c r="U263" s="121" t="s">
        <v>1308</v>
      </c>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spans="1:67" ht="29.25" customHeight="1">
      <c r="A264" s="92" t="s">
        <v>210</v>
      </c>
      <c r="B264" s="105" t="s">
        <v>1309</v>
      </c>
      <c r="C264" s="140" t="s">
        <v>1310</v>
      </c>
      <c r="D264" s="95"/>
      <c r="E264" s="96"/>
      <c r="F264" s="121" t="s">
        <v>76</v>
      </c>
      <c r="G264" s="97">
        <v>100</v>
      </c>
      <c r="H264" s="22">
        <f>IF(OR(J264="",K264="",K264&lt;J264),0,NETWORKDAYS(J264,K264,fESTIVOS!$A$2:$A$53))</f>
        <v>0</v>
      </c>
      <c r="I264" s="98">
        <v>45992</v>
      </c>
      <c r="J264" s="99">
        <v>46003</v>
      </c>
      <c r="K264" s="99"/>
      <c r="L264" s="99">
        <v>46024</v>
      </c>
      <c r="M264" s="27">
        <f ca="1">IF(OR(J264="",AND(L264="",TODAY()&lt;J264),AND(L264&lt;&gt;"",L264&lt;J264)),0,
   IF(L264="",
      NETWORKDAYS(J264,TODAY(),fESTIVOS!$A$2:$A$53),
      NETWORKDAYS(J264,L264,fESTIVOS!$A$2:$A$53)
   )
)</f>
        <v>14</v>
      </c>
      <c r="N264" s="28"/>
      <c r="O264" s="98"/>
      <c r="P264" s="100"/>
      <c r="Q264" s="34" t="s">
        <v>1311</v>
      </c>
      <c r="R264" s="112" t="s">
        <v>78</v>
      </c>
      <c r="S264" s="154"/>
      <c r="T264" s="97"/>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spans="1:67" ht="29.25" customHeight="1">
      <c r="A265" s="92" t="s">
        <v>210</v>
      </c>
      <c r="B265" s="105" t="s">
        <v>1312</v>
      </c>
      <c r="C265" s="185" t="s">
        <v>1313</v>
      </c>
      <c r="D265" s="95"/>
      <c r="E265" s="96"/>
      <c r="F265" s="121" t="s">
        <v>76</v>
      </c>
      <c r="G265" s="97">
        <v>100</v>
      </c>
      <c r="H265" s="22">
        <f>IF(OR(J265="",K265="",K265&lt;J265),0,NETWORKDAYS(J265,K265,fESTIVOS!$A$2:$A$53))</f>
        <v>0</v>
      </c>
      <c r="I265" s="98">
        <v>45996</v>
      </c>
      <c r="J265" s="99">
        <v>46003</v>
      </c>
      <c r="K265" s="99"/>
      <c r="L265" s="99">
        <v>46024</v>
      </c>
      <c r="M265" s="27">
        <f ca="1">IF(OR(J265="",AND(L265="",TODAY()&lt;J265),AND(L265&lt;&gt;"",L265&lt;J265)),0,
   IF(L265="",
      NETWORKDAYS(J265,TODAY(),fESTIVOS!$A$2:$A$53),
      NETWORKDAYS(J265,L265,fESTIVOS!$A$2:$A$53)
   )
)</f>
        <v>14</v>
      </c>
      <c r="N265" s="28"/>
      <c r="O265" s="98"/>
      <c r="P265" s="100"/>
      <c r="Q265" s="34" t="s">
        <v>1314</v>
      </c>
      <c r="R265" s="112" t="s">
        <v>78</v>
      </c>
      <c r="S265" s="154"/>
      <c r="T265" s="97"/>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spans="1:67" ht="29.25" customHeight="1">
      <c r="A266" s="92" t="s">
        <v>157</v>
      </c>
      <c r="B266" s="105" t="s">
        <v>1315</v>
      </c>
      <c r="C266" s="106" t="s">
        <v>1316</v>
      </c>
      <c r="D266" s="95" t="s">
        <v>1317</v>
      </c>
      <c r="E266" s="96"/>
      <c r="F266" s="121" t="s">
        <v>76</v>
      </c>
      <c r="G266" s="97">
        <v>100</v>
      </c>
      <c r="H266" s="22">
        <f>IF(OR(J266="",K266="",K266&lt;J266),0,NETWORKDAYS(J266,K266,fESTIVOS!$A$2:$A$53))</f>
        <v>0</v>
      </c>
      <c r="I266" s="98">
        <v>45953</v>
      </c>
      <c r="J266" s="99">
        <v>45958</v>
      </c>
      <c r="K266" s="99"/>
      <c r="L266" s="99">
        <v>45958</v>
      </c>
      <c r="M266" s="27">
        <f ca="1">IF(OR(J266="",AND(L266="",TODAY()&lt;J266),AND(L266&lt;&gt;"",L266&lt;J266)),0,
   IF(L266="",
      NETWORKDAYS(J266,TODAY(),fESTIVOS!$A$2:$A$53),
      NETWORKDAYS(J266,L266,fESTIVOS!$A$2:$A$53)
   )
)</f>
        <v>1</v>
      </c>
      <c r="N266" s="28"/>
      <c r="O266" s="98"/>
      <c r="P266" s="100"/>
      <c r="Q266" s="34" t="s">
        <v>1318</v>
      </c>
      <c r="R266" s="112" t="s">
        <v>78</v>
      </c>
      <c r="S266" s="154"/>
      <c r="T266" s="97"/>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spans="1:67" ht="29.25" customHeight="1">
      <c r="A267" s="92" t="s">
        <v>128</v>
      </c>
      <c r="B267" s="105" t="s">
        <v>1319</v>
      </c>
      <c r="C267" s="106" t="s">
        <v>1320</v>
      </c>
      <c r="D267" s="95" t="s">
        <v>1321</v>
      </c>
      <c r="E267" s="96"/>
      <c r="F267" s="121" t="s">
        <v>76</v>
      </c>
      <c r="G267" s="97">
        <v>100</v>
      </c>
      <c r="H267" s="22">
        <f>IF(OR(J267="",K267="",K267&lt;J267),0,NETWORKDAYS(J267,K267,fESTIVOS!$A$2:$A$53))</f>
        <v>0</v>
      </c>
      <c r="I267" s="98">
        <v>45953</v>
      </c>
      <c r="J267" s="99">
        <v>45957</v>
      </c>
      <c r="K267" s="99"/>
      <c r="L267" s="99">
        <v>45958</v>
      </c>
      <c r="M267" s="27">
        <f ca="1">IF(OR(J267="",AND(L267="",TODAY()&lt;J267),AND(L267&lt;&gt;"",L267&lt;J267)),0,
   IF(L267="",
      NETWORKDAYS(J267,TODAY(),fESTIVOS!$A$2:$A$53),
      NETWORKDAYS(J267,L267,fESTIVOS!$A$2:$A$53)
   )
)</f>
        <v>2</v>
      </c>
      <c r="N267" s="28"/>
      <c r="O267" s="98"/>
      <c r="P267" s="100">
        <v>45958</v>
      </c>
      <c r="Q267" s="34" t="s">
        <v>1322</v>
      </c>
      <c r="R267" s="112" t="s">
        <v>78</v>
      </c>
      <c r="S267" s="154"/>
      <c r="T267" s="97"/>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spans="1:67" ht="29.25" customHeight="1">
      <c r="A268" s="92" t="s">
        <v>128</v>
      </c>
      <c r="B268" s="105" t="s">
        <v>1323</v>
      </c>
      <c r="C268" s="106" t="s">
        <v>1324</v>
      </c>
      <c r="D268" s="95" t="s">
        <v>1325</v>
      </c>
      <c r="E268" s="96"/>
      <c r="F268" s="121" t="s">
        <v>76</v>
      </c>
      <c r="G268" s="97">
        <v>100</v>
      </c>
      <c r="H268" s="22">
        <f>IF(OR(J268="",K268="",K268&lt;J268),0,NETWORKDAYS(J268,K268,fESTIVOS!$A$2:$A$53))</f>
        <v>0</v>
      </c>
      <c r="I268" s="98">
        <v>45957</v>
      </c>
      <c r="J268" s="99">
        <v>45957</v>
      </c>
      <c r="K268" s="99"/>
      <c r="L268" s="99">
        <v>45957</v>
      </c>
      <c r="M268" s="27">
        <f ca="1">IF(OR(J268="",AND(L268="",TODAY()&lt;J268),AND(L268&lt;&gt;"",L268&lt;J268)),0,
   IF(L268="",
      NETWORKDAYS(J268,TODAY(),fESTIVOS!$A$2:$A$53),
      NETWORKDAYS(J268,L268,fESTIVOS!$A$2:$A$53)
   )
)</f>
        <v>1</v>
      </c>
      <c r="N268" s="28"/>
      <c r="O268" s="98"/>
      <c r="P268" s="100"/>
      <c r="Q268" s="34" t="s">
        <v>1326</v>
      </c>
      <c r="R268" s="112" t="s">
        <v>78</v>
      </c>
      <c r="S268" s="154"/>
      <c r="T268" s="97"/>
      <c r="U268" s="102"/>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row>
    <row r="269" spans="1:67" ht="29.25" customHeight="1">
      <c r="A269" s="92" t="s">
        <v>128</v>
      </c>
      <c r="B269" s="105" t="s">
        <v>1327</v>
      </c>
      <c r="C269" s="106" t="s">
        <v>1328</v>
      </c>
      <c r="D269" s="95" t="s">
        <v>1329</v>
      </c>
      <c r="E269" s="96"/>
      <c r="F269" s="121" t="s">
        <v>76</v>
      </c>
      <c r="G269" s="97">
        <v>100</v>
      </c>
      <c r="H269" s="22">
        <f>IF(OR(J269="",K269="",K269&lt;J269),0,NETWORKDAYS(J269,K269,fESTIVOS!$A$2:$A$53))</f>
        <v>2</v>
      </c>
      <c r="I269" s="98">
        <v>45958</v>
      </c>
      <c r="J269" s="99">
        <v>45960</v>
      </c>
      <c r="K269" s="99">
        <v>45961</v>
      </c>
      <c r="L269" s="99">
        <v>45965</v>
      </c>
      <c r="M269" s="27">
        <f ca="1">IF(OR(J269="",AND(L269="",TODAY()&lt;J269),AND(L269&lt;&gt;"",L269&lt;J269)),0,
   IF(L269="",
      NETWORKDAYS(J269,TODAY(),fESTIVOS!$A$2:$A$53),
      NETWORKDAYS(J269,L269,fESTIVOS!$A$2:$A$53)
   )
)</f>
        <v>3</v>
      </c>
      <c r="N269" s="28"/>
      <c r="O269" s="98"/>
      <c r="P269" s="100">
        <v>45965</v>
      </c>
      <c r="Q269" s="34" t="s">
        <v>1330</v>
      </c>
      <c r="R269" s="112" t="s">
        <v>78</v>
      </c>
      <c r="S269" s="154"/>
      <c r="T269" s="97"/>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spans="1:67" ht="29.25" customHeight="1">
      <c r="A270" s="92" t="s">
        <v>128</v>
      </c>
      <c r="B270" s="105" t="s">
        <v>1331</v>
      </c>
      <c r="C270" s="106" t="s">
        <v>1332</v>
      </c>
      <c r="D270" s="95" t="s">
        <v>1333</v>
      </c>
      <c r="E270" s="96"/>
      <c r="F270" s="121" t="s">
        <v>76</v>
      </c>
      <c r="G270" s="97">
        <v>100</v>
      </c>
      <c r="H270" s="22">
        <f>IF(OR(J270="",K270="",K270&lt;J270),0,NETWORKDAYS(J270,K270,fESTIVOS!$A$2:$A$53))</f>
        <v>0</v>
      </c>
      <c r="I270" s="98">
        <v>45958</v>
      </c>
      <c r="J270" s="99">
        <v>45966</v>
      </c>
      <c r="K270" s="99"/>
      <c r="L270" s="99">
        <v>45981</v>
      </c>
      <c r="M270" s="27">
        <f ca="1">IF(OR(J270="",AND(L270="",TODAY()&lt;J270),AND(L270&lt;&gt;"",L270&lt;J270)),0,
   IF(L270="",
      NETWORKDAYS(J270,TODAY(),fESTIVOS!$A$2:$A$53),
      NETWORKDAYS(J270,L270,fESTIVOS!$A$2:$A$53)
   )
)</f>
        <v>11</v>
      </c>
      <c r="N270" s="28"/>
      <c r="O270" s="98">
        <v>45981</v>
      </c>
      <c r="P270" s="100">
        <v>45994</v>
      </c>
      <c r="Q270" s="34" t="s">
        <v>1334</v>
      </c>
      <c r="R270" s="112" t="s">
        <v>78</v>
      </c>
      <c r="S270" s="154"/>
      <c r="T270" s="97"/>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spans="1:67" ht="29.25" customHeight="1">
      <c r="A271" s="92" t="s">
        <v>210</v>
      </c>
      <c r="B271" s="105" t="s">
        <v>1335</v>
      </c>
      <c r="C271" s="150" t="s">
        <v>1336</v>
      </c>
      <c r="D271" s="95" t="s">
        <v>1337</v>
      </c>
      <c r="E271" s="96"/>
      <c r="F271" s="121" t="s">
        <v>76</v>
      </c>
      <c r="G271" s="97">
        <v>100</v>
      </c>
      <c r="H271" s="22">
        <f>IF(OR(J271="",K271="",K271&lt;J271),0,NETWORKDAYS(J271,K271,fESTIVOS!$A$2:$A$53))</f>
        <v>0</v>
      </c>
      <c r="I271" s="98">
        <v>45994</v>
      </c>
      <c r="J271" s="99">
        <v>45994</v>
      </c>
      <c r="K271" s="99"/>
      <c r="L271" s="99">
        <v>45994</v>
      </c>
      <c r="M271" s="27">
        <f ca="1">IF(OR(J271="",AND(L271="",TODAY()&lt;J271),AND(L271&lt;&gt;"",L271&lt;J271)),0,
   IF(L271="",
      NETWORKDAYS(J271,TODAY(),fESTIVOS!$A$2:$A$53),
      NETWORKDAYS(J271,L271,fESTIVOS!$A$2:$A$53)
   )
)</f>
        <v>1</v>
      </c>
      <c r="N271" s="28"/>
      <c r="O271" s="98"/>
      <c r="P271" s="100"/>
      <c r="Q271" s="34" t="s">
        <v>1338</v>
      </c>
      <c r="R271" s="112" t="s">
        <v>78</v>
      </c>
      <c r="S271" s="154"/>
      <c r="T271" s="97"/>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spans="1:67" ht="29.25" customHeight="1">
      <c r="A272" s="92" t="s">
        <v>128</v>
      </c>
      <c r="B272" s="105" t="s">
        <v>1339</v>
      </c>
      <c r="C272" s="140" t="s">
        <v>1340</v>
      </c>
      <c r="D272" s="95" t="s">
        <v>1341</v>
      </c>
      <c r="E272" s="96"/>
      <c r="F272" s="111" t="s">
        <v>250</v>
      </c>
      <c r="G272" s="97"/>
      <c r="H272" s="22">
        <f>IF(OR(J272="",K272="",K272&lt;J272),0,NETWORKDAYS(J272,K272,fESTIVOS!$A$2:$A$53))</f>
        <v>0</v>
      </c>
      <c r="I272" s="184">
        <v>46086</v>
      </c>
      <c r="J272" s="99"/>
      <c r="K272" s="99"/>
      <c r="L272" s="99"/>
      <c r="M272" s="27">
        <f ca="1">IF(OR(J272="",AND(L272="",TODAY()&lt;J272),AND(L272&lt;&gt;"",L272&lt;J272)),0,
   IF(L272="",
      NETWORKDAYS(J272,TODAY(),fESTIVOS!$A$2:$A$53),
      NETWORKDAYS(J272,L272,fESTIVOS!$A$2:$A$53)
   )
)</f>
        <v>0</v>
      </c>
      <c r="N272" s="28"/>
      <c r="O272" s="98"/>
      <c r="P272" s="100"/>
      <c r="Q272" s="34" t="s">
        <v>1342</v>
      </c>
      <c r="R272" s="31" t="s">
        <v>78</v>
      </c>
      <c r="S272" s="154"/>
      <c r="T272" s="97"/>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spans="1:67" ht="29.25" customHeight="1">
      <c r="A273" s="92" t="s">
        <v>128</v>
      </c>
      <c r="B273" s="105" t="s">
        <v>1343</v>
      </c>
      <c r="C273" s="140" t="s">
        <v>1344</v>
      </c>
      <c r="D273" s="95" t="s">
        <v>1345</v>
      </c>
      <c r="E273" s="96"/>
      <c r="F273" s="111" t="s">
        <v>207</v>
      </c>
      <c r="G273" s="97">
        <v>5</v>
      </c>
      <c r="H273" s="22">
        <f>IF(OR(J273="",K273="",K273&lt;J273),0,NETWORKDAYS(J273,K273,fESTIVOS!$A$2:$A$53))</f>
        <v>0</v>
      </c>
      <c r="I273" s="184">
        <v>45968</v>
      </c>
      <c r="J273" s="99">
        <v>45981</v>
      </c>
      <c r="K273" s="99"/>
      <c r="L273" s="99"/>
      <c r="M273" s="27">
        <f ca="1">IF(OR(J273="",AND(L273="",TODAY()&lt;J273),AND(L273&lt;&gt;"",L273&lt;J273)),0,
   IF(L273="",
      NETWORKDAYS(J273,TODAY(),fESTIVOS!$A$2:$A$53),
      NETWORKDAYS(J273,L273,fESTIVOS!$A$2:$A$53)
   )
)</f>
        <v>73</v>
      </c>
      <c r="N273" s="28"/>
      <c r="O273" s="98"/>
      <c r="P273" s="100"/>
      <c r="Q273" s="34" t="s">
        <v>1346</v>
      </c>
      <c r="R273" s="112" t="s">
        <v>93</v>
      </c>
      <c r="S273" s="154"/>
      <c r="T273" s="97"/>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spans="1:67" ht="29.25" customHeight="1">
      <c r="A274" s="92" t="s">
        <v>128</v>
      </c>
      <c r="B274" s="105" t="s">
        <v>1347</v>
      </c>
      <c r="C274" s="140" t="s">
        <v>1348</v>
      </c>
      <c r="D274" s="95" t="s">
        <v>1349</v>
      </c>
      <c r="E274" s="96"/>
      <c r="F274" s="111" t="s">
        <v>76</v>
      </c>
      <c r="G274" s="97">
        <v>100</v>
      </c>
      <c r="H274" s="22">
        <f>IF(OR(J274="",K274="",K274&lt;J274),0,NETWORKDAYS(J274,K274,fESTIVOS!$A$2:$A$53))</f>
        <v>0</v>
      </c>
      <c r="I274" s="98">
        <v>46038</v>
      </c>
      <c r="J274" s="99">
        <v>46041</v>
      </c>
      <c r="K274" s="99"/>
      <c r="L274" s="99">
        <v>46041</v>
      </c>
      <c r="M274" s="27">
        <f ca="1">IF(OR(J274="",AND(L274="",TODAY()&lt;J274),AND(L274&lt;&gt;"",L274&lt;J274)),0,
   IF(L274="",
      NETWORKDAYS(J274,TODAY(),fESTIVOS!$A$2:$A$53),
      NETWORKDAYS(J274,L274,fESTIVOS!$A$2:$A$53)
   )
)</f>
        <v>1</v>
      </c>
      <c r="N274" s="28"/>
      <c r="O274" s="98"/>
      <c r="P274" s="100"/>
      <c r="Q274" s="34" t="s">
        <v>1350</v>
      </c>
      <c r="R274" s="112" t="s">
        <v>524</v>
      </c>
      <c r="S274" s="154"/>
      <c r="T274" s="97"/>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spans="1:67" ht="29.25" customHeight="1">
      <c r="A275" s="92" t="s">
        <v>128</v>
      </c>
      <c r="B275" s="105" t="s">
        <v>1351</v>
      </c>
      <c r="C275" s="140" t="s">
        <v>1352</v>
      </c>
      <c r="D275" s="95" t="s">
        <v>1353</v>
      </c>
      <c r="E275" s="96"/>
      <c r="F275" s="121" t="s">
        <v>76</v>
      </c>
      <c r="G275" s="97">
        <v>100</v>
      </c>
      <c r="H275" s="22">
        <f>IF(OR(J275="",K275="",K275&lt;J275),0,NETWORKDAYS(J275,K275,fESTIVOS!$A$2:$A$53))</f>
        <v>0</v>
      </c>
      <c r="I275" s="98">
        <v>46028</v>
      </c>
      <c r="J275" s="99">
        <v>46028</v>
      </c>
      <c r="K275" s="99"/>
      <c r="L275" s="99">
        <v>46028</v>
      </c>
      <c r="M275" s="27">
        <f ca="1">IF(OR(J275="",AND(L275="",TODAY()&lt;J275),AND(L275&lt;&gt;"",L275&lt;J275)),0,
   IF(L275="",
      NETWORKDAYS(J275,TODAY(),fESTIVOS!$A$2:$A$53),
      NETWORKDAYS(J275,L275,fESTIVOS!$A$2:$A$53)
   )
)</f>
        <v>1</v>
      </c>
      <c r="N275" s="28"/>
      <c r="O275" s="98"/>
      <c r="P275" s="100"/>
      <c r="Q275" s="34" t="s">
        <v>1354</v>
      </c>
      <c r="R275" s="112" t="s">
        <v>524</v>
      </c>
      <c r="S275" s="154"/>
      <c r="T275" s="97"/>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spans="1:67" ht="29.25" customHeight="1">
      <c r="A276" s="92" t="s">
        <v>128</v>
      </c>
      <c r="B276" s="105" t="s">
        <v>1355</v>
      </c>
      <c r="C276" s="140" t="s">
        <v>1356</v>
      </c>
      <c r="D276" s="95" t="s">
        <v>1357</v>
      </c>
      <c r="E276" s="96"/>
      <c r="F276" s="121" t="s">
        <v>76</v>
      </c>
      <c r="G276" s="97">
        <v>100</v>
      </c>
      <c r="H276" s="22">
        <f>IF(OR(J276="",K276="",K276&lt;J276),0,NETWORKDAYS(J276,K276,fESTIVOS!$A$2:$A$53))</f>
        <v>0</v>
      </c>
      <c r="I276" s="98">
        <v>45989</v>
      </c>
      <c r="J276" s="99">
        <v>45992</v>
      </c>
      <c r="K276" s="99"/>
      <c r="L276" s="99">
        <v>45993</v>
      </c>
      <c r="M276" s="27">
        <f ca="1">IF(OR(J276="",AND(L276="",TODAY()&lt;J276),AND(L276&lt;&gt;"",L276&lt;J276)),0,
   IF(L276="",
      NETWORKDAYS(J276,TODAY(),fESTIVOS!$A$2:$A$53),
      NETWORKDAYS(J276,L276,fESTIVOS!$A$2:$A$53)
   )
)</f>
        <v>2</v>
      </c>
      <c r="N276" s="28"/>
      <c r="O276" s="98"/>
      <c r="P276" s="100">
        <v>45993</v>
      </c>
      <c r="Q276" s="34" t="s">
        <v>1358</v>
      </c>
      <c r="R276" s="112" t="s">
        <v>78</v>
      </c>
      <c r="S276" s="154"/>
      <c r="T276" s="97"/>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spans="1:67" ht="29.25" customHeight="1">
      <c r="A277" s="92" t="s">
        <v>128</v>
      </c>
      <c r="B277" s="105" t="s">
        <v>1359</v>
      </c>
      <c r="C277" s="140" t="s">
        <v>1360</v>
      </c>
      <c r="D277" s="95"/>
      <c r="E277" s="96"/>
      <c r="F277" s="121" t="s">
        <v>76</v>
      </c>
      <c r="G277" s="97">
        <v>100</v>
      </c>
      <c r="H277" s="22">
        <f>IF(OR(J277="",K277="",K277&lt;J277),0,NETWORKDAYS(J277,K277,fESTIVOS!$A$2:$A$53))</f>
        <v>0</v>
      </c>
      <c r="I277" s="98">
        <v>45973</v>
      </c>
      <c r="J277" s="99">
        <v>45973</v>
      </c>
      <c r="K277" s="99"/>
      <c r="L277" s="99">
        <v>45973</v>
      </c>
      <c r="M277" s="27">
        <f ca="1">IF(OR(J277="",AND(L277="",TODAY()&lt;J277),AND(L277&lt;&gt;"",L277&lt;J277)),0,
   IF(L277="",
      NETWORKDAYS(J277,TODAY(),fESTIVOS!$A$2:$A$53),
      NETWORKDAYS(J277,L277,fESTIVOS!$A$2:$A$53)
   )
)</f>
        <v>1</v>
      </c>
      <c r="N277" s="28"/>
      <c r="O277" s="98"/>
      <c r="P277" s="100"/>
      <c r="Q277" s="34" t="s">
        <v>1361</v>
      </c>
      <c r="R277" s="112" t="s">
        <v>78</v>
      </c>
      <c r="S277" s="154"/>
      <c r="T277" s="97"/>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spans="1:67" ht="29.25" customHeight="1">
      <c r="A278" s="92" t="s">
        <v>128</v>
      </c>
      <c r="B278" s="105" t="s">
        <v>1362</v>
      </c>
      <c r="C278" s="140" t="s">
        <v>1363</v>
      </c>
      <c r="D278" s="95" t="s">
        <v>1364</v>
      </c>
      <c r="E278" s="96"/>
      <c r="F278" s="121" t="s">
        <v>76</v>
      </c>
      <c r="G278" s="97">
        <v>100</v>
      </c>
      <c r="H278" s="22">
        <f>IF(OR(J278="",K278="",K278&lt;J278),0,NETWORKDAYS(J278,K278,fESTIVOS!$A$2:$A$53))</f>
        <v>0</v>
      </c>
      <c r="I278" s="98">
        <v>45974</v>
      </c>
      <c r="J278" s="99">
        <v>45974</v>
      </c>
      <c r="K278" s="99"/>
      <c r="L278" s="99">
        <v>45974</v>
      </c>
      <c r="M278" s="27">
        <f ca="1">IF(OR(J278="",AND(L278="",TODAY()&lt;J278),AND(L278&lt;&gt;"",L278&lt;J278)),0,
   IF(L278="",
      NETWORKDAYS(J278,TODAY(),fESTIVOS!$A$2:$A$53),
      NETWORKDAYS(J278,L278,fESTIVOS!$A$2:$A$53)
   )
)</f>
        <v>1</v>
      </c>
      <c r="N278" s="28"/>
      <c r="O278" s="98"/>
      <c r="P278" s="100"/>
      <c r="Q278" s="34" t="s">
        <v>1365</v>
      </c>
      <c r="R278" s="112" t="s">
        <v>78</v>
      </c>
      <c r="S278" s="154"/>
      <c r="T278" s="97"/>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spans="1:67" ht="29.25" customHeight="1">
      <c r="A279" s="92" t="s">
        <v>128</v>
      </c>
      <c r="B279" s="105" t="s">
        <v>1366</v>
      </c>
      <c r="C279" s="140" t="s">
        <v>1367</v>
      </c>
      <c r="D279" s="95" t="s">
        <v>1368</v>
      </c>
      <c r="E279" s="96"/>
      <c r="F279" s="121" t="s">
        <v>76</v>
      </c>
      <c r="G279" s="97">
        <v>100</v>
      </c>
      <c r="H279" s="22">
        <f>IF(OR(J279="",K279="",K279&lt;J279),0,NETWORKDAYS(J279,K279,fESTIVOS!$A$2:$A$53))</f>
        <v>0</v>
      </c>
      <c r="I279" s="98">
        <v>45974</v>
      </c>
      <c r="J279" s="99">
        <v>45974</v>
      </c>
      <c r="K279" s="99"/>
      <c r="L279" s="99">
        <v>45974</v>
      </c>
      <c r="M279" s="27">
        <f ca="1">IF(OR(J279="",AND(L279="",TODAY()&lt;J279),AND(L279&lt;&gt;"",L279&lt;J279)),0,
   IF(L279="",
      NETWORKDAYS(J279,TODAY(),fESTIVOS!$A$2:$A$53),
      NETWORKDAYS(J279,L279,fESTIVOS!$A$2:$A$53)
   )
)</f>
        <v>1</v>
      </c>
      <c r="N279" s="28"/>
      <c r="O279" s="98"/>
      <c r="P279" s="100">
        <v>45974</v>
      </c>
      <c r="Q279" s="34" t="s">
        <v>1369</v>
      </c>
      <c r="R279" s="112" t="s">
        <v>78</v>
      </c>
      <c r="S279" s="154"/>
      <c r="T279" s="97"/>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spans="1:67" ht="29.25" customHeight="1">
      <c r="A280" s="92" t="s">
        <v>128</v>
      </c>
      <c r="B280" s="105" t="s">
        <v>1370</v>
      </c>
      <c r="C280" s="150" t="s">
        <v>1371</v>
      </c>
      <c r="D280" s="95" t="s">
        <v>1372</v>
      </c>
      <c r="E280" s="96"/>
      <c r="F280" s="121" t="s">
        <v>76</v>
      </c>
      <c r="G280" s="97">
        <v>100</v>
      </c>
      <c r="H280" s="22">
        <f>IF(OR(J280="",K280="",K280&lt;J280),0,NETWORKDAYS(J280,K280,fESTIVOS!$A$2:$A$53))</f>
        <v>0</v>
      </c>
      <c r="I280" s="98">
        <v>45974</v>
      </c>
      <c r="J280" s="99">
        <v>45974</v>
      </c>
      <c r="K280" s="99"/>
      <c r="L280" s="99">
        <v>45974</v>
      </c>
      <c r="M280" s="27">
        <f ca="1">IF(OR(J280="",AND(L280="",TODAY()&lt;J280),AND(L280&lt;&gt;"",L280&lt;J280)),0,
   IF(L280="",
      NETWORKDAYS(J280,TODAY(),fESTIVOS!$A$2:$A$53),
      NETWORKDAYS(J280,L280,fESTIVOS!$A$2:$A$53)
   )
)</f>
        <v>1</v>
      </c>
      <c r="N280" s="28"/>
      <c r="O280" s="98"/>
      <c r="P280" s="100"/>
      <c r="Q280" s="34" t="s">
        <v>1373</v>
      </c>
      <c r="R280" s="112" t="s">
        <v>78</v>
      </c>
      <c r="S280" s="154"/>
      <c r="T280" s="97"/>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spans="1:67" ht="29.25" customHeight="1">
      <c r="A281" s="92" t="s">
        <v>128</v>
      </c>
      <c r="B281" s="105" t="s">
        <v>1374</v>
      </c>
      <c r="C281" s="106" t="s">
        <v>1375</v>
      </c>
      <c r="D281" s="95" t="s">
        <v>1376</v>
      </c>
      <c r="E281" s="96"/>
      <c r="F281" s="121" t="s">
        <v>76</v>
      </c>
      <c r="G281" s="97">
        <v>100</v>
      </c>
      <c r="H281" s="22">
        <f>IF(OR(J281="",K281="",K281&lt;J281),0,NETWORKDAYS(J281,K281,fESTIVOS!$A$2:$A$53))</f>
        <v>0</v>
      </c>
      <c r="I281" s="98">
        <v>45931</v>
      </c>
      <c r="J281" s="99">
        <v>45932</v>
      </c>
      <c r="K281" s="99"/>
      <c r="L281" s="99">
        <v>45932</v>
      </c>
      <c r="M281" s="27">
        <f ca="1">IF(OR(J281="",AND(L281="",TODAY()&lt;J281),AND(L281&lt;&gt;"",L281&lt;J281)),0,
   IF(L281="",
      NETWORKDAYS(J281,TODAY(),fESTIVOS!$A$2:$A$53),
      NETWORKDAYS(J281,L281,fESTIVOS!$A$2:$A$53)
   )
)</f>
        <v>1</v>
      </c>
      <c r="N281" s="28"/>
      <c r="O281" s="98"/>
      <c r="P281" s="100"/>
      <c r="Q281" s="34" t="s">
        <v>1377</v>
      </c>
      <c r="R281" s="112" t="s">
        <v>78</v>
      </c>
      <c r="S281" s="154"/>
      <c r="T281" s="97"/>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spans="1:67" ht="29.25" customHeight="1">
      <c r="A282" s="92" t="s">
        <v>128</v>
      </c>
      <c r="B282" s="105" t="s">
        <v>1378</v>
      </c>
      <c r="C282" s="106" t="s">
        <v>1379</v>
      </c>
      <c r="D282" s="95" t="s">
        <v>1380</v>
      </c>
      <c r="E282" s="96"/>
      <c r="F282" s="121" t="s">
        <v>76</v>
      </c>
      <c r="G282" s="97">
        <v>100</v>
      </c>
      <c r="H282" s="22">
        <f>IF(OR(J282="",K282="",K282&lt;J282),0,NETWORKDAYS(J282,K282,fESTIVOS!$A$2:$A$53))</f>
        <v>0</v>
      </c>
      <c r="I282" s="98">
        <v>45929</v>
      </c>
      <c r="J282" s="99">
        <v>45930</v>
      </c>
      <c r="K282" s="99"/>
      <c r="L282" s="99">
        <v>45930</v>
      </c>
      <c r="M282" s="27">
        <f ca="1">IF(OR(J282="",AND(L282="",TODAY()&lt;J282),AND(L282&lt;&gt;"",L282&lt;J282)),0,
   IF(L282="",
      NETWORKDAYS(J282,TODAY(),fESTIVOS!$A$2:$A$53),
      NETWORKDAYS(J282,L282,fESTIVOS!$A$2:$A$53)
   )
)</f>
        <v>1</v>
      </c>
      <c r="N282" s="28"/>
      <c r="O282" s="98"/>
      <c r="P282" s="100"/>
      <c r="Q282" s="34" t="s">
        <v>1381</v>
      </c>
      <c r="R282" s="112" t="s">
        <v>78</v>
      </c>
      <c r="S282" s="154"/>
      <c r="T282" s="97"/>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spans="1:67" ht="29.25" customHeight="1">
      <c r="A283" s="92" t="s">
        <v>128</v>
      </c>
      <c r="B283" s="105" t="s">
        <v>1382</v>
      </c>
      <c r="C283" s="106" t="s">
        <v>1383</v>
      </c>
      <c r="D283" s="95" t="s">
        <v>1384</v>
      </c>
      <c r="E283" s="96"/>
      <c r="F283" s="121" t="s">
        <v>76</v>
      </c>
      <c r="G283" s="97">
        <v>100</v>
      </c>
      <c r="H283" s="22">
        <f>IF(OR(J283="",K283="",K283&lt;J283),0,NETWORKDAYS(J283,K283,fESTIVOS!$A$2:$A$53))</f>
        <v>0</v>
      </c>
      <c r="I283" s="98">
        <v>45908</v>
      </c>
      <c r="J283" s="99">
        <v>45909</v>
      </c>
      <c r="K283" s="99"/>
      <c r="L283" s="99">
        <v>45909</v>
      </c>
      <c r="M283" s="27">
        <f ca="1">IF(OR(J283="",AND(L283="",TODAY()&lt;J283),AND(L283&lt;&gt;"",L283&lt;J283)),0,
   IF(L283="",
      NETWORKDAYS(J283,TODAY(),fESTIVOS!$A$2:$A$53),
      NETWORKDAYS(J283,L283,fESTIVOS!$A$2:$A$53)
   )
)</f>
        <v>1</v>
      </c>
      <c r="N283" s="28"/>
      <c r="O283" s="98">
        <v>45910</v>
      </c>
      <c r="P283" s="100">
        <v>45910</v>
      </c>
      <c r="Q283" s="34" t="s">
        <v>1385</v>
      </c>
      <c r="R283" s="112"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spans="1:67" ht="29.25" customHeight="1">
      <c r="A284" s="92" t="s">
        <v>157</v>
      </c>
      <c r="B284" s="105" t="s">
        <v>1386</v>
      </c>
      <c r="C284" s="106" t="s">
        <v>1387</v>
      </c>
      <c r="D284" s="95"/>
      <c r="E284" s="96"/>
      <c r="F284" s="121" t="s">
        <v>76</v>
      </c>
      <c r="G284" s="97">
        <v>100</v>
      </c>
      <c r="H284" s="22">
        <f>IF(OR(J284="",K284="",K284&lt;J284),0,NETWORKDAYS(J284,K284,fESTIVOS!$A$2:$A$53))</f>
        <v>0</v>
      </c>
      <c r="I284" s="98">
        <v>45912</v>
      </c>
      <c r="J284" s="99">
        <v>45915</v>
      </c>
      <c r="K284" s="99"/>
      <c r="L284" s="99">
        <v>45915</v>
      </c>
      <c r="M284" s="27">
        <f ca="1">IF(OR(J284="",AND(L284="",TODAY()&lt;J284),AND(L284&lt;&gt;"",L284&lt;J284)),0,
   IF(L284="",
      NETWORKDAYS(J284,TODAY(),fESTIVOS!$A$2:$A$53),
      NETWORKDAYS(J284,L284,fESTIVOS!$A$2:$A$53)
   )
)</f>
        <v>1</v>
      </c>
      <c r="N284" s="28"/>
      <c r="O284" s="98"/>
      <c r="P284" s="100"/>
      <c r="Q284" s="34" t="s">
        <v>1388</v>
      </c>
      <c r="R284" s="112"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spans="1:67" ht="29.25" customHeight="1">
      <c r="A285" s="92" t="s">
        <v>157</v>
      </c>
      <c r="B285" s="105" t="s">
        <v>1389</v>
      </c>
      <c r="C285" s="106" t="s">
        <v>1390</v>
      </c>
      <c r="D285" s="95" t="s">
        <v>1391</v>
      </c>
      <c r="E285" s="96"/>
      <c r="F285" s="121" t="s">
        <v>76</v>
      </c>
      <c r="G285" s="97">
        <v>100</v>
      </c>
      <c r="H285" s="22">
        <f>IF(OR(J285="",K285="",K285&lt;J285),0,NETWORKDAYS(J285,K285,fESTIVOS!$A$2:$A$53))</f>
        <v>0</v>
      </c>
      <c r="I285" s="98">
        <v>45894</v>
      </c>
      <c r="J285" s="99">
        <v>45896</v>
      </c>
      <c r="K285" s="99"/>
      <c r="L285" s="99">
        <v>45897</v>
      </c>
      <c r="M285" s="27">
        <f ca="1">IF(OR(J285="",AND(L285="",TODAY()&lt;J285),AND(L285&lt;&gt;"",L285&lt;J285)),0,
   IF(L285="",
      NETWORKDAYS(J285,TODAY(),fESTIVOS!$A$2:$A$53),
      NETWORKDAYS(J285,L285,fESTIVOS!$A$2:$A$53)
   )
)</f>
        <v>2</v>
      </c>
      <c r="N285" s="28"/>
      <c r="O285" s="98"/>
      <c r="P285" s="100">
        <v>45897</v>
      </c>
      <c r="Q285" s="34" t="s">
        <v>1392</v>
      </c>
      <c r="R285" s="31" t="s">
        <v>78</v>
      </c>
      <c r="S285" s="101"/>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spans="1:67" ht="29.25" customHeight="1">
      <c r="A286" s="92" t="s">
        <v>157</v>
      </c>
      <c r="B286" s="105" t="s">
        <v>1393</v>
      </c>
      <c r="C286" s="106" t="s">
        <v>1394</v>
      </c>
      <c r="D286" s="95" t="s">
        <v>1395</v>
      </c>
      <c r="E286" s="96"/>
      <c r="F286" s="121" t="s">
        <v>76</v>
      </c>
      <c r="G286" s="97">
        <v>100</v>
      </c>
      <c r="H286" s="22">
        <f>IF(OR(J286="",K286="",K286&lt;J286),0,NETWORKDAYS(J286,K286,fESTIVOS!$A$2:$A$53))</f>
        <v>0</v>
      </c>
      <c r="I286" s="98">
        <v>45898</v>
      </c>
      <c r="J286" s="99">
        <v>45901</v>
      </c>
      <c r="K286" s="99"/>
      <c r="L286" s="99">
        <v>45901</v>
      </c>
      <c r="M286" s="27">
        <f ca="1">IF(OR(J286="",AND(L286="",TODAY()&lt;J286),AND(L286&lt;&gt;"",L286&lt;J286)),0,
   IF(L286="",
      NETWORKDAYS(J286,TODAY(),fESTIVOS!$A$2:$A$53),
      NETWORKDAYS(J286,L286,fESTIVOS!$A$2:$A$53)
   )
)</f>
        <v>1</v>
      </c>
      <c r="N286" s="28"/>
      <c r="O286" s="98"/>
      <c r="P286" s="100"/>
      <c r="Q286" s="34" t="s">
        <v>1396</v>
      </c>
      <c r="R286" s="112" t="s">
        <v>78</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spans="1:67" ht="29.25" customHeight="1">
      <c r="A287" s="92" t="s">
        <v>157</v>
      </c>
      <c r="B287" s="105" t="s">
        <v>1397</v>
      </c>
      <c r="C287" s="106" t="s">
        <v>1398</v>
      </c>
      <c r="D287" s="95" t="s">
        <v>1399</v>
      </c>
      <c r="E287" s="96"/>
      <c r="F287" s="121" t="s">
        <v>76</v>
      </c>
      <c r="G287" s="97">
        <v>100</v>
      </c>
      <c r="H287" s="22">
        <f>IF(OR(J287="",K287="",K287&lt;J287),0,NETWORKDAYS(J287,K287,fESTIVOS!$A$2:$A$53))</f>
        <v>0</v>
      </c>
      <c r="I287" s="98">
        <v>45902</v>
      </c>
      <c r="J287" s="99">
        <v>45902</v>
      </c>
      <c r="K287" s="99"/>
      <c r="L287" s="99">
        <v>45924</v>
      </c>
      <c r="M287" s="27">
        <f ca="1">IF(OR(J287="",AND(L287="",TODAY()&lt;J287),AND(L287&lt;&gt;"",L287&lt;J287)),0,
   IF(L287="",
      NETWORKDAYS(J287,TODAY(),fESTIVOS!$A$2:$A$53),
      NETWORKDAYS(J287,L287,fESTIVOS!$A$2:$A$53)
   )
)</f>
        <v>17</v>
      </c>
      <c r="N287" s="28"/>
      <c r="O287" s="98"/>
      <c r="P287" s="100"/>
      <c r="Q287" s="34" t="s">
        <v>1400</v>
      </c>
      <c r="R287" s="31"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spans="1:67" ht="29.25" customHeight="1">
      <c r="A288" s="92" t="s">
        <v>210</v>
      </c>
      <c r="B288" s="105" t="s">
        <v>1401</v>
      </c>
      <c r="C288" s="141" t="s">
        <v>1402</v>
      </c>
      <c r="D288" s="204" t="s">
        <v>1403</v>
      </c>
      <c r="E288" s="96"/>
      <c r="F288" s="121" t="s">
        <v>76</v>
      </c>
      <c r="G288" s="97">
        <v>100</v>
      </c>
      <c r="H288" s="22">
        <f>IF(OR(J288="",K288="",K288&lt;J288),0,NETWORKDAYS(J288,K288,fESTIVOS!$A$2:$A$53))</f>
        <v>0</v>
      </c>
      <c r="I288" s="98">
        <v>45902</v>
      </c>
      <c r="J288" s="99">
        <v>45903</v>
      </c>
      <c r="K288" s="99"/>
      <c r="L288" s="99">
        <v>45975</v>
      </c>
      <c r="M288" s="27">
        <f ca="1">IF(OR(J288="",AND(L288="",TODAY()&lt;J288),AND(L288&lt;&gt;"",L288&lt;J288)),0,
   IF(L288="",
      NETWORKDAYS(J288,TODAY(),fESTIVOS!$A$2:$A$53),
      NETWORKDAYS(J288,L288,fESTIVOS!$A$2:$A$53)
   )
)</f>
        <v>51</v>
      </c>
      <c r="N288" s="28"/>
      <c r="O288" s="98"/>
      <c r="P288" s="100"/>
      <c r="Q288" s="34" t="s">
        <v>1404</v>
      </c>
      <c r="R288" s="31" t="s">
        <v>78</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spans="1:67" ht="29.25" customHeight="1">
      <c r="A289" s="92" t="s">
        <v>210</v>
      </c>
      <c r="B289" s="105" t="s">
        <v>1405</v>
      </c>
      <c r="C289" s="140" t="s">
        <v>1406</v>
      </c>
      <c r="D289" s="205" t="s">
        <v>1407</v>
      </c>
      <c r="E289" s="96"/>
      <c r="F289" s="121" t="s">
        <v>76</v>
      </c>
      <c r="G289" s="97">
        <v>100</v>
      </c>
      <c r="H289" s="22">
        <f>IF(OR(J289="",K289="",K289&lt;J289),0,NETWORKDAYS(J289,K289,fESTIVOS!$A$2:$A$53))</f>
        <v>0</v>
      </c>
      <c r="I289" s="98">
        <v>45975</v>
      </c>
      <c r="J289" s="99">
        <v>45987</v>
      </c>
      <c r="K289" s="99"/>
      <c r="L289" s="99">
        <v>45994</v>
      </c>
      <c r="M289" s="27">
        <f ca="1">IF(OR(J289="",AND(L289="",TODAY()&lt;J289),AND(L289&lt;&gt;"",L289&lt;J289)),0,
   IF(L289="",
      NETWORKDAYS(J289,TODAY(),fESTIVOS!$A$2:$A$53),
      NETWORKDAYS(J289,L289,fESTIVOS!$A$2:$A$53)
   )
)</f>
        <v>6</v>
      </c>
      <c r="N289" s="28"/>
      <c r="O289" s="98"/>
      <c r="P289" s="100"/>
      <c r="Q289" s="34" t="s">
        <v>1408</v>
      </c>
      <c r="R289" s="31" t="s">
        <v>78</v>
      </c>
      <c r="S289" s="101"/>
      <c r="T289" s="101"/>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spans="1:67" ht="29.25" customHeight="1">
      <c r="A290" s="92" t="s">
        <v>210</v>
      </c>
      <c r="B290" s="105" t="s">
        <v>1409</v>
      </c>
      <c r="C290" s="140" t="s">
        <v>1410</v>
      </c>
      <c r="D290" s="205"/>
      <c r="E290" s="96"/>
      <c r="F290" s="121" t="s">
        <v>76</v>
      </c>
      <c r="G290" s="97">
        <v>100</v>
      </c>
      <c r="H290" s="22">
        <f>IF(OR(J290="",K290="",K290&lt;J290),0,NETWORKDAYS(J290,K290,fESTIVOS!$A$2:$A$53))</f>
        <v>0</v>
      </c>
      <c r="I290" s="98">
        <v>45980</v>
      </c>
      <c r="J290" s="99">
        <v>45980</v>
      </c>
      <c r="K290" s="99"/>
      <c r="L290" s="99">
        <v>46006</v>
      </c>
      <c r="M290" s="27">
        <f ca="1">IF(OR(J290="",AND(L290="",TODAY()&lt;J290),AND(L290&lt;&gt;"",L290&lt;J290)),0,
   IF(L290="",
      NETWORKDAYS(J290,TODAY(),fESTIVOS!$A$2:$A$53),
      NETWORKDAYS(J290,L290,fESTIVOS!$A$2:$A$53)
   )
)</f>
        <v>18</v>
      </c>
      <c r="N290" s="28"/>
      <c r="O290" s="98"/>
      <c r="P290" s="100"/>
      <c r="Q290" s="34" t="s">
        <v>1411</v>
      </c>
      <c r="R290" s="112" t="s">
        <v>78</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spans="1:67" ht="29.25" customHeight="1">
      <c r="A291" s="92" t="s">
        <v>210</v>
      </c>
      <c r="B291" s="105" t="s">
        <v>1412</v>
      </c>
      <c r="C291" s="140" t="s">
        <v>1413</v>
      </c>
      <c r="D291" s="205"/>
      <c r="E291" s="96"/>
      <c r="F291" s="121" t="s">
        <v>76</v>
      </c>
      <c r="G291" s="97">
        <v>100</v>
      </c>
      <c r="H291" s="22">
        <f>IF(OR(J291="",K291="",K291&lt;J291),0,NETWORKDAYS(J291,K291,fESTIVOS!$A$2:$A$53))</f>
        <v>0</v>
      </c>
      <c r="I291" s="98">
        <v>46006</v>
      </c>
      <c r="J291" s="99">
        <v>46006</v>
      </c>
      <c r="K291" s="99"/>
      <c r="L291" s="99">
        <v>46007</v>
      </c>
      <c r="M291" s="27">
        <f ca="1">IF(OR(J291="",AND(L291="",TODAY()&lt;J291),AND(L291&lt;&gt;"",L291&lt;J291)),0,
   IF(L291="",
      NETWORKDAYS(J291,TODAY(),fESTIVOS!$A$2:$A$53),
      NETWORKDAYS(J291,L291,fESTIVOS!$A$2:$A$53)
   )
)</f>
        <v>2</v>
      </c>
      <c r="N291" s="28"/>
      <c r="O291" s="98"/>
      <c r="P291" s="100"/>
      <c r="Q291" s="34" t="s">
        <v>1414</v>
      </c>
      <c r="R291" s="112"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spans="1:67" ht="29.25" customHeight="1">
      <c r="A292" s="92" t="s">
        <v>210</v>
      </c>
      <c r="B292" s="105" t="s">
        <v>1415</v>
      </c>
      <c r="C292" s="140" t="s">
        <v>1416</v>
      </c>
      <c r="D292" s="205" t="s">
        <v>1417</v>
      </c>
      <c r="E292" s="96"/>
      <c r="F292" s="121" t="s">
        <v>76</v>
      </c>
      <c r="G292" s="97">
        <v>100</v>
      </c>
      <c r="H292" s="22">
        <f>IF(OR(J292="",K292="",K292&lt;J292),0,NETWORKDAYS(J292,K292,fESTIVOS!$A$2:$A$53))</f>
        <v>0</v>
      </c>
      <c r="I292" s="98">
        <v>45982</v>
      </c>
      <c r="J292" s="99">
        <v>45982</v>
      </c>
      <c r="K292" s="99"/>
      <c r="L292" s="99">
        <v>45986</v>
      </c>
      <c r="M292" s="27">
        <f ca="1">IF(OR(J292="",AND(L292="",TODAY()&lt;J292),AND(L292&lt;&gt;"",L292&lt;J292)),0,
   IF(L292="",
      NETWORKDAYS(J292,TODAY(),fESTIVOS!$A$2:$A$53),
      NETWORKDAYS(J292,L292,fESTIVOS!$A$2:$A$53)
   )
)</f>
        <v>3</v>
      </c>
      <c r="N292" s="28"/>
      <c r="O292" s="98"/>
      <c r="P292" s="100"/>
      <c r="Q292" s="34" t="s">
        <v>1418</v>
      </c>
      <c r="R292" s="112"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spans="1:67" ht="29.25" customHeight="1">
      <c r="A293" s="92" t="s">
        <v>210</v>
      </c>
      <c r="B293" s="105" t="s">
        <v>1419</v>
      </c>
      <c r="C293" s="140" t="s">
        <v>1420</v>
      </c>
      <c r="D293" s="205" t="s">
        <v>1421</v>
      </c>
      <c r="E293" s="96"/>
      <c r="F293" s="121" t="s">
        <v>76</v>
      </c>
      <c r="G293" s="97">
        <v>100</v>
      </c>
      <c r="H293" s="22">
        <f>IF(OR(J293="",K293="",K293&lt;J293),0,NETWORKDAYS(J293,K293,fESTIVOS!$A$2:$A$53))</f>
        <v>0</v>
      </c>
      <c r="I293" s="98">
        <v>45989</v>
      </c>
      <c r="J293" s="99">
        <v>45989</v>
      </c>
      <c r="K293" s="99"/>
      <c r="L293" s="99">
        <v>45989</v>
      </c>
      <c r="M293" s="27">
        <f ca="1">IF(OR(J293="",AND(L293="",TODAY()&lt;J293),AND(L293&lt;&gt;"",L293&lt;J293)),0,
   IF(L293="",
      NETWORKDAYS(J293,TODAY(),fESTIVOS!$A$2:$A$53),
      NETWORKDAYS(J293,L293,fESTIVOS!$A$2:$A$53)
   )
)</f>
        <v>1</v>
      </c>
      <c r="N293" s="28"/>
      <c r="O293" s="98"/>
      <c r="P293" s="100"/>
      <c r="Q293" s="34" t="s">
        <v>1422</v>
      </c>
      <c r="R293" s="112"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spans="1:67" ht="29.25" customHeight="1">
      <c r="A294" s="92" t="s">
        <v>210</v>
      </c>
      <c r="B294" s="105" t="s">
        <v>1423</v>
      </c>
      <c r="C294" s="140" t="s">
        <v>1424</v>
      </c>
      <c r="D294" s="205" t="s">
        <v>1425</v>
      </c>
      <c r="E294" s="96"/>
      <c r="F294" s="121" t="s">
        <v>76</v>
      </c>
      <c r="G294" s="97">
        <v>100</v>
      </c>
      <c r="H294" s="22">
        <f>IF(OR(J294="",K294="",K294&lt;J294),0,NETWORKDAYS(J294,K294,fESTIVOS!$A$2:$A$53))</f>
        <v>0</v>
      </c>
      <c r="I294" s="98">
        <v>45987</v>
      </c>
      <c r="J294" s="99">
        <v>45987</v>
      </c>
      <c r="K294" s="99"/>
      <c r="L294" s="99">
        <v>45987</v>
      </c>
      <c r="M294" s="27">
        <f ca="1">IF(OR(J294="",AND(L294="",TODAY()&lt;J294),AND(L294&lt;&gt;"",L294&lt;J294)),0,
   IF(L294="",
      NETWORKDAYS(J294,TODAY(),fESTIVOS!$A$2:$A$53),
      NETWORKDAYS(J294,L294,fESTIVOS!$A$2:$A$53)
   )
)</f>
        <v>1</v>
      </c>
      <c r="N294" s="28"/>
      <c r="O294" s="98"/>
      <c r="P294" s="100"/>
      <c r="Q294" s="34" t="s">
        <v>1426</v>
      </c>
      <c r="R294" s="112"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spans="1:67" ht="29.25" customHeight="1">
      <c r="A295" s="92" t="s">
        <v>210</v>
      </c>
      <c r="B295" s="193" t="s">
        <v>1427</v>
      </c>
      <c r="C295" s="206" t="s">
        <v>1428</v>
      </c>
      <c r="D295" s="205" t="s">
        <v>1429</v>
      </c>
      <c r="E295" s="96"/>
      <c r="F295" s="121" t="s">
        <v>76</v>
      </c>
      <c r="G295" s="97">
        <v>100</v>
      </c>
      <c r="H295" s="22">
        <f>IF(OR(J295="",K295="",K295&lt;J295),0,NETWORKDAYS(J295,K295,fESTIVOS!$A$2:$A$53))</f>
        <v>0</v>
      </c>
      <c r="I295" s="98">
        <v>45985</v>
      </c>
      <c r="J295" s="99">
        <v>45985</v>
      </c>
      <c r="K295" s="99"/>
      <c r="L295" s="99">
        <v>45985</v>
      </c>
      <c r="M295" s="27">
        <f ca="1">IF(OR(J295="",AND(L295="",TODAY()&lt;J295),AND(L295&lt;&gt;"",L295&lt;J295)),0,
   IF(L295="",
      NETWORKDAYS(J295,TODAY(),fESTIVOS!$A$2:$A$53),
      NETWORKDAYS(J295,L295,fESTIVOS!$A$2:$A$53)
   )
)</f>
        <v>1</v>
      </c>
      <c r="N295" s="28"/>
      <c r="O295" s="98"/>
      <c r="P295" s="100"/>
      <c r="Q295" s="34" t="s">
        <v>1430</v>
      </c>
      <c r="R295" s="112"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spans="1:67" ht="29.25" customHeight="1">
      <c r="A296" s="55" t="s">
        <v>157</v>
      </c>
      <c r="B296" s="17" t="s">
        <v>1431</v>
      </c>
      <c r="C296" s="141" t="s">
        <v>1432</v>
      </c>
      <c r="D296" s="207"/>
      <c r="E296" s="96"/>
      <c r="F296" s="20" t="s">
        <v>76</v>
      </c>
      <c r="G296" s="97">
        <v>100</v>
      </c>
      <c r="H296" s="22">
        <f>IF(OR(J296="",K296="",K296&lt;J296),0,NETWORKDAYS(J296,K296,fESTIVOS!$A$2:$A$53))</f>
        <v>0</v>
      </c>
      <c r="I296" s="98">
        <v>45861</v>
      </c>
      <c r="J296" s="99">
        <v>45869</v>
      </c>
      <c r="K296" s="99"/>
      <c r="L296" s="99">
        <v>46013</v>
      </c>
      <c r="M296" s="27">
        <f ca="1">IF(OR(J296="",AND(L296="",TODAY()&lt;J296),AND(L296&lt;&gt;"",L296&lt;J296)),0,
   IF(L296="",
      NETWORKDAYS(J296,TODAY(),fESTIVOS!$A$2:$A$53),
      NETWORKDAYS(J296,L296,fESTIVOS!$A$2:$A$53)
   )
)</f>
        <v>97</v>
      </c>
      <c r="N296" s="28"/>
      <c r="O296" s="98"/>
      <c r="P296" s="100"/>
      <c r="Q296" s="34" t="s">
        <v>1433</v>
      </c>
      <c r="R296" s="31"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spans="1:67" ht="29.25" customHeight="1">
      <c r="A297" s="92" t="s">
        <v>157</v>
      </c>
      <c r="B297" s="105" t="s">
        <v>1434</v>
      </c>
      <c r="C297" s="141" t="s">
        <v>1435</v>
      </c>
      <c r="D297" s="110" t="s">
        <v>1436</v>
      </c>
      <c r="E297" s="96"/>
      <c r="F297" s="208" t="s">
        <v>76</v>
      </c>
      <c r="G297" s="97">
        <v>100</v>
      </c>
      <c r="H297" s="22">
        <f>IF(OR(J297="",K297="",K297&lt;J297),0,NETWORKDAYS(J297,K297,fESTIVOS!$A$2:$A$53))</f>
        <v>0</v>
      </c>
      <c r="I297" s="98">
        <v>45904</v>
      </c>
      <c r="J297" s="99">
        <v>45910</v>
      </c>
      <c r="K297" s="99"/>
      <c r="L297" s="99">
        <v>45932</v>
      </c>
      <c r="M297" s="27">
        <f ca="1">IF(OR(J297="",AND(L297="",TODAY()&lt;J297),AND(L297&lt;&gt;"",L297&lt;J297)),0,
   IF(L297="",
      NETWORKDAYS(J297,TODAY(),fESTIVOS!$A$2:$A$53),
      NETWORKDAYS(J297,L297,fESTIVOS!$A$2:$A$53)
   )
)</f>
        <v>17</v>
      </c>
      <c r="N297" s="28"/>
      <c r="O297" s="98">
        <v>45932</v>
      </c>
      <c r="P297" s="100">
        <v>45993</v>
      </c>
      <c r="Q297" s="34" t="s">
        <v>1437</v>
      </c>
      <c r="R297" s="31" t="s">
        <v>78</v>
      </c>
      <c r="S297" s="97">
        <v>1</v>
      </c>
      <c r="T297" s="97" t="s">
        <v>1438</v>
      </c>
      <c r="U297" s="121" t="s">
        <v>1439</v>
      </c>
      <c r="V297" s="209" t="s">
        <v>1440</v>
      </c>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spans="1:67" ht="29.25" customHeight="1">
      <c r="A298" s="92" t="s">
        <v>210</v>
      </c>
      <c r="B298" s="105" t="s">
        <v>1441</v>
      </c>
      <c r="C298" s="140" t="s">
        <v>1442</v>
      </c>
      <c r="D298" s="110"/>
      <c r="E298" s="96"/>
      <c r="F298" s="111" t="s">
        <v>76</v>
      </c>
      <c r="G298" s="97">
        <v>100</v>
      </c>
      <c r="H298" s="22">
        <f>IF(OR(J298="",K298="",K298&lt;J298),0,NETWORKDAYS(J298,K298,fESTIVOS!$A$2:$A$53))</f>
        <v>0</v>
      </c>
      <c r="I298" s="98">
        <v>45994</v>
      </c>
      <c r="J298" s="99">
        <v>45995</v>
      </c>
      <c r="K298" s="99"/>
      <c r="L298" s="99">
        <v>45995</v>
      </c>
      <c r="M298" s="27">
        <f ca="1">IF(OR(J298="",AND(L298="",TODAY()&lt;J298),AND(L298&lt;&gt;"",L298&lt;J298)),0,
   IF(L298="",
      NETWORKDAYS(J298,TODAY(),fESTIVOS!$A$2:$A$53),
      NETWORKDAYS(J298,L298,fESTIVOS!$A$2:$A$53)
   )
)</f>
        <v>1</v>
      </c>
      <c r="N298" s="28"/>
      <c r="O298" s="98"/>
      <c r="P298" s="100"/>
      <c r="Q298" s="34" t="s">
        <v>1443</v>
      </c>
      <c r="R298" s="112" t="s">
        <v>78</v>
      </c>
      <c r="S298" s="97"/>
      <c r="T298" s="97"/>
      <c r="U298" s="102"/>
      <c r="V298" s="210"/>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spans="1:67" ht="29.25" customHeight="1">
      <c r="A299" s="92" t="s">
        <v>210</v>
      </c>
      <c r="B299" s="105" t="s">
        <v>1444</v>
      </c>
      <c r="C299" s="140" t="s">
        <v>1445</v>
      </c>
      <c r="D299" s="110" t="s">
        <v>1446</v>
      </c>
      <c r="E299" s="96"/>
      <c r="F299" s="111" t="s">
        <v>76</v>
      </c>
      <c r="G299" s="97">
        <v>100</v>
      </c>
      <c r="H299" s="22">
        <f>IF(OR(J299="",K299="",K299&lt;J299),0,NETWORKDAYS(J299,K299,fESTIVOS!$A$2:$A$53))</f>
        <v>0</v>
      </c>
      <c r="I299" s="98">
        <v>45994</v>
      </c>
      <c r="J299" s="99">
        <v>45995</v>
      </c>
      <c r="K299" s="99"/>
      <c r="L299" s="99">
        <v>45995</v>
      </c>
      <c r="M299" s="27">
        <f ca="1">IF(OR(J299="",AND(L299="",TODAY()&lt;J299),AND(L299&lt;&gt;"",L299&lt;J299)),0,
   IF(L299="",
      NETWORKDAYS(J299,TODAY(),fESTIVOS!$A$2:$A$53),
      NETWORKDAYS(J299,L299,fESTIVOS!$A$2:$A$53)
   )
)</f>
        <v>1</v>
      </c>
      <c r="N299" s="28"/>
      <c r="O299" s="98"/>
      <c r="P299" s="100"/>
      <c r="Q299" s="34" t="s">
        <v>1447</v>
      </c>
      <c r="R299" s="112" t="s">
        <v>78</v>
      </c>
      <c r="S299" s="97"/>
      <c r="T299" s="97"/>
      <c r="U299" s="102"/>
      <c r="V299" s="210"/>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spans="1:67" ht="29.25" customHeight="1">
      <c r="A300" s="92" t="s">
        <v>1448</v>
      </c>
      <c r="B300" s="105" t="s">
        <v>1449</v>
      </c>
      <c r="C300" s="140" t="s">
        <v>1450</v>
      </c>
      <c r="D300" s="110"/>
      <c r="E300" s="96"/>
      <c r="F300" s="208" t="s">
        <v>76</v>
      </c>
      <c r="G300" s="97">
        <v>100</v>
      </c>
      <c r="H300" s="22">
        <f>IF(OR(J300="",K300="",K300&lt;J300),0,NETWORKDAYS(J300,K300,fESTIVOS!$A$2:$A$53))</f>
        <v>0</v>
      </c>
      <c r="I300" s="98">
        <v>45994</v>
      </c>
      <c r="J300" s="99">
        <v>45994</v>
      </c>
      <c r="K300" s="99"/>
      <c r="L300" s="99">
        <v>45994</v>
      </c>
      <c r="M300" s="27">
        <f ca="1">IF(OR(J300="",AND(L300="",TODAY()&lt;J300),AND(L300&lt;&gt;"",L300&lt;J300)),0,
   IF(L300="",
      NETWORKDAYS(J300,TODAY(),fESTIVOS!$A$2:$A$53),
      NETWORKDAYS(J300,L300,fESTIVOS!$A$2:$A$53)
   )
)</f>
        <v>1</v>
      </c>
      <c r="N300" s="28"/>
      <c r="O300" s="98"/>
      <c r="P300" s="100"/>
      <c r="Q300" s="34" t="s">
        <v>1451</v>
      </c>
      <c r="R300" s="112" t="s">
        <v>78</v>
      </c>
      <c r="S300" s="97"/>
      <c r="T300" s="97"/>
      <c r="U300" s="102"/>
      <c r="V300" s="37"/>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spans="1:67" ht="29.25" customHeight="1">
      <c r="A301" s="92" t="s">
        <v>157</v>
      </c>
      <c r="B301" s="105" t="s">
        <v>1452</v>
      </c>
      <c r="C301" s="140" t="s">
        <v>1453</v>
      </c>
      <c r="D301" s="110" t="s">
        <v>1454</v>
      </c>
      <c r="E301" s="96"/>
      <c r="F301" s="208" t="s">
        <v>76</v>
      </c>
      <c r="G301" s="97">
        <v>100</v>
      </c>
      <c r="H301" s="22">
        <f>IF(OR(J301="",K301="",K301&lt;J301),0,NETWORKDAYS(J301,K301,fESTIVOS!$A$2:$A$53))</f>
        <v>0</v>
      </c>
      <c r="I301" s="98">
        <v>45986</v>
      </c>
      <c r="J301" s="99">
        <v>45987</v>
      </c>
      <c r="K301" s="99"/>
      <c r="L301" s="99">
        <v>45987</v>
      </c>
      <c r="M301" s="27">
        <f ca="1">IF(OR(J301="",AND(L301="",TODAY()&lt;J301),AND(L301&lt;&gt;"",L301&lt;J301)),0,
   IF(L301="",
      NETWORKDAYS(J301,TODAY(),fESTIVOS!$A$2:$A$53),
      NETWORKDAYS(J301,L301,fESTIVOS!$A$2:$A$53)
   )
)</f>
        <v>1</v>
      </c>
      <c r="N301" s="28"/>
      <c r="O301" s="98">
        <v>45987</v>
      </c>
      <c r="P301" s="100">
        <v>45994</v>
      </c>
      <c r="Q301" s="34" t="s">
        <v>1455</v>
      </c>
      <c r="R301" s="31" t="s">
        <v>78</v>
      </c>
      <c r="S301" s="97"/>
      <c r="T301" s="97"/>
      <c r="U301" s="102"/>
      <c r="V301" s="37"/>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spans="1:67" ht="29.25" customHeight="1">
      <c r="A302" s="92" t="s">
        <v>157</v>
      </c>
      <c r="B302" s="105" t="s">
        <v>1456</v>
      </c>
      <c r="C302" s="106" t="s">
        <v>1457</v>
      </c>
      <c r="D302" s="110" t="s">
        <v>1458</v>
      </c>
      <c r="E302" s="96"/>
      <c r="F302" s="121" t="s">
        <v>76</v>
      </c>
      <c r="G302" s="97">
        <v>100</v>
      </c>
      <c r="H302" s="22">
        <f>IF(OR(J302="",K302="",K302&lt;J302),0,NETWORKDAYS(J302,K302,fESTIVOS!$A$2:$A$53))</f>
        <v>0</v>
      </c>
      <c r="I302" s="98">
        <v>45932</v>
      </c>
      <c r="J302" s="99">
        <v>45933</v>
      </c>
      <c r="K302" s="99"/>
      <c r="L302" s="99">
        <v>45933</v>
      </c>
      <c r="M302" s="27">
        <f ca="1">IF(OR(J302="",AND(L302="",TODAY()&lt;J302),AND(L302&lt;&gt;"",L302&lt;J302)),0,
   IF(L302="",
      NETWORKDAYS(J302,TODAY(),fESTIVOS!$A$2:$A$53),
      NETWORKDAYS(J302,L302,fESTIVOS!$A$2:$A$53)
   )
)</f>
        <v>1</v>
      </c>
      <c r="N302" s="28"/>
      <c r="O302" s="98"/>
      <c r="P302" s="100"/>
      <c r="Q302" s="34" t="s">
        <v>1459</v>
      </c>
      <c r="R302" s="31" t="s">
        <v>78</v>
      </c>
      <c r="S302" s="97"/>
      <c r="T302" s="101"/>
      <c r="U302" s="102"/>
      <c r="V302" s="37"/>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spans="1:67" ht="29.25" customHeight="1">
      <c r="A303" s="92" t="s">
        <v>157</v>
      </c>
      <c r="B303" s="105" t="s">
        <v>1460</v>
      </c>
      <c r="C303" s="106" t="s">
        <v>1461</v>
      </c>
      <c r="D303" s="110" t="s">
        <v>1462</v>
      </c>
      <c r="E303" s="96"/>
      <c r="F303" s="121" t="s">
        <v>76</v>
      </c>
      <c r="G303" s="97">
        <v>100</v>
      </c>
      <c r="H303" s="22">
        <f>IF(OR(J303="",K303="",K303&lt;J303),0,NETWORKDAYS(J303,K303,fESTIVOS!$A$2:$A$53))</f>
        <v>2</v>
      </c>
      <c r="I303" s="98">
        <v>45917</v>
      </c>
      <c r="J303" s="99">
        <v>45922</v>
      </c>
      <c r="K303" s="99">
        <v>45923</v>
      </c>
      <c r="L303" s="99">
        <v>45929</v>
      </c>
      <c r="M303" s="27">
        <f ca="1">IF(OR(J303="",AND(L303="",TODAY()&lt;J303),AND(L303&lt;&gt;"",L303&lt;J303)),0,
   IF(L303="",
      NETWORKDAYS(J303,TODAY(),fESTIVOS!$A$2:$A$53),
      NETWORKDAYS(J303,L303,fESTIVOS!$A$2:$A$53)
   )
)</f>
        <v>6</v>
      </c>
      <c r="N303" s="28"/>
      <c r="O303" s="98">
        <v>45929</v>
      </c>
      <c r="P303" s="100">
        <v>45930</v>
      </c>
      <c r="Q303" s="34" t="s">
        <v>1463</v>
      </c>
      <c r="R303" s="31" t="s">
        <v>78</v>
      </c>
      <c r="S303" s="97"/>
      <c r="T303" s="101"/>
      <c r="U303" s="102"/>
      <c r="V303" s="37"/>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spans="1:67" ht="29.25" customHeight="1">
      <c r="A304" s="92" t="s">
        <v>157</v>
      </c>
      <c r="B304" s="105" t="s">
        <v>1464</v>
      </c>
      <c r="C304" s="106" t="s">
        <v>1465</v>
      </c>
      <c r="D304" s="110" t="s">
        <v>1466</v>
      </c>
      <c r="E304" s="96"/>
      <c r="F304" s="121" t="s">
        <v>76</v>
      </c>
      <c r="G304" s="97">
        <v>100</v>
      </c>
      <c r="H304" s="22">
        <f>IF(OR(J304="",K304="",K304&lt;J304),0,NETWORKDAYS(J304,K304,fESTIVOS!$A$2:$A$53))</f>
        <v>0</v>
      </c>
      <c r="I304" s="98">
        <v>45926</v>
      </c>
      <c r="J304" s="99">
        <v>45929</v>
      </c>
      <c r="K304" s="99"/>
      <c r="L304" s="99">
        <v>45929</v>
      </c>
      <c r="M304" s="27">
        <f ca="1">IF(OR(J304="",AND(L304="",TODAY()&lt;J304),AND(L304&lt;&gt;"",L304&lt;J304)),0,
   IF(L304="",
      NETWORKDAYS(J304,TODAY(),fESTIVOS!$A$2:$A$53),
      NETWORKDAYS(J304,L304,fESTIVOS!$A$2:$A$53)
   )
)</f>
        <v>1</v>
      </c>
      <c r="N304" s="28"/>
      <c r="O304" s="98"/>
      <c r="P304" s="100"/>
      <c r="Q304" s="34" t="s">
        <v>1467</v>
      </c>
      <c r="R304" s="31" t="s">
        <v>78</v>
      </c>
      <c r="S304" s="97"/>
      <c r="T304" s="101"/>
      <c r="U304" s="102"/>
      <c r="V304" s="37"/>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spans="1:67" ht="29.25" customHeight="1">
      <c r="A305" s="92" t="s">
        <v>157</v>
      </c>
      <c r="B305" s="105" t="s">
        <v>1468</v>
      </c>
      <c r="C305" s="106" t="s">
        <v>1469</v>
      </c>
      <c r="D305" s="110" t="s">
        <v>1470</v>
      </c>
      <c r="E305" s="96"/>
      <c r="F305" s="121" t="s">
        <v>76</v>
      </c>
      <c r="G305" s="97">
        <v>100</v>
      </c>
      <c r="H305" s="22">
        <f>IF(OR(J305="",K305="",K305&lt;J305),0,NETWORKDAYS(J305,K305,fESTIVOS!$A$2:$A$53))</f>
        <v>0</v>
      </c>
      <c r="I305" s="98">
        <v>45922</v>
      </c>
      <c r="J305" s="99">
        <v>45924</v>
      </c>
      <c r="K305" s="99"/>
      <c r="L305" s="99">
        <v>45925</v>
      </c>
      <c r="M305" s="27">
        <f ca="1">IF(OR(J305="",AND(L305="",TODAY()&lt;J305),AND(L305&lt;&gt;"",L305&lt;J305)),0,
   IF(L305="",
      NETWORKDAYS(J305,TODAY(),fESTIVOS!$A$2:$A$53),
      NETWORKDAYS(J305,L305,fESTIVOS!$A$2:$A$53)
   )
)</f>
        <v>2</v>
      </c>
      <c r="N305" s="28"/>
      <c r="O305" s="98"/>
      <c r="P305" s="100"/>
      <c r="Q305" s="34" t="s">
        <v>1471</v>
      </c>
      <c r="R305" s="31" t="s">
        <v>78</v>
      </c>
      <c r="S305" s="97"/>
      <c r="T305" s="101"/>
      <c r="U305" s="102"/>
      <c r="V305" s="37"/>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spans="1:67" ht="29.25" customHeight="1">
      <c r="A306" s="92" t="s">
        <v>157</v>
      </c>
      <c r="B306" s="105" t="s">
        <v>1472</v>
      </c>
      <c r="C306" s="106" t="s">
        <v>1473</v>
      </c>
      <c r="D306" s="110" t="s">
        <v>1474</v>
      </c>
      <c r="E306" s="96"/>
      <c r="F306" s="121" t="s">
        <v>76</v>
      </c>
      <c r="G306" s="97">
        <v>100</v>
      </c>
      <c r="H306" s="22">
        <f>IF(OR(J306="",K306="",K306&lt;J306),0,NETWORKDAYS(J306,K306,fESTIVOS!$A$2:$A$53))</f>
        <v>0</v>
      </c>
      <c r="I306" s="98">
        <v>45915</v>
      </c>
      <c r="J306" s="99">
        <v>45916</v>
      </c>
      <c r="K306" s="99"/>
      <c r="L306" s="99">
        <v>45919</v>
      </c>
      <c r="M306" s="27">
        <f ca="1">IF(OR(J306="",AND(L306="",TODAY()&lt;J306),AND(L306&lt;&gt;"",L306&lt;J306)),0,
   IF(L306="",
      NETWORKDAYS(J306,TODAY(),fESTIVOS!$A$2:$A$53),
      NETWORKDAYS(J306,L306,fESTIVOS!$A$2:$A$53)
   )
)</f>
        <v>4</v>
      </c>
      <c r="N306" s="28"/>
      <c r="O306" s="98"/>
      <c r="P306" s="100"/>
      <c r="Q306" s="34" t="s">
        <v>1475</v>
      </c>
      <c r="R306" s="31" t="s">
        <v>78</v>
      </c>
      <c r="S306" s="97"/>
      <c r="T306" s="101"/>
      <c r="U306" s="102"/>
      <c r="V306" s="37"/>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spans="1:67" ht="29.25" customHeight="1">
      <c r="A307" s="92" t="s">
        <v>157</v>
      </c>
      <c r="B307" s="105" t="s">
        <v>1476</v>
      </c>
      <c r="C307" s="106" t="s">
        <v>1477</v>
      </c>
      <c r="D307" s="110" t="s">
        <v>1478</v>
      </c>
      <c r="E307" s="96"/>
      <c r="F307" s="121" t="s">
        <v>76</v>
      </c>
      <c r="G307" s="97">
        <v>100</v>
      </c>
      <c r="H307" s="22">
        <f>IF(OR(J307="",K307="",K307&lt;J307),0,NETWORKDAYS(J307,K307,fESTIVOS!$A$2:$A$53))</f>
        <v>0</v>
      </c>
      <c r="I307" s="98">
        <v>45904</v>
      </c>
      <c r="J307" s="99">
        <v>45905</v>
      </c>
      <c r="K307" s="99"/>
      <c r="L307" s="99">
        <v>45905</v>
      </c>
      <c r="M307" s="27">
        <f ca="1">IF(OR(J307="",AND(L307="",TODAY()&lt;J307),AND(L307&lt;&gt;"",L307&lt;J307)),0,
   IF(L307="",
      NETWORKDAYS(J307,TODAY(),fESTIVOS!$A$2:$A$53),
      NETWORKDAYS(J307,L307,fESTIVOS!$A$2:$A$53)
   )
)</f>
        <v>1</v>
      </c>
      <c r="N307" s="28"/>
      <c r="O307" s="98">
        <v>45910</v>
      </c>
      <c r="P307" s="100">
        <v>45905</v>
      </c>
      <c r="Q307" s="34" t="s">
        <v>1479</v>
      </c>
      <c r="R307" s="31" t="s">
        <v>78</v>
      </c>
      <c r="S307" s="97"/>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spans="1:67" ht="29.25" customHeight="1">
      <c r="A308" s="92" t="s">
        <v>128</v>
      </c>
      <c r="B308" s="105" t="s">
        <v>1480</v>
      </c>
      <c r="C308" s="106" t="s">
        <v>1481</v>
      </c>
      <c r="D308" s="95" t="s">
        <v>1482</v>
      </c>
      <c r="E308" s="96"/>
      <c r="F308" s="121" t="s">
        <v>76</v>
      </c>
      <c r="G308" s="97">
        <v>100</v>
      </c>
      <c r="H308" s="22">
        <f>IF(OR(J308="",K308="",K308&lt;J308),0,NETWORKDAYS(J308,K308,fESTIVOS!$A$2:$A$53))</f>
        <v>0</v>
      </c>
      <c r="I308" s="98">
        <v>45896</v>
      </c>
      <c r="J308" s="99">
        <v>45898</v>
      </c>
      <c r="K308" s="99"/>
      <c r="L308" s="99">
        <v>45898</v>
      </c>
      <c r="M308" s="27">
        <f ca="1">IF(OR(J308="",AND(L308="",TODAY()&lt;J308),AND(L308&lt;&gt;"",L308&lt;J308)),0,
   IF(L308="",
      NETWORKDAYS(J308,TODAY(),fESTIVOS!$A$2:$A$53),
      NETWORKDAYS(J308,L308,fESTIVOS!$A$2:$A$53)
   )
)</f>
        <v>1</v>
      </c>
      <c r="N308" s="28"/>
      <c r="O308" s="98"/>
      <c r="P308" s="100">
        <v>45898</v>
      </c>
      <c r="Q308" s="34" t="s">
        <v>1483</v>
      </c>
      <c r="R308" s="31" t="s">
        <v>78</v>
      </c>
      <c r="S308" s="101"/>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spans="1:67" ht="29.25" customHeight="1">
      <c r="A309" s="92" t="s">
        <v>465</v>
      </c>
      <c r="B309" s="105" t="s">
        <v>1484</v>
      </c>
      <c r="C309" s="106" t="s">
        <v>1485</v>
      </c>
      <c r="D309" s="95" t="s">
        <v>1486</v>
      </c>
      <c r="E309" s="96"/>
      <c r="F309" s="121" t="s">
        <v>76</v>
      </c>
      <c r="G309" s="97">
        <v>100</v>
      </c>
      <c r="H309" s="22">
        <f>IF(OR(J309="",K309="",K309&lt;J309),0,NETWORKDAYS(J309,K309,fESTIVOS!$A$2:$A$53))</f>
        <v>0</v>
      </c>
      <c r="I309" s="98">
        <v>45945</v>
      </c>
      <c r="J309" s="99">
        <v>45946</v>
      </c>
      <c r="K309" s="99"/>
      <c r="L309" s="99">
        <v>45954</v>
      </c>
      <c r="M309" s="27">
        <f ca="1">IF(OR(J309="",AND(L309="",TODAY()&lt;J309),AND(L309&lt;&gt;"",L309&lt;J309)),0,
   IF(L309="",
      NETWORKDAYS(J309,TODAY(),fESTIVOS!$A$2:$A$53),
      NETWORKDAYS(J309,L309,fESTIVOS!$A$2:$A$53)
   )
)</f>
        <v>7</v>
      </c>
      <c r="N309" s="28"/>
      <c r="O309" s="98">
        <v>45954</v>
      </c>
      <c r="P309" s="100">
        <v>45954</v>
      </c>
      <c r="Q309" s="34" t="s">
        <v>1487</v>
      </c>
      <c r="R309" s="31" t="s">
        <v>78</v>
      </c>
      <c r="S309" s="101"/>
      <c r="T309" s="101"/>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spans="1:67" ht="29.25" customHeight="1">
      <c r="A310" s="92" t="s">
        <v>157</v>
      </c>
      <c r="B310" s="105" t="s">
        <v>1488</v>
      </c>
      <c r="C310" s="140" t="s">
        <v>1489</v>
      </c>
      <c r="D310" s="162"/>
      <c r="E310" s="96"/>
      <c r="F310" s="121" t="s">
        <v>76</v>
      </c>
      <c r="G310" s="97">
        <v>100</v>
      </c>
      <c r="H310" s="22">
        <f>IF(OR(J310="",K310="",K310&lt;J310),0,NETWORKDAYS(J310,K310,fESTIVOS!$A$2:$A$53))</f>
        <v>0</v>
      </c>
      <c r="I310" s="98">
        <v>45993</v>
      </c>
      <c r="J310" s="99">
        <v>45994</v>
      </c>
      <c r="K310" s="99"/>
      <c r="L310" s="99">
        <v>45995</v>
      </c>
      <c r="M310" s="27">
        <f ca="1">IF(OR(J310="",AND(L310="",TODAY()&lt;J310),AND(L310&lt;&gt;"",L310&lt;J310)),0,
   IF(L310="",
      NETWORKDAYS(J310,TODAY(),fESTIVOS!$A$2:$A$53),
      NETWORKDAYS(J310,L310,fESTIVOS!$A$2:$A$53)
   )
)</f>
        <v>2</v>
      </c>
      <c r="N310" s="28"/>
      <c r="O310" s="98"/>
      <c r="P310" s="100"/>
      <c r="Q310" s="34" t="s">
        <v>1490</v>
      </c>
      <c r="R310" s="31" t="s">
        <v>78</v>
      </c>
      <c r="S310" s="163"/>
      <c r="T310" s="164"/>
      <c r="U310" s="161"/>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spans="1:67" ht="29.25" customHeight="1">
      <c r="A311" s="92" t="s">
        <v>157</v>
      </c>
      <c r="B311" s="105" t="s">
        <v>1491</v>
      </c>
      <c r="C311" s="141" t="s">
        <v>1492</v>
      </c>
      <c r="D311" s="211" t="s">
        <v>1493</v>
      </c>
      <c r="E311" s="96"/>
      <c r="F311" s="121" t="s">
        <v>250</v>
      </c>
      <c r="G311" s="196"/>
      <c r="H311" s="22">
        <f>IF(OR(J311="",K311="",K311&lt;J311),0,NETWORKDAYS(J311,K311,fESTIVOS!$A$2:$A$53))</f>
        <v>0</v>
      </c>
      <c r="I311" s="98">
        <v>45903</v>
      </c>
      <c r="J311" s="99"/>
      <c r="K311" s="99"/>
      <c r="L311" s="99"/>
      <c r="M311" s="27">
        <f ca="1">IF(OR(J311="",AND(L311="",TODAY()&lt;J311),AND(L311&lt;&gt;"",L311&lt;J311)),0,
   IF(L311="",
      NETWORKDAYS(J311,TODAY(),fESTIVOS!$A$2:$A$53),
      NETWORKDAYS(J311,L311,fESTIVOS!$A$2:$A$53)
   )
)</f>
        <v>0</v>
      </c>
      <c r="N311" s="28"/>
      <c r="O311" s="98"/>
      <c r="P311" s="100"/>
      <c r="Q311" s="34"/>
      <c r="R311" s="31" t="s">
        <v>93</v>
      </c>
      <c r="S311" s="163"/>
      <c r="T311" s="163"/>
      <c r="U311" s="161"/>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spans="1:67" ht="29.25" customHeight="1">
      <c r="A312" s="92" t="s">
        <v>1448</v>
      </c>
      <c r="B312" s="105" t="s">
        <v>1494</v>
      </c>
      <c r="C312" s="119" t="s">
        <v>1495</v>
      </c>
      <c r="D312" s="110"/>
      <c r="E312" s="96"/>
      <c r="F312" s="111" t="s">
        <v>250</v>
      </c>
      <c r="G312" s="97"/>
      <c r="H312" s="22">
        <f>IF(OR(J312="",K312="",K312&lt;J312),0,NETWORKDAYS(J312,K312,fESTIVOS!$A$2:$A$53))</f>
        <v>0</v>
      </c>
      <c r="I312" s="98">
        <v>45994</v>
      </c>
      <c r="J312" s="99"/>
      <c r="K312" s="99"/>
      <c r="L312" s="99"/>
      <c r="M312" s="27">
        <f ca="1">IF(OR(J312="",AND(L312="",TODAY()&lt;J312),AND(L312&lt;&gt;"",L312&lt;J312)),0,
   IF(L312="",
      NETWORKDAYS(J312,TODAY(),fESTIVOS!$A$2:$A$53),
      NETWORKDAYS(J312,L312,fESTIVOS!$A$2:$A$53)
   )
)</f>
        <v>0</v>
      </c>
      <c r="N312" s="28"/>
      <c r="O312" s="98"/>
      <c r="P312" s="100"/>
      <c r="Q312" s="34"/>
      <c r="R312" s="31" t="s">
        <v>209</v>
      </c>
      <c r="S312" s="164"/>
      <c r="T312" s="164"/>
      <c r="U312" s="161"/>
      <c r="V312" s="210"/>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spans="1:67" ht="29.25" customHeight="1">
      <c r="A313" s="92" t="s">
        <v>157</v>
      </c>
      <c r="B313" s="105" t="s">
        <v>1496</v>
      </c>
      <c r="C313" s="141" t="s">
        <v>1497</v>
      </c>
      <c r="D313" s="110" t="s">
        <v>1498</v>
      </c>
      <c r="E313" s="96"/>
      <c r="F313" s="121" t="s">
        <v>250</v>
      </c>
      <c r="G313" s="97"/>
      <c r="H313" s="22">
        <f>IF(OR(J313="",K313="",K313&lt;J313),0,NETWORKDAYS(J313,K313,fESTIVOS!$A$2:$A$53))</f>
        <v>0</v>
      </c>
      <c r="I313" s="98">
        <v>45931</v>
      </c>
      <c r="J313" s="99"/>
      <c r="K313" s="99"/>
      <c r="L313" s="99"/>
      <c r="M313" s="27">
        <f ca="1">IF(OR(J313="",AND(L313="",TODAY()&lt;J313),AND(L313&lt;&gt;"",L313&lt;J313)),0,
   IF(L313="",
      NETWORKDAYS(J313,TODAY(),fESTIVOS!$A$2:$A$53),
      NETWORKDAYS(J313,L313,fESTIVOS!$A$2:$A$53)
   )
)</f>
        <v>0</v>
      </c>
      <c r="N313" s="28"/>
      <c r="O313" s="98"/>
      <c r="P313" s="100"/>
      <c r="Q313" s="34" t="s">
        <v>1499</v>
      </c>
      <c r="R313" s="31" t="s">
        <v>93</v>
      </c>
      <c r="S313" s="164"/>
      <c r="T313" s="163"/>
      <c r="U313" s="161"/>
      <c r="V313" s="37"/>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spans="1:67" ht="29.25" customHeight="1">
      <c r="A314" s="92" t="s">
        <v>1500</v>
      </c>
      <c r="B314" s="105" t="s">
        <v>1501</v>
      </c>
      <c r="C314" s="140" t="s">
        <v>1502</v>
      </c>
      <c r="D314" s="110"/>
      <c r="E314" s="96"/>
      <c r="F314" s="102"/>
      <c r="G314" s="97"/>
      <c r="H314" s="22">
        <f>IF(OR(J314="",K314="",K314&lt;J314),0,NETWORKDAYS(J314,K314,fESTIVOS!$A$2:$A$53))</f>
        <v>0</v>
      </c>
      <c r="I314" s="98"/>
      <c r="J314" s="99"/>
      <c r="K314" s="99"/>
      <c r="L314" s="99"/>
      <c r="M314" s="27">
        <f ca="1">IF(OR(J314="",AND(L314="",TODAY()&lt;J314),AND(L314&lt;&gt;"",L314&lt;J314)),0,
   IF(L314="",
      NETWORKDAYS(J314,TODAY(),fESTIVOS!$A$2:$A$53),
      NETWORKDAYS(J314,L314,fESTIVOS!$A$2:$A$53)
   )
)</f>
        <v>0</v>
      </c>
      <c r="N314" s="28"/>
      <c r="O314" s="98"/>
      <c r="P314" s="100"/>
      <c r="Q314" s="34"/>
      <c r="R314" s="31"/>
      <c r="S314" s="164"/>
      <c r="T314" s="163"/>
      <c r="U314" s="161"/>
      <c r="V314" s="37"/>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spans="1:67" ht="29.25" customHeight="1">
      <c r="A315" s="92" t="s">
        <v>1166</v>
      </c>
      <c r="B315" s="105" t="s">
        <v>1503</v>
      </c>
      <c r="C315" s="140" t="s">
        <v>1504</v>
      </c>
      <c r="D315" s="120" t="s">
        <v>1505</v>
      </c>
      <c r="E315" s="96"/>
      <c r="F315" s="121" t="s">
        <v>76</v>
      </c>
      <c r="G315" s="97">
        <v>100</v>
      </c>
      <c r="H315" s="22">
        <f>IF(OR(J315="",K315="",K315&lt;J315),0,NETWORKDAYS(J315,K315,fESTIVOS!$A$2:$A$53))</f>
        <v>0</v>
      </c>
      <c r="I315" s="98">
        <v>45988</v>
      </c>
      <c r="J315" s="99">
        <v>45992</v>
      </c>
      <c r="K315" s="99"/>
      <c r="L315" s="99">
        <v>46009</v>
      </c>
      <c r="M315" s="27">
        <f ca="1">IF(OR(J315="",AND(L315="",TODAY()&lt;J315),AND(L315&lt;&gt;"",L315&lt;J315)),0,
   IF(L315="",
      NETWORKDAYS(J315,TODAY(),fESTIVOS!$A$2:$A$53),
      NETWORKDAYS(J315,L315,fESTIVOS!$A$2:$A$53)
   )
)</f>
        <v>13</v>
      </c>
      <c r="N315" s="28"/>
      <c r="O315" s="98"/>
      <c r="P315" s="100"/>
      <c r="Q315" s="34" t="s">
        <v>1506</v>
      </c>
      <c r="R315" s="31" t="s">
        <v>78</v>
      </c>
      <c r="S315" s="163"/>
      <c r="T315" s="164"/>
      <c r="U315" s="161"/>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spans="1:67" ht="29.25" customHeight="1">
      <c r="A316" s="92" t="s">
        <v>157</v>
      </c>
      <c r="B316" s="105" t="s">
        <v>1507</v>
      </c>
      <c r="C316" s="140" t="s">
        <v>1508</v>
      </c>
      <c r="D316" s="120" t="s">
        <v>1509</v>
      </c>
      <c r="E316" s="96"/>
      <c r="F316" s="121" t="s">
        <v>76</v>
      </c>
      <c r="G316" s="97">
        <v>100</v>
      </c>
      <c r="H316" s="22">
        <f>IF(OR(J316="",K316="",K316&lt;J316),0,NETWORKDAYS(J316,K316,fESTIVOS!$A$2:$A$53))</f>
        <v>0</v>
      </c>
      <c r="I316" s="98">
        <v>45994</v>
      </c>
      <c r="J316" s="99">
        <v>45994</v>
      </c>
      <c r="K316" s="99"/>
      <c r="L316" s="99">
        <v>45994</v>
      </c>
      <c r="M316" s="27">
        <f ca="1">IF(OR(J316="",AND(L316="",TODAY()&lt;J316),AND(L316&lt;&gt;"",L316&lt;J316)),0,
   IF(L316="",
      NETWORKDAYS(J316,TODAY(),fESTIVOS!$A$2:$A$53),
      NETWORKDAYS(J316,L316,fESTIVOS!$A$2:$A$53)
   )
)</f>
        <v>1</v>
      </c>
      <c r="N316" s="28"/>
      <c r="O316" s="98"/>
      <c r="P316" s="100"/>
      <c r="Q316" s="34" t="s">
        <v>1510</v>
      </c>
      <c r="R316" s="31" t="s">
        <v>78</v>
      </c>
      <c r="S316" s="163"/>
      <c r="T316" s="164"/>
      <c r="U316" s="161"/>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spans="1:67" ht="29.25" customHeight="1">
      <c r="A317" s="92" t="s">
        <v>157</v>
      </c>
      <c r="B317" s="105" t="s">
        <v>1511</v>
      </c>
      <c r="C317" s="140" t="s">
        <v>1512</v>
      </c>
      <c r="D317" s="120" t="s">
        <v>1513</v>
      </c>
      <c r="E317" s="96"/>
      <c r="F317" s="121" t="s">
        <v>76</v>
      </c>
      <c r="G317" s="97">
        <v>100</v>
      </c>
      <c r="H317" s="22">
        <f>IF(OR(J317="",K317="",K317&lt;J317),0,NETWORKDAYS(J317,K317,fESTIVOS!$A$2:$A$53))</f>
        <v>0</v>
      </c>
      <c r="I317" s="98">
        <v>45986</v>
      </c>
      <c r="J317" s="99">
        <v>45987</v>
      </c>
      <c r="K317" s="99"/>
      <c r="L317" s="99">
        <v>45987</v>
      </c>
      <c r="M317" s="27">
        <f ca="1">IF(OR(J317="",AND(L317="",TODAY()&lt;J317),AND(L317&lt;&gt;"",L317&lt;J317)),0,
   IF(L317="",
      NETWORKDAYS(J317,TODAY(),fESTIVOS!$A$2:$A$53),
      NETWORKDAYS(J317,L317,fESTIVOS!$A$2:$A$53)
   )
)</f>
        <v>1</v>
      </c>
      <c r="N317" s="28"/>
      <c r="O317" s="98">
        <v>45987</v>
      </c>
      <c r="P317" s="100">
        <v>45987</v>
      </c>
      <c r="Q317" s="34" t="s">
        <v>1514</v>
      </c>
      <c r="R317" s="31" t="s">
        <v>78</v>
      </c>
      <c r="S317" s="163"/>
      <c r="T317" s="164"/>
      <c r="U317" s="161"/>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spans="1:67" ht="29.25" customHeight="1">
      <c r="A318" s="92" t="s">
        <v>157</v>
      </c>
      <c r="B318" s="105" t="s">
        <v>1515</v>
      </c>
      <c r="C318" s="140" t="s">
        <v>1516</v>
      </c>
      <c r="D318" s="162" t="s">
        <v>1517</v>
      </c>
      <c r="E318" s="96"/>
      <c r="F318" s="121" t="s">
        <v>76</v>
      </c>
      <c r="G318" s="97">
        <v>100</v>
      </c>
      <c r="H318" s="22">
        <f>IF(OR(J318="",K318="",K318&lt;J318),0,NETWORKDAYS(J318,K318,fESTIVOS!$A$2:$A$53))</f>
        <v>0</v>
      </c>
      <c r="I318" s="98">
        <v>45986</v>
      </c>
      <c r="J318" s="99">
        <v>45986</v>
      </c>
      <c r="K318" s="99"/>
      <c r="L318" s="99">
        <v>45986</v>
      </c>
      <c r="M318" s="27">
        <f ca="1">IF(OR(J318="",AND(L318="",TODAY()&lt;J318),AND(L318&lt;&gt;"",L318&lt;J318)),0,
   IF(L318="",
      NETWORKDAYS(J318,TODAY(),fESTIVOS!$A$2:$A$53),
      NETWORKDAYS(J318,L318,fESTIVOS!$A$2:$A$53)
   )
)</f>
        <v>1</v>
      </c>
      <c r="N318" s="28"/>
      <c r="O318" s="98"/>
      <c r="P318" s="100"/>
      <c r="Q318" s="34" t="s">
        <v>1518</v>
      </c>
      <c r="R318" s="31" t="s">
        <v>78</v>
      </c>
      <c r="S318" s="163"/>
      <c r="T318" s="164"/>
      <c r="U318" s="161"/>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spans="1:67" ht="29.25" customHeight="1">
      <c r="A319" s="92" t="s">
        <v>157</v>
      </c>
      <c r="B319" s="105" t="s">
        <v>1519</v>
      </c>
      <c r="C319" s="140" t="s">
        <v>1520</v>
      </c>
      <c r="D319" s="120" t="s">
        <v>1521</v>
      </c>
      <c r="E319" s="96"/>
      <c r="F319" s="121" t="s">
        <v>76</v>
      </c>
      <c r="G319" s="97">
        <v>100</v>
      </c>
      <c r="H319" s="22">
        <f>IF(OR(J319="",K319="",K319&lt;J319),0,NETWORKDAYS(J319,K319,fESTIVOS!$A$2:$A$53))</f>
        <v>0</v>
      </c>
      <c r="I319" s="98">
        <v>45981</v>
      </c>
      <c r="J319" s="99">
        <v>45981</v>
      </c>
      <c r="K319" s="99"/>
      <c r="L319" s="99">
        <v>45981</v>
      </c>
      <c r="M319" s="27">
        <f ca="1">IF(OR(J319="",AND(L319="",TODAY()&lt;J319),AND(L319&lt;&gt;"",L319&lt;J319)),0,
   IF(L319="",
      NETWORKDAYS(J319,TODAY(),fESTIVOS!$A$2:$A$53),
      NETWORKDAYS(J319,L319,fESTIVOS!$A$2:$A$53)
   )
)</f>
        <v>1</v>
      </c>
      <c r="N319" s="28"/>
      <c r="O319" s="98"/>
      <c r="P319" s="100"/>
      <c r="Q319" s="34" t="s">
        <v>1522</v>
      </c>
      <c r="R319" s="31" t="s">
        <v>78</v>
      </c>
      <c r="S319" s="163"/>
      <c r="T319" s="164"/>
      <c r="U319" s="161"/>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spans="1:67" ht="29.25" customHeight="1">
      <c r="A320" s="92" t="s">
        <v>128</v>
      </c>
      <c r="B320" s="212" t="s">
        <v>1523</v>
      </c>
      <c r="C320" s="141" t="s">
        <v>1524</v>
      </c>
      <c r="D320" s="95"/>
      <c r="E320" s="96"/>
      <c r="F320" s="121" t="s">
        <v>76</v>
      </c>
      <c r="G320" s="97">
        <v>100</v>
      </c>
      <c r="H320" s="22">
        <f>IF(OR(J320="",K320="",K320&lt;J320),0,NETWORKDAYS(J320,K320,fESTIVOS!$A$2:$A$53))</f>
        <v>0</v>
      </c>
      <c r="I320" s="98">
        <v>45664</v>
      </c>
      <c r="J320" s="213">
        <v>45664</v>
      </c>
      <c r="K320" s="99"/>
      <c r="L320" s="99">
        <v>45665</v>
      </c>
      <c r="M320" s="27">
        <f ca="1">IF(OR(J320="",AND(L320="",TODAY()&lt;J320),AND(L320&lt;&gt;"",L320&lt;J320)),0,
   IF(L320="",
      NETWORKDAYS(J320,TODAY(),fESTIVOS!$A$2:$A$53),
      NETWORKDAYS(J320,L320,fESTIVOS!$A$2:$A$53)
   )
)</f>
        <v>2</v>
      </c>
      <c r="N320" s="28"/>
      <c r="O320" s="98"/>
      <c r="P320" s="100">
        <v>45665</v>
      </c>
      <c r="Q320" s="34" t="s">
        <v>1525</v>
      </c>
      <c r="R320" s="31" t="s">
        <v>78</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104"/>
      <c r="BG320" s="104"/>
      <c r="BH320" s="104"/>
      <c r="BI320" s="104"/>
      <c r="BJ320" s="104"/>
      <c r="BK320" s="104"/>
      <c r="BL320" s="104"/>
      <c r="BM320" s="104"/>
      <c r="BN320" s="104"/>
      <c r="BO320" s="104"/>
    </row>
    <row r="321" spans="1:67" ht="29.25" customHeight="1">
      <c r="A321" s="92" t="s">
        <v>128</v>
      </c>
      <c r="B321" s="212" t="s">
        <v>1526</v>
      </c>
      <c r="C321" s="141" t="s">
        <v>1527</v>
      </c>
      <c r="D321" s="125"/>
      <c r="E321" s="125"/>
      <c r="F321" s="116" t="s">
        <v>76</v>
      </c>
      <c r="G321" s="58">
        <v>100</v>
      </c>
      <c r="H321" s="22">
        <f>IF(OR(J321="",K321="",K321&lt;J321),0,NETWORKDAYS(J321,K321,fESTIVOS!$A$2:$A$53))</f>
        <v>33</v>
      </c>
      <c r="I321" s="59">
        <v>45726</v>
      </c>
      <c r="J321" s="68">
        <v>45726</v>
      </c>
      <c r="K321" s="60">
        <v>45775</v>
      </c>
      <c r="L321" s="60">
        <v>45758</v>
      </c>
      <c r="M321" s="27">
        <f ca="1">IF(OR(J321="",AND(L321="",TODAY()&lt;J321),AND(L321&lt;&gt;"",L321&lt;J321)),0,
   IF(L321="",
      NETWORKDAYS(J321,TODAY(),fESTIVOS!$A$2:$A$53),
      NETWORKDAYS(J321,L321,fESTIVOS!$A$2:$A$53)
   )
)</f>
        <v>24</v>
      </c>
      <c r="N321" s="28"/>
      <c r="O321" s="214"/>
      <c r="P321" s="69">
        <v>45757</v>
      </c>
      <c r="Q321" s="215" t="s">
        <v>1528</v>
      </c>
      <c r="R321" s="31" t="s">
        <v>78</v>
      </c>
      <c r="S321" s="101"/>
      <c r="T321" s="101"/>
      <c r="U321" s="121" t="s">
        <v>1529</v>
      </c>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spans="1:67" ht="29.25" customHeight="1">
      <c r="A322" s="92" t="s">
        <v>128</v>
      </c>
      <c r="B322" s="212" t="s">
        <v>1530</v>
      </c>
      <c r="C322" s="141" t="s">
        <v>1531</v>
      </c>
      <c r="D322" s="95"/>
      <c r="E322" s="96"/>
      <c r="F322" s="121" t="s">
        <v>76</v>
      </c>
      <c r="G322" s="97">
        <v>100</v>
      </c>
      <c r="H322" s="22">
        <f>IF(OR(J322="",K322="",K322&lt;J322),0,NETWORKDAYS(J322,K322,fESTIVOS!$A$2:$A$53))</f>
        <v>0</v>
      </c>
      <c r="I322" s="216">
        <v>45307</v>
      </c>
      <c r="J322" s="217">
        <v>45677</v>
      </c>
      <c r="K322" s="217"/>
      <c r="L322" s="217">
        <v>45678</v>
      </c>
      <c r="M322" s="27">
        <f ca="1">IF(OR(J322="",AND(L322="",TODAY()&lt;J322),AND(L322&lt;&gt;"",L322&lt;J322)),0,
   IF(L322="",
      NETWORKDAYS(J322,TODAY(),fESTIVOS!$A$2:$A$53),
      NETWORKDAYS(J322,L322,fESTIVOS!$A$2:$A$53)
   )
)</f>
        <v>2</v>
      </c>
      <c r="N322" s="28"/>
      <c r="O322" s="98"/>
      <c r="P322" s="100">
        <v>45678</v>
      </c>
      <c r="Q322" s="34" t="s">
        <v>1532</v>
      </c>
      <c r="R322" s="31" t="s">
        <v>78</v>
      </c>
      <c r="S322" s="101"/>
      <c r="T322" s="101"/>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spans="1:67" ht="29.25" customHeight="1">
      <c r="A323" s="92" t="s">
        <v>128</v>
      </c>
      <c r="B323" s="212" t="s">
        <v>1533</v>
      </c>
      <c r="C323" s="141" t="s">
        <v>1534</v>
      </c>
      <c r="D323" s="95"/>
      <c r="E323" s="96"/>
      <c r="F323" s="121" t="s">
        <v>76</v>
      </c>
      <c r="G323" s="97">
        <v>100</v>
      </c>
      <c r="H323" s="22">
        <f>IF(OR(J323="",K323="",K323&lt;J323),0,NETWORKDAYS(J323,K323,fESTIVOS!$A$2:$A$53))</f>
        <v>0</v>
      </c>
      <c r="I323" s="218">
        <v>45678</v>
      </c>
      <c r="J323" s="217">
        <v>45678</v>
      </c>
      <c r="K323" s="99"/>
      <c r="L323" s="219">
        <v>45680</v>
      </c>
      <c r="M323" s="27">
        <f ca="1">IF(OR(J323="",AND(L323="",TODAY()&lt;J323),AND(L323&lt;&gt;"",L323&lt;J323)),0,
   IF(L323="",
      NETWORKDAYS(J323,TODAY(),fESTIVOS!$A$2:$A$53),
      NETWORKDAYS(J323,L323,fESTIVOS!$A$2:$A$53)
   )
)</f>
        <v>3</v>
      </c>
      <c r="N323" s="28"/>
      <c r="O323" s="98"/>
      <c r="P323" s="220">
        <v>45680</v>
      </c>
      <c r="Q323" s="34" t="s">
        <v>1535</v>
      </c>
      <c r="R323" s="31" t="s">
        <v>78</v>
      </c>
      <c r="S323" s="101"/>
      <c r="T323" s="101"/>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spans="1:67" ht="29.25" customHeight="1">
      <c r="A324" s="92" t="s">
        <v>128</v>
      </c>
      <c r="B324" s="212" t="s">
        <v>1536</v>
      </c>
      <c r="C324" s="141" t="s">
        <v>1537</v>
      </c>
      <c r="D324" s="95"/>
      <c r="E324" s="96"/>
      <c r="F324" s="121" t="s">
        <v>76</v>
      </c>
      <c r="G324" s="97">
        <v>100</v>
      </c>
      <c r="H324" s="22">
        <f>IF(OR(J324="",K324="",K324&lt;J324),0,NETWORKDAYS(J324,K324,fESTIVOS!$A$2:$A$53))</f>
        <v>0</v>
      </c>
      <c r="I324" s="98">
        <v>45678</v>
      </c>
      <c r="J324" s="99">
        <v>45678</v>
      </c>
      <c r="K324" s="99"/>
      <c r="L324" s="99">
        <v>45680</v>
      </c>
      <c r="M324" s="27">
        <f ca="1">IF(OR(J324="",AND(L324="",TODAY()&lt;J324),AND(L324&lt;&gt;"",L324&lt;J324)),0,
   IF(L324="",
      NETWORKDAYS(J324,TODAY(),fESTIVOS!$A$2:$A$53),
      NETWORKDAYS(J324,L324,fESTIVOS!$A$2:$A$53)
   )
)</f>
        <v>3</v>
      </c>
      <c r="N324" s="28"/>
      <c r="O324" s="98"/>
      <c r="P324" s="220">
        <v>45680</v>
      </c>
      <c r="Q324" s="34" t="s">
        <v>1535</v>
      </c>
      <c r="R324" s="31" t="s">
        <v>78</v>
      </c>
      <c r="S324" s="101"/>
      <c r="T324" s="101"/>
      <c r="U324" s="102"/>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spans="1:67" ht="29.25" customHeight="1">
      <c r="A325" s="92" t="s">
        <v>128</v>
      </c>
      <c r="B325" s="212" t="s">
        <v>1538</v>
      </c>
      <c r="C325" s="141" t="s">
        <v>1539</v>
      </c>
      <c r="D325" s="95" t="s">
        <v>1540</v>
      </c>
      <c r="E325" s="96"/>
      <c r="F325" s="121" t="s">
        <v>76</v>
      </c>
      <c r="G325" s="97">
        <v>100</v>
      </c>
      <c r="H325" s="22">
        <f>IF(OR(J325="",K325="",K325&lt;J325),0,NETWORKDAYS(J325,K325,fESTIVOS!$A$2:$A$53))</f>
        <v>0</v>
      </c>
      <c r="I325" s="98">
        <v>45678</v>
      </c>
      <c r="J325" s="99">
        <v>45678</v>
      </c>
      <c r="K325" s="99"/>
      <c r="L325" s="99">
        <v>45680</v>
      </c>
      <c r="M325" s="27">
        <f ca="1">IF(OR(J325="",AND(L325="",TODAY()&lt;J325),AND(L325&lt;&gt;"",L325&lt;J325)),0,
   IF(L325="",
      NETWORKDAYS(J325,TODAY(),fESTIVOS!$A$2:$A$53),
      NETWORKDAYS(J325,L325,fESTIVOS!$A$2:$A$53)
   )
)</f>
        <v>3</v>
      </c>
      <c r="N325" s="28"/>
      <c r="O325" s="98"/>
      <c r="P325" s="220">
        <v>45680</v>
      </c>
      <c r="Q325" s="34" t="s">
        <v>1535</v>
      </c>
      <c r="R325" s="31" t="s">
        <v>78</v>
      </c>
      <c r="S325" s="101"/>
      <c r="T325" s="101"/>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spans="1:67" ht="29.25" customHeight="1">
      <c r="A326" s="92" t="s">
        <v>128</v>
      </c>
      <c r="B326" s="212" t="s">
        <v>1541</v>
      </c>
      <c r="C326" s="141" t="s">
        <v>1542</v>
      </c>
      <c r="D326" s="95"/>
      <c r="E326" s="96"/>
      <c r="F326" s="121" t="s">
        <v>76</v>
      </c>
      <c r="G326" s="97">
        <v>100</v>
      </c>
      <c r="H326" s="22">
        <f>IF(OR(J326="",K326="",K326&lt;J326),0,NETWORKDAYS(J326,K326,fESTIVOS!$A$2:$A$53))</f>
        <v>0</v>
      </c>
      <c r="I326" s="98">
        <v>45694</v>
      </c>
      <c r="J326" s="99">
        <v>45695</v>
      </c>
      <c r="K326" s="99"/>
      <c r="L326" s="99">
        <v>45729</v>
      </c>
      <c r="M326" s="27">
        <f ca="1">IF(OR(J326="",AND(L326="",TODAY()&lt;J326),AND(L326&lt;&gt;"",L326&lt;J326)),0,
   IF(L326="",
      NETWORKDAYS(J326,TODAY(),fESTIVOS!$A$2:$A$53),
      NETWORKDAYS(J326,L326,fESTIVOS!$A$2:$A$53)
   )
)</f>
        <v>25</v>
      </c>
      <c r="N326" s="28"/>
      <c r="O326" s="98"/>
      <c r="P326" s="100">
        <v>45729</v>
      </c>
      <c r="Q326" s="34" t="s">
        <v>1543</v>
      </c>
      <c r="R326" s="31" t="s">
        <v>78</v>
      </c>
      <c r="S326" s="101"/>
      <c r="T326" s="101"/>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spans="1:67" ht="29.25" customHeight="1">
      <c r="A327" s="92" t="s">
        <v>157</v>
      </c>
      <c r="B327" s="212" t="s">
        <v>1544</v>
      </c>
      <c r="C327" s="141" t="s">
        <v>1545</v>
      </c>
      <c r="D327" s="95"/>
      <c r="E327" s="96"/>
      <c r="F327" s="121" t="s">
        <v>76</v>
      </c>
      <c r="G327" s="97">
        <v>100</v>
      </c>
      <c r="H327" s="22">
        <f>IF(OR(J327="",K327="",K327&lt;J327),0,NETWORKDAYS(J327,K327,fESTIVOS!$A$2:$A$53))</f>
        <v>0</v>
      </c>
      <c r="I327" s="98">
        <v>45736</v>
      </c>
      <c r="J327" s="99">
        <v>45736</v>
      </c>
      <c r="K327" s="99"/>
      <c r="L327" s="99">
        <v>45749</v>
      </c>
      <c r="M327" s="27">
        <f ca="1">IF(OR(J327="",AND(L327="",TODAY()&lt;J327),AND(L327&lt;&gt;"",L327&lt;J327)),0,
   IF(L327="",
      NETWORKDAYS(J327,TODAY(),fESTIVOS!$A$2:$A$53),
      NETWORKDAYS(J327,L327,fESTIVOS!$A$2:$A$53)
   )
)</f>
        <v>9</v>
      </c>
      <c r="N327" s="28"/>
      <c r="O327" s="98">
        <v>45749</v>
      </c>
      <c r="P327" s="100">
        <v>45755</v>
      </c>
      <c r="Q327" s="34" t="s">
        <v>1546</v>
      </c>
      <c r="R327" s="31" t="s">
        <v>78</v>
      </c>
      <c r="S327" s="101"/>
      <c r="T327" s="101"/>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spans="1:67" ht="29.25" customHeight="1">
      <c r="A328" s="92" t="s">
        <v>128</v>
      </c>
      <c r="B328" s="212" t="s">
        <v>1547</v>
      </c>
      <c r="C328" s="141" t="s">
        <v>1548</v>
      </c>
      <c r="D328" s="95" t="s">
        <v>1549</v>
      </c>
      <c r="E328" s="96"/>
      <c r="F328" s="121" t="s">
        <v>76</v>
      </c>
      <c r="G328" s="97">
        <v>100</v>
      </c>
      <c r="H328" s="22">
        <f>IF(OR(J328="",K328="",K328&lt;J328),0,NETWORKDAYS(J328,K328,fESTIVOS!$A$2:$A$53))</f>
        <v>0</v>
      </c>
      <c r="I328" s="98">
        <v>45736</v>
      </c>
      <c r="J328" s="99">
        <v>45736</v>
      </c>
      <c r="K328" s="99"/>
      <c r="L328" s="99">
        <v>45757</v>
      </c>
      <c r="M328" s="27">
        <f ca="1">IF(OR(J328="",AND(L328="",TODAY()&lt;J328),AND(L328&lt;&gt;"",L328&lt;J328)),0,
   IF(L328="",
      NETWORKDAYS(J328,TODAY(),fESTIVOS!$A$2:$A$53),
      NETWORKDAYS(J328,L328,fESTIVOS!$A$2:$A$53)
   )
)</f>
        <v>15</v>
      </c>
      <c r="N328" s="28"/>
      <c r="O328" s="98"/>
      <c r="P328" s="100">
        <v>45757</v>
      </c>
      <c r="Q328" s="34" t="s">
        <v>1550</v>
      </c>
      <c r="R328" s="31" t="s">
        <v>78</v>
      </c>
      <c r="S328" s="101"/>
      <c r="T328" s="101"/>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spans="1:67" ht="29.25" customHeight="1">
      <c r="A329" s="92" t="s">
        <v>67</v>
      </c>
      <c r="B329" s="212" t="s">
        <v>1551</v>
      </c>
      <c r="C329" s="141" t="s">
        <v>1552</v>
      </c>
      <c r="D329" s="95" t="s">
        <v>1553</v>
      </c>
      <c r="E329" s="96"/>
      <c r="F329" s="121" t="s">
        <v>76</v>
      </c>
      <c r="G329" s="97">
        <v>100</v>
      </c>
      <c r="H329" s="22">
        <f>IF(OR(J329="",K329="",K329&lt;J329),0,NETWORKDAYS(J329,K329,fESTIVOS!$A$2:$A$53))</f>
        <v>3</v>
      </c>
      <c r="I329" s="98">
        <v>45751</v>
      </c>
      <c r="J329" s="99">
        <v>45756</v>
      </c>
      <c r="K329" s="52">
        <v>45760</v>
      </c>
      <c r="L329" s="26">
        <v>45759</v>
      </c>
      <c r="M329" s="27">
        <f ca="1">IF(OR(J329="",AND(L329="",TODAY()&lt;J329),AND(L329&lt;&gt;"",L329&lt;J329)),0,
   IF(L329="",
      NETWORKDAYS(J329,TODAY(),fESTIVOS!$A$2:$A$53),
      NETWORKDAYS(J329,L329,fESTIVOS!$A$2:$A$53)
   )
)</f>
        <v>3</v>
      </c>
      <c r="N329" s="28"/>
      <c r="O329" s="98"/>
      <c r="P329" s="221">
        <v>45759</v>
      </c>
      <c r="Q329" s="34" t="s">
        <v>1554</v>
      </c>
      <c r="R329" s="31" t="s">
        <v>78</v>
      </c>
      <c r="S329" s="97" t="s">
        <v>1555</v>
      </c>
      <c r="T329" s="101"/>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spans="1:67" ht="29.25" customHeight="1">
      <c r="A330" s="92" t="s">
        <v>157</v>
      </c>
      <c r="B330" s="212" t="s">
        <v>1556</v>
      </c>
      <c r="C330" s="141" t="s">
        <v>1557</v>
      </c>
      <c r="D330" s="95" t="s">
        <v>1558</v>
      </c>
      <c r="E330" s="96"/>
      <c r="F330" s="121" t="s">
        <v>76</v>
      </c>
      <c r="G330" s="97">
        <v>100</v>
      </c>
      <c r="H330" s="22">
        <f>IF(OR(J330="",K330="",K330&lt;J330),0,NETWORKDAYS(J330,K330,fESTIVOS!$A$2:$A$53))</f>
        <v>1</v>
      </c>
      <c r="I330" s="81">
        <v>45779</v>
      </c>
      <c r="J330" s="60">
        <v>45779</v>
      </c>
      <c r="K330" s="60">
        <v>45779</v>
      </c>
      <c r="L330" s="60">
        <v>45779</v>
      </c>
      <c r="M330" s="27">
        <f ca="1">IF(OR(J330="",AND(L330="",TODAY()&lt;J330),AND(L330&lt;&gt;"",L330&lt;J330)),0,
   IF(L330="",
      NETWORKDAYS(J330,TODAY(),fESTIVOS!$A$2:$A$53),
      NETWORKDAYS(J330,L330,fESTIVOS!$A$2:$A$53)
   )
)</f>
        <v>1</v>
      </c>
      <c r="N330" s="28"/>
      <c r="O330" s="81">
        <v>45779</v>
      </c>
      <c r="P330" s="61">
        <v>45782</v>
      </c>
      <c r="Q330" s="34" t="s">
        <v>1559</v>
      </c>
      <c r="R330" s="31" t="s">
        <v>78</v>
      </c>
      <c r="S330" s="101"/>
      <c r="T330" s="101"/>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spans="1:67" ht="29.25" customHeight="1">
      <c r="A331" s="92" t="s">
        <v>128</v>
      </c>
      <c r="B331" s="212" t="s">
        <v>1560</v>
      </c>
      <c r="C331" s="141" t="s">
        <v>1561</v>
      </c>
      <c r="D331" s="95" t="s">
        <v>1562</v>
      </c>
      <c r="E331" s="96"/>
      <c r="F331" s="121" t="s">
        <v>76</v>
      </c>
      <c r="G331" s="97">
        <v>100</v>
      </c>
      <c r="H331" s="22">
        <f>IF(OR(J331="",K331="",K331&lt;J331),0,NETWORKDAYS(J331,K331,fESTIVOS!$A$2:$A$53))</f>
        <v>0</v>
      </c>
      <c r="I331" s="98">
        <v>45776</v>
      </c>
      <c r="J331" s="99">
        <v>45784</v>
      </c>
      <c r="K331" s="99"/>
      <c r="L331" s="99">
        <v>45784</v>
      </c>
      <c r="M331" s="27">
        <f ca="1">IF(OR(J331="",AND(L331="",TODAY()&lt;J331),AND(L331&lt;&gt;"",L331&lt;J331)),0,
   IF(L331="",
      NETWORKDAYS(J331,TODAY(),fESTIVOS!$A$2:$A$53),
      NETWORKDAYS(J331,L331,fESTIVOS!$A$2:$A$53)
   )
)</f>
        <v>1</v>
      </c>
      <c r="N331" s="28"/>
      <c r="O331" s="98"/>
      <c r="P331" s="100">
        <v>45784</v>
      </c>
      <c r="Q331" s="34" t="s">
        <v>1563</v>
      </c>
      <c r="R331" s="31" t="s">
        <v>78</v>
      </c>
      <c r="S331" s="101"/>
      <c r="T331" s="101"/>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spans="1:67" ht="29.25" customHeight="1">
      <c r="A332" s="92" t="s">
        <v>128</v>
      </c>
      <c r="B332" s="212" t="s">
        <v>1564</v>
      </c>
      <c r="C332" s="141" t="s">
        <v>1565</v>
      </c>
      <c r="D332" s="95" t="s">
        <v>1566</v>
      </c>
      <c r="E332" s="96"/>
      <c r="F332" s="121" t="s">
        <v>76</v>
      </c>
      <c r="G332" s="97">
        <v>100</v>
      </c>
      <c r="H332" s="22">
        <f>IF(OR(J332="",K332="",K332&lt;J332),0,NETWORKDAYS(J332,K332,fESTIVOS!$A$2:$A$53))</f>
        <v>0</v>
      </c>
      <c r="I332" s="98">
        <v>45811</v>
      </c>
      <c r="J332" s="99">
        <v>45811</v>
      </c>
      <c r="K332" s="99"/>
      <c r="L332" s="99">
        <v>45813</v>
      </c>
      <c r="M332" s="27">
        <f ca="1">IF(OR(J332="",AND(L332="",TODAY()&lt;J332),AND(L332&lt;&gt;"",L332&lt;J332)),0,
   IF(L332="",
      NETWORKDAYS(J332,TODAY(),fESTIVOS!$A$2:$A$53),
      NETWORKDAYS(J332,L332,fESTIVOS!$A$2:$A$53)
   )
)</f>
        <v>3</v>
      </c>
      <c r="N332" s="28"/>
      <c r="O332" s="98"/>
      <c r="P332" s="100">
        <v>45813</v>
      </c>
      <c r="Q332" s="34" t="s">
        <v>1567</v>
      </c>
      <c r="R332" s="31" t="s">
        <v>78</v>
      </c>
      <c r="S332" s="101"/>
      <c r="T332" s="101"/>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spans="1:67" ht="29.25" customHeight="1">
      <c r="A333" s="92" t="s">
        <v>67</v>
      </c>
      <c r="B333" s="105" t="s">
        <v>1568</v>
      </c>
      <c r="C333" s="109" t="s">
        <v>1569</v>
      </c>
      <c r="D333" s="95" t="s">
        <v>1570</v>
      </c>
      <c r="E333" s="96"/>
      <c r="F333" s="121" t="s">
        <v>76</v>
      </c>
      <c r="G333" s="97">
        <v>100</v>
      </c>
      <c r="H333" s="22">
        <f>IF(OR(J333="",K333="",K333&lt;J333),0,NETWORKDAYS(J333,K333,fESTIVOS!$A$2:$A$53))</f>
        <v>5</v>
      </c>
      <c r="I333" s="98">
        <v>46058</v>
      </c>
      <c r="J333" s="99">
        <v>46058</v>
      </c>
      <c r="K333" s="99">
        <v>46064</v>
      </c>
      <c r="L333" s="99">
        <v>46070</v>
      </c>
      <c r="M333" s="27">
        <f ca="1">IF(OR(J333="",AND(L333="",TODAY()&lt;J333),AND(L333&lt;&gt;"",L333&lt;J333)),0,
   IF(L333="",
      NETWORKDAYS(J333,TODAY(),fESTIVOS!$A$2:$A$53),
      NETWORKDAYS(J333,L333,fESTIVOS!$A$2:$A$53)
   )
)</f>
        <v>9</v>
      </c>
      <c r="N333" s="28"/>
      <c r="O333" s="98"/>
      <c r="P333" s="100"/>
      <c r="Q333" s="34" t="s">
        <v>1571</v>
      </c>
      <c r="R333" s="31" t="s">
        <v>234</v>
      </c>
      <c r="S333" s="101"/>
      <c r="T333" s="101"/>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spans="1:67" ht="29.25" customHeight="1">
      <c r="A334" s="92" t="s">
        <v>67</v>
      </c>
      <c r="B334" s="105" t="s">
        <v>1572</v>
      </c>
      <c r="C334" s="109" t="s">
        <v>1573</v>
      </c>
      <c r="D334" s="95" t="s">
        <v>1574</v>
      </c>
      <c r="E334" s="96"/>
      <c r="F334" s="121" t="s">
        <v>76</v>
      </c>
      <c r="G334" s="97">
        <v>100</v>
      </c>
      <c r="H334" s="22">
        <f>IF(OR(J334="",K334="",K334&lt;J334),0,NETWORKDAYS(J334,K334,fESTIVOS!$A$2:$A$53))</f>
        <v>4</v>
      </c>
      <c r="I334" s="98">
        <v>46055</v>
      </c>
      <c r="J334" s="99">
        <v>46056</v>
      </c>
      <c r="K334" s="99">
        <v>46059</v>
      </c>
      <c r="L334" s="99">
        <v>46058</v>
      </c>
      <c r="M334" s="27">
        <f ca="1">IF(OR(J334="",AND(L334="",TODAY()&lt;J334),AND(L334&lt;&gt;"",L334&lt;J334)),0,
   IF(L334="",
      NETWORKDAYS(J334,TODAY(),fESTIVOS!$A$2:$A$53),
      NETWORKDAYS(J334,L334,fESTIVOS!$A$2:$A$53)
   )
)</f>
        <v>3</v>
      </c>
      <c r="N334" s="28"/>
      <c r="O334" s="98"/>
      <c r="P334" s="100"/>
      <c r="Q334" s="34" t="s">
        <v>1575</v>
      </c>
      <c r="R334" s="31" t="s">
        <v>78</v>
      </c>
      <c r="S334" s="101"/>
      <c r="T334" s="101"/>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spans="1:67" ht="29.25" customHeight="1">
      <c r="A335" s="92" t="s">
        <v>67</v>
      </c>
      <c r="B335" s="105" t="s">
        <v>1576</v>
      </c>
      <c r="C335" s="222" t="s">
        <v>1577</v>
      </c>
      <c r="D335" s="95" t="s">
        <v>1578</v>
      </c>
      <c r="E335" s="96"/>
      <c r="F335" s="121" t="s">
        <v>504</v>
      </c>
      <c r="G335" s="97">
        <v>10</v>
      </c>
      <c r="H335" s="22">
        <f>IF(OR(J335="",K335="",K335&lt;J335),0,NETWORKDAYS(J335,K335,fESTIVOS!$A$2:$A$53))</f>
        <v>4</v>
      </c>
      <c r="I335" s="98">
        <v>46064</v>
      </c>
      <c r="J335" s="99">
        <v>46085</v>
      </c>
      <c r="K335" s="99">
        <v>46090</v>
      </c>
      <c r="L335" s="99"/>
      <c r="M335" s="27">
        <f ca="1">IF(OR(J335="",AND(L335="",TODAY()&lt;J335),AND(L335&lt;&gt;"",L335&lt;J335)),0,
   IF(L335="",
      NETWORKDAYS(J335,TODAY(),fESTIVOS!$A$2:$A$53),
      NETWORKDAYS(J335,L335,fESTIVOS!$A$2:$A$53)
   )
)</f>
        <v>3</v>
      </c>
      <c r="N335" s="174">
        <v>46091</v>
      </c>
      <c r="O335" s="98"/>
      <c r="P335" s="100"/>
      <c r="Q335" s="34" t="s">
        <v>1579</v>
      </c>
      <c r="R335" s="31" t="s">
        <v>524</v>
      </c>
      <c r="S335" s="101"/>
      <c r="T335" s="101"/>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spans="1:67" ht="29.25" customHeight="1">
      <c r="A336" s="92" t="s">
        <v>67</v>
      </c>
      <c r="B336" s="105" t="s">
        <v>1580</v>
      </c>
      <c r="C336" s="109" t="s">
        <v>1581</v>
      </c>
      <c r="D336" s="95" t="s">
        <v>1582</v>
      </c>
      <c r="E336" s="96"/>
      <c r="F336" s="121" t="s">
        <v>76</v>
      </c>
      <c r="G336" s="97">
        <v>100</v>
      </c>
      <c r="H336" s="22">
        <f>IF(OR(J336="",K336="",K336&lt;J336),0,NETWORKDAYS(J336,K336,fESTIVOS!$A$2:$A$53))</f>
        <v>0</v>
      </c>
      <c r="I336" s="98">
        <v>46065</v>
      </c>
      <c r="J336" s="99">
        <v>46065</v>
      </c>
      <c r="K336" s="99"/>
      <c r="L336" s="99">
        <v>46079</v>
      </c>
      <c r="M336" s="27">
        <f ca="1">IF(OR(J336="",AND(L336="",TODAY()&lt;J336),AND(L336&lt;&gt;"",L336&lt;J336)),0,
   IF(L336="",
      NETWORKDAYS(J336,TODAY(),fESTIVOS!$A$2:$A$53),
      NETWORKDAYS(J336,L336,fESTIVOS!$A$2:$A$53)
   )
)</f>
        <v>11</v>
      </c>
      <c r="N336" s="28"/>
      <c r="O336" s="98"/>
      <c r="P336" s="100"/>
      <c r="Q336" s="34" t="s">
        <v>1583</v>
      </c>
      <c r="R336" s="31" t="s">
        <v>524</v>
      </c>
      <c r="S336" s="101"/>
      <c r="T336" s="101"/>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spans="1:67" ht="29.25" customHeight="1">
      <c r="A337" s="92" t="s">
        <v>67</v>
      </c>
      <c r="B337" s="105" t="s">
        <v>1584</v>
      </c>
      <c r="C337" s="140" t="s">
        <v>1585</v>
      </c>
      <c r="D337" s="95"/>
      <c r="E337" s="96"/>
      <c r="F337" s="20" t="s">
        <v>76</v>
      </c>
      <c r="G337" s="97">
        <v>100</v>
      </c>
      <c r="H337" s="22">
        <f>IF(OR(J337="",K337="",K337&lt;J337),0,NETWORKDAYS(J337,K337,fESTIVOS!$A$2:$A$53))</f>
        <v>0</v>
      </c>
      <c r="I337" s="98">
        <v>46077</v>
      </c>
      <c r="J337" s="99">
        <v>46084</v>
      </c>
      <c r="K337" s="99"/>
      <c r="L337" s="99">
        <v>46084</v>
      </c>
      <c r="M337" s="27">
        <f ca="1">IF(OR(J337="",AND(L337="",TODAY()&lt;J337),AND(L337&lt;&gt;"",L337&lt;J337)),0,
   IF(L337="",
      NETWORKDAYS(J337,TODAY(),fESTIVOS!$A$2:$A$53),
      NETWORKDAYS(J337,L337,fESTIVOS!$A$2:$A$53)
   )
)</f>
        <v>1</v>
      </c>
      <c r="N337" s="28"/>
      <c r="O337" s="98"/>
      <c r="P337" s="100"/>
      <c r="Q337" s="34" t="s">
        <v>1586</v>
      </c>
      <c r="R337" s="31" t="s">
        <v>234</v>
      </c>
      <c r="S337" s="101"/>
      <c r="T337" s="101"/>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spans="1:67" ht="29.25" customHeight="1">
      <c r="A338" s="92" t="s">
        <v>67</v>
      </c>
      <c r="B338" s="105" t="s">
        <v>1587</v>
      </c>
      <c r="C338" s="140" t="s">
        <v>1588</v>
      </c>
      <c r="D338" s="95" t="s">
        <v>1589</v>
      </c>
      <c r="E338" s="96"/>
      <c r="F338" s="20" t="s">
        <v>76</v>
      </c>
      <c r="G338" s="97">
        <v>100</v>
      </c>
      <c r="H338" s="22">
        <f>IF(OR(J338="",K338="",K338&lt;J338),0,NETWORKDAYS(J338,K338,fESTIVOS!$A$2:$A$53))</f>
        <v>2</v>
      </c>
      <c r="I338" s="98">
        <v>46085</v>
      </c>
      <c r="J338" s="99">
        <v>46084</v>
      </c>
      <c r="K338" s="99">
        <v>46085</v>
      </c>
      <c r="L338" s="99">
        <v>46085</v>
      </c>
      <c r="M338" s="27">
        <f ca="1">IF(OR(J338="",AND(L338="",TODAY()&lt;J338),AND(L338&lt;&gt;"",L338&lt;J338)),0,
   IF(L338="",
      NETWORKDAYS(J338,TODAY(),fESTIVOS!$A$2:$A$53),
      NETWORKDAYS(J338,L338,fESTIVOS!$A$2:$A$53)
   )
)</f>
        <v>2</v>
      </c>
      <c r="N338" s="28"/>
      <c r="O338" s="98"/>
      <c r="P338" s="100"/>
      <c r="Q338" s="34" t="s">
        <v>1590</v>
      </c>
      <c r="R338" s="31" t="s">
        <v>234</v>
      </c>
      <c r="S338" s="101"/>
      <c r="T338" s="101"/>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spans="1:67" ht="29.25" customHeight="1">
      <c r="A339" s="92" t="s">
        <v>67</v>
      </c>
      <c r="B339" s="105" t="s">
        <v>1591</v>
      </c>
      <c r="C339" s="140" t="s">
        <v>1592</v>
      </c>
      <c r="D339" s="95" t="s">
        <v>1593</v>
      </c>
      <c r="E339" s="96"/>
      <c r="F339" s="20" t="s">
        <v>250</v>
      </c>
      <c r="G339" s="97"/>
      <c r="H339" s="22">
        <f>IF(OR(J339="",K339="",K339&lt;J339),0,NETWORKDAYS(J339,K339,fESTIVOS!$A$2:$A$53))</f>
        <v>0</v>
      </c>
      <c r="I339" s="98">
        <v>46086</v>
      </c>
      <c r="J339" s="99"/>
      <c r="K339" s="99"/>
      <c r="L339" s="99"/>
      <c r="M339" s="27">
        <f ca="1">IF(OR(J339="",AND(L339="",TODAY()&lt;J339),AND(L339&lt;&gt;"",L339&lt;J339)),0,
   IF(L339="",
      NETWORKDAYS(J339,TODAY(),fESTIVOS!$A$2:$A$53),
      NETWORKDAYS(J339,L339,fESTIVOS!$A$2:$A$53)
   )
)</f>
        <v>0</v>
      </c>
      <c r="N339" s="28"/>
      <c r="O339" s="98"/>
      <c r="P339" s="100"/>
      <c r="Q339" s="34" t="s">
        <v>1594</v>
      </c>
      <c r="R339" s="31" t="s">
        <v>633</v>
      </c>
      <c r="S339" s="101"/>
      <c r="T339" s="101"/>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spans="1:67" ht="29.25" customHeight="1">
      <c r="A340" s="92" t="s">
        <v>67</v>
      </c>
      <c r="B340" s="105" t="s">
        <v>1595</v>
      </c>
      <c r="C340" s="140" t="s">
        <v>1596</v>
      </c>
      <c r="D340" s="95"/>
      <c r="E340" s="96"/>
      <c r="F340" s="20" t="s">
        <v>76</v>
      </c>
      <c r="G340" s="97">
        <v>100</v>
      </c>
      <c r="H340" s="22">
        <f>IF(OR(J340="",K340="",K340&lt;J340),0,NETWORKDAYS(J340,K340,fESTIVOS!$A$2:$A$53))</f>
        <v>2</v>
      </c>
      <c r="I340" s="98">
        <v>46076</v>
      </c>
      <c r="J340" s="99">
        <v>46080</v>
      </c>
      <c r="K340" s="99">
        <v>46083</v>
      </c>
      <c r="L340" s="99">
        <v>46086</v>
      </c>
      <c r="M340" s="27">
        <f ca="1">IF(OR(J340="",AND(L340="",TODAY()&lt;J340),AND(L340&lt;&gt;"",L340&lt;J340)),0,
   IF(L340="",
      NETWORKDAYS(J340,TODAY(),fESTIVOS!$A$2:$A$53),
      NETWORKDAYS(J340,L340,fESTIVOS!$A$2:$A$53)
   )
)</f>
        <v>5</v>
      </c>
      <c r="N340" s="28"/>
      <c r="O340" s="98"/>
      <c r="P340" s="100"/>
      <c r="Q340" s="34" t="s">
        <v>1597</v>
      </c>
      <c r="R340" s="31" t="s">
        <v>234</v>
      </c>
      <c r="S340" s="101"/>
      <c r="T340" s="101"/>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spans="1:67" ht="29.25" customHeight="1">
      <c r="A341" s="92" t="s">
        <v>67</v>
      </c>
      <c r="B341" s="105" t="s">
        <v>1598</v>
      </c>
      <c r="C341" s="141" t="s">
        <v>1599</v>
      </c>
      <c r="D341" s="95" t="s">
        <v>1600</v>
      </c>
      <c r="E341" s="96"/>
      <c r="F341" s="20" t="s">
        <v>76</v>
      </c>
      <c r="G341" s="97">
        <v>100</v>
      </c>
      <c r="H341" s="22">
        <f>IF(OR(J341="",K341="",K341&lt;J341),0,NETWORKDAYS(J341,K341,fESTIVOS!$A$2:$A$53))</f>
        <v>0</v>
      </c>
      <c r="I341" s="98">
        <v>45961</v>
      </c>
      <c r="J341" s="99">
        <v>45961</v>
      </c>
      <c r="K341" s="99"/>
      <c r="L341" s="99"/>
      <c r="M341" s="27">
        <f ca="1">IF(OR(J341="",AND(L341="",TODAY()&lt;J341),AND(L341&lt;&gt;"",L341&lt;J341)),0,
   IF(L341="",
      NETWORKDAYS(J341,TODAY(),fESTIVOS!$A$2:$A$53),
      NETWORKDAYS(J341,L341,fESTIVOS!$A$2:$A$53)
   )
)</f>
        <v>85</v>
      </c>
      <c r="N341" s="28"/>
      <c r="O341" s="98"/>
      <c r="P341" s="100"/>
      <c r="Q341" s="34" t="s">
        <v>1601</v>
      </c>
      <c r="R341" s="31" t="s">
        <v>524</v>
      </c>
      <c r="S341" s="101"/>
      <c r="T341" s="101"/>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spans="1:67" ht="29.25" customHeight="1">
      <c r="A342" s="92" t="s">
        <v>67</v>
      </c>
      <c r="B342" s="105" t="s">
        <v>1602</v>
      </c>
      <c r="C342" s="109" t="s">
        <v>1603</v>
      </c>
      <c r="D342" s="95" t="s">
        <v>1604</v>
      </c>
      <c r="E342" s="96"/>
      <c r="F342" s="121" t="s">
        <v>76</v>
      </c>
      <c r="G342" s="97">
        <v>100</v>
      </c>
      <c r="H342" s="22">
        <f>IF(OR(J342="",K342="",K342&lt;J342),0,NETWORKDAYS(J342,K342,fESTIVOS!$A$2:$A$53))</f>
        <v>0</v>
      </c>
      <c r="I342" s="98">
        <v>46065</v>
      </c>
      <c r="J342" s="99">
        <v>46065</v>
      </c>
      <c r="K342" s="99"/>
      <c r="L342" s="99">
        <v>46070</v>
      </c>
      <c r="M342" s="27">
        <f ca="1">IF(OR(J342="",AND(L342="",TODAY()&lt;J342),AND(L342&lt;&gt;"",L342&lt;J342)),0,
   IF(L342="",
      NETWORKDAYS(J342,TODAY(),fESTIVOS!$A$2:$A$53),
      NETWORKDAYS(J342,L342,fESTIVOS!$A$2:$A$53)
   )
)</f>
        <v>4</v>
      </c>
      <c r="N342" s="28"/>
      <c r="O342" s="98"/>
      <c r="P342" s="100"/>
      <c r="Q342" s="34" t="s">
        <v>1605</v>
      </c>
      <c r="R342" s="31" t="s">
        <v>524</v>
      </c>
      <c r="S342" s="101"/>
      <c r="T342" s="101"/>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spans="1:67" ht="29.25" customHeight="1">
      <c r="A343" s="92" t="s">
        <v>67</v>
      </c>
      <c r="B343" s="105" t="s">
        <v>1606</v>
      </c>
      <c r="C343" s="109" t="s">
        <v>1607</v>
      </c>
      <c r="D343" s="95"/>
      <c r="E343" s="96"/>
      <c r="F343" s="121" t="s">
        <v>76</v>
      </c>
      <c r="G343" s="97">
        <v>100</v>
      </c>
      <c r="H343" s="22">
        <f>IF(OR(J343="",K343="",K343&lt;J343),0,NETWORKDAYS(J343,K343,fESTIVOS!$A$2:$A$53))</f>
        <v>0</v>
      </c>
      <c r="I343" s="98">
        <v>46070</v>
      </c>
      <c r="J343" s="99">
        <v>46070</v>
      </c>
      <c r="K343" s="99"/>
      <c r="L343" s="99">
        <v>46070</v>
      </c>
      <c r="M343" s="27">
        <f ca="1">IF(OR(J343="",AND(L343="",TODAY()&lt;J343),AND(L343&lt;&gt;"",L343&lt;J343)),0,
   IF(L343="",
      NETWORKDAYS(J343,TODAY(),fESTIVOS!$A$2:$A$53),
      NETWORKDAYS(J343,L343,fESTIVOS!$A$2:$A$53)
   )
)</f>
        <v>1</v>
      </c>
      <c r="N343" s="28"/>
      <c r="O343" s="98"/>
      <c r="P343" s="100"/>
      <c r="Q343" s="34" t="s">
        <v>1608</v>
      </c>
      <c r="R343" s="31"/>
      <c r="S343" s="101"/>
      <c r="T343" s="101"/>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spans="1:67" ht="29.25" customHeight="1">
      <c r="A344" s="92" t="s">
        <v>67</v>
      </c>
      <c r="B344" s="105" t="s">
        <v>1609</v>
      </c>
      <c r="C344" s="222" t="s">
        <v>1610</v>
      </c>
      <c r="D344" s="95" t="s">
        <v>1611</v>
      </c>
      <c r="E344" s="96"/>
      <c r="F344" s="121" t="s">
        <v>76</v>
      </c>
      <c r="G344" s="97">
        <v>100</v>
      </c>
      <c r="H344" s="22">
        <f>IF(OR(J344="",K344="",K344&lt;J344),0,NETWORKDAYS(J344,K344,fESTIVOS!$A$2:$A$53))</f>
        <v>0</v>
      </c>
      <c r="I344" s="98">
        <v>46083</v>
      </c>
      <c r="J344" s="99">
        <v>46084</v>
      </c>
      <c r="K344" s="99"/>
      <c r="L344" s="99">
        <v>46084</v>
      </c>
      <c r="M344" s="27">
        <f ca="1">IF(OR(J344="",AND(L344="",TODAY()&lt;J344),AND(L344&lt;&gt;"",L344&lt;J344)),0,
   IF(L344="",
      NETWORKDAYS(J344,TODAY(),fESTIVOS!$A$2:$A$53),
      NETWORKDAYS(J344,L344,fESTIVOS!$A$2:$A$53)
   )
)</f>
        <v>1</v>
      </c>
      <c r="N344" s="28"/>
      <c r="O344" s="98"/>
      <c r="P344" s="100"/>
      <c r="Q344" s="34" t="s">
        <v>1612</v>
      </c>
      <c r="R344" s="31" t="s">
        <v>234</v>
      </c>
      <c r="S344" s="101"/>
      <c r="T344" s="101"/>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spans="1:67" ht="29.25" customHeight="1">
      <c r="A345" s="92" t="s">
        <v>67</v>
      </c>
      <c r="B345" s="105" t="s">
        <v>1613</v>
      </c>
      <c r="C345" s="109" t="s">
        <v>1614</v>
      </c>
      <c r="D345" s="95" t="s">
        <v>1615</v>
      </c>
      <c r="E345" s="96"/>
      <c r="F345" s="121" t="s">
        <v>504</v>
      </c>
      <c r="G345" s="97">
        <v>20</v>
      </c>
      <c r="H345" s="22">
        <f>IF(OR(J345="",K345="",K345&lt;J345),0,NETWORKDAYS(J345,K345,fESTIVOS!$A$2:$A$53))</f>
        <v>2</v>
      </c>
      <c r="I345" s="98">
        <v>46080</v>
      </c>
      <c r="J345" s="99">
        <v>46086</v>
      </c>
      <c r="K345" s="99">
        <v>46087</v>
      </c>
      <c r="L345" s="99"/>
      <c r="M345" s="27">
        <f ca="1">IF(OR(J345="",AND(L345="",TODAY()&lt;J345),AND(L345&lt;&gt;"",L345&lt;J345)),0,
   IF(L345="",
      NETWORKDAYS(J345,TODAY(),fESTIVOS!$A$2:$A$53),
      NETWORKDAYS(J345,L345,fESTIVOS!$A$2:$A$53)
   )
)</f>
        <v>2</v>
      </c>
      <c r="N345" s="28"/>
      <c r="O345" s="98"/>
      <c r="P345" s="100"/>
      <c r="Q345" s="34" t="s">
        <v>1616</v>
      </c>
      <c r="R345" s="31" t="s">
        <v>234</v>
      </c>
      <c r="S345" s="101"/>
      <c r="T345" s="101"/>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spans="1:67" ht="29.25" customHeight="1">
      <c r="A346" s="92" t="s">
        <v>67</v>
      </c>
      <c r="B346" s="105" t="s">
        <v>1617</v>
      </c>
      <c r="C346" s="109" t="s">
        <v>1618</v>
      </c>
      <c r="D346" s="95" t="s">
        <v>1619</v>
      </c>
      <c r="E346" s="96"/>
      <c r="F346" s="121" t="s">
        <v>207</v>
      </c>
      <c r="G346" s="97">
        <v>15</v>
      </c>
      <c r="H346" s="22">
        <f>IF(OR(J346="",K346="",K346&lt;J346),0,NETWORKDAYS(J346,K346,fESTIVOS!$A$2:$A$53))</f>
        <v>0</v>
      </c>
      <c r="I346" s="98">
        <v>46056</v>
      </c>
      <c r="J346" s="99">
        <v>46056</v>
      </c>
      <c r="K346" s="99"/>
      <c r="L346" s="99"/>
      <c r="M346" s="27">
        <f ca="1">IF(OR(J346="",AND(L346="",TODAY()&lt;J346),AND(L346&lt;&gt;"",L346&lt;J346)),0,
   IF(L346="",
      NETWORKDAYS(J346,TODAY(),fESTIVOS!$A$2:$A$53),
      NETWORKDAYS(J346,L346,fESTIVOS!$A$2:$A$53)
   )
)</f>
        <v>24</v>
      </c>
      <c r="N346" s="28"/>
      <c r="O346" s="98"/>
      <c r="P346" s="100"/>
      <c r="Q346" s="34" t="s">
        <v>1620</v>
      </c>
      <c r="R346" s="31" t="s">
        <v>78</v>
      </c>
      <c r="S346" s="101"/>
      <c r="T346" s="101"/>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spans="1:67" ht="29.25" customHeight="1">
      <c r="A347" s="92" t="s">
        <v>67</v>
      </c>
      <c r="B347" s="105" t="s">
        <v>1621</v>
      </c>
      <c r="C347" s="109" t="s">
        <v>1622</v>
      </c>
      <c r="D347" s="95"/>
      <c r="E347" s="96"/>
      <c r="F347" s="121" t="s">
        <v>76</v>
      </c>
      <c r="G347" s="97">
        <v>100</v>
      </c>
      <c r="H347" s="22">
        <f>IF(OR(J347="",K347="",K347&lt;J347),0,NETWORKDAYS(J347,K347,fESTIVOS!$A$2:$A$53))</f>
        <v>0</v>
      </c>
      <c r="I347" s="98">
        <v>46072</v>
      </c>
      <c r="J347" s="99">
        <v>46072</v>
      </c>
      <c r="K347" s="99"/>
      <c r="L347" s="99">
        <v>46072</v>
      </c>
      <c r="M347" s="27">
        <f ca="1">IF(OR(J347="",AND(L347="",TODAY()&lt;J347),AND(L347&lt;&gt;"",L347&lt;J347)),0,
   IF(L347="",
      NETWORKDAYS(J347,TODAY(),fESTIVOS!$A$2:$A$53),
      NETWORKDAYS(J347,L347,fESTIVOS!$A$2:$A$53)
   )
)</f>
        <v>1</v>
      </c>
      <c r="N347" s="28"/>
      <c r="O347" s="98"/>
      <c r="P347" s="100"/>
      <c r="Q347" s="34" t="s">
        <v>1623</v>
      </c>
      <c r="R347" s="31" t="s">
        <v>78</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spans="1:67" ht="29.25" customHeight="1">
      <c r="A348" s="92" t="s">
        <v>67</v>
      </c>
      <c r="B348" s="105" t="s">
        <v>1624</v>
      </c>
      <c r="C348" s="109" t="s">
        <v>1625</v>
      </c>
      <c r="D348" s="95"/>
      <c r="E348" s="96"/>
      <c r="F348" s="121" t="s">
        <v>207</v>
      </c>
      <c r="G348" s="97">
        <v>70</v>
      </c>
      <c r="H348" s="22">
        <f>IF(OR(J348="",K348="",K348&lt;J348),0,NETWORKDAYS(J348,K348,fESTIVOS!$A$2:$A$53))</f>
        <v>0</v>
      </c>
      <c r="I348" s="98">
        <v>46007</v>
      </c>
      <c r="J348" s="99">
        <v>46024</v>
      </c>
      <c r="K348" s="99"/>
      <c r="L348" s="99"/>
      <c r="M348" s="27">
        <f ca="1">IF(OR(J348="",AND(L348="",TODAY()&lt;J348),AND(L348&lt;&gt;"",L348&lt;J348)),0,
   IF(L348="",
      NETWORKDAYS(J348,TODAY(),fESTIVOS!$A$2:$A$53),
      NETWORKDAYS(J348,L348,fESTIVOS!$A$2:$A$53)
   )
)</f>
        <v>45</v>
      </c>
      <c r="N348" s="28"/>
      <c r="O348" s="98"/>
      <c r="P348" s="100"/>
      <c r="Q348" s="34" t="s">
        <v>1626</v>
      </c>
      <c r="R348" s="31" t="s">
        <v>93</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spans="1:67" ht="29.25" customHeight="1">
      <c r="A349" s="16" t="s">
        <v>67</v>
      </c>
      <c r="B349" s="17" t="s">
        <v>1627</v>
      </c>
      <c r="C349" s="106" t="s">
        <v>1628</v>
      </c>
      <c r="D349" s="76"/>
      <c r="E349" s="123"/>
      <c r="F349" s="20" t="s">
        <v>207</v>
      </c>
      <c r="G349" s="58">
        <v>5</v>
      </c>
      <c r="H349" s="22">
        <f>IF(OR(J349="",K349="",K349&lt;J349),0,NETWORKDAYS(J349,K349,fESTIVOS!$A$2:$A$53))</f>
        <v>0</v>
      </c>
      <c r="I349" s="81">
        <v>45782</v>
      </c>
      <c r="J349" s="60">
        <v>45782</v>
      </c>
      <c r="K349" s="60"/>
      <c r="L349" s="60"/>
      <c r="M349" s="27">
        <f ca="1">IF(OR(J349="",AND(L349="",TODAY()&lt;J349),AND(L349&lt;&gt;"",L349&lt;J349)),0,
   IF(L349="",
      NETWORKDAYS(J349,TODAY(),fESTIVOS!$A$2:$A$53),
      NETWORKDAYS(J349,L349,fESTIVOS!$A$2:$A$53)
   )
)</f>
        <v>208</v>
      </c>
      <c r="N349" s="28"/>
      <c r="O349" s="81"/>
      <c r="P349" s="100"/>
      <c r="Q349" s="103"/>
      <c r="R349" s="31" t="s">
        <v>93</v>
      </c>
      <c r="S349" s="138"/>
      <c r="T349" s="138"/>
      <c r="U349" s="102"/>
      <c r="V349" s="103"/>
      <c r="W349" s="103"/>
      <c r="X349" s="34" t="s">
        <v>1629</v>
      </c>
      <c r="Y349" s="35"/>
      <c r="Z349" s="35"/>
      <c r="AA349" s="34" t="s">
        <v>1630</v>
      </c>
      <c r="AB349" s="35"/>
      <c r="AC349" s="35"/>
      <c r="AD349" s="35"/>
      <c r="AE349" s="35"/>
      <c r="AF349" s="35"/>
      <c r="AG349" s="35"/>
      <c r="AH349" s="35"/>
      <c r="AI349" s="37" t="s">
        <v>1631</v>
      </c>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row>
    <row r="350" spans="1:67" ht="29.25" customHeight="1">
      <c r="A350" s="92" t="s">
        <v>67</v>
      </c>
      <c r="B350" s="105" t="s">
        <v>1632</v>
      </c>
      <c r="C350" s="106" t="s">
        <v>1633</v>
      </c>
      <c r="D350" s="95" t="s">
        <v>1634</v>
      </c>
      <c r="E350" s="96"/>
      <c r="F350" s="20" t="s">
        <v>1056</v>
      </c>
      <c r="G350" s="97">
        <v>70</v>
      </c>
      <c r="H350" s="22">
        <f>IF(OR(J350="",K350="",K350&lt;J350),0,NETWORKDAYS(J350,K350,fESTIVOS!$A$2:$A$53))</f>
        <v>0</v>
      </c>
      <c r="I350" s="98">
        <v>45902</v>
      </c>
      <c r="J350" s="99">
        <v>45902</v>
      </c>
      <c r="K350" s="99"/>
      <c r="L350" s="99">
        <v>45915</v>
      </c>
      <c r="M350" s="27">
        <f ca="1">IF(OR(J350="",AND(L350="",TODAY()&lt;J350),AND(L350&lt;&gt;"",L350&lt;J350)),0,
   IF(L350="",
      NETWORKDAYS(J350,TODAY(),fESTIVOS!$A$2:$A$53),
      NETWORKDAYS(J350,L350,fESTIVOS!$A$2:$A$53)
   )
)</f>
        <v>10</v>
      </c>
      <c r="N350" s="28"/>
      <c r="O350" s="98">
        <v>45915</v>
      </c>
      <c r="P350" s="100"/>
      <c r="Q350" s="34" t="s">
        <v>1635</v>
      </c>
      <c r="R350" s="31" t="s">
        <v>93</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spans="1:67" ht="29.25" customHeight="1">
      <c r="A351" s="92" t="s">
        <v>67</v>
      </c>
      <c r="B351" s="105" t="s">
        <v>1636</v>
      </c>
      <c r="C351" s="106" t="s">
        <v>1637</v>
      </c>
      <c r="D351" s="95" t="s">
        <v>1638</v>
      </c>
      <c r="E351" s="96"/>
      <c r="F351" s="20" t="s">
        <v>250</v>
      </c>
      <c r="G351" s="97"/>
      <c r="H351" s="22">
        <f>IF(OR(J351="",K351="",K351&lt;J351),0,NETWORKDAYS(J351,K351,fESTIVOS!$A$2:$A$53))</f>
        <v>0</v>
      </c>
      <c r="I351" s="98">
        <v>45933</v>
      </c>
      <c r="J351" s="99"/>
      <c r="K351" s="99"/>
      <c r="L351" s="99"/>
      <c r="M351" s="27">
        <f ca="1">IF(OR(J351="",AND(L351="",TODAY()&lt;J351),AND(L351&lt;&gt;"",L351&lt;J351)),0,
   IF(L351="",
      NETWORKDAYS(J351,TODAY(),fESTIVOS!$A$2:$A$53),
      NETWORKDAYS(J351,L351,fESTIVOS!$A$2:$A$53)
   )
)</f>
        <v>0</v>
      </c>
      <c r="N351" s="28"/>
      <c r="O351" s="98"/>
      <c r="P351" s="100"/>
      <c r="Q351" s="34"/>
      <c r="R351" s="31" t="s">
        <v>93</v>
      </c>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spans="1:67" ht="29.25" customHeight="1">
      <c r="A352" s="92" t="s">
        <v>1182</v>
      </c>
      <c r="B352" s="212" t="s">
        <v>1639</v>
      </c>
      <c r="C352" s="141" t="s">
        <v>1640</v>
      </c>
      <c r="D352" s="95"/>
      <c r="E352" s="96"/>
      <c r="F352" s="121" t="s">
        <v>250</v>
      </c>
      <c r="G352" s="196"/>
      <c r="H352" s="22">
        <f>IF(OR(J352="",K352="",K352&lt;J352),0,NETWORKDAYS(J352,K352,fESTIVOS!$A$2:$A$53))</f>
        <v>0</v>
      </c>
      <c r="I352" s="98"/>
      <c r="J352" s="99"/>
      <c r="K352" s="99"/>
      <c r="L352" s="99"/>
      <c r="M352" s="27">
        <f ca="1">IF(OR(J352="",AND(L352="",TODAY()&lt;J352),AND(L352&lt;&gt;"",L352&lt;J352)),0,
   IF(L352="",
      NETWORKDAYS(J352,TODAY(),fESTIVOS!$A$2:$A$53),
      NETWORKDAYS(J352,L352,fESTIVOS!$A$2:$A$53)
   )
)</f>
        <v>0</v>
      </c>
      <c r="N352" s="28"/>
      <c r="O352" s="98"/>
      <c r="P352" s="100"/>
      <c r="Q352" s="103"/>
      <c r="R352" s="31" t="s">
        <v>93</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spans="1:67" ht="29.25" customHeight="1">
      <c r="A353" s="92" t="s">
        <v>157</v>
      </c>
      <c r="B353" s="105" t="s">
        <v>1641</v>
      </c>
      <c r="C353" s="223" t="s">
        <v>1642</v>
      </c>
      <c r="D353" s="95" t="s">
        <v>1643</v>
      </c>
      <c r="E353" s="96"/>
      <c r="F353" s="121" t="s">
        <v>76</v>
      </c>
      <c r="G353" s="97">
        <v>100</v>
      </c>
      <c r="H353" s="22">
        <f>IF(OR(J353="",K353="",K353&lt;J353),0,NETWORKDAYS(J353,K353,fESTIVOS!$A$2:$A$53))</f>
        <v>0</v>
      </c>
      <c r="I353" s="98">
        <v>46071</v>
      </c>
      <c r="J353" s="99">
        <v>46071</v>
      </c>
      <c r="K353" s="99"/>
      <c r="L353" s="99">
        <v>46071</v>
      </c>
      <c r="M353" s="27">
        <f ca="1">IF(OR(J353="",AND(L353="",TODAY()&lt;J353),AND(L353&lt;&gt;"",L353&lt;J353)),0,
   IF(L353="",
      NETWORKDAYS(J353,TODAY(),fESTIVOS!$A$2:$A$53),
      NETWORKDAYS(J353,L353,fESTIVOS!$A$2:$A$53)
   )
)</f>
        <v>1</v>
      </c>
      <c r="N353" s="28"/>
      <c r="O353" s="98"/>
      <c r="P353" s="100"/>
      <c r="Q353" s="34" t="s">
        <v>1644</v>
      </c>
      <c r="R353" s="31" t="s">
        <v>78</v>
      </c>
      <c r="S353" s="101"/>
      <c r="T353" s="101"/>
      <c r="U353" s="10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spans="1:67" ht="29.25" customHeight="1">
      <c r="A354" s="92" t="s">
        <v>157</v>
      </c>
      <c r="B354" s="105" t="s">
        <v>1645</v>
      </c>
      <c r="C354" s="223" t="s">
        <v>1646</v>
      </c>
      <c r="D354" s="95" t="s">
        <v>1647</v>
      </c>
      <c r="E354" s="96"/>
      <c r="F354" s="121" t="s">
        <v>76</v>
      </c>
      <c r="G354" s="97">
        <v>98</v>
      </c>
      <c r="H354" s="22">
        <f>IF(OR(J354="",K354="",K354&lt;J354),0,NETWORKDAYS(J354,K354,fESTIVOS!$A$2:$A$53))</f>
        <v>1</v>
      </c>
      <c r="I354" s="98">
        <v>46076</v>
      </c>
      <c r="J354" s="99">
        <v>46076</v>
      </c>
      <c r="K354" s="99">
        <v>46076</v>
      </c>
      <c r="L354" s="99">
        <v>46076</v>
      </c>
      <c r="M354" s="27">
        <f ca="1">IF(OR(J354="",AND(L354="",TODAY()&lt;J354),AND(L354&lt;&gt;"",L354&lt;J354)),0,
   IF(L354="",
      NETWORKDAYS(J354,TODAY(),fESTIVOS!$A$2:$A$53),
      NETWORKDAYS(J354,L354,fESTIVOS!$A$2:$A$53)
   )
)</f>
        <v>1</v>
      </c>
      <c r="N354" s="28"/>
      <c r="O354" s="98"/>
      <c r="P354" s="100">
        <v>46076</v>
      </c>
      <c r="Q354" s="34" t="s">
        <v>1648</v>
      </c>
      <c r="R354" s="31" t="s">
        <v>78</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spans="1:67" ht="29.25" customHeight="1">
      <c r="A355" s="92" t="s">
        <v>1182</v>
      </c>
      <c r="B355" s="105" t="s">
        <v>1649</v>
      </c>
      <c r="C355" s="140" t="s">
        <v>1650</v>
      </c>
      <c r="D355" s="95" t="s">
        <v>1651</v>
      </c>
      <c r="E355" s="96"/>
      <c r="F355" s="121" t="s">
        <v>1652</v>
      </c>
      <c r="G355" s="196"/>
      <c r="H355" s="22">
        <f>IF(OR(J355="",K355="",K355&lt;J355),0,NETWORKDAYS(J355,K355,fESTIVOS!$A$2:$A$53))</f>
        <v>0</v>
      </c>
      <c r="I355" s="98"/>
      <c r="J355" s="99"/>
      <c r="K355" s="99"/>
      <c r="L355" s="99"/>
      <c r="M355" s="27">
        <f ca="1">IF(OR(J355="",AND(L355="",TODAY()&lt;J355),AND(L355&lt;&gt;"",L355&lt;J355)),0,
   IF(L355="",
      NETWORKDAYS(J355,TODAY(),fESTIVOS!$A$2:$A$53),
      NETWORKDAYS(J355,L355,fESTIVOS!$A$2:$A$53)
   )
)</f>
        <v>0</v>
      </c>
      <c r="N355" s="28"/>
      <c r="O355" s="98"/>
      <c r="P355" s="100"/>
      <c r="Q355" s="34" t="s">
        <v>1653</v>
      </c>
      <c r="R355" s="31" t="s">
        <v>72</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spans="1:67" ht="29.25" customHeight="1">
      <c r="A356" s="92" t="s">
        <v>1182</v>
      </c>
      <c r="B356" s="105" t="s">
        <v>1654</v>
      </c>
      <c r="C356" s="140" t="s">
        <v>1655</v>
      </c>
      <c r="D356" s="95" t="s">
        <v>1656</v>
      </c>
      <c r="E356" s="96"/>
      <c r="F356" s="121" t="s">
        <v>250</v>
      </c>
      <c r="G356" s="196"/>
      <c r="H356" s="22">
        <f>IF(OR(J356="",K356="",K356&lt;J356),0,NETWORKDAYS(J356,K356,fESTIVOS!$A$2:$A$53))</f>
        <v>0</v>
      </c>
      <c r="I356" s="98"/>
      <c r="J356" s="99"/>
      <c r="K356" s="99"/>
      <c r="L356" s="99"/>
      <c r="M356" s="27">
        <f ca="1">IF(OR(J356="",AND(L356="",TODAY()&lt;J356),AND(L356&lt;&gt;"",L356&lt;J356)),0,
   IF(L356="",
      NETWORKDAYS(J356,TODAY(),fESTIVOS!$A$2:$A$53),
      NETWORKDAYS(J356,L356,fESTIVOS!$A$2:$A$53)
   )
)</f>
        <v>0</v>
      </c>
      <c r="N356" s="28"/>
      <c r="O356" s="98"/>
      <c r="P356" s="100"/>
      <c r="Q356" s="34" t="s">
        <v>1657</v>
      </c>
      <c r="R356" s="31" t="s">
        <v>72</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spans="1:67" ht="29.25" customHeight="1">
      <c r="A357" s="92" t="s">
        <v>1182</v>
      </c>
      <c r="B357" s="105" t="s">
        <v>1658</v>
      </c>
      <c r="C357" s="140" t="s">
        <v>1659</v>
      </c>
      <c r="D357" s="95"/>
      <c r="E357" s="96"/>
      <c r="F357" s="121" t="s">
        <v>250</v>
      </c>
      <c r="G357" s="196"/>
      <c r="H357" s="22">
        <f>IF(OR(J357="",K357="",K357&lt;J357),0,NETWORKDAYS(J357,K357,fESTIVOS!$A$2:$A$53))</f>
        <v>0</v>
      </c>
      <c r="I357" s="98"/>
      <c r="J357" s="99"/>
      <c r="K357" s="99"/>
      <c r="L357" s="99"/>
      <c r="M357" s="27">
        <f ca="1">IF(OR(J357="",AND(L357="",TODAY()&lt;J357),AND(L357&lt;&gt;"",L357&lt;J357)),0,
   IF(L357="",
      NETWORKDAYS(J357,TODAY(),fESTIVOS!$A$2:$A$53),
      NETWORKDAYS(J357,L357,fESTIVOS!$A$2:$A$53)
   )
)</f>
        <v>0</v>
      </c>
      <c r="N357" s="28"/>
      <c r="O357" s="98"/>
      <c r="P357" s="100"/>
      <c r="Q357" s="34" t="s">
        <v>1660</v>
      </c>
      <c r="R357" s="31" t="s">
        <v>72</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spans="1:67" ht="29.25" customHeight="1">
      <c r="A358" s="92" t="s">
        <v>1182</v>
      </c>
      <c r="B358" s="105" t="s">
        <v>1661</v>
      </c>
      <c r="C358" s="140" t="s">
        <v>1662</v>
      </c>
      <c r="D358" s="95"/>
      <c r="E358" s="96"/>
      <c r="F358" s="121" t="s">
        <v>250</v>
      </c>
      <c r="G358" s="196"/>
      <c r="H358" s="22">
        <f>IF(OR(J358="",K358="",K358&lt;J358),0,NETWORKDAYS(J358,K358,fESTIVOS!$A$2:$A$53))</f>
        <v>0</v>
      </c>
      <c r="I358" s="98"/>
      <c r="J358" s="99"/>
      <c r="K358" s="99"/>
      <c r="L358" s="99"/>
      <c r="M358" s="27">
        <f ca="1">IF(OR(J358="",AND(L358="",TODAY()&lt;J358),AND(L358&lt;&gt;"",L358&lt;J358)),0,
   IF(L358="",
      NETWORKDAYS(J358,TODAY(),fESTIVOS!$A$2:$A$53),
      NETWORKDAYS(J358,L358,fESTIVOS!$A$2:$A$53)
   )
)</f>
        <v>0</v>
      </c>
      <c r="N358" s="28"/>
      <c r="O358" s="98"/>
      <c r="P358" s="100"/>
      <c r="Q358" s="34" t="s">
        <v>1663</v>
      </c>
      <c r="R358" s="31" t="s">
        <v>72</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spans="1:67" ht="29.25" customHeight="1">
      <c r="A359" s="92" t="s">
        <v>1182</v>
      </c>
      <c r="B359" s="105" t="s">
        <v>1664</v>
      </c>
      <c r="C359" s="140" t="s">
        <v>1665</v>
      </c>
      <c r="D359" s="95"/>
      <c r="E359" s="96"/>
      <c r="F359" s="121" t="s">
        <v>250</v>
      </c>
      <c r="G359" s="196"/>
      <c r="H359" s="22">
        <f>IF(OR(J359="",K359="",K359&lt;J359),0,NETWORKDAYS(J359,K359,fESTIVOS!$A$2:$A$53))</f>
        <v>0</v>
      </c>
      <c r="I359" s="98"/>
      <c r="J359" s="99"/>
      <c r="K359" s="99"/>
      <c r="L359" s="99"/>
      <c r="M359" s="27">
        <f ca="1">IF(OR(J359="",AND(L359="",TODAY()&lt;J359),AND(L359&lt;&gt;"",L359&lt;J359)),0,
   IF(L359="",
      NETWORKDAYS(J359,TODAY(),fESTIVOS!$A$2:$A$53),
      NETWORKDAYS(J359,L359,fESTIVOS!$A$2:$A$53)
   )
)</f>
        <v>0</v>
      </c>
      <c r="N359" s="28"/>
      <c r="O359" s="98"/>
      <c r="P359" s="100"/>
      <c r="Q359" s="34" t="s">
        <v>1666</v>
      </c>
      <c r="R359" s="31" t="s">
        <v>72</v>
      </c>
      <c r="S359" s="101"/>
      <c r="T359" s="101"/>
      <c r="U359" s="10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spans="1:67" ht="29.25" customHeight="1">
      <c r="A360" s="92" t="s">
        <v>67</v>
      </c>
      <c r="B360" s="105" t="s">
        <v>1667</v>
      </c>
      <c r="C360" s="223" t="s">
        <v>1668</v>
      </c>
      <c r="D360" s="95" t="s">
        <v>1669</v>
      </c>
      <c r="E360" s="96"/>
      <c r="F360" s="121" t="s">
        <v>76</v>
      </c>
      <c r="G360" s="97">
        <v>100</v>
      </c>
      <c r="H360" s="22">
        <f>IF(OR(J360="",K360="",K360&lt;J360),0,NETWORKDAYS(J360,K360,fESTIVOS!$A$2:$A$53))</f>
        <v>0</v>
      </c>
      <c r="I360" s="98">
        <v>46001</v>
      </c>
      <c r="J360" s="99">
        <v>46009</v>
      </c>
      <c r="K360" s="99"/>
      <c r="L360" s="99"/>
      <c r="M360" s="27">
        <f ca="1">IF(OR(J360="",AND(L360="",TODAY()&lt;J360),AND(L360&lt;&gt;"",L360&lt;J360)),0,
   IF(L360="",
      NETWORKDAYS(J360,TODAY(),fESTIVOS!$A$2:$A$53),
      NETWORKDAYS(J360,L360,fESTIVOS!$A$2:$A$53)
   )
)</f>
        <v>54</v>
      </c>
      <c r="N360" s="28"/>
      <c r="O360" s="98"/>
      <c r="P360" s="100"/>
      <c r="Q360" s="34" t="s">
        <v>1670</v>
      </c>
      <c r="R360" s="31" t="s">
        <v>78</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spans="1:67" ht="29.25" customHeight="1">
      <c r="A361" s="92" t="s">
        <v>67</v>
      </c>
      <c r="B361" s="105" t="s">
        <v>1671</v>
      </c>
      <c r="C361" s="223" t="s">
        <v>1672</v>
      </c>
      <c r="D361" s="95" t="s">
        <v>1673</v>
      </c>
      <c r="E361" s="96"/>
      <c r="F361" s="121" t="s">
        <v>76</v>
      </c>
      <c r="G361" s="97">
        <v>100</v>
      </c>
      <c r="H361" s="22">
        <f>IF(OR(J361="",K361="",K361&lt;J361),0,NETWORKDAYS(J361,K361,fESTIVOS!$A$2:$A$53))</f>
        <v>0</v>
      </c>
      <c r="I361" s="98">
        <v>45985</v>
      </c>
      <c r="J361" s="99">
        <v>45985</v>
      </c>
      <c r="K361" s="99"/>
      <c r="L361" s="99">
        <v>45985</v>
      </c>
      <c r="M361" s="27">
        <f ca="1">IF(OR(J361="",AND(L361="",TODAY()&lt;J361),AND(L361&lt;&gt;"",L361&lt;J361)),0,
   IF(L361="",
      NETWORKDAYS(J361,TODAY(),fESTIVOS!$A$2:$A$53),
      NETWORKDAYS(J361,L361,fESTIVOS!$A$2:$A$53)
   )
)</f>
        <v>1</v>
      </c>
      <c r="N361" s="28"/>
      <c r="O361" s="98"/>
      <c r="P361" s="100"/>
      <c r="Q361" s="88" t="s">
        <v>1674</v>
      </c>
      <c r="R361" s="31" t="s">
        <v>78</v>
      </c>
      <c r="S361" s="101"/>
      <c r="T361" s="101"/>
      <c r="U361" s="102"/>
      <c r="V361" s="104"/>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spans="1:67" ht="29.25" customHeight="1">
      <c r="A362" s="92" t="s">
        <v>67</v>
      </c>
      <c r="B362" s="105" t="s">
        <v>1675</v>
      </c>
      <c r="C362" s="119" t="s">
        <v>1676</v>
      </c>
      <c r="D362" s="95" t="s">
        <v>1677</v>
      </c>
      <c r="E362" s="96"/>
      <c r="F362" s="121" t="s">
        <v>76</v>
      </c>
      <c r="G362" s="97">
        <v>100</v>
      </c>
      <c r="H362" s="22">
        <f>IF(OR(J362="",K362="",K362&lt;J362),0,NETWORKDAYS(J362,K362,fESTIVOS!$A$2:$A$53))</f>
        <v>2</v>
      </c>
      <c r="I362" s="98">
        <v>45973</v>
      </c>
      <c r="J362" s="99">
        <v>45975</v>
      </c>
      <c r="K362" s="99">
        <v>45979</v>
      </c>
      <c r="L362" s="99">
        <v>45979</v>
      </c>
      <c r="M362" s="27">
        <f ca="1">IF(OR(J362="",AND(L362="",TODAY()&lt;J362),AND(L362&lt;&gt;"",L362&lt;J362)),0,
   IF(L362="",
      NETWORKDAYS(J362,TODAY(),fESTIVOS!$A$2:$A$53),
      NETWORKDAYS(J362,L362,fESTIVOS!$A$2:$A$53)
   )
)</f>
        <v>2</v>
      </c>
      <c r="N362" s="28"/>
      <c r="O362" s="98"/>
      <c r="P362" s="100"/>
      <c r="Q362" s="34" t="s">
        <v>1678</v>
      </c>
      <c r="R362" s="31" t="s">
        <v>78</v>
      </c>
      <c r="S362" s="101"/>
      <c r="T362" s="101"/>
      <c r="U362" s="102"/>
      <c r="V362" s="104"/>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spans="1:67" ht="29.25" customHeight="1">
      <c r="A363" s="92" t="s">
        <v>67</v>
      </c>
      <c r="B363" s="105" t="s">
        <v>1679</v>
      </c>
      <c r="C363" s="140" t="s">
        <v>1680</v>
      </c>
      <c r="D363" s="95"/>
      <c r="E363" s="96"/>
      <c r="F363" s="121" t="s">
        <v>76</v>
      </c>
      <c r="G363" s="97">
        <v>100</v>
      </c>
      <c r="H363" s="22">
        <f>IF(OR(J363="",K363="",K363&lt;J363),0,NETWORKDAYS(J363,K363,fESTIVOS!$A$2:$A$53))</f>
        <v>0</v>
      </c>
      <c r="I363" s="98">
        <v>45972</v>
      </c>
      <c r="J363" s="99">
        <v>45972</v>
      </c>
      <c r="K363" s="99"/>
      <c r="L363" s="99">
        <v>45972</v>
      </c>
      <c r="M363" s="27">
        <f ca="1">IF(OR(J363="",AND(L363="",TODAY()&lt;J363),AND(L363&lt;&gt;"",L363&lt;J363)),0,
   IF(L363="",
      NETWORKDAYS(J363,TODAY(),fESTIVOS!$A$2:$A$53),
      NETWORKDAYS(J363,L363,fESTIVOS!$A$2:$A$53)
   )
)</f>
        <v>1</v>
      </c>
      <c r="N363" s="28"/>
      <c r="O363" s="98"/>
      <c r="P363" s="100"/>
      <c r="Q363" s="34" t="s">
        <v>1681</v>
      </c>
      <c r="R363" s="31" t="s">
        <v>78</v>
      </c>
      <c r="S363" s="101"/>
      <c r="T363" s="101"/>
      <c r="U363" s="102"/>
      <c r="V363" s="104"/>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spans="1:67" ht="29.25" customHeight="1">
      <c r="A364" s="92" t="s">
        <v>67</v>
      </c>
      <c r="B364" s="212" t="s">
        <v>1682</v>
      </c>
      <c r="C364" s="141" t="s">
        <v>1683</v>
      </c>
      <c r="D364" s="95"/>
      <c r="E364" s="96"/>
      <c r="F364" s="121" t="s">
        <v>76</v>
      </c>
      <c r="G364" s="97">
        <v>100</v>
      </c>
      <c r="H364" s="22">
        <f>IF(OR(J364="",K364="",K364&lt;J364),0,NETWORKDAYS(J364,K364,fESTIVOS!$A$2:$A$53))</f>
        <v>0</v>
      </c>
      <c r="I364" s="98">
        <v>45946</v>
      </c>
      <c r="J364" s="99">
        <v>45946</v>
      </c>
      <c r="K364" s="99"/>
      <c r="L364" s="99">
        <v>45947</v>
      </c>
      <c r="M364" s="27">
        <f ca="1">IF(OR(J364="",AND(L364="",TODAY()&lt;J364),AND(L364&lt;&gt;"",L364&lt;J364)),0,
   IF(L364="",
      NETWORKDAYS(J364,TODAY(),fESTIVOS!$A$2:$A$53),
      NETWORKDAYS(J364,L364,fESTIVOS!$A$2:$A$53)
   )
)</f>
        <v>2</v>
      </c>
      <c r="N364" s="28"/>
      <c r="O364" s="98"/>
      <c r="P364" s="100">
        <v>45947</v>
      </c>
      <c r="Q364" s="34" t="s">
        <v>1684</v>
      </c>
      <c r="R364" s="31" t="s">
        <v>78</v>
      </c>
      <c r="S364" s="101"/>
      <c r="T364" s="101"/>
      <c r="U364" s="102"/>
      <c r="V364" s="104"/>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spans="1:67" ht="29.25" customHeight="1">
      <c r="A365" s="92" t="s">
        <v>67</v>
      </c>
      <c r="B365" s="105" t="s">
        <v>1685</v>
      </c>
      <c r="C365" s="140" t="s">
        <v>1686</v>
      </c>
      <c r="D365" s="95" t="s">
        <v>1687</v>
      </c>
      <c r="E365" s="96"/>
      <c r="F365" s="121" t="s">
        <v>76</v>
      </c>
      <c r="G365" s="97">
        <v>100</v>
      </c>
      <c r="H365" s="22">
        <f>IF(OR(J365="",K365="",K365&lt;J365),0,NETWORKDAYS(J365,K365,fESTIVOS!$A$2:$A$53))</f>
        <v>0</v>
      </c>
      <c r="I365" s="98">
        <v>46010</v>
      </c>
      <c r="J365" s="99">
        <v>46010</v>
      </c>
      <c r="K365" s="99"/>
      <c r="L365" s="99">
        <v>46020</v>
      </c>
      <c r="M365" s="27">
        <f ca="1">IF(OR(J365="",AND(L365="",TODAY()&lt;J365),AND(L365&lt;&gt;"",L365&lt;J365)),0,
   IF(L365="",
      NETWORKDAYS(J365,TODAY(),fESTIVOS!$A$2:$A$53),
      NETWORKDAYS(J365,L365,fESTIVOS!$A$2:$A$53)
   )
)</f>
        <v>6</v>
      </c>
      <c r="N365" s="28"/>
      <c r="O365" s="98"/>
      <c r="P365" s="100"/>
      <c r="Q365" s="34" t="s">
        <v>1688</v>
      </c>
      <c r="R365" s="31" t="s">
        <v>78</v>
      </c>
      <c r="S365" s="163"/>
      <c r="T365" s="163"/>
      <c r="U365" s="161"/>
      <c r="V365" s="104"/>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spans="1:67" ht="29.25" customHeight="1">
      <c r="A366" s="92" t="s">
        <v>67</v>
      </c>
      <c r="B366" s="105" t="s">
        <v>1689</v>
      </c>
      <c r="C366" s="109" t="s">
        <v>1690</v>
      </c>
      <c r="D366" s="95" t="s">
        <v>1691</v>
      </c>
      <c r="E366" s="96"/>
      <c r="F366" s="121" t="s">
        <v>76</v>
      </c>
      <c r="G366" s="97">
        <v>100</v>
      </c>
      <c r="H366" s="22">
        <f>IF(OR(J366="",K366="",K366&lt;J366),0,NETWORKDAYS(J366,K366,fESTIVOS!$A$2:$A$53))</f>
        <v>5</v>
      </c>
      <c r="I366" s="98">
        <v>46020</v>
      </c>
      <c r="J366" s="99">
        <v>46027</v>
      </c>
      <c r="K366" s="99">
        <v>46031</v>
      </c>
      <c r="L366" s="99">
        <v>46041</v>
      </c>
      <c r="M366" s="27">
        <f ca="1">IF(OR(J366="",AND(L366="",TODAY()&lt;J366),AND(L366&lt;&gt;"",L366&lt;J366)),0,
   IF(L366="",
      NETWORKDAYS(J366,TODAY(),fESTIVOS!$A$2:$A$53),
      NETWORKDAYS(J366,L366,fESTIVOS!$A$2:$A$53)
   )
)</f>
        <v>10</v>
      </c>
      <c r="N366" s="28"/>
      <c r="O366" s="98"/>
      <c r="P366" s="100"/>
      <c r="Q366" s="34" t="s">
        <v>1692</v>
      </c>
      <c r="R366" s="31" t="s">
        <v>78</v>
      </c>
      <c r="S366" s="163"/>
      <c r="T366" s="163"/>
      <c r="U366" s="161"/>
      <c r="V366" s="104"/>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spans="1:67" ht="29.25" customHeight="1">
      <c r="A367" s="92" t="s">
        <v>67</v>
      </c>
      <c r="B367" s="105" t="s">
        <v>1693</v>
      </c>
      <c r="C367" s="140" t="s">
        <v>1694</v>
      </c>
      <c r="D367" s="95"/>
      <c r="E367" s="96"/>
      <c r="F367" s="121" t="s">
        <v>76</v>
      </c>
      <c r="G367" s="97">
        <v>100</v>
      </c>
      <c r="H367" s="22">
        <f>IF(OR(J367="",K367="",K367&lt;J367),0,NETWORKDAYS(J367,K367,fESTIVOS!$A$2:$A$53))</f>
        <v>0</v>
      </c>
      <c r="I367" s="98">
        <v>46022</v>
      </c>
      <c r="J367" s="99">
        <v>46022</v>
      </c>
      <c r="K367" s="99"/>
      <c r="L367" s="99">
        <v>46030</v>
      </c>
      <c r="M367" s="27">
        <f ca="1">IF(OR(J367="",AND(L367="",TODAY()&lt;J367),AND(L367&lt;&gt;"",L367&lt;J367)),0,
   IF(L367="",
      NETWORKDAYS(J367,TODAY(),fESTIVOS!$A$2:$A$53),
      NETWORKDAYS(J367,L367,fESTIVOS!$A$2:$A$53)
   )
)</f>
        <v>6</v>
      </c>
      <c r="N367" s="28"/>
      <c r="O367" s="98"/>
      <c r="P367" s="100"/>
      <c r="Q367" s="34" t="s">
        <v>1695</v>
      </c>
      <c r="R367" s="31" t="s">
        <v>78</v>
      </c>
      <c r="S367" s="163"/>
      <c r="T367" s="163"/>
      <c r="U367" s="161"/>
      <c r="V367" s="104"/>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spans="1:67" ht="29.25" customHeight="1">
      <c r="A368" s="92" t="s">
        <v>67</v>
      </c>
      <c r="B368" s="105" t="s">
        <v>1696</v>
      </c>
      <c r="C368" s="140" t="s">
        <v>1697</v>
      </c>
      <c r="D368" s="95" t="s">
        <v>1698</v>
      </c>
      <c r="E368" s="96"/>
      <c r="F368" s="121" t="s">
        <v>76</v>
      </c>
      <c r="G368" s="97">
        <v>100</v>
      </c>
      <c r="H368" s="22">
        <f>IF(OR(J368="",K368="",K368&lt;J368),0,NETWORKDAYS(J368,K368,fESTIVOS!$A$2:$A$53))</f>
        <v>0</v>
      </c>
      <c r="I368" s="98">
        <v>46030</v>
      </c>
      <c r="J368" s="99">
        <v>46030</v>
      </c>
      <c r="K368" s="99"/>
      <c r="L368" s="99">
        <v>46031</v>
      </c>
      <c r="M368" s="27">
        <f ca="1">IF(OR(J368="",AND(L368="",TODAY()&lt;J368),AND(L368&lt;&gt;"",L368&lt;J368)),0,
   IF(L368="",
      NETWORKDAYS(J368,TODAY(),fESTIVOS!$A$2:$A$53),
      NETWORKDAYS(J368,L368,fESTIVOS!$A$2:$A$53)
   )
)</f>
        <v>2</v>
      </c>
      <c r="N368" s="28"/>
      <c r="O368" s="98"/>
      <c r="P368" s="100"/>
      <c r="Q368" s="34" t="s">
        <v>1699</v>
      </c>
      <c r="R368" s="31" t="s">
        <v>78</v>
      </c>
      <c r="S368" s="163"/>
      <c r="T368" s="163"/>
      <c r="U368" s="161"/>
      <c r="V368" s="104"/>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spans="1:67" ht="29.25" customHeight="1">
      <c r="A369" s="92" t="s">
        <v>67</v>
      </c>
      <c r="B369" s="105" t="s">
        <v>1700</v>
      </c>
      <c r="C369" s="140" t="s">
        <v>1701</v>
      </c>
      <c r="D369" s="95"/>
      <c r="E369" s="96"/>
      <c r="F369" s="121" t="s">
        <v>76</v>
      </c>
      <c r="G369" s="97">
        <v>100</v>
      </c>
      <c r="H369" s="22">
        <f>IF(OR(J369="",K369="",K369&lt;J369),0,NETWORKDAYS(J369,K369,fESTIVOS!$A$2:$A$53))</f>
        <v>0</v>
      </c>
      <c r="I369" s="98">
        <v>46031</v>
      </c>
      <c r="J369" s="99">
        <v>46043</v>
      </c>
      <c r="K369" s="99"/>
      <c r="L369" s="99">
        <v>46049</v>
      </c>
      <c r="M369" s="27">
        <f ca="1">IF(OR(J369="",AND(L369="",TODAY()&lt;J369),AND(L369&lt;&gt;"",L369&lt;J369)),0,
   IF(L369="",
      NETWORKDAYS(J369,TODAY(),fESTIVOS!$A$2:$A$53),
      NETWORKDAYS(J369,L369,fESTIVOS!$A$2:$A$53)
   )
)</f>
        <v>5</v>
      </c>
      <c r="N369" s="28"/>
      <c r="O369" s="98"/>
      <c r="P369" s="100"/>
      <c r="Q369" s="34" t="s">
        <v>1702</v>
      </c>
      <c r="R369" s="31" t="s">
        <v>524</v>
      </c>
      <c r="S369" s="163"/>
      <c r="T369" s="163"/>
      <c r="U369" s="161"/>
      <c r="V369" s="104"/>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spans="1:67" ht="29.25" customHeight="1">
      <c r="A370" s="92" t="s">
        <v>67</v>
      </c>
      <c r="B370" s="105" t="s">
        <v>1703</v>
      </c>
      <c r="C370" s="140" t="s">
        <v>1704</v>
      </c>
      <c r="D370" s="95" t="s">
        <v>1705</v>
      </c>
      <c r="E370" s="96"/>
      <c r="F370" s="121" t="s">
        <v>76</v>
      </c>
      <c r="G370" s="97">
        <v>100</v>
      </c>
      <c r="H370" s="22">
        <f>IF(OR(J370="",K370="",K370&lt;J370),0,NETWORKDAYS(J370,K370,fESTIVOS!$A$2:$A$53))</f>
        <v>0</v>
      </c>
      <c r="I370" s="98">
        <v>46041</v>
      </c>
      <c r="J370" s="99">
        <v>46041</v>
      </c>
      <c r="K370" s="99"/>
      <c r="L370" s="99">
        <v>46041</v>
      </c>
      <c r="M370" s="27">
        <f ca="1">IF(OR(J370="",AND(L370="",TODAY()&lt;J370),AND(L370&lt;&gt;"",L370&lt;J370)),0,
   IF(L370="",
      NETWORKDAYS(J370,TODAY(),fESTIVOS!$A$2:$A$53),
      NETWORKDAYS(J370,L370,fESTIVOS!$A$2:$A$53)
   )
)</f>
        <v>1</v>
      </c>
      <c r="N370" s="28"/>
      <c r="O370" s="98"/>
      <c r="P370" s="100"/>
      <c r="Q370" s="34" t="s">
        <v>1706</v>
      </c>
      <c r="R370" s="31" t="s">
        <v>524</v>
      </c>
      <c r="S370" s="163"/>
      <c r="T370" s="163"/>
      <c r="U370" s="161"/>
      <c r="V370" s="104"/>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spans="1:67" ht="29.25" customHeight="1">
      <c r="A371" s="92" t="s">
        <v>67</v>
      </c>
      <c r="B371" s="105" t="s">
        <v>1707</v>
      </c>
      <c r="C371" s="140" t="s">
        <v>1708</v>
      </c>
      <c r="D371" s="95" t="s">
        <v>1709</v>
      </c>
      <c r="E371" s="96"/>
      <c r="F371" s="121" t="s">
        <v>76</v>
      </c>
      <c r="G371" s="97">
        <v>100</v>
      </c>
      <c r="H371" s="22">
        <f>IF(OR(J371="",K371="",K371&lt;J371),0,NETWORKDAYS(J371,K371,fESTIVOS!$A$2:$A$53))</f>
        <v>0</v>
      </c>
      <c r="I371" s="98">
        <v>46036</v>
      </c>
      <c r="J371" s="99">
        <v>46041</v>
      </c>
      <c r="K371" s="99"/>
      <c r="L371" s="99">
        <v>46041</v>
      </c>
      <c r="M371" s="27">
        <f ca="1">IF(OR(J371="",AND(L371="",TODAY()&lt;J371),AND(L371&lt;&gt;"",L371&lt;J371)),0,
   IF(L371="",
      NETWORKDAYS(J371,TODAY(),fESTIVOS!$A$2:$A$53),
      NETWORKDAYS(J371,L371,fESTIVOS!$A$2:$A$53)
   )
)</f>
        <v>1</v>
      </c>
      <c r="N371" s="28"/>
      <c r="O371" s="98"/>
      <c r="P371" s="100"/>
      <c r="Q371" s="34" t="s">
        <v>1710</v>
      </c>
      <c r="R371" s="31" t="s">
        <v>78</v>
      </c>
      <c r="S371" s="163"/>
      <c r="T371" s="163"/>
      <c r="U371" s="161"/>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spans="1:67" ht="29.25" customHeight="1">
      <c r="A372" s="92" t="s">
        <v>67</v>
      </c>
      <c r="B372" s="105" t="s">
        <v>1711</v>
      </c>
      <c r="C372" s="140" t="s">
        <v>1712</v>
      </c>
      <c r="D372" s="95" t="s">
        <v>1713</v>
      </c>
      <c r="E372" s="96"/>
      <c r="F372" s="121" t="s">
        <v>76</v>
      </c>
      <c r="G372" s="97">
        <v>100</v>
      </c>
      <c r="H372" s="22">
        <f>IF(OR(J372="",K372="",K372&lt;J372),0,NETWORKDAYS(J372,K372,fESTIVOS!$A$2:$A$53))</f>
        <v>0</v>
      </c>
      <c r="I372" s="98">
        <v>46035</v>
      </c>
      <c r="J372" s="99">
        <v>46035</v>
      </c>
      <c r="K372" s="99"/>
      <c r="L372" s="99">
        <v>46035</v>
      </c>
      <c r="M372" s="27">
        <f ca="1">IF(OR(J372="",AND(L372="",TODAY()&lt;J372),AND(L372&lt;&gt;"",L372&lt;J372)),0,
   IF(L372="",
      NETWORKDAYS(J372,TODAY(),fESTIVOS!$A$2:$A$53),
      NETWORKDAYS(J372,L372,fESTIVOS!$A$2:$A$53)
   )
)</f>
        <v>1</v>
      </c>
      <c r="N372" s="28"/>
      <c r="O372" s="98">
        <v>46035</v>
      </c>
      <c r="P372" s="100">
        <v>46035</v>
      </c>
      <c r="Q372" s="34" t="s">
        <v>1714</v>
      </c>
      <c r="R372" s="31" t="s">
        <v>78</v>
      </c>
      <c r="S372" s="163"/>
      <c r="T372" s="163"/>
      <c r="U372" s="161"/>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spans="1:67" ht="29.25" customHeight="1"/>
    <row r="374" spans="1:67" ht="29.25" customHeight="1"/>
    <row r="375" spans="1:67" ht="29.25" customHeight="1"/>
    <row r="376" spans="1:67" ht="29.25" customHeight="1"/>
    <row r="377" spans="1:67" ht="29.25" customHeight="1"/>
    <row r="378" spans="1:67" ht="29.25" customHeight="1"/>
    <row r="379" spans="1:67" ht="29.25" customHeight="1"/>
    <row r="380" spans="1:67" ht="29.25" customHeight="1"/>
    <row r="381" spans="1:67" ht="29.25" customHeight="1"/>
    <row r="382" spans="1:67" ht="29.25" customHeight="1"/>
    <row r="383" spans="1:67" ht="29.25" customHeight="1"/>
    <row r="384" spans="1:67"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row r="1055" ht="29.25" customHeight="1"/>
    <row r="1056" ht="29.25" customHeight="1"/>
    <row r="1057" ht="29.25" customHeight="1"/>
    <row r="1058" ht="29.25" customHeight="1"/>
    <row r="1059" ht="29.25" customHeight="1"/>
    <row r="1060" ht="29.25" customHeight="1"/>
    <row r="1061" ht="29.25" customHeight="1"/>
    <row r="1062" ht="29.25" customHeight="1"/>
    <row r="1063" ht="29.25" customHeight="1"/>
    <row r="1064" ht="29.25" customHeight="1"/>
    <row r="1065" ht="29.25" customHeight="1"/>
    <row r="1066" ht="29.25" customHeight="1"/>
    <row r="1067" ht="29.25" customHeight="1"/>
    <row r="1068" ht="29.25" customHeight="1"/>
    <row r="1069" ht="29.25" customHeight="1"/>
    <row r="1070" ht="29.25" customHeight="1"/>
    <row r="1071" ht="29.25" customHeight="1"/>
    <row r="1072" ht="29.25" customHeight="1"/>
    <row r="1073" ht="29.25" customHeight="1"/>
    <row r="1074" ht="29.25" customHeight="1"/>
    <row r="1075" ht="29.25" customHeight="1"/>
    <row r="1076" ht="29.25" customHeight="1"/>
    <row r="1077" ht="29.25" customHeight="1"/>
    <row r="1078" ht="29.25" customHeight="1"/>
    <row r="1079" ht="29.25" customHeight="1"/>
    <row r="1080" ht="29.25" customHeight="1"/>
    <row r="1081" ht="29.25" customHeight="1"/>
    <row r="1082" ht="29.25" customHeight="1"/>
    <row r="1083" ht="29.25" customHeight="1"/>
    <row r="1084" ht="29.25" customHeight="1"/>
    <row r="1085" ht="29.25" customHeight="1"/>
    <row r="1086" ht="29.25" customHeight="1"/>
    <row r="1087" ht="29.25" customHeight="1"/>
    <row r="1088" ht="29.25" customHeight="1"/>
    <row r="1089" ht="29.25" customHeight="1"/>
    <row r="1090" ht="29.25" customHeight="1"/>
    <row r="1091" ht="29.25" customHeight="1"/>
    <row r="1092" ht="29.25" customHeight="1"/>
    <row r="1093" ht="29.25" customHeight="1"/>
    <row r="1094" ht="29.25" customHeight="1"/>
    <row r="1095" ht="29.25" customHeight="1"/>
    <row r="1096" ht="29.25" customHeight="1"/>
    <row r="1097" ht="29.25" customHeight="1"/>
    <row r="1098" ht="29.25" customHeight="1"/>
    <row r="1099" ht="29.25" customHeight="1"/>
    <row r="1100" ht="29.25" customHeight="1"/>
    <row r="1101" ht="29.25" customHeight="1"/>
    <row r="1102" ht="29.25" customHeight="1"/>
    <row r="1103" ht="29.25" customHeight="1"/>
    <row r="1104" ht="29.25" customHeight="1"/>
    <row r="1105" ht="29.25" customHeight="1"/>
    <row r="1106" ht="29.25" customHeight="1"/>
    <row r="1107" ht="29.25" customHeight="1"/>
    <row r="1108" ht="29.25" customHeight="1"/>
    <row r="1109" ht="29.25" customHeight="1"/>
    <row r="1110" ht="29.25" customHeight="1"/>
    <row r="1111" ht="29.25" customHeight="1"/>
    <row r="1112" ht="29.25" customHeight="1"/>
    <row r="1113" ht="29.25" customHeight="1"/>
    <row r="1114" ht="29.25" customHeight="1"/>
    <row r="1115" ht="29.25" customHeight="1"/>
    <row r="1116" ht="29.25" customHeight="1"/>
    <row r="1117" ht="29.25" customHeight="1"/>
    <row r="1118" ht="29.25" customHeight="1"/>
    <row r="1119" ht="29.25" customHeight="1"/>
    <row r="1120" ht="29.25" customHeight="1"/>
    <row r="1121" ht="29.25" customHeight="1"/>
    <row r="1122" ht="29.25" customHeight="1"/>
    <row r="1123" ht="29.25" customHeight="1"/>
    <row r="1124" ht="29.25" customHeight="1"/>
    <row r="1125" ht="29.25" customHeight="1"/>
    <row r="1126" ht="29.25" customHeight="1"/>
    <row r="1127" ht="29.25" customHeight="1"/>
    <row r="1128" ht="29.25" customHeight="1"/>
    <row r="1129" ht="29.25" customHeight="1"/>
    <row r="1130" ht="29.25" customHeight="1"/>
    <row r="1131" ht="29.25" customHeight="1"/>
    <row r="1132" ht="29.25" customHeight="1"/>
    <row r="1133" ht="29.25" customHeight="1"/>
    <row r="1134" ht="29.25" customHeight="1"/>
    <row r="1135" ht="29.25" customHeight="1"/>
    <row r="1136" ht="29.25" customHeight="1"/>
    <row r="1137" ht="29.25" customHeight="1"/>
    <row r="1138" ht="29.25" customHeight="1"/>
    <row r="1139" ht="29.25" customHeight="1"/>
    <row r="1140" ht="29.25" customHeight="1"/>
    <row r="1141" ht="29.25" customHeight="1"/>
    <row r="1142" ht="29.25" customHeight="1"/>
    <row r="1143" ht="29.25" customHeight="1"/>
    <row r="1144" ht="29.25" customHeight="1"/>
    <row r="1145" ht="29.25" customHeight="1"/>
    <row r="1146" ht="29.25" customHeight="1"/>
    <row r="1147" ht="29.25" customHeight="1"/>
    <row r="1148" ht="29.25" customHeight="1"/>
    <row r="1149" ht="29.25" customHeight="1"/>
    <row r="1150" ht="29.25" customHeight="1"/>
    <row r="1151" ht="29.25" customHeight="1"/>
    <row r="1152" ht="29.25" customHeight="1"/>
    <row r="1153" ht="29.25" customHeight="1"/>
    <row r="1154" ht="29.25" customHeight="1"/>
    <row r="1155" ht="29.25" customHeight="1"/>
    <row r="1156" ht="29.25" customHeight="1"/>
    <row r="1157" ht="29.25" customHeight="1"/>
    <row r="1158" ht="29.25" customHeight="1"/>
    <row r="1159" ht="29.25" customHeight="1"/>
    <row r="1160" ht="29.25" customHeight="1"/>
    <row r="1161" ht="29.25" customHeight="1"/>
    <row r="1162" ht="29.25" customHeight="1"/>
    <row r="1163" ht="29.25" customHeight="1"/>
    <row r="1164" ht="29.25" customHeight="1"/>
    <row r="1165" ht="29.25" customHeight="1"/>
    <row r="1166" ht="29.25" customHeight="1"/>
    <row r="1167" ht="29.25" customHeight="1"/>
    <row r="1168" ht="29.25" customHeight="1"/>
    <row r="1169" ht="29.25" customHeight="1"/>
    <row r="1170" ht="29.25" customHeight="1"/>
    <row r="1171" ht="29.25" customHeight="1"/>
    <row r="1172" ht="29.25" customHeight="1"/>
    <row r="1173" ht="29.25" customHeight="1"/>
    <row r="1174" ht="29.25" customHeight="1"/>
    <row r="1175" ht="29.25" customHeight="1"/>
    <row r="1176" ht="29.25" customHeight="1"/>
    <row r="1177" ht="29.25" customHeight="1"/>
  </sheetData>
  <conditionalFormatting sqref="B2:B372">
    <cfRule type="expression" dxfId="0" priority="2">
      <formula>COUNTIF($B$2:$B$372,B2)&gt;1</formula>
    </cfRule>
  </conditionalFormatting>
  <dataValidations count="7">
    <dataValidation type="list" allowBlank="1" sqref="N2:N372">
      <formula1>"27/1/2026,5/2/2026,03/02/2026"</formula1>
    </dataValidation>
    <dataValidation type="list" allowBlank="1" sqref="F2:F37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372 O2:P372">
      <formula1>OR(NOT(ISERROR(DATEVALUE(I2))), AND(ISNUMBER(I2), LEFT(CELL("format", I2))="D"))</formula1>
    </dataValidation>
    <dataValidation type="list" allowBlank="1" sqref="U2:U372">
      <formula1>"Opción 1,Opción 2"</formula1>
    </dataValidation>
    <dataValidation type="custom" allowBlank="1" showDropDown="1" sqref="H2:H372 M2:M372">
      <formula1>AND(ISNUMBER(H2),(NOT(OR(NOT(ISERROR(DATEVALUE(H2))), AND(ISNUMBER(H2), LEFT(CELL("format", H2))="D")))))</formula1>
    </dataValidation>
    <dataValidation allowBlank="1" showDropDown="1" sqref="R2:R372"/>
    <dataValidation type="list" allowBlank="1" showDropDown="1" sqref="B2:B372">
      <formula1>"iNTERNO"</formula1>
    </dataValidation>
  </dataValidations>
  <hyperlinks>
    <hyperlink ref="V14" r:id="rId1"/>
    <hyperlink ref="B24" r:id="rId2"/>
    <hyperlink ref="V85" r:id="rId3"/>
    <hyperlink ref="V88" r:id="rId4"/>
    <hyperlink ref="V90" r:id="rId5"/>
    <hyperlink ref="V93" r:id="rId6"/>
    <hyperlink ref="V98" r:id="rId7"/>
    <hyperlink ref="V109" r:id="rId8"/>
    <hyperlink ref="Q181" r:id="rId9"/>
    <hyperlink ref="Q207" r:id="rId10"/>
    <hyperlink ref="D231" r:id="rId11"/>
    <hyperlink ref="V255" r:id="rId12"/>
    <hyperlink ref="V297" r:id="rId13"/>
    <hyperlink ref="D311" r:id="rId14"/>
  </hyperlinks>
  <pageMargins left="0.7" right="0.7" top="0.75" bottom="0.75" header="0" footer="0"/>
  <pageSetup orientation="portrait"/>
  <legacyDrawing r:id="rId15"/>
  <tableParts count="1">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66"/>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1715</v>
      </c>
      <c r="C1" s="3" t="s">
        <v>2</v>
      </c>
      <c r="D1" s="226" t="s">
        <v>1716</v>
      </c>
      <c r="E1" s="227" t="s">
        <v>1717</v>
      </c>
      <c r="F1" s="228" t="s">
        <v>5</v>
      </c>
      <c r="G1" s="7" t="s">
        <v>1718</v>
      </c>
      <c r="H1" s="8" t="s">
        <v>7</v>
      </c>
      <c r="I1" s="9" t="s">
        <v>8</v>
      </c>
      <c r="J1" s="9" t="s">
        <v>9</v>
      </c>
      <c r="K1" s="10" t="s">
        <v>10</v>
      </c>
      <c r="L1" s="10" t="s">
        <v>11</v>
      </c>
      <c r="M1" s="10" t="s">
        <v>12</v>
      </c>
      <c r="N1" s="229" t="s">
        <v>13</v>
      </c>
      <c r="O1" s="9" t="s">
        <v>14</v>
      </c>
      <c r="P1" s="9" t="s">
        <v>15</v>
      </c>
      <c r="Q1" s="12" t="s">
        <v>16</v>
      </c>
      <c r="R1" s="227" t="s">
        <v>1719</v>
      </c>
      <c r="S1" s="230" t="s">
        <v>1720</v>
      </c>
    </row>
    <row r="2" spans="1:19" ht="75.75" customHeight="1">
      <c r="A2" s="16" t="s">
        <v>1721</v>
      </c>
      <c r="B2" s="231" t="s">
        <v>1722</v>
      </c>
      <c r="C2" s="18" t="s">
        <v>1723</v>
      </c>
      <c r="D2" s="232"/>
      <c r="E2" s="233" t="s">
        <v>1724</v>
      </c>
      <c r="F2" s="20" t="s">
        <v>76</v>
      </c>
      <c r="G2" s="21">
        <v>100</v>
      </c>
      <c r="H2" s="234">
        <f>IF(OR(J2="",K2="",K2&lt;J2),0,NETWORKDAYS(J2,K2,fESTIVOS!$A$2:$A$53))</f>
        <v>90</v>
      </c>
      <c r="I2" s="235"/>
      <c r="J2" s="26">
        <v>45691</v>
      </c>
      <c r="K2" s="25">
        <v>45821</v>
      </c>
      <c r="L2" s="26">
        <v>45824</v>
      </c>
      <c r="M2" s="39">
        <f ca="1">IF(OR(J2="",AND(L2="",TODAY()&lt;J2),AND(L2&lt;&gt;"",L2&lt;J2)),0,
   IF(L2="",
      NETWORKDAYS(J2,TODAY(),fESTIVOS!$A$2:$A$53),
      NETWORKDAYS(J2,L2,fESTIVOS!$A$2:$A$53)
   )
)</f>
        <v>91</v>
      </c>
      <c r="N2" s="23"/>
      <c r="O2" s="23"/>
      <c r="P2" s="236">
        <v>45843</v>
      </c>
      <c r="Q2" s="237" t="s">
        <v>1725</v>
      </c>
      <c r="R2" s="238" t="s">
        <v>78</v>
      </c>
      <c r="S2" s="34"/>
    </row>
    <row r="3" spans="1:19" ht="75.75" customHeight="1">
      <c r="A3" s="16" t="s">
        <v>1721</v>
      </c>
      <c r="B3" s="231" t="s">
        <v>1726</v>
      </c>
      <c r="C3" s="18" t="s">
        <v>1727</v>
      </c>
      <c r="D3" s="232"/>
      <c r="E3" s="233" t="s">
        <v>1724</v>
      </c>
      <c r="F3" s="20" t="s">
        <v>76</v>
      </c>
      <c r="G3" s="21">
        <v>100</v>
      </c>
      <c r="H3" s="234">
        <f>IF(OR(J3="",K3="",K3&lt;J3),0,NETWORKDAYS(J3,K3,fESTIVOS!$A$2:$A$53))</f>
        <v>3</v>
      </c>
      <c r="I3" s="175">
        <v>45824</v>
      </c>
      <c r="J3" s="26">
        <v>45824</v>
      </c>
      <c r="K3" s="25">
        <v>45826</v>
      </c>
      <c r="L3" s="26">
        <v>45827</v>
      </c>
      <c r="M3" s="39">
        <f ca="1">IF(OR(J3="",AND(L3="",TODAY()&lt;J3),AND(L3&lt;&gt;"",L3&lt;J3)),0,
   IF(L3="",
      NETWORKDAYS(J3,TODAY(),fESTIVOS!$A$2:$A$53),
      NETWORKDAYS(J3,L3,fESTIVOS!$A$2:$A$53)
   )
)</f>
        <v>4</v>
      </c>
      <c r="N3" s="23"/>
      <c r="O3" s="23"/>
      <c r="P3" s="236">
        <v>45843</v>
      </c>
      <c r="Q3" s="86" t="s">
        <v>1728</v>
      </c>
      <c r="R3" s="238" t="s">
        <v>78</v>
      </c>
      <c r="S3" s="34"/>
    </row>
    <row r="4" spans="1:19" ht="154.5" customHeight="1">
      <c r="A4" s="16" t="s">
        <v>1721</v>
      </c>
      <c r="B4" s="231" t="s">
        <v>1729</v>
      </c>
      <c r="C4" s="239" t="s">
        <v>1730</v>
      </c>
      <c r="D4" s="240"/>
      <c r="E4" s="233" t="s">
        <v>1724</v>
      </c>
      <c r="F4" s="241" t="s">
        <v>76</v>
      </c>
      <c r="G4" s="21">
        <v>100</v>
      </c>
      <c r="H4" s="234">
        <f>IF(OR(J4="",K4="",K4&lt;J4),0,NETWORKDAYS(J4,K4,fESTIVOS!$A$2:$A$53))</f>
        <v>4</v>
      </c>
      <c r="I4" s="23"/>
      <c r="J4" s="26">
        <v>45827</v>
      </c>
      <c r="K4" s="25">
        <v>45833</v>
      </c>
      <c r="L4" s="26">
        <v>45841</v>
      </c>
      <c r="M4" s="39">
        <f ca="1">IF(OR(J4="",AND(L4="",TODAY()&lt;J4),AND(L4&lt;&gt;"",L4&lt;J4)),0,
   IF(L4="",
      NETWORKDAYS(J4,TODAY(),fESTIVOS!$A$2:$A$53),
      NETWORKDAYS(J4,L4,fESTIVOS!$A$2:$A$53)
   )
)</f>
        <v>9</v>
      </c>
      <c r="N4" s="23"/>
      <c r="O4" s="23"/>
      <c r="P4" s="236">
        <v>45843</v>
      </c>
      <c r="Q4" s="38" t="s">
        <v>1731</v>
      </c>
      <c r="R4" s="238" t="s">
        <v>78</v>
      </c>
      <c r="S4" s="41" t="s">
        <v>1732</v>
      </c>
    </row>
    <row r="5" spans="1:19" ht="29.25" customHeight="1">
      <c r="A5" s="16" t="s">
        <v>1721</v>
      </c>
      <c r="B5" s="231" t="s">
        <v>1733</v>
      </c>
      <c r="C5" s="199" t="s">
        <v>1734</v>
      </c>
      <c r="D5" s="232"/>
      <c r="E5" s="233" t="s">
        <v>1724</v>
      </c>
      <c r="F5" s="20" t="s">
        <v>76</v>
      </c>
      <c r="G5" s="21">
        <v>100</v>
      </c>
      <c r="H5" s="234">
        <f>IF(OR(J5="",K5="",K5&lt;J5),0,NETWORKDAYS(J5,K5,fESTIVOS!$A$2:$A$53))</f>
        <v>3</v>
      </c>
      <c r="I5" s="46">
        <v>45817</v>
      </c>
      <c r="J5" s="26">
        <v>45817</v>
      </c>
      <c r="K5" s="25">
        <v>45819</v>
      </c>
      <c r="L5" s="45">
        <v>45820</v>
      </c>
      <c r="M5" s="39">
        <f ca="1">IF(OR(J5="",AND(L5="",TODAY()&lt;J5),AND(L5&lt;&gt;"",L5&lt;J5)),0,
   IF(L5="",
      NETWORKDAYS(J5,TODAY(),fESTIVOS!$A$2:$A$53),
      NETWORKDAYS(J5,L5,fESTIVOS!$A$2:$A$53)
   )
)</f>
        <v>4</v>
      </c>
      <c r="N5" s="23"/>
      <c r="O5" s="23"/>
      <c r="P5" s="236">
        <v>45843</v>
      </c>
      <c r="Q5" s="38" t="s">
        <v>1735</v>
      </c>
      <c r="R5" s="238" t="s">
        <v>78</v>
      </c>
      <c r="S5" s="41" t="s">
        <v>1732</v>
      </c>
    </row>
    <row r="6" spans="1:19" ht="29.25" customHeight="1">
      <c r="A6" s="16" t="s">
        <v>1721</v>
      </c>
      <c r="B6" s="231" t="s">
        <v>1736</v>
      </c>
      <c r="C6" s="199" t="s">
        <v>1737</v>
      </c>
      <c r="D6" s="232"/>
      <c r="E6" s="233" t="s">
        <v>1724</v>
      </c>
      <c r="F6" s="20" t="s">
        <v>76</v>
      </c>
      <c r="G6" s="21">
        <v>100</v>
      </c>
      <c r="H6" s="234">
        <f>IF(OR(J6="",K6="",K6&lt;J6),0,NETWORKDAYS(J6,K6,fESTIVOS!$A$2:$A$53))</f>
        <v>2</v>
      </c>
      <c r="I6" s="46">
        <v>45817</v>
      </c>
      <c r="J6" s="26">
        <v>45841</v>
      </c>
      <c r="K6" s="25">
        <v>45842</v>
      </c>
      <c r="L6" s="26">
        <v>45842</v>
      </c>
      <c r="M6" s="39">
        <f ca="1">IF(OR(J6="",AND(L6="",TODAY()&lt;J6),AND(L6&lt;&gt;"",L6&lt;J6)),0,
   IF(L6="",
      NETWORKDAYS(J6,TODAY(),fESTIVOS!$A$2:$A$53),
      NETWORKDAYS(J6,L6,fESTIVOS!$A$2:$A$53)
   )
)</f>
        <v>2</v>
      </c>
      <c r="N6" s="23"/>
      <c r="O6" s="23"/>
      <c r="P6" s="236">
        <v>45852</v>
      </c>
      <c r="Q6" s="30" t="s">
        <v>1738</v>
      </c>
      <c r="R6" s="238" t="s">
        <v>78</v>
      </c>
      <c r="S6" s="34" t="s">
        <v>1739</v>
      </c>
    </row>
    <row r="7" spans="1:19" ht="29.25" customHeight="1">
      <c r="A7" s="16" t="s">
        <v>1721</v>
      </c>
      <c r="B7" s="242" t="s">
        <v>1740</v>
      </c>
      <c r="C7" s="243" t="s">
        <v>1741</v>
      </c>
      <c r="D7" s="232"/>
      <c r="E7" s="233" t="s">
        <v>1742</v>
      </c>
      <c r="F7" s="20" t="s">
        <v>76</v>
      </c>
      <c r="G7" s="21">
        <v>100</v>
      </c>
      <c r="H7" s="234">
        <f>IF(OR(J7="",K7="",K7&lt;J7),0,NETWORKDAYS(J7,K7,fESTIVOS!$A$2:$A$53))</f>
        <v>0</v>
      </c>
      <c r="I7" s="46">
        <v>45817</v>
      </c>
      <c r="J7" s="244">
        <v>45845</v>
      </c>
      <c r="K7" s="25"/>
      <c r="L7" s="26">
        <v>45847</v>
      </c>
      <c r="M7" s="39">
        <f ca="1">IF(OR(J7="",AND(L7="",TODAY()&lt;J7),AND(L7&lt;&gt;"",L7&lt;J7)),0,
   IF(L7="",
      NETWORKDAYS(J7,TODAY(),fESTIVOS!$A$2:$A$53),
      NETWORKDAYS(J7,L7,fESTIVOS!$A$2:$A$53)
   )
)</f>
        <v>3</v>
      </c>
      <c r="N7" s="23"/>
      <c r="O7" s="23"/>
      <c r="P7" s="236">
        <v>45852</v>
      </c>
      <c r="Q7" s="30" t="s">
        <v>1743</v>
      </c>
      <c r="R7" s="238" t="s">
        <v>78</v>
      </c>
      <c r="S7" s="41" t="s">
        <v>1744</v>
      </c>
    </row>
    <row r="8" spans="1:19" ht="29.25" customHeight="1">
      <c r="A8" s="16" t="s">
        <v>1721</v>
      </c>
      <c r="B8" s="245" t="s">
        <v>1745</v>
      </c>
      <c r="C8" s="246" t="s">
        <v>1746</v>
      </c>
      <c r="D8" s="232"/>
      <c r="E8" s="247" t="s">
        <v>1742</v>
      </c>
      <c r="F8" s="20" t="s">
        <v>76</v>
      </c>
      <c r="G8" s="58">
        <v>100</v>
      </c>
      <c r="H8" s="234">
        <f>IF(OR(J8="",K8="",K8&lt;J8),0,NETWORKDAYS(J8,K8,fESTIVOS!$A$2:$A$53))</f>
        <v>0</v>
      </c>
      <c r="I8" s="81">
        <v>45834</v>
      </c>
      <c r="J8" s="25">
        <v>45848</v>
      </c>
      <c r="K8" s="248"/>
      <c r="L8" s="25">
        <v>45822</v>
      </c>
      <c r="M8" s="39">
        <f ca="1">IF(OR(J8="",AND(L8="",TODAY()&lt;J8),AND(L8&lt;&gt;"",L8&lt;J8)),0,
   IF(L8="",
      NETWORKDAYS(J8,TODAY(),fESTIVOS!$A$2:$A$53),
      NETWORKDAYS(J8,L8,fESTIVOS!$A$2:$A$53)
   )
)</f>
        <v>0</v>
      </c>
      <c r="N8" s="249"/>
      <c r="O8" s="249"/>
      <c r="P8" s="236">
        <v>45852</v>
      </c>
      <c r="Q8" s="250" t="s">
        <v>1747</v>
      </c>
      <c r="R8" s="238" t="s">
        <v>78</v>
      </c>
      <c r="S8" s="49" t="s">
        <v>1748</v>
      </c>
    </row>
    <row r="9" spans="1:19" ht="29.25" customHeight="1">
      <c r="A9" s="16" t="s">
        <v>1721</v>
      </c>
      <c r="B9" s="245" t="s">
        <v>1749</v>
      </c>
      <c r="C9" s="246" t="s">
        <v>1750</v>
      </c>
      <c r="D9" s="232"/>
      <c r="E9" s="247" t="s">
        <v>1742</v>
      </c>
      <c r="F9" s="20" t="s">
        <v>76</v>
      </c>
      <c r="G9" s="58">
        <v>100</v>
      </c>
      <c r="H9" s="234">
        <f>IF(OR(J9="",K9="",K9&lt;J9),0,NETWORKDAYS(J9,K9,fESTIVOS!$A$2:$A$53))</f>
        <v>0</v>
      </c>
      <c r="I9" s="81">
        <v>45834</v>
      </c>
      <c r="J9" s="25">
        <v>45848</v>
      </c>
      <c r="K9" s="52"/>
      <c r="L9" s="25">
        <v>45848</v>
      </c>
      <c r="M9" s="39">
        <f ca="1">IF(OR(J9="",AND(L9="",TODAY()&lt;J9),AND(L9&lt;&gt;"",L9&lt;J9)),0,
   IF(L9="",
      NETWORKDAYS(J9,TODAY(),fESTIVOS!$A$2:$A$53),
      NETWORKDAYS(J9,L9,fESTIVOS!$A$2:$A$53)
   )
)</f>
        <v>1</v>
      </c>
      <c r="N9" s="249"/>
      <c r="O9" s="249"/>
      <c r="P9" s="29"/>
      <c r="Q9" s="250" t="s">
        <v>1751</v>
      </c>
      <c r="R9" s="238" t="s">
        <v>78</v>
      </c>
      <c r="S9" s="49" t="s">
        <v>1752</v>
      </c>
    </row>
    <row r="10" spans="1:19" ht="29.25" customHeight="1">
      <c r="A10" s="16" t="s">
        <v>1721</v>
      </c>
      <c r="B10" s="245" t="s">
        <v>1753</v>
      </c>
      <c r="C10" s="150" t="s">
        <v>1754</v>
      </c>
      <c r="D10" s="232"/>
      <c r="E10" s="247" t="s">
        <v>1742</v>
      </c>
      <c r="F10" s="20" t="s">
        <v>76</v>
      </c>
      <c r="G10" s="58">
        <v>100</v>
      </c>
      <c r="H10" s="234">
        <f>IF(OR(J10="",K10="",K10&lt;J10),0,NETWORKDAYS(J10,K10,fESTIVOS!$A$2:$A$53))</f>
        <v>0</v>
      </c>
      <c r="I10" s="81">
        <v>45834</v>
      </c>
      <c r="J10" s="25">
        <v>45854</v>
      </c>
      <c r="K10" s="68"/>
      <c r="L10" s="25">
        <v>45855</v>
      </c>
      <c r="M10" s="39">
        <f ca="1">IF(OR(J10="",AND(L10="",TODAY()&lt;J10),AND(L10&lt;&gt;"",L10&lt;J10)),0,
   IF(L10="",
      NETWORKDAYS(J10,TODAY(),fESTIVOS!$A$2:$A$53),
      NETWORKDAYS(J10,L10,fESTIVOS!$A$2:$A$53)
   )
)</f>
        <v>2</v>
      </c>
      <c r="N10" s="249"/>
      <c r="O10" s="249"/>
      <c r="P10" s="236">
        <v>45855</v>
      </c>
      <c r="Q10" s="250" t="s">
        <v>1755</v>
      </c>
      <c r="R10" s="238" t="s">
        <v>78</v>
      </c>
      <c r="S10" s="49" t="s">
        <v>1756</v>
      </c>
    </row>
    <row r="11" spans="1:19" ht="29.25" customHeight="1">
      <c r="A11" s="16" t="s">
        <v>1721</v>
      </c>
      <c r="B11" s="245" t="s">
        <v>1757</v>
      </c>
      <c r="C11" s="150" t="s">
        <v>1758</v>
      </c>
      <c r="D11" s="232"/>
      <c r="E11" s="247" t="s">
        <v>1742</v>
      </c>
      <c r="F11" s="20" t="s">
        <v>76</v>
      </c>
      <c r="G11" s="58">
        <v>100</v>
      </c>
      <c r="H11" s="234">
        <f>IF(OR(J11="",K11="",K11&lt;J11),0,NETWORKDAYS(J11,K11,fESTIVOS!$A$2:$A$53))</f>
        <v>0</v>
      </c>
      <c r="I11" s="81">
        <v>45834</v>
      </c>
      <c r="J11" s="25">
        <v>45848</v>
      </c>
      <c r="K11" s="68"/>
      <c r="L11" s="25">
        <v>45818</v>
      </c>
      <c r="M11" s="39">
        <f ca="1">IF(OR(J11="",AND(L11="",TODAY()&lt;J11),AND(L11&lt;&gt;"",L11&lt;J11)),0,
   IF(L11="",
      NETWORKDAYS(J11,TODAY(),fESTIVOS!$A$2:$A$53),
      NETWORKDAYS(J11,L11,fESTIVOS!$A$2:$A$53)
   )
)</f>
        <v>0</v>
      </c>
      <c r="N11" s="249"/>
      <c r="O11" s="249"/>
      <c r="P11" s="236">
        <v>45852</v>
      </c>
      <c r="Q11" s="250" t="s">
        <v>1759</v>
      </c>
      <c r="R11" s="238" t="s">
        <v>78</v>
      </c>
      <c r="S11" s="49" t="s">
        <v>1760</v>
      </c>
    </row>
    <row r="12" spans="1:19" ht="29.25" customHeight="1">
      <c r="A12" s="16" t="s">
        <v>1721</v>
      </c>
      <c r="B12" s="245" t="s">
        <v>1761</v>
      </c>
      <c r="C12" s="251" t="s">
        <v>1762</v>
      </c>
      <c r="D12" s="252"/>
      <c r="E12" s="253" t="s">
        <v>1742</v>
      </c>
      <c r="F12" s="116" t="s">
        <v>76</v>
      </c>
      <c r="G12" s="58">
        <v>100</v>
      </c>
      <c r="H12" s="234">
        <f>IF(OR(J12="",K12="",K12&lt;J12),0,NETWORKDAYS(J12,K12,fESTIVOS!$A$2:$A$53))</f>
        <v>0</v>
      </c>
      <c r="I12" s="81">
        <v>45853</v>
      </c>
      <c r="J12" s="25">
        <v>45853</v>
      </c>
      <c r="K12" s="68"/>
      <c r="L12" s="25">
        <v>45854</v>
      </c>
      <c r="M12" s="39">
        <f ca="1">IF(OR(J12="",AND(L12="",TODAY()&lt;J12),AND(L12&lt;&gt;"",L12&lt;J12)),0,
   IF(L12="",
      NETWORKDAYS(J12,TODAY(),fESTIVOS!$A$2:$A$53),
      NETWORKDAYS(J12,L12,fESTIVOS!$A$2:$A$53)
   )
)</f>
        <v>2</v>
      </c>
      <c r="N12" s="249"/>
      <c r="O12" s="249"/>
      <c r="P12" s="29"/>
      <c r="Q12" s="250" t="s">
        <v>1763</v>
      </c>
      <c r="R12" s="238" t="s">
        <v>78</v>
      </c>
      <c r="S12" s="254"/>
    </row>
    <row r="13" spans="1:19" ht="39" customHeight="1">
      <c r="A13" s="16" t="s">
        <v>1721</v>
      </c>
      <c r="B13" s="231" t="s">
        <v>1764</v>
      </c>
      <c r="C13" s="255" t="s">
        <v>1765</v>
      </c>
      <c r="D13" s="240"/>
      <c r="E13" s="233" t="s">
        <v>1724</v>
      </c>
      <c r="F13" s="20" t="s">
        <v>76</v>
      </c>
      <c r="G13" s="58">
        <v>100</v>
      </c>
      <c r="H13" s="234">
        <f>IF(OR(J13="",K13="",K13&lt;J13),0,NETWORKDAYS(J13,K13,fESTIVOS!$A$2:$A$53))</f>
        <v>2</v>
      </c>
      <c r="I13" s="81">
        <v>45855</v>
      </c>
      <c r="J13" s="60">
        <v>45855</v>
      </c>
      <c r="K13" s="60">
        <v>45857</v>
      </c>
      <c r="L13" s="60">
        <v>45862</v>
      </c>
      <c r="M13" s="39">
        <f ca="1">IF(OR(J13="",AND(L13="",TODAY()&lt;J13),AND(L13&lt;&gt;"",L13&lt;J13)),0,
   IF(L13="",
      NETWORKDAYS(J13,TODAY(),fESTIVOS!$A$2:$A$53),
      NETWORKDAYS(J13,L13,fESTIVOS!$A$2:$A$53)
   )
)</f>
        <v>6</v>
      </c>
      <c r="N13" s="59"/>
      <c r="O13" s="59"/>
      <c r="P13" s="69"/>
      <c r="Q13" s="62" t="s">
        <v>1766</v>
      </c>
      <c r="R13" s="238" t="s">
        <v>78</v>
      </c>
      <c r="S13" s="64" t="s">
        <v>1767</v>
      </c>
    </row>
    <row r="14" spans="1:19" ht="29.25" customHeight="1">
      <c r="A14" s="16" t="s">
        <v>1768</v>
      </c>
      <c r="B14" s="231" t="s">
        <v>1769</v>
      </c>
      <c r="C14" s="199" t="s">
        <v>1770</v>
      </c>
      <c r="D14" s="232"/>
      <c r="E14" s="233" t="s">
        <v>1724</v>
      </c>
      <c r="F14" s="20" t="s">
        <v>76</v>
      </c>
      <c r="G14" s="58">
        <v>100</v>
      </c>
      <c r="H14" s="234">
        <f>IF(OR(J14="",K14="",K14&lt;J14),0,NETWORKDAYS(J14,K14,fESTIVOS!$A$2:$A$53))</f>
        <v>26</v>
      </c>
      <c r="I14" s="59"/>
      <c r="J14" s="60">
        <v>45859</v>
      </c>
      <c r="K14" s="26">
        <v>45896</v>
      </c>
      <c r="L14" s="26">
        <v>45944</v>
      </c>
      <c r="M14" s="39">
        <f ca="1">IF(OR(J14="",AND(L14="",TODAY()&lt;J14),AND(L14&lt;&gt;"",L14&lt;J14)),0,
   IF(L14="",
      NETWORKDAYS(J14,TODAY(),fESTIVOS!$A$2:$A$53),
      NETWORKDAYS(J14,L14,fESTIVOS!$A$2:$A$53)
   )
)</f>
        <v>59</v>
      </c>
      <c r="N14" s="59"/>
      <c r="O14" s="59"/>
      <c r="P14" s="69"/>
      <c r="Q14" s="256" t="s">
        <v>1771</v>
      </c>
      <c r="R14" s="238" t="s">
        <v>78</v>
      </c>
      <c r="S14" s="257" t="s">
        <v>1772</v>
      </c>
    </row>
    <row r="15" spans="1:19" ht="29.25" customHeight="1">
      <c r="A15" s="16" t="s">
        <v>1721</v>
      </c>
      <c r="B15" s="231" t="s">
        <v>1773</v>
      </c>
      <c r="C15" s="199" t="s">
        <v>1774</v>
      </c>
      <c r="D15" s="232"/>
      <c r="E15" s="233" t="s">
        <v>1724</v>
      </c>
      <c r="F15" s="20" t="s">
        <v>76</v>
      </c>
      <c r="G15" s="58">
        <v>100</v>
      </c>
      <c r="H15" s="234">
        <f>IF(OR(J15="",K15="",K15&lt;J15),0,NETWORKDAYS(J15,K15,fESTIVOS!$A$2:$A$53))</f>
        <v>4</v>
      </c>
      <c r="I15" s="81">
        <v>45940</v>
      </c>
      <c r="J15" s="60">
        <v>45940</v>
      </c>
      <c r="K15" s="26">
        <v>45946</v>
      </c>
      <c r="L15" s="26">
        <v>45951</v>
      </c>
      <c r="M15" s="39">
        <f ca="1">IF(OR(J15="",AND(L15="",TODAY()&lt;J15),AND(L15&lt;&gt;"",L15&lt;J15)),0,
   IF(L15="",
      NETWORKDAYS(J15,TODAY(),fESTIVOS!$A$2:$A$53),
      NETWORKDAYS(J15,L15,fESTIVOS!$A$2:$A$53)
   )
)</f>
        <v>7</v>
      </c>
      <c r="N15" s="59"/>
      <c r="O15" s="59"/>
      <c r="P15" s="69"/>
      <c r="Q15" s="256" t="s">
        <v>1775</v>
      </c>
      <c r="R15" s="238" t="s">
        <v>78</v>
      </c>
      <c r="S15" s="257"/>
    </row>
    <row r="16" spans="1:19" ht="29.25" customHeight="1">
      <c r="A16" s="16" t="s">
        <v>1721</v>
      </c>
      <c r="B16" s="231" t="s">
        <v>1776</v>
      </c>
      <c r="C16" s="255" t="s">
        <v>1777</v>
      </c>
      <c r="D16" s="232"/>
      <c r="E16" s="258" t="s">
        <v>1724</v>
      </c>
      <c r="F16" s="20" t="s">
        <v>76</v>
      </c>
      <c r="G16" s="58">
        <v>100</v>
      </c>
      <c r="H16" s="234">
        <f>IF(OR(J16="",K16="",K16&lt;J16),0,NETWORKDAYS(J16,K16,fESTIVOS!$A$2:$A$53))</f>
        <v>0</v>
      </c>
      <c r="I16" s="81">
        <v>45855</v>
      </c>
      <c r="J16" s="60">
        <v>45855</v>
      </c>
      <c r="K16" s="24"/>
      <c r="L16" s="26">
        <v>45860</v>
      </c>
      <c r="M16" s="39">
        <f ca="1">IF(OR(J16="",AND(L16="",TODAY()&lt;J16),AND(L16&lt;&gt;"",L16&lt;J16)),0,
   IF(L16="",
      NETWORKDAYS(J16,TODAY(),fESTIVOS!$A$2:$A$53),
      NETWORKDAYS(J16,L16,fESTIVOS!$A$2:$A$53)
   )
)</f>
        <v>4</v>
      </c>
      <c r="N16" s="59"/>
      <c r="O16" s="59"/>
      <c r="P16" s="61">
        <v>45885</v>
      </c>
      <c r="Q16" s="77" t="s">
        <v>1778</v>
      </c>
      <c r="R16" s="238" t="s">
        <v>78</v>
      </c>
      <c r="S16" s="259"/>
    </row>
    <row r="17" spans="1:19" ht="29.25" customHeight="1">
      <c r="A17" s="260" t="s">
        <v>1779</v>
      </c>
      <c r="B17" s="231" t="s">
        <v>1780</v>
      </c>
      <c r="C17" s="255" t="s">
        <v>1781</v>
      </c>
      <c r="D17" s="232"/>
      <c r="E17" s="261" t="s">
        <v>1724</v>
      </c>
      <c r="F17" s="20" t="s">
        <v>76</v>
      </c>
      <c r="G17" s="58">
        <v>100</v>
      </c>
      <c r="H17" s="234">
        <f>IF(OR(J17="",K17="",K17&lt;J17),0,NETWORKDAYS(J17,K17,fESTIVOS!$A$2:$A$53))</f>
        <v>1</v>
      </c>
      <c r="I17" s="81">
        <v>45863</v>
      </c>
      <c r="J17" s="60">
        <v>45863</v>
      </c>
      <c r="K17" s="26">
        <v>45863</v>
      </c>
      <c r="L17" s="60">
        <v>45885</v>
      </c>
      <c r="M17" s="39">
        <f ca="1">IF(OR(J17="",AND(L17="",TODAY()&lt;J17),AND(L17&lt;&gt;"",L17&lt;J17)),0,
   IF(L17="",
      NETWORKDAYS(J17,TODAY(),fESTIVOS!$A$2:$A$53),
      NETWORKDAYS(J17,L17,fESTIVOS!$A$2:$A$53)
   )
)</f>
        <v>15</v>
      </c>
      <c r="N17" s="81"/>
      <c r="O17" s="81"/>
      <c r="P17" s="69"/>
      <c r="Q17" s="77" t="s">
        <v>1782</v>
      </c>
      <c r="R17" s="238" t="s">
        <v>78</v>
      </c>
      <c r="S17" s="78"/>
    </row>
    <row r="18" spans="1:19" ht="29.25" customHeight="1">
      <c r="A18" s="16" t="s">
        <v>1721</v>
      </c>
      <c r="B18" s="231" t="s">
        <v>1783</v>
      </c>
      <c r="C18" s="255" t="s">
        <v>1784</v>
      </c>
      <c r="D18" s="262"/>
      <c r="E18" s="261" t="s">
        <v>1724</v>
      </c>
      <c r="F18" s="85" t="s">
        <v>76</v>
      </c>
      <c r="G18" s="58">
        <v>100</v>
      </c>
      <c r="H18" s="234">
        <f>IF(OR(J18="",K18="",K18&lt;J18),0,NETWORKDAYS(J18,K18,fESTIVOS!$A$2:$A$53))</f>
        <v>2</v>
      </c>
      <c r="I18" s="81">
        <v>45863</v>
      </c>
      <c r="J18" s="60">
        <v>45866</v>
      </c>
      <c r="K18" s="60">
        <v>45867</v>
      </c>
      <c r="L18" s="60">
        <v>45870</v>
      </c>
      <c r="M18" s="39">
        <f ca="1">IF(OR(J18="",AND(L18="",TODAY()&lt;J18),AND(L18&lt;&gt;"",L18&lt;J18)),0,
   IF(L18="",
      NETWORKDAYS(J18,TODAY(),fESTIVOS!$A$2:$A$53),
      NETWORKDAYS(J18,L18,fESTIVOS!$A$2:$A$53)
   )
)</f>
        <v>5</v>
      </c>
      <c r="N18" s="81"/>
      <c r="O18" s="81"/>
      <c r="P18" s="61">
        <v>45885</v>
      </c>
      <c r="Q18" s="86" t="s">
        <v>1785</v>
      </c>
      <c r="R18" s="238" t="s">
        <v>78</v>
      </c>
      <c r="S18" s="87"/>
    </row>
    <row r="19" spans="1:19" ht="29.25" customHeight="1">
      <c r="A19" s="16" t="s">
        <v>1721</v>
      </c>
      <c r="B19" s="231" t="s">
        <v>1786</v>
      </c>
      <c r="C19" s="255" t="s">
        <v>1787</v>
      </c>
      <c r="D19" s="252"/>
      <c r="E19" s="261" t="s">
        <v>1788</v>
      </c>
      <c r="F19" s="116" t="s">
        <v>76</v>
      </c>
      <c r="G19" s="58">
        <v>100</v>
      </c>
      <c r="H19" s="234">
        <f>IF(OR(J19="",K19="",K19&lt;J19),0,NETWORKDAYS(J19,K19,fESTIVOS!$A$2:$A$53))</f>
        <v>1</v>
      </c>
      <c r="I19" s="81">
        <v>45870</v>
      </c>
      <c r="J19" s="60">
        <v>45870</v>
      </c>
      <c r="K19" s="60">
        <v>45870</v>
      </c>
      <c r="L19" s="60">
        <v>45877</v>
      </c>
      <c r="M19" s="39">
        <f ca="1">IF(OR(J19="",AND(L19="",TODAY()&lt;J19),AND(L19&lt;&gt;"",L19&lt;J19)),0,
   IF(L19="",
      NETWORKDAYS(J19,TODAY(),fESTIVOS!$A$2:$A$53),
      NETWORKDAYS(J19,L19,fESTIVOS!$A$2:$A$53)
   )
)</f>
        <v>5</v>
      </c>
      <c r="N19" s="59"/>
      <c r="O19" s="59"/>
      <c r="P19" s="69"/>
      <c r="Q19" s="62" t="s">
        <v>1789</v>
      </c>
      <c r="R19" s="238" t="s">
        <v>78</v>
      </c>
      <c r="S19" s="117"/>
    </row>
    <row r="20" spans="1:19" ht="29.25" customHeight="1">
      <c r="A20" s="16" t="s">
        <v>1721</v>
      </c>
      <c r="B20" s="231" t="s">
        <v>1790</v>
      </c>
      <c r="C20" s="255" t="s">
        <v>1791</v>
      </c>
      <c r="D20" s="232"/>
      <c r="E20" s="233" t="s">
        <v>1724</v>
      </c>
      <c r="F20" s="20" t="s">
        <v>76</v>
      </c>
      <c r="G20" s="58">
        <v>100</v>
      </c>
      <c r="H20" s="234">
        <f>IF(OR(J20="",K20="",K20&lt;J20),0,NETWORKDAYS(J20,K20,fESTIVOS!$A$2:$A$53))</f>
        <v>0</v>
      </c>
      <c r="I20" s="81">
        <v>45874</v>
      </c>
      <c r="J20" s="60">
        <v>45874</v>
      </c>
      <c r="K20" s="68"/>
      <c r="L20" s="60">
        <v>45882</v>
      </c>
      <c r="M20" s="39">
        <f ca="1">IF(OR(J20="",AND(L20="",TODAY()&lt;J20),AND(L20&lt;&gt;"",L20&lt;J20)),0,
   IF(L20="",
      NETWORKDAYS(J20,TODAY(),fESTIVOS!$A$2:$A$53),
      NETWORKDAYS(J20,L20,fESTIVOS!$A$2:$A$53)
   )
)</f>
        <v>6</v>
      </c>
      <c r="N20" s="59"/>
      <c r="O20" s="59"/>
      <c r="P20" s="61">
        <v>45885</v>
      </c>
      <c r="Q20" s="30" t="s">
        <v>1792</v>
      </c>
      <c r="R20" s="238" t="s">
        <v>78</v>
      </c>
      <c r="S20" s="34"/>
    </row>
    <row r="21" spans="1:19" ht="29.25" customHeight="1">
      <c r="A21" s="16" t="s">
        <v>1721</v>
      </c>
      <c r="B21" s="231" t="s">
        <v>1793</v>
      </c>
      <c r="C21" s="263" t="s">
        <v>1794</v>
      </c>
      <c r="D21" s="264"/>
      <c r="E21" s="233" t="s">
        <v>1724</v>
      </c>
      <c r="F21" s="132" t="s">
        <v>76</v>
      </c>
      <c r="G21" s="133">
        <v>100</v>
      </c>
      <c r="H21" s="234">
        <f>IF(OR(J21="",K21="",K21&lt;J21),0,NETWORKDAYS(J21,K21,fESTIVOS!$A$2:$A$53))</f>
        <v>0</v>
      </c>
      <c r="I21" s="134">
        <v>45883</v>
      </c>
      <c r="J21" s="60">
        <v>45883</v>
      </c>
      <c r="K21" s="60"/>
      <c r="L21" s="60">
        <v>45883</v>
      </c>
      <c r="M21" s="39">
        <f ca="1">IF(OR(J21="",AND(L21="",TODAY()&lt;J21),AND(L21&lt;&gt;"",L21&lt;J21)),0,
   IF(L21="",
      NETWORKDAYS(J21,TODAY(),fESTIVOS!$A$2:$A$53),
      NETWORKDAYS(J21,L21,fESTIVOS!$A$2:$A$53)
   )
)</f>
        <v>1</v>
      </c>
      <c r="N21" s="81"/>
      <c r="O21" s="81"/>
      <c r="P21" s="61">
        <v>45885</v>
      </c>
      <c r="Q21" s="30" t="s">
        <v>1795</v>
      </c>
      <c r="R21" s="238" t="s">
        <v>78</v>
      </c>
      <c r="S21" s="34"/>
    </row>
    <row r="22" spans="1:19" ht="29.25" customHeight="1">
      <c r="A22" s="16" t="s">
        <v>1721</v>
      </c>
      <c r="B22" s="231" t="s">
        <v>1796</v>
      </c>
      <c r="C22" s="263" t="s">
        <v>1797</v>
      </c>
      <c r="D22" s="265" t="s">
        <v>1798</v>
      </c>
      <c r="E22" s="233" t="s">
        <v>1724</v>
      </c>
      <c r="F22" s="132" t="s">
        <v>76</v>
      </c>
      <c r="G22" s="133">
        <v>100</v>
      </c>
      <c r="H22" s="234">
        <f>IF(OR(J22="",K22="",K22&lt;J22),0,NETWORKDAYS(J22,K22,fESTIVOS!$A$2:$A$53))</f>
        <v>0</v>
      </c>
      <c r="I22" s="134"/>
      <c r="J22" s="60">
        <v>45895</v>
      </c>
      <c r="K22" s="60"/>
      <c r="L22" s="60">
        <v>45895</v>
      </c>
      <c r="M22" s="39">
        <f ca="1">IF(OR(J22="",AND(L22="",TODAY()&lt;J22),AND(L22&lt;&gt;"",L22&lt;J22)),0,
   IF(L22="",
      NETWORKDAYS(J22,TODAY(),fESTIVOS!$A$2:$A$53),
      NETWORKDAYS(J22,L22,fESTIVOS!$A$2:$A$53)
   )
)</f>
        <v>1</v>
      </c>
      <c r="N22" s="81"/>
      <c r="O22" s="81"/>
      <c r="P22" s="61"/>
      <c r="Q22" s="30" t="s">
        <v>1799</v>
      </c>
      <c r="R22" s="238" t="s">
        <v>78</v>
      </c>
      <c r="S22" s="34"/>
    </row>
    <row r="23" spans="1:19" ht="29.25" customHeight="1">
      <c r="A23" s="16" t="s">
        <v>1721</v>
      </c>
      <c r="B23" s="231" t="s">
        <v>1800</v>
      </c>
      <c r="C23" s="255" t="s">
        <v>1787</v>
      </c>
      <c r="D23" s="266" t="s">
        <v>1801</v>
      </c>
      <c r="E23" s="233" t="s">
        <v>1788</v>
      </c>
      <c r="F23" s="85" t="s">
        <v>76</v>
      </c>
      <c r="G23" s="58">
        <v>100</v>
      </c>
      <c r="H23" s="234">
        <f>IF(OR(J23="",K23="",K23&lt;J23),0,NETWORKDAYS(J23,K23,fESTIVOS!$A$2:$A$53))</f>
        <v>5</v>
      </c>
      <c r="I23" s="81">
        <v>45884</v>
      </c>
      <c r="J23" s="60">
        <v>45884</v>
      </c>
      <c r="K23" s="60">
        <v>45891</v>
      </c>
      <c r="L23" s="60">
        <v>45947</v>
      </c>
      <c r="M23" s="39">
        <f ca="1">IF(OR(J23="",AND(L23="",TODAY()&lt;J23),AND(L23&lt;&gt;"",L23&lt;J23)),0,
   IF(L23="",
      NETWORKDAYS(J23,TODAY(),fESTIVOS!$A$2:$A$53),
      NETWORKDAYS(J23,L23,fESTIVOS!$A$2:$A$53)
   )
)</f>
        <v>44</v>
      </c>
      <c r="N23" s="81"/>
      <c r="O23" s="81"/>
      <c r="P23" s="61"/>
      <c r="Q23" s="34" t="s">
        <v>1802</v>
      </c>
      <c r="R23" s="238" t="s">
        <v>78</v>
      </c>
      <c r="S23" s="34"/>
    </row>
    <row r="24" spans="1:19" ht="29.25" customHeight="1">
      <c r="A24" s="16" t="s">
        <v>1721</v>
      </c>
      <c r="B24" s="231" t="s">
        <v>1803</v>
      </c>
      <c r="C24" s="255" t="s">
        <v>1804</v>
      </c>
      <c r="D24" s="266"/>
      <c r="E24" s="233" t="s">
        <v>1805</v>
      </c>
      <c r="F24" s="267" t="s">
        <v>76</v>
      </c>
      <c r="G24" s="58">
        <v>100</v>
      </c>
      <c r="H24" s="234">
        <f>IF(OR(J24="",K24="",K24&lt;J24),0,NETWORKDAYS(J24,K24,fESTIVOS!$A$2:$A$53))</f>
        <v>5</v>
      </c>
      <c r="I24" s="81">
        <v>45894</v>
      </c>
      <c r="J24" s="60">
        <v>45894</v>
      </c>
      <c r="K24" s="60">
        <v>45898</v>
      </c>
      <c r="L24" s="60">
        <v>45897</v>
      </c>
      <c r="M24" s="39">
        <f ca="1">IF(OR(J24="",AND(L24="",TODAY()&lt;J24),AND(L24&lt;&gt;"",L24&lt;J24)),0,
   IF(L24="",
      NETWORKDAYS(J24,TODAY(),fESTIVOS!$A$2:$A$53),
      NETWORKDAYS(J24,L24,fESTIVOS!$A$2:$A$53)
   )
)</f>
        <v>4</v>
      </c>
      <c r="N24" s="81"/>
      <c r="O24" s="81"/>
      <c r="P24" s="61"/>
      <c r="Q24" s="34" t="s">
        <v>1806</v>
      </c>
      <c r="R24" s="238" t="s">
        <v>78</v>
      </c>
      <c r="S24" s="34"/>
    </row>
    <row r="25" spans="1:19" ht="29.25" customHeight="1">
      <c r="A25" s="16" t="s">
        <v>1721</v>
      </c>
      <c r="B25" s="231" t="s">
        <v>1807</v>
      </c>
      <c r="C25" s="255" t="s">
        <v>1804</v>
      </c>
      <c r="D25" s="266"/>
      <c r="E25" s="233" t="s">
        <v>1805</v>
      </c>
      <c r="F25" s="267" t="s">
        <v>76</v>
      </c>
      <c r="G25" s="58">
        <v>100</v>
      </c>
      <c r="H25" s="234">
        <f>IF(OR(J25="",K25="",K25&lt;J25),0,NETWORKDAYS(J25,K25,fESTIVOS!$A$2:$A$53))</f>
        <v>5</v>
      </c>
      <c r="I25" s="81">
        <v>45894</v>
      </c>
      <c r="J25" s="60">
        <v>45894</v>
      </c>
      <c r="K25" s="60">
        <v>45898</v>
      </c>
      <c r="L25" s="60">
        <v>45897</v>
      </c>
      <c r="M25" s="39">
        <f ca="1">IF(OR(J25="",AND(L25="",TODAY()&lt;J25),AND(L25&lt;&gt;"",L25&lt;J25)),0,
   IF(L25="",
      NETWORKDAYS(J25,TODAY(),fESTIVOS!$A$2:$A$53),
      NETWORKDAYS(J25,L25,fESTIVOS!$A$2:$A$53)
   )
)</f>
        <v>4</v>
      </c>
      <c r="N25" s="81"/>
      <c r="O25" s="81"/>
      <c r="P25" s="61"/>
      <c r="Q25" s="34" t="s">
        <v>1808</v>
      </c>
      <c r="R25" s="238" t="s">
        <v>78</v>
      </c>
      <c r="S25" s="34"/>
    </row>
    <row r="26" spans="1:19" ht="29.25" customHeight="1">
      <c r="A26" s="16" t="s">
        <v>1721</v>
      </c>
      <c r="B26" s="231" t="s">
        <v>1809</v>
      </c>
      <c r="C26" s="255" t="s">
        <v>1804</v>
      </c>
      <c r="D26" s="266"/>
      <c r="E26" s="233" t="s">
        <v>1805</v>
      </c>
      <c r="F26" s="267" t="s">
        <v>76</v>
      </c>
      <c r="G26" s="58">
        <v>100</v>
      </c>
      <c r="H26" s="234">
        <f>IF(OR(J26="",K26="",K26&lt;J26),0,NETWORKDAYS(J26,K26,fESTIVOS!$A$2:$A$53))</f>
        <v>5</v>
      </c>
      <c r="I26" s="81">
        <v>45894</v>
      </c>
      <c r="J26" s="60">
        <v>45894</v>
      </c>
      <c r="K26" s="60">
        <v>45898</v>
      </c>
      <c r="L26" s="60">
        <v>45897</v>
      </c>
      <c r="M26" s="39">
        <f ca="1">IF(OR(J26="",AND(L26="",TODAY()&lt;J26),AND(L26&lt;&gt;"",L26&lt;J26)),0,
   IF(L26="",
      NETWORKDAYS(J26,TODAY(),fESTIVOS!$A$2:$A$53),
      NETWORKDAYS(J26,L26,fESTIVOS!$A$2:$A$53)
   )
)</f>
        <v>4</v>
      </c>
      <c r="N26" s="81"/>
      <c r="O26" s="81"/>
      <c r="P26" s="61"/>
      <c r="Q26" s="34" t="s">
        <v>1810</v>
      </c>
      <c r="R26" s="238" t="s">
        <v>78</v>
      </c>
      <c r="S26" s="34"/>
    </row>
    <row r="27" spans="1:19" ht="29.25" customHeight="1">
      <c r="A27" s="16" t="s">
        <v>1721</v>
      </c>
      <c r="B27" s="231" t="s">
        <v>1811</v>
      </c>
      <c r="C27" s="255" t="s">
        <v>1804</v>
      </c>
      <c r="D27" s="268"/>
      <c r="E27" s="233" t="s">
        <v>1805</v>
      </c>
      <c r="F27" s="267" t="s">
        <v>76</v>
      </c>
      <c r="G27" s="58">
        <v>100</v>
      </c>
      <c r="H27" s="234">
        <f>IF(OR(J27="",K27="",K27&lt;J27),0,NETWORKDAYS(J27,K27,fESTIVOS!$A$2:$A$53))</f>
        <v>5</v>
      </c>
      <c r="I27" s="81">
        <v>45894</v>
      </c>
      <c r="J27" s="60">
        <v>45894</v>
      </c>
      <c r="K27" s="60">
        <v>45898</v>
      </c>
      <c r="L27" s="60">
        <v>45897</v>
      </c>
      <c r="M27" s="39">
        <f ca="1">IF(OR(J27="",AND(L27="",TODAY()&lt;J27),AND(L27&lt;&gt;"",L27&lt;J27)),0,
   IF(L27="",
      NETWORKDAYS(J27,TODAY(),fESTIVOS!$A$2:$A$53),
      NETWORKDAYS(J27,L27,fESTIVOS!$A$2:$A$53)
   )
)</f>
        <v>4</v>
      </c>
      <c r="N27" s="81"/>
      <c r="O27" s="81"/>
      <c r="P27" s="61"/>
      <c r="Q27" s="34" t="s">
        <v>1812</v>
      </c>
      <c r="R27" s="238" t="s">
        <v>78</v>
      </c>
      <c r="S27" s="34"/>
    </row>
    <row r="28" spans="1:19" ht="29.25" customHeight="1">
      <c r="A28" s="16" t="s">
        <v>1721</v>
      </c>
      <c r="B28" s="231" t="s">
        <v>1813</v>
      </c>
      <c r="C28" s="255" t="s">
        <v>1814</v>
      </c>
      <c r="D28" s="266"/>
      <c r="E28" s="233" t="s">
        <v>1805</v>
      </c>
      <c r="F28" s="267" t="s">
        <v>76</v>
      </c>
      <c r="G28" s="58">
        <v>100</v>
      </c>
      <c r="H28" s="234">
        <f>IF(OR(J28="",K28="",K28&lt;J28),0,NETWORKDAYS(J28,K28,fESTIVOS!$A$2:$A$53))</f>
        <v>4</v>
      </c>
      <c r="I28" s="81">
        <v>45894</v>
      </c>
      <c r="J28" s="60">
        <v>45895</v>
      </c>
      <c r="K28" s="60">
        <v>45898</v>
      </c>
      <c r="L28" s="60">
        <v>45897</v>
      </c>
      <c r="M28" s="39">
        <f ca="1">IF(OR(J28="",AND(L28="",TODAY()&lt;J28),AND(L28&lt;&gt;"",L28&lt;J28)),0,
   IF(L28="",
      NETWORKDAYS(J28,TODAY(),fESTIVOS!$A$2:$A$53),
      NETWORKDAYS(J28,L28,fESTIVOS!$A$2:$A$53)
   )
)</f>
        <v>3</v>
      </c>
      <c r="N28" s="81"/>
      <c r="O28" s="81"/>
      <c r="P28" s="61"/>
      <c r="Q28" s="34" t="s">
        <v>1815</v>
      </c>
      <c r="R28" s="238" t="s">
        <v>78</v>
      </c>
      <c r="S28" s="34"/>
    </row>
    <row r="29" spans="1:19" ht="29.25" customHeight="1">
      <c r="A29" s="16" t="s">
        <v>1721</v>
      </c>
      <c r="B29" s="231" t="s">
        <v>1816</v>
      </c>
      <c r="C29" s="255" t="s">
        <v>1817</v>
      </c>
      <c r="D29" s="266"/>
      <c r="E29" s="233" t="s">
        <v>1805</v>
      </c>
      <c r="F29" s="267" t="s">
        <v>76</v>
      </c>
      <c r="G29" s="58">
        <v>100</v>
      </c>
      <c r="H29" s="234">
        <f>IF(OR(J29="",K29="",K29&lt;J29),0,NETWORKDAYS(J29,K29,fESTIVOS!$A$2:$A$53))</f>
        <v>4</v>
      </c>
      <c r="I29" s="81">
        <v>45894</v>
      </c>
      <c r="J29" s="60">
        <v>45895</v>
      </c>
      <c r="K29" s="60">
        <v>45898</v>
      </c>
      <c r="L29" s="60">
        <v>45897</v>
      </c>
      <c r="M29" s="39">
        <f ca="1">IF(OR(J29="",AND(L29="",TODAY()&lt;J29),AND(L29&lt;&gt;"",L29&lt;J29)),0,
   IF(L29="",
      NETWORKDAYS(J29,TODAY(),fESTIVOS!$A$2:$A$53),
      NETWORKDAYS(J29,L29,fESTIVOS!$A$2:$A$53)
   )
)</f>
        <v>3</v>
      </c>
      <c r="N29" s="81"/>
      <c r="O29" s="81"/>
      <c r="P29" s="61"/>
      <c r="Q29" s="34" t="s">
        <v>1818</v>
      </c>
      <c r="R29" s="238" t="s">
        <v>78</v>
      </c>
      <c r="S29" s="34"/>
    </row>
    <row r="30" spans="1:19" ht="29.25" customHeight="1">
      <c r="A30" s="16" t="s">
        <v>1721</v>
      </c>
      <c r="B30" s="231" t="s">
        <v>1819</v>
      </c>
      <c r="C30" s="255" t="s">
        <v>1817</v>
      </c>
      <c r="D30" s="266"/>
      <c r="E30" s="233" t="s">
        <v>1805</v>
      </c>
      <c r="F30" s="267" t="s">
        <v>76</v>
      </c>
      <c r="G30" s="58">
        <v>100</v>
      </c>
      <c r="H30" s="234">
        <f>IF(OR(J30="",K30="",K30&lt;J30),0,NETWORKDAYS(J30,K30,fESTIVOS!$A$2:$A$53))</f>
        <v>4</v>
      </c>
      <c r="I30" s="81">
        <v>45894</v>
      </c>
      <c r="J30" s="60">
        <v>45895</v>
      </c>
      <c r="K30" s="60">
        <v>45898</v>
      </c>
      <c r="L30" s="60">
        <v>45897</v>
      </c>
      <c r="M30" s="39">
        <f ca="1">IF(OR(J30="",AND(L30="",TODAY()&lt;J30),AND(L30&lt;&gt;"",L30&lt;J30)),0,
   IF(L30="",
      NETWORKDAYS(J30,TODAY(),fESTIVOS!$A$2:$A$53),
      NETWORKDAYS(J30,L30,fESTIVOS!$A$2:$A$53)
   )
)</f>
        <v>3</v>
      </c>
      <c r="N30" s="81"/>
      <c r="O30" s="81"/>
      <c r="P30" s="61"/>
      <c r="Q30" s="34" t="s">
        <v>1820</v>
      </c>
      <c r="R30" s="238" t="s">
        <v>78</v>
      </c>
      <c r="S30" s="34"/>
    </row>
    <row r="31" spans="1:19" ht="29.25" customHeight="1">
      <c r="A31" s="16" t="s">
        <v>1721</v>
      </c>
      <c r="B31" s="231" t="s">
        <v>1821</v>
      </c>
      <c r="C31" s="255" t="s">
        <v>1822</v>
      </c>
      <c r="D31" s="266"/>
      <c r="E31" s="233" t="s">
        <v>1724</v>
      </c>
      <c r="F31" s="267" t="s">
        <v>76</v>
      </c>
      <c r="G31" s="58">
        <v>100</v>
      </c>
      <c r="H31" s="234">
        <f>IF(OR(J31="",K31="",K31&lt;J31),0,NETWORKDAYS(J31,K31,fESTIVOS!$A$2:$A$53))</f>
        <v>4</v>
      </c>
      <c r="I31" s="81">
        <v>45894</v>
      </c>
      <c r="J31" s="60">
        <v>45895</v>
      </c>
      <c r="K31" s="60">
        <v>45898</v>
      </c>
      <c r="L31" s="60">
        <v>45897</v>
      </c>
      <c r="M31" s="39">
        <f ca="1">IF(OR(J31="",AND(L31="",TODAY()&lt;J31),AND(L31&lt;&gt;"",L31&lt;J31)),0,
   IF(L31="",
      NETWORKDAYS(J31,TODAY(),fESTIVOS!$A$2:$A$53),
      NETWORKDAYS(J31,L31,fESTIVOS!$A$2:$A$53)
   )
)</f>
        <v>3</v>
      </c>
      <c r="N31" s="81"/>
      <c r="O31" s="81"/>
      <c r="P31" s="61"/>
      <c r="Q31" s="34" t="s">
        <v>1823</v>
      </c>
      <c r="R31" s="238" t="s">
        <v>78</v>
      </c>
      <c r="S31" s="34"/>
    </row>
    <row r="32" spans="1:19" ht="29.25" customHeight="1">
      <c r="A32" s="16" t="s">
        <v>1721</v>
      </c>
      <c r="B32" s="231" t="s">
        <v>1824</v>
      </c>
      <c r="C32" s="255" t="s">
        <v>1822</v>
      </c>
      <c r="D32" s="266"/>
      <c r="E32" s="233" t="s">
        <v>1724</v>
      </c>
      <c r="F32" s="85" t="s">
        <v>76</v>
      </c>
      <c r="G32" s="58">
        <v>100</v>
      </c>
      <c r="H32" s="234">
        <f>IF(OR(J32="",K32="",K32&lt;J32),0,NETWORKDAYS(J32,K32,fESTIVOS!$A$2:$A$53))</f>
        <v>4</v>
      </c>
      <c r="I32" s="81">
        <v>45894</v>
      </c>
      <c r="J32" s="60">
        <v>45896</v>
      </c>
      <c r="K32" s="60">
        <v>45901</v>
      </c>
      <c r="L32" s="60">
        <v>45930</v>
      </c>
      <c r="M32" s="39">
        <f ca="1">IF(OR(J32="",AND(L32="",TODAY()&lt;J32),AND(L32&lt;&gt;"",L32&lt;J32)),0,
   IF(L32="",
      NETWORKDAYS(J32,TODAY(),fESTIVOS!$A$2:$A$53),
      NETWORKDAYS(J32,L32,fESTIVOS!$A$2:$A$53)
   )
)</f>
        <v>25</v>
      </c>
      <c r="N32" s="81"/>
      <c r="O32" s="81"/>
      <c r="P32" s="61"/>
      <c r="Q32" s="34" t="s">
        <v>1825</v>
      </c>
      <c r="R32" s="238" t="s">
        <v>78</v>
      </c>
      <c r="S32" s="34"/>
    </row>
    <row r="33" spans="1:19" ht="29.25" customHeight="1">
      <c r="A33" s="16" t="s">
        <v>1721</v>
      </c>
      <c r="B33" s="231" t="s">
        <v>1826</v>
      </c>
      <c r="C33" s="255" t="s">
        <v>1827</v>
      </c>
      <c r="D33" s="266"/>
      <c r="E33" s="233" t="s">
        <v>1724</v>
      </c>
      <c r="F33" s="85" t="s">
        <v>76</v>
      </c>
      <c r="G33" s="58">
        <v>100</v>
      </c>
      <c r="H33" s="234">
        <f>IF(OR(J33="",K33="",K33&lt;J33),0,NETWORKDAYS(J33,K33,fESTIVOS!$A$2:$A$53))</f>
        <v>0</v>
      </c>
      <c r="I33" s="81">
        <v>45894</v>
      </c>
      <c r="J33" s="60">
        <v>45930</v>
      </c>
      <c r="K33" s="60">
        <v>45901</v>
      </c>
      <c r="L33" s="60">
        <v>45930</v>
      </c>
      <c r="M33" s="39">
        <f ca="1">IF(OR(J33="",AND(L33="",TODAY()&lt;J33),AND(L33&lt;&gt;"",L33&lt;J33)),0,
   IF(L33="",
      NETWORKDAYS(J33,TODAY(),fESTIVOS!$A$2:$A$53),
      NETWORKDAYS(J33,L33,fESTIVOS!$A$2:$A$53)
   )
)</f>
        <v>1</v>
      </c>
      <c r="N33" s="81"/>
      <c r="O33" s="81"/>
      <c r="P33" s="61"/>
      <c r="Q33" s="34" t="s">
        <v>1828</v>
      </c>
      <c r="R33" s="238" t="s">
        <v>78</v>
      </c>
      <c r="S33" s="34"/>
    </row>
    <row r="34" spans="1:19" ht="29.25" customHeight="1">
      <c r="A34" s="16" t="s">
        <v>1721</v>
      </c>
      <c r="B34" s="231" t="s">
        <v>1829</v>
      </c>
      <c r="C34" s="255" t="s">
        <v>1830</v>
      </c>
      <c r="D34" s="266"/>
      <c r="E34" s="233" t="s">
        <v>1724</v>
      </c>
      <c r="F34" s="85" t="s">
        <v>76</v>
      </c>
      <c r="G34" s="58">
        <v>100</v>
      </c>
      <c r="H34" s="234">
        <f>IF(OR(J34="",K34="",K34&lt;J34),0,NETWORKDAYS(J34,K34,fESTIVOS!$A$2:$A$53))</f>
        <v>0</v>
      </c>
      <c r="I34" s="81">
        <v>45894</v>
      </c>
      <c r="J34" s="60">
        <v>45930</v>
      </c>
      <c r="K34" s="60">
        <v>45901</v>
      </c>
      <c r="L34" s="60">
        <v>45930</v>
      </c>
      <c r="M34" s="39">
        <f ca="1">IF(OR(J34="",AND(L34="",TODAY()&lt;J34),AND(L34&lt;&gt;"",L34&lt;J34)),0,
   IF(L34="",
      NETWORKDAYS(J34,TODAY(),fESTIVOS!$A$2:$A$53),
      NETWORKDAYS(J34,L34,fESTIVOS!$A$2:$A$53)
   )
)</f>
        <v>1</v>
      </c>
      <c r="N34" s="81"/>
      <c r="O34" s="81"/>
      <c r="P34" s="61"/>
      <c r="Q34" s="34" t="s">
        <v>1831</v>
      </c>
      <c r="R34" s="238" t="s">
        <v>78</v>
      </c>
      <c r="S34" s="34"/>
    </row>
    <row r="35" spans="1:19" ht="29.25" customHeight="1">
      <c r="A35" s="16" t="s">
        <v>1721</v>
      </c>
      <c r="B35" s="231" t="s">
        <v>1832</v>
      </c>
      <c r="C35" s="255" t="s">
        <v>1833</v>
      </c>
      <c r="D35" s="266"/>
      <c r="E35" s="233" t="s">
        <v>1724</v>
      </c>
      <c r="F35" s="85" t="s">
        <v>76</v>
      </c>
      <c r="G35" s="58">
        <v>100</v>
      </c>
      <c r="H35" s="234">
        <f>IF(OR(J35="",K35="",K35&lt;J35),0,NETWORKDAYS(J35,K35,fESTIVOS!$A$2:$A$53))</f>
        <v>0</v>
      </c>
      <c r="I35" s="81">
        <v>45894</v>
      </c>
      <c r="J35" s="60">
        <v>45947</v>
      </c>
      <c r="K35" s="60">
        <v>45901</v>
      </c>
      <c r="L35" s="60">
        <v>45947</v>
      </c>
      <c r="M35" s="39">
        <f ca="1">IF(OR(J35="",AND(L35="",TODAY()&lt;J35),AND(L35&lt;&gt;"",L35&lt;J35)),0,
   IF(L35="",
      NETWORKDAYS(J35,TODAY(),fESTIVOS!$A$2:$A$53),
      NETWORKDAYS(J35,L35,fESTIVOS!$A$2:$A$53)
   )
)</f>
        <v>1</v>
      </c>
      <c r="N35" s="81"/>
      <c r="O35" s="81"/>
      <c r="P35" s="61"/>
      <c r="Q35" s="34" t="s">
        <v>1834</v>
      </c>
      <c r="R35" s="238" t="s">
        <v>78</v>
      </c>
      <c r="S35" s="34"/>
    </row>
    <row r="36" spans="1:19" ht="29.25" customHeight="1">
      <c r="A36" s="16" t="s">
        <v>1721</v>
      </c>
      <c r="B36" s="231" t="s">
        <v>1835</v>
      </c>
      <c r="C36" s="255" t="s">
        <v>1836</v>
      </c>
      <c r="D36" s="266"/>
      <c r="E36" s="233" t="s">
        <v>1805</v>
      </c>
      <c r="F36" s="267" t="s">
        <v>76</v>
      </c>
      <c r="G36" s="58">
        <v>100</v>
      </c>
      <c r="H36" s="234">
        <f>IF(OR(J36="",K36="",K36&lt;J36),0,NETWORKDAYS(J36,K36,fESTIVOS!$A$2:$A$53))</f>
        <v>4</v>
      </c>
      <c r="I36" s="81">
        <v>45894</v>
      </c>
      <c r="J36" s="60">
        <v>45895</v>
      </c>
      <c r="K36" s="60">
        <v>45898</v>
      </c>
      <c r="L36" s="60">
        <v>45897</v>
      </c>
      <c r="M36" s="39">
        <f ca="1">IF(OR(J36="",AND(L36="",TODAY()&lt;J36),AND(L36&lt;&gt;"",L36&lt;J36)),0,
   IF(L36="",
      NETWORKDAYS(J36,TODAY(),fESTIVOS!$A$2:$A$53),
      NETWORKDAYS(J36,L36,fESTIVOS!$A$2:$A$53)
   )
)</f>
        <v>3</v>
      </c>
      <c r="N36" s="81"/>
      <c r="O36" s="81"/>
      <c r="P36" s="61"/>
      <c r="Q36" s="34" t="s">
        <v>1837</v>
      </c>
      <c r="R36" s="238" t="s">
        <v>78</v>
      </c>
      <c r="S36" s="34"/>
    </row>
    <row r="37" spans="1:19" ht="29.25" customHeight="1">
      <c r="A37" s="16" t="s">
        <v>1721</v>
      </c>
      <c r="B37" s="231" t="s">
        <v>1838</v>
      </c>
      <c r="C37" s="255" t="s">
        <v>1839</v>
      </c>
      <c r="D37" s="266"/>
      <c r="E37" s="233" t="s">
        <v>1724</v>
      </c>
      <c r="F37" s="85" t="s">
        <v>76</v>
      </c>
      <c r="G37" s="58">
        <v>100</v>
      </c>
      <c r="H37" s="234">
        <f>IF(OR(J37="",K37="",K37&lt;J37),0,NETWORKDAYS(J37,K37,fESTIVOS!$A$2:$A$53))</f>
        <v>0</v>
      </c>
      <c r="I37" s="81">
        <v>45894</v>
      </c>
      <c r="J37" s="60">
        <v>45930</v>
      </c>
      <c r="K37" s="60">
        <v>45902</v>
      </c>
      <c r="L37" s="60">
        <v>45930</v>
      </c>
      <c r="M37" s="39">
        <f ca="1">IF(OR(J37="",AND(L37="",TODAY()&lt;J37),AND(L37&lt;&gt;"",L37&lt;J37)),0,
   IF(L37="",
      NETWORKDAYS(J37,TODAY(),fESTIVOS!$A$2:$A$53),
      NETWORKDAYS(J37,L37,fESTIVOS!$A$2:$A$53)
   )
)</f>
        <v>1</v>
      </c>
      <c r="N37" s="269"/>
      <c r="O37" s="269"/>
      <c r="P37" s="61"/>
      <c r="Q37" s="34" t="s">
        <v>1840</v>
      </c>
      <c r="R37" s="238" t="s">
        <v>78</v>
      </c>
      <c r="S37" s="34"/>
    </row>
    <row r="38" spans="1:19" ht="29.25" customHeight="1">
      <c r="A38" s="16" t="s">
        <v>1721</v>
      </c>
      <c r="B38" s="231" t="s">
        <v>1841</v>
      </c>
      <c r="C38" s="255" t="s">
        <v>1842</v>
      </c>
      <c r="D38" s="266"/>
      <c r="E38" s="233" t="s">
        <v>1724</v>
      </c>
      <c r="F38" s="85" t="s">
        <v>76</v>
      </c>
      <c r="G38" s="58">
        <v>100</v>
      </c>
      <c r="H38" s="234">
        <f>IF(OR(J38="",K38="",K38&lt;J38),0,NETWORKDAYS(J38,K38,fESTIVOS!$A$2:$A$53))</f>
        <v>3</v>
      </c>
      <c r="I38" s="81">
        <v>45894</v>
      </c>
      <c r="J38" s="60">
        <v>45938</v>
      </c>
      <c r="K38" s="60">
        <v>45940</v>
      </c>
      <c r="L38" s="60">
        <v>45947</v>
      </c>
      <c r="M38" s="39">
        <f ca="1">IF(OR(J38="",AND(L38="",TODAY()&lt;J38),AND(L38&lt;&gt;"",L38&lt;J38)),0,
   IF(L38="",
      NETWORKDAYS(J38,TODAY(),fESTIVOS!$A$2:$A$53),
      NETWORKDAYS(J38,L38,fESTIVOS!$A$2:$A$53)
   )
)</f>
        <v>7</v>
      </c>
      <c r="N38" s="81"/>
      <c r="O38" s="81"/>
      <c r="P38" s="61"/>
      <c r="Q38" s="34" t="s">
        <v>1843</v>
      </c>
      <c r="R38" s="238" t="s">
        <v>78</v>
      </c>
      <c r="S38" s="34"/>
    </row>
    <row r="39" spans="1:19" ht="29.25" customHeight="1">
      <c r="A39" s="270" t="s">
        <v>1721</v>
      </c>
      <c r="B39" s="271" t="s">
        <v>1844</v>
      </c>
      <c r="C39" s="272" t="s">
        <v>1845</v>
      </c>
      <c r="D39" s="273" t="s">
        <v>1846</v>
      </c>
      <c r="E39" s="274" t="s">
        <v>1805</v>
      </c>
      <c r="F39" s="275" t="s">
        <v>76</v>
      </c>
      <c r="G39" s="276">
        <v>100</v>
      </c>
      <c r="H39" s="234">
        <f>IF(OR(J39="",K39="",K39&lt;J39),0,NETWORKDAYS(J39,K39,fESTIVOS!$A$2:$A$53))</f>
        <v>3</v>
      </c>
      <c r="I39" s="277">
        <v>45901</v>
      </c>
      <c r="J39" s="278">
        <v>45901</v>
      </c>
      <c r="K39" s="278">
        <v>45903</v>
      </c>
      <c r="L39" s="278">
        <v>45919</v>
      </c>
      <c r="M39" s="39">
        <f ca="1">IF(OR(J39="",AND(L39="",TODAY()&lt;J39),AND(L39&lt;&gt;"",L39&lt;J39)),0,
   IF(L39="",
      NETWORKDAYS(J39,TODAY(),fESTIVOS!$A$2:$A$53),
      NETWORKDAYS(J39,L39,fESTIVOS!$A$2:$A$53)
   )
)</f>
        <v>15</v>
      </c>
      <c r="N39" s="279"/>
      <c r="O39" s="279"/>
      <c r="P39" s="280"/>
      <c r="Q39" s="281" t="s">
        <v>1847</v>
      </c>
      <c r="R39" s="282" t="s">
        <v>78</v>
      </c>
      <c r="S39" s="283"/>
    </row>
    <row r="40" spans="1:19" ht="29.25" customHeight="1">
      <c r="A40" s="16" t="s">
        <v>1721</v>
      </c>
      <c r="B40" s="231" t="s">
        <v>1848</v>
      </c>
      <c r="C40" s="255" t="s">
        <v>1849</v>
      </c>
      <c r="D40" s="266" t="s">
        <v>1850</v>
      </c>
      <c r="E40" s="233" t="s">
        <v>1724</v>
      </c>
      <c r="F40" s="85" t="s">
        <v>76</v>
      </c>
      <c r="G40" s="58">
        <v>100</v>
      </c>
      <c r="H40" s="234">
        <f>IF(OR(J40="",K40="",K40&lt;J40),0,NETWORKDAYS(J40,K40,fESTIVOS!$A$2:$A$53))</f>
        <v>4</v>
      </c>
      <c r="I40" s="81">
        <v>45898</v>
      </c>
      <c r="J40" s="60">
        <v>45898</v>
      </c>
      <c r="K40" s="278">
        <v>45903</v>
      </c>
      <c r="L40" s="60">
        <v>45932</v>
      </c>
      <c r="M40" s="39">
        <f ca="1">IF(OR(J40="",AND(L40="",TODAY()&lt;J40),AND(L40&lt;&gt;"",L40&lt;J40)),0,
   IF(L40="",
      NETWORKDAYS(J40,TODAY(),fESTIVOS!$A$2:$A$53),
      NETWORKDAYS(J40,L40,fESTIVOS!$A$2:$A$53)
   )
)</f>
        <v>25</v>
      </c>
      <c r="N40" s="81"/>
      <c r="O40" s="81"/>
      <c r="P40" s="61"/>
      <c r="Q40" s="281" t="s">
        <v>1851</v>
      </c>
      <c r="R40" s="238" t="s">
        <v>78</v>
      </c>
      <c r="S40" s="34"/>
    </row>
    <row r="41" spans="1:19" ht="29.25" customHeight="1">
      <c r="A41" s="16" t="s">
        <v>1721</v>
      </c>
      <c r="B41" s="231" t="s">
        <v>1852</v>
      </c>
      <c r="C41" s="255" t="s">
        <v>1853</v>
      </c>
      <c r="D41" s="266" t="s">
        <v>1854</v>
      </c>
      <c r="E41" s="233" t="s">
        <v>1724</v>
      </c>
      <c r="F41" s="85" t="s">
        <v>76</v>
      </c>
      <c r="G41" s="58">
        <v>100</v>
      </c>
      <c r="H41" s="234">
        <f>IF(OR(J41="",K41="",K41&lt;J41),0,NETWORKDAYS(J41,K41,fESTIVOS!$A$2:$A$53))</f>
        <v>3</v>
      </c>
      <c r="I41" s="81">
        <v>45901</v>
      </c>
      <c r="J41" s="60">
        <v>45901</v>
      </c>
      <c r="K41" s="278">
        <v>45903</v>
      </c>
      <c r="L41" s="60">
        <v>45903</v>
      </c>
      <c r="M41" s="39">
        <f ca="1">IF(OR(J41="",AND(L41="",TODAY()&lt;J41),AND(L41&lt;&gt;"",L41&lt;J41)),0,
   IF(L41="",
      NETWORKDAYS(J41,TODAY(),fESTIVOS!$A$2:$A$53),
      NETWORKDAYS(J41,L41,fESTIVOS!$A$2:$A$53)
   )
)</f>
        <v>3</v>
      </c>
      <c r="N41" s="81"/>
      <c r="O41" s="81"/>
      <c r="P41" s="61"/>
      <c r="Q41" s="281" t="s">
        <v>1855</v>
      </c>
      <c r="R41" s="238" t="s">
        <v>78</v>
      </c>
      <c r="S41" s="34"/>
    </row>
    <row r="42" spans="1:19" ht="29.25" customHeight="1">
      <c r="A42" s="16" t="s">
        <v>1721</v>
      </c>
      <c r="B42" s="231" t="s">
        <v>1856</v>
      </c>
      <c r="C42" s="255" t="s">
        <v>1857</v>
      </c>
      <c r="D42" s="266"/>
      <c r="E42" s="271" t="s">
        <v>1788</v>
      </c>
      <c r="F42" s="85" t="s">
        <v>76</v>
      </c>
      <c r="G42" s="58">
        <v>100</v>
      </c>
      <c r="H42" s="234">
        <f>IF(OR(J42="",K42="",K42&lt;J42),0,NETWORKDAYS(J42,K42,fESTIVOS!$A$2:$A$53))</f>
        <v>1</v>
      </c>
      <c r="I42" s="81">
        <v>45902</v>
      </c>
      <c r="J42" s="60">
        <v>45903</v>
      </c>
      <c r="K42" s="278">
        <v>45903</v>
      </c>
      <c r="L42" s="60">
        <v>45903</v>
      </c>
      <c r="M42" s="39">
        <f ca="1">IF(OR(J42="",AND(L42="",TODAY()&lt;J42),AND(L42&lt;&gt;"",L42&lt;J42)),0,
   IF(L42="",
      NETWORKDAYS(J42,TODAY(),fESTIVOS!$A$2:$A$53),
      NETWORKDAYS(J42,L42,fESTIVOS!$A$2:$A$53)
   )
)</f>
        <v>1</v>
      </c>
      <c r="N42" s="81"/>
      <c r="O42" s="81"/>
      <c r="P42" s="61"/>
      <c r="Q42" s="281" t="s">
        <v>1858</v>
      </c>
      <c r="R42" s="238" t="s">
        <v>78</v>
      </c>
      <c r="S42" s="34"/>
    </row>
    <row r="43" spans="1:19" ht="29.25" customHeight="1">
      <c r="A43" s="270" t="s">
        <v>1721</v>
      </c>
      <c r="B43" s="271" t="s">
        <v>1859</v>
      </c>
      <c r="C43" s="272" t="s">
        <v>1860</v>
      </c>
      <c r="D43" s="284" t="s">
        <v>1861</v>
      </c>
      <c r="E43" s="274" t="s">
        <v>1724</v>
      </c>
      <c r="F43" s="275" t="s">
        <v>76</v>
      </c>
      <c r="G43" s="276">
        <v>100</v>
      </c>
      <c r="H43" s="234">
        <f>IF(OR(J43="",K43="",K43&lt;J43),0,NETWORKDAYS(J43,K43,fESTIVOS!$A$2:$A$53))</f>
        <v>3</v>
      </c>
      <c r="I43" s="277">
        <v>45903</v>
      </c>
      <c r="J43" s="278">
        <v>45903</v>
      </c>
      <c r="K43" s="285">
        <v>45905</v>
      </c>
      <c r="L43" s="278">
        <v>46041</v>
      </c>
      <c r="M43" s="39">
        <f ca="1">IF(OR(J43="",AND(L43="",TODAY()&lt;J43),AND(L43&lt;&gt;"",L43&lt;J43)),0,
   IF(L43="",
      NETWORKDAYS(J43,TODAY(),fESTIVOS!$A$2:$A$53),
      NETWORKDAYS(J43,L43,fESTIVOS!$A$2:$A$53)
   )
)</f>
        <v>92</v>
      </c>
      <c r="N43" s="279"/>
      <c r="O43" s="279"/>
      <c r="P43" s="280"/>
      <c r="Q43" s="286" t="s">
        <v>1862</v>
      </c>
      <c r="R43" s="282" t="s">
        <v>78</v>
      </c>
      <c r="S43" s="283"/>
    </row>
    <row r="44" spans="1:19" ht="29.25" customHeight="1">
      <c r="A44" s="270" t="s">
        <v>1721</v>
      </c>
      <c r="B44" s="231" t="s">
        <v>1863</v>
      </c>
      <c r="C44" s="272" t="s">
        <v>1864</v>
      </c>
      <c r="D44" s="287"/>
      <c r="E44" s="288" t="s">
        <v>1788</v>
      </c>
      <c r="F44" s="275" t="s">
        <v>76</v>
      </c>
      <c r="G44" s="276">
        <v>100</v>
      </c>
      <c r="H44" s="234">
        <f>IF(OR(J44="",K44="",K44&lt;J44),0,NETWORKDAYS(J44,K44,fESTIVOS!$A$2:$A$53))</f>
        <v>4</v>
      </c>
      <c r="I44" s="277">
        <v>45905</v>
      </c>
      <c r="J44" s="278">
        <v>45905</v>
      </c>
      <c r="K44" s="285">
        <v>45910</v>
      </c>
      <c r="L44" s="278">
        <v>45910</v>
      </c>
      <c r="M44" s="39">
        <f ca="1">IF(OR(J44="",AND(L44="",TODAY()&lt;J44),AND(L44&lt;&gt;"",L44&lt;J44)),0,
   IF(L44="",
      NETWORKDAYS(J44,TODAY(),fESTIVOS!$A$2:$A$53),
      NETWORKDAYS(J44,L44,fESTIVOS!$A$2:$A$53)
   )
)</f>
        <v>4</v>
      </c>
      <c r="N44" s="279"/>
      <c r="O44" s="279"/>
      <c r="P44" s="280"/>
      <c r="Q44" s="286" t="s">
        <v>1865</v>
      </c>
      <c r="R44" s="282" t="s">
        <v>78</v>
      </c>
      <c r="S44" s="283"/>
    </row>
    <row r="45" spans="1:19" ht="29.25" customHeight="1">
      <c r="A45" s="270" t="s">
        <v>1721</v>
      </c>
      <c r="B45" s="231" t="s">
        <v>1866</v>
      </c>
      <c r="C45" s="272" t="s">
        <v>1864</v>
      </c>
      <c r="D45" s="287"/>
      <c r="E45" s="288" t="s">
        <v>1788</v>
      </c>
      <c r="F45" s="275" t="s">
        <v>76</v>
      </c>
      <c r="G45" s="276">
        <v>100</v>
      </c>
      <c r="H45" s="234">
        <f>IF(OR(J45="",K45="",K45&lt;J45),0,NETWORKDAYS(J45,K45,fESTIVOS!$A$2:$A$53))</f>
        <v>4</v>
      </c>
      <c r="I45" s="277">
        <v>45905</v>
      </c>
      <c r="J45" s="278">
        <v>45905</v>
      </c>
      <c r="K45" s="285">
        <v>45910</v>
      </c>
      <c r="L45" s="278">
        <v>45910</v>
      </c>
      <c r="M45" s="39">
        <f ca="1">IF(OR(J45="",AND(L45="",TODAY()&lt;J45),AND(L45&lt;&gt;"",L45&lt;J45)),0,
   IF(L45="",
      NETWORKDAYS(J45,TODAY(),fESTIVOS!$A$2:$A$53),
      NETWORKDAYS(J45,L45,fESTIVOS!$A$2:$A$53)
   )
)</f>
        <v>4</v>
      </c>
      <c r="N45" s="279"/>
      <c r="O45" s="279"/>
      <c r="P45" s="280"/>
      <c r="Q45" s="286" t="s">
        <v>1865</v>
      </c>
      <c r="R45" s="282" t="s">
        <v>78</v>
      </c>
      <c r="S45" s="283"/>
    </row>
    <row r="46" spans="1:19" ht="29.25" customHeight="1">
      <c r="A46" s="16" t="s">
        <v>1768</v>
      </c>
      <c r="B46" s="231" t="s">
        <v>1867</v>
      </c>
      <c r="C46" s="255" t="s">
        <v>1868</v>
      </c>
      <c r="D46" s="262"/>
      <c r="E46" s="261" t="s">
        <v>1724</v>
      </c>
      <c r="F46" s="85" t="s">
        <v>76</v>
      </c>
      <c r="G46" s="58">
        <v>100</v>
      </c>
      <c r="H46" s="234">
        <f>IF(OR(J46="",K46="",K46&lt;J46),0,NETWORKDAYS(J46,K46,fESTIVOS!$A$2:$A$53))</f>
        <v>0</v>
      </c>
      <c r="I46" s="134">
        <v>45884</v>
      </c>
      <c r="J46" s="60">
        <v>45884</v>
      </c>
      <c r="K46" s="60"/>
      <c r="L46" s="60">
        <v>45888</v>
      </c>
      <c r="M46" s="39">
        <f ca="1">IF(OR(J46="",AND(L46="",TODAY()&lt;J46),AND(L46&lt;&gt;"",L46&lt;J46)),0,
   IF(L46="",
      NETWORKDAYS(J46,TODAY(),fESTIVOS!$A$2:$A$53),
      NETWORKDAYS(J46,L46,fESTIVOS!$A$2:$A$53)
   )
)</f>
        <v>2</v>
      </c>
      <c r="N46" s="81"/>
      <c r="O46" s="81"/>
      <c r="P46" s="100"/>
      <c r="Q46" s="34" t="s">
        <v>1869</v>
      </c>
      <c r="R46" s="238" t="s">
        <v>78</v>
      </c>
      <c r="S46" s="103"/>
    </row>
    <row r="47" spans="1:19" ht="29.25" customHeight="1">
      <c r="A47" s="16" t="s">
        <v>1721</v>
      </c>
      <c r="B47" s="231" t="s">
        <v>1870</v>
      </c>
      <c r="C47" s="255" t="s">
        <v>1871</v>
      </c>
      <c r="D47" s="262"/>
      <c r="E47" s="261" t="s">
        <v>1724</v>
      </c>
      <c r="F47" s="85" t="s">
        <v>76</v>
      </c>
      <c r="G47" s="58">
        <v>100</v>
      </c>
      <c r="H47" s="234">
        <f>IF(OR(J47="",K47="",K47&lt;J47),0,NETWORKDAYS(J47,K47,fESTIVOS!$A$2:$A$53))</f>
        <v>2</v>
      </c>
      <c r="I47" s="81">
        <v>45889</v>
      </c>
      <c r="J47" s="60">
        <v>45889</v>
      </c>
      <c r="K47" s="60">
        <v>45890</v>
      </c>
      <c r="L47" s="60">
        <v>45889</v>
      </c>
      <c r="M47" s="39">
        <f ca="1">IF(OR(J47="",AND(L47="",TODAY()&lt;J47),AND(L47&lt;&gt;"",L47&lt;J47)),0,
   IF(L47="",
      NETWORKDAYS(J47,TODAY(),fESTIVOS!$A$2:$A$53),
      NETWORKDAYS(J47,L47,fESTIVOS!$A$2:$A$53)
   )
)</f>
        <v>1</v>
      </c>
      <c r="N47" s="81"/>
      <c r="O47" s="81"/>
      <c r="P47" s="100"/>
      <c r="Q47" s="34" t="s">
        <v>1872</v>
      </c>
      <c r="R47" s="238" t="s">
        <v>78</v>
      </c>
      <c r="S47" s="103"/>
    </row>
    <row r="48" spans="1:19" ht="29.25" customHeight="1">
      <c r="A48" s="16" t="s">
        <v>1721</v>
      </c>
      <c r="B48" s="231" t="s">
        <v>1873</v>
      </c>
      <c r="C48" s="255" t="s">
        <v>1874</v>
      </c>
      <c r="D48" s="262"/>
      <c r="E48" s="261" t="s">
        <v>1724</v>
      </c>
      <c r="F48" s="85" t="s">
        <v>76</v>
      </c>
      <c r="G48" s="58">
        <v>100</v>
      </c>
      <c r="H48" s="234">
        <f>IF(OR(J48="",K48="",K48&lt;J48),0,NETWORKDAYS(J48,K48,fESTIVOS!$A$2:$A$53))</f>
        <v>2</v>
      </c>
      <c r="I48" s="81">
        <v>45889</v>
      </c>
      <c r="J48" s="60">
        <v>45889</v>
      </c>
      <c r="K48" s="60">
        <v>45890</v>
      </c>
      <c r="L48" s="60">
        <v>45889</v>
      </c>
      <c r="M48" s="39">
        <f ca="1">IF(OR(J48="",AND(L48="",TODAY()&lt;J48),AND(L48&lt;&gt;"",L48&lt;J48)),0,
   IF(L48="",
      NETWORKDAYS(J48,TODAY(),fESTIVOS!$A$2:$A$53),
      NETWORKDAYS(J48,L48,fESTIVOS!$A$2:$A$53)
   )
)</f>
        <v>1</v>
      </c>
      <c r="N48" s="81"/>
      <c r="O48" s="81"/>
      <c r="P48" s="100"/>
      <c r="Q48" s="34" t="s">
        <v>1875</v>
      </c>
      <c r="R48" s="238" t="s">
        <v>78</v>
      </c>
      <c r="S48" s="103"/>
    </row>
    <row r="49" spans="1:19" ht="29.25" customHeight="1">
      <c r="A49" s="16" t="s">
        <v>1721</v>
      </c>
      <c r="B49" s="231" t="s">
        <v>1876</v>
      </c>
      <c r="C49" s="255" t="s">
        <v>1877</v>
      </c>
      <c r="D49" s="262"/>
      <c r="E49" s="261" t="s">
        <v>1724</v>
      </c>
      <c r="F49" s="85" t="s">
        <v>76</v>
      </c>
      <c r="G49" s="58">
        <v>100</v>
      </c>
      <c r="H49" s="234">
        <f>IF(OR(J49="",K49="",K49&lt;J49),0,NETWORKDAYS(J49,K49,fESTIVOS!$A$2:$A$53))</f>
        <v>2</v>
      </c>
      <c r="I49" s="81">
        <v>45889</v>
      </c>
      <c r="J49" s="60">
        <v>45889</v>
      </c>
      <c r="K49" s="60">
        <v>45890</v>
      </c>
      <c r="L49" s="60">
        <v>45889</v>
      </c>
      <c r="M49" s="39">
        <f ca="1">IF(OR(J49="",AND(L49="",TODAY()&lt;J49),AND(L49&lt;&gt;"",L49&lt;J49)),0,
   IF(L49="",
      NETWORKDAYS(J49,TODAY(),fESTIVOS!$A$2:$A$53),
      NETWORKDAYS(J49,L49,fESTIVOS!$A$2:$A$53)
   )
)</f>
        <v>1</v>
      </c>
      <c r="N49" s="81"/>
      <c r="O49" s="81"/>
      <c r="P49" s="100"/>
      <c r="Q49" s="34" t="s">
        <v>1878</v>
      </c>
      <c r="R49" s="238" t="s">
        <v>78</v>
      </c>
      <c r="S49" s="103"/>
    </row>
    <row r="50" spans="1:19" ht="29.25" customHeight="1">
      <c r="A50" s="16" t="s">
        <v>1721</v>
      </c>
      <c r="B50" s="231" t="s">
        <v>1879</v>
      </c>
      <c r="C50" s="255" t="s">
        <v>1880</v>
      </c>
      <c r="D50" s="262"/>
      <c r="E50" s="261" t="s">
        <v>1724</v>
      </c>
      <c r="F50" s="85" t="s">
        <v>76</v>
      </c>
      <c r="G50" s="58">
        <v>100</v>
      </c>
      <c r="H50" s="234">
        <f>IF(OR(J50="",K50="",K50&lt;J50),0,NETWORKDAYS(J50,K50,fESTIVOS!$A$2:$A$53))</f>
        <v>2</v>
      </c>
      <c r="I50" s="81">
        <v>45889</v>
      </c>
      <c r="J50" s="60">
        <v>45889</v>
      </c>
      <c r="K50" s="60">
        <v>45890</v>
      </c>
      <c r="L50" s="60">
        <v>45889</v>
      </c>
      <c r="M50" s="39">
        <f ca="1">IF(OR(J50="",AND(L50="",TODAY()&lt;J50),AND(L50&lt;&gt;"",L50&lt;J50)),0,
   IF(L50="",
      NETWORKDAYS(J50,TODAY(),fESTIVOS!$A$2:$A$53),
      NETWORKDAYS(J50,L50,fESTIVOS!$A$2:$A$53)
   )
)</f>
        <v>1</v>
      </c>
      <c r="N50" s="81"/>
      <c r="O50" s="81"/>
      <c r="P50" s="100"/>
      <c r="Q50" s="34" t="s">
        <v>1881</v>
      </c>
      <c r="R50" s="238" t="s">
        <v>78</v>
      </c>
      <c r="S50" s="103"/>
    </row>
    <row r="51" spans="1:19" ht="29.25" customHeight="1">
      <c r="A51" s="16" t="s">
        <v>1721</v>
      </c>
      <c r="B51" s="271" t="s">
        <v>1882</v>
      </c>
      <c r="C51" s="289" t="s">
        <v>1880</v>
      </c>
      <c r="D51" s="290"/>
      <c r="E51" s="291" t="s">
        <v>1724</v>
      </c>
      <c r="F51" s="292" t="s">
        <v>76</v>
      </c>
      <c r="G51" s="293">
        <v>100</v>
      </c>
      <c r="H51" s="234">
        <f>IF(OR(J51="",K51="",K51&lt;J51),0,NETWORKDAYS(J51,K51,fESTIVOS!$A$2:$A$53))</f>
        <v>2</v>
      </c>
      <c r="I51" s="294">
        <v>45889</v>
      </c>
      <c r="J51" s="295">
        <v>45889</v>
      </c>
      <c r="K51" s="295">
        <v>45890</v>
      </c>
      <c r="L51" s="295">
        <v>45889</v>
      </c>
      <c r="M51" s="39">
        <f ca="1">IF(OR(J51="",AND(L51="",TODAY()&lt;J51),AND(L51&lt;&gt;"",L51&lt;J51)),0,
   IF(L51="",
      NETWORKDAYS(J51,TODAY(),fESTIVOS!$A$2:$A$53),
      NETWORKDAYS(J51,L51,fESTIVOS!$A$2:$A$53)
   )
)</f>
        <v>1</v>
      </c>
      <c r="N51" s="279"/>
      <c r="O51" s="279"/>
      <c r="P51" s="280"/>
      <c r="Q51" s="34" t="s">
        <v>1883</v>
      </c>
      <c r="R51" s="238" t="s">
        <v>78</v>
      </c>
      <c r="S51" s="296"/>
    </row>
    <row r="52" spans="1:19" ht="29.25" customHeight="1">
      <c r="A52" s="16" t="s">
        <v>1721</v>
      </c>
      <c r="B52" s="271" t="s">
        <v>1884</v>
      </c>
      <c r="C52" s="289" t="s">
        <v>1880</v>
      </c>
      <c r="D52" s="290"/>
      <c r="E52" s="297" t="s">
        <v>1724</v>
      </c>
      <c r="F52" s="292" t="s">
        <v>76</v>
      </c>
      <c r="G52" s="293">
        <v>100</v>
      </c>
      <c r="H52" s="234">
        <f>IF(OR(J52="",K52="",K52&lt;J52),0,NETWORKDAYS(J52,K52,fESTIVOS!$A$2:$A$53))</f>
        <v>2</v>
      </c>
      <c r="I52" s="294">
        <v>45889</v>
      </c>
      <c r="J52" s="295">
        <v>45889</v>
      </c>
      <c r="K52" s="295">
        <v>45890</v>
      </c>
      <c r="L52" s="295">
        <v>45889</v>
      </c>
      <c r="M52" s="39">
        <f ca="1">IF(OR(J52="",AND(L52="",TODAY()&lt;J52),AND(L52&lt;&gt;"",L52&lt;J52)),0,
   IF(L52="",
      NETWORKDAYS(J52,TODAY(),fESTIVOS!$A$2:$A$53),
      NETWORKDAYS(J52,L52,fESTIVOS!$A$2:$A$53)
   )
)</f>
        <v>1</v>
      </c>
      <c r="N52" s="279"/>
      <c r="O52" s="279"/>
      <c r="P52" s="280"/>
      <c r="Q52" s="34" t="s">
        <v>1885</v>
      </c>
      <c r="R52" s="238" t="s">
        <v>78</v>
      </c>
      <c r="S52" s="296"/>
    </row>
    <row r="53" spans="1:19" ht="29.25" customHeight="1">
      <c r="A53" s="16" t="s">
        <v>1721</v>
      </c>
      <c r="B53" s="231" t="s">
        <v>1886</v>
      </c>
      <c r="C53" s="255" t="s">
        <v>1887</v>
      </c>
      <c r="D53" s="290"/>
      <c r="E53" s="233" t="s">
        <v>1788</v>
      </c>
      <c r="F53" s="292" t="s">
        <v>76</v>
      </c>
      <c r="G53" s="293">
        <v>100</v>
      </c>
      <c r="H53" s="234">
        <f>IF(OR(J53="",K53="",K53&lt;J53),0,NETWORKDAYS(J53,K53,fESTIVOS!$A$2:$A$53))</f>
        <v>2</v>
      </c>
      <c r="I53" s="277">
        <v>45890</v>
      </c>
      <c r="J53" s="278">
        <v>45890</v>
      </c>
      <c r="K53" s="278">
        <v>45891</v>
      </c>
      <c r="L53" s="278">
        <v>45890</v>
      </c>
      <c r="M53" s="39">
        <f ca="1">IF(OR(J53="",AND(L53="",TODAY()&lt;J53),AND(L53&lt;&gt;"",L53&lt;J53)),0,
   IF(L53="",
      NETWORKDAYS(J53,TODAY(),fESTIVOS!$A$2:$A$53),
      NETWORKDAYS(J53,L53,fESTIVOS!$A$2:$A$53)
   )
)</f>
        <v>1</v>
      </c>
      <c r="N53" s="279"/>
      <c r="O53" s="279"/>
      <c r="P53" s="280"/>
      <c r="Q53" s="34" t="s">
        <v>1888</v>
      </c>
      <c r="R53" s="238" t="s">
        <v>78</v>
      </c>
      <c r="S53" s="296"/>
    </row>
    <row r="54" spans="1:19" ht="29.25" customHeight="1">
      <c r="A54" s="16" t="s">
        <v>1721</v>
      </c>
      <c r="B54" s="231" t="s">
        <v>1889</v>
      </c>
      <c r="C54" s="255" t="s">
        <v>1890</v>
      </c>
      <c r="D54" s="266" t="s">
        <v>1891</v>
      </c>
      <c r="E54" s="233" t="s">
        <v>1788</v>
      </c>
      <c r="F54" s="298" t="s">
        <v>76</v>
      </c>
      <c r="G54" s="299">
        <v>100</v>
      </c>
      <c r="H54" s="234">
        <f>IF(OR(J54="",K54="",K54&lt;J54),0,NETWORKDAYS(J54,K54,fESTIVOS!$A$2:$A$53))</f>
        <v>1</v>
      </c>
      <c r="I54" s="277">
        <v>45890</v>
      </c>
      <c r="J54" s="278">
        <v>45891</v>
      </c>
      <c r="K54" s="278">
        <v>45891</v>
      </c>
      <c r="L54" s="278">
        <v>45891</v>
      </c>
      <c r="M54" s="39">
        <f ca="1">IF(OR(J54="",AND(L54="",TODAY()&lt;J54),AND(L54&lt;&gt;"",L54&lt;J54)),0,
   IF(L54="",
      NETWORKDAYS(J54,TODAY(),fESTIVOS!$A$2:$A$53),
      NETWORKDAYS(J54,L54,fESTIVOS!$A$2:$A$53)
   )
)</f>
        <v>1</v>
      </c>
      <c r="N54" s="279"/>
      <c r="O54" s="279"/>
      <c r="P54" s="280"/>
      <c r="Q54" s="34" t="s">
        <v>1892</v>
      </c>
      <c r="R54" s="300" t="s">
        <v>78</v>
      </c>
      <c r="S54" s="296"/>
    </row>
    <row r="55" spans="1:19" ht="29.25" customHeight="1">
      <c r="A55" s="16" t="s">
        <v>1721</v>
      </c>
      <c r="B55" s="231" t="s">
        <v>1893</v>
      </c>
      <c r="C55" s="255" t="s">
        <v>1894</v>
      </c>
      <c r="D55" s="290"/>
      <c r="E55" s="233" t="s">
        <v>1788</v>
      </c>
      <c r="F55" s="301" t="s">
        <v>76</v>
      </c>
      <c r="G55" s="302">
        <v>100</v>
      </c>
      <c r="H55" s="234">
        <f>IF(OR(J55="",K55="",K55&lt;J55),0,NETWORKDAYS(J55,K55,fESTIVOS!$A$2:$A$53))</f>
        <v>2</v>
      </c>
      <c r="I55" s="277">
        <v>45890</v>
      </c>
      <c r="J55" s="278">
        <v>45890</v>
      </c>
      <c r="K55" s="278">
        <v>45891</v>
      </c>
      <c r="L55" s="278">
        <v>45890</v>
      </c>
      <c r="M55" s="39">
        <f ca="1">IF(OR(J55="",AND(L55="",TODAY()&lt;J55),AND(L55&lt;&gt;"",L55&lt;J55)),0,
   IF(L55="",
      NETWORKDAYS(J55,TODAY(),fESTIVOS!$A$2:$A$53),
      NETWORKDAYS(J55,L55,fESTIVOS!$A$2:$A$53)
   )
)</f>
        <v>1</v>
      </c>
      <c r="N55" s="279"/>
      <c r="O55" s="279"/>
      <c r="P55" s="280"/>
      <c r="Q55" s="34" t="s">
        <v>1895</v>
      </c>
      <c r="R55" s="300" t="s">
        <v>78</v>
      </c>
      <c r="S55" s="296"/>
    </row>
    <row r="56" spans="1:19" ht="29.25" customHeight="1">
      <c r="A56" s="16" t="s">
        <v>1721</v>
      </c>
      <c r="B56" s="231" t="s">
        <v>1896</v>
      </c>
      <c r="C56" s="255" t="s">
        <v>1897</v>
      </c>
      <c r="D56" s="273" t="s">
        <v>1898</v>
      </c>
      <c r="E56" s="233" t="s">
        <v>1788</v>
      </c>
      <c r="F56" s="298" t="s">
        <v>76</v>
      </c>
      <c r="G56" s="299">
        <v>100</v>
      </c>
      <c r="H56" s="234">
        <f>IF(OR(J56="",K56="",K56&lt;J56),0,NETWORKDAYS(J56,K56,fESTIVOS!$A$2:$A$53))</f>
        <v>2</v>
      </c>
      <c r="I56" s="277">
        <v>45890</v>
      </c>
      <c r="J56" s="278">
        <v>45890</v>
      </c>
      <c r="K56" s="278">
        <v>45892</v>
      </c>
      <c r="L56" s="278">
        <v>45892</v>
      </c>
      <c r="M56" s="39">
        <f ca="1">IF(OR(J56="",AND(L56="",TODAY()&lt;J56),AND(L56&lt;&gt;"",L56&lt;J56)),0,
   IF(L56="",
      NETWORKDAYS(J56,TODAY(),fESTIVOS!$A$2:$A$53),
      NETWORKDAYS(J56,L56,fESTIVOS!$A$2:$A$53)
   )
)</f>
        <v>2</v>
      </c>
      <c r="N56" s="279"/>
      <c r="O56" s="279"/>
      <c r="P56" s="280"/>
      <c r="Q56" s="34" t="s">
        <v>1899</v>
      </c>
      <c r="R56" s="300" t="s">
        <v>78</v>
      </c>
      <c r="S56" s="296"/>
    </row>
    <row r="57" spans="1:19" ht="29.25" customHeight="1">
      <c r="A57" s="270" t="s">
        <v>1721</v>
      </c>
      <c r="B57" s="231" t="s">
        <v>1900</v>
      </c>
      <c r="C57" s="272" t="s">
        <v>1901</v>
      </c>
      <c r="D57" s="284" t="s">
        <v>1902</v>
      </c>
      <c r="E57" s="288" t="s">
        <v>1788</v>
      </c>
      <c r="F57" s="275" t="s">
        <v>76</v>
      </c>
      <c r="G57" s="276">
        <v>100</v>
      </c>
      <c r="H57" s="234">
        <f>IF(OR(J57="",K57="",K57&lt;J57),0,NETWORKDAYS(J57,K57,fESTIVOS!$A$2:$A$53))</f>
        <v>3</v>
      </c>
      <c r="I57" s="277">
        <v>45910</v>
      </c>
      <c r="J57" s="278">
        <v>45910</v>
      </c>
      <c r="K57" s="285">
        <v>45912</v>
      </c>
      <c r="L57" s="278">
        <v>45937</v>
      </c>
      <c r="M57" s="39">
        <f ca="1">IF(OR(J57="",AND(L57="",TODAY()&lt;J57),AND(L57&lt;&gt;"",L57&lt;J57)),0,
   IF(L57="",
      NETWORKDAYS(J57,TODAY(),fESTIVOS!$A$2:$A$53),
      NETWORKDAYS(J57,L57,fESTIVOS!$A$2:$A$53)
   )
)</f>
        <v>20</v>
      </c>
      <c r="N57" s="279"/>
      <c r="O57" s="279"/>
      <c r="P57" s="280"/>
      <c r="Q57" s="286" t="s">
        <v>1903</v>
      </c>
      <c r="R57" s="282" t="s">
        <v>78</v>
      </c>
      <c r="S57" s="283"/>
    </row>
    <row r="58" spans="1:19" ht="29.25" customHeight="1">
      <c r="A58" s="270" t="s">
        <v>1721</v>
      </c>
      <c r="B58" s="231" t="s">
        <v>1904</v>
      </c>
      <c r="C58" s="272" t="s">
        <v>1905</v>
      </c>
      <c r="D58" s="284" t="s">
        <v>1906</v>
      </c>
      <c r="E58" s="288" t="s">
        <v>1788</v>
      </c>
      <c r="F58" s="275" t="s">
        <v>76</v>
      </c>
      <c r="G58" s="276">
        <v>100</v>
      </c>
      <c r="H58" s="234">
        <f>IF(OR(J58="",K58="",K58&lt;J58),0,NETWORKDAYS(J58,K58,fESTIVOS!$A$2:$A$53))</f>
        <v>2</v>
      </c>
      <c r="I58" s="277">
        <v>45912</v>
      </c>
      <c r="J58" s="278">
        <v>45912</v>
      </c>
      <c r="K58" s="285">
        <v>45915</v>
      </c>
      <c r="L58" s="278">
        <v>45937</v>
      </c>
      <c r="M58" s="39">
        <f ca="1">IF(OR(J58="",AND(L58="",TODAY()&lt;J58),AND(L58&lt;&gt;"",L58&lt;J58)),0,
   IF(L58="",
      NETWORKDAYS(J58,TODAY(),fESTIVOS!$A$2:$A$53),
      NETWORKDAYS(J58,L58,fESTIVOS!$A$2:$A$53)
   )
)</f>
        <v>18</v>
      </c>
      <c r="N58" s="279"/>
      <c r="O58" s="279"/>
      <c r="P58" s="280"/>
      <c r="Q58" s="286" t="s">
        <v>1907</v>
      </c>
      <c r="R58" s="282" t="s">
        <v>78</v>
      </c>
      <c r="S58" s="283"/>
    </row>
    <row r="59" spans="1:19" ht="29.25" customHeight="1">
      <c r="A59" s="303" t="s">
        <v>1721</v>
      </c>
      <c r="B59" s="271" t="s">
        <v>1908</v>
      </c>
      <c r="C59" s="304" t="s">
        <v>1909</v>
      </c>
      <c r="D59" s="284" t="s">
        <v>1910</v>
      </c>
      <c r="E59" s="274" t="s">
        <v>1788</v>
      </c>
      <c r="F59" s="305" t="s">
        <v>76</v>
      </c>
      <c r="G59" s="306">
        <v>100</v>
      </c>
      <c r="H59" s="234">
        <f>IF(OR(J59="",K59="",K59&lt;J59),0,NETWORKDAYS(J59,K59,fESTIVOS!$A$2:$A$53))</f>
        <v>2</v>
      </c>
      <c r="I59" s="277">
        <v>45912</v>
      </c>
      <c r="J59" s="278">
        <v>45912</v>
      </c>
      <c r="K59" s="285">
        <v>45915</v>
      </c>
      <c r="L59" s="278">
        <v>45937</v>
      </c>
      <c r="M59" s="39">
        <f ca="1">IF(OR(J59="",AND(L59="",TODAY()&lt;J59),AND(L59&lt;&gt;"",L59&lt;J59)),0,
   IF(L59="",
      NETWORKDAYS(J59,TODAY(),fESTIVOS!$A$2:$A$53),
      NETWORKDAYS(J59,L59,fESTIVOS!$A$2:$A$53)
   )
)</f>
        <v>18</v>
      </c>
      <c r="N59" s="307"/>
      <c r="O59" s="307"/>
      <c r="P59" s="308"/>
      <c r="Q59" s="286" t="s">
        <v>1911</v>
      </c>
      <c r="R59" s="282" t="s">
        <v>78</v>
      </c>
      <c r="S59" s="283"/>
    </row>
    <row r="60" spans="1:19" ht="29.25" customHeight="1">
      <c r="A60" s="303" t="s">
        <v>1721</v>
      </c>
      <c r="B60" s="288" t="s">
        <v>1912</v>
      </c>
      <c r="C60" s="304" t="s">
        <v>1913</v>
      </c>
      <c r="D60" s="309" t="s">
        <v>1914</v>
      </c>
      <c r="E60" s="274" t="s">
        <v>1788</v>
      </c>
      <c r="F60" s="305" t="s">
        <v>76</v>
      </c>
      <c r="G60" s="306">
        <v>100</v>
      </c>
      <c r="H60" s="234">
        <f>IF(OR(J60="",K60="",K60&lt;J60),0,NETWORKDAYS(J60,K60,fESTIVOS!$A$2:$A$53))</f>
        <v>3</v>
      </c>
      <c r="I60" s="310">
        <v>45917</v>
      </c>
      <c r="J60" s="285">
        <v>45917</v>
      </c>
      <c r="K60" s="285">
        <v>45919</v>
      </c>
      <c r="L60" s="278">
        <v>45937</v>
      </c>
      <c r="M60" s="39">
        <f ca="1">IF(OR(J60="",AND(L60="",TODAY()&lt;J60),AND(L60&lt;&gt;"",L60&lt;J60)),0,
   IF(L60="",
      NETWORKDAYS(J60,TODAY(),fESTIVOS!$A$2:$A$53),
      NETWORKDAYS(J60,L60,fESTIVOS!$A$2:$A$53)
   )
)</f>
        <v>15</v>
      </c>
      <c r="N60" s="307"/>
      <c r="O60" s="307"/>
      <c r="P60" s="308"/>
      <c r="Q60" s="286" t="s">
        <v>1915</v>
      </c>
      <c r="R60" s="282" t="s">
        <v>78</v>
      </c>
      <c r="S60" s="283"/>
    </row>
    <row r="61" spans="1:19" ht="29.25" customHeight="1">
      <c r="A61" s="303" t="s">
        <v>1721</v>
      </c>
      <c r="B61" s="288" t="s">
        <v>1916</v>
      </c>
      <c r="C61" s="304" t="s">
        <v>1917</v>
      </c>
      <c r="D61" s="309" t="s">
        <v>1918</v>
      </c>
      <c r="E61" s="274" t="s">
        <v>1788</v>
      </c>
      <c r="F61" s="305" t="s">
        <v>76</v>
      </c>
      <c r="G61" s="306">
        <v>100</v>
      </c>
      <c r="H61" s="234">
        <f>IF(OR(J61="",K61="",K61&lt;J61),0,NETWORKDAYS(J61,K61,fESTIVOS!$A$2:$A$53))</f>
        <v>3</v>
      </c>
      <c r="I61" s="310">
        <v>45917</v>
      </c>
      <c r="J61" s="285">
        <v>45917</v>
      </c>
      <c r="K61" s="285">
        <v>45919</v>
      </c>
      <c r="L61" s="278">
        <v>45937</v>
      </c>
      <c r="M61" s="39">
        <f ca="1">IF(OR(J61="",AND(L61="",TODAY()&lt;J61),AND(L61&lt;&gt;"",L61&lt;J61)),0,
   IF(L61="",
      NETWORKDAYS(J61,TODAY(),fESTIVOS!$A$2:$A$53),
      NETWORKDAYS(J61,L61,fESTIVOS!$A$2:$A$53)
   )
)</f>
        <v>15</v>
      </c>
      <c r="N61" s="307"/>
      <c r="O61" s="307"/>
      <c r="P61" s="308"/>
      <c r="Q61" s="286" t="s">
        <v>1919</v>
      </c>
      <c r="R61" s="282" t="s">
        <v>78</v>
      </c>
      <c r="S61" s="283"/>
    </row>
    <row r="62" spans="1:19" ht="39" customHeight="1">
      <c r="A62" s="16" t="s">
        <v>1721</v>
      </c>
      <c r="B62" s="231" t="s">
        <v>1920</v>
      </c>
      <c r="C62" s="255" t="s">
        <v>1921</v>
      </c>
      <c r="D62" s="311" t="s">
        <v>1922</v>
      </c>
      <c r="E62" s="233" t="s">
        <v>1724</v>
      </c>
      <c r="F62" s="20" t="s">
        <v>76</v>
      </c>
      <c r="G62" s="58">
        <v>100</v>
      </c>
      <c r="H62" s="234">
        <f>IF(OR(J62="",K62="",K62&lt;J62),0,NETWORKDAYS(J62,K62,fESTIVOS!$A$2:$A$53))</f>
        <v>1</v>
      </c>
      <c r="I62" s="81">
        <v>45919</v>
      </c>
      <c r="J62" s="60">
        <v>45919</v>
      </c>
      <c r="K62" s="60">
        <v>45919</v>
      </c>
      <c r="L62" s="60">
        <v>45919</v>
      </c>
      <c r="M62" s="39">
        <f ca="1">IF(OR(J62="",AND(L62="",TODAY()&lt;J62),AND(L62&lt;&gt;"",L62&lt;J62)),0,
   IF(L62="",
      NETWORKDAYS(J62,TODAY(),fESTIVOS!$A$2:$A$53),
      NETWORKDAYS(J62,L62,fESTIVOS!$A$2:$A$53)
   )
)</f>
        <v>1</v>
      </c>
      <c r="N62" s="59"/>
      <c r="O62" s="59"/>
      <c r="P62" s="69"/>
      <c r="Q62" s="286" t="s">
        <v>1923</v>
      </c>
      <c r="R62" s="238" t="s">
        <v>78</v>
      </c>
      <c r="S62" s="64"/>
    </row>
    <row r="63" spans="1:19" ht="29.25" customHeight="1">
      <c r="A63" s="303" t="s">
        <v>1721</v>
      </c>
      <c r="B63" s="288" t="s">
        <v>1924</v>
      </c>
      <c r="C63" s="304" t="s">
        <v>1925</v>
      </c>
      <c r="D63" s="309" t="s">
        <v>1926</v>
      </c>
      <c r="E63" s="274" t="s">
        <v>1788</v>
      </c>
      <c r="F63" s="305" t="s">
        <v>76</v>
      </c>
      <c r="G63" s="306">
        <v>100</v>
      </c>
      <c r="H63" s="234">
        <f>IF(OR(J63="",K63="",K63&lt;J63),0,NETWORKDAYS(J63,K63,fESTIVOS!$A$2:$A$53))</f>
        <v>0</v>
      </c>
      <c r="I63" s="310">
        <v>45922</v>
      </c>
      <c r="J63" s="285">
        <v>45922</v>
      </c>
      <c r="K63" s="285"/>
      <c r="L63" s="285">
        <v>45937</v>
      </c>
      <c r="M63" s="39">
        <f ca="1">IF(OR(J63="",AND(L63="",TODAY()&lt;J63),AND(L63&lt;&gt;"",L63&lt;J63)),0,
   IF(L63="",
      NETWORKDAYS(J63,TODAY(),fESTIVOS!$A$2:$A$53),
      NETWORKDAYS(J63,L63,fESTIVOS!$A$2:$A$53)
   )
)</f>
        <v>12</v>
      </c>
      <c r="N63" s="307"/>
      <c r="O63" s="307"/>
      <c r="P63" s="308"/>
      <c r="Q63" s="286" t="s">
        <v>1927</v>
      </c>
      <c r="R63" s="282" t="s">
        <v>78</v>
      </c>
      <c r="S63" s="283"/>
    </row>
    <row r="64" spans="1:19" ht="29.25" customHeight="1">
      <c r="A64" s="303" t="s">
        <v>1721</v>
      </c>
      <c r="B64" s="288" t="s">
        <v>1928</v>
      </c>
      <c r="C64" s="304" t="s">
        <v>1925</v>
      </c>
      <c r="D64" s="309" t="s">
        <v>1929</v>
      </c>
      <c r="E64" s="274" t="s">
        <v>1788</v>
      </c>
      <c r="F64" s="305" t="s">
        <v>76</v>
      </c>
      <c r="G64" s="306">
        <v>100</v>
      </c>
      <c r="H64" s="234">
        <f>IF(OR(J64="",K64="",K64&lt;J64),0,NETWORKDAYS(J64,K64,fESTIVOS!$A$2:$A$53))</f>
        <v>0</v>
      </c>
      <c r="I64" s="310">
        <v>45922</v>
      </c>
      <c r="J64" s="285">
        <v>45922</v>
      </c>
      <c r="K64" s="285"/>
      <c r="L64" s="285">
        <v>45937</v>
      </c>
      <c r="M64" s="39">
        <f ca="1">IF(OR(J64="",AND(L64="",TODAY()&lt;J64),AND(L64&lt;&gt;"",L64&lt;J64)),0,
   IF(L64="",
      NETWORKDAYS(J64,TODAY(),fESTIVOS!$A$2:$A$53),
      NETWORKDAYS(J64,L64,fESTIVOS!$A$2:$A$53)
   )
)</f>
        <v>12</v>
      </c>
      <c r="N64" s="307"/>
      <c r="O64" s="307"/>
      <c r="P64" s="308"/>
      <c r="Q64" s="286" t="s">
        <v>1930</v>
      </c>
      <c r="R64" s="282" t="s">
        <v>78</v>
      </c>
      <c r="S64" s="283"/>
    </row>
    <row r="65" spans="1:19" ht="29.25" customHeight="1">
      <c r="A65" s="303" t="s">
        <v>1721</v>
      </c>
      <c r="B65" s="288" t="s">
        <v>1931</v>
      </c>
      <c r="C65" s="304" t="s">
        <v>1932</v>
      </c>
      <c r="D65" s="309" t="s">
        <v>1933</v>
      </c>
      <c r="E65" s="274" t="s">
        <v>1788</v>
      </c>
      <c r="F65" s="305" t="s">
        <v>76</v>
      </c>
      <c r="G65" s="306">
        <v>100</v>
      </c>
      <c r="H65" s="234">
        <f>IF(OR(J65="",K65="",K65&lt;J65),0,NETWORKDAYS(J65,K65,fESTIVOS!$A$2:$A$53))</f>
        <v>1</v>
      </c>
      <c r="I65" s="310">
        <v>45925</v>
      </c>
      <c r="J65" s="285">
        <v>45925</v>
      </c>
      <c r="K65" s="285">
        <v>45925</v>
      </c>
      <c r="L65" s="285">
        <v>45925</v>
      </c>
      <c r="M65" s="39">
        <f ca="1">IF(OR(J65="",AND(L65="",TODAY()&lt;J65),AND(L65&lt;&gt;"",L65&lt;J65)),0,
   IF(L65="",
      NETWORKDAYS(J65,TODAY(),fESTIVOS!$A$2:$A$53),
      NETWORKDAYS(J65,L65,fESTIVOS!$A$2:$A$53)
   )
)</f>
        <v>1</v>
      </c>
      <c r="N65" s="307"/>
      <c r="O65" s="307"/>
      <c r="P65" s="308"/>
      <c r="Q65" s="286" t="s">
        <v>1934</v>
      </c>
      <c r="R65" s="282" t="s">
        <v>78</v>
      </c>
      <c r="S65" s="283"/>
    </row>
    <row r="66" spans="1:19" ht="29.25" customHeight="1">
      <c r="A66" s="270" t="s">
        <v>1721</v>
      </c>
      <c r="B66" s="271" t="s">
        <v>1935</v>
      </c>
      <c r="C66" s="272" t="s">
        <v>1936</v>
      </c>
      <c r="D66" s="273" t="s">
        <v>1937</v>
      </c>
      <c r="E66" s="274" t="s">
        <v>1805</v>
      </c>
      <c r="F66" s="275" t="s">
        <v>76</v>
      </c>
      <c r="G66" s="276">
        <v>100</v>
      </c>
      <c r="H66" s="234">
        <f>IF(OR(J66="",K66="",K66&lt;J66),0,NETWORKDAYS(J66,K66,fESTIVOS!$A$2:$A$53))</f>
        <v>1</v>
      </c>
      <c r="I66" s="277">
        <v>45931</v>
      </c>
      <c r="J66" s="278">
        <v>45932</v>
      </c>
      <c r="K66" s="278">
        <v>45932</v>
      </c>
      <c r="L66" s="278">
        <v>45932</v>
      </c>
      <c r="M66" s="39">
        <f ca="1">IF(OR(J66="",AND(L66="",TODAY()&lt;J66),AND(L66&lt;&gt;"",L66&lt;J66)),0,
   IF(L66="",
      NETWORKDAYS(J66,TODAY(),fESTIVOS!$A$2:$A$53),
      NETWORKDAYS(J66,L66,fESTIVOS!$A$2:$A$53)
   )
)</f>
        <v>1</v>
      </c>
      <c r="N66" s="279"/>
      <c r="O66" s="279"/>
      <c r="P66" s="280"/>
      <c r="Q66" s="281" t="s">
        <v>1938</v>
      </c>
      <c r="R66" s="282" t="s">
        <v>78</v>
      </c>
      <c r="S66" s="283"/>
    </row>
    <row r="67" spans="1:19" ht="29.25" customHeight="1">
      <c r="A67" s="270" t="s">
        <v>1721</v>
      </c>
      <c r="B67" s="271" t="s">
        <v>1939</v>
      </c>
      <c r="C67" s="272" t="s">
        <v>1940</v>
      </c>
      <c r="D67" s="284" t="s">
        <v>1941</v>
      </c>
      <c r="E67" s="274" t="s">
        <v>1724</v>
      </c>
      <c r="F67" s="275" t="s">
        <v>76</v>
      </c>
      <c r="G67" s="276">
        <v>100</v>
      </c>
      <c r="H67" s="234">
        <f>IF(OR(J67="",K67="",K67&lt;J67),0,NETWORKDAYS(J67,K67,fESTIVOS!$A$2:$A$53))</f>
        <v>0</v>
      </c>
      <c r="I67" s="277">
        <v>45932</v>
      </c>
      <c r="J67" s="278">
        <v>45934</v>
      </c>
      <c r="K67" s="278">
        <v>45934</v>
      </c>
      <c r="L67" s="278">
        <v>45934</v>
      </c>
      <c r="M67" s="39">
        <f ca="1">IF(OR(J67="",AND(L67="",TODAY()&lt;J67),AND(L67&lt;&gt;"",L67&lt;J67)),0,
   IF(L67="",
      NETWORKDAYS(J67,TODAY(),fESTIVOS!$A$2:$A$53),
      NETWORKDAYS(J67,L67,fESTIVOS!$A$2:$A$53)
   )
)</f>
        <v>0</v>
      </c>
      <c r="N67" s="279"/>
      <c r="O67" s="279"/>
      <c r="P67" s="280"/>
      <c r="Q67" s="286" t="s">
        <v>1942</v>
      </c>
      <c r="R67" s="282" t="s">
        <v>78</v>
      </c>
      <c r="S67" s="283"/>
    </row>
    <row r="68" spans="1:19" ht="29.25" customHeight="1">
      <c r="A68" s="270" t="s">
        <v>1721</v>
      </c>
      <c r="B68" s="271" t="s">
        <v>1943</v>
      </c>
      <c r="C68" s="272" t="s">
        <v>1944</v>
      </c>
      <c r="D68" s="284" t="s">
        <v>1945</v>
      </c>
      <c r="E68" s="274" t="s">
        <v>1724</v>
      </c>
      <c r="F68" s="275" t="s">
        <v>76</v>
      </c>
      <c r="G68" s="276">
        <v>100</v>
      </c>
      <c r="H68" s="234">
        <f>IF(OR(J68="",K68="",K68&lt;J68),0,NETWORKDAYS(J68,K68,fESTIVOS!$A$2:$A$53))</f>
        <v>0</v>
      </c>
      <c r="I68" s="277">
        <v>45932</v>
      </c>
      <c r="J68" s="278">
        <v>45934</v>
      </c>
      <c r="K68" s="278">
        <v>45934</v>
      </c>
      <c r="L68" s="278">
        <v>45934</v>
      </c>
      <c r="M68" s="39">
        <f ca="1">IF(OR(J68="",AND(L68="",TODAY()&lt;J68),AND(L68&lt;&gt;"",L68&lt;J68)),0,
   IF(L68="",
      NETWORKDAYS(J68,TODAY(),fESTIVOS!$A$2:$A$53),
      NETWORKDAYS(J68,L68,fESTIVOS!$A$2:$A$53)
   )
)</f>
        <v>0</v>
      </c>
      <c r="N68" s="279"/>
      <c r="O68" s="279"/>
      <c r="P68" s="280"/>
      <c r="Q68" s="286" t="s">
        <v>1946</v>
      </c>
      <c r="R68" s="282" t="s">
        <v>78</v>
      </c>
      <c r="S68" s="283"/>
    </row>
    <row r="69" spans="1:19" ht="29.25" customHeight="1">
      <c r="A69" s="16" t="s">
        <v>1721</v>
      </c>
      <c r="B69" s="231" t="s">
        <v>1947</v>
      </c>
      <c r="C69" s="255" t="s">
        <v>1897</v>
      </c>
      <c r="D69" s="273" t="s">
        <v>1948</v>
      </c>
      <c r="E69" s="233" t="s">
        <v>1788</v>
      </c>
      <c r="F69" s="298" t="s">
        <v>76</v>
      </c>
      <c r="G69" s="299">
        <v>100</v>
      </c>
      <c r="H69" s="234">
        <f>IF(OR(J69="",K69="",K69&lt;J69),0,NETWORKDAYS(J69,K69,fESTIVOS!$A$2:$A$53))</f>
        <v>0</v>
      </c>
      <c r="I69" s="277">
        <v>45932</v>
      </c>
      <c r="J69" s="278">
        <v>45934</v>
      </c>
      <c r="K69" s="278">
        <v>45934</v>
      </c>
      <c r="L69" s="278">
        <v>45934</v>
      </c>
      <c r="M69" s="39">
        <f ca="1">IF(OR(J69="",AND(L69="",TODAY()&lt;J69),AND(L69&lt;&gt;"",L69&lt;J69)),0,
   IF(L69="",
      NETWORKDAYS(J69,TODAY(),fESTIVOS!$A$2:$A$53),
      NETWORKDAYS(J69,L69,fESTIVOS!$A$2:$A$53)
   )
)</f>
        <v>0</v>
      </c>
      <c r="N69" s="279"/>
      <c r="O69" s="279"/>
      <c r="P69" s="280"/>
      <c r="Q69" s="34" t="s">
        <v>1949</v>
      </c>
      <c r="R69" s="300" t="s">
        <v>78</v>
      </c>
      <c r="S69" s="296"/>
    </row>
    <row r="70" spans="1:19" ht="29.25" customHeight="1">
      <c r="A70" s="270" t="s">
        <v>1721</v>
      </c>
      <c r="B70" s="271" t="s">
        <v>1950</v>
      </c>
      <c r="C70" s="272" t="s">
        <v>1951</v>
      </c>
      <c r="D70" s="284"/>
      <c r="E70" s="274" t="s">
        <v>1724</v>
      </c>
      <c r="F70" s="275" t="s">
        <v>76</v>
      </c>
      <c r="G70" s="276">
        <v>100</v>
      </c>
      <c r="H70" s="234">
        <f>IF(OR(J70="",K70="",K70&lt;J70),0,NETWORKDAYS(J70,K70,fESTIVOS!$A$2:$A$53))</f>
        <v>2</v>
      </c>
      <c r="I70" s="277">
        <v>45936</v>
      </c>
      <c r="J70" s="278">
        <v>45936</v>
      </c>
      <c r="K70" s="278">
        <v>45937</v>
      </c>
      <c r="L70" s="278">
        <v>45937</v>
      </c>
      <c r="M70" s="39">
        <f ca="1">IF(OR(J70="",AND(L70="",TODAY()&lt;J70),AND(L70&lt;&gt;"",L70&lt;J70)),0,
   IF(L70="",
      NETWORKDAYS(J70,TODAY(),fESTIVOS!$A$2:$A$53),
      NETWORKDAYS(J70,L70,fESTIVOS!$A$2:$A$53)
   )
)</f>
        <v>2</v>
      </c>
      <c r="N70" s="279"/>
      <c r="O70" s="279"/>
      <c r="P70" s="280"/>
      <c r="Q70" s="286" t="s">
        <v>1952</v>
      </c>
      <c r="R70" s="282" t="s">
        <v>78</v>
      </c>
      <c r="S70" s="283"/>
    </row>
    <row r="71" spans="1:19" ht="29.25" customHeight="1">
      <c r="A71" s="270" t="s">
        <v>1721</v>
      </c>
      <c r="B71" s="271" t="s">
        <v>1953</v>
      </c>
      <c r="C71" s="272" t="s">
        <v>1954</v>
      </c>
      <c r="D71" s="284" t="s">
        <v>1955</v>
      </c>
      <c r="E71" s="274" t="s">
        <v>1724</v>
      </c>
      <c r="F71" s="275" t="s">
        <v>76</v>
      </c>
      <c r="G71" s="276">
        <v>100</v>
      </c>
      <c r="H71" s="234">
        <f>IF(OR(J71="",K71="",K71&lt;J71),0,NETWORKDAYS(J71,K71,fESTIVOS!$A$2:$A$53))</f>
        <v>2</v>
      </c>
      <c r="I71" s="277">
        <v>45936</v>
      </c>
      <c r="J71" s="278">
        <v>45936</v>
      </c>
      <c r="K71" s="278">
        <v>45937</v>
      </c>
      <c r="L71" s="278">
        <v>45937</v>
      </c>
      <c r="M71" s="39">
        <f ca="1">IF(OR(J71="",AND(L71="",TODAY()&lt;J71),AND(L71&lt;&gt;"",L71&lt;J71)),0,
   IF(L71="",
      NETWORKDAYS(J71,TODAY(),fESTIVOS!$A$2:$A$53),
      NETWORKDAYS(J71,L71,fESTIVOS!$A$2:$A$53)
   )
)</f>
        <v>2</v>
      </c>
      <c r="N71" s="279"/>
      <c r="O71" s="279"/>
      <c r="P71" s="280"/>
      <c r="Q71" s="286" t="s">
        <v>1956</v>
      </c>
      <c r="R71" s="282" t="s">
        <v>78</v>
      </c>
      <c r="S71" s="283"/>
    </row>
    <row r="72" spans="1:19" ht="29.25" customHeight="1">
      <c r="A72" s="303" t="s">
        <v>1721</v>
      </c>
      <c r="B72" s="288" t="s">
        <v>1957</v>
      </c>
      <c r="C72" s="304" t="s">
        <v>1958</v>
      </c>
      <c r="D72" s="284" t="s">
        <v>1959</v>
      </c>
      <c r="E72" s="274" t="s">
        <v>1788</v>
      </c>
      <c r="F72" s="305" t="s">
        <v>76</v>
      </c>
      <c r="G72" s="306">
        <v>100</v>
      </c>
      <c r="H72" s="234">
        <f>IF(OR(J72="",K72="",K72&lt;J72),0,NETWORKDAYS(J72,K72,fESTIVOS!$A$2:$A$53))</f>
        <v>2</v>
      </c>
      <c r="I72" s="277">
        <v>45936</v>
      </c>
      <c r="J72" s="278">
        <v>45936</v>
      </c>
      <c r="K72" s="278">
        <v>45937</v>
      </c>
      <c r="L72" s="278">
        <v>45937</v>
      </c>
      <c r="M72" s="39">
        <f ca="1">IF(OR(J72="",AND(L72="",TODAY()&lt;J72),AND(L72&lt;&gt;"",L72&lt;J72)),0,
   IF(L72="",
      NETWORKDAYS(J72,TODAY(),fESTIVOS!$A$2:$A$53),
      NETWORKDAYS(J72,L72,fESTIVOS!$A$2:$A$53)
   )
)</f>
        <v>2</v>
      </c>
      <c r="N72" s="307"/>
      <c r="O72" s="307"/>
      <c r="P72" s="308"/>
      <c r="Q72" s="286" t="s">
        <v>1960</v>
      </c>
      <c r="R72" s="282" t="s">
        <v>78</v>
      </c>
      <c r="S72" s="283"/>
    </row>
    <row r="73" spans="1:19" ht="29.25" customHeight="1">
      <c r="A73" s="312" t="s">
        <v>1721</v>
      </c>
      <c r="B73" s="313" t="s">
        <v>1961</v>
      </c>
      <c r="C73" s="314" t="s">
        <v>1925</v>
      </c>
      <c r="D73" s="309" t="s">
        <v>1962</v>
      </c>
      <c r="E73" s="315" t="s">
        <v>1788</v>
      </c>
      <c r="F73" s="316" t="s">
        <v>76</v>
      </c>
      <c r="G73" s="299">
        <v>100</v>
      </c>
      <c r="H73" s="234">
        <f>IF(OR(J73="",K73="",K73&lt;J73),0,NETWORKDAYS(J73,K73,fESTIVOS!$A$2:$A$53))</f>
        <v>2</v>
      </c>
      <c r="I73" s="277">
        <v>45936</v>
      </c>
      <c r="J73" s="278">
        <v>45936</v>
      </c>
      <c r="K73" s="278">
        <v>45937</v>
      </c>
      <c r="L73" s="278">
        <v>45937</v>
      </c>
      <c r="M73" s="39">
        <f ca="1">IF(OR(J73="",AND(L73="",TODAY()&lt;J73),AND(L73&lt;&gt;"",L73&lt;J73)),0,
   IF(L73="",
      NETWORKDAYS(J73,TODAY(),fESTIVOS!$A$2:$A$53),
      NETWORKDAYS(J73,L73,fESTIVOS!$A$2:$A$53)
   )
)</f>
        <v>2</v>
      </c>
      <c r="N73" s="279"/>
      <c r="O73" s="279"/>
      <c r="P73" s="280"/>
      <c r="Q73" s="286" t="s">
        <v>1963</v>
      </c>
      <c r="R73" s="300" t="s">
        <v>78</v>
      </c>
      <c r="S73" s="317"/>
    </row>
    <row r="74" spans="1:19" ht="29.25" customHeight="1">
      <c r="A74" s="303" t="s">
        <v>1721</v>
      </c>
      <c r="B74" s="288" t="s">
        <v>1964</v>
      </c>
      <c r="C74" s="304" t="s">
        <v>1925</v>
      </c>
      <c r="D74" s="309" t="s">
        <v>1965</v>
      </c>
      <c r="E74" s="274" t="s">
        <v>1788</v>
      </c>
      <c r="F74" s="305" t="s">
        <v>76</v>
      </c>
      <c r="G74" s="306">
        <v>100</v>
      </c>
      <c r="H74" s="234">
        <f>IF(OR(J74="",K74="",K74&lt;J74),0,NETWORKDAYS(J74,K74,fESTIVOS!$A$2:$A$53))</f>
        <v>2</v>
      </c>
      <c r="I74" s="277">
        <v>45936</v>
      </c>
      <c r="J74" s="278">
        <v>45936</v>
      </c>
      <c r="K74" s="278">
        <v>45937</v>
      </c>
      <c r="L74" s="278">
        <v>45937</v>
      </c>
      <c r="M74" s="39">
        <f ca="1">IF(OR(J74="",AND(L74="",TODAY()&lt;J74),AND(L74&lt;&gt;"",L74&lt;J74)),0,
   IF(L74="",
      NETWORKDAYS(J74,TODAY(),fESTIVOS!$A$2:$A$53),
      NETWORKDAYS(J74,L74,fESTIVOS!$A$2:$A$53)
   )
)</f>
        <v>2</v>
      </c>
      <c r="N74" s="307"/>
      <c r="O74" s="307"/>
      <c r="P74" s="308"/>
      <c r="Q74" s="286" t="s">
        <v>1966</v>
      </c>
      <c r="R74" s="282" t="s">
        <v>78</v>
      </c>
      <c r="S74" s="283"/>
    </row>
    <row r="75" spans="1:19" ht="29.25" customHeight="1">
      <c r="A75" s="270" t="s">
        <v>1721</v>
      </c>
      <c r="B75" s="271" t="s">
        <v>1967</v>
      </c>
      <c r="C75" s="272" t="s">
        <v>1968</v>
      </c>
      <c r="D75" s="284" t="s">
        <v>1969</v>
      </c>
      <c r="E75" s="274" t="s">
        <v>1724</v>
      </c>
      <c r="F75" s="275" t="s">
        <v>76</v>
      </c>
      <c r="G75" s="276">
        <v>100</v>
      </c>
      <c r="H75" s="234">
        <f>IF(OR(J75="",K75="",K75&lt;J75),0,NETWORKDAYS(J75,K75,fESTIVOS!$A$2:$A$53))</f>
        <v>2</v>
      </c>
      <c r="I75" s="277">
        <v>45938</v>
      </c>
      <c r="J75" s="278">
        <v>45938</v>
      </c>
      <c r="K75" s="278">
        <v>45939</v>
      </c>
      <c r="L75" s="278">
        <v>45938</v>
      </c>
      <c r="M75" s="39">
        <f ca="1">IF(OR(J75="",AND(L75="",TODAY()&lt;J75),AND(L75&lt;&gt;"",L75&lt;J75)),0,
   IF(L75="",
      NETWORKDAYS(J75,TODAY(),fESTIVOS!$A$2:$A$53),
      NETWORKDAYS(J75,L75,fESTIVOS!$A$2:$A$53)
   )
)</f>
        <v>1</v>
      </c>
      <c r="N75" s="279"/>
      <c r="O75" s="279"/>
      <c r="P75" s="280"/>
      <c r="Q75" s="286" t="s">
        <v>1970</v>
      </c>
      <c r="R75" s="282" t="s">
        <v>78</v>
      </c>
      <c r="S75" s="283"/>
    </row>
    <row r="76" spans="1:19" ht="29.25" customHeight="1">
      <c r="A76" s="270" t="s">
        <v>1721</v>
      </c>
      <c r="B76" s="271" t="s">
        <v>1971</v>
      </c>
      <c r="C76" s="272" t="s">
        <v>1972</v>
      </c>
      <c r="D76" s="284" t="s">
        <v>1973</v>
      </c>
      <c r="E76" s="274" t="s">
        <v>1724</v>
      </c>
      <c r="F76" s="275" t="s">
        <v>76</v>
      </c>
      <c r="G76" s="276">
        <v>100</v>
      </c>
      <c r="H76" s="234">
        <f>IF(OR(J76="",K76="",K76&lt;J76),0,NETWORKDAYS(J76,K76,fESTIVOS!$A$2:$A$53))</f>
        <v>2</v>
      </c>
      <c r="I76" s="277">
        <v>45939</v>
      </c>
      <c r="J76" s="278">
        <v>45939</v>
      </c>
      <c r="K76" s="278">
        <v>45940</v>
      </c>
      <c r="L76" s="278">
        <v>45939</v>
      </c>
      <c r="M76" s="39">
        <f ca="1">IF(OR(J76="",AND(L76="",TODAY()&lt;J76),AND(L76&lt;&gt;"",L76&lt;J76)),0,
   IF(L76="",
      NETWORKDAYS(J76,TODAY(),fESTIVOS!$A$2:$A$53),
      NETWORKDAYS(J76,L76,fESTIVOS!$A$2:$A$53)
   )
)</f>
        <v>1</v>
      </c>
      <c r="N76" s="279"/>
      <c r="O76" s="279"/>
      <c r="P76" s="280"/>
      <c r="Q76" s="286" t="s">
        <v>1974</v>
      </c>
      <c r="R76" s="282" t="s">
        <v>78</v>
      </c>
      <c r="S76" s="283"/>
    </row>
    <row r="77" spans="1:19" ht="29.25" customHeight="1">
      <c r="A77" s="303" t="s">
        <v>1721</v>
      </c>
      <c r="B77" s="288" t="s">
        <v>1975</v>
      </c>
      <c r="C77" s="304" t="s">
        <v>1976</v>
      </c>
      <c r="D77" s="309" t="s">
        <v>1977</v>
      </c>
      <c r="E77" s="274" t="s">
        <v>1788</v>
      </c>
      <c r="F77" s="318" t="s">
        <v>76</v>
      </c>
      <c r="G77" s="319">
        <v>100</v>
      </c>
      <c r="H77" s="234">
        <f>IF(OR(J77="",K77="",K77&lt;J77),0,NETWORKDAYS(J77,K77,fESTIVOS!$A$2:$A$53))</f>
        <v>1</v>
      </c>
      <c r="I77" s="310">
        <v>45940</v>
      </c>
      <c r="J77" s="285">
        <v>45940</v>
      </c>
      <c r="K77" s="285">
        <v>45940</v>
      </c>
      <c r="L77" s="285">
        <v>45940</v>
      </c>
      <c r="M77" s="39">
        <f ca="1">IF(OR(J77="",AND(L77="",TODAY()&lt;J77),AND(L77&lt;&gt;"",L77&lt;J77)),0,
   IF(L77="",
      NETWORKDAYS(J77,TODAY(),fESTIVOS!$A$2:$A$53),
      NETWORKDAYS(J77,L77,fESTIVOS!$A$2:$A$53)
   )
)</f>
        <v>1</v>
      </c>
      <c r="N77" s="307"/>
      <c r="O77" s="307"/>
      <c r="P77" s="308"/>
      <c r="Q77" s="286" t="s">
        <v>1978</v>
      </c>
      <c r="R77" s="282" t="s">
        <v>78</v>
      </c>
      <c r="S77" s="283"/>
    </row>
    <row r="78" spans="1:19" ht="29.25" customHeight="1">
      <c r="A78" s="303" t="s">
        <v>1721</v>
      </c>
      <c r="B78" s="288" t="s">
        <v>1979</v>
      </c>
      <c r="C78" s="304" t="s">
        <v>1980</v>
      </c>
      <c r="D78" s="320" t="s">
        <v>1981</v>
      </c>
      <c r="E78" s="274" t="s">
        <v>1805</v>
      </c>
      <c r="F78" s="318" t="s">
        <v>76</v>
      </c>
      <c r="G78" s="319">
        <v>100</v>
      </c>
      <c r="H78" s="234">
        <f>IF(OR(J78="",K78="",K78&lt;J78),0,NETWORKDAYS(J78,K78,fESTIVOS!$A$2:$A$53))</f>
        <v>1</v>
      </c>
      <c r="I78" s="310">
        <v>45937</v>
      </c>
      <c r="J78" s="285">
        <v>45940</v>
      </c>
      <c r="K78" s="285">
        <v>45940</v>
      </c>
      <c r="L78" s="285">
        <v>45940</v>
      </c>
      <c r="M78" s="39">
        <f ca="1">IF(OR(J78="",AND(L78="",TODAY()&lt;J78),AND(L78&lt;&gt;"",L78&lt;J78)),0,
   IF(L78="",
      NETWORKDAYS(J78,TODAY(),fESTIVOS!$A$2:$A$53),
      NETWORKDAYS(J78,L78,fESTIVOS!$A$2:$A$53)
   )
)</f>
        <v>1</v>
      </c>
      <c r="N78" s="307"/>
      <c r="O78" s="307"/>
      <c r="P78" s="308"/>
      <c r="Q78" s="286" t="s">
        <v>1982</v>
      </c>
      <c r="R78" s="282" t="s">
        <v>78</v>
      </c>
      <c r="S78" s="283"/>
    </row>
    <row r="79" spans="1:19" ht="29.25" customHeight="1">
      <c r="A79" s="312" t="s">
        <v>1721</v>
      </c>
      <c r="B79" s="313" t="s">
        <v>1983</v>
      </c>
      <c r="C79" s="314" t="s">
        <v>1984</v>
      </c>
      <c r="D79" s="321" t="s">
        <v>1985</v>
      </c>
      <c r="E79" s="297" t="s">
        <v>1724</v>
      </c>
      <c r="F79" s="301" t="s">
        <v>76</v>
      </c>
      <c r="G79" s="319">
        <v>100</v>
      </c>
      <c r="H79" s="234">
        <f>IF(OR(J79="",K79="",K79&lt;J79),0,NETWORKDAYS(J79,K79,fESTIVOS!$A$2:$A$53))</f>
        <v>1</v>
      </c>
      <c r="I79" s="322">
        <v>45944</v>
      </c>
      <c r="J79" s="323">
        <v>45944</v>
      </c>
      <c r="K79" s="323">
        <v>45944</v>
      </c>
      <c r="L79" s="323">
        <v>45944</v>
      </c>
      <c r="M79" s="39">
        <f ca="1">IF(OR(J79="",AND(L79="",TODAY()&lt;J79),AND(L79&lt;&gt;"",L79&lt;J79)),0,
   IF(L79="",
      NETWORKDAYS(J79,TODAY(),fESTIVOS!$A$2:$A$53),
      NETWORKDAYS(J79,L79,fESTIVOS!$A$2:$A$53)
   )
)</f>
        <v>1</v>
      </c>
      <c r="N79" s="279"/>
      <c r="O79" s="279"/>
      <c r="P79" s="280"/>
      <c r="Q79" s="324" t="s">
        <v>1986</v>
      </c>
      <c r="R79" s="300" t="s">
        <v>78</v>
      </c>
      <c r="S79" s="296"/>
    </row>
    <row r="80" spans="1:19" ht="29.25" customHeight="1">
      <c r="A80" s="303" t="s">
        <v>1721</v>
      </c>
      <c r="B80" s="288" t="s">
        <v>1987</v>
      </c>
      <c r="C80" s="325" t="s">
        <v>1925</v>
      </c>
      <c r="D80" s="309" t="s">
        <v>1988</v>
      </c>
      <c r="E80" s="291" t="s">
        <v>1788</v>
      </c>
      <c r="F80" s="318" t="s">
        <v>76</v>
      </c>
      <c r="G80" s="319">
        <v>100</v>
      </c>
      <c r="H80" s="234">
        <f>IF(OR(J80="",K80="",K80&lt;J80),0,NETWORKDAYS(J80,K80,fESTIVOS!$A$2:$A$53))</f>
        <v>1</v>
      </c>
      <c r="I80" s="322">
        <v>45944</v>
      </c>
      <c r="J80" s="323">
        <v>45944</v>
      </c>
      <c r="K80" s="323">
        <v>45944</v>
      </c>
      <c r="L80" s="323">
        <v>45944</v>
      </c>
      <c r="M80" s="39">
        <f ca="1">IF(OR(J80="",AND(L80="",TODAY()&lt;J80),AND(L80&lt;&gt;"",L80&lt;J80)),0,
   IF(L80="",
      NETWORKDAYS(J80,TODAY(),fESTIVOS!$A$2:$A$53),
      NETWORKDAYS(J80,L80,fESTIVOS!$A$2:$A$53)
   )
)</f>
        <v>1</v>
      </c>
      <c r="N80" s="307"/>
      <c r="O80" s="307"/>
      <c r="P80" s="308"/>
      <c r="Q80" s="324" t="s">
        <v>1989</v>
      </c>
      <c r="R80" s="282" t="s">
        <v>78</v>
      </c>
      <c r="S80" s="326"/>
    </row>
    <row r="81" spans="1:19" ht="29.25" customHeight="1">
      <c r="A81" s="303" t="s">
        <v>1721</v>
      </c>
      <c r="B81" s="288" t="s">
        <v>1990</v>
      </c>
      <c r="C81" s="314" t="s">
        <v>1991</v>
      </c>
      <c r="D81" s="309" t="s">
        <v>1992</v>
      </c>
      <c r="E81" s="291" t="s">
        <v>1724</v>
      </c>
      <c r="F81" s="318" t="s">
        <v>76</v>
      </c>
      <c r="G81" s="319">
        <v>100</v>
      </c>
      <c r="H81" s="234">
        <f>IF(OR(J81="",K81="",K81&lt;J81),0,NETWORKDAYS(J81,K81,fESTIVOS!$A$2:$A$53))</f>
        <v>1</v>
      </c>
      <c r="I81" s="322">
        <v>45944</v>
      </c>
      <c r="J81" s="323">
        <v>45944</v>
      </c>
      <c r="K81" s="323">
        <v>45944</v>
      </c>
      <c r="L81" s="323">
        <v>45944</v>
      </c>
      <c r="M81" s="39">
        <f ca="1">IF(OR(J81="",AND(L81="",TODAY()&lt;J81),AND(L81&lt;&gt;"",L81&lt;J81)),0,
   IF(L81="",
      NETWORKDAYS(J81,TODAY(),fESTIVOS!$A$2:$A$53),
      NETWORKDAYS(J81,L81,fESTIVOS!$A$2:$A$53)
   )
)</f>
        <v>1</v>
      </c>
      <c r="N81" s="307"/>
      <c r="O81" s="307"/>
      <c r="P81" s="308"/>
      <c r="Q81" s="324" t="s">
        <v>1993</v>
      </c>
      <c r="R81" s="282" t="s">
        <v>78</v>
      </c>
      <c r="S81" s="326"/>
    </row>
    <row r="82" spans="1:19" ht="29.25" customHeight="1">
      <c r="A82" s="303" t="s">
        <v>1721</v>
      </c>
      <c r="B82" s="288" t="s">
        <v>1994</v>
      </c>
      <c r="C82" s="314" t="s">
        <v>1995</v>
      </c>
      <c r="D82" s="309" t="s">
        <v>1996</v>
      </c>
      <c r="E82" s="291" t="s">
        <v>1724</v>
      </c>
      <c r="F82" s="318" t="s">
        <v>76</v>
      </c>
      <c r="G82" s="319">
        <v>100</v>
      </c>
      <c r="H82" s="234">
        <f>IF(OR(J82="",K82="",K82&lt;J82),0,NETWORKDAYS(J82,K82,fESTIVOS!$A$2:$A$53))</f>
        <v>1</v>
      </c>
      <c r="I82" s="322">
        <v>45945</v>
      </c>
      <c r="J82" s="323">
        <v>45945</v>
      </c>
      <c r="K82" s="323">
        <v>45945</v>
      </c>
      <c r="L82" s="323">
        <v>45945</v>
      </c>
      <c r="M82" s="39">
        <f ca="1">IF(OR(J82="",AND(L82="",TODAY()&lt;J82),AND(L82&lt;&gt;"",L82&lt;J82)),0,
   IF(L82="",
      NETWORKDAYS(J82,TODAY(),fESTIVOS!$A$2:$A$53),
      NETWORKDAYS(J82,L82,fESTIVOS!$A$2:$A$53)
   )
)</f>
        <v>1</v>
      </c>
      <c r="N82" s="307"/>
      <c r="O82" s="307"/>
      <c r="P82" s="308"/>
      <c r="Q82" s="324" t="s">
        <v>1997</v>
      </c>
      <c r="R82" s="282" t="s">
        <v>78</v>
      </c>
      <c r="S82" s="326"/>
    </row>
    <row r="83" spans="1:19" ht="29.25" customHeight="1">
      <c r="A83" s="303" t="s">
        <v>1721</v>
      </c>
      <c r="B83" s="288" t="s">
        <v>1998</v>
      </c>
      <c r="C83" s="314" t="s">
        <v>1999</v>
      </c>
      <c r="D83" s="309" t="s">
        <v>2000</v>
      </c>
      <c r="E83" s="291" t="s">
        <v>1724</v>
      </c>
      <c r="F83" s="327" t="s">
        <v>76</v>
      </c>
      <c r="G83" s="306">
        <v>100</v>
      </c>
      <c r="H83" s="234">
        <f>IF(OR(J83="",K83="",K83&lt;J83),0,NETWORKDAYS(J83,K83,fESTIVOS!$A$2:$A$53))</f>
        <v>3</v>
      </c>
      <c r="I83" s="322">
        <v>45946</v>
      </c>
      <c r="J83" s="323">
        <v>45946</v>
      </c>
      <c r="K83" s="323">
        <v>45950</v>
      </c>
      <c r="L83" s="323">
        <v>45947</v>
      </c>
      <c r="M83" s="39">
        <f ca="1">IF(OR(J83="",AND(L83="",TODAY()&lt;J83),AND(L83&lt;&gt;"",L83&lt;J83)),0,
   IF(L83="",
      NETWORKDAYS(J83,TODAY(),fESTIVOS!$A$2:$A$53),
      NETWORKDAYS(J83,L83,fESTIVOS!$A$2:$A$53)
   )
)</f>
        <v>2</v>
      </c>
      <c r="N83" s="307"/>
      <c r="O83" s="307"/>
      <c r="P83" s="308"/>
      <c r="Q83" s="324" t="s">
        <v>2001</v>
      </c>
      <c r="R83" s="282" t="s">
        <v>78</v>
      </c>
      <c r="S83" s="326"/>
    </row>
    <row r="84" spans="1:19" ht="29.25" customHeight="1">
      <c r="A84" s="303" t="s">
        <v>1721</v>
      </c>
      <c r="B84" s="288" t="s">
        <v>2002</v>
      </c>
      <c r="C84" s="314" t="s">
        <v>2003</v>
      </c>
      <c r="D84" s="309" t="s">
        <v>2004</v>
      </c>
      <c r="E84" s="291" t="s">
        <v>1724</v>
      </c>
      <c r="F84" s="327" t="s">
        <v>76</v>
      </c>
      <c r="G84" s="306">
        <v>100</v>
      </c>
      <c r="H84" s="234">
        <f>IF(OR(J84="",K84="",K84&lt;J84),0,NETWORKDAYS(J84,K84,fESTIVOS!$A$2:$A$53))</f>
        <v>2</v>
      </c>
      <c r="I84" s="322">
        <v>45946</v>
      </c>
      <c r="J84" s="323">
        <v>45946</v>
      </c>
      <c r="K84" s="323">
        <v>45947</v>
      </c>
      <c r="L84" s="323">
        <v>45946</v>
      </c>
      <c r="M84" s="39">
        <f ca="1">IF(OR(J84="",AND(L84="",TODAY()&lt;J84),AND(L84&lt;&gt;"",L84&lt;J84)),0,
   IF(L84="",
      NETWORKDAYS(J84,TODAY(),fESTIVOS!$A$2:$A$53),
      NETWORKDAYS(J84,L84,fESTIVOS!$A$2:$A$53)
   )
)</f>
        <v>1</v>
      </c>
      <c r="N84" s="307"/>
      <c r="O84" s="307"/>
      <c r="P84" s="308"/>
      <c r="Q84" s="324" t="s">
        <v>2005</v>
      </c>
      <c r="R84" s="282" t="s">
        <v>78</v>
      </c>
      <c r="S84" s="326"/>
    </row>
    <row r="85" spans="1:19" ht="29.25" customHeight="1">
      <c r="A85" s="303" t="s">
        <v>1721</v>
      </c>
      <c r="B85" s="288" t="s">
        <v>2006</v>
      </c>
      <c r="C85" s="314" t="s">
        <v>2007</v>
      </c>
      <c r="D85" s="309" t="s">
        <v>2008</v>
      </c>
      <c r="E85" s="291" t="s">
        <v>1724</v>
      </c>
      <c r="F85" s="327" t="s">
        <v>76</v>
      </c>
      <c r="G85" s="306">
        <v>100</v>
      </c>
      <c r="H85" s="234">
        <f>IF(OR(J85="",K85="",K85&lt;J85),0,NETWORKDAYS(J85,K85,fESTIVOS!$A$2:$A$53))</f>
        <v>3</v>
      </c>
      <c r="I85" s="322">
        <v>45947</v>
      </c>
      <c r="J85" s="323">
        <v>45950</v>
      </c>
      <c r="K85" s="323">
        <v>45952</v>
      </c>
      <c r="L85" s="323">
        <v>45951</v>
      </c>
      <c r="M85" s="39">
        <f ca="1">IF(OR(J85="",AND(L85="",TODAY()&lt;J85),AND(L85&lt;&gt;"",L85&lt;J85)),0,
   IF(L85="",
      NETWORKDAYS(J85,TODAY(),fESTIVOS!$A$2:$A$53),
      NETWORKDAYS(J85,L85,fESTIVOS!$A$2:$A$53)
   )
)</f>
        <v>2</v>
      </c>
      <c r="N85" s="307"/>
      <c r="O85" s="307"/>
      <c r="P85" s="308"/>
      <c r="Q85" s="324" t="s">
        <v>2009</v>
      </c>
      <c r="R85" s="282" t="s">
        <v>78</v>
      </c>
      <c r="S85" s="326"/>
    </row>
    <row r="86" spans="1:19" ht="29.25" customHeight="1">
      <c r="A86" s="312" t="s">
        <v>1721</v>
      </c>
      <c r="B86" s="313" t="s">
        <v>2010</v>
      </c>
      <c r="C86" s="328" t="s">
        <v>2003</v>
      </c>
      <c r="D86" s="329" t="s">
        <v>2004</v>
      </c>
      <c r="E86" s="297" t="s">
        <v>1724</v>
      </c>
      <c r="F86" s="301" t="s">
        <v>76</v>
      </c>
      <c r="G86" s="302">
        <v>100</v>
      </c>
      <c r="H86" s="234">
        <f>IF(OR(J86="",K86="",K86&lt;J86),0,NETWORKDAYS(J86,K86,fESTIVOS!$A$2:$A$53))</f>
        <v>2</v>
      </c>
      <c r="I86" s="330">
        <v>45946</v>
      </c>
      <c r="J86" s="331">
        <v>45946</v>
      </c>
      <c r="K86" s="331">
        <v>45947</v>
      </c>
      <c r="L86" s="331">
        <v>45946</v>
      </c>
      <c r="M86" s="39">
        <f ca="1">IF(OR(J86="",AND(L86="",TODAY()&lt;J86),AND(L86&lt;&gt;"",L86&lt;J86)),0,
   IF(L86="",
      NETWORKDAYS(J86,TODAY(),fESTIVOS!$A$2:$A$53),
      NETWORKDAYS(J86,L86,fESTIVOS!$A$2:$A$53)
   )
)</f>
        <v>1</v>
      </c>
      <c r="N86" s="279"/>
      <c r="O86" s="279"/>
      <c r="P86" s="280"/>
      <c r="Q86" s="332" t="s">
        <v>2005</v>
      </c>
      <c r="R86" s="300" t="s">
        <v>78</v>
      </c>
      <c r="S86" s="296"/>
    </row>
    <row r="87" spans="1:19" ht="29.25" customHeight="1">
      <c r="A87" s="270" t="s">
        <v>1721</v>
      </c>
      <c r="B87" s="271" t="s">
        <v>2011</v>
      </c>
      <c r="C87" s="272" t="s">
        <v>1968</v>
      </c>
      <c r="D87" s="284" t="s">
        <v>2012</v>
      </c>
      <c r="E87" s="274" t="s">
        <v>1724</v>
      </c>
      <c r="F87" s="275" t="s">
        <v>76</v>
      </c>
      <c r="G87" s="276">
        <v>100</v>
      </c>
      <c r="H87" s="234">
        <f>IF(OR(J87="",K87="",K87&lt;J87),0,NETWORKDAYS(J87,K87,fESTIVOS!$A$2:$A$53))</f>
        <v>2</v>
      </c>
      <c r="I87" s="277">
        <v>45951</v>
      </c>
      <c r="J87" s="278">
        <v>45952</v>
      </c>
      <c r="K87" s="278">
        <v>45953</v>
      </c>
      <c r="L87" s="278">
        <v>45952</v>
      </c>
      <c r="M87" s="39">
        <f ca="1">IF(OR(J87="",AND(L87="",TODAY()&lt;J87),AND(L87&lt;&gt;"",L87&lt;J87)),0,
   IF(L87="",
      NETWORKDAYS(J87,TODAY(),fESTIVOS!$A$2:$A$53),
      NETWORKDAYS(J87,L87,fESTIVOS!$A$2:$A$53)
   )
)</f>
        <v>1</v>
      </c>
      <c r="N87" s="279"/>
      <c r="O87" s="279"/>
      <c r="P87" s="280"/>
      <c r="Q87" s="286" t="s">
        <v>2013</v>
      </c>
      <c r="R87" s="282" t="s">
        <v>78</v>
      </c>
      <c r="S87" s="283"/>
    </row>
    <row r="88" spans="1:19" ht="29.25" customHeight="1">
      <c r="A88" s="270" t="s">
        <v>1721</v>
      </c>
      <c r="B88" s="271" t="s">
        <v>2014</v>
      </c>
      <c r="C88" s="272" t="s">
        <v>1968</v>
      </c>
      <c r="D88" s="284" t="s">
        <v>2015</v>
      </c>
      <c r="E88" s="274" t="s">
        <v>1724</v>
      </c>
      <c r="F88" s="275" t="s">
        <v>76</v>
      </c>
      <c r="G88" s="276">
        <v>100</v>
      </c>
      <c r="H88" s="234">
        <f>IF(OR(J88="",K88="",K88&lt;J88),0,NETWORKDAYS(J88,K88,fESTIVOS!$A$2:$A$53))</f>
        <v>2</v>
      </c>
      <c r="I88" s="277">
        <v>45951</v>
      </c>
      <c r="J88" s="278">
        <v>45952</v>
      </c>
      <c r="K88" s="278">
        <v>45953</v>
      </c>
      <c r="L88" s="278">
        <v>45953</v>
      </c>
      <c r="M88" s="39">
        <f ca="1">IF(OR(J88="",AND(L88="",TODAY()&lt;J88),AND(L88&lt;&gt;"",L88&lt;J88)),0,
   IF(L88="",
      NETWORKDAYS(J88,TODAY(),fESTIVOS!$A$2:$A$53),
      NETWORKDAYS(J88,L88,fESTIVOS!$A$2:$A$53)
   )
)</f>
        <v>2</v>
      </c>
      <c r="N88" s="279"/>
      <c r="O88" s="279"/>
      <c r="P88" s="280"/>
      <c r="Q88" s="286" t="s">
        <v>2016</v>
      </c>
      <c r="R88" s="282" t="s">
        <v>78</v>
      </c>
      <c r="S88" s="283"/>
    </row>
    <row r="89" spans="1:19" ht="29.25" customHeight="1">
      <c r="A89" s="270" t="s">
        <v>1721</v>
      </c>
      <c r="B89" s="271" t="s">
        <v>2017</v>
      </c>
      <c r="C89" s="272" t="s">
        <v>2018</v>
      </c>
      <c r="D89" s="284" t="s">
        <v>2019</v>
      </c>
      <c r="E89" s="274" t="s">
        <v>1724</v>
      </c>
      <c r="F89" s="275" t="s">
        <v>76</v>
      </c>
      <c r="G89" s="276">
        <v>100</v>
      </c>
      <c r="H89" s="234">
        <f>IF(OR(J89="",K89="",K89&lt;J89),0,NETWORKDAYS(J89,K89,fESTIVOS!$A$2:$A$53))</f>
        <v>14</v>
      </c>
      <c r="I89" s="277">
        <v>45957</v>
      </c>
      <c r="J89" s="278">
        <v>45957</v>
      </c>
      <c r="K89" s="278">
        <v>45976</v>
      </c>
      <c r="L89" s="278">
        <v>45986</v>
      </c>
      <c r="M89" s="39">
        <f ca="1">IF(OR(J89="",AND(L89="",TODAY()&lt;J89),AND(L89&lt;&gt;"",L89&lt;J89)),0,
   IF(L89="",
      NETWORKDAYS(J89,TODAY(),fESTIVOS!$A$2:$A$53),
      NETWORKDAYS(J89,L89,fESTIVOS!$A$2:$A$53)
   )
)</f>
        <v>20</v>
      </c>
      <c r="N89" s="279"/>
      <c r="O89" s="279"/>
      <c r="P89" s="280"/>
      <c r="Q89" s="286" t="s">
        <v>2020</v>
      </c>
      <c r="R89" s="282" t="s">
        <v>78</v>
      </c>
      <c r="S89" s="283"/>
    </row>
    <row r="90" spans="1:19" ht="29.25" customHeight="1">
      <c r="A90" s="303" t="s">
        <v>1721</v>
      </c>
      <c r="B90" s="288" t="s">
        <v>2021</v>
      </c>
      <c r="C90" s="304" t="s">
        <v>1932</v>
      </c>
      <c r="D90" s="309" t="s">
        <v>2022</v>
      </c>
      <c r="E90" s="288" t="s">
        <v>2023</v>
      </c>
      <c r="F90" s="305" t="s">
        <v>76</v>
      </c>
      <c r="G90" s="306">
        <v>100</v>
      </c>
      <c r="H90" s="234">
        <f>IF(OR(J90="",K90="",K90&lt;J90),0,NETWORKDAYS(J90,K90,fESTIVOS!$A$2:$A$53))</f>
        <v>3</v>
      </c>
      <c r="I90" s="310">
        <v>45957</v>
      </c>
      <c r="J90" s="278">
        <v>45957</v>
      </c>
      <c r="K90" s="285">
        <v>45959</v>
      </c>
      <c r="L90" s="285">
        <v>45958</v>
      </c>
      <c r="M90" s="39">
        <f ca="1">IF(OR(J90="",AND(L90="",TODAY()&lt;J90),AND(L90&lt;&gt;"",L90&lt;J90)),0,
   IF(L90="",
      NETWORKDAYS(J90,TODAY(),fESTIVOS!$A$2:$A$53),
      NETWORKDAYS(J90,L90,fESTIVOS!$A$2:$A$53)
   )
)</f>
        <v>2</v>
      </c>
      <c r="N90" s="307"/>
      <c r="O90" s="307"/>
      <c r="P90" s="308"/>
      <c r="Q90" s="286" t="s">
        <v>2024</v>
      </c>
      <c r="R90" s="282" t="s">
        <v>78</v>
      </c>
      <c r="S90" s="283"/>
    </row>
    <row r="91" spans="1:19" ht="29.25" customHeight="1">
      <c r="A91" s="303" t="s">
        <v>1721</v>
      </c>
      <c r="B91" s="288" t="s">
        <v>2025</v>
      </c>
      <c r="C91" s="304" t="s">
        <v>1932</v>
      </c>
      <c r="D91" s="309"/>
      <c r="E91" s="288" t="s">
        <v>1742</v>
      </c>
      <c r="F91" s="305" t="s">
        <v>76</v>
      </c>
      <c r="G91" s="306">
        <v>100</v>
      </c>
      <c r="H91" s="234">
        <f>IF(OR(J91="",K91="",K91&lt;J91),0,NETWORKDAYS(J91,K91,fESTIVOS!$A$2:$A$53))</f>
        <v>1</v>
      </c>
      <c r="I91" s="310">
        <v>45961</v>
      </c>
      <c r="J91" s="285">
        <v>45961</v>
      </c>
      <c r="K91" s="285">
        <v>45961</v>
      </c>
      <c r="L91" s="285">
        <v>45961</v>
      </c>
      <c r="M91" s="39">
        <f ca="1">IF(OR(J91="",AND(L91="",TODAY()&lt;J91),AND(L91&lt;&gt;"",L91&lt;J91)),0,
   IF(L91="",
      NETWORKDAYS(J91,TODAY(),fESTIVOS!$A$2:$A$53),
      NETWORKDAYS(J91,L91,fESTIVOS!$A$2:$A$53)
   )
)</f>
        <v>1</v>
      </c>
      <c r="N91" s="307"/>
      <c r="O91" s="307"/>
      <c r="P91" s="308"/>
      <c r="Q91" s="286" t="s">
        <v>2026</v>
      </c>
      <c r="R91" s="282" t="s">
        <v>78</v>
      </c>
      <c r="S91" s="283"/>
    </row>
    <row r="92" spans="1:19" ht="29.25" customHeight="1">
      <c r="A92" s="303" t="s">
        <v>1721</v>
      </c>
      <c r="B92" s="288" t="s">
        <v>2027</v>
      </c>
      <c r="C92" s="304" t="s">
        <v>2028</v>
      </c>
      <c r="D92" s="320"/>
      <c r="E92" s="274" t="s">
        <v>1805</v>
      </c>
      <c r="F92" s="318" t="s">
        <v>76</v>
      </c>
      <c r="G92" s="319">
        <v>100</v>
      </c>
      <c r="H92" s="234">
        <f>IF(OR(J92="",K92="",K92&lt;J92),0,NETWORKDAYS(J92,K92,fESTIVOS!$A$2:$A$53))</f>
        <v>2</v>
      </c>
      <c r="I92" s="310">
        <v>45961</v>
      </c>
      <c r="J92" s="285">
        <v>45965</v>
      </c>
      <c r="K92" s="285">
        <v>45966</v>
      </c>
      <c r="L92" s="285">
        <v>45965</v>
      </c>
      <c r="M92" s="39">
        <f ca="1">IF(OR(J92="",AND(L92="",TODAY()&lt;J92),AND(L92&lt;&gt;"",L92&lt;J92)),0,
   IF(L92="",
      NETWORKDAYS(J92,TODAY(),fESTIVOS!$A$2:$A$53),
      NETWORKDAYS(J92,L92,fESTIVOS!$A$2:$A$53)
   )
)</f>
        <v>1</v>
      </c>
      <c r="N92" s="307"/>
      <c r="O92" s="307"/>
      <c r="P92" s="308"/>
      <c r="Q92" s="286" t="s">
        <v>2029</v>
      </c>
      <c r="R92" s="282" t="s">
        <v>78</v>
      </c>
      <c r="S92" s="283"/>
    </row>
    <row r="93" spans="1:19" ht="29.25" customHeight="1">
      <c r="A93" s="303" t="s">
        <v>1721</v>
      </c>
      <c r="B93" s="288" t="s">
        <v>2030</v>
      </c>
      <c r="C93" s="304" t="s">
        <v>2031</v>
      </c>
      <c r="D93" s="309"/>
      <c r="E93" s="291" t="s">
        <v>1788</v>
      </c>
      <c r="F93" s="318" t="s">
        <v>76</v>
      </c>
      <c r="G93" s="319">
        <v>100</v>
      </c>
      <c r="H93" s="234">
        <f>IF(OR(J93="",K93="",K93&lt;J93),0,NETWORKDAYS(J93,K93,fESTIVOS!$A$2:$A$53))</f>
        <v>1</v>
      </c>
      <c r="I93" s="322">
        <v>45965</v>
      </c>
      <c r="J93" s="323">
        <v>45966</v>
      </c>
      <c r="K93" s="323">
        <v>45966</v>
      </c>
      <c r="L93" s="323">
        <v>45966</v>
      </c>
      <c r="M93" s="39">
        <f ca="1">IF(OR(J93="",AND(L93="",TODAY()&lt;J93),AND(L93&lt;&gt;"",L93&lt;J93)),0,
   IF(L93="",
      NETWORKDAYS(J93,TODAY(),fESTIVOS!$A$2:$A$53),
      NETWORKDAYS(J93,L93,fESTIVOS!$A$2:$A$53)
   )
)</f>
        <v>1</v>
      </c>
      <c r="N93" s="307"/>
      <c r="O93" s="307"/>
      <c r="P93" s="308"/>
      <c r="Q93" s="286" t="s">
        <v>2032</v>
      </c>
      <c r="R93" s="282" t="s">
        <v>78</v>
      </c>
      <c r="S93" s="326"/>
    </row>
    <row r="94" spans="1:19" ht="29.25" customHeight="1">
      <c r="A94" s="303" t="s">
        <v>1721</v>
      </c>
      <c r="B94" s="288" t="s">
        <v>2033</v>
      </c>
      <c r="C94" s="304" t="s">
        <v>2031</v>
      </c>
      <c r="D94" s="309"/>
      <c r="E94" s="291" t="s">
        <v>1788</v>
      </c>
      <c r="F94" s="318" t="s">
        <v>76</v>
      </c>
      <c r="G94" s="319">
        <v>100</v>
      </c>
      <c r="H94" s="234">
        <f>IF(OR(J94="",K94="",K94&lt;J94),0,NETWORKDAYS(J94,K94,fESTIVOS!$A$2:$A$53))</f>
        <v>1</v>
      </c>
      <c r="I94" s="322">
        <v>45967</v>
      </c>
      <c r="J94" s="323">
        <v>45967</v>
      </c>
      <c r="K94" s="323">
        <v>45967</v>
      </c>
      <c r="L94" s="323">
        <v>45967</v>
      </c>
      <c r="M94" s="39">
        <f ca="1">IF(OR(J94="",AND(L94="",TODAY()&lt;J94),AND(L94&lt;&gt;"",L94&lt;J94)),0,
   IF(L94="",
      NETWORKDAYS(J94,TODAY(),fESTIVOS!$A$2:$A$53),
      NETWORKDAYS(J94,L94,fESTIVOS!$A$2:$A$53)
   )
)</f>
        <v>1</v>
      </c>
      <c r="N94" s="307"/>
      <c r="O94" s="307"/>
      <c r="P94" s="308"/>
      <c r="Q94" s="286" t="s">
        <v>2034</v>
      </c>
      <c r="R94" s="282" t="s">
        <v>78</v>
      </c>
      <c r="S94" s="326"/>
    </row>
    <row r="95" spans="1:19" ht="29.25" customHeight="1">
      <c r="A95" s="303" t="s">
        <v>1721</v>
      </c>
      <c r="B95" s="288" t="s">
        <v>2035</v>
      </c>
      <c r="C95" s="304" t="s">
        <v>2036</v>
      </c>
      <c r="D95" s="309"/>
      <c r="E95" s="291" t="s">
        <v>1788</v>
      </c>
      <c r="F95" s="318" t="s">
        <v>76</v>
      </c>
      <c r="G95" s="319">
        <v>100</v>
      </c>
      <c r="H95" s="234">
        <f>IF(OR(J95="",K95="",K95&lt;J95),0,NETWORKDAYS(J95,K95,fESTIVOS!$A$2:$A$53))</f>
        <v>1</v>
      </c>
      <c r="I95" s="322">
        <v>45967</v>
      </c>
      <c r="J95" s="323">
        <v>45967</v>
      </c>
      <c r="K95" s="323">
        <v>45967</v>
      </c>
      <c r="L95" s="323">
        <v>45967</v>
      </c>
      <c r="M95" s="39">
        <f ca="1">IF(OR(J95="",AND(L95="",TODAY()&lt;J95),AND(L95&lt;&gt;"",L95&lt;J95)),0,
   IF(L95="",
      NETWORKDAYS(J95,TODAY(),fESTIVOS!$A$2:$A$53),
      NETWORKDAYS(J95,L95,fESTIVOS!$A$2:$A$53)
   )
)</f>
        <v>1</v>
      </c>
      <c r="N95" s="307"/>
      <c r="O95" s="307"/>
      <c r="P95" s="308"/>
      <c r="Q95" s="286" t="s">
        <v>2037</v>
      </c>
      <c r="R95" s="282" t="s">
        <v>78</v>
      </c>
      <c r="S95" s="326"/>
    </row>
    <row r="96" spans="1:19" ht="29.25" customHeight="1">
      <c r="A96" s="303" t="s">
        <v>1721</v>
      </c>
      <c r="B96" s="288" t="s">
        <v>2038</v>
      </c>
      <c r="C96" s="304" t="s">
        <v>2028</v>
      </c>
      <c r="D96" s="320" t="s">
        <v>2039</v>
      </c>
      <c r="E96" s="274" t="s">
        <v>1805</v>
      </c>
      <c r="F96" s="318" t="s">
        <v>76</v>
      </c>
      <c r="G96" s="319">
        <v>100</v>
      </c>
      <c r="H96" s="234">
        <f>IF(OR(J96="",K96="",K96&lt;J96),0,NETWORKDAYS(J96,K96,fESTIVOS!$A$2:$A$53))</f>
        <v>1</v>
      </c>
      <c r="I96" s="310">
        <v>45968</v>
      </c>
      <c r="J96" s="285">
        <v>45968</v>
      </c>
      <c r="K96" s="285">
        <v>45968</v>
      </c>
      <c r="L96" s="285">
        <v>45968</v>
      </c>
      <c r="M96" s="39">
        <f ca="1">IF(OR(J96="",AND(L96="",TODAY()&lt;J96),AND(L96&lt;&gt;"",L96&lt;J96)),0,
   IF(L96="",
      NETWORKDAYS(J96,TODAY(),fESTIVOS!$A$2:$A$53),
      NETWORKDAYS(J96,L96,fESTIVOS!$A$2:$A$53)
   )
)</f>
        <v>1</v>
      </c>
      <c r="N96" s="307"/>
      <c r="O96" s="307"/>
      <c r="P96" s="308"/>
      <c r="Q96" s="286" t="s">
        <v>2040</v>
      </c>
      <c r="R96" s="282" t="s">
        <v>78</v>
      </c>
      <c r="S96" s="283"/>
    </row>
    <row r="97" spans="1:19" ht="29.25" customHeight="1">
      <c r="A97" s="303" t="s">
        <v>1721</v>
      </c>
      <c r="B97" s="288" t="s">
        <v>2041</v>
      </c>
      <c r="C97" s="304" t="s">
        <v>1932</v>
      </c>
      <c r="D97" s="309"/>
      <c r="E97" s="288" t="s">
        <v>1742</v>
      </c>
      <c r="F97" s="305" t="s">
        <v>76</v>
      </c>
      <c r="G97" s="306">
        <v>100</v>
      </c>
      <c r="H97" s="234">
        <f>IF(OR(J97="",K97="",K97&lt;J97),0,NETWORKDAYS(J97,K97,fESTIVOS!$A$2:$A$53))</f>
        <v>1</v>
      </c>
      <c r="I97" s="310">
        <v>45968</v>
      </c>
      <c r="J97" s="285">
        <v>45968</v>
      </c>
      <c r="K97" s="285">
        <v>45968</v>
      </c>
      <c r="L97" s="285">
        <v>45968</v>
      </c>
      <c r="M97" s="39">
        <f ca="1">IF(OR(J97="",AND(L97="",TODAY()&lt;J97),AND(L97&lt;&gt;"",L97&lt;J97)),0,
   IF(L97="",
      NETWORKDAYS(J97,TODAY(),fESTIVOS!$A$2:$A$53),
      NETWORKDAYS(J97,L97,fESTIVOS!$A$2:$A$53)
   )
)</f>
        <v>1</v>
      </c>
      <c r="N97" s="307"/>
      <c r="O97" s="307"/>
      <c r="P97" s="308"/>
      <c r="Q97" s="286" t="s">
        <v>2042</v>
      </c>
      <c r="R97" s="282" t="s">
        <v>78</v>
      </c>
      <c r="S97" s="283"/>
    </row>
    <row r="98" spans="1:19" ht="29.25" customHeight="1">
      <c r="A98" s="303" t="s">
        <v>1721</v>
      </c>
      <c r="B98" s="288" t="s">
        <v>2043</v>
      </c>
      <c r="C98" s="304" t="s">
        <v>2044</v>
      </c>
      <c r="D98" s="309" t="s">
        <v>2045</v>
      </c>
      <c r="E98" s="291" t="s">
        <v>1788</v>
      </c>
      <c r="F98" s="318" t="s">
        <v>76</v>
      </c>
      <c r="G98" s="319">
        <v>100</v>
      </c>
      <c r="H98" s="234">
        <f>IF(OR(J98="",K98="",K98&lt;J98),0,NETWORKDAYS(J98,K98,fESTIVOS!$A$2:$A$53))</f>
        <v>0</v>
      </c>
      <c r="I98" s="322">
        <v>45970</v>
      </c>
      <c r="J98" s="323">
        <v>45970</v>
      </c>
      <c r="K98" s="323">
        <v>45970</v>
      </c>
      <c r="L98" s="323">
        <v>45970</v>
      </c>
      <c r="M98" s="39">
        <f ca="1">IF(OR(J98="",AND(L98="",TODAY()&lt;J98),AND(L98&lt;&gt;"",L98&lt;J98)),0,
   IF(L98="",
      NETWORKDAYS(J98,TODAY(),fESTIVOS!$A$2:$A$53),
      NETWORKDAYS(J98,L98,fESTIVOS!$A$2:$A$53)
   )
)</f>
        <v>0</v>
      </c>
      <c r="N98" s="307"/>
      <c r="O98" s="307"/>
      <c r="P98" s="308"/>
      <c r="Q98" s="286" t="s">
        <v>2046</v>
      </c>
      <c r="R98" s="282" t="s">
        <v>78</v>
      </c>
      <c r="S98" s="326"/>
    </row>
    <row r="99" spans="1:19" ht="29.25" customHeight="1">
      <c r="A99" s="303" t="s">
        <v>1721</v>
      </c>
      <c r="B99" s="288" t="s">
        <v>2047</v>
      </c>
      <c r="C99" s="304" t="s">
        <v>2048</v>
      </c>
      <c r="D99" s="309" t="s">
        <v>2049</v>
      </c>
      <c r="E99" s="291" t="s">
        <v>1788</v>
      </c>
      <c r="F99" s="318" t="s">
        <v>76</v>
      </c>
      <c r="G99" s="319">
        <v>100</v>
      </c>
      <c r="H99" s="234">
        <f>IF(OR(J99="",K99="",K99&lt;J99),0,NETWORKDAYS(J99,K99,fESTIVOS!$A$2:$A$53))</f>
        <v>1</v>
      </c>
      <c r="I99" s="322">
        <v>45972</v>
      </c>
      <c r="J99" s="323">
        <v>45972</v>
      </c>
      <c r="K99" s="323">
        <v>45972</v>
      </c>
      <c r="L99" s="323">
        <v>45972</v>
      </c>
      <c r="M99" s="39">
        <f ca="1">IF(OR(J99="",AND(L99="",TODAY()&lt;J99),AND(L99&lt;&gt;"",L99&lt;J99)),0,
   IF(L99="",
      NETWORKDAYS(J99,TODAY(),fESTIVOS!$A$2:$A$53),
      NETWORKDAYS(J99,L99,fESTIVOS!$A$2:$A$53)
   )
)</f>
        <v>1</v>
      </c>
      <c r="N99" s="307"/>
      <c r="O99" s="307"/>
      <c r="P99" s="308"/>
      <c r="Q99" s="286" t="s">
        <v>2050</v>
      </c>
      <c r="R99" s="282" t="s">
        <v>78</v>
      </c>
      <c r="S99" s="326"/>
    </row>
    <row r="100" spans="1:19" ht="29.25" customHeight="1">
      <c r="A100" s="303" t="s">
        <v>1721</v>
      </c>
      <c r="B100" s="288" t="s">
        <v>2051</v>
      </c>
      <c r="C100" s="304" t="s">
        <v>2028</v>
      </c>
      <c r="D100" s="320" t="s">
        <v>2052</v>
      </c>
      <c r="E100" s="274" t="s">
        <v>1805</v>
      </c>
      <c r="F100" s="327" t="s">
        <v>76</v>
      </c>
      <c r="G100" s="306">
        <v>100</v>
      </c>
      <c r="H100" s="234">
        <f>IF(OR(J100="",K100="",K100&lt;J100),0,NETWORKDAYS(J100,K100,fESTIVOS!$A$2:$A$53))</f>
        <v>3</v>
      </c>
      <c r="I100" s="310">
        <v>45974</v>
      </c>
      <c r="J100" s="285">
        <v>45974</v>
      </c>
      <c r="K100" s="285">
        <v>45979</v>
      </c>
      <c r="L100" s="285">
        <v>46040</v>
      </c>
      <c r="M100" s="39">
        <f ca="1">IF(OR(J100="",AND(L100="",TODAY()&lt;J100),AND(L100&lt;&gt;"",L100&lt;J100)),0,
   IF(L100="",
      NETWORKDAYS(J100,TODAY(),fESTIVOS!$A$2:$A$53),
      NETWORKDAYS(J100,L100,fESTIVOS!$A$2:$A$53)
   )
)</f>
        <v>42</v>
      </c>
      <c r="N100" s="307"/>
      <c r="O100" s="307"/>
      <c r="P100" s="308"/>
      <c r="Q100" s="286" t="s">
        <v>2053</v>
      </c>
      <c r="R100" s="282" t="s">
        <v>78</v>
      </c>
      <c r="S100" s="283"/>
    </row>
    <row r="101" spans="1:19" ht="29.25" customHeight="1">
      <c r="A101" s="303" t="s">
        <v>1721</v>
      </c>
      <c r="B101" s="288" t="s">
        <v>2054</v>
      </c>
      <c r="C101" s="304" t="s">
        <v>1932</v>
      </c>
      <c r="D101" s="309" t="s">
        <v>2055</v>
      </c>
      <c r="E101" s="288" t="s">
        <v>1742</v>
      </c>
      <c r="F101" s="305" t="s">
        <v>76</v>
      </c>
      <c r="G101" s="306">
        <v>100</v>
      </c>
      <c r="H101" s="234">
        <f>IF(OR(J101="",K101="",K101&lt;J101),0,NETWORKDAYS(J101,K101,fESTIVOS!$A$2:$A$53))</f>
        <v>1</v>
      </c>
      <c r="I101" s="310">
        <v>45974</v>
      </c>
      <c r="J101" s="285">
        <v>45974</v>
      </c>
      <c r="K101" s="285">
        <v>45974</v>
      </c>
      <c r="L101" s="285">
        <v>45974</v>
      </c>
      <c r="M101" s="39">
        <f ca="1">IF(OR(J101="",AND(L101="",TODAY()&lt;J101),AND(L101&lt;&gt;"",L101&lt;J101)),0,
   IF(L101="",
      NETWORKDAYS(J101,TODAY(),fESTIVOS!$A$2:$A$53),
      NETWORKDAYS(J101,L101,fESTIVOS!$A$2:$A$53)
   )
)</f>
        <v>1</v>
      </c>
      <c r="N101" s="307"/>
      <c r="O101" s="307"/>
      <c r="P101" s="308"/>
      <c r="Q101" s="286" t="s">
        <v>2056</v>
      </c>
      <c r="R101" s="282" t="s">
        <v>78</v>
      </c>
      <c r="S101" s="283"/>
    </row>
    <row r="102" spans="1:19" ht="29.25" customHeight="1">
      <c r="A102" s="312" t="s">
        <v>1721</v>
      </c>
      <c r="B102" s="313" t="s">
        <v>2057</v>
      </c>
      <c r="C102" s="328" t="s">
        <v>2031</v>
      </c>
      <c r="D102" s="273" t="s">
        <v>2058</v>
      </c>
      <c r="E102" s="315" t="s">
        <v>1788</v>
      </c>
      <c r="F102" s="301" t="s">
        <v>76</v>
      </c>
      <c r="G102" s="302">
        <v>100</v>
      </c>
      <c r="H102" s="234">
        <f>IF(OR(J102="",K102="",K102&lt;J102),0,NETWORKDAYS(J102,K102,fESTIVOS!$A$2:$A$53))</f>
        <v>1</v>
      </c>
      <c r="I102" s="322">
        <v>45979</v>
      </c>
      <c r="J102" s="323">
        <v>45979</v>
      </c>
      <c r="K102" s="323">
        <v>45979</v>
      </c>
      <c r="L102" s="323">
        <v>45979</v>
      </c>
      <c r="M102" s="39">
        <f ca="1">IF(OR(J102="",AND(L102="",TODAY()&lt;J102),AND(L102&lt;&gt;"",L102&lt;J102)),0,
   IF(L102="",
      NETWORKDAYS(J102,TODAY(),fESTIVOS!$A$2:$A$53),
      NETWORKDAYS(J102,L102,fESTIVOS!$A$2:$A$53)
   )
)</f>
        <v>1</v>
      </c>
      <c r="N102" s="279"/>
      <c r="O102" s="279"/>
      <c r="P102" s="280"/>
      <c r="Q102" s="324" t="s">
        <v>2059</v>
      </c>
      <c r="R102" s="300" t="s">
        <v>78</v>
      </c>
      <c r="S102" s="317"/>
    </row>
    <row r="103" spans="1:19" ht="29.25" customHeight="1">
      <c r="A103" s="303" t="s">
        <v>1721</v>
      </c>
      <c r="B103" s="288" t="s">
        <v>2060</v>
      </c>
      <c r="C103" s="304" t="s">
        <v>2028</v>
      </c>
      <c r="D103" s="320" t="s">
        <v>2061</v>
      </c>
      <c r="E103" s="274" t="s">
        <v>1805</v>
      </c>
      <c r="F103" s="327" t="s">
        <v>76</v>
      </c>
      <c r="G103" s="306">
        <v>100</v>
      </c>
      <c r="H103" s="234">
        <f>IF(OR(J103="",K103="",K103&lt;J103),0,NETWORKDAYS(J103,K103,fESTIVOS!$A$2:$A$53))</f>
        <v>1</v>
      </c>
      <c r="I103" s="310">
        <v>45980</v>
      </c>
      <c r="J103" s="285">
        <v>45980</v>
      </c>
      <c r="K103" s="285">
        <v>45980</v>
      </c>
      <c r="L103" s="285">
        <v>45980</v>
      </c>
      <c r="M103" s="39">
        <f ca="1">IF(OR(J103="",AND(L103="",TODAY()&lt;J103),AND(L103&lt;&gt;"",L103&lt;J103)),0,
   IF(L103="",
      NETWORKDAYS(J103,TODAY(),fESTIVOS!$A$2:$A$53),
      NETWORKDAYS(J103,L103,fESTIVOS!$A$2:$A$53)
   )
)</f>
        <v>1</v>
      </c>
      <c r="N103" s="307"/>
      <c r="O103" s="307"/>
      <c r="P103" s="308"/>
      <c r="Q103" s="286" t="s">
        <v>2062</v>
      </c>
      <c r="R103" s="282" t="s">
        <v>78</v>
      </c>
      <c r="S103" s="283"/>
    </row>
    <row r="104" spans="1:19" ht="29.25" customHeight="1">
      <c r="A104" s="303" t="s">
        <v>1721</v>
      </c>
      <c r="B104" s="288" t="s">
        <v>2063</v>
      </c>
      <c r="C104" s="304" t="s">
        <v>2028</v>
      </c>
      <c r="D104" s="320" t="s">
        <v>2064</v>
      </c>
      <c r="E104" s="274" t="s">
        <v>1805</v>
      </c>
      <c r="F104" s="327" t="s">
        <v>76</v>
      </c>
      <c r="G104" s="306">
        <v>100</v>
      </c>
      <c r="H104" s="234">
        <f>IF(OR(J104="",K104="",K104&lt;J104),0,NETWORKDAYS(J104,K104,fESTIVOS!$A$2:$A$53))</f>
        <v>1</v>
      </c>
      <c r="I104" s="310">
        <v>45981</v>
      </c>
      <c r="J104" s="285">
        <v>45981</v>
      </c>
      <c r="K104" s="285">
        <v>45981</v>
      </c>
      <c r="L104" s="285">
        <v>45981</v>
      </c>
      <c r="M104" s="39">
        <f ca="1">IF(OR(J104="",AND(L104="",TODAY()&lt;J104),AND(L104&lt;&gt;"",L104&lt;J104)),0,
   IF(L104="",
      NETWORKDAYS(J104,TODAY(),fESTIVOS!$A$2:$A$53),
      NETWORKDAYS(J104,L104,fESTIVOS!$A$2:$A$53)
   )
)</f>
        <v>1</v>
      </c>
      <c r="N104" s="307"/>
      <c r="O104" s="307"/>
      <c r="P104" s="308"/>
      <c r="Q104" s="286" t="s">
        <v>2065</v>
      </c>
      <c r="R104" s="282" t="s">
        <v>78</v>
      </c>
      <c r="S104" s="283"/>
    </row>
    <row r="105" spans="1:19" ht="29.25" customHeight="1">
      <c r="A105" s="303" t="s">
        <v>1721</v>
      </c>
      <c r="B105" s="288" t="s">
        <v>2066</v>
      </c>
      <c r="C105" s="304" t="s">
        <v>2067</v>
      </c>
      <c r="D105" s="309" t="s">
        <v>2068</v>
      </c>
      <c r="E105" s="274" t="s">
        <v>1724</v>
      </c>
      <c r="F105" s="305" t="s">
        <v>504</v>
      </c>
      <c r="G105" s="306">
        <v>80</v>
      </c>
      <c r="H105" s="234">
        <f>IF(OR(J105="",K105="",K105&lt;J105),0,NETWORKDAYS(J105,K105,fESTIVOS!$A$2:$A$53))</f>
        <v>48</v>
      </c>
      <c r="I105" s="310">
        <v>45981</v>
      </c>
      <c r="J105" s="285">
        <v>45981</v>
      </c>
      <c r="K105" s="285">
        <v>46053</v>
      </c>
      <c r="L105" s="285"/>
      <c r="M105" s="39">
        <f ca="1">IF(OR(J105="",AND(L105="",TODAY()&lt;J105),AND(L105&lt;&gt;"",L105&lt;J105)),0,
   IF(L105="",
      NETWORKDAYS(J105,TODAY(),fESTIVOS!$A$2:$A$53),
      NETWORKDAYS(J105,L105,fESTIVOS!$A$2:$A$53)
   )
)</f>
        <v>73</v>
      </c>
      <c r="N105" s="307"/>
      <c r="O105" s="307"/>
      <c r="P105" s="308"/>
      <c r="Q105" s="286" t="s">
        <v>2069</v>
      </c>
      <c r="R105" s="282" t="s">
        <v>78</v>
      </c>
      <c r="S105" s="283"/>
    </row>
    <row r="106" spans="1:19" ht="29.25" customHeight="1">
      <c r="A106" s="312" t="s">
        <v>1721</v>
      </c>
      <c r="B106" s="313" t="s">
        <v>2070</v>
      </c>
      <c r="C106" s="314" t="s">
        <v>2071</v>
      </c>
      <c r="D106" s="273" t="s">
        <v>2072</v>
      </c>
      <c r="E106" s="315" t="s">
        <v>1788</v>
      </c>
      <c r="F106" s="301" t="s">
        <v>76</v>
      </c>
      <c r="G106" s="302">
        <v>100</v>
      </c>
      <c r="H106" s="234">
        <f>IF(OR(J106="",K106="",K106&lt;J106),0,NETWORKDAYS(J106,K106,fESTIVOS!$A$2:$A$53))</f>
        <v>1</v>
      </c>
      <c r="I106" s="322">
        <v>45982</v>
      </c>
      <c r="J106" s="323">
        <v>45982</v>
      </c>
      <c r="K106" s="323">
        <v>45982</v>
      </c>
      <c r="L106" s="323">
        <v>45982</v>
      </c>
      <c r="M106" s="39">
        <f ca="1">IF(OR(J106="",AND(L106="",TODAY()&lt;J106),AND(L106&lt;&gt;"",L106&lt;J106)),0,
   IF(L106="",
      NETWORKDAYS(J106,TODAY(),fESTIVOS!$A$2:$A$53),
      NETWORKDAYS(J106,L106,fESTIVOS!$A$2:$A$53)
   )
)</f>
        <v>1</v>
      </c>
      <c r="N106" s="279"/>
      <c r="O106" s="279"/>
      <c r="P106" s="280"/>
      <c r="Q106" s="324" t="s">
        <v>2073</v>
      </c>
      <c r="R106" s="300" t="s">
        <v>78</v>
      </c>
      <c r="S106" s="317"/>
    </row>
    <row r="107" spans="1:19" ht="29.25" customHeight="1">
      <c r="A107" s="312" t="s">
        <v>1721</v>
      </c>
      <c r="B107" s="313" t="s">
        <v>2074</v>
      </c>
      <c r="C107" s="328" t="s">
        <v>2031</v>
      </c>
      <c r="D107" s="273" t="s">
        <v>2058</v>
      </c>
      <c r="E107" s="315" t="s">
        <v>1788</v>
      </c>
      <c r="F107" s="301" t="s">
        <v>76</v>
      </c>
      <c r="G107" s="302">
        <v>100</v>
      </c>
      <c r="H107" s="234">
        <f>IF(OR(J107="",K107="",K107&lt;J107),0,NETWORKDAYS(J107,K107,fESTIVOS!$A$2:$A$53))</f>
        <v>1</v>
      </c>
      <c r="I107" s="322">
        <v>45981</v>
      </c>
      <c r="J107" s="323">
        <v>45981</v>
      </c>
      <c r="K107" s="323">
        <v>45981</v>
      </c>
      <c r="L107" s="323">
        <v>45981</v>
      </c>
      <c r="M107" s="39">
        <f ca="1">IF(OR(J107="",AND(L107="",TODAY()&lt;J107),AND(L107&lt;&gt;"",L107&lt;J107)),0,
   IF(L107="",
      NETWORKDAYS(J107,TODAY(),fESTIVOS!$A$2:$A$53),
      NETWORKDAYS(J107,L107,fESTIVOS!$A$2:$A$53)
   )
)</f>
        <v>1</v>
      </c>
      <c r="N107" s="279"/>
      <c r="O107" s="279"/>
      <c r="P107" s="280"/>
      <c r="Q107" s="324" t="s">
        <v>2075</v>
      </c>
      <c r="R107" s="300" t="s">
        <v>78</v>
      </c>
      <c r="S107" s="317"/>
    </row>
    <row r="108" spans="1:19" ht="29.25" customHeight="1">
      <c r="A108" s="312" t="s">
        <v>1721</v>
      </c>
      <c r="B108" s="313" t="s">
        <v>2076</v>
      </c>
      <c r="C108" s="314" t="s">
        <v>2077</v>
      </c>
      <c r="D108" s="273" t="s">
        <v>2078</v>
      </c>
      <c r="E108" s="315" t="s">
        <v>1788</v>
      </c>
      <c r="F108" s="298" t="s">
        <v>76</v>
      </c>
      <c r="G108" s="299">
        <v>100</v>
      </c>
      <c r="H108" s="234">
        <f>IF(OR(J108="",K108="",K108&lt;J108),0,NETWORKDAYS(J108,K108,fESTIVOS!$A$2:$A$53))</f>
        <v>2</v>
      </c>
      <c r="I108" s="322">
        <v>45986</v>
      </c>
      <c r="J108" s="323">
        <v>45986</v>
      </c>
      <c r="K108" s="323">
        <v>45987</v>
      </c>
      <c r="L108" s="323">
        <v>45986</v>
      </c>
      <c r="M108" s="39">
        <f ca="1">IF(OR(J108="",AND(L108="",TODAY()&lt;J108),AND(L108&lt;&gt;"",L108&lt;J108)),0,
   IF(L108="",
      NETWORKDAYS(J108,TODAY(),fESTIVOS!$A$2:$A$53),
      NETWORKDAYS(J108,L108,fESTIVOS!$A$2:$A$53)
   )
)</f>
        <v>1</v>
      </c>
      <c r="N108" s="279"/>
      <c r="O108" s="279"/>
      <c r="P108" s="280"/>
      <c r="Q108" s="324" t="s">
        <v>2079</v>
      </c>
      <c r="R108" s="300" t="s">
        <v>78</v>
      </c>
      <c r="S108" s="317"/>
    </row>
    <row r="109" spans="1:19" ht="29.25" customHeight="1">
      <c r="A109" s="312" t="s">
        <v>1721</v>
      </c>
      <c r="B109" s="288" t="s">
        <v>2080</v>
      </c>
      <c r="C109" s="272" t="s">
        <v>2081</v>
      </c>
      <c r="D109" s="284" t="s">
        <v>2082</v>
      </c>
      <c r="E109" s="274" t="s">
        <v>1724</v>
      </c>
      <c r="F109" s="298" t="s">
        <v>76</v>
      </c>
      <c r="G109" s="299">
        <v>100</v>
      </c>
      <c r="H109" s="234">
        <f>IF(OR(J109="",K109="",K109&lt;J109),0,NETWORKDAYS(J109,K109,fESTIVOS!$A$2:$A$53))</f>
        <v>2</v>
      </c>
      <c r="I109" s="322">
        <v>45987</v>
      </c>
      <c r="J109" s="323">
        <v>45987</v>
      </c>
      <c r="K109" s="323">
        <v>45988</v>
      </c>
      <c r="L109" s="323">
        <v>45995</v>
      </c>
      <c r="M109" s="39">
        <f ca="1">IF(OR(J109="",AND(L109="",TODAY()&lt;J109),AND(L109&lt;&gt;"",L109&lt;J109)),0,
   IF(L109="",
      NETWORKDAYS(J109,TODAY(),fESTIVOS!$A$2:$A$53),
      NETWORKDAYS(J109,L109,fESTIVOS!$A$2:$A$53)
   )
)</f>
        <v>7</v>
      </c>
      <c r="N109" s="279"/>
      <c r="O109" s="279"/>
      <c r="P109" s="280"/>
      <c r="Q109" s="324" t="s">
        <v>2083</v>
      </c>
      <c r="R109" s="300" t="s">
        <v>78</v>
      </c>
      <c r="S109" s="317"/>
    </row>
    <row r="110" spans="1:19" ht="29.25" customHeight="1">
      <c r="A110" s="312" t="s">
        <v>1721</v>
      </c>
      <c r="B110" s="313" t="s">
        <v>2084</v>
      </c>
      <c r="C110" s="314" t="s">
        <v>2085</v>
      </c>
      <c r="D110" s="273" t="s">
        <v>2086</v>
      </c>
      <c r="E110" s="315" t="s">
        <v>1788</v>
      </c>
      <c r="F110" s="298" t="s">
        <v>76</v>
      </c>
      <c r="G110" s="299">
        <v>100</v>
      </c>
      <c r="H110" s="234">
        <f>IF(OR(J110="",K110="",K110&lt;J110),0,NETWORKDAYS(J110,K110,fESTIVOS!$A$2:$A$53))</f>
        <v>31</v>
      </c>
      <c r="I110" s="322">
        <v>45989</v>
      </c>
      <c r="J110" s="323">
        <v>45989</v>
      </c>
      <c r="K110" s="323">
        <v>46037</v>
      </c>
      <c r="L110" s="323">
        <v>46037</v>
      </c>
      <c r="M110" s="39">
        <f ca="1">IF(OR(J110="",AND(L110="",TODAY()&lt;J110),AND(L110&lt;&gt;"",L110&lt;J110)),0,
   IF(L110="",
      NETWORKDAYS(J110,TODAY(),fESTIVOS!$A$2:$A$53),
      NETWORKDAYS(J110,L110,fESTIVOS!$A$2:$A$53)
   )
)</f>
        <v>31</v>
      </c>
      <c r="N110" s="279"/>
      <c r="O110" s="279"/>
      <c r="P110" s="280"/>
      <c r="Q110" s="324" t="s">
        <v>2087</v>
      </c>
      <c r="R110" s="300" t="s">
        <v>78</v>
      </c>
      <c r="S110" s="317"/>
    </row>
    <row r="111" spans="1:19" ht="29.25" customHeight="1">
      <c r="A111" s="303" t="s">
        <v>1721</v>
      </c>
      <c r="B111" s="288" t="s">
        <v>2088</v>
      </c>
      <c r="C111" s="304" t="s">
        <v>2089</v>
      </c>
      <c r="D111" s="320" t="s">
        <v>2090</v>
      </c>
      <c r="E111" s="274" t="s">
        <v>1805</v>
      </c>
      <c r="F111" s="327" t="s">
        <v>76</v>
      </c>
      <c r="G111" s="306">
        <v>100</v>
      </c>
      <c r="H111" s="234">
        <f>IF(OR(J111="",K111="",K111&lt;J111),0,NETWORKDAYS(J111,K111,fESTIVOS!$A$2:$A$53))</f>
        <v>5</v>
      </c>
      <c r="I111" s="310">
        <v>45992</v>
      </c>
      <c r="J111" s="285">
        <v>45992</v>
      </c>
      <c r="K111" s="285">
        <v>45996</v>
      </c>
      <c r="L111" s="285">
        <v>45994</v>
      </c>
      <c r="M111" s="39">
        <f ca="1">IF(OR(J111="",AND(L111="",TODAY()&lt;J111),AND(L111&lt;&gt;"",L111&lt;J111)),0,
   IF(L111="",
      NETWORKDAYS(J111,TODAY(),fESTIVOS!$A$2:$A$53),
      NETWORKDAYS(J111,L111,fESTIVOS!$A$2:$A$53)
   )
)</f>
        <v>3</v>
      </c>
      <c r="N111" s="307"/>
      <c r="O111" s="307"/>
      <c r="P111" s="308"/>
      <c r="Q111" s="286" t="s">
        <v>2091</v>
      </c>
      <c r="R111" s="282" t="s">
        <v>78</v>
      </c>
      <c r="S111" s="283"/>
    </row>
    <row r="112" spans="1:19" ht="29.25" customHeight="1">
      <c r="A112" s="312" t="s">
        <v>1721</v>
      </c>
      <c r="B112" s="313" t="s">
        <v>2092</v>
      </c>
      <c r="C112" s="314" t="s">
        <v>2093</v>
      </c>
      <c r="D112" s="273" t="s">
        <v>2086</v>
      </c>
      <c r="E112" s="315" t="s">
        <v>1788</v>
      </c>
      <c r="F112" s="298" t="s">
        <v>76</v>
      </c>
      <c r="G112" s="299">
        <v>100</v>
      </c>
      <c r="H112" s="234">
        <f>IF(OR(J112="",K112="",K112&lt;J112),0,NETWORKDAYS(J112,K112,fESTIVOS!$A$2:$A$53))</f>
        <v>1</v>
      </c>
      <c r="I112" s="322">
        <v>45994</v>
      </c>
      <c r="J112" s="323">
        <v>45994</v>
      </c>
      <c r="K112" s="323">
        <v>45994</v>
      </c>
      <c r="L112" s="323">
        <v>45994</v>
      </c>
      <c r="M112" s="39">
        <f ca="1">IF(OR(J112="",AND(L112="",TODAY()&lt;J112),AND(L112&lt;&gt;"",L112&lt;J112)),0,
   IF(L112="",
      NETWORKDAYS(J112,TODAY(),fESTIVOS!$A$2:$A$53),
      NETWORKDAYS(J112,L112,fESTIVOS!$A$2:$A$53)
   )
)</f>
        <v>1</v>
      </c>
      <c r="N112" s="279"/>
      <c r="O112" s="279"/>
      <c r="P112" s="280"/>
      <c r="Q112" s="324" t="s">
        <v>2094</v>
      </c>
      <c r="R112" s="300" t="s">
        <v>78</v>
      </c>
      <c r="S112" s="317"/>
    </row>
    <row r="113" spans="1:19" ht="29.25" customHeight="1">
      <c r="A113" s="312" t="s">
        <v>1721</v>
      </c>
      <c r="B113" s="288" t="s">
        <v>2095</v>
      </c>
      <c r="C113" s="272" t="s">
        <v>2096</v>
      </c>
      <c r="D113" s="284" t="s">
        <v>2097</v>
      </c>
      <c r="E113" s="274" t="s">
        <v>1724</v>
      </c>
      <c r="F113" s="298" t="s">
        <v>76</v>
      </c>
      <c r="G113" s="299">
        <v>100</v>
      </c>
      <c r="H113" s="234">
        <f>IF(OR(J113="",K113="",K113&lt;J113),0,NETWORKDAYS(J113,K113,fESTIVOS!$A$2:$A$53))</f>
        <v>1</v>
      </c>
      <c r="I113" s="322">
        <v>45994</v>
      </c>
      <c r="J113" s="323">
        <v>45994</v>
      </c>
      <c r="K113" s="323">
        <v>45994</v>
      </c>
      <c r="L113" s="323">
        <v>45994</v>
      </c>
      <c r="M113" s="39">
        <f ca="1">IF(OR(J113="",AND(L113="",TODAY()&lt;J113),AND(L113&lt;&gt;"",L113&lt;J113)),0,
   IF(L113="",
      NETWORKDAYS(J113,TODAY(),fESTIVOS!$A$2:$A$53),
      NETWORKDAYS(J113,L113,fESTIVOS!$A$2:$A$53)
   )
)</f>
        <v>1</v>
      </c>
      <c r="N113" s="279"/>
      <c r="O113" s="279"/>
      <c r="P113" s="280"/>
      <c r="Q113" s="324" t="s">
        <v>2098</v>
      </c>
      <c r="R113" s="300" t="s">
        <v>78</v>
      </c>
      <c r="S113" s="317"/>
    </row>
    <row r="114" spans="1:19" ht="29.25" customHeight="1">
      <c r="A114" s="303" t="s">
        <v>1721</v>
      </c>
      <c r="B114" s="288" t="s">
        <v>2099</v>
      </c>
      <c r="C114" s="304" t="s">
        <v>2100</v>
      </c>
      <c r="D114" s="320" t="s">
        <v>2101</v>
      </c>
      <c r="E114" s="274" t="s">
        <v>1805</v>
      </c>
      <c r="F114" s="327" t="s">
        <v>76</v>
      </c>
      <c r="G114" s="306">
        <v>100</v>
      </c>
      <c r="H114" s="234">
        <f>IF(OR(J114="",K114="",K114&lt;J114),0,NETWORKDAYS(J114,K114,fESTIVOS!$A$2:$A$53))</f>
        <v>2</v>
      </c>
      <c r="I114" s="310">
        <v>45995</v>
      </c>
      <c r="J114" s="285">
        <v>45995</v>
      </c>
      <c r="K114" s="285">
        <v>45996</v>
      </c>
      <c r="L114" s="285">
        <v>45996</v>
      </c>
      <c r="M114" s="39">
        <f ca="1">IF(OR(J114="",AND(L114="",TODAY()&lt;J114),AND(L114&lt;&gt;"",L114&lt;J114)),0,
   IF(L114="",
      NETWORKDAYS(J114,TODAY(),fESTIVOS!$A$2:$A$53),
      NETWORKDAYS(J114,L114,fESTIVOS!$A$2:$A$53)
   )
)</f>
        <v>2</v>
      </c>
      <c r="N114" s="307"/>
      <c r="O114" s="307"/>
      <c r="P114" s="308"/>
      <c r="Q114" s="286" t="s">
        <v>2102</v>
      </c>
      <c r="R114" s="282" t="s">
        <v>78</v>
      </c>
      <c r="S114" s="283"/>
    </row>
    <row r="115" spans="1:19" ht="29.25" customHeight="1">
      <c r="A115" s="312" t="s">
        <v>1721</v>
      </c>
      <c r="B115" s="288" t="s">
        <v>2103</v>
      </c>
      <c r="C115" s="272" t="s">
        <v>2104</v>
      </c>
      <c r="D115" s="284" t="s">
        <v>2105</v>
      </c>
      <c r="E115" s="274" t="s">
        <v>1724</v>
      </c>
      <c r="F115" s="298" t="s">
        <v>76</v>
      </c>
      <c r="G115" s="299">
        <v>100</v>
      </c>
      <c r="H115" s="234">
        <f>IF(OR(J115="",K115="",K115&lt;J115),0,NETWORKDAYS(J115,K115,fESTIVOS!$A$2:$A$53))</f>
        <v>1</v>
      </c>
      <c r="I115" s="322">
        <v>45996</v>
      </c>
      <c r="J115" s="323">
        <v>45996</v>
      </c>
      <c r="K115" s="323">
        <v>45996</v>
      </c>
      <c r="L115" s="323">
        <v>45996</v>
      </c>
      <c r="M115" s="39">
        <f ca="1">IF(OR(J115="",AND(L115="",TODAY()&lt;J115),AND(L115&lt;&gt;"",L115&lt;J115)),0,
   IF(L115="",
      NETWORKDAYS(J115,TODAY(),fESTIVOS!$A$2:$A$53),
      NETWORKDAYS(J115,L115,fESTIVOS!$A$2:$A$53)
   )
)</f>
        <v>1</v>
      </c>
      <c r="N115" s="279"/>
      <c r="O115" s="279"/>
      <c r="P115" s="280"/>
      <c r="Q115" s="324" t="s">
        <v>2106</v>
      </c>
      <c r="R115" s="300" t="s">
        <v>78</v>
      </c>
      <c r="S115" s="317"/>
    </row>
    <row r="116" spans="1:19" ht="29.25" customHeight="1">
      <c r="A116" s="303" t="s">
        <v>1721</v>
      </c>
      <c r="B116" s="288" t="s">
        <v>2107</v>
      </c>
      <c r="C116" s="304" t="s">
        <v>2108</v>
      </c>
      <c r="D116" s="320" t="s">
        <v>2109</v>
      </c>
      <c r="E116" s="274" t="s">
        <v>1805</v>
      </c>
      <c r="F116" s="327" t="s">
        <v>76</v>
      </c>
      <c r="G116" s="306">
        <v>100</v>
      </c>
      <c r="H116" s="234">
        <f>IF(OR(J116="",K116="",K116&lt;J116),0,NETWORKDAYS(J116,K116,fESTIVOS!$A$2:$A$53))</f>
        <v>0</v>
      </c>
      <c r="I116" s="310">
        <v>46001</v>
      </c>
      <c r="J116" s="285">
        <v>46001</v>
      </c>
      <c r="K116" s="285"/>
      <c r="L116" s="285">
        <v>46058</v>
      </c>
      <c r="M116" s="39">
        <f ca="1">IF(OR(J116="",AND(L116="",TODAY()&lt;J116),AND(L116&lt;&gt;"",L116&lt;J116)),0,
   IF(L116="",
      NETWORKDAYS(J116,TODAY(),fESTIVOS!$A$2:$A$53),
      NETWORKDAYS(J116,L116,fESTIVOS!$A$2:$A$53)
   )
)</f>
        <v>39</v>
      </c>
      <c r="N116" s="307"/>
      <c r="O116" s="307"/>
      <c r="P116" s="308"/>
      <c r="Q116" s="286" t="s">
        <v>2110</v>
      </c>
      <c r="R116" s="282" t="s">
        <v>78</v>
      </c>
      <c r="S116" s="283"/>
    </row>
    <row r="117" spans="1:19" ht="29.25" customHeight="1">
      <c r="A117" s="312" t="s">
        <v>1721</v>
      </c>
      <c r="B117" s="288" t="s">
        <v>2111</v>
      </c>
      <c r="C117" s="272" t="s">
        <v>2081</v>
      </c>
      <c r="D117" s="284" t="s">
        <v>2112</v>
      </c>
      <c r="E117" s="274" t="s">
        <v>1724</v>
      </c>
      <c r="F117" s="298" t="s">
        <v>76</v>
      </c>
      <c r="G117" s="299">
        <v>100</v>
      </c>
      <c r="H117" s="234">
        <f>IF(OR(J117="",K117="",K117&lt;J117),0,NETWORKDAYS(J117,K117,fESTIVOS!$A$2:$A$53))</f>
        <v>26</v>
      </c>
      <c r="I117" s="310">
        <v>46001</v>
      </c>
      <c r="J117" s="285">
        <v>46001</v>
      </c>
      <c r="K117" s="323">
        <v>46041</v>
      </c>
      <c r="L117" s="323">
        <v>46045</v>
      </c>
      <c r="M117" s="39">
        <f ca="1">IF(OR(J117="",AND(L117="",TODAY()&lt;J117),AND(L117&lt;&gt;"",L117&lt;J117)),0,
   IF(L117="",
      NETWORKDAYS(J117,TODAY(),fESTIVOS!$A$2:$A$53),
      NETWORKDAYS(J117,L117,fESTIVOS!$A$2:$A$53)
   )
)</f>
        <v>30</v>
      </c>
      <c r="N117" s="279"/>
      <c r="O117" s="279"/>
      <c r="P117" s="280"/>
      <c r="Q117" s="324" t="s">
        <v>2113</v>
      </c>
      <c r="R117" s="300" t="s">
        <v>78</v>
      </c>
      <c r="S117" s="317"/>
    </row>
    <row r="118" spans="1:19" ht="29.25" customHeight="1">
      <c r="A118" s="312" t="s">
        <v>1721</v>
      </c>
      <c r="B118" s="288" t="s">
        <v>2114</v>
      </c>
      <c r="C118" s="272" t="s">
        <v>2115</v>
      </c>
      <c r="D118" s="284" t="s">
        <v>2116</v>
      </c>
      <c r="E118" s="274" t="s">
        <v>1724</v>
      </c>
      <c r="F118" s="298" t="s">
        <v>76</v>
      </c>
      <c r="G118" s="299">
        <v>100</v>
      </c>
      <c r="H118" s="234">
        <f>IF(OR(J118="",K118="",K118&lt;J118),0,NETWORKDAYS(J118,K118,fESTIVOS!$A$2:$A$53))</f>
        <v>26</v>
      </c>
      <c r="I118" s="310">
        <v>46003</v>
      </c>
      <c r="J118" s="285">
        <v>46003</v>
      </c>
      <c r="K118" s="323">
        <v>46043</v>
      </c>
      <c r="L118" s="323">
        <v>46043</v>
      </c>
      <c r="M118" s="39">
        <f ca="1">IF(OR(J118="",AND(L118="",TODAY()&lt;J118),AND(L118&lt;&gt;"",L118&lt;J118)),0,
   IF(L118="",
      NETWORKDAYS(J118,TODAY(),fESTIVOS!$A$2:$A$53),
      NETWORKDAYS(J118,L118,fESTIVOS!$A$2:$A$53)
   )
)</f>
        <v>26</v>
      </c>
      <c r="N118" s="279"/>
      <c r="O118" s="279"/>
      <c r="P118" s="280"/>
      <c r="Q118" s="324" t="s">
        <v>2117</v>
      </c>
      <c r="R118" s="300" t="s">
        <v>78</v>
      </c>
      <c r="S118" s="317"/>
    </row>
    <row r="119" spans="1:19" ht="29.25" customHeight="1">
      <c r="A119" s="303" t="s">
        <v>1721</v>
      </c>
      <c r="B119" s="288" t="s">
        <v>2118</v>
      </c>
      <c r="C119" s="272" t="s">
        <v>2119</v>
      </c>
      <c r="D119" s="284" t="s">
        <v>2120</v>
      </c>
      <c r="E119" s="274" t="s">
        <v>1724</v>
      </c>
      <c r="F119" s="327" t="s">
        <v>76</v>
      </c>
      <c r="G119" s="306">
        <v>100</v>
      </c>
      <c r="H119" s="234">
        <f>IF(OR(J119="",K119="",K119&lt;J119),0,NETWORKDAYS(J119,K119,fESTIVOS!$A$2:$A$53))</f>
        <v>22</v>
      </c>
      <c r="I119" s="310">
        <v>46009</v>
      </c>
      <c r="J119" s="285">
        <v>46009</v>
      </c>
      <c r="K119" s="285">
        <v>46043</v>
      </c>
      <c r="L119" s="285">
        <v>46043</v>
      </c>
      <c r="M119" s="39">
        <f ca="1">IF(OR(J119="",AND(L119="",TODAY()&lt;J119),AND(L119&lt;&gt;"",L119&lt;J119)),0,
   IF(L119="",
      NETWORKDAYS(J119,TODAY(),fESTIVOS!$A$2:$A$53),
      NETWORKDAYS(J119,L119,fESTIVOS!$A$2:$A$53)
   )
)</f>
        <v>22</v>
      </c>
      <c r="N119" s="307"/>
      <c r="O119" s="307"/>
      <c r="P119" s="308"/>
      <c r="Q119" s="286" t="s">
        <v>2121</v>
      </c>
      <c r="R119" s="282" t="s">
        <v>78</v>
      </c>
      <c r="S119" s="283"/>
    </row>
    <row r="120" spans="1:19" ht="29.25" customHeight="1">
      <c r="A120" s="303" t="s">
        <v>1721</v>
      </c>
      <c r="B120" s="288" t="s">
        <v>2122</v>
      </c>
      <c r="C120" s="272" t="s">
        <v>2123</v>
      </c>
      <c r="D120" s="284" t="s">
        <v>2124</v>
      </c>
      <c r="E120" s="274" t="s">
        <v>1724</v>
      </c>
      <c r="F120" s="327" t="s">
        <v>76</v>
      </c>
      <c r="G120" s="306">
        <v>100</v>
      </c>
      <c r="H120" s="234">
        <f>IF(OR(J120="",K120="",K120&lt;J120),0,NETWORKDAYS(J120,K120,fESTIVOS!$A$2:$A$53))</f>
        <v>9</v>
      </c>
      <c r="I120" s="310">
        <v>46035</v>
      </c>
      <c r="J120" s="285">
        <v>46035</v>
      </c>
      <c r="K120" s="285">
        <v>46045</v>
      </c>
      <c r="L120" s="285">
        <v>46044</v>
      </c>
      <c r="M120" s="39">
        <f ca="1">IF(OR(J120="",AND(L120="",TODAY()&lt;J120),AND(L120&lt;&gt;"",L120&lt;J120)),0,
   IF(L120="",
      NETWORKDAYS(J120,TODAY(),fESTIVOS!$A$2:$A$53),
      NETWORKDAYS(J120,L120,fESTIVOS!$A$2:$A$53)
   )
)</f>
        <v>8</v>
      </c>
      <c r="N120" s="307"/>
      <c r="O120" s="307"/>
      <c r="P120" s="308"/>
      <c r="Q120" s="286" t="s">
        <v>2125</v>
      </c>
      <c r="R120" s="282" t="s">
        <v>78</v>
      </c>
      <c r="S120" s="283"/>
    </row>
    <row r="121" spans="1:19" ht="29.25" customHeight="1">
      <c r="A121" s="312" t="s">
        <v>1721</v>
      </c>
      <c r="B121" s="313" t="s">
        <v>2126</v>
      </c>
      <c r="C121" s="314" t="s">
        <v>2127</v>
      </c>
      <c r="D121" s="321" t="s">
        <v>2128</v>
      </c>
      <c r="E121" s="313" t="s">
        <v>1788</v>
      </c>
      <c r="F121" s="316" t="s">
        <v>76</v>
      </c>
      <c r="G121" s="299">
        <v>100</v>
      </c>
      <c r="H121" s="234">
        <f>IF(OR(J121="",K121="",K121&lt;J121),0,NETWORKDAYS(J121,K121,fESTIVOS!$A$2:$A$53))</f>
        <v>1</v>
      </c>
      <c r="I121" s="322">
        <v>46041</v>
      </c>
      <c r="J121" s="323">
        <v>46041</v>
      </c>
      <c r="K121" s="323">
        <v>46041</v>
      </c>
      <c r="L121" s="323">
        <v>46041</v>
      </c>
      <c r="M121" s="39">
        <f ca="1">IF(OR(J121="",AND(L121="",TODAY()&lt;J121),AND(L121&lt;&gt;"",L121&lt;J121)),0,
   IF(L121="",
      NETWORKDAYS(J121,TODAY(),fESTIVOS!$A$2:$A$53),
      NETWORKDAYS(J121,L121,fESTIVOS!$A$2:$A$53)
   )
)</f>
        <v>1</v>
      </c>
      <c r="N121" s="279"/>
      <c r="O121" s="279"/>
      <c r="P121" s="280"/>
      <c r="Q121" s="324" t="s">
        <v>2129</v>
      </c>
      <c r="R121" s="300" t="s">
        <v>78</v>
      </c>
      <c r="S121" s="317"/>
    </row>
    <row r="122" spans="1:19" ht="29.25" customHeight="1">
      <c r="A122" s="312" t="s">
        <v>1721</v>
      </c>
      <c r="B122" s="288" t="s">
        <v>2130</v>
      </c>
      <c r="C122" s="314" t="s">
        <v>2131</v>
      </c>
      <c r="D122" s="321" t="s">
        <v>2132</v>
      </c>
      <c r="E122" s="313" t="s">
        <v>1724</v>
      </c>
      <c r="F122" s="316" t="s">
        <v>504</v>
      </c>
      <c r="G122" s="299">
        <v>80</v>
      </c>
      <c r="H122" s="234">
        <f>IF(OR(J122="",K122="",K122&lt;J122),0,NETWORKDAYS(J122,K122,fESTIVOS!$A$2:$A$53))</f>
        <v>0</v>
      </c>
      <c r="I122" s="322">
        <v>46044</v>
      </c>
      <c r="J122" s="323">
        <v>46044</v>
      </c>
      <c r="K122" s="323"/>
      <c r="L122" s="323"/>
      <c r="M122" s="39">
        <f ca="1">IF(OR(J122="",AND(L122="",TODAY()&lt;J122),AND(L122&lt;&gt;"",L122&lt;J122)),0,
   IF(L122="",
      NETWORKDAYS(J122,TODAY(),fESTIVOS!$A$2:$A$53),
      NETWORKDAYS(J122,L122,fESTIVOS!$A$2:$A$53)
   )
)</f>
        <v>32</v>
      </c>
      <c r="N122" s="279"/>
      <c r="O122" s="279"/>
      <c r="P122" s="280"/>
      <c r="Q122" s="324" t="s">
        <v>2133</v>
      </c>
      <c r="R122" s="300" t="s">
        <v>78</v>
      </c>
      <c r="S122" s="317"/>
    </row>
    <row r="123" spans="1:19" ht="29.25" customHeight="1">
      <c r="A123" s="312" t="s">
        <v>1721</v>
      </c>
      <c r="B123" s="313" t="s">
        <v>2134</v>
      </c>
      <c r="C123" s="314" t="s">
        <v>2135</v>
      </c>
      <c r="D123" s="321" t="s">
        <v>2136</v>
      </c>
      <c r="E123" s="313" t="s">
        <v>1788</v>
      </c>
      <c r="F123" s="316" t="s">
        <v>76</v>
      </c>
      <c r="G123" s="299">
        <v>100</v>
      </c>
      <c r="H123" s="234">
        <f>IF(OR(J123="",K123="",K123&lt;J123),0,NETWORKDAYS(J123,K123,fESTIVOS!$A$2:$A$53))</f>
        <v>1</v>
      </c>
      <c r="I123" s="322">
        <v>46055</v>
      </c>
      <c r="J123" s="323">
        <v>46055</v>
      </c>
      <c r="K123" s="323">
        <v>46055</v>
      </c>
      <c r="L123" s="323">
        <v>46055</v>
      </c>
      <c r="M123" s="39">
        <f ca="1">IF(OR(J123="",AND(L123="",TODAY()&lt;J123),AND(L123&lt;&gt;"",L123&lt;J123)),0,
   IF(L123="",
      NETWORKDAYS(J123,TODAY(),fESTIVOS!$A$2:$A$53),
      NETWORKDAYS(J123,L123,fESTIVOS!$A$2:$A$53)
   )
)</f>
        <v>1</v>
      </c>
      <c r="N123" s="279"/>
      <c r="O123" s="279"/>
      <c r="P123" s="280"/>
      <c r="Q123" s="324" t="s">
        <v>2137</v>
      </c>
      <c r="R123" s="300" t="s">
        <v>78</v>
      </c>
      <c r="S123" s="317"/>
    </row>
    <row r="124" spans="1:19" ht="29.25" customHeight="1">
      <c r="A124" s="303" t="s">
        <v>1721</v>
      </c>
      <c r="B124" s="288" t="s">
        <v>2138</v>
      </c>
      <c r="C124" s="304" t="s">
        <v>2089</v>
      </c>
      <c r="D124" s="320" t="s">
        <v>2139</v>
      </c>
      <c r="E124" s="274" t="s">
        <v>1805</v>
      </c>
      <c r="F124" s="327" t="s">
        <v>76</v>
      </c>
      <c r="G124" s="306">
        <v>100</v>
      </c>
      <c r="H124" s="234">
        <f>IF(OR(J124="",K124="",K124&lt;J124),0,NETWORKDAYS(J124,K124,fESTIVOS!$A$2:$A$53))</f>
        <v>4</v>
      </c>
      <c r="I124" s="310">
        <v>46055</v>
      </c>
      <c r="J124" s="285">
        <v>46055</v>
      </c>
      <c r="K124" s="285">
        <v>46058</v>
      </c>
      <c r="L124" s="285">
        <v>46056</v>
      </c>
      <c r="M124" s="39">
        <f ca="1">IF(OR(J124="",AND(L124="",TODAY()&lt;J124),AND(L124&lt;&gt;"",L124&lt;J124)),0,
   IF(L124="",
      NETWORKDAYS(J124,TODAY(),fESTIVOS!$A$2:$A$53),
      NETWORKDAYS(J124,L124,fESTIVOS!$A$2:$A$53)
   )
)</f>
        <v>2</v>
      </c>
      <c r="N124" s="307"/>
      <c r="O124" s="307"/>
      <c r="P124" s="308"/>
      <c r="Q124" s="286" t="s">
        <v>2140</v>
      </c>
      <c r="R124" s="282" t="s">
        <v>78</v>
      </c>
      <c r="S124" s="283"/>
    </row>
    <row r="125" spans="1:19" ht="29.25" customHeight="1">
      <c r="A125" s="312" t="s">
        <v>1721</v>
      </c>
      <c r="B125" s="288" t="s">
        <v>2141</v>
      </c>
      <c r="C125" s="314" t="s">
        <v>2142</v>
      </c>
      <c r="D125" s="321" t="s">
        <v>2143</v>
      </c>
      <c r="E125" s="313" t="s">
        <v>1724</v>
      </c>
      <c r="F125" s="316" t="s">
        <v>504</v>
      </c>
      <c r="G125" s="299">
        <v>80</v>
      </c>
      <c r="H125" s="234">
        <f>IF(OR(J125="",K125="",K125&lt;J125),0,NETWORKDAYS(J125,K125,fESTIVOS!$A$2:$A$53))</f>
        <v>0</v>
      </c>
      <c r="I125" s="322">
        <v>46062</v>
      </c>
      <c r="J125" s="323">
        <v>46062</v>
      </c>
      <c r="K125" s="323"/>
      <c r="L125" s="323"/>
      <c r="M125" s="39">
        <f ca="1">IF(OR(J125="",AND(L125="",TODAY()&lt;J125),AND(L125&lt;&gt;"",L125&lt;J125)),0,
   IF(L125="",
      NETWORKDAYS(J125,TODAY(),fESTIVOS!$A$2:$A$53),
      NETWORKDAYS(J125,L125,fESTIVOS!$A$2:$A$53)
   )
)</f>
        <v>20</v>
      </c>
      <c r="N125" s="279"/>
      <c r="O125" s="279"/>
      <c r="P125" s="280"/>
      <c r="Q125" s="324" t="s">
        <v>2144</v>
      </c>
      <c r="R125" s="300" t="s">
        <v>78</v>
      </c>
      <c r="S125" s="317"/>
    </row>
    <row r="126" spans="1:19" ht="29.25" customHeight="1">
      <c r="A126" s="312" t="s">
        <v>1721</v>
      </c>
      <c r="B126" s="313" t="s">
        <v>2145</v>
      </c>
      <c r="C126" s="314" t="s">
        <v>2135</v>
      </c>
      <c r="D126" s="321" t="s">
        <v>2136</v>
      </c>
      <c r="E126" s="313" t="s">
        <v>1788</v>
      </c>
      <c r="F126" s="316" t="s">
        <v>76</v>
      </c>
      <c r="G126" s="299">
        <v>100</v>
      </c>
      <c r="H126" s="234">
        <f>IF(OR(J126="",K126="",K126&lt;J126),0,NETWORKDAYS(J126,K126,fESTIVOS!$A$2:$A$53))</f>
        <v>1</v>
      </c>
      <c r="I126" s="322">
        <v>46063</v>
      </c>
      <c r="J126" s="323">
        <v>46063</v>
      </c>
      <c r="K126" s="323">
        <v>46063</v>
      </c>
      <c r="L126" s="323">
        <v>46063</v>
      </c>
      <c r="M126" s="39">
        <f ca="1">IF(OR(J126="",AND(L126="",TODAY()&lt;J126),AND(L126&lt;&gt;"",L126&lt;J126)),0,
   IF(L126="",
      NETWORKDAYS(J126,TODAY(),fESTIVOS!$A$2:$A$53),
      NETWORKDAYS(J126,L126,fESTIVOS!$A$2:$A$53)
   )
)</f>
        <v>1</v>
      </c>
      <c r="N126" s="279"/>
      <c r="O126" s="279"/>
      <c r="P126" s="280"/>
      <c r="Q126" s="324" t="s">
        <v>2146</v>
      </c>
      <c r="R126" s="300" t="s">
        <v>78</v>
      </c>
      <c r="S126" s="317"/>
    </row>
    <row r="127" spans="1:19" ht="29.25" customHeight="1">
      <c r="A127" s="312" t="s">
        <v>1721</v>
      </c>
      <c r="B127" s="288" t="s">
        <v>2147</v>
      </c>
      <c r="C127" s="314" t="s">
        <v>2123</v>
      </c>
      <c r="D127" s="321" t="s">
        <v>2044</v>
      </c>
      <c r="E127" s="313" t="s">
        <v>1724</v>
      </c>
      <c r="F127" s="316" t="s">
        <v>76</v>
      </c>
      <c r="G127" s="299">
        <v>100</v>
      </c>
      <c r="H127" s="234">
        <f>IF(OR(J127="",K127="",K127&lt;J127),0,NETWORKDAYS(J127,K127,fESTIVOS!$A$2:$A$53))</f>
        <v>1</v>
      </c>
      <c r="I127" s="322">
        <v>46064</v>
      </c>
      <c r="J127" s="323">
        <v>46064</v>
      </c>
      <c r="K127" s="323">
        <v>46064</v>
      </c>
      <c r="L127" s="323">
        <v>46064</v>
      </c>
      <c r="M127" s="39">
        <f ca="1">IF(OR(J127="",AND(L127="",TODAY()&lt;J127),AND(L127&lt;&gt;"",L127&lt;J127)),0,
   IF(L127="",
      NETWORKDAYS(J127,TODAY(),fESTIVOS!$A$2:$A$53),
      NETWORKDAYS(J127,L127,fESTIVOS!$A$2:$A$53)
   )
)</f>
        <v>1</v>
      </c>
      <c r="N127" s="279"/>
      <c r="O127" s="279"/>
      <c r="P127" s="280"/>
      <c r="Q127" s="324" t="s">
        <v>2148</v>
      </c>
      <c r="R127" s="300" t="s">
        <v>78</v>
      </c>
      <c r="S127" s="317"/>
    </row>
    <row r="128" spans="1:19" ht="29.25" customHeight="1">
      <c r="A128" s="303" t="s">
        <v>1721</v>
      </c>
      <c r="B128" s="288" t="s">
        <v>2149</v>
      </c>
      <c r="C128" s="304" t="s">
        <v>2150</v>
      </c>
      <c r="D128" s="320" t="s">
        <v>2151</v>
      </c>
      <c r="E128" s="274" t="s">
        <v>1805</v>
      </c>
      <c r="F128" s="327" t="s">
        <v>76</v>
      </c>
      <c r="G128" s="306">
        <v>100</v>
      </c>
      <c r="H128" s="234">
        <f>IF(OR(J128="",K128="",K128&lt;J128),0,NETWORKDAYS(J128,K128,fESTIVOS!$A$2:$A$53))</f>
        <v>11</v>
      </c>
      <c r="I128" s="310">
        <v>46064</v>
      </c>
      <c r="J128" s="285">
        <v>46064</v>
      </c>
      <c r="K128" s="285">
        <v>46078</v>
      </c>
      <c r="L128" s="285">
        <v>46078</v>
      </c>
      <c r="M128" s="39">
        <f ca="1">IF(OR(J128="",AND(L128="",TODAY()&lt;J128),AND(L128&lt;&gt;"",L128&lt;J128)),0,
   IF(L128="",
      NETWORKDAYS(J128,TODAY(),fESTIVOS!$A$2:$A$53),
      NETWORKDAYS(J128,L128,fESTIVOS!$A$2:$A$53)
   )
)</f>
        <v>11</v>
      </c>
      <c r="N128" s="307"/>
      <c r="O128" s="307"/>
      <c r="P128" s="308"/>
      <c r="Q128" s="333" t="s">
        <v>2152</v>
      </c>
      <c r="R128" s="282" t="s">
        <v>78</v>
      </c>
      <c r="S128" s="283"/>
    </row>
    <row r="129" spans="1:19" ht="29.25" customHeight="1">
      <c r="A129" s="303" t="s">
        <v>1721</v>
      </c>
      <c r="B129" s="288" t="s">
        <v>2153</v>
      </c>
      <c r="C129" s="304" t="s">
        <v>2154</v>
      </c>
      <c r="D129" s="320" t="s">
        <v>2155</v>
      </c>
      <c r="E129" s="274" t="s">
        <v>1805</v>
      </c>
      <c r="F129" s="327" t="s">
        <v>76</v>
      </c>
      <c r="G129" s="306">
        <v>100</v>
      </c>
      <c r="H129" s="234">
        <f>IF(OR(J129="",K129="",K129&lt;J129),0,NETWORKDAYS(J129,K129,fESTIVOS!$A$2:$A$53))</f>
        <v>12</v>
      </c>
      <c r="I129" s="310">
        <v>46064</v>
      </c>
      <c r="J129" s="285">
        <v>46064</v>
      </c>
      <c r="K129" s="285">
        <v>46079</v>
      </c>
      <c r="L129" s="285">
        <v>46079</v>
      </c>
      <c r="M129" s="39">
        <f ca="1">IF(OR(J129="",AND(L129="",TODAY()&lt;J129),AND(L129&lt;&gt;"",L129&lt;J129)),0,
   IF(L129="",
      NETWORKDAYS(J129,TODAY(),fESTIVOS!$A$2:$A$53),
      NETWORKDAYS(J129,L129,fESTIVOS!$A$2:$A$53)
   )
)</f>
        <v>12</v>
      </c>
      <c r="N129" s="307"/>
      <c r="O129" s="307"/>
      <c r="P129" s="308"/>
      <c r="Q129" s="333" t="s">
        <v>2156</v>
      </c>
      <c r="R129" s="282" t="s">
        <v>78</v>
      </c>
      <c r="S129" s="283"/>
    </row>
    <row r="130" spans="1:19" ht="29.25" customHeight="1">
      <c r="A130" s="303" t="s">
        <v>1721</v>
      </c>
      <c r="B130" s="288" t="s">
        <v>2157</v>
      </c>
      <c r="C130" s="304" t="s">
        <v>2158</v>
      </c>
      <c r="D130" s="320" t="s">
        <v>2159</v>
      </c>
      <c r="E130" s="274" t="s">
        <v>1805</v>
      </c>
      <c r="F130" s="327" t="s">
        <v>504</v>
      </c>
      <c r="G130" s="306">
        <v>10</v>
      </c>
      <c r="H130" s="234">
        <f>IF(OR(J130="",K130="",K130&lt;J130),0,NETWORKDAYS(J130,K130,fESTIVOS!$A$2:$A$53))</f>
        <v>0</v>
      </c>
      <c r="I130" s="310">
        <v>46064</v>
      </c>
      <c r="J130" s="285">
        <v>46064</v>
      </c>
      <c r="K130" s="285"/>
      <c r="L130" s="285"/>
      <c r="M130" s="39">
        <f ca="1">IF(OR(J130="",AND(L130="",TODAY()&lt;J130),AND(L130&lt;&gt;"",L130&lt;J130)),0,
   IF(L130="",
      NETWORKDAYS(J130,TODAY(),fESTIVOS!$A$2:$A$53),
      NETWORKDAYS(J130,L130,fESTIVOS!$A$2:$A$53)
   )
)</f>
        <v>18</v>
      </c>
      <c r="N130" s="307"/>
      <c r="O130" s="307"/>
      <c r="P130" s="308"/>
      <c r="Q130" s="333" t="s">
        <v>2160</v>
      </c>
      <c r="R130" s="282" t="s">
        <v>78</v>
      </c>
      <c r="S130" s="283"/>
    </row>
    <row r="131" spans="1:19" ht="29.25" customHeight="1">
      <c r="A131" s="303" t="s">
        <v>1721</v>
      </c>
      <c r="B131" s="288" t="s">
        <v>2161</v>
      </c>
      <c r="C131" s="304" t="s">
        <v>2162</v>
      </c>
      <c r="D131" s="320" t="s">
        <v>2163</v>
      </c>
      <c r="E131" s="274" t="s">
        <v>1805</v>
      </c>
      <c r="F131" s="327" t="s">
        <v>76</v>
      </c>
      <c r="G131" s="306">
        <v>100</v>
      </c>
      <c r="H131" s="234">
        <f>IF(OR(J131="",K131="",K131&lt;J131),0,NETWORKDAYS(J131,K131,fESTIVOS!$A$2:$A$53))</f>
        <v>13</v>
      </c>
      <c r="I131" s="310">
        <v>46064</v>
      </c>
      <c r="J131" s="285">
        <v>46064</v>
      </c>
      <c r="K131" s="285">
        <v>46080</v>
      </c>
      <c r="L131" s="285">
        <v>46080</v>
      </c>
      <c r="M131" s="39">
        <f ca="1">IF(OR(J131="",AND(L131="",TODAY()&lt;J131),AND(L131&lt;&gt;"",L131&lt;J131)),0,
   IF(L131="",
      NETWORKDAYS(J131,TODAY(),fESTIVOS!$A$2:$A$53),
      NETWORKDAYS(J131,L131,fESTIVOS!$A$2:$A$53)
   )
)</f>
        <v>13</v>
      </c>
      <c r="N131" s="307"/>
      <c r="O131" s="307"/>
      <c r="P131" s="308"/>
      <c r="Q131" s="333" t="s">
        <v>2164</v>
      </c>
      <c r="R131" s="282" t="s">
        <v>78</v>
      </c>
      <c r="S131" s="283"/>
    </row>
    <row r="132" spans="1:19" ht="29.25" customHeight="1">
      <c r="A132" s="303" t="s">
        <v>1721</v>
      </c>
      <c r="B132" s="288" t="s">
        <v>2165</v>
      </c>
      <c r="C132" s="304" t="s">
        <v>2166</v>
      </c>
      <c r="D132" s="320" t="s">
        <v>2167</v>
      </c>
      <c r="E132" s="274" t="s">
        <v>1805</v>
      </c>
      <c r="F132" s="327" t="s">
        <v>76</v>
      </c>
      <c r="G132" s="306">
        <v>100</v>
      </c>
      <c r="H132" s="234">
        <f>IF(OR(J133="",K132="",K132&lt;J133),0,NETWORKDAYS(J133,K132,fESTIVOS!$A$2:$A$53))</f>
        <v>9</v>
      </c>
      <c r="I132" s="310">
        <v>46064</v>
      </c>
      <c r="J132" s="285">
        <v>46064</v>
      </c>
      <c r="K132" s="285">
        <v>46076</v>
      </c>
      <c r="L132" s="285">
        <v>46076</v>
      </c>
      <c r="M132" s="39">
        <f ca="1">IF(OR(J133="",AND(L132="",TODAY()&lt;J133),AND(L132&lt;&gt;"",L132&lt;J133)),0,
   IF(L132="",
      NETWORKDAYS(J133,TODAY(),fESTIVOS!$A$2:$A$53),
      NETWORKDAYS(J133,L132,fESTIVOS!$A$2:$A$53)
   )
)</f>
        <v>9</v>
      </c>
      <c r="N132" s="307"/>
      <c r="O132" s="307"/>
      <c r="P132" s="308"/>
      <c r="Q132" s="333" t="s">
        <v>2168</v>
      </c>
      <c r="R132" s="282" t="s">
        <v>78</v>
      </c>
      <c r="S132" s="283"/>
    </row>
    <row r="133" spans="1:19" ht="29.25" customHeight="1">
      <c r="A133" s="303" t="s">
        <v>1721</v>
      </c>
      <c r="B133" s="288" t="s">
        <v>2169</v>
      </c>
      <c r="C133" s="304" t="s">
        <v>2170</v>
      </c>
      <c r="D133" s="320" t="s">
        <v>2171</v>
      </c>
      <c r="E133" s="274" t="s">
        <v>1805</v>
      </c>
      <c r="F133" s="327" t="s">
        <v>76</v>
      </c>
      <c r="G133" s="306">
        <v>100</v>
      </c>
      <c r="H133" s="234">
        <f>IF(OR(J149="",K133="",K133&lt;J149),0,NETWORKDAYS(J149,K133,fESTIVOS!$A$2:$A$53))</f>
        <v>0</v>
      </c>
      <c r="I133" s="310">
        <v>46064</v>
      </c>
      <c r="J133" s="285">
        <v>46064</v>
      </c>
      <c r="K133" s="285">
        <v>46078</v>
      </c>
      <c r="L133" s="285">
        <v>46078</v>
      </c>
      <c r="M133" s="39">
        <f ca="1">IF(OR(J149="",AND(L133="",TODAY()&lt;J149),AND(L133&lt;&gt;"",L133&lt;J149)),0,
   IF(L133="",
      NETWORKDAYS(J149,TODAY(),fESTIVOS!$A$2:$A$53),
      NETWORKDAYS(J149,L133,fESTIVOS!$A$2:$A$53)
   )
)</f>
        <v>0</v>
      </c>
      <c r="N133" s="307"/>
      <c r="O133" s="307"/>
      <c r="P133" s="308"/>
      <c r="Q133" s="333" t="s">
        <v>2172</v>
      </c>
      <c r="R133" s="282" t="s">
        <v>78</v>
      </c>
      <c r="S133" s="283"/>
    </row>
    <row r="134" spans="1:19" ht="29.25" customHeight="1">
      <c r="A134" s="312" t="s">
        <v>1721</v>
      </c>
      <c r="B134" s="313" t="s">
        <v>2173</v>
      </c>
      <c r="C134" s="314" t="s">
        <v>2174</v>
      </c>
      <c r="D134" s="321" t="s">
        <v>2175</v>
      </c>
      <c r="E134" s="313" t="s">
        <v>1788</v>
      </c>
      <c r="F134" s="316" t="s">
        <v>76</v>
      </c>
      <c r="G134" s="299">
        <v>100</v>
      </c>
      <c r="H134" s="234">
        <f>IF(OR(J134="",K134="",K134&lt;J134),0,NETWORKDAYS(J134,K134,fESTIVOS!$A$2:$A$53))</f>
        <v>1</v>
      </c>
      <c r="I134" s="322">
        <v>46071</v>
      </c>
      <c r="J134" s="323">
        <v>46071</v>
      </c>
      <c r="K134" s="323">
        <v>46071</v>
      </c>
      <c r="L134" s="323">
        <v>46071</v>
      </c>
      <c r="M134" s="39">
        <f ca="1">IF(OR(J134="",AND(L134="",TODAY()&lt;J134),AND(L134&lt;&gt;"",L134&lt;J134)),0,
   IF(L134="",
      NETWORKDAYS(J134,TODAY(),fESTIVOS!$A$2:$A$53),
      NETWORKDAYS(J134,L134,fESTIVOS!$A$2:$A$53)
   )
)</f>
        <v>1</v>
      </c>
      <c r="N134" s="279"/>
      <c r="O134" s="279"/>
      <c r="P134" s="280"/>
      <c r="Q134" s="324" t="s">
        <v>2176</v>
      </c>
      <c r="R134" s="300" t="s">
        <v>78</v>
      </c>
      <c r="S134" s="317"/>
    </row>
    <row r="135" spans="1:19" ht="29.25" customHeight="1">
      <c r="A135" s="312" t="s">
        <v>1721</v>
      </c>
      <c r="B135" s="313" t="s">
        <v>2177</v>
      </c>
      <c r="C135" s="314" t="s">
        <v>2178</v>
      </c>
      <c r="D135" s="321" t="s">
        <v>2179</v>
      </c>
      <c r="E135" s="313" t="s">
        <v>1788</v>
      </c>
      <c r="F135" s="316" t="s">
        <v>76</v>
      </c>
      <c r="G135" s="299">
        <v>100</v>
      </c>
      <c r="H135" s="234">
        <f>IF(OR(J135="",K135="",K135&lt;J135),0,NETWORKDAYS(J135,K135,fESTIVOS!$A$2:$A$53))</f>
        <v>1</v>
      </c>
      <c r="I135" s="322">
        <v>46073</v>
      </c>
      <c r="J135" s="323">
        <v>46073</v>
      </c>
      <c r="K135" s="323">
        <v>46073</v>
      </c>
      <c r="L135" s="323">
        <v>46073</v>
      </c>
      <c r="M135" s="39">
        <f ca="1">IF(OR(J135="",AND(L135="",TODAY()&lt;J135),AND(L135&lt;&gt;"",L135&lt;J135)),0,
   IF(L135="",
      NETWORKDAYS(J135,TODAY(),fESTIVOS!$A$2:$A$53),
      NETWORKDAYS(J135,L135,fESTIVOS!$A$2:$A$53)
   )
)</f>
        <v>1</v>
      </c>
      <c r="N135" s="279"/>
      <c r="O135" s="279"/>
      <c r="P135" s="280"/>
      <c r="Q135" s="324" t="s">
        <v>2180</v>
      </c>
      <c r="R135" s="300" t="s">
        <v>78</v>
      </c>
      <c r="S135" s="317"/>
    </row>
    <row r="136" spans="1:19" ht="29.25" customHeight="1">
      <c r="A136" s="312" t="s">
        <v>1721</v>
      </c>
      <c r="B136" s="313" t="s">
        <v>2181</v>
      </c>
      <c r="C136" s="314" t="s">
        <v>2182</v>
      </c>
      <c r="D136" s="321" t="s">
        <v>2183</v>
      </c>
      <c r="E136" s="313" t="s">
        <v>1788</v>
      </c>
      <c r="F136" s="316" t="s">
        <v>76</v>
      </c>
      <c r="G136" s="299">
        <v>100</v>
      </c>
      <c r="H136" s="234">
        <f>IF(OR(J136="",K136="",K136&lt;J136),0,NETWORKDAYS(J136,K136,fESTIVOS!$A$2:$A$53))</f>
        <v>1</v>
      </c>
      <c r="I136" s="322">
        <v>46073</v>
      </c>
      <c r="J136" s="323">
        <v>46073</v>
      </c>
      <c r="K136" s="323">
        <v>46073</v>
      </c>
      <c r="L136" s="323">
        <v>46073</v>
      </c>
      <c r="M136" s="39">
        <f ca="1">IF(OR(J136="",AND(L136="",TODAY()&lt;J136),AND(L136&lt;&gt;"",L136&lt;J136)),0,
   IF(L136="",
      NETWORKDAYS(J136,TODAY(),fESTIVOS!$A$2:$A$53),
      NETWORKDAYS(J136,L136,fESTIVOS!$A$2:$A$53)
   )
)</f>
        <v>1</v>
      </c>
      <c r="N136" s="279"/>
      <c r="O136" s="279"/>
      <c r="P136" s="280"/>
      <c r="Q136" s="324" t="s">
        <v>2184</v>
      </c>
      <c r="R136" s="300" t="s">
        <v>78</v>
      </c>
      <c r="S136" s="317"/>
    </row>
    <row r="137" spans="1:19" ht="29.25" customHeight="1">
      <c r="A137" s="303" t="s">
        <v>1721</v>
      </c>
      <c r="B137" s="288" t="s">
        <v>2185</v>
      </c>
      <c r="C137" s="304" t="s">
        <v>2186</v>
      </c>
      <c r="D137" s="320" t="s">
        <v>2187</v>
      </c>
      <c r="E137" s="274" t="s">
        <v>1805</v>
      </c>
      <c r="F137" s="327" t="s">
        <v>76</v>
      </c>
      <c r="G137" s="306">
        <v>100</v>
      </c>
      <c r="H137" s="234">
        <f>IF(OR(J153="",K137="",K137&lt;J153),0,NETWORKDAYS(J153,K137,fESTIVOS!$A$2:$A$53))</f>
        <v>0</v>
      </c>
      <c r="I137" s="310">
        <v>46077</v>
      </c>
      <c r="J137" s="285">
        <v>46077</v>
      </c>
      <c r="K137" s="285">
        <v>46077</v>
      </c>
      <c r="L137" s="285">
        <v>46077</v>
      </c>
      <c r="M137" s="39">
        <f ca="1">IF(OR(J153="",AND(L137="",TODAY()&lt;J153),AND(L137&lt;&gt;"",L137&lt;J153)),0,
   IF(L137="",
      NETWORKDAYS(J153,TODAY(),fESTIVOS!$A$2:$A$53),
      NETWORKDAYS(J153,L137,fESTIVOS!$A$2:$A$53)
   )
)</f>
        <v>0</v>
      </c>
      <c r="N137" s="307"/>
      <c r="O137" s="307"/>
      <c r="P137" s="308"/>
      <c r="Q137" s="333" t="s">
        <v>2188</v>
      </c>
      <c r="R137" s="282" t="s">
        <v>78</v>
      </c>
      <c r="S137" s="283"/>
    </row>
    <row r="138" spans="1:19" ht="29.25" customHeight="1">
      <c r="A138" s="303" t="s">
        <v>1721</v>
      </c>
      <c r="B138" s="288" t="s">
        <v>2189</v>
      </c>
      <c r="C138" s="304" t="s">
        <v>2190</v>
      </c>
      <c r="D138" s="320" t="s">
        <v>2191</v>
      </c>
      <c r="E138" s="274" t="s">
        <v>1805</v>
      </c>
      <c r="F138" s="327" t="s">
        <v>76</v>
      </c>
      <c r="G138" s="306">
        <v>100</v>
      </c>
      <c r="H138" s="234">
        <f>IF(OR(J154="",K138="",K138&lt;J154),0,NETWORKDAYS(J154,K138,fESTIVOS!$A$2:$A$53))</f>
        <v>0</v>
      </c>
      <c r="I138" s="310">
        <v>46079</v>
      </c>
      <c r="J138" s="285">
        <v>46079</v>
      </c>
      <c r="K138" s="285">
        <v>46079</v>
      </c>
      <c r="L138" s="285">
        <v>46079</v>
      </c>
      <c r="M138" s="39">
        <f ca="1">IF(OR(J154="",AND(L138="",TODAY()&lt;J154),AND(L138&lt;&gt;"",L138&lt;J154)),0,
   IF(L138="",
      NETWORKDAYS(J154,TODAY(),fESTIVOS!$A$2:$A$53),
      NETWORKDAYS(J154,L138,fESTIVOS!$A$2:$A$53)
   )
)</f>
        <v>0</v>
      </c>
      <c r="N138" s="307"/>
      <c r="O138" s="307"/>
      <c r="P138" s="308"/>
      <c r="Q138" s="333" t="s">
        <v>2192</v>
      </c>
      <c r="R138" s="282" t="s">
        <v>78</v>
      </c>
      <c r="S138" s="283"/>
    </row>
    <row r="139" spans="1:19" ht="29.25" customHeight="1">
      <c r="A139" s="312" t="s">
        <v>1721</v>
      </c>
      <c r="B139" s="288" t="s">
        <v>2193</v>
      </c>
      <c r="C139" s="314" t="s">
        <v>2194</v>
      </c>
      <c r="D139" s="321" t="s">
        <v>2195</v>
      </c>
      <c r="E139" s="313" t="s">
        <v>1724</v>
      </c>
      <c r="F139" s="316" t="s">
        <v>76</v>
      </c>
      <c r="G139" s="299">
        <v>100</v>
      </c>
      <c r="H139" s="234">
        <f>IF(OR(J139="",K139="",K139&lt;J139),0,NETWORKDAYS(J139,K139,fESTIVOS!$A$2:$A$53))</f>
        <v>1</v>
      </c>
      <c r="I139" s="310">
        <v>46079</v>
      </c>
      <c r="J139" s="285">
        <v>46079</v>
      </c>
      <c r="K139" s="285">
        <v>46079</v>
      </c>
      <c r="L139" s="285">
        <v>46079</v>
      </c>
      <c r="M139" s="39">
        <f ca="1">IF(OR(J139="",AND(L139="",TODAY()&lt;J139),AND(L139&lt;&gt;"",L139&lt;J139)),0,
   IF(L139="",
      NETWORKDAYS(J139,TODAY(),fESTIVOS!$A$2:$A$53),
      NETWORKDAYS(J139,L139,fESTIVOS!$A$2:$A$53)
   )
)</f>
        <v>1</v>
      </c>
      <c r="N139" s="279"/>
      <c r="O139" s="279"/>
      <c r="P139" s="280"/>
      <c r="Q139" s="324" t="s">
        <v>2196</v>
      </c>
      <c r="R139" s="300" t="s">
        <v>78</v>
      </c>
      <c r="S139" s="317"/>
    </row>
    <row r="140" spans="1:19" ht="29.25" customHeight="1">
      <c r="A140" s="312" t="s">
        <v>1721</v>
      </c>
      <c r="B140" s="288" t="s">
        <v>2197</v>
      </c>
      <c r="C140" s="314" t="s">
        <v>2198</v>
      </c>
      <c r="D140" s="321" t="s">
        <v>2199</v>
      </c>
      <c r="E140" s="313" t="s">
        <v>1724</v>
      </c>
      <c r="F140" s="316" t="s">
        <v>76</v>
      </c>
      <c r="G140" s="299">
        <v>100</v>
      </c>
      <c r="H140" s="234">
        <f>IF(OR(J140="",K140="",K140&lt;J140),0,NETWORKDAYS(J140,K140,fESTIVOS!$A$2:$A$53))</f>
        <v>1</v>
      </c>
      <c r="I140" s="310">
        <v>46080</v>
      </c>
      <c r="J140" s="285">
        <v>46080</v>
      </c>
      <c r="K140" s="285">
        <v>46080</v>
      </c>
      <c r="L140" s="285">
        <v>46080</v>
      </c>
      <c r="M140" s="39">
        <f ca="1">IF(OR(J140="",AND(L140="",TODAY()&lt;J140),AND(L140&lt;&gt;"",L140&lt;J140)),0,
   IF(L140="",
      NETWORKDAYS(J140,TODAY(),fESTIVOS!$A$2:$A$53),
      NETWORKDAYS(J140,L140,fESTIVOS!$A$2:$A$53)
   )
)</f>
        <v>1</v>
      </c>
      <c r="N140" s="279"/>
      <c r="O140" s="279"/>
      <c r="P140" s="280"/>
      <c r="Q140" s="324" t="s">
        <v>2200</v>
      </c>
      <c r="R140" s="300" t="s">
        <v>78</v>
      </c>
      <c r="S140" s="317"/>
    </row>
    <row r="141" spans="1:19" ht="29.25" customHeight="1">
      <c r="A141" s="312" t="s">
        <v>1721</v>
      </c>
      <c r="B141" s="288" t="s">
        <v>2201</v>
      </c>
      <c r="C141" s="314" t="s">
        <v>2202</v>
      </c>
      <c r="D141" s="321" t="s">
        <v>2203</v>
      </c>
      <c r="E141" s="313" t="s">
        <v>1724</v>
      </c>
      <c r="F141" s="316" t="s">
        <v>76</v>
      </c>
      <c r="G141" s="299">
        <v>100</v>
      </c>
      <c r="H141" s="234">
        <f>IF(OR(J141="",K141="",K141&lt;J141),0,NETWORKDAYS(J141,K141,fESTIVOS!$A$2:$A$53))</f>
        <v>1</v>
      </c>
      <c r="I141" s="310">
        <v>46080</v>
      </c>
      <c r="J141" s="285">
        <v>46080</v>
      </c>
      <c r="K141" s="285">
        <v>46080</v>
      </c>
      <c r="L141" s="285">
        <v>46080</v>
      </c>
      <c r="M141" s="39">
        <f ca="1">IF(OR(J141="",AND(L141="",TODAY()&lt;J141),AND(L141&lt;&gt;"",L141&lt;J141)),0,
   IF(L141="",
      NETWORKDAYS(J141,TODAY(),fESTIVOS!$A$2:$A$53),
      NETWORKDAYS(J141,L141,fESTIVOS!$A$2:$A$53)
   )
)</f>
        <v>1</v>
      </c>
      <c r="N141" s="279"/>
      <c r="O141" s="279"/>
      <c r="P141" s="280"/>
      <c r="Q141" s="324" t="s">
        <v>2204</v>
      </c>
      <c r="R141" s="300" t="s">
        <v>78</v>
      </c>
      <c r="S141" s="317"/>
    </row>
    <row r="142" spans="1:19" ht="29.25" customHeight="1">
      <c r="A142" s="303" t="s">
        <v>1721</v>
      </c>
      <c r="B142" s="288" t="s">
        <v>2205</v>
      </c>
      <c r="C142" s="304" t="s">
        <v>2206</v>
      </c>
      <c r="D142" s="320" t="s">
        <v>2207</v>
      </c>
      <c r="E142" s="274" t="s">
        <v>1805</v>
      </c>
      <c r="F142" s="327" t="s">
        <v>76</v>
      </c>
      <c r="G142" s="306">
        <v>100</v>
      </c>
      <c r="H142" s="234">
        <f>IF(OR(J158="",K142="",K142&lt;J158),0,NETWORKDAYS(J158,K142,fESTIVOS!$A$2:$A$53))</f>
        <v>0</v>
      </c>
      <c r="I142" s="310">
        <v>46083</v>
      </c>
      <c r="J142" s="285">
        <v>46083</v>
      </c>
      <c r="K142" s="285">
        <v>46084</v>
      </c>
      <c r="L142" s="285">
        <v>46084</v>
      </c>
      <c r="M142" s="39">
        <f ca="1">IF(OR(J158="",AND(L142="",TODAY()&lt;J158),AND(L142&lt;&gt;"",L142&lt;J158)),0,
   IF(L142="",
      NETWORKDAYS(J158,TODAY(),fESTIVOS!$A$2:$A$53),
      NETWORKDAYS(J158,L142,fESTIVOS!$A$2:$A$53)
   )
)</f>
        <v>0</v>
      </c>
      <c r="N142" s="307"/>
      <c r="O142" s="307"/>
      <c r="P142" s="308"/>
      <c r="Q142" s="333" t="s">
        <v>2208</v>
      </c>
      <c r="R142" s="282" t="s">
        <v>78</v>
      </c>
      <c r="S142" s="283"/>
    </row>
    <row r="143" spans="1:19" ht="29.25" customHeight="1">
      <c r="A143" s="303" t="s">
        <v>1721</v>
      </c>
      <c r="B143" s="288" t="s">
        <v>2209</v>
      </c>
      <c r="C143" s="304" t="s">
        <v>2210</v>
      </c>
      <c r="D143" s="320" t="s">
        <v>2211</v>
      </c>
      <c r="E143" s="274" t="s">
        <v>1805</v>
      </c>
      <c r="F143" s="327" t="s">
        <v>76</v>
      </c>
      <c r="G143" s="306">
        <v>100</v>
      </c>
      <c r="H143" s="234">
        <f>IF(OR(J159="",K143="",K143&lt;J159),0,NETWORKDAYS(J159,K143,fESTIVOS!$A$2:$A$53))</f>
        <v>0</v>
      </c>
      <c r="I143" s="310">
        <v>46085</v>
      </c>
      <c r="J143" s="285">
        <v>46085</v>
      </c>
      <c r="K143" s="285">
        <v>46085</v>
      </c>
      <c r="L143" s="285">
        <v>46085</v>
      </c>
      <c r="M143" s="39">
        <f ca="1">IF(OR(J159="",AND(L143="",TODAY()&lt;J159),AND(L143&lt;&gt;"",L143&lt;J159)),0,
   IF(L143="",
      NETWORKDAYS(J159,TODAY(),fESTIVOS!$A$2:$A$53),
      NETWORKDAYS(J159,L143,fESTIVOS!$A$2:$A$53)
   )
)</f>
        <v>0</v>
      </c>
      <c r="N143" s="307"/>
      <c r="O143" s="307"/>
      <c r="P143" s="308"/>
      <c r="Q143" s="333" t="s">
        <v>2212</v>
      </c>
      <c r="R143" s="282" t="s">
        <v>78</v>
      </c>
      <c r="S143" s="283"/>
    </row>
    <row r="144" spans="1:19" ht="29.25" customHeight="1">
      <c r="A144" s="303" t="s">
        <v>1721</v>
      </c>
      <c r="B144" s="288" t="s">
        <v>2213</v>
      </c>
      <c r="C144" s="304" t="s">
        <v>2214</v>
      </c>
      <c r="D144" s="320" t="s">
        <v>2215</v>
      </c>
      <c r="E144" s="274" t="s">
        <v>1805</v>
      </c>
      <c r="F144" s="327" t="s">
        <v>76</v>
      </c>
      <c r="G144" s="306">
        <v>100</v>
      </c>
      <c r="H144" s="234">
        <f>IF(OR(J160="",K144="",K144&lt;J160),0,NETWORKDAYS(J160,K144,fESTIVOS!$A$2:$A$53))</f>
        <v>0</v>
      </c>
      <c r="I144" s="310">
        <v>46085</v>
      </c>
      <c r="J144" s="285">
        <v>46085</v>
      </c>
      <c r="K144" s="285">
        <v>46085</v>
      </c>
      <c r="L144" s="285">
        <v>46085</v>
      </c>
      <c r="M144" s="39">
        <f ca="1">IF(OR(J160="",AND(L144="",TODAY()&lt;J160),AND(L144&lt;&gt;"",L144&lt;J160)),0,
   IF(L144="",
      NETWORKDAYS(J160,TODAY(),fESTIVOS!$A$2:$A$53),
      NETWORKDAYS(J160,L144,fESTIVOS!$A$2:$A$53)
   )
)</f>
        <v>0</v>
      </c>
      <c r="N144" s="307"/>
      <c r="O144" s="307"/>
      <c r="P144" s="308"/>
      <c r="Q144" s="333" t="s">
        <v>2216</v>
      </c>
      <c r="R144" s="282" t="s">
        <v>78</v>
      </c>
      <c r="S144" s="283"/>
    </row>
    <row r="145" spans="1:19" ht="29.25" customHeight="1">
      <c r="A145" s="312" t="s">
        <v>1721</v>
      </c>
      <c r="B145" s="288" t="s">
        <v>2217</v>
      </c>
      <c r="C145" s="314" t="s">
        <v>2218</v>
      </c>
      <c r="D145" s="321" t="s">
        <v>2219</v>
      </c>
      <c r="E145" s="313" t="s">
        <v>1724</v>
      </c>
      <c r="F145" s="316" t="s">
        <v>76</v>
      </c>
      <c r="G145" s="299">
        <v>100</v>
      </c>
      <c r="H145" s="234">
        <f>IF(OR(J145="",K145="",K145&lt;J145),0,NETWORKDAYS(J145,K145,fESTIVOS!$A$2:$A$53))</f>
        <v>3</v>
      </c>
      <c r="I145" s="310">
        <v>46084</v>
      </c>
      <c r="J145" s="285">
        <v>46084</v>
      </c>
      <c r="K145" s="285">
        <v>46086</v>
      </c>
      <c r="L145" s="285">
        <v>46086</v>
      </c>
      <c r="M145" s="39">
        <f ca="1">IF(OR(J145="",AND(L145="",TODAY()&lt;J145),AND(L145&lt;&gt;"",L145&lt;J145)),0,
   IF(L145="",
      NETWORKDAYS(J145,TODAY(),fESTIVOS!$A$2:$A$53),
      NETWORKDAYS(J145,L145,fESTIVOS!$A$2:$A$53)
   )
)</f>
        <v>3</v>
      </c>
      <c r="N145" s="279"/>
      <c r="O145" s="279"/>
      <c r="P145" s="280"/>
      <c r="Q145" s="324" t="s">
        <v>2220</v>
      </c>
      <c r="R145" s="300" t="s">
        <v>78</v>
      </c>
      <c r="S145" s="317"/>
    </row>
    <row r="146" spans="1:19" ht="29.25" customHeight="1">
      <c r="A146" s="312" t="s">
        <v>1721</v>
      </c>
      <c r="B146" s="288" t="s">
        <v>2221</v>
      </c>
      <c r="C146" s="314" t="s">
        <v>2218</v>
      </c>
      <c r="D146" s="321" t="s">
        <v>2222</v>
      </c>
      <c r="E146" s="313" t="s">
        <v>1724</v>
      </c>
      <c r="F146" s="316" t="s">
        <v>76</v>
      </c>
      <c r="G146" s="299">
        <v>100</v>
      </c>
      <c r="H146" s="234">
        <f>IF(OR(J146="",K146="",K146&lt;J146),0,NETWORKDAYS(J146,K146,fESTIVOS!$A$2:$A$53))</f>
        <v>1</v>
      </c>
      <c r="I146" s="310">
        <v>46086</v>
      </c>
      <c r="J146" s="285">
        <v>46086</v>
      </c>
      <c r="K146" s="285">
        <v>46086</v>
      </c>
      <c r="L146" s="285">
        <v>46086</v>
      </c>
      <c r="M146" s="39">
        <f ca="1">IF(OR(J146="",AND(L146="",TODAY()&lt;J146),AND(L146&lt;&gt;"",L146&lt;J146)),0,
   IF(L146="",
      NETWORKDAYS(J146,TODAY(),fESTIVOS!$A$2:$A$53),
      NETWORKDAYS(J146,L146,fESTIVOS!$A$2:$A$53)
   )
)</f>
        <v>1</v>
      </c>
      <c r="N146" s="279"/>
      <c r="O146" s="279"/>
      <c r="P146" s="280"/>
      <c r="Q146" s="324" t="s">
        <v>2223</v>
      </c>
      <c r="R146" s="300" t="s">
        <v>78</v>
      </c>
      <c r="S146" s="317"/>
    </row>
    <row r="147" spans="1:19" ht="29.25" customHeight="1">
      <c r="A147" s="312" t="s">
        <v>1721</v>
      </c>
      <c r="B147" s="288" t="s">
        <v>2224</v>
      </c>
      <c r="C147" s="314" t="s">
        <v>2218</v>
      </c>
      <c r="D147" s="321" t="s">
        <v>2222</v>
      </c>
      <c r="E147" s="313" t="s">
        <v>1724</v>
      </c>
      <c r="F147" s="316" t="s">
        <v>76</v>
      </c>
      <c r="G147" s="299">
        <v>100</v>
      </c>
      <c r="H147" s="234">
        <f>IF(OR(J147="",K147="",K147&lt;J147),0,NETWORKDAYS(J147,K147,fESTIVOS!$A$2:$A$53))</f>
        <v>1</v>
      </c>
      <c r="I147" s="310">
        <v>46087</v>
      </c>
      <c r="J147" s="285">
        <v>46087</v>
      </c>
      <c r="K147" s="285">
        <v>46087</v>
      </c>
      <c r="L147" s="285">
        <v>46087</v>
      </c>
      <c r="M147" s="39">
        <f ca="1">IF(OR(J147="",AND(L147="",TODAY()&lt;J147),AND(L147&lt;&gt;"",L147&lt;J147)),0,
   IF(L147="",
      NETWORKDAYS(J147,TODAY(),fESTIVOS!$A$2:$A$53),
      NETWORKDAYS(J147,L147,fESTIVOS!$A$2:$A$53)
   )
)</f>
        <v>1</v>
      </c>
      <c r="N147" s="279"/>
      <c r="O147" s="279"/>
      <c r="P147" s="280"/>
      <c r="Q147" s="324" t="s">
        <v>2225</v>
      </c>
      <c r="R147" s="300" t="s">
        <v>78</v>
      </c>
      <c r="S147" s="317"/>
    </row>
    <row r="148" spans="1:19" ht="29.25" customHeight="1">
      <c r="A148" s="334"/>
      <c r="B148" s="335"/>
      <c r="C148" s="336"/>
      <c r="D148" s="337"/>
      <c r="E148" s="338"/>
      <c r="F148" s="339"/>
      <c r="G148" s="340"/>
      <c r="H148" s="234">
        <f>IF(OR(J148="",K148="",K148&lt;J148),0,NETWORKDAYS(J148,K148,fESTIVOS!$A$2:$A$53))</f>
        <v>0</v>
      </c>
      <c r="I148" s="341"/>
      <c r="J148" s="342"/>
      <c r="K148" s="342"/>
      <c r="L148" s="342"/>
      <c r="M148" s="39">
        <f ca="1">IF(OR(J148="",AND(L148="",TODAY()&lt;J148),AND(L148&lt;&gt;"",L148&lt;J148)),0,
   IF(L148="",
      NETWORKDAYS(J148,TODAY(),fESTIVOS!$A$2:$A$53),
      NETWORKDAYS(J148,L148,fESTIVOS!$A$2:$A$53)
   )
)</f>
        <v>0</v>
      </c>
      <c r="N148" s="343"/>
      <c r="O148" s="343"/>
      <c r="P148" s="344"/>
      <c r="Q148" s="345"/>
      <c r="R148" s="346"/>
      <c r="S148" s="347"/>
    </row>
    <row r="149" spans="1:19" ht="29.25" customHeight="1">
      <c r="A149" s="348"/>
      <c r="B149" s="349"/>
      <c r="C149" s="350"/>
      <c r="D149" s="351"/>
      <c r="E149" s="352"/>
      <c r="F149" s="353"/>
      <c r="G149" s="354"/>
      <c r="H149" s="234">
        <f>IF(OR(J149="",K149="",K149&lt;J149),0,NETWORKDAYS(J149,K149,fESTIVOS!$A$2:$A$53))</f>
        <v>0</v>
      </c>
      <c r="I149" s="355"/>
      <c r="J149" s="356"/>
      <c r="K149" s="356"/>
      <c r="L149" s="356"/>
      <c r="M149" s="39">
        <f ca="1">IF(OR(J149="",AND(L149="",TODAY()&lt;J149),AND(L149&lt;&gt;"",L149&lt;J149)),0,
   IF(L149="",
      NETWORKDAYS(J149,TODAY(),fESTIVOS!$A$2:$A$53),
      NETWORKDAYS(J149,L149,fESTIVOS!$A$2:$A$53)
   )
)</f>
        <v>0</v>
      </c>
      <c r="N149" s="355"/>
      <c r="O149" s="355"/>
      <c r="P149" s="182"/>
      <c r="Q149" s="357"/>
      <c r="R149" s="358"/>
      <c r="S149" s="104"/>
    </row>
    <row r="150" spans="1:19" ht="29.25" customHeight="1">
      <c r="A150" s="348"/>
      <c r="B150" s="349"/>
      <c r="C150" s="350"/>
      <c r="D150" s="351"/>
      <c r="E150" s="352"/>
      <c r="F150" s="353"/>
      <c r="G150" s="354"/>
      <c r="H150" s="234">
        <f>IF(OR(J150="",K150="",K150&lt;J150),0,NETWORKDAYS(J150,K150,fESTIVOS!$A$2:$A$53))</f>
        <v>0</v>
      </c>
      <c r="I150" s="355"/>
      <c r="J150" s="356"/>
      <c r="K150" s="356"/>
      <c r="L150" s="356"/>
      <c r="M150" s="39">
        <f ca="1">IF(OR(J150="",AND(L150="",TODAY()&lt;J150),AND(L150&lt;&gt;"",L150&lt;J150)),0,
   IF(L150="",
      NETWORKDAYS(J150,TODAY(),fESTIVOS!$A$2:$A$53),
      NETWORKDAYS(J150,L150,fESTIVOS!$A$2:$A$53)
   )
)</f>
        <v>0</v>
      </c>
      <c r="N150" s="355"/>
      <c r="O150" s="355"/>
      <c r="P150" s="182"/>
      <c r="Q150" s="104"/>
      <c r="R150" s="358"/>
      <c r="S150" s="104"/>
    </row>
    <row r="151" spans="1:19" ht="29.25" customHeight="1">
      <c r="A151" s="348"/>
      <c r="B151" s="349"/>
      <c r="C151" s="350"/>
      <c r="D151" s="351"/>
      <c r="E151" s="352"/>
      <c r="F151" s="353"/>
      <c r="G151" s="354"/>
      <c r="H151" s="234">
        <f>IF(OR(J151="",K151="",K151&lt;J151),0,NETWORKDAYS(J151,K151,fESTIVOS!$A$2:$A$53))</f>
        <v>0</v>
      </c>
      <c r="I151" s="355"/>
      <c r="J151" s="356"/>
      <c r="K151" s="356"/>
      <c r="L151" s="356"/>
      <c r="M151" s="39">
        <f ca="1">IF(OR(J151="",AND(L151="",TODAY()&lt;J151),AND(L151&lt;&gt;"",L151&lt;J151)),0,
   IF(L151="",
      NETWORKDAYS(J151,TODAY(),fESTIVOS!$A$2:$A$53),
      NETWORKDAYS(J151,L151,fESTIVOS!$A$2:$A$53)
   )
)</f>
        <v>0</v>
      </c>
      <c r="N151" s="355"/>
      <c r="O151" s="355"/>
      <c r="P151" s="182"/>
      <c r="Q151" s="104"/>
      <c r="R151" s="358"/>
      <c r="S151" s="104"/>
    </row>
    <row r="152" spans="1:19" ht="29.25" customHeight="1">
      <c r="A152" s="348"/>
      <c r="B152" s="349"/>
      <c r="C152" s="350"/>
      <c r="D152" s="351"/>
      <c r="E152" s="352"/>
      <c r="F152" s="353"/>
      <c r="G152" s="354"/>
      <c r="H152" s="234">
        <f>IF(OR(J152="",K152="",K152&lt;J152),0,NETWORKDAYS(J152,K152,fESTIVOS!$A$2:$A$53))</f>
        <v>0</v>
      </c>
      <c r="I152" s="355"/>
      <c r="J152" s="356"/>
      <c r="K152" s="356"/>
      <c r="L152" s="356"/>
      <c r="M152" s="39">
        <f ca="1">IF(OR(J152="",AND(L152="",TODAY()&lt;J152),AND(L152&lt;&gt;"",L152&lt;J152)),0,
   IF(L152="",
      NETWORKDAYS(J152,TODAY(),fESTIVOS!$A$2:$A$53),
      NETWORKDAYS(J152,L152,fESTIVOS!$A$2:$A$53)
   )
)</f>
        <v>0</v>
      </c>
      <c r="N152" s="355"/>
      <c r="O152" s="355"/>
      <c r="P152" s="182"/>
      <c r="Q152" s="104"/>
      <c r="R152" s="358"/>
      <c r="S152" s="104"/>
    </row>
    <row r="153" spans="1:19" ht="29.25" customHeight="1">
      <c r="A153" s="348"/>
      <c r="B153" s="349"/>
      <c r="C153" s="350"/>
      <c r="D153" s="351"/>
      <c r="E153" s="352"/>
      <c r="F153" s="353"/>
      <c r="G153" s="354"/>
      <c r="H153" s="234">
        <f>IF(OR(J153="",K153="",K153&lt;J153),0,NETWORKDAYS(J153,K153,fESTIVOS!$A$2:$A$53))</f>
        <v>0</v>
      </c>
      <c r="I153" s="355"/>
      <c r="J153" s="356"/>
      <c r="K153" s="356"/>
      <c r="L153" s="356"/>
      <c r="M153" s="39">
        <f ca="1">IF(OR(J153="",AND(L153="",TODAY()&lt;J153),AND(L153&lt;&gt;"",L153&lt;J153)),0,
   IF(L153="",
      NETWORKDAYS(J153,TODAY(),fESTIVOS!$A$2:$A$53),
      NETWORKDAYS(J153,L153,fESTIVOS!$A$2:$A$53)
   )
)</f>
        <v>0</v>
      </c>
      <c r="N153" s="355"/>
      <c r="O153" s="355"/>
      <c r="P153" s="182"/>
      <c r="Q153" s="104"/>
      <c r="R153" s="358"/>
      <c r="S153" s="104"/>
    </row>
    <row r="154" spans="1:19" ht="29.25" customHeight="1">
      <c r="A154" s="348"/>
      <c r="B154" s="349"/>
      <c r="C154" s="350"/>
      <c r="D154" s="351"/>
      <c r="E154" s="352"/>
      <c r="F154" s="353"/>
      <c r="G154" s="354"/>
      <c r="H154" s="234">
        <f>IF(OR(J154="",K154="",K154&lt;J154),0,NETWORKDAYS(J154,K154,fESTIVOS!$A$2:$A$53))</f>
        <v>0</v>
      </c>
      <c r="I154" s="355"/>
      <c r="J154" s="356"/>
      <c r="K154" s="356"/>
      <c r="L154" s="356"/>
      <c r="M154" s="39">
        <f ca="1">IF(OR(J154="",AND(L154="",TODAY()&lt;J154),AND(L154&lt;&gt;"",L154&lt;J154)),0,
   IF(L154="",
      NETWORKDAYS(J154,TODAY(),fESTIVOS!$A$2:$A$53),
      NETWORKDAYS(J154,L154,fESTIVOS!$A$2:$A$53)
   )
)</f>
        <v>0</v>
      </c>
      <c r="N154" s="355"/>
      <c r="O154" s="355"/>
      <c r="P154" s="182"/>
      <c r="Q154" s="104"/>
      <c r="R154" s="358"/>
      <c r="S154" s="104"/>
    </row>
    <row r="155" spans="1:19" ht="29.25" customHeight="1">
      <c r="A155" s="348"/>
      <c r="B155" s="349"/>
      <c r="C155" s="350"/>
      <c r="D155" s="351"/>
      <c r="E155" s="352"/>
      <c r="F155" s="353"/>
      <c r="G155" s="354"/>
      <c r="H155" s="234">
        <f>IF(OR(J155="",K155="",K155&lt;J155),0,NETWORKDAYS(J155,K155,fESTIVOS!$A$2:$A$53))</f>
        <v>0</v>
      </c>
      <c r="I155" s="355"/>
      <c r="J155" s="356"/>
      <c r="K155" s="356"/>
      <c r="L155" s="356"/>
      <c r="M155" s="39">
        <f ca="1">IF(OR(J155="",AND(L155="",TODAY()&lt;J155),AND(L155&lt;&gt;"",L155&lt;J155)),0,
   IF(L155="",
      NETWORKDAYS(J155,TODAY(),fESTIVOS!$A$2:$A$53),
      NETWORKDAYS(J155,L155,fESTIVOS!$A$2:$A$53)
   )
)</f>
        <v>0</v>
      </c>
      <c r="N155" s="355"/>
      <c r="O155" s="355"/>
      <c r="P155" s="182"/>
      <c r="Q155" s="104"/>
      <c r="R155" s="358"/>
      <c r="S155" s="104"/>
    </row>
    <row r="156" spans="1:19" ht="29.25" customHeight="1">
      <c r="A156" s="348"/>
      <c r="B156" s="349"/>
      <c r="C156" s="350"/>
      <c r="D156" s="351"/>
      <c r="E156" s="352"/>
      <c r="F156" s="353"/>
      <c r="G156" s="354"/>
      <c r="H156" s="234">
        <f>IF(OR(J156="",K156="",K156&lt;J156),0,NETWORKDAYS(J156,K156,fESTIVOS!$A$2:$A$53))</f>
        <v>0</v>
      </c>
      <c r="I156" s="355"/>
      <c r="J156" s="356"/>
      <c r="K156" s="356"/>
      <c r="L156" s="356"/>
      <c r="M156" s="39">
        <f ca="1">IF(OR(J156="",AND(L156="",TODAY()&lt;J156),AND(L156&lt;&gt;"",L156&lt;J156)),0,
   IF(L156="",
      NETWORKDAYS(J156,TODAY(),fESTIVOS!$A$2:$A$53),
      NETWORKDAYS(J156,L156,fESTIVOS!$A$2:$A$53)
   )
)</f>
        <v>0</v>
      </c>
      <c r="N156" s="355"/>
      <c r="O156" s="355"/>
      <c r="P156" s="182"/>
      <c r="Q156" s="104"/>
      <c r="R156" s="358"/>
      <c r="S156" s="104"/>
    </row>
    <row r="157" spans="1:19" ht="29.25" customHeight="1">
      <c r="A157" s="348"/>
      <c r="B157" s="349"/>
      <c r="C157" s="350"/>
      <c r="D157" s="351"/>
      <c r="E157" s="352"/>
      <c r="F157" s="353"/>
      <c r="G157" s="354"/>
      <c r="H157" s="234">
        <f>IF(OR(J157="",K157="",K157&lt;J157),0,NETWORKDAYS(J157,K157,fESTIVOS!$A$2:$A$53))</f>
        <v>0</v>
      </c>
      <c r="I157" s="355"/>
      <c r="J157" s="356"/>
      <c r="K157" s="356"/>
      <c r="L157" s="356"/>
      <c r="M157" s="39">
        <f ca="1">IF(OR(J157="",AND(L157="",TODAY()&lt;J157),AND(L157&lt;&gt;"",L157&lt;J157)),0,
   IF(L157="",
      NETWORKDAYS(J157,TODAY(),fESTIVOS!$A$2:$A$53),
      NETWORKDAYS(J157,L157,fESTIVOS!$A$2:$A$53)
   )
)</f>
        <v>0</v>
      </c>
      <c r="N157" s="355"/>
      <c r="O157" s="355"/>
      <c r="P157" s="182"/>
      <c r="Q157" s="104"/>
      <c r="R157" s="358"/>
      <c r="S157" s="104"/>
    </row>
    <row r="158" spans="1:19" ht="29.25" customHeight="1">
      <c r="A158" s="348"/>
      <c r="B158" s="349"/>
      <c r="C158" s="350"/>
      <c r="D158" s="351"/>
      <c r="E158" s="352"/>
      <c r="F158" s="353"/>
      <c r="G158" s="354"/>
      <c r="H158" s="234">
        <f>IF(OR(J158="",K158="",K158&lt;J158),0,NETWORKDAYS(J158,K158,fESTIVOS!$A$2:$A$53))</f>
        <v>0</v>
      </c>
      <c r="I158" s="355"/>
      <c r="J158" s="356"/>
      <c r="K158" s="356"/>
      <c r="L158" s="356"/>
      <c r="M158" s="39">
        <f ca="1">IF(OR(J158="",AND(L158="",TODAY()&lt;J158),AND(L158&lt;&gt;"",L158&lt;J158)),0,
   IF(L158="",
      NETWORKDAYS(J158,TODAY(),fESTIVOS!$A$2:$A$53),
      NETWORKDAYS(J158,L158,fESTIVOS!$A$2:$A$53)
   )
)</f>
        <v>0</v>
      </c>
      <c r="N158" s="355"/>
      <c r="O158" s="355"/>
      <c r="P158" s="182"/>
      <c r="Q158" s="104"/>
      <c r="R158" s="358"/>
      <c r="S158" s="104"/>
    </row>
    <row r="159" spans="1:19" ht="29.25" customHeight="1">
      <c r="A159" s="348"/>
      <c r="B159" s="349"/>
      <c r="C159" s="350"/>
      <c r="D159" s="351"/>
      <c r="E159" s="352"/>
      <c r="F159" s="353"/>
      <c r="G159" s="354"/>
      <c r="H159" s="234">
        <f>IF(OR(J159="",K159="",K159&lt;J159),0,NETWORKDAYS(J159,K159,fESTIVOS!$A$2:$A$53))</f>
        <v>0</v>
      </c>
      <c r="I159" s="355"/>
      <c r="J159" s="356"/>
      <c r="K159" s="356"/>
      <c r="L159" s="356"/>
      <c r="M159" s="39">
        <f ca="1">IF(OR(J159="",AND(L159="",TODAY()&lt;J159),AND(L159&lt;&gt;"",L159&lt;J159)),0,
   IF(L159="",
      NETWORKDAYS(J159,TODAY(),fESTIVOS!$A$2:$A$53),
      NETWORKDAYS(J159,L159,fESTIVOS!$A$2:$A$53)
   )
)</f>
        <v>0</v>
      </c>
      <c r="N159" s="355"/>
      <c r="O159" s="355"/>
      <c r="P159" s="182"/>
      <c r="Q159" s="104"/>
      <c r="R159" s="358"/>
      <c r="S159" s="104"/>
    </row>
    <row r="160" spans="1:19" ht="29.25" customHeight="1">
      <c r="A160" s="348"/>
      <c r="B160" s="349"/>
      <c r="C160" s="350"/>
      <c r="D160" s="351"/>
      <c r="E160" s="352"/>
      <c r="F160" s="353"/>
      <c r="G160" s="354"/>
      <c r="H160" s="234">
        <f>IF(OR(J160="",K160="",K160&lt;J160),0,NETWORKDAYS(J160,K160,fESTIVOS!$A$2:$A$53))</f>
        <v>0</v>
      </c>
      <c r="I160" s="355"/>
      <c r="J160" s="356"/>
      <c r="K160" s="356"/>
      <c r="L160" s="356"/>
      <c r="M160" s="39">
        <f ca="1">IF(OR(J160="",AND(L160="",TODAY()&lt;J160),AND(L160&lt;&gt;"",L160&lt;J160)),0,
   IF(L160="",
      NETWORKDAYS(J160,TODAY(),fESTIVOS!$A$2:$A$53),
      NETWORKDAYS(J160,L160,fESTIVOS!$A$2:$A$53)
   )
)</f>
        <v>0</v>
      </c>
      <c r="N160" s="355"/>
      <c r="O160" s="355"/>
      <c r="P160" s="182"/>
      <c r="Q160" s="104"/>
      <c r="R160" s="358"/>
      <c r="S160" s="104"/>
    </row>
    <row r="161" spans="1:19" ht="29.25" customHeight="1">
      <c r="A161" s="224"/>
      <c r="B161" s="359"/>
      <c r="C161" s="360"/>
      <c r="D161" s="361"/>
      <c r="E161" s="352"/>
      <c r="F161" s="161"/>
      <c r="G161" s="225"/>
      <c r="H161" s="234">
        <f>IF(OR(J161="",K161="",K161&lt;J161),0,NETWORKDAYS(J161,K161,fESTIVOS!$A$2:$A$53))</f>
        <v>0</v>
      </c>
      <c r="I161" s="180"/>
      <c r="J161" s="181"/>
      <c r="K161" s="181"/>
      <c r="L161" s="181"/>
      <c r="M161" s="39">
        <f ca="1">IF(OR(J161="",AND(L161="",TODAY()&lt;J161),AND(L161&lt;&gt;"",L161&lt;J161)),0,
   IF(L161="",
      NETWORKDAYS(J161,TODAY(),fESTIVOS!$A$2:$A$53),
      NETWORKDAYS(J161,L161,fESTIVOS!$A$2:$A$53)
   )
)</f>
        <v>0</v>
      </c>
      <c r="N161" s="180"/>
      <c r="O161" s="180"/>
      <c r="P161" s="182"/>
      <c r="Q161" s="104"/>
      <c r="R161" s="358"/>
      <c r="S161" s="104"/>
    </row>
    <row r="162" spans="1:19" ht="29.25" customHeight="1">
      <c r="A162" s="224"/>
      <c r="B162" s="359"/>
      <c r="C162" s="360"/>
      <c r="D162" s="361"/>
      <c r="E162" s="362"/>
      <c r="F162" s="161"/>
      <c r="G162" s="225"/>
      <c r="H162" s="234">
        <f>IF(OR(J162="",K162="",K162&lt;J162),0,NETWORKDAYS(J162,K162,fESTIVOS!$A$2:$A$53))</f>
        <v>0</v>
      </c>
      <c r="I162" s="180"/>
      <c r="J162" s="181"/>
      <c r="K162" s="181"/>
      <c r="L162" s="181"/>
      <c r="M162" s="39">
        <f ca="1">IF(OR(J162="",AND(L162="",TODAY()&lt;J162),AND(L162&lt;&gt;"",L162&lt;J162)),0,
   IF(L162="",
      NETWORKDAYS(J162,TODAY(),fESTIVOS!$A$2:$A$53),
      NETWORKDAYS(J162,L162,fESTIVOS!$A$2:$A$53)
   )
)</f>
        <v>0</v>
      </c>
      <c r="N162" s="180"/>
      <c r="O162" s="180"/>
      <c r="P162" s="182"/>
      <c r="Q162" s="104"/>
      <c r="R162" s="363"/>
      <c r="S162" s="104"/>
    </row>
    <row r="163" spans="1:19" ht="29.25" customHeight="1">
      <c r="A163" s="224"/>
      <c r="B163" s="359"/>
      <c r="C163" s="360"/>
      <c r="D163" s="361"/>
      <c r="E163" s="352"/>
      <c r="F163" s="161"/>
      <c r="G163" s="225"/>
      <c r="H163" s="234">
        <f>IF(OR(J163="",K163="",K163&lt;J163),0,NETWORKDAYS(J163,K163,fESTIVOS!$A$2:$A$53))</f>
        <v>0</v>
      </c>
      <c r="I163" s="180"/>
      <c r="J163" s="181"/>
      <c r="K163" s="181"/>
      <c r="L163" s="181"/>
      <c r="M163" s="39">
        <f ca="1">IF(OR(J163="",AND(L163="",TODAY()&lt;J163),AND(L163&lt;&gt;"",L163&lt;J163)),0,
   IF(L163="",
      NETWORKDAYS(J163,TODAY(),fESTIVOS!$A$2:$A$53),
      NETWORKDAYS(J163,L163,fESTIVOS!$A$2:$A$53)
   )
)</f>
        <v>0</v>
      </c>
      <c r="N163" s="180"/>
      <c r="O163" s="180"/>
      <c r="P163" s="182"/>
      <c r="Q163" s="104"/>
      <c r="R163" s="358"/>
      <c r="S163" s="104"/>
    </row>
    <row r="164" spans="1:19" ht="29.25" customHeight="1">
      <c r="A164" s="224"/>
      <c r="B164" s="359"/>
      <c r="C164" s="360"/>
      <c r="D164" s="361"/>
      <c r="E164" s="362"/>
      <c r="F164" s="161"/>
      <c r="G164" s="225"/>
      <c r="H164" s="234">
        <f>IF(OR(J164="",K164="",K164&lt;J164),0,NETWORKDAYS(J164,K164,fESTIVOS!$A$2:$A$53))</f>
        <v>0</v>
      </c>
      <c r="I164" s="180"/>
      <c r="J164" s="181"/>
      <c r="K164" s="181"/>
      <c r="L164" s="181"/>
      <c r="M164" s="39">
        <f ca="1">IF(OR(J164="",AND(L164="",TODAY()&lt;J164),AND(L164&lt;&gt;"",L164&lt;J164)),0,
   IF(L164="",
      NETWORKDAYS(J164,TODAY(),fESTIVOS!$A$2:$A$53),
      NETWORKDAYS(J164,L164,fESTIVOS!$A$2:$A$53)
   )
)</f>
        <v>0</v>
      </c>
      <c r="N164" s="180"/>
      <c r="O164" s="180"/>
      <c r="P164" s="182"/>
      <c r="Q164" s="104"/>
      <c r="R164" s="363"/>
      <c r="S164" s="104"/>
    </row>
    <row r="165" spans="1:19" ht="29.25" customHeight="1">
      <c r="A165" s="224"/>
      <c r="B165" s="359"/>
      <c r="C165" s="360"/>
      <c r="D165" s="361"/>
      <c r="E165" s="352"/>
      <c r="F165" s="161"/>
      <c r="G165" s="225"/>
      <c r="H165" s="234">
        <f>IF(OR(J165="",K165="",K165&lt;J165),0,NETWORKDAYS(J165,K165,fESTIVOS!$A$2:$A$53))</f>
        <v>0</v>
      </c>
      <c r="I165" s="180"/>
      <c r="J165" s="181"/>
      <c r="K165" s="181"/>
      <c r="L165" s="181"/>
      <c r="M165" s="39">
        <f ca="1">IF(OR(J165="",AND(L165="",TODAY()&lt;J165),AND(L165&lt;&gt;"",L165&lt;J165)),0,
   IF(L165="",
      NETWORKDAYS(J165,TODAY(),fESTIVOS!$A$2:$A$53),
      NETWORKDAYS(J165,L165,fESTIVOS!$A$2:$A$53)
   )
)</f>
        <v>0</v>
      </c>
      <c r="N165" s="180"/>
      <c r="O165" s="180"/>
      <c r="P165" s="182"/>
      <c r="Q165" s="104"/>
      <c r="R165" s="358"/>
      <c r="S165" s="104"/>
    </row>
    <row r="166" spans="1:19" ht="29.25" customHeight="1">
      <c r="A166" s="224"/>
      <c r="B166" s="359"/>
      <c r="C166" s="360"/>
      <c r="D166" s="361"/>
      <c r="E166" s="362"/>
      <c r="F166" s="161"/>
      <c r="G166" s="225"/>
      <c r="H166" s="234">
        <f>IF(OR(J166="",K166="",K166&lt;J166),0,NETWORKDAYS(J166,K166,fESTIVOS!$A$2:$A$53))</f>
        <v>0</v>
      </c>
      <c r="I166" s="180"/>
      <c r="J166" s="181"/>
      <c r="K166" s="181"/>
      <c r="L166" s="181"/>
      <c r="M166" s="39">
        <f ca="1">IF(OR(J166="",AND(L166="",TODAY()&lt;J166),AND(L166&lt;&gt;"",L166&lt;J166)),0,
   IF(L166="",
      NETWORKDAYS(J166,TODAY(),fESTIVOS!$A$2:$A$53),
      NETWORKDAYS(J166,L166,fESTIVOS!$A$2:$A$53)
   )
)</f>
        <v>0</v>
      </c>
      <c r="N166" s="180"/>
      <c r="O166" s="180"/>
      <c r="P166" s="182"/>
      <c r="Q166" s="104"/>
      <c r="R166" s="363"/>
      <c r="S166" s="104"/>
    </row>
    <row r="167" spans="1:19" ht="29.25" customHeight="1">
      <c r="A167" s="224"/>
      <c r="B167" s="359"/>
      <c r="C167" s="360"/>
      <c r="D167" s="361"/>
      <c r="E167" s="352"/>
      <c r="F167" s="161"/>
      <c r="G167" s="225"/>
      <c r="H167" s="234">
        <f>IF(OR(J167="",K167="",K167&lt;J167),0,NETWORKDAYS(J167,K167,fESTIVOS!$A$2:$A$53))</f>
        <v>0</v>
      </c>
      <c r="I167" s="180"/>
      <c r="J167" s="181"/>
      <c r="K167" s="181"/>
      <c r="L167" s="181"/>
      <c r="M167" s="39">
        <f ca="1">IF(OR(J167="",AND(L167="",TODAY()&lt;J167),AND(L167&lt;&gt;"",L167&lt;J167)),0,
   IF(L167="",
      NETWORKDAYS(J167,TODAY(),fESTIVOS!$A$2:$A$53),
      NETWORKDAYS(J167,L167,fESTIVOS!$A$2:$A$53)
   )
)</f>
        <v>0</v>
      </c>
      <c r="N167" s="180"/>
      <c r="O167" s="180"/>
      <c r="P167" s="182"/>
      <c r="Q167" s="104"/>
      <c r="R167" s="358"/>
      <c r="S167" s="104"/>
    </row>
    <row r="168" spans="1:19" ht="29.25" customHeight="1">
      <c r="A168" s="224"/>
      <c r="B168" s="359"/>
      <c r="C168" s="360"/>
      <c r="D168" s="361"/>
      <c r="E168" s="362"/>
      <c r="F168" s="161"/>
      <c r="G168" s="225"/>
      <c r="H168" s="234">
        <f>IF(OR(J168="",K168="",K168&lt;J168),0,NETWORKDAYS(J168,K168,fESTIVOS!$A$2:$A$53))</f>
        <v>0</v>
      </c>
      <c r="I168" s="180"/>
      <c r="J168" s="181"/>
      <c r="K168" s="181"/>
      <c r="L168" s="181"/>
      <c r="M168" s="39">
        <f ca="1">IF(OR(J168="",AND(L168="",TODAY()&lt;J168),AND(L168&lt;&gt;"",L168&lt;J168)),0,
   IF(L168="",
      NETWORKDAYS(J168,TODAY(),fESTIVOS!$A$2:$A$53),
      NETWORKDAYS(J168,L168,fESTIVOS!$A$2:$A$53)
   )
)</f>
        <v>0</v>
      </c>
      <c r="N168" s="180"/>
      <c r="O168" s="180"/>
      <c r="P168" s="182"/>
      <c r="Q168" s="104"/>
      <c r="R168" s="363"/>
      <c r="S168" s="104"/>
    </row>
    <row r="169" spans="1:19" ht="29.25" customHeight="1">
      <c r="A169" s="224"/>
      <c r="B169" s="359"/>
      <c r="C169" s="360"/>
      <c r="D169" s="361"/>
      <c r="E169" s="352"/>
      <c r="F169" s="161"/>
      <c r="G169" s="225"/>
      <c r="H169" s="234">
        <f>IF(OR(J169="",K169="",K169&lt;J169),0,NETWORKDAYS(J169,K169,fESTIVOS!$A$2:$A$53))</f>
        <v>0</v>
      </c>
      <c r="I169" s="180"/>
      <c r="J169" s="181"/>
      <c r="K169" s="181"/>
      <c r="L169" s="181"/>
      <c r="M169" s="39">
        <f ca="1">IF(OR(J169="",AND(L169="",TODAY()&lt;J169),AND(L169&lt;&gt;"",L169&lt;J169)),0,
   IF(L169="",
      NETWORKDAYS(J169,TODAY(),fESTIVOS!$A$2:$A$53),
      NETWORKDAYS(J169,L169,fESTIVOS!$A$2:$A$53)
   )
)</f>
        <v>0</v>
      </c>
      <c r="N169" s="180"/>
      <c r="O169" s="180"/>
      <c r="P169" s="182"/>
      <c r="Q169" s="104"/>
      <c r="R169" s="358"/>
      <c r="S169" s="104"/>
    </row>
    <row r="170" spans="1:19" ht="29.25" customHeight="1">
      <c r="A170" s="224"/>
      <c r="B170" s="359"/>
      <c r="C170" s="360"/>
      <c r="D170" s="361"/>
      <c r="E170" s="362"/>
      <c r="F170" s="161"/>
      <c r="G170" s="225"/>
      <c r="H170" s="234">
        <f>IF(OR(J170="",K170="",K170&lt;J170),0,NETWORKDAYS(J170,K170,fESTIVOS!$A$2:$A$53))</f>
        <v>0</v>
      </c>
      <c r="I170" s="180"/>
      <c r="J170" s="181"/>
      <c r="K170" s="181"/>
      <c r="L170" s="181"/>
      <c r="M170" s="39">
        <f ca="1">IF(OR(J170="",AND(L170="",TODAY()&lt;J170),AND(L170&lt;&gt;"",L170&lt;J170)),0,
   IF(L170="",
      NETWORKDAYS(J170,TODAY(),fESTIVOS!$A$2:$A$53),
      NETWORKDAYS(J170,L170,fESTIVOS!$A$2:$A$53)
   )
)</f>
        <v>0</v>
      </c>
      <c r="N170" s="180"/>
      <c r="O170" s="180"/>
      <c r="P170" s="182"/>
      <c r="Q170" s="104"/>
      <c r="R170" s="363"/>
      <c r="S170" s="104"/>
    </row>
    <row r="171" spans="1:19" ht="29.25" customHeight="1">
      <c r="A171" s="224"/>
      <c r="B171" s="359"/>
      <c r="C171" s="360"/>
      <c r="D171" s="361"/>
      <c r="E171" s="352"/>
      <c r="F171" s="161"/>
      <c r="G171" s="225"/>
      <c r="H171" s="234">
        <f>IF(OR(J171="",K171="",K171&lt;J171),0,NETWORKDAYS(J171,K171,fESTIVOS!$A$2:$A$53))</f>
        <v>0</v>
      </c>
      <c r="I171" s="180"/>
      <c r="J171" s="181"/>
      <c r="K171" s="181"/>
      <c r="L171" s="181"/>
      <c r="M171" s="39">
        <f ca="1">IF(OR(J171="",AND(L171="",TODAY()&lt;J171),AND(L171&lt;&gt;"",L171&lt;J171)),0,
   IF(L171="",
      NETWORKDAYS(J171,TODAY(),fESTIVOS!$A$2:$A$53),
      NETWORKDAYS(J171,L171,fESTIVOS!$A$2:$A$53)
   )
)</f>
        <v>0</v>
      </c>
      <c r="N171" s="180"/>
      <c r="O171" s="180"/>
      <c r="P171" s="182"/>
      <c r="Q171" s="104"/>
      <c r="R171" s="358"/>
      <c r="S171" s="104"/>
    </row>
    <row r="172" spans="1:19" ht="29.25" customHeight="1">
      <c r="A172" s="224"/>
      <c r="B172" s="359"/>
      <c r="C172" s="360"/>
      <c r="D172" s="361"/>
      <c r="E172" s="362"/>
      <c r="F172" s="161"/>
      <c r="G172" s="225"/>
      <c r="H172" s="234">
        <f>IF(OR(J172="",K172="",K172&lt;J172),0,NETWORKDAYS(J172,K172,fESTIVOS!$A$2:$A$53))</f>
        <v>0</v>
      </c>
      <c r="I172" s="180"/>
      <c r="J172" s="181"/>
      <c r="K172" s="181"/>
      <c r="L172" s="181"/>
      <c r="M172" s="39">
        <f ca="1">IF(OR(J172="",AND(L172="",TODAY()&lt;J172),AND(L172&lt;&gt;"",L172&lt;J172)),0,
   IF(L172="",
      NETWORKDAYS(J172,TODAY(),fESTIVOS!$A$2:$A$53),
      NETWORKDAYS(J172,L172,fESTIVOS!$A$2:$A$53)
   )
)</f>
        <v>0</v>
      </c>
      <c r="N172" s="180"/>
      <c r="O172" s="180"/>
      <c r="P172" s="182"/>
      <c r="Q172" s="104"/>
      <c r="R172" s="363"/>
      <c r="S172" s="104"/>
    </row>
    <row r="173" spans="1:19" ht="29.25" customHeight="1">
      <c r="A173" s="224"/>
      <c r="B173" s="359"/>
      <c r="C173" s="360"/>
      <c r="D173" s="361"/>
      <c r="E173" s="352"/>
      <c r="F173" s="161"/>
      <c r="G173" s="225"/>
      <c r="H173" s="234">
        <f>IF(OR(J173="",K173="",K173&lt;J173),0,NETWORKDAYS(J173,K173,fESTIVOS!$A$2:$A$53))</f>
        <v>0</v>
      </c>
      <c r="I173" s="180"/>
      <c r="J173" s="181"/>
      <c r="K173" s="181"/>
      <c r="L173" s="181"/>
      <c r="M173" s="39">
        <f ca="1">IF(OR(J173="",AND(L173="",TODAY()&lt;J173),AND(L173&lt;&gt;"",L173&lt;J173)),0,
   IF(L173="",
      NETWORKDAYS(J173,TODAY(),fESTIVOS!$A$2:$A$53),
      NETWORKDAYS(J173,L173,fESTIVOS!$A$2:$A$53)
   )
)</f>
        <v>0</v>
      </c>
      <c r="N173" s="180"/>
      <c r="O173" s="180"/>
      <c r="P173" s="182"/>
      <c r="Q173" s="104"/>
      <c r="R173" s="358"/>
      <c r="S173" s="104"/>
    </row>
    <row r="174" spans="1:19" ht="29.25" customHeight="1">
      <c r="A174" s="224"/>
      <c r="B174" s="359"/>
      <c r="C174" s="360"/>
      <c r="D174" s="361"/>
      <c r="E174" s="362"/>
      <c r="F174" s="161"/>
      <c r="G174" s="225"/>
      <c r="H174" s="234">
        <f>IF(OR(J174="",K174="",K174&lt;J174),0,NETWORKDAYS(J174,K174,fESTIVOS!$A$2:$A$53))</f>
        <v>0</v>
      </c>
      <c r="I174" s="180"/>
      <c r="J174" s="181"/>
      <c r="K174" s="181"/>
      <c r="L174" s="181"/>
      <c r="M174" s="39">
        <f ca="1">IF(OR(J174="",AND(L174="",TODAY()&lt;J174),AND(L174&lt;&gt;"",L174&lt;J174)),0,
   IF(L174="",
      NETWORKDAYS(J174,TODAY(),fESTIVOS!$A$2:$A$53),
      NETWORKDAYS(J174,L174,fESTIVOS!$A$2:$A$53)
   )
)</f>
        <v>0</v>
      </c>
      <c r="N174" s="180"/>
      <c r="O174" s="180"/>
      <c r="P174" s="182"/>
      <c r="Q174" s="104"/>
      <c r="R174" s="363"/>
      <c r="S174" s="104"/>
    </row>
    <row r="175" spans="1:19" ht="29.25" customHeight="1">
      <c r="A175" s="224"/>
      <c r="B175" s="359"/>
      <c r="C175" s="360"/>
      <c r="D175" s="361"/>
      <c r="E175" s="352"/>
      <c r="F175" s="161"/>
      <c r="G175" s="225"/>
      <c r="H175" s="234">
        <f>IF(OR(J175="",K175="",K175&lt;J175),0,NETWORKDAYS(J175,K175,fESTIVOS!$A$2:$A$53))</f>
        <v>0</v>
      </c>
      <c r="I175" s="180"/>
      <c r="J175" s="181"/>
      <c r="K175" s="181"/>
      <c r="L175" s="181"/>
      <c r="M175" s="39">
        <f ca="1">IF(OR(J175="",AND(L175="",TODAY()&lt;J175),AND(L175&lt;&gt;"",L175&lt;J175)),0,
   IF(L175="",
      NETWORKDAYS(J175,TODAY(),fESTIVOS!$A$2:$A$53),
      NETWORKDAYS(J175,L175,fESTIVOS!$A$2:$A$53)
   )
)</f>
        <v>0</v>
      </c>
      <c r="N175" s="180"/>
      <c r="O175" s="180"/>
      <c r="P175" s="182"/>
      <c r="Q175" s="104"/>
      <c r="R175" s="358"/>
      <c r="S175" s="104"/>
    </row>
    <row r="176" spans="1:19" ht="29.25" customHeight="1">
      <c r="A176" s="224"/>
      <c r="B176" s="359"/>
      <c r="C176" s="360"/>
      <c r="D176" s="361"/>
      <c r="E176" s="362"/>
      <c r="F176" s="161"/>
      <c r="G176" s="225"/>
      <c r="H176" s="234">
        <f>IF(OR(J176="",K176="",K176&lt;J176),0,NETWORKDAYS(J176,K176,fESTIVOS!$A$2:$A$53))</f>
        <v>0</v>
      </c>
      <c r="I176" s="180"/>
      <c r="J176" s="181"/>
      <c r="K176" s="181"/>
      <c r="L176" s="181"/>
      <c r="M176" s="39">
        <f ca="1">IF(OR(J176="",AND(L176="",TODAY()&lt;J176),AND(L176&lt;&gt;"",L176&lt;J176)),0,
   IF(L176="",
      NETWORKDAYS(J176,TODAY(),fESTIVOS!$A$2:$A$53),
      NETWORKDAYS(J176,L176,fESTIVOS!$A$2:$A$53)
   )
)</f>
        <v>0</v>
      </c>
      <c r="N176" s="180"/>
      <c r="O176" s="180"/>
      <c r="P176" s="182"/>
      <c r="Q176" s="104"/>
      <c r="R176" s="363"/>
      <c r="S176" s="104"/>
    </row>
    <row r="177" spans="1:19" ht="29.25" customHeight="1">
      <c r="A177" s="224"/>
      <c r="B177" s="359"/>
      <c r="C177" s="360"/>
      <c r="D177" s="361"/>
      <c r="E177" s="352"/>
      <c r="F177" s="161"/>
      <c r="G177" s="225"/>
      <c r="H177" s="234">
        <f>IF(OR(J177="",K177="",K177&lt;J177),0,NETWORKDAYS(J177,K177,fESTIVOS!$A$2:$A$53))</f>
        <v>0</v>
      </c>
      <c r="I177" s="180"/>
      <c r="J177" s="181"/>
      <c r="K177" s="181"/>
      <c r="L177" s="181"/>
      <c r="M177" s="39">
        <f ca="1">IF(OR(J177="",AND(L177="",TODAY()&lt;J177),AND(L177&lt;&gt;"",L177&lt;J177)),0,
   IF(L177="",
      NETWORKDAYS(J177,TODAY(),fESTIVOS!$A$2:$A$53),
      NETWORKDAYS(J177,L177,fESTIVOS!$A$2:$A$53)
   )
)</f>
        <v>0</v>
      </c>
      <c r="N177" s="180"/>
      <c r="O177" s="180"/>
      <c r="P177" s="182"/>
      <c r="Q177" s="104"/>
      <c r="R177" s="358"/>
      <c r="S177" s="104"/>
    </row>
    <row r="178" spans="1:19" ht="29.25" customHeight="1">
      <c r="A178" s="224"/>
      <c r="B178" s="359"/>
      <c r="C178" s="360"/>
      <c r="D178" s="361"/>
      <c r="E178" s="362"/>
      <c r="F178" s="161"/>
      <c r="G178" s="225"/>
      <c r="H178" s="234">
        <f>IF(OR(J178="",K178="",K178&lt;J178),0,NETWORKDAYS(J178,K178,fESTIVOS!$A$2:$A$53))</f>
        <v>0</v>
      </c>
      <c r="I178" s="180"/>
      <c r="J178" s="181"/>
      <c r="K178" s="181"/>
      <c r="L178" s="181"/>
      <c r="M178" s="39">
        <f ca="1">IF(OR(J178="",AND(L178="",TODAY()&lt;J178),AND(L178&lt;&gt;"",L178&lt;J178)),0,
   IF(L178="",
      NETWORKDAYS(J178,TODAY(),fESTIVOS!$A$2:$A$53),
      NETWORKDAYS(J178,L178,fESTIVOS!$A$2:$A$53)
   )
)</f>
        <v>0</v>
      </c>
      <c r="N178" s="180"/>
      <c r="O178" s="180"/>
      <c r="P178" s="182"/>
      <c r="Q178" s="104"/>
      <c r="R178" s="363"/>
      <c r="S178" s="104"/>
    </row>
    <row r="179" spans="1:19" ht="29.25" customHeight="1">
      <c r="A179" s="224"/>
      <c r="B179" s="359"/>
      <c r="C179" s="360"/>
      <c r="D179" s="361"/>
      <c r="E179" s="352"/>
      <c r="F179" s="161"/>
      <c r="G179" s="225"/>
      <c r="H179" s="234">
        <f>IF(OR(J179="",K179="",K179&lt;J179),0,NETWORKDAYS(J179,K179,fESTIVOS!$A$2:$A$53))</f>
        <v>0</v>
      </c>
      <c r="I179" s="180"/>
      <c r="J179" s="181"/>
      <c r="K179" s="181"/>
      <c r="L179" s="181"/>
      <c r="M179" s="39">
        <f ca="1">IF(OR(J179="",AND(L179="",TODAY()&lt;J179),AND(L179&lt;&gt;"",L179&lt;J179)),0,
   IF(L179="",
      NETWORKDAYS(J179,TODAY(),fESTIVOS!$A$2:$A$53),
      NETWORKDAYS(J179,L179,fESTIVOS!$A$2:$A$53)
   )
)</f>
        <v>0</v>
      </c>
      <c r="N179" s="180"/>
      <c r="O179" s="180"/>
      <c r="P179" s="182"/>
      <c r="Q179" s="104"/>
      <c r="R179" s="358"/>
      <c r="S179" s="104"/>
    </row>
    <row r="180" spans="1:19" ht="29.25" customHeight="1">
      <c r="A180" s="224"/>
      <c r="B180" s="359"/>
      <c r="C180" s="360"/>
      <c r="D180" s="361"/>
      <c r="E180" s="362"/>
      <c r="F180" s="161"/>
      <c r="G180" s="225"/>
      <c r="H180" s="225"/>
      <c r="I180" s="180"/>
      <c r="J180" s="181"/>
      <c r="K180" s="181"/>
      <c r="L180" s="181"/>
      <c r="M180" s="164"/>
      <c r="N180" s="180"/>
      <c r="O180" s="180"/>
      <c r="P180" s="182"/>
      <c r="Q180" s="104"/>
      <c r="R180" s="363"/>
      <c r="S180" s="104"/>
    </row>
    <row r="181" spans="1:19" ht="29.25" customHeight="1">
      <c r="A181" s="224"/>
      <c r="B181" s="359"/>
      <c r="C181" s="360"/>
      <c r="D181" s="361"/>
      <c r="E181" s="352"/>
      <c r="F181" s="161"/>
      <c r="G181" s="225"/>
      <c r="H181" s="225"/>
      <c r="I181" s="180"/>
      <c r="J181" s="181"/>
      <c r="K181" s="181"/>
      <c r="L181" s="181"/>
      <c r="M181" s="164"/>
      <c r="N181" s="180"/>
      <c r="O181" s="180"/>
      <c r="P181" s="182"/>
      <c r="Q181" s="104"/>
      <c r="R181" s="358"/>
      <c r="S181" s="104"/>
    </row>
    <row r="182" spans="1:19" ht="29.25" customHeight="1">
      <c r="A182" s="224"/>
      <c r="B182" s="359"/>
      <c r="C182" s="360"/>
      <c r="D182" s="361"/>
      <c r="E182" s="362"/>
      <c r="F182" s="161"/>
      <c r="G182" s="225"/>
      <c r="H182" s="225"/>
      <c r="I182" s="180"/>
      <c r="J182" s="181"/>
      <c r="K182" s="181"/>
      <c r="L182" s="181"/>
      <c r="M182" s="164"/>
      <c r="N182" s="180"/>
      <c r="O182" s="180"/>
      <c r="P182" s="182"/>
      <c r="Q182" s="104"/>
      <c r="R182" s="363"/>
      <c r="S182" s="104"/>
    </row>
    <row r="183" spans="1:19" ht="29.25" customHeight="1">
      <c r="A183" s="224"/>
      <c r="B183" s="359"/>
      <c r="C183" s="360"/>
      <c r="D183" s="361"/>
      <c r="E183" s="352"/>
      <c r="F183" s="161"/>
      <c r="G183" s="225"/>
      <c r="H183" s="225"/>
      <c r="I183" s="180"/>
      <c r="J183" s="181"/>
      <c r="K183" s="181"/>
      <c r="L183" s="181"/>
      <c r="M183" s="164"/>
      <c r="N183" s="180"/>
      <c r="O183" s="180"/>
      <c r="P183" s="182"/>
      <c r="Q183" s="104"/>
      <c r="R183" s="358"/>
      <c r="S183" s="104"/>
    </row>
    <row r="184" spans="1:19" ht="29.25" customHeight="1">
      <c r="A184" s="224"/>
      <c r="B184" s="359"/>
      <c r="C184" s="360"/>
      <c r="D184" s="361"/>
      <c r="E184" s="362"/>
      <c r="F184" s="161"/>
      <c r="G184" s="225"/>
      <c r="H184" s="225"/>
      <c r="I184" s="180"/>
      <c r="J184" s="181"/>
      <c r="K184" s="181"/>
      <c r="L184" s="181"/>
      <c r="M184" s="164"/>
      <c r="N184" s="180"/>
      <c r="O184" s="180"/>
      <c r="P184" s="182"/>
      <c r="Q184" s="104"/>
      <c r="R184" s="363"/>
      <c r="S184" s="104"/>
    </row>
    <row r="185" spans="1:19" ht="29.25" customHeight="1">
      <c r="A185" s="224"/>
      <c r="B185" s="359"/>
      <c r="C185" s="360"/>
      <c r="D185" s="361"/>
      <c r="E185" s="352"/>
      <c r="F185" s="161"/>
      <c r="G185" s="225"/>
      <c r="H185" s="225"/>
      <c r="I185" s="180"/>
      <c r="J185" s="181"/>
      <c r="K185" s="181"/>
      <c r="L185" s="181"/>
      <c r="M185" s="164"/>
      <c r="N185" s="180"/>
      <c r="O185" s="180"/>
      <c r="P185" s="182"/>
      <c r="Q185" s="104"/>
      <c r="R185" s="358"/>
      <c r="S185" s="104"/>
    </row>
    <row r="186" spans="1:19" ht="29.25" customHeight="1">
      <c r="A186" s="224"/>
      <c r="B186" s="359"/>
      <c r="C186" s="360"/>
      <c r="D186" s="361"/>
      <c r="E186" s="362"/>
      <c r="F186" s="161"/>
      <c r="G186" s="225"/>
      <c r="H186" s="225"/>
      <c r="I186" s="180"/>
      <c r="J186" s="181"/>
      <c r="K186" s="181"/>
      <c r="L186" s="181"/>
      <c r="M186" s="164"/>
      <c r="N186" s="180"/>
      <c r="O186" s="180"/>
      <c r="P186" s="182"/>
      <c r="Q186" s="104"/>
      <c r="R186" s="363"/>
      <c r="S186" s="104"/>
    </row>
    <row r="187" spans="1:19" ht="29.25" customHeight="1">
      <c r="A187" s="224"/>
      <c r="B187" s="359"/>
      <c r="C187" s="360"/>
      <c r="D187" s="361"/>
      <c r="E187" s="352"/>
      <c r="F187" s="161"/>
      <c r="G187" s="225"/>
      <c r="H187" s="225"/>
      <c r="I187" s="180"/>
      <c r="J187" s="181"/>
      <c r="K187" s="181"/>
      <c r="L187" s="181"/>
      <c r="M187" s="164"/>
      <c r="N187" s="180"/>
      <c r="O187" s="180"/>
      <c r="P187" s="182"/>
      <c r="Q187" s="104"/>
      <c r="R187" s="358"/>
      <c r="S187" s="104"/>
    </row>
    <row r="188" spans="1:19" ht="29.25" customHeight="1">
      <c r="A188" s="224"/>
      <c r="B188" s="359"/>
      <c r="C188" s="360"/>
      <c r="D188" s="361"/>
      <c r="E188" s="362"/>
      <c r="F188" s="161"/>
      <c r="G188" s="225"/>
      <c r="H188" s="225"/>
      <c r="I188" s="180"/>
      <c r="J188" s="181"/>
      <c r="K188" s="181"/>
      <c r="L188" s="181"/>
      <c r="M188" s="164"/>
      <c r="N188" s="180"/>
      <c r="O188" s="180"/>
      <c r="P188" s="182"/>
      <c r="Q188" s="104"/>
      <c r="R188" s="363"/>
      <c r="S188" s="104"/>
    </row>
    <row r="189" spans="1:19" ht="29.25" customHeight="1">
      <c r="A189" s="224"/>
      <c r="B189" s="359"/>
      <c r="C189" s="360"/>
      <c r="D189" s="361"/>
      <c r="E189" s="352"/>
      <c r="F189" s="161"/>
      <c r="G189" s="225"/>
      <c r="H189" s="225"/>
      <c r="I189" s="180"/>
      <c r="J189" s="181"/>
      <c r="K189" s="181"/>
      <c r="L189" s="181"/>
      <c r="M189" s="164"/>
      <c r="N189" s="180"/>
      <c r="O189" s="180"/>
      <c r="P189" s="182"/>
      <c r="Q189" s="104"/>
      <c r="R189" s="358"/>
      <c r="S189" s="104"/>
    </row>
    <row r="190" spans="1:19" ht="29.25" customHeight="1">
      <c r="A190" s="224"/>
      <c r="B190" s="359"/>
      <c r="C190" s="360"/>
      <c r="D190" s="361"/>
      <c r="E190" s="362"/>
      <c r="F190" s="161"/>
      <c r="G190" s="225"/>
      <c r="H190" s="225"/>
      <c r="I190" s="180"/>
      <c r="J190" s="181"/>
      <c r="K190" s="181"/>
      <c r="L190" s="181"/>
      <c r="M190" s="164"/>
      <c r="N190" s="180"/>
      <c r="O190" s="180"/>
      <c r="P190" s="182"/>
      <c r="Q190" s="104"/>
      <c r="R190" s="363"/>
      <c r="S190" s="104"/>
    </row>
    <row r="191" spans="1:19" ht="29.25" customHeight="1">
      <c r="A191" s="224"/>
      <c r="B191" s="359"/>
      <c r="C191" s="360"/>
      <c r="D191" s="361"/>
      <c r="E191" s="352"/>
      <c r="F191" s="161"/>
      <c r="G191" s="225"/>
      <c r="H191" s="225"/>
      <c r="I191" s="180"/>
      <c r="J191" s="181"/>
      <c r="K191" s="181"/>
      <c r="L191" s="181"/>
      <c r="M191" s="164"/>
      <c r="N191" s="180"/>
      <c r="O191" s="180"/>
      <c r="P191" s="182"/>
      <c r="Q191" s="104"/>
      <c r="R191" s="358"/>
      <c r="S191" s="104"/>
    </row>
    <row r="192" spans="1:19" ht="29.25" customHeight="1">
      <c r="A192" s="224"/>
      <c r="B192" s="359"/>
      <c r="C192" s="360"/>
      <c r="D192" s="361"/>
      <c r="E192" s="362"/>
      <c r="F192" s="161"/>
      <c r="G192" s="225"/>
      <c r="H192" s="225"/>
      <c r="I192" s="180"/>
      <c r="J192" s="181"/>
      <c r="K192" s="181"/>
      <c r="L192" s="181"/>
      <c r="M192" s="164"/>
      <c r="N192" s="180"/>
      <c r="O192" s="180"/>
      <c r="P192" s="182"/>
      <c r="Q192" s="104"/>
      <c r="R192" s="363"/>
      <c r="S192" s="104"/>
    </row>
    <row r="193" spans="1:19" ht="29.25" customHeight="1">
      <c r="A193" s="224"/>
      <c r="B193" s="359"/>
      <c r="C193" s="360"/>
      <c r="D193" s="361"/>
      <c r="E193" s="352"/>
      <c r="F193" s="161"/>
      <c r="G193" s="225"/>
      <c r="H193" s="225"/>
      <c r="I193" s="180"/>
      <c r="J193" s="181"/>
      <c r="K193" s="181"/>
      <c r="L193" s="181"/>
      <c r="M193" s="164"/>
      <c r="N193" s="180"/>
      <c r="O193" s="180"/>
      <c r="P193" s="182"/>
      <c r="Q193" s="104"/>
      <c r="R193" s="358"/>
      <c r="S193" s="104"/>
    </row>
    <row r="194" spans="1:19" ht="29.25" customHeight="1">
      <c r="A194" s="224"/>
      <c r="B194" s="359"/>
      <c r="C194" s="360"/>
      <c r="D194" s="361"/>
      <c r="E194" s="362"/>
      <c r="F194" s="161"/>
      <c r="G194" s="225"/>
      <c r="H194" s="225"/>
      <c r="I194" s="180"/>
      <c r="J194" s="181"/>
      <c r="K194" s="181"/>
      <c r="L194" s="181"/>
      <c r="M194" s="164"/>
      <c r="N194" s="180"/>
      <c r="O194" s="180"/>
      <c r="P194" s="182"/>
      <c r="Q194" s="104"/>
      <c r="R194" s="363"/>
      <c r="S194" s="104"/>
    </row>
    <row r="195" spans="1:19" ht="29.25" customHeight="1">
      <c r="A195" s="224"/>
      <c r="B195" s="359"/>
      <c r="C195" s="360"/>
      <c r="D195" s="361"/>
      <c r="E195" s="352"/>
      <c r="F195" s="161"/>
      <c r="G195" s="225"/>
      <c r="H195" s="225"/>
      <c r="I195" s="180"/>
      <c r="J195" s="181"/>
      <c r="K195" s="181"/>
      <c r="L195" s="181"/>
      <c r="M195" s="164"/>
      <c r="N195" s="180"/>
      <c r="O195" s="180"/>
      <c r="P195" s="182"/>
      <c r="Q195" s="104"/>
      <c r="R195" s="358"/>
      <c r="S195" s="104"/>
    </row>
    <row r="196" spans="1:19" ht="29.25" customHeight="1">
      <c r="A196" s="224"/>
      <c r="B196" s="359"/>
      <c r="C196" s="360"/>
      <c r="D196" s="361"/>
      <c r="E196" s="362"/>
      <c r="F196" s="161"/>
      <c r="G196" s="225"/>
      <c r="H196" s="225"/>
      <c r="I196" s="180"/>
      <c r="J196" s="181"/>
      <c r="K196" s="181"/>
      <c r="L196" s="181"/>
      <c r="M196" s="164"/>
      <c r="N196" s="180"/>
      <c r="O196" s="180"/>
      <c r="P196" s="182"/>
      <c r="Q196" s="104"/>
      <c r="R196" s="363"/>
      <c r="S196" s="104"/>
    </row>
    <row r="197" spans="1:19" ht="29.25" customHeight="1">
      <c r="A197" s="224"/>
      <c r="B197" s="359"/>
      <c r="C197" s="360"/>
      <c r="D197" s="361"/>
      <c r="E197" s="352"/>
      <c r="F197" s="161"/>
      <c r="G197" s="225"/>
      <c r="H197" s="225"/>
      <c r="I197" s="180"/>
      <c r="J197" s="181"/>
      <c r="K197" s="181"/>
      <c r="L197" s="181"/>
      <c r="M197" s="164"/>
      <c r="N197" s="180"/>
      <c r="O197" s="180"/>
      <c r="P197" s="182"/>
      <c r="Q197" s="104"/>
      <c r="R197" s="358"/>
      <c r="S197" s="104"/>
    </row>
    <row r="198" spans="1:19" ht="29.25" customHeight="1">
      <c r="A198" s="224"/>
      <c r="B198" s="359"/>
      <c r="C198" s="360"/>
      <c r="D198" s="361"/>
      <c r="E198" s="362"/>
      <c r="F198" s="161"/>
      <c r="G198" s="225"/>
      <c r="H198" s="225"/>
      <c r="I198" s="180"/>
      <c r="J198" s="181"/>
      <c r="K198" s="181"/>
      <c r="L198" s="181"/>
      <c r="M198" s="164"/>
      <c r="N198" s="180"/>
      <c r="O198" s="180"/>
      <c r="P198" s="182"/>
      <c r="Q198" s="104"/>
      <c r="R198" s="363"/>
      <c r="S198" s="104"/>
    </row>
    <row r="199" spans="1:19" ht="29.25" customHeight="1">
      <c r="A199" s="224"/>
      <c r="B199" s="359"/>
      <c r="C199" s="360"/>
      <c r="D199" s="361"/>
      <c r="E199" s="352"/>
      <c r="F199" s="161"/>
      <c r="G199" s="225"/>
      <c r="H199" s="225"/>
      <c r="I199" s="180"/>
      <c r="J199" s="181"/>
      <c r="K199" s="181"/>
      <c r="L199" s="181"/>
      <c r="M199" s="164"/>
      <c r="N199" s="180"/>
      <c r="O199" s="180"/>
      <c r="P199" s="182"/>
      <c r="Q199" s="104"/>
      <c r="R199" s="358"/>
      <c r="S199" s="104"/>
    </row>
    <row r="200" spans="1:19" ht="29.25" customHeight="1">
      <c r="A200" s="224"/>
      <c r="B200" s="359"/>
      <c r="C200" s="360"/>
      <c r="D200" s="361"/>
      <c r="E200" s="362"/>
      <c r="F200" s="161"/>
      <c r="G200" s="225"/>
      <c r="H200" s="225"/>
      <c r="I200" s="180"/>
      <c r="J200" s="181"/>
      <c r="K200" s="181"/>
      <c r="L200" s="181"/>
      <c r="M200" s="164"/>
      <c r="N200" s="180"/>
      <c r="O200" s="180"/>
      <c r="P200" s="182"/>
      <c r="Q200" s="104"/>
      <c r="R200" s="363"/>
      <c r="S200" s="104"/>
    </row>
    <row r="201" spans="1:19" ht="29.25" customHeight="1">
      <c r="A201" s="224"/>
      <c r="B201" s="359"/>
      <c r="C201" s="360"/>
      <c r="D201" s="361"/>
      <c r="E201" s="352"/>
      <c r="F201" s="161"/>
      <c r="G201" s="225"/>
      <c r="H201" s="225"/>
      <c r="I201" s="180"/>
      <c r="J201" s="181"/>
      <c r="K201" s="181"/>
      <c r="L201" s="181"/>
      <c r="M201" s="164"/>
      <c r="N201" s="180"/>
      <c r="O201" s="180"/>
      <c r="P201" s="182"/>
      <c r="Q201" s="104"/>
      <c r="R201" s="358"/>
      <c r="S201" s="104"/>
    </row>
    <row r="202" spans="1:19" ht="29.25" customHeight="1">
      <c r="A202" s="224"/>
      <c r="B202" s="359"/>
      <c r="C202" s="360"/>
      <c r="D202" s="361"/>
      <c r="E202" s="362"/>
      <c r="F202" s="161"/>
      <c r="G202" s="225"/>
      <c r="H202" s="225"/>
      <c r="I202" s="180"/>
      <c r="J202" s="181"/>
      <c r="K202" s="181"/>
      <c r="L202" s="181"/>
      <c r="M202" s="164"/>
      <c r="N202" s="180"/>
      <c r="O202" s="180"/>
      <c r="P202" s="182"/>
      <c r="Q202" s="104"/>
      <c r="R202" s="363"/>
      <c r="S202" s="104"/>
    </row>
    <row r="203" spans="1:19" ht="29.25" customHeight="1">
      <c r="A203" s="224"/>
      <c r="B203" s="359"/>
      <c r="C203" s="360"/>
      <c r="D203" s="361"/>
      <c r="E203" s="352"/>
      <c r="F203" s="161"/>
      <c r="G203" s="225"/>
      <c r="H203" s="225"/>
      <c r="I203" s="180"/>
      <c r="J203" s="181"/>
      <c r="K203" s="181"/>
      <c r="L203" s="181"/>
      <c r="M203" s="164"/>
      <c r="N203" s="180"/>
      <c r="O203" s="180"/>
      <c r="P203" s="182"/>
      <c r="Q203" s="104"/>
      <c r="R203" s="358"/>
      <c r="S203" s="104"/>
    </row>
    <row r="204" spans="1:19" ht="29.25" customHeight="1">
      <c r="A204" s="224"/>
      <c r="B204" s="359"/>
      <c r="C204" s="360"/>
      <c r="D204" s="361"/>
      <c r="E204" s="362"/>
      <c r="F204" s="161"/>
      <c r="G204" s="225"/>
      <c r="H204" s="225"/>
      <c r="I204" s="180"/>
      <c r="J204" s="181"/>
      <c r="K204" s="181"/>
      <c r="L204" s="181"/>
      <c r="M204" s="164"/>
      <c r="N204" s="180"/>
      <c r="O204" s="180"/>
      <c r="P204" s="182"/>
      <c r="Q204" s="104"/>
      <c r="R204" s="363"/>
      <c r="S204" s="104"/>
    </row>
    <row r="205" spans="1:19" ht="29.25" customHeight="1">
      <c r="A205" s="224"/>
      <c r="B205" s="359"/>
      <c r="C205" s="360"/>
      <c r="D205" s="361"/>
      <c r="E205" s="352"/>
      <c r="F205" s="161"/>
      <c r="G205" s="225"/>
      <c r="H205" s="225"/>
      <c r="I205" s="180"/>
      <c r="J205" s="181"/>
      <c r="K205" s="181"/>
      <c r="L205" s="181"/>
      <c r="M205" s="164"/>
      <c r="N205" s="180"/>
      <c r="O205" s="180"/>
      <c r="P205" s="182"/>
      <c r="Q205" s="104"/>
      <c r="R205" s="358"/>
      <c r="S205" s="104"/>
    </row>
    <row r="206" spans="1:19" ht="29.25" customHeight="1">
      <c r="A206" s="224"/>
      <c r="B206" s="359"/>
      <c r="C206" s="360"/>
      <c r="D206" s="361"/>
      <c r="E206" s="362"/>
      <c r="F206" s="161"/>
      <c r="G206" s="225"/>
      <c r="H206" s="225"/>
      <c r="I206" s="180"/>
      <c r="J206" s="181"/>
      <c r="K206" s="181"/>
      <c r="L206" s="181"/>
      <c r="M206" s="164"/>
      <c r="N206" s="180"/>
      <c r="O206" s="180"/>
      <c r="P206" s="182"/>
      <c r="Q206" s="104"/>
      <c r="R206" s="363"/>
      <c r="S206" s="104"/>
    </row>
    <row r="207" spans="1:19" ht="29.25" customHeight="1">
      <c r="A207" s="224"/>
      <c r="B207" s="359"/>
      <c r="C207" s="360"/>
      <c r="D207" s="361"/>
      <c r="E207" s="352"/>
      <c r="F207" s="161"/>
      <c r="G207" s="225"/>
      <c r="H207" s="225"/>
      <c r="I207" s="180"/>
      <c r="J207" s="181"/>
      <c r="K207" s="181"/>
      <c r="L207" s="181"/>
      <c r="M207" s="164"/>
      <c r="N207" s="180"/>
      <c r="O207" s="180"/>
      <c r="P207" s="182"/>
      <c r="Q207" s="104"/>
      <c r="R207" s="358"/>
      <c r="S207" s="104"/>
    </row>
    <row r="208" spans="1:19" ht="29.25" customHeight="1">
      <c r="A208" s="224"/>
      <c r="B208" s="359"/>
      <c r="C208" s="360"/>
      <c r="D208" s="361"/>
      <c r="E208" s="362"/>
      <c r="F208" s="161"/>
      <c r="G208" s="225"/>
      <c r="H208" s="225"/>
      <c r="I208" s="180"/>
      <c r="J208" s="181"/>
      <c r="K208" s="181"/>
      <c r="L208" s="181"/>
      <c r="M208" s="164"/>
      <c r="N208" s="180"/>
      <c r="O208" s="180"/>
      <c r="P208" s="182"/>
      <c r="Q208" s="104"/>
      <c r="R208" s="363"/>
      <c r="S208" s="104"/>
    </row>
    <row r="209" spans="1:19" ht="29.25" customHeight="1">
      <c r="A209" s="224"/>
      <c r="B209" s="359"/>
      <c r="C209" s="360"/>
      <c r="D209" s="361"/>
      <c r="E209" s="352"/>
      <c r="F209" s="161"/>
      <c r="G209" s="225"/>
      <c r="H209" s="225"/>
      <c r="I209" s="180"/>
      <c r="J209" s="181"/>
      <c r="K209" s="181"/>
      <c r="L209" s="181"/>
      <c r="M209" s="164"/>
      <c r="N209" s="180"/>
      <c r="O209" s="180"/>
      <c r="P209" s="182"/>
      <c r="Q209" s="104"/>
      <c r="R209" s="358"/>
      <c r="S209" s="104"/>
    </row>
    <row r="210" spans="1:19" ht="29.25" customHeight="1">
      <c r="A210" s="224"/>
      <c r="B210" s="359"/>
      <c r="C210" s="360"/>
      <c r="D210" s="361"/>
      <c r="E210" s="362"/>
      <c r="F210" s="161"/>
      <c r="G210" s="225"/>
      <c r="H210" s="225"/>
      <c r="I210" s="180"/>
      <c r="J210" s="181"/>
      <c r="K210" s="181"/>
      <c r="L210" s="181"/>
      <c r="M210" s="164"/>
      <c r="N210" s="180"/>
      <c r="O210" s="180"/>
      <c r="P210" s="182"/>
      <c r="Q210" s="104"/>
      <c r="R210" s="363"/>
      <c r="S210" s="104"/>
    </row>
    <row r="211" spans="1:19" ht="29.25" customHeight="1">
      <c r="A211" s="224"/>
      <c r="B211" s="359"/>
      <c r="C211" s="360"/>
      <c r="D211" s="361"/>
      <c r="E211" s="352"/>
      <c r="F211" s="161"/>
      <c r="G211" s="225"/>
      <c r="H211" s="225"/>
      <c r="I211" s="180"/>
      <c r="J211" s="181"/>
      <c r="K211" s="181"/>
      <c r="L211" s="181"/>
      <c r="M211" s="164"/>
      <c r="N211" s="180"/>
      <c r="O211" s="180"/>
      <c r="P211" s="182"/>
      <c r="Q211" s="104"/>
      <c r="R211" s="358"/>
      <c r="S211" s="104"/>
    </row>
    <row r="212" spans="1:19" ht="29.25" customHeight="1">
      <c r="A212" s="224"/>
      <c r="B212" s="359"/>
      <c r="C212" s="360"/>
      <c r="D212" s="361"/>
      <c r="E212" s="362"/>
      <c r="F212" s="161"/>
      <c r="G212" s="225"/>
      <c r="H212" s="225"/>
      <c r="I212" s="180"/>
      <c r="J212" s="181"/>
      <c r="K212" s="181"/>
      <c r="L212" s="181"/>
      <c r="M212" s="164"/>
      <c r="N212" s="180"/>
      <c r="O212" s="180"/>
      <c r="P212" s="182"/>
      <c r="Q212" s="104"/>
      <c r="R212" s="363"/>
      <c r="S212" s="104"/>
    </row>
    <row r="213" spans="1:19" ht="29.25" customHeight="1">
      <c r="A213" s="224"/>
      <c r="B213" s="359"/>
      <c r="C213" s="360"/>
      <c r="D213" s="361"/>
      <c r="E213" s="352"/>
      <c r="F213" s="161"/>
      <c r="G213" s="225"/>
      <c r="H213" s="225"/>
      <c r="I213" s="180"/>
      <c r="J213" s="181"/>
      <c r="K213" s="181"/>
      <c r="L213" s="181"/>
      <c r="M213" s="164"/>
      <c r="N213" s="180"/>
      <c r="O213" s="180"/>
      <c r="P213" s="182"/>
      <c r="Q213" s="104"/>
      <c r="R213" s="358"/>
      <c r="S213" s="104"/>
    </row>
    <row r="214" spans="1:19" ht="29.25" customHeight="1">
      <c r="A214" s="224"/>
      <c r="B214" s="359"/>
      <c r="C214" s="360"/>
      <c r="D214" s="361"/>
      <c r="E214" s="362"/>
      <c r="F214" s="161"/>
      <c r="G214" s="225"/>
      <c r="H214" s="225"/>
      <c r="I214" s="180"/>
      <c r="J214" s="181"/>
      <c r="K214" s="181"/>
      <c r="L214" s="181"/>
      <c r="M214" s="164"/>
      <c r="N214" s="180"/>
      <c r="O214" s="180"/>
      <c r="P214" s="182"/>
      <c r="Q214" s="104"/>
      <c r="R214" s="363"/>
      <c r="S214" s="104"/>
    </row>
    <row r="215" spans="1:19" ht="29.25" customHeight="1">
      <c r="A215" s="224"/>
      <c r="B215" s="359"/>
      <c r="C215" s="360"/>
      <c r="D215" s="361"/>
      <c r="E215" s="352"/>
      <c r="F215" s="161"/>
      <c r="G215" s="225"/>
      <c r="H215" s="225"/>
      <c r="I215" s="180"/>
      <c r="J215" s="181"/>
      <c r="K215" s="181"/>
      <c r="L215" s="181"/>
      <c r="M215" s="164"/>
      <c r="N215" s="180"/>
      <c r="O215" s="180"/>
      <c r="P215" s="182"/>
      <c r="Q215" s="104"/>
      <c r="R215" s="358"/>
      <c r="S215" s="104"/>
    </row>
    <row r="216" spans="1:19" ht="29.25" customHeight="1">
      <c r="A216" s="224"/>
      <c r="B216" s="359"/>
      <c r="C216" s="360"/>
      <c r="D216" s="361"/>
      <c r="E216" s="362"/>
      <c r="F216" s="161"/>
      <c r="G216" s="225"/>
      <c r="H216" s="225"/>
      <c r="I216" s="180"/>
      <c r="J216" s="181"/>
      <c r="K216" s="181"/>
      <c r="L216" s="181"/>
      <c r="M216" s="164"/>
      <c r="N216" s="180"/>
      <c r="O216" s="180"/>
      <c r="P216" s="182"/>
      <c r="Q216" s="104"/>
      <c r="R216" s="363"/>
      <c r="S216" s="104"/>
    </row>
    <row r="217" spans="1:19" ht="29.25" customHeight="1">
      <c r="A217" s="224"/>
      <c r="B217" s="359"/>
      <c r="C217" s="360"/>
      <c r="D217" s="361"/>
      <c r="E217" s="352"/>
      <c r="F217" s="161"/>
      <c r="G217" s="225"/>
      <c r="H217" s="225"/>
      <c r="I217" s="180"/>
      <c r="J217" s="181"/>
      <c r="K217" s="181"/>
      <c r="L217" s="181"/>
      <c r="M217" s="164"/>
      <c r="N217" s="180"/>
      <c r="O217" s="180"/>
      <c r="P217" s="182"/>
      <c r="Q217" s="104"/>
      <c r="R217" s="358"/>
      <c r="S217" s="104"/>
    </row>
    <row r="218" spans="1:19" ht="29.25" customHeight="1">
      <c r="A218" s="224"/>
      <c r="B218" s="359"/>
      <c r="C218" s="360"/>
      <c r="D218" s="361"/>
      <c r="E218" s="362"/>
      <c r="F218" s="161"/>
      <c r="G218" s="225"/>
      <c r="H218" s="225"/>
      <c r="I218" s="180"/>
      <c r="J218" s="181"/>
      <c r="K218" s="181"/>
      <c r="L218" s="181"/>
      <c r="M218" s="164"/>
      <c r="N218" s="180"/>
      <c r="O218" s="180"/>
      <c r="P218" s="182"/>
      <c r="Q218" s="104"/>
      <c r="R218" s="363"/>
      <c r="S218" s="104"/>
    </row>
    <row r="219" spans="1:19" ht="29.25" customHeight="1">
      <c r="A219" s="224"/>
      <c r="B219" s="359"/>
      <c r="C219" s="360"/>
      <c r="D219" s="361"/>
      <c r="E219" s="352"/>
      <c r="F219" s="161"/>
      <c r="G219" s="225"/>
      <c r="H219" s="225"/>
      <c r="I219" s="180"/>
      <c r="J219" s="181"/>
      <c r="K219" s="181"/>
      <c r="L219" s="181"/>
      <c r="M219" s="164"/>
      <c r="N219" s="180"/>
      <c r="O219" s="180"/>
      <c r="P219" s="182"/>
      <c r="Q219" s="104"/>
      <c r="R219" s="358"/>
      <c r="S219" s="104"/>
    </row>
    <row r="220" spans="1:19" ht="29.25" customHeight="1">
      <c r="A220" s="224"/>
      <c r="B220" s="359"/>
      <c r="C220" s="360"/>
      <c r="D220" s="361"/>
      <c r="E220" s="362"/>
      <c r="F220" s="161"/>
      <c r="G220" s="225"/>
      <c r="H220" s="225"/>
      <c r="I220" s="180"/>
      <c r="J220" s="181"/>
      <c r="K220" s="181"/>
      <c r="L220" s="181"/>
      <c r="M220" s="164"/>
      <c r="N220" s="180"/>
      <c r="O220" s="180"/>
      <c r="P220" s="182"/>
      <c r="Q220" s="104"/>
      <c r="R220" s="363"/>
      <c r="S220" s="104"/>
    </row>
    <row r="221" spans="1:19" ht="29.25" customHeight="1">
      <c r="A221" s="224"/>
      <c r="B221" s="359"/>
      <c r="C221" s="360"/>
      <c r="D221" s="361"/>
      <c r="E221" s="352"/>
      <c r="F221" s="161"/>
      <c r="G221" s="225"/>
      <c r="H221" s="225"/>
      <c r="I221" s="180"/>
      <c r="J221" s="181"/>
      <c r="K221" s="181"/>
      <c r="L221" s="181"/>
      <c r="M221" s="164"/>
      <c r="N221" s="180"/>
      <c r="O221" s="180"/>
      <c r="P221" s="182"/>
      <c r="Q221" s="104"/>
      <c r="R221" s="358"/>
      <c r="S221" s="104"/>
    </row>
    <row r="222" spans="1:19" ht="29.25" customHeight="1">
      <c r="A222" s="224"/>
      <c r="B222" s="359"/>
      <c r="C222" s="360"/>
      <c r="D222" s="361"/>
      <c r="E222" s="362"/>
      <c r="F222" s="161"/>
      <c r="G222" s="225"/>
      <c r="H222" s="225"/>
      <c r="I222" s="180"/>
      <c r="J222" s="181"/>
      <c r="K222" s="181"/>
      <c r="L222" s="181"/>
      <c r="M222" s="164"/>
      <c r="N222" s="180"/>
      <c r="O222" s="180"/>
      <c r="P222" s="182"/>
      <c r="Q222" s="104"/>
      <c r="R222" s="363"/>
      <c r="S222" s="104"/>
    </row>
    <row r="223" spans="1:19" ht="29.25" customHeight="1">
      <c r="A223" s="224"/>
      <c r="B223" s="359"/>
      <c r="C223" s="360"/>
      <c r="D223" s="361"/>
      <c r="E223" s="352"/>
      <c r="F223" s="161"/>
      <c r="G223" s="225"/>
      <c r="H223" s="225"/>
      <c r="I223" s="180"/>
      <c r="J223" s="181"/>
      <c r="K223" s="181"/>
      <c r="L223" s="181"/>
      <c r="M223" s="164"/>
      <c r="N223" s="180"/>
      <c r="O223" s="180"/>
      <c r="P223" s="182"/>
      <c r="Q223" s="104"/>
      <c r="R223" s="358"/>
      <c r="S223" s="104"/>
    </row>
    <row r="224" spans="1:19" ht="29.25" customHeight="1">
      <c r="A224" s="224"/>
      <c r="B224" s="359"/>
      <c r="C224" s="360"/>
      <c r="D224" s="361"/>
      <c r="E224" s="362"/>
      <c r="F224" s="161"/>
      <c r="G224" s="225"/>
      <c r="H224" s="225"/>
      <c r="I224" s="180"/>
      <c r="J224" s="181"/>
      <c r="K224" s="181"/>
      <c r="L224" s="181"/>
      <c r="M224" s="164"/>
      <c r="N224" s="180"/>
      <c r="O224" s="180"/>
      <c r="P224" s="182"/>
      <c r="Q224" s="104"/>
      <c r="R224" s="363"/>
      <c r="S224" s="104"/>
    </row>
    <row r="225" spans="1:19" ht="29.25" customHeight="1">
      <c r="A225" s="224"/>
      <c r="B225" s="359"/>
      <c r="C225" s="360"/>
      <c r="D225" s="361"/>
      <c r="E225" s="352"/>
      <c r="F225" s="161"/>
      <c r="G225" s="225"/>
      <c r="H225" s="225"/>
      <c r="I225" s="180"/>
      <c r="J225" s="181"/>
      <c r="K225" s="181"/>
      <c r="L225" s="181"/>
      <c r="M225" s="164"/>
      <c r="N225" s="180"/>
      <c r="O225" s="180"/>
      <c r="P225" s="182"/>
      <c r="Q225" s="104"/>
      <c r="R225" s="358"/>
      <c r="S225" s="104"/>
    </row>
    <row r="226" spans="1:19" ht="29.25" customHeight="1">
      <c r="A226" s="224"/>
      <c r="B226" s="359"/>
      <c r="C226" s="360"/>
      <c r="D226" s="361"/>
      <c r="E226" s="362"/>
      <c r="F226" s="161"/>
      <c r="G226" s="225"/>
      <c r="H226" s="225"/>
      <c r="I226" s="180"/>
      <c r="J226" s="181"/>
      <c r="K226" s="181"/>
      <c r="L226" s="181"/>
      <c r="M226" s="164"/>
      <c r="N226" s="180"/>
      <c r="O226" s="180"/>
      <c r="P226" s="182"/>
      <c r="Q226" s="104"/>
      <c r="R226" s="363"/>
      <c r="S226" s="104"/>
    </row>
    <row r="227" spans="1:19" ht="29.25" customHeight="1">
      <c r="A227" s="224"/>
      <c r="B227" s="359"/>
      <c r="C227" s="360"/>
      <c r="D227" s="361"/>
      <c r="E227" s="352"/>
      <c r="F227" s="161"/>
      <c r="G227" s="225"/>
      <c r="H227" s="225"/>
      <c r="I227" s="180"/>
      <c r="J227" s="181"/>
      <c r="K227" s="181"/>
      <c r="L227" s="181"/>
      <c r="M227" s="164"/>
      <c r="N227" s="180"/>
      <c r="O227" s="180"/>
      <c r="P227" s="182"/>
      <c r="Q227" s="104"/>
      <c r="R227" s="358"/>
      <c r="S227" s="104"/>
    </row>
    <row r="228" spans="1:19" ht="29.25" customHeight="1">
      <c r="A228" s="224"/>
      <c r="B228" s="359"/>
      <c r="C228" s="360"/>
      <c r="D228" s="361"/>
      <c r="E228" s="362"/>
      <c r="F228" s="161"/>
      <c r="G228" s="225"/>
      <c r="H228" s="225"/>
      <c r="I228" s="180"/>
      <c r="J228" s="181"/>
      <c r="K228" s="181"/>
      <c r="L228" s="181"/>
      <c r="M228" s="164"/>
      <c r="N228" s="180"/>
      <c r="O228" s="180"/>
      <c r="P228" s="182"/>
      <c r="Q228" s="104"/>
      <c r="R228" s="363"/>
      <c r="S228" s="104"/>
    </row>
    <row r="229" spans="1:19" ht="29.25" customHeight="1">
      <c r="A229" s="224"/>
      <c r="B229" s="359"/>
      <c r="C229" s="360"/>
      <c r="D229" s="361"/>
      <c r="E229" s="352"/>
      <c r="F229" s="161"/>
      <c r="G229" s="225"/>
      <c r="H229" s="225"/>
      <c r="I229" s="180"/>
      <c r="J229" s="181"/>
      <c r="K229" s="181"/>
      <c r="L229" s="181"/>
      <c r="M229" s="164"/>
      <c r="N229" s="180"/>
      <c r="O229" s="180"/>
      <c r="P229" s="182"/>
      <c r="Q229" s="104"/>
      <c r="R229" s="358"/>
      <c r="S229" s="104"/>
    </row>
    <row r="230" spans="1:19" ht="29.25" customHeight="1">
      <c r="A230" s="224"/>
      <c r="B230" s="359"/>
      <c r="C230" s="360"/>
      <c r="D230" s="361"/>
      <c r="E230" s="362"/>
      <c r="F230" s="161"/>
      <c r="G230" s="225"/>
      <c r="H230" s="225"/>
      <c r="I230" s="180"/>
      <c r="J230" s="181"/>
      <c r="K230" s="181"/>
      <c r="L230" s="181"/>
      <c r="M230" s="164"/>
      <c r="N230" s="180"/>
      <c r="O230" s="180"/>
      <c r="P230" s="182"/>
      <c r="Q230" s="104"/>
      <c r="R230" s="363"/>
      <c r="S230" s="104"/>
    </row>
    <row r="231" spans="1:19" ht="29.25" customHeight="1">
      <c r="A231" s="224"/>
      <c r="B231" s="359"/>
      <c r="C231" s="360"/>
      <c r="D231" s="361"/>
      <c r="E231" s="352"/>
      <c r="F231" s="161"/>
      <c r="G231" s="225"/>
      <c r="H231" s="225"/>
      <c r="I231" s="180"/>
      <c r="J231" s="181"/>
      <c r="K231" s="181"/>
      <c r="L231" s="181"/>
      <c r="M231" s="164"/>
      <c r="N231" s="180"/>
      <c r="O231" s="180"/>
      <c r="P231" s="182"/>
      <c r="Q231" s="104"/>
      <c r="R231" s="358"/>
      <c r="S231" s="104"/>
    </row>
    <row r="232" spans="1:19" ht="29.25" customHeight="1">
      <c r="A232" s="224"/>
      <c r="B232" s="359"/>
      <c r="C232" s="360"/>
      <c r="D232" s="361"/>
      <c r="E232" s="362"/>
      <c r="F232" s="161"/>
      <c r="G232" s="225"/>
      <c r="H232" s="225"/>
      <c r="I232" s="180"/>
      <c r="J232" s="181"/>
      <c r="K232" s="181"/>
      <c r="L232" s="181"/>
      <c r="M232" s="164"/>
      <c r="N232" s="180"/>
      <c r="O232" s="180"/>
      <c r="P232" s="182"/>
      <c r="Q232" s="104"/>
      <c r="R232" s="363"/>
      <c r="S232" s="104"/>
    </row>
    <row r="233" spans="1:19" ht="29.25" customHeight="1">
      <c r="A233" s="224"/>
      <c r="B233" s="359"/>
      <c r="C233" s="360"/>
      <c r="D233" s="361"/>
      <c r="E233" s="352"/>
      <c r="F233" s="161"/>
      <c r="G233" s="225"/>
      <c r="H233" s="225"/>
      <c r="I233" s="180"/>
      <c r="J233" s="181"/>
      <c r="K233" s="181"/>
      <c r="L233" s="181"/>
      <c r="M233" s="164"/>
      <c r="N233" s="180"/>
      <c r="O233" s="180"/>
      <c r="P233" s="182"/>
      <c r="Q233" s="104"/>
      <c r="R233" s="358"/>
      <c r="S233" s="104"/>
    </row>
    <row r="234" spans="1:19" ht="29.25" customHeight="1">
      <c r="A234" s="224"/>
      <c r="B234" s="359"/>
      <c r="C234" s="360"/>
      <c r="D234" s="361"/>
      <c r="E234" s="362"/>
      <c r="F234" s="161"/>
      <c r="G234" s="225"/>
      <c r="H234" s="225"/>
      <c r="I234" s="180"/>
      <c r="J234" s="181"/>
      <c r="K234" s="181"/>
      <c r="L234" s="181"/>
      <c r="M234" s="164"/>
      <c r="N234" s="180"/>
      <c r="O234" s="180"/>
      <c r="P234" s="182"/>
      <c r="Q234" s="104"/>
      <c r="R234" s="363"/>
      <c r="S234" s="104"/>
    </row>
    <row r="235" spans="1:19" ht="29.25" customHeight="1">
      <c r="A235" s="224"/>
      <c r="B235" s="359"/>
      <c r="C235" s="360"/>
      <c r="D235" s="361"/>
      <c r="E235" s="352"/>
      <c r="F235" s="161"/>
      <c r="G235" s="225"/>
      <c r="H235" s="225"/>
      <c r="I235" s="180"/>
      <c r="J235" s="181"/>
      <c r="K235" s="181"/>
      <c r="L235" s="181"/>
      <c r="M235" s="164"/>
      <c r="N235" s="180"/>
      <c r="O235" s="180"/>
      <c r="P235" s="182"/>
      <c r="Q235" s="104"/>
      <c r="R235" s="358"/>
      <c r="S235" s="104"/>
    </row>
    <row r="236" spans="1:19" ht="29.25" customHeight="1">
      <c r="A236" s="224"/>
      <c r="B236" s="359"/>
      <c r="C236" s="360"/>
      <c r="D236" s="361"/>
      <c r="E236" s="362"/>
      <c r="F236" s="161"/>
      <c r="G236" s="225"/>
      <c r="H236" s="225"/>
      <c r="I236" s="180"/>
      <c r="J236" s="181"/>
      <c r="K236" s="181"/>
      <c r="L236" s="181"/>
      <c r="M236" s="164"/>
      <c r="N236" s="180"/>
      <c r="O236" s="180"/>
      <c r="P236" s="182"/>
      <c r="Q236" s="104"/>
      <c r="R236" s="363"/>
      <c r="S236" s="104"/>
    </row>
    <row r="237" spans="1:19" ht="29.25" customHeight="1">
      <c r="A237" s="224"/>
      <c r="B237" s="359"/>
      <c r="C237" s="360"/>
      <c r="D237" s="361"/>
      <c r="E237" s="352"/>
      <c r="F237" s="161"/>
      <c r="G237" s="225"/>
      <c r="H237" s="225"/>
      <c r="I237" s="180"/>
      <c r="J237" s="181"/>
      <c r="K237" s="181"/>
      <c r="L237" s="181"/>
      <c r="M237" s="164"/>
      <c r="N237" s="180"/>
      <c r="O237" s="180"/>
      <c r="P237" s="182"/>
      <c r="Q237" s="104"/>
      <c r="R237" s="358"/>
      <c r="S237" s="104"/>
    </row>
    <row r="238" spans="1:19" ht="29.25" customHeight="1">
      <c r="A238" s="224"/>
      <c r="B238" s="359"/>
      <c r="C238" s="360"/>
      <c r="D238" s="361"/>
      <c r="E238" s="362"/>
      <c r="F238" s="161"/>
      <c r="G238" s="225"/>
      <c r="H238" s="225"/>
      <c r="I238" s="180"/>
      <c r="J238" s="181"/>
      <c r="K238" s="181"/>
      <c r="L238" s="181"/>
      <c r="M238" s="164"/>
      <c r="N238" s="180"/>
      <c r="O238" s="180"/>
      <c r="P238" s="182"/>
      <c r="Q238" s="104"/>
      <c r="R238" s="363"/>
      <c r="S238" s="104"/>
    </row>
    <row r="239" spans="1:19" ht="29.25" customHeight="1">
      <c r="A239" s="224"/>
      <c r="B239" s="359"/>
      <c r="C239" s="360"/>
      <c r="D239" s="361"/>
      <c r="E239" s="352"/>
      <c r="F239" s="161"/>
      <c r="G239" s="225"/>
      <c r="H239" s="225"/>
      <c r="I239" s="180"/>
      <c r="J239" s="181"/>
      <c r="K239" s="181"/>
      <c r="L239" s="181"/>
      <c r="M239" s="164"/>
      <c r="N239" s="180"/>
      <c r="O239" s="180"/>
      <c r="P239" s="182"/>
      <c r="Q239" s="104"/>
      <c r="R239" s="358"/>
      <c r="S239" s="104"/>
    </row>
    <row r="240" spans="1:19" ht="29.25" customHeight="1">
      <c r="A240" s="224"/>
      <c r="B240" s="359"/>
      <c r="C240" s="360"/>
      <c r="D240" s="361"/>
      <c r="E240" s="362"/>
      <c r="F240" s="161"/>
      <c r="G240" s="225"/>
      <c r="H240" s="225"/>
      <c r="I240" s="180"/>
      <c r="J240" s="181"/>
      <c r="K240" s="181"/>
      <c r="L240" s="181"/>
      <c r="M240" s="164"/>
      <c r="N240" s="180"/>
      <c r="O240" s="180"/>
      <c r="P240" s="182"/>
      <c r="Q240" s="104"/>
      <c r="R240" s="363"/>
      <c r="S240" s="104"/>
    </row>
    <row r="241" spans="1:19" ht="29.25" customHeight="1">
      <c r="A241" s="224"/>
      <c r="B241" s="359"/>
      <c r="C241" s="360"/>
      <c r="D241" s="361"/>
      <c r="E241" s="352"/>
      <c r="F241" s="161"/>
      <c r="G241" s="225"/>
      <c r="H241" s="225"/>
      <c r="I241" s="180"/>
      <c r="J241" s="181"/>
      <c r="K241" s="181"/>
      <c r="L241" s="181"/>
      <c r="M241" s="164"/>
      <c r="N241" s="180"/>
      <c r="O241" s="180"/>
      <c r="P241" s="182"/>
      <c r="Q241" s="104"/>
      <c r="R241" s="358"/>
      <c r="S241" s="104"/>
    </row>
    <row r="242" spans="1:19" ht="29.25" customHeight="1">
      <c r="A242" s="224"/>
      <c r="B242" s="359"/>
      <c r="C242" s="360"/>
      <c r="D242" s="361"/>
      <c r="E242" s="362"/>
      <c r="F242" s="161"/>
      <c r="G242" s="225"/>
      <c r="H242" s="225"/>
      <c r="I242" s="180"/>
      <c r="J242" s="181"/>
      <c r="K242" s="181"/>
      <c r="L242" s="181"/>
      <c r="M242" s="164"/>
      <c r="N242" s="180"/>
      <c r="O242" s="180"/>
      <c r="P242" s="182"/>
      <c r="Q242" s="104"/>
      <c r="R242" s="363"/>
      <c r="S242" s="104"/>
    </row>
    <row r="243" spans="1:19" ht="29.25" customHeight="1">
      <c r="A243" s="224"/>
      <c r="B243" s="359"/>
      <c r="C243" s="360"/>
      <c r="D243" s="361"/>
      <c r="E243" s="352"/>
      <c r="F243" s="161"/>
      <c r="G243" s="225"/>
      <c r="H243" s="225"/>
      <c r="I243" s="180"/>
      <c r="J243" s="181"/>
      <c r="K243" s="181"/>
      <c r="L243" s="181"/>
      <c r="M243" s="164"/>
      <c r="N243" s="180"/>
      <c r="O243" s="180"/>
      <c r="P243" s="182"/>
      <c r="Q243" s="104"/>
      <c r="R243" s="358"/>
      <c r="S243" s="104"/>
    </row>
    <row r="244" spans="1:19" ht="29.25" customHeight="1">
      <c r="A244" s="224"/>
      <c r="B244" s="359"/>
      <c r="C244" s="360"/>
      <c r="D244" s="361"/>
      <c r="E244" s="362"/>
      <c r="F244" s="161"/>
      <c r="G244" s="225"/>
      <c r="H244" s="225"/>
      <c r="I244" s="180"/>
      <c r="J244" s="181"/>
      <c r="K244" s="181"/>
      <c r="L244" s="181"/>
      <c r="M244" s="164"/>
      <c r="N244" s="180"/>
      <c r="O244" s="180"/>
      <c r="P244" s="182"/>
      <c r="Q244" s="104"/>
      <c r="R244" s="363"/>
      <c r="S244" s="104"/>
    </row>
    <row r="245" spans="1:19" ht="29.25" customHeight="1">
      <c r="A245" s="224"/>
      <c r="B245" s="359"/>
      <c r="C245" s="360"/>
      <c r="D245" s="361"/>
      <c r="E245" s="352"/>
      <c r="F245" s="161"/>
      <c r="G245" s="225"/>
      <c r="H245" s="225"/>
      <c r="I245" s="180"/>
      <c r="J245" s="181"/>
      <c r="K245" s="181"/>
      <c r="L245" s="181"/>
      <c r="M245" s="164"/>
      <c r="N245" s="180"/>
      <c r="O245" s="180"/>
      <c r="P245" s="182"/>
      <c r="Q245" s="104"/>
      <c r="R245" s="358"/>
      <c r="S245" s="104"/>
    </row>
    <row r="246" spans="1:19" ht="29.25" customHeight="1">
      <c r="A246" s="224"/>
      <c r="B246" s="359"/>
      <c r="C246" s="360"/>
      <c r="D246" s="361"/>
      <c r="E246" s="362"/>
      <c r="F246" s="161"/>
      <c r="G246" s="225"/>
      <c r="H246" s="225"/>
      <c r="I246" s="180"/>
      <c r="J246" s="181"/>
      <c r="K246" s="181"/>
      <c r="L246" s="181"/>
      <c r="M246" s="164"/>
      <c r="N246" s="180"/>
      <c r="O246" s="180"/>
      <c r="P246" s="182"/>
      <c r="Q246" s="104"/>
      <c r="R246" s="363"/>
      <c r="S246" s="104"/>
    </row>
    <row r="247" spans="1:19" ht="29.25" customHeight="1">
      <c r="A247" s="224"/>
      <c r="B247" s="359"/>
      <c r="C247" s="360"/>
      <c r="D247" s="361"/>
      <c r="E247" s="352"/>
      <c r="F247" s="161"/>
      <c r="G247" s="225"/>
      <c r="H247" s="225"/>
      <c r="I247" s="180"/>
      <c r="J247" s="181"/>
      <c r="K247" s="181"/>
      <c r="L247" s="181"/>
      <c r="M247" s="164"/>
      <c r="N247" s="180"/>
      <c r="O247" s="180"/>
      <c r="P247" s="182"/>
      <c r="Q247" s="104"/>
      <c r="R247" s="358"/>
      <c r="S247" s="104"/>
    </row>
    <row r="248" spans="1:19" ht="29.25" customHeight="1">
      <c r="A248" s="224"/>
      <c r="B248" s="359"/>
      <c r="C248" s="360"/>
      <c r="D248" s="361"/>
      <c r="E248" s="362"/>
      <c r="F248" s="161"/>
      <c r="G248" s="225"/>
      <c r="H248" s="225"/>
      <c r="I248" s="180"/>
      <c r="J248" s="181"/>
      <c r="K248" s="181"/>
      <c r="L248" s="181"/>
      <c r="M248" s="164"/>
      <c r="N248" s="180"/>
      <c r="O248" s="180"/>
      <c r="P248" s="182"/>
      <c r="Q248" s="104"/>
      <c r="R248" s="363"/>
      <c r="S248" s="104"/>
    </row>
    <row r="249" spans="1:19" ht="29.25" customHeight="1">
      <c r="A249" s="224"/>
      <c r="B249" s="359"/>
      <c r="C249" s="360"/>
      <c r="D249" s="361"/>
      <c r="E249" s="352"/>
      <c r="F249" s="161"/>
      <c r="G249" s="225"/>
      <c r="H249" s="225"/>
      <c r="I249" s="180"/>
      <c r="J249" s="181"/>
      <c r="K249" s="181"/>
      <c r="L249" s="181"/>
      <c r="M249" s="164"/>
      <c r="N249" s="180"/>
      <c r="O249" s="180"/>
      <c r="P249" s="182"/>
      <c r="Q249" s="104"/>
      <c r="R249" s="358"/>
      <c r="S249" s="104"/>
    </row>
    <row r="250" spans="1:19" ht="29.25" customHeight="1">
      <c r="A250" s="224"/>
      <c r="B250" s="359"/>
      <c r="C250" s="360"/>
      <c r="D250" s="361"/>
      <c r="E250" s="362"/>
      <c r="F250" s="161"/>
      <c r="G250" s="225"/>
      <c r="H250" s="225"/>
      <c r="I250" s="180"/>
      <c r="J250" s="181"/>
      <c r="K250" s="181"/>
      <c r="L250" s="181"/>
      <c r="M250" s="164"/>
      <c r="N250" s="180"/>
      <c r="O250" s="180"/>
      <c r="P250" s="182"/>
      <c r="Q250" s="104"/>
      <c r="R250" s="363"/>
      <c r="S250" s="104"/>
    </row>
    <row r="251" spans="1:19" ht="29.25" customHeight="1">
      <c r="A251" s="224"/>
      <c r="B251" s="359"/>
      <c r="C251" s="360"/>
      <c r="D251" s="361"/>
      <c r="E251" s="352"/>
      <c r="F251" s="161"/>
      <c r="G251" s="225"/>
      <c r="H251" s="225"/>
      <c r="I251" s="180"/>
      <c r="J251" s="181"/>
      <c r="K251" s="181"/>
      <c r="L251" s="181"/>
      <c r="M251" s="164"/>
      <c r="N251" s="180"/>
      <c r="O251" s="180"/>
      <c r="P251" s="182"/>
      <c r="Q251" s="104"/>
      <c r="R251" s="358"/>
      <c r="S251" s="104"/>
    </row>
    <row r="252" spans="1:19" ht="29.25" customHeight="1">
      <c r="A252" s="224"/>
      <c r="B252" s="359"/>
      <c r="C252" s="360"/>
      <c r="D252" s="361"/>
      <c r="E252" s="362"/>
      <c r="F252" s="161"/>
      <c r="G252" s="225"/>
      <c r="H252" s="225"/>
      <c r="I252" s="180"/>
      <c r="J252" s="181"/>
      <c r="K252" s="181"/>
      <c r="L252" s="181"/>
      <c r="M252" s="164"/>
      <c r="N252" s="180"/>
      <c r="O252" s="180"/>
      <c r="P252" s="182"/>
      <c r="Q252" s="104"/>
      <c r="R252" s="363"/>
      <c r="S252" s="104"/>
    </row>
    <row r="253" spans="1:19" ht="29.25" customHeight="1">
      <c r="A253" s="224"/>
      <c r="B253" s="359"/>
      <c r="C253" s="360"/>
      <c r="D253" s="361"/>
      <c r="E253" s="352"/>
      <c r="F253" s="161"/>
      <c r="G253" s="225"/>
      <c r="H253" s="225"/>
      <c r="I253" s="180"/>
      <c r="J253" s="181"/>
      <c r="K253" s="181"/>
      <c r="L253" s="181"/>
      <c r="M253" s="164"/>
      <c r="N253" s="180"/>
      <c r="O253" s="180"/>
      <c r="P253" s="182"/>
      <c r="Q253" s="104"/>
      <c r="R253" s="358"/>
      <c r="S253" s="104"/>
    </row>
    <row r="254" spans="1:19" ht="29.25" customHeight="1">
      <c r="A254" s="224"/>
      <c r="B254" s="359"/>
      <c r="C254" s="360"/>
      <c r="D254" s="361"/>
      <c r="E254" s="362"/>
      <c r="F254" s="161"/>
      <c r="G254" s="225"/>
      <c r="H254" s="225"/>
      <c r="I254" s="180"/>
      <c r="J254" s="181"/>
      <c r="K254" s="181"/>
      <c r="L254" s="181"/>
      <c r="M254" s="164"/>
      <c r="N254" s="180"/>
      <c r="O254" s="180"/>
      <c r="P254" s="182"/>
      <c r="Q254" s="104"/>
      <c r="R254" s="363"/>
      <c r="S254" s="104"/>
    </row>
    <row r="255" spans="1:19" ht="29.25" customHeight="1">
      <c r="A255" s="224"/>
      <c r="B255" s="359"/>
      <c r="C255" s="360"/>
      <c r="D255" s="361"/>
      <c r="E255" s="352"/>
      <c r="F255" s="161"/>
      <c r="G255" s="225"/>
      <c r="H255" s="225"/>
      <c r="I255" s="180"/>
      <c r="J255" s="181"/>
      <c r="K255" s="181"/>
      <c r="L255" s="181"/>
      <c r="M255" s="164"/>
      <c r="N255" s="180"/>
      <c r="O255" s="180"/>
      <c r="P255" s="182"/>
      <c r="Q255" s="104"/>
      <c r="R255" s="358"/>
      <c r="S255" s="104"/>
    </row>
    <row r="256" spans="1:19" ht="29.25" customHeight="1">
      <c r="A256" s="224"/>
      <c r="B256" s="359"/>
      <c r="C256" s="360"/>
      <c r="D256" s="361"/>
      <c r="E256" s="362"/>
      <c r="F256" s="161"/>
      <c r="G256" s="225"/>
      <c r="H256" s="225"/>
      <c r="I256" s="180"/>
      <c r="J256" s="181"/>
      <c r="K256" s="181"/>
      <c r="L256" s="181"/>
      <c r="M256" s="164"/>
      <c r="N256" s="180"/>
      <c r="O256" s="180"/>
      <c r="P256" s="182"/>
      <c r="Q256" s="104"/>
      <c r="R256" s="363"/>
      <c r="S256" s="104"/>
    </row>
    <row r="257" spans="1:19" ht="29.25" customHeight="1">
      <c r="A257" s="224"/>
      <c r="B257" s="359"/>
      <c r="C257" s="360"/>
      <c r="D257" s="361"/>
      <c r="E257" s="352"/>
      <c r="F257" s="161"/>
      <c r="G257" s="225"/>
      <c r="H257" s="225"/>
      <c r="I257" s="180"/>
      <c r="J257" s="181"/>
      <c r="K257" s="181"/>
      <c r="L257" s="181"/>
      <c r="M257" s="164"/>
      <c r="N257" s="180"/>
      <c r="O257" s="180"/>
      <c r="P257" s="182"/>
      <c r="Q257" s="104"/>
      <c r="R257" s="358"/>
      <c r="S257" s="104"/>
    </row>
    <row r="258" spans="1:19" ht="29.25" customHeight="1">
      <c r="A258" s="224"/>
      <c r="B258" s="359"/>
      <c r="C258" s="360"/>
      <c r="D258" s="361"/>
      <c r="E258" s="362"/>
      <c r="F258" s="161"/>
      <c r="G258" s="225"/>
      <c r="H258" s="225"/>
      <c r="I258" s="180"/>
      <c r="J258" s="181"/>
      <c r="K258" s="181"/>
      <c r="L258" s="181"/>
      <c r="M258" s="164"/>
      <c r="N258" s="180"/>
      <c r="O258" s="180"/>
      <c r="P258" s="182"/>
      <c r="Q258" s="104"/>
      <c r="R258" s="363"/>
      <c r="S258" s="104"/>
    </row>
    <row r="259" spans="1:19" ht="29.25" customHeight="1">
      <c r="A259" s="224"/>
      <c r="B259" s="359"/>
      <c r="C259" s="360"/>
      <c r="D259" s="361"/>
      <c r="E259" s="352"/>
      <c r="F259" s="161"/>
      <c r="G259" s="225"/>
      <c r="H259" s="225"/>
      <c r="I259" s="180"/>
      <c r="J259" s="181"/>
      <c r="K259" s="181"/>
      <c r="L259" s="181"/>
      <c r="M259" s="164"/>
      <c r="N259" s="180"/>
      <c r="O259" s="180"/>
      <c r="P259" s="182"/>
      <c r="Q259" s="104"/>
      <c r="R259" s="358"/>
      <c r="S259" s="104"/>
    </row>
    <row r="260" spans="1:19" ht="29.25" customHeight="1">
      <c r="A260" s="224"/>
      <c r="B260" s="359"/>
      <c r="C260" s="360"/>
      <c r="D260" s="361"/>
      <c r="E260" s="362"/>
      <c r="F260" s="161"/>
      <c r="G260" s="225"/>
      <c r="H260" s="225"/>
      <c r="I260" s="180"/>
      <c r="J260" s="181"/>
      <c r="K260" s="181"/>
      <c r="L260" s="181"/>
      <c r="M260" s="164"/>
      <c r="N260" s="180"/>
      <c r="O260" s="180"/>
      <c r="P260" s="182"/>
      <c r="Q260" s="104"/>
      <c r="R260" s="363"/>
      <c r="S260" s="104"/>
    </row>
    <row r="261" spans="1:19" ht="29.25" customHeight="1">
      <c r="A261" s="224"/>
      <c r="B261" s="359"/>
      <c r="C261" s="360"/>
      <c r="D261" s="361"/>
      <c r="E261" s="352"/>
      <c r="F261" s="161"/>
      <c r="G261" s="225"/>
      <c r="H261" s="225"/>
      <c r="I261" s="180"/>
      <c r="J261" s="181"/>
      <c r="K261" s="181"/>
      <c r="L261" s="181"/>
      <c r="M261" s="164"/>
      <c r="N261" s="180"/>
      <c r="O261" s="180"/>
      <c r="P261" s="182"/>
      <c r="Q261" s="104"/>
      <c r="R261" s="358"/>
      <c r="S261" s="104"/>
    </row>
    <row r="262" spans="1:19" ht="29.25" customHeight="1">
      <c r="A262" s="224"/>
      <c r="B262" s="359"/>
      <c r="C262" s="360"/>
      <c r="D262" s="361"/>
      <c r="E262" s="362"/>
      <c r="F262" s="161"/>
      <c r="G262" s="225"/>
      <c r="H262" s="225"/>
      <c r="I262" s="180"/>
      <c r="J262" s="181"/>
      <c r="K262" s="181"/>
      <c r="L262" s="181"/>
      <c r="M262" s="164"/>
      <c r="N262" s="180"/>
      <c r="O262" s="180"/>
      <c r="P262" s="182"/>
      <c r="Q262" s="104"/>
      <c r="R262" s="363"/>
      <c r="S262" s="104"/>
    </row>
    <row r="263" spans="1:19" ht="29.25" customHeight="1">
      <c r="A263" s="224"/>
      <c r="B263" s="359"/>
      <c r="C263" s="360"/>
      <c r="D263" s="361"/>
      <c r="E263" s="352"/>
      <c r="F263" s="161"/>
      <c r="G263" s="225"/>
      <c r="H263" s="225"/>
      <c r="I263" s="180"/>
      <c r="J263" s="181"/>
      <c r="K263" s="181"/>
      <c r="L263" s="181"/>
      <c r="M263" s="164"/>
      <c r="N263" s="180"/>
      <c r="O263" s="180"/>
      <c r="P263" s="182"/>
      <c r="Q263" s="104"/>
      <c r="R263" s="358"/>
      <c r="S263" s="104"/>
    </row>
    <row r="264" spans="1:19" ht="29.25" customHeight="1">
      <c r="A264" s="224"/>
      <c r="B264" s="359"/>
      <c r="C264" s="360"/>
      <c r="D264" s="361"/>
      <c r="E264" s="362"/>
      <c r="F264" s="161"/>
      <c r="G264" s="225"/>
      <c r="H264" s="225"/>
      <c r="I264" s="180"/>
      <c r="J264" s="181"/>
      <c r="K264" s="181"/>
      <c r="L264" s="181"/>
      <c r="M264" s="164"/>
      <c r="N264" s="180"/>
      <c r="O264" s="180"/>
      <c r="P264" s="182"/>
      <c r="Q264" s="104"/>
      <c r="R264" s="363"/>
      <c r="S264" s="104"/>
    </row>
    <row r="265" spans="1:19" ht="29.25" customHeight="1">
      <c r="A265" s="224"/>
      <c r="B265" s="359"/>
      <c r="C265" s="360"/>
      <c r="D265" s="361"/>
      <c r="E265" s="352"/>
      <c r="F265" s="161"/>
      <c r="G265" s="225"/>
      <c r="H265" s="225"/>
      <c r="I265" s="180"/>
      <c r="J265" s="181"/>
      <c r="K265" s="181"/>
      <c r="L265" s="181"/>
      <c r="M265" s="164"/>
      <c r="N265" s="180"/>
      <c r="O265" s="180"/>
      <c r="P265" s="182"/>
      <c r="Q265" s="104"/>
      <c r="R265" s="358"/>
      <c r="S265" s="104"/>
    </row>
    <row r="266" spans="1:19" ht="29.25" customHeight="1">
      <c r="A266" s="224"/>
      <c r="B266" s="359"/>
      <c r="C266" s="360"/>
      <c r="D266" s="361"/>
      <c r="E266" s="362"/>
      <c r="F266" s="161"/>
      <c r="G266" s="225"/>
      <c r="H266" s="225"/>
      <c r="I266" s="180"/>
      <c r="J266" s="181"/>
      <c r="K266" s="181"/>
      <c r="L266" s="181"/>
      <c r="M266" s="164"/>
      <c r="N266" s="180"/>
      <c r="O266" s="180"/>
      <c r="P266" s="182"/>
      <c r="Q266" s="104"/>
      <c r="R266" s="363"/>
      <c r="S266" s="104"/>
    </row>
    <row r="267" spans="1:19" ht="29.25" customHeight="1">
      <c r="A267" s="224"/>
      <c r="B267" s="359"/>
      <c r="C267" s="360"/>
      <c r="D267" s="361"/>
      <c r="E267" s="352"/>
      <c r="F267" s="161"/>
      <c r="G267" s="225"/>
      <c r="H267" s="225"/>
      <c r="I267" s="180"/>
      <c r="J267" s="181"/>
      <c r="K267" s="181"/>
      <c r="L267" s="181"/>
      <c r="M267" s="164"/>
      <c r="N267" s="180"/>
      <c r="O267" s="180"/>
      <c r="P267" s="182"/>
      <c r="Q267" s="104"/>
      <c r="R267" s="358"/>
      <c r="S267" s="104"/>
    </row>
    <row r="268" spans="1:19" ht="29.25" customHeight="1">
      <c r="A268" s="224"/>
      <c r="B268" s="359"/>
      <c r="C268" s="360"/>
      <c r="D268" s="361"/>
      <c r="E268" s="362"/>
      <c r="F268" s="161"/>
      <c r="G268" s="225"/>
      <c r="H268" s="225"/>
      <c r="I268" s="180"/>
      <c r="J268" s="181"/>
      <c r="K268" s="181"/>
      <c r="L268" s="181"/>
      <c r="M268" s="164"/>
      <c r="N268" s="180"/>
      <c r="O268" s="180"/>
      <c r="P268" s="182"/>
      <c r="Q268" s="104"/>
      <c r="R268" s="363"/>
      <c r="S268" s="104"/>
    </row>
    <row r="269" spans="1:19" ht="29.25" customHeight="1">
      <c r="A269" s="224"/>
      <c r="B269" s="359"/>
      <c r="C269" s="360"/>
      <c r="D269" s="361"/>
      <c r="E269" s="352"/>
      <c r="F269" s="161"/>
      <c r="G269" s="225"/>
      <c r="H269" s="225"/>
      <c r="I269" s="180"/>
      <c r="J269" s="181"/>
      <c r="K269" s="181"/>
      <c r="L269" s="181"/>
      <c r="M269" s="164"/>
      <c r="N269" s="180"/>
      <c r="O269" s="180"/>
      <c r="P269" s="182"/>
      <c r="Q269" s="104"/>
      <c r="R269" s="358"/>
      <c r="S269" s="104"/>
    </row>
    <row r="270" spans="1:19" ht="29.25" customHeight="1">
      <c r="A270" s="224"/>
      <c r="B270" s="359"/>
      <c r="C270" s="360"/>
      <c r="D270" s="361"/>
      <c r="E270" s="362"/>
      <c r="F270" s="161"/>
      <c r="G270" s="225"/>
      <c r="H270" s="225"/>
      <c r="I270" s="180"/>
      <c r="J270" s="181"/>
      <c r="K270" s="181"/>
      <c r="L270" s="181"/>
      <c r="M270" s="164"/>
      <c r="N270" s="180"/>
      <c r="O270" s="180"/>
      <c r="P270" s="182"/>
      <c r="Q270" s="104"/>
      <c r="R270" s="363"/>
      <c r="S270" s="104"/>
    </row>
    <row r="271" spans="1:19" ht="29.25" customHeight="1">
      <c r="A271" s="224"/>
      <c r="B271" s="359"/>
      <c r="C271" s="360"/>
      <c r="D271" s="361"/>
      <c r="E271" s="352"/>
      <c r="F271" s="161"/>
      <c r="G271" s="225"/>
      <c r="H271" s="225"/>
      <c r="I271" s="180"/>
      <c r="J271" s="181"/>
      <c r="K271" s="181"/>
      <c r="L271" s="181"/>
      <c r="M271" s="164"/>
      <c r="N271" s="180"/>
      <c r="O271" s="180"/>
      <c r="P271" s="182"/>
      <c r="Q271" s="104"/>
      <c r="R271" s="358"/>
      <c r="S271" s="104"/>
    </row>
    <row r="272" spans="1:19" ht="29.25" customHeight="1">
      <c r="A272" s="224"/>
      <c r="B272" s="359"/>
      <c r="C272" s="360"/>
      <c r="D272" s="361"/>
      <c r="E272" s="362"/>
      <c r="F272" s="161"/>
      <c r="G272" s="225"/>
      <c r="H272" s="225"/>
      <c r="I272" s="180"/>
      <c r="J272" s="181"/>
      <c r="K272" s="181"/>
      <c r="L272" s="181"/>
      <c r="M272" s="164"/>
      <c r="N272" s="180"/>
      <c r="O272" s="180"/>
      <c r="P272" s="182"/>
      <c r="Q272" s="104"/>
      <c r="R272" s="363"/>
      <c r="S272" s="104"/>
    </row>
    <row r="273" spans="1:19" ht="29.25" customHeight="1">
      <c r="A273" s="224"/>
      <c r="B273" s="359"/>
      <c r="C273" s="360"/>
      <c r="D273" s="361"/>
      <c r="E273" s="352"/>
      <c r="F273" s="161"/>
      <c r="G273" s="225"/>
      <c r="H273" s="225"/>
      <c r="I273" s="180"/>
      <c r="J273" s="181"/>
      <c r="K273" s="181"/>
      <c r="L273" s="181"/>
      <c r="M273" s="164"/>
      <c r="N273" s="180"/>
      <c r="O273" s="180"/>
      <c r="P273" s="182"/>
      <c r="Q273" s="104"/>
      <c r="R273" s="358"/>
      <c r="S273" s="104"/>
    </row>
    <row r="274" spans="1:19" ht="29.25" customHeight="1">
      <c r="A274" s="224"/>
      <c r="B274" s="359"/>
      <c r="C274" s="360"/>
      <c r="D274" s="361"/>
      <c r="E274" s="362"/>
      <c r="F274" s="161"/>
      <c r="G274" s="225"/>
      <c r="H274" s="225"/>
      <c r="I274" s="180"/>
      <c r="J274" s="181"/>
      <c r="K274" s="181"/>
      <c r="L274" s="181"/>
      <c r="M274" s="164"/>
      <c r="N274" s="180"/>
      <c r="O274" s="180"/>
      <c r="P274" s="182"/>
      <c r="Q274" s="104"/>
      <c r="R274" s="363"/>
      <c r="S274" s="104"/>
    </row>
    <row r="275" spans="1:19" ht="29.25" customHeight="1">
      <c r="A275" s="224"/>
      <c r="B275" s="359"/>
      <c r="C275" s="360"/>
      <c r="D275" s="361"/>
      <c r="E275" s="352"/>
      <c r="F275" s="161"/>
      <c r="G275" s="225"/>
      <c r="H275" s="225"/>
      <c r="I275" s="180"/>
      <c r="J275" s="181"/>
      <c r="K275" s="181"/>
      <c r="L275" s="181"/>
      <c r="M275" s="164"/>
      <c r="N275" s="180"/>
      <c r="O275" s="180"/>
      <c r="P275" s="182"/>
      <c r="Q275" s="104"/>
      <c r="R275" s="358"/>
      <c r="S275" s="104"/>
    </row>
    <row r="276" spans="1:19" ht="29.25" customHeight="1">
      <c r="A276" s="224"/>
      <c r="B276" s="359"/>
      <c r="C276" s="360"/>
      <c r="D276" s="361"/>
      <c r="E276" s="362"/>
      <c r="F276" s="161"/>
      <c r="G276" s="225"/>
      <c r="H276" s="225"/>
      <c r="I276" s="180"/>
      <c r="J276" s="181"/>
      <c r="K276" s="181"/>
      <c r="L276" s="181"/>
      <c r="M276" s="164"/>
      <c r="N276" s="180"/>
      <c r="O276" s="180"/>
      <c r="P276" s="182"/>
      <c r="Q276" s="104"/>
      <c r="R276" s="363"/>
      <c r="S276" s="104"/>
    </row>
    <row r="277" spans="1:19" ht="29.25" customHeight="1">
      <c r="A277" s="224"/>
      <c r="B277" s="359"/>
      <c r="C277" s="360"/>
      <c r="D277" s="361"/>
      <c r="E277" s="352"/>
      <c r="F277" s="161"/>
      <c r="G277" s="225"/>
      <c r="H277" s="225"/>
      <c r="I277" s="180"/>
      <c r="J277" s="181"/>
      <c r="K277" s="181"/>
      <c r="L277" s="181"/>
      <c r="M277" s="164"/>
      <c r="N277" s="180"/>
      <c r="O277" s="180"/>
      <c r="P277" s="182"/>
      <c r="Q277" s="104"/>
      <c r="R277" s="358"/>
      <c r="S277" s="104"/>
    </row>
    <row r="278" spans="1:19" ht="29.25" customHeight="1">
      <c r="A278" s="224"/>
      <c r="B278" s="359"/>
      <c r="C278" s="360"/>
      <c r="D278" s="361"/>
      <c r="E278" s="362"/>
      <c r="F278" s="161"/>
      <c r="G278" s="225"/>
      <c r="H278" s="225"/>
      <c r="I278" s="180"/>
      <c r="J278" s="181"/>
      <c r="K278" s="181"/>
      <c r="L278" s="181"/>
      <c r="M278" s="164"/>
      <c r="N278" s="180"/>
      <c r="O278" s="180"/>
      <c r="P278" s="182"/>
      <c r="Q278" s="104"/>
      <c r="R278" s="363"/>
      <c r="S278" s="104"/>
    </row>
    <row r="279" spans="1:19" ht="29.25" customHeight="1">
      <c r="A279" s="224"/>
      <c r="B279" s="359"/>
      <c r="C279" s="360"/>
      <c r="D279" s="361"/>
      <c r="E279" s="352"/>
      <c r="F279" s="161"/>
      <c r="G279" s="225"/>
      <c r="H279" s="225"/>
      <c r="I279" s="180"/>
      <c r="J279" s="181"/>
      <c r="K279" s="181"/>
      <c r="L279" s="181"/>
      <c r="M279" s="164"/>
      <c r="N279" s="180"/>
      <c r="O279" s="180"/>
      <c r="P279" s="182"/>
      <c r="Q279" s="104"/>
      <c r="R279" s="358"/>
      <c r="S279" s="104"/>
    </row>
    <row r="280" spans="1:19" ht="29.25" customHeight="1">
      <c r="A280" s="224"/>
      <c r="B280" s="359"/>
      <c r="C280" s="360"/>
      <c r="D280" s="361"/>
      <c r="E280" s="362"/>
      <c r="F280" s="161"/>
      <c r="G280" s="225"/>
      <c r="H280" s="225"/>
      <c r="I280" s="180"/>
      <c r="J280" s="181"/>
      <c r="K280" s="181"/>
      <c r="L280" s="181"/>
      <c r="M280" s="164"/>
      <c r="N280" s="180"/>
      <c r="O280" s="180"/>
      <c r="P280" s="182"/>
      <c r="Q280" s="104"/>
      <c r="R280" s="363"/>
      <c r="S280" s="104"/>
    </row>
    <row r="281" spans="1:19" ht="29.25" customHeight="1">
      <c r="A281" s="224"/>
      <c r="B281" s="359"/>
      <c r="C281" s="360"/>
      <c r="D281" s="361"/>
      <c r="E281" s="352"/>
      <c r="F281" s="161"/>
      <c r="G281" s="225"/>
      <c r="H281" s="225"/>
      <c r="I281" s="180"/>
      <c r="J281" s="181"/>
      <c r="K281" s="181"/>
      <c r="L281" s="181"/>
      <c r="M281" s="164"/>
      <c r="N281" s="180"/>
      <c r="O281" s="180"/>
      <c r="P281" s="182"/>
      <c r="Q281" s="104"/>
      <c r="R281" s="358"/>
      <c r="S281" s="104"/>
    </row>
    <row r="282" spans="1:19" ht="29.25" customHeight="1">
      <c r="A282" s="224"/>
      <c r="B282" s="359"/>
      <c r="C282" s="360"/>
      <c r="D282" s="361"/>
      <c r="E282" s="362"/>
      <c r="F282" s="161"/>
      <c r="G282" s="225"/>
      <c r="H282" s="225"/>
      <c r="I282" s="180"/>
      <c r="J282" s="181"/>
      <c r="K282" s="181"/>
      <c r="L282" s="181"/>
      <c r="M282" s="164"/>
      <c r="N282" s="180"/>
      <c r="O282" s="180"/>
      <c r="P282" s="182"/>
      <c r="Q282" s="104"/>
      <c r="R282" s="363"/>
      <c r="S282" s="104"/>
    </row>
    <row r="283" spans="1:19" ht="29.25" customHeight="1">
      <c r="A283" s="224"/>
      <c r="B283" s="359"/>
      <c r="C283" s="360"/>
      <c r="D283" s="361"/>
      <c r="E283" s="352"/>
      <c r="F283" s="161"/>
      <c r="G283" s="225"/>
      <c r="H283" s="225"/>
      <c r="I283" s="180"/>
      <c r="J283" s="181"/>
      <c r="K283" s="181"/>
      <c r="L283" s="181"/>
      <c r="M283" s="164"/>
      <c r="N283" s="180"/>
      <c r="O283" s="180"/>
      <c r="P283" s="182"/>
      <c r="Q283" s="104"/>
      <c r="R283" s="358"/>
      <c r="S283" s="104"/>
    </row>
    <row r="284" spans="1:19" ht="29.25" customHeight="1">
      <c r="A284" s="224"/>
      <c r="B284" s="359"/>
      <c r="C284" s="360"/>
      <c r="D284" s="361"/>
      <c r="E284" s="362"/>
      <c r="F284" s="161"/>
      <c r="G284" s="225"/>
      <c r="H284" s="225"/>
      <c r="I284" s="180"/>
      <c r="J284" s="181"/>
      <c r="K284" s="181"/>
      <c r="L284" s="181"/>
      <c r="M284" s="164"/>
      <c r="N284" s="180"/>
      <c r="O284" s="180"/>
      <c r="P284" s="182"/>
      <c r="Q284" s="104"/>
      <c r="R284" s="363"/>
      <c r="S284" s="104"/>
    </row>
    <row r="285" spans="1:19" ht="29.25" customHeight="1">
      <c r="A285" s="224"/>
      <c r="B285" s="359"/>
      <c r="C285" s="360"/>
      <c r="D285" s="361"/>
      <c r="E285" s="352"/>
      <c r="F285" s="161"/>
      <c r="G285" s="225"/>
      <c r="H285" s="225"/>
      <c r="I285" s="180"/>
      <c r="J285" s="181"/>
      <c r="K285" s="181"/>
      <c r="L285" s="181"/>
      <c r="M285" s="164"/>
      <c r="N285" s="180"/>
      <c r="O285" s="180"/>
      <c r="P285" s="182"/>
      <c r="Q285" s="104"/>
      <c r="R285" s="358"/>
      <c r="S285" s="104"/>
    </row>
    <row r="286" spans="1:19" ht="29.25" customHeight="1">
      <c r="A286" s="224"/>
      <c r="B286" s="359"/>
      <c r="C286" s="360"/>
      <c r="D286" s="361"/>
      <c r="E286" s="362"/>
      <c r="F286" s="161"/>
      <c r="G286" s="225"/>
      <c r="H286" s="225"/>
      <c r="I286" s="180"/>
      <c r="J286" s="181"/>
      <c r="K286" s="181"/>
      <c r="L286" s="181"/>
      <c r="M286" s="164"/>
      <c r="N286" s="180"/>
      <c r="O286" s="180"/>
      <c r="P286" s="182"/>
      <c r="Q286" s="104"/>
      <c r="R286" s="363"/>
      <c r="S286" s="104"/>
    </row>
    <row r="287" spans="1:19" ht="29.25" customHeight="1">
      <c r="A287" s="224"/>
      <c r="B287" s="359"/>
      <c r="C287" s="360"/>
      <c r="D287" s="361"/>
      <c r="E287" s="352"/>
      <c r="F287" s="161"/>
      <c r="G287" s="225"/>
      <c r="H287" s="225"/>
      <c r="I287" s="180"/>
      <c r="J287" s="181"/>
      <c r="K287" s="181"/>
      <c r="L287" s="181"/>
      <c r="M287" s="164"/>
      <c r="N287" s="180"/>
      <c r="O287" s="180"/>
      <c r="P287" s="182"/>
      <c r="Q287" s="104"/>
      <c r="R287" s="358"/>
      <c r="S287" s="104"/>
    </row>
    <row r="288" spans="1:19" ht="29.25" customHeight="1">
      <c r="A288" s="224"/>
      <c r="B288" s="359"/>
      <c r="C288" s="360"/>
      <c r="D288" s="361"/>
      <c r="E288" s="362"/>
      <c r="F288" s="161"/>
      <c r="G288" s="225"/>
      <c r="H288" s="225"/>
      <c r="I288" s="180"/>
      <c r="J288" s="181"/>
      <c r="K288" s="181"/>
      <c r="L288" s="181"/>
      <c r="M288" s="164"/>
      <c r="N288" s="180"/>
      <c r="O288" s="180"/>
      <c r="P288" s="182"/>
      <c r="Q288" s="104"/>
      <c r="R288" s="363"/>
      <c r="S288" s="104"/>
    </row>
    <row r="289" spans="1:19" ht="29.25" customHeight="1">
      <c r="A289" s="224"/>
      <c r="B289" s="359"/>
      <c r="C289" s="360"/>
      <c r="D289" s="361"/>
      <c r="E289" s="352"/>
      <c r="F289" s="161"/>
      <c r="G289" s="225"/>
      <c r="H289" s="225"/>
      <c r="I289" s="180"/>
      <c r="J289" s="181"/>
      <c r="K289" s="181"/>
      <c r="L289" s="181"/>
      <c r="M289" s="164"/>
      <c r="N289" s="180"/>
      <c r="O289" s="180"/>
      <c r="P289" s="182"/>
      <c r="Q289" s="104"/>
      <c r="R289" s="358"/>
      <c r="S289" s="104"/>
    </row>
    <row r="290" spans="1:19" ht="29.25" customHeight="1">
      <c r="A290" s="224"/>
      <c r="B290" s="359"/>
      <c r="C290" s="360"/>
      <c r="D290" s="361"/>
      <c r="E290" s="362"/>
      <c r="F290" s="161"/>
      <c r="G290" s="225"/>
      <c r="H290" s="225"/>
      <c r="I290" s="180"/>
      <c r="J290" s="181"/>
      <c r="K290" s="181"/>
      <c r="L290" s="181"/>
      <c r="M290" s="164"/>
      <c r="N290" s="180"/>
      <c r="O290" s="180"/>
      <c r="P290" s="182"/>
      <c r="Q290" s="104"/>
      <c r="R290" s="363"/>
      <c r="S290" s="104"/>
    </row>
    <row r="291" spans="1:19" ht="29.25" customHeight="1">
      <c r="A291" s="224"/>
      <c r="B291" s="359"/>
      <c r="C291" s="360"/>
      <c r="D291" s="361"/>
      <c r="E291" s="352"/>
      <c r="F291" s="161"/>
      <c r="G291" s="225"/>
      <c r="H291" s="225"/>
      <c r="I291" s="180"/>
      <c r="J291" s="181"/>
      <c r="K291" s="181"/>
      <c r="L291" s="181"/>
      <c r="M291" s="164"/>
      <c r="N291" s="180"/>
      <c r="O291" s="180"/>
      <c r="P291" s="182"/>
      <c r="Q291" s="104"/>
      <c r="R291" s="358"/>
      <c r="S291" s="104"/>
    </row>
    <row r="292" spans="1:19" ht="29.25" customHeight="1">
      <c r="A292" s="224"/>
      <c r="B292" s="359"/>
      <c r="C292" s="360"/>
      <c r="D292" s="361"/>
      <c r="E292" s="362"/>
      <c r="F292" s="161"/>
      <c r="G292" s="225"/>
      <c r="H292" s="225"/>
      <c r="I292" s="180"/>
      <c r="J292" s="181"/>
      <c r="K292" s="181"/>
      <c r="L292" s="181"/>
      <c r="M292" s="164"/>
      <c r="N292" s="180"/>
      <c r="O292" s="180"/>
      <c r="P292" s="182"/>
      <c r="Q292" s="104"/>
      <c r="R292" s="363"/>
      <c r="S292" s="104"/>
    </row>
    <row r="293" spans="1:19" ht="29.25" customHeight="1">
      <c r="A293" s="224"/>
      <c r="B293" s="359"/>
      <c r="C293" s="360"/>
      <c r="D293" s="361"/>
      <c r="E293" s="352"/>
      <c r="F293" s="161"/>
      <c r="G293" s="225"/>
      <c r="H293" s="225"/>
      <c r="I293" s="180"/>
      <c r="J293" s="181"/>
      <c r="K293" s="181"/>
      <c r="L293" s="181"/>
      <c r="M293" s="164"/>
      <c r="N293" s="180"/>
      <c r="O293" s="180"/>
      <c r="P293" s="182"/>
      <c r="Q293" s="104"/>
      <c r="R293" s="358"/>
      <c r="S293" s="104"/>
    </row>
    <row r="294" spans="1:19" ht="29.25" customHeight="1">
      <c r="A294" s="224"/>
      <c r="B294" s="359"/>
      <c r="C294" s="360"/>
      <c r="D294" s="361"/>
      <c r="E294" s="362"/>
      <c r="F294" s="161"/>
      <c r="G294" s="225"/>
      <c r="H294" s="225"/>
      <c r="I294" s="180"/>
      <c r="J294" s="181"/>
      <c r="K294" s="181"/>
      <c r="L294" s="181"/>
      <c r="M294" s="164"/>
      <c r="N294" s="180"/>
      <c r="O294" s="180"/>
      <c r="P294" s="182"/>
      <c r="Q294" s="104"/>
      <c r="R294" s="363"/>
      <c r="S294" s="104"/>
    </row>
    <row r="295" spans="1:19" ht="29.25" customHeight="1">
      <c r="A295" s="224"/>
      <c r="B295" s="359"/>
      <c r="C295" s="360"/>
      <c r="D295" s="361"/>
      <c r="E295" s="352"/>
      <c r="F295" s="161"/>
      <c r="G295" s="225"/>
      <c r="H295" s="225"/>
      <c r="I295" s="180"/>
      <c r="J295" s="181"/>
      <c r="K295" s="181"/>
      <c r="L295" s="181"/>
      <c r="M295" s="164"/>
      <c r="N295" s="180"/>
      <c r="O295" s="180"/>
      <c r="P295" s="182"/>
      <c r="Q295" s="104"/>
      <c r="R295" s="358"/>
      <c r="S295" s="104"/>
    </row>
    <row r="296" spans="1:19" ht="29.25" customHeight="1">
      <c r="A296" s="224"/>
      <c r="B296" s="359"/>
      <c r="C296" s="360"/>
      <c r="D296" s="361"/>
      <c r="E296" s="362"/>
      <c r="F296" s="161"/>
      <c r="G296" s="225"/>
      <c r="H296" s="225"/>
      <c r="I296" s="180"/>
      <c r="J296" s="181"/>
      <c r="K296" s="181"/>
      <c r="L296" s="181"/>
      <c r="M296" s="164"/>
      <c r="N296" s="180"/>
      <c r="O296" s="180"/>
      <c r="P296" s="182"/>
      <c r="Q296" s="104"/>
      <c r="R296" s="363"/>
      <c r="S296" s="104"/>
    </row>
    <row r="297" spans="1:19" ht="29.25" customHeight="1">
      <c r="A297" s="224"/>
      <c r="B297" s="359"/>
      <c r="C297" s="360"/>
      <c r="D297" s="361"/>
      <c r="E297" s="352"/>
      <c r="F297" s="161"/>
      <c r="G297" s="225"/>
      <c r="H297" s="225"/>
      <c r="I297" s="180"/>
      <c r="J297" s="181"/>
      <c r="K297" s="181"/>
      <c r="L297" s="181"/>
      <c r="M297" s="164"/>
      <c r="N297" s="180"/>
      <c r="O297" s="180"/>
      <c r="P297" s="182"/>
      <c r="Q297" s="104"/>
      <c r="R297" s="358"/>
      <c r="S297" s="104"/>
    </row>
    <row r="298" spans="1:19" ht="29.25" customHeight="1">
      <c r="A298" s="224"/>
      <c r="B298" s="359"/>
      <c r="C298" s="360"/>
      <c r="D298" s="361"/>
      <c r="E298" s="362"/>
      <c r="F298" s="161"/>
      <c r="G298" s="225"/>
      <c r="H298" s="225"/>
      <c r="I298" s="180"/>
      <c r="J298" s="181"/>
      <c r="K298" s="181"/>
      <c r="L298" s="181"/>
      <c r="M298" s="164"/>
      <c r="N298" s="180"/>
      <c r="O298" s="180"/>
      <c r="P298" s="182"/>
      <c r="Q298" s="104"/>
      <c r="R298" s="363"/>
      <c r="S298" s="104"/>
    </row>
    <row r="299" spans="1:19" ht="29.25" customHeight="1">
      <c r="A299" s="224"/>
      <c r="B299" s="359"/>
      <c r="C299" s="360"/>
      <c r="D299" s="361"/>
      <c r="E299" s="352"/>
      <c r="F299" s="161"/>
      <c r="G299" s="225"/>
      <c r="H299" s="225"/>
      <c r="I299" s="180"/>
      <c r="J299" s="181"/>
      <c r="K299" s="181"/>
      <c r="L299" s="181"/>
      <c r="M299" s="164"/>
      <c r="N299" s="180"/>
      <c r="O299" s="180"/>
      <c r="P299" s="182"/>
      <c r="Q299" s="104"/>
      <c r="R299" s="358"/>
      <c r="S299" s="104"/>
    </row>
    <row r="300" spans="1:19" ht="29.25" customHeight="1">
      <c r="A300" s="224"/>
      <c r="B300" s="359"/>
      <c r="C300" s="360"/>
      <c r="D300" s="361"/>
      <c r="E300" s="362"/>
      <c r="F300" s="161"/>
      <c r="G300" s="225"/>
      <c r="H300" s="225"/>
      <c r="I300" s="180"/>
      <c r="J300" s="181"/>
      <c r="K300" s="181"/>
      <c r="L300" s="181"/>
      <c r="M300" s="164"/>
      <c r="N300" s="180"/>
      <c r="O300" s="180"/>
      <c r="P300" s="182"/>
      <c r="Q300" s="104"/>
      <c r="R300" s="363"/>
      <c r="S300" s="104"/>
    </row>
    <row r="301" spans="1:19" ht="29.25" customHeight="1">
      <c r="A301" s="224"/>
      <c r="B301" s="359"/>
      <c r="C301" s="360"/>
      <c r="D301" s="361"/>
      <c r="E301" s="352"/>
      <c r="F301" s="161"/>
      <c r="G301" s="225"/>
      <c r="H301" s="225"/>
      <c r="I301" s="180"/>
      <c r="J301" s="181"/>
      <c r="K301" s="181"/>
      <c r="L301" s="181"/>
      <c r="M301" s="164"/>
      <c r="N301" s="180"/>
      <c r="O301" s="180"/>
      <c r="P301" s="182"/>
      <c r="Q301" s="104"/>
      <c r="R301" s="358"/>
      <c r="S301" s="104"/>
    </row>
    <row r="302" spans="1:19" ht="29.25" customHeight="1">
      <c r="A302" s="224"/>
      <c r="B302" s="359"/>
      <c r="C302" s="360"/>
      <c r="D302" s="361"/>
      <c r="E302" s="362"/>
      <c r="F302" s="161"/>
      <c r="G302" s="225"/>
      <c r="H302" s="225"/>
      <c r="I302" s="180"/>
      <c r="J302" s="181"/>
      <c r="K302" s="181"/>
      <c r="L302" s="181"/>
      <c r="M302" s="164"/>
      <c r="N302" s="180"/>
      <c r="O302" s="180"/>
      <c r="P302" s="182"/>
      <c r="Q302" s="104"/>
      <c r="R302" s="363"/>
      <c r="S302" s="104"/>
    </row>
    <row r="303" spans="1:19" ht="29.25" customHeight="1">
      <c r="A303" s="224"/>
      <c r="B303" s="359"/>
      <c r="C303" s="360"/>
      <c r="D303" s="361"/>
      <c r="E303" s="352"/>
      <c r="F303" s="161"/>
      <c r="G303" s="225"/>
      <c r="H303" s="225"/>
      <c r="I303" s="180"/>
      <c r="J303" s="181"/>
      <c r="K303" s="181"/>
      <c r="L303" s="181"/>
      <c r="M303" s="164"/>
      <c r="N303" s="180"/>
      <c r="O303" s="180"/>
      <c r="P303" s="182"/>
      <c r="Q303" s="104"/>
      <c r="R303" s="358"/>
      <c r="S303" s="104"/>
    </row>
    <row r="304" spans="1:19" ht="29.25" customHeight="1">
      <c r="A304" s="224"/>
      <c r="B304" s="359"/>
      <c r="C304" s="360"/>
      <c r="D304" s="361"/>
      <c r="E304" s="362"/>
      <c r="F304" s="161"/>
      <c r="G304" s="225"/>
      <c r="H304" s="225"/>
      <c r="I304" s="180"/>
      <c r="J304" s="181"/>
      <c r="K304" s="181"/>
      <c r="L304" s="181"/>
      <c r="M304" s="164"/>
      <c r="N304" s="180"/>
      <c r="O304" s="180"/>
      <c r="P304" s="182"/>
      <c r="Q304" s="104"/>
      <c r="R304" s="363"/>
      <c r="S304" s="104"/>
    </row>
    <row r="305" spans="1:19" ht="29.25" customHeight="1">
      <c r="A305" s="224"/>
      <c r="B305" s="359"/>
      <c r="C305" s="360"/>
      <c r="D305" s="361"/>
      <c r="E305" s="352"/>
      <c r="F305" s="161"/>
      <c r="G305" s="225"/>
      <c r="H305" s="225"/>
      <c r="I305" s="180"/>
      <c r="J305" s="181"/>
      <c r="K305" s="181"/>
      <c r="L305" s="181"/>
      <c r="M305" s="164"/>
      <c r="N305" s="180"/>
      <c r="O305" s="180"/>
      <c r="P305" s="182"/>
      <c r="Q305" s="104"/>
      <c r="R305" s="358"/>
      <c r="S305" s="104"/>
    </row>
    <row r="306" spans="1:19" ht="29.25" customHeight="1">
      <c r="A306" s="224"/>
      <c r="B306" s="359"/>
      <c r="C306" s="360"/>
      <c r="D306" s="361"/>
      <c r="E306" s="362"/>
      <c r="F306" s="161"/>
      <c r="G306" s="225"/>
      <c r="H306" s="225"/>
      <c r="I306" s="180"/>
      <c r="J306" s="181"/>
      <c r="K306" s="181"/>
      <c r="L306" s="181"/>
      <c r="M306" s="164"/>
      <c r="N306" s="180"/>
      <c r="O306" s="180"/>
      <c r="P306" s="182"/>
      <c r="Q306" s="104"/>
      <c r="R306" s="363"/>
      <c r="S306" s="104"/>
    </row>
    <row r="307" spans="1:19" ht="29.25" customHeight="1">
      <c r="A307" s="224"/>
      <c r="B307" s="359"/>
      <c r="C307" s="360"/>
      <c r="D307" s="361"/>
      <c r="E307" s="352"/>
      <c r="F307" s="161"/>
      <c r="G307" s="225"/>
      <c r="H307" s="225"/>
      <c r="I307" s="180"/>
      <c r="J307" s="181"/>
      <c r="K307" s="181"/>
      <c r="L307" s="181"/>
      <c r="M307" s="164"/>
      <c r="N307" s="180"/>
      <c r="O307" s="180"/>
      <c r="P307" s="182"/>
      <c r="Q307" s="104"/>
      <c r="R307" s="358"/>
      <c r="S307" s="104"/>
    </row>
    <row r="308" spans="1:19" ht="29.25" customHeight="1">
      <c r="A308" s="224"/>
      <c r="B308" s="359"/>
      <c r="C308" s="360"/>
      <c r="D308" s="361"/>
      <c r="E308" s="362"/>
      <c r="F308" s="161"/>
      <c r="G308" s="225"/>
      <c r="H308" s="225"/>
      <c r="I308" s="180"/>
      <c r="J308" s="181"/>
      <c r="K308" s="181"/>
      <c r="L308" s="181"/>
      <c r="M308" s="164"/>
      <c r="N308" s="180"/>
      <c r="O308" s="180"/>
      <c r="P308" s="182"/>
      <c r="Q308" s="104"/>
      <c r="R308" s="363"/>
      <c r="S308" s="104"/>
    </row>
    <row r="309" spans="1:19" ht="29.25" customHeight="1">
      <c r="A309" s="224"/>
      <c r="B309" s="359"/>
      <c r="C309" s="360"/>
      <c r="D309" s="361"/>
      <c r="E309" s="352"/>
      <c r="F309" s="161"/>
      <c r="G309" s="225"/>
      <c r="H309" s="225"/>
      <c r="I309" s="180"/>
      <c r="J309" s="181"/>
      <c r="K309" s="181"/>
      <c r="L309" s="181"/>
      <c r="M309" s="164"/>
      <c r="N309" s="180"/>
      <c r="O309" s="180"/>
      <c r="P309" s="182"/>
      <c r="Q309" s="104"/>
      <c r="R309" s="358"/>
      <c r="S309" s="104"/>
    </row>
    <row r="310" spans="1:19" ht="29.25" customHeight="1">
      <c r="A310" s="224"/>
      <c r="B310" s="359"/>
      <c r="C310" s="360"/>
      <c r="D310" s="361"/>
      <c r="E310" s="362"/>
      <c r="F310" s="161"/>
      <c r="G310" s="225"/>
      <c r="H310" s="225"/>
      <c r="I310" s="180"/>
      <c r="J310" s="181"/>
      <c r="K310" s="181"/>
      <c r="L310" s="181"/>
      <c r="M310" s="164"/>
      <c r="N310" s="180"/>
      <c r="O310" s="180"/>
      <c r="P310" s="182"/>
      <c r="Q310" s="104"/>
      <c r="R310" s="363"/>
      <c r="S310" s="104"/>
    </row>
    <row r="311" spans="1:19" ht="29.25" customHeight="1">
      <c r="A311" s="224"/>
      <c r="B311" s="359"/>
      <c r="C311" s="360"/>
      <c r="D311" s="361"/>
      <c r="E311" s="352"/>
      <c r="F311" s="161"/>
      <c r="G311" s="225"/>
      <c r="H311" s="225"/>
      <c r="I311" s="180"/>
      <c r="J311" s="181"/>
      <c r="K311" s="181"/>
      <c r="L311" s="181"/>
      <c r="M311" s="164"/>
      <c r="N311" s="180"/>
      <c r="O311" s="180"/>
      <c r="P311" s="182"/>
      <c r="Q311" s="104"/>
      <c r="R311" s="358"/>
      <c r="S311" s="104"/>
    </row>
    <row r="312" spans="1:19" ht="29.25" customHeight="1">
      <c r="A312" s="224"/>
      <c r="B312" s="359"/>
      <c r="C312" s="360"/>
      <c r="D312" s="361"/>
      <c r="E312" s="362"/>
      <c r="F312" s="161"/>
      <c r="G312" s="225"/>
      <c r="H312" s="225"/>
      <c r="I312" s="180"/>
      <c r="J312" s="181"/>
      <c r="K312" s="181"/>
      <c r="L312" s="181"/>
      <c r="M312" s="164"/>
      <c r="N312" s="180"/>
      <c r="O312" s="180"/>
      <c r="P312" s="182"/>
      <c r="Q312" s="104"/>
      <c r="R312" s="363"/>
      <c r="S312" s="104"/>
    </row>
    <row r="313" spans="1:19" ht="29.25" customHeight="1">
      <c r="A313" s="224"/>
      <c r="B313" s="359"/>
      <c r="C313" s="360"/>
      <c r="D313" s="361"/>
      <c r="E313" s="352"/>
      <c r="F313" s="161"/>
      <c r="G313" s="225"/>
      <c r="H313" s="225"/>
      <c r="I313" s="180"/>
      <c r="J313" s="181"/>
      <c r="K313" s="181"/>
      <c r="L313" s="181"/>
      <c r="M313" s="164"/>
      <c r="N313" s="180"/>
      <c r="O313" s="180"/>
      <c r="P313" s="182"/>
      <c r="Q313" s="104"/>
      <c r="R313" s="358"/>
      <c r="S313" s="104"/>
    </row>
    <row r="314" spans="1:19" ht="29.25" customHeight="1">
      <c r="A314" s="224"/>
      <c r="B314" s="359"/>
      <c r="C314" s="360"/>
      <c r="D314" s="361"/>
      <c r="E314" s="362"/>
      <c r="F314" s="161"/>
      <c r="G314" s="225"/>
      <c r="H314" s="225"/>
      <c r="I314" s="180"/>
      <c r="J314" s="181"/>
      <c r="K314" s="181"/>
      <c r="L314" s="181"/>
      <c r="M314" s="164"/>
      <c r="N314" s="180"/>
      <c r="O314" s="180"/>
      <c r="P314" s="182"/>
      <c r="Q314" s="104"/>
      <c r="R314" s="363"/>
      <c r="S314" s="104"/>
    </row>
    <row r="315" spans="1:19" ht="29.25" customHeight="1">
      <c r="A315" s="224"/>
      <c r="B315" s="359"/>
      <c r="C315" s="360"/>
      <c r="D315" s="361"/>
      <c r="E315" s="352"/>
      <c r="F315" s="161"/>
      <c r="G315" s="225"/>
      <c r="H315" s="225"/>
      <c r="I315" s="180"/>
      <c r="J315" s="181"/>
      <c r="K315" s="181"/>
      <c r="L315" s="181"/>
      <c r="M315" s="164"/>
      <c r="N315" s="180"/>
      <c r="O315" s="180"/>
      <c r="P315" s="182"/>
      <c r="Q315" s="104"/>
      <c r="R315" s="358"/>
      <c r="S315" s="104"/>
    </row>
    <row r="316" spans="1:19" ht="29.25" customHeight="1">
      <c r="A316" s="224"/>
      <c r="B316" s="359"/>
      <c r="C316" s="360"/>
      <c r="D316" s="361"/>
      <c r="E316" s="362"/>
      <c r="F316" s="161"/>
      <c r="G316" s="225"/>
      <c r="H316" s="225"/>
      <c r="I316" s="180"/>
      <c r="J316" s="181"/>
      <c r="K316" s="181"/>
      <c r="L316" s="181"/>
      <c r="M316" s="164"/>
      <c r="N316" s="180"/>
      <c r="O316" s="180"/>
      <c r="P316" s="182"/>
      <c r="Q316" s="104"/>
      <c r="R316" s="363"/>
      <c r="S316" s="104"/>
    </row>
    <row r="317" spans="1:19" ht="29.25" customHeight="1">
      <c r="A317" s="224"/>
      <c r="B317" s="359"/>
      <c r="C317" s="360"/>
      <c r="D317" s="361"/>
      <c r="E317" s="352"/>
      <c r="F317" s="161"/>
      <c r="G317" s="225"/>
      <c r="H317" s="225"/>
      <c r="I317" s="180"/>
      <c r="J317" s="181"/>
      <c r="K317" s="181"/>
      <c r="L317" s="181"/>
      <c r="M317" s="164"/>
      <c r="N317" s="180"/>
      <c r="O317" s="180"/>
      <c r="P317" s="182"/>
      <c r="Q317" s="104"/>
      <c r="R317" s="358"/>
      <c r="S317" s="104"/>
    </row>
    <row r="318" spans="1:19" ht="29.25" customHeight="1">
      <c r="A318" s="224"/>
      <c r="B318" s="359"/>
      <c r="C318" s="360"/>
      <c r="D318" s="361"/>
      <c r="E318" s="362"/>
      <c r="F318" s="161"/>
      <c r="G318" s="225"/>
      <c r="H318" s="225"/>
      <c r="I318" s="180"/>
      <c r="J318" s="181"/>
      <c r="K318" s="181"/>
      <c r="L318" s="181"/>
      <c r="M318" s="164"/>
      <c r="N318" s="180"/>
      <c r="O318" s="180"/>
      <c r="P318" s="182"/>
      <c r="Q318" s="104"/>
      <c r="R318" s="363"/>
      <c r="S318" s="104"/>
    </row>
    <row r="319" spans="1:19" ht="29.25" customHeight="1">
      <c r="A319" s="224"/>
      <c r="B319" s="359"/>
      <c r="C319" s="360"/>
      <c r="D319" s="361"/>
      <c r="E319" s="352"/>
      <c r="F319" s="161"/>
      <c r="G319" s="225"/>
      <c r="H319" s="225"/>
      <c r="I319" s="180"/>
      <c r="J319" s="181"/>
      <c r="K319" s="181"/>
      <c r="L319" s="181"/>
      <c r="M319" s="164"/>
      <c r="N319" s="180"/>
      <c r="O319" s="180"/>
      <c r="P319" s="182"/>
      <c r="Q319" s="104"/>
      <c r="R319" s="358"/>
      <c r="S319" s="104"/>
    </row>
    <row r="320" spans="1:19" ht="29.25" customHeight="1">
      <c r="A320" s="224"/>
      <c r="B320" s="359"/>
      <c r="C320" s="360"/>
      <c r="D320" s="361"/>
      <c r="E320" s="362"/>
      <c r="F320" s="161"/>
      <c r="G320" s="225"/>
      <c r="H320" s="225"/>
      <c r="I320" s="180"/>
      <c r="J320" s="181"/>
      <c r="K320" s="181"/>
      <c r="L320" s="181"/>
      <c r="M320" s="164"/>
      <c r="N320" s="180"/>
      <c r="O320" s="180"/>
      <c r="P320" s="182"/>
      <c r="Q320" s="104"/>
      <c r="R320" s="363"/>
      <c r="S320" s="104"/>
    </row>
    <row r="321" spans="1:19" ht="29.25" customHeight="1">
      <c r="A321" s="224"/>
      <c r="B321" s="359"/>
      <c r="C321" s="360"/>
      <c r="D321" s="361"/>
      <c r="E321" s="352"/>
      <c r="F321" s="161"/>
      <c r="G321" s="225"/>
      <c r="H321" s="225"/>
      <c r="I321" s="180"/>
      <c r="J321" s="181"/>
      <c r="K321" s="181"/>
      <c r="L321" s="181"/>
      <c r="M321" s="164"/>
      <c r="N321" s="180"/>
      <c r="O321" s="180"/>
      <c r="P321" s="182"/>
      <c r="Q321" s="104"/>
      <c r="R321" s="358"/>
      <c r="S321" s="104"/>
    </row>
    <row r="322" spans="1:19" ht="29.25" customHeight="1">
      <c r="A322" s="224"/>
      <c r="B322" s="359"/>
      <c r="C322" s="360"/>
      <c r="D322" s="361"/>
      <c r="E322" s="362"/>
      <c r="F322" s="161"/>
      <c r="G322" s="225"/>
      <c r="H322" s="225"/>
      <c r="I322" s="180"/>
      <c r="J322" s="181"/>
      <c r="K322" s="181"/>
      <c r="L322" s="181"/>
      <c r="M322" s="164"/>
      <c r="N322" s="180"/>
      <c r="O322" s="180"/>
      <c r="P322" s="182"/>
      <c r="Q322" s="104"/>
      <c r="R322" s="363"/>
      <c r="S322" s="104"/>
    </row>
    <row r="323" spans="1:19" ht="29.25" customHeight="1">
      <c r="A323" s="224"/>
      <c r="B323" s="359"/>
      <c r="C323" s="360"/>
      <c r="D323" s="361"/>
      <c r="E323" s="352"/>
      <c r="F323" s="161"/>
      <c r="G323" s="225"/>
      <c r="H323" s="225"/>
      <c r="I323" s="180"/>
      <c r="J323" s="181"/>
      <c r="K323" s="181"/>
      <c r="L323" s="181"/>
      <c r="M323" s="164"/>
      <c r="N323" s="180"/>
      <c r="O323" s="180"/>
      <c r="P323" s="182"/>
      <c r="Q323" s="104"/>
      <c r="R323" s="358"/>
      <c r="S323" s="104"/>
    </row>
    <row r="324" spans="1:19" ht="29.25" customHeight="1">
      <c r="A324" s="224"/>
      <c r="B324" s="359"/>
      <c r="C324" s="360"/>
      <c r="D324" s="361"/>
      <c r="E324" s="362"/>
      <c r="F324" s="161"/>
      <c r="G324" s="225"/>
      <c r="H324" s="225"/>
      <c r="I324" s="180"/>
      <c r="J324" s="181"/>
      <c r="K324" s="181"/>
      <c r="L324" s="181"/>
      <c r="M324" s="164"/>
      <c r="N324" s="180"/>
      <c r="O324" s="180"/>
      <c r="P324" s="182"/>
      <c r="Q324" s="104"/>
      <c r="R324" s="363"/>
      <c r="S324" s="104"/>
    </row>
    <row r="325" spans="1:19" ht="29.25" customHeight="1">
      <c r="A325" s="224"/>
      <c r="B325" s="359"/>
      <c r="C325" s="360"/>
      <c r="D325" s="361"/>
      <c r="E325" s="352"/>
      <c r="F325" s="161"/>
      <c r="G325" s="225"/>
      <c r="H325" s="225"/>
      <c r="I325" s="180"/>
      <c r="J325" s="181"/>
      <c r="K325" s="181"/>
      <c r="L325" s="181"/>
      <c r="M325" s="164"/>
      <c r="N325" s="180"/>
      <c r="O325" s="180"/>
      <c r="P325" s="182"/>
      <c r="Q325" s="104"/>
      <c r="R325" s="358"/>
      <c r="S325" s="104"/>
    </row>
    <row r="326" spans="1:19" ht="29.25" customHeight="1">
      <c r="A326" s="224"/>
      <c r="B326" s="359"/>
      <c r="C326" s="360"/>
      <c r="D326" s="361"/>
      <c r="E326" s="362"/>
      <c r="F326" s="161"/>
      <c r="G326" s="225"/>
      <c r="H326" s="225"/>
      <c r="I326" s="180"/>
      <c r="J326" s="181"/>
      <c r="K326" s="181"/>
      <c r="L326" s="181"/>
      <c r="M326" s="164"/>
      <c r="N326" s="180"/>
      <c r="O326" s="180"/>
      <c r="P326" s="182"/>
      <c r="Q326" s="104"/>
      <c r="R326" s="363"/>
      <c r="S326" s="104"/>
    </row>
    <row r="327" spans="1:19" ht="29.25" customHeight="1">
      <c r="A327" s="224"/>
      <c r="B327" s="359"/>
      <c r="C327" s="360"/>
      <c r="D327" s="361"/>
      <c r="E327" s="352"/>
      <c r="F327" s="161"/>
      <c r="G327" s="225"/>
      <c r="H327" s="225"/>
      <c r="I327" s="180"/>
      <c r="J327" s="181"/>
      <c r="K327" s="181"/>
      <c r="L327" s="181"/>
      <c r="M327" s="164"/>
      <c r="N327" s="180"/>
      <c r="O327" s="180"/>
      <c r="P327" s="182"/>
      <c r="Q327" s="104"/>
      <c r="R327" s="358"/>
      <c r="S327" s="104"/>
    </row>
    <row r="328" spans="1:19" ht="29.25" customHeight="1">
      <c r="A328" s="224"/>
      <c r="B328" s="359"/>
      <c r="C328" s="360"/>
      <c r="D328" s="361"/>
      <c r="E328" s="362"/>
      <c r="F328" s="161"/>
      <c r="G328" s="225"/>
      <c r="H328" s="225"/>
      <c r="I328" s="180"/>
      <c r="J328" s="181"/>
      <c r="K328" s="181"/>
      <c r="L328" s="181"/>
      <c r="M328" s="164"/>
      <c r="N328" s="180"/>
      <c r="O328" s="180"/>
      <c r="P328" s="182"/>
      <c r="Q328" s="104"/>
      <c r="R328" s="363"/>
      <c r="S328" s="104"/>
    </row>
    <row r="329" spans="1:19" ht="29.25" customHeight="1">
      <c r="A329" s="224"/>
      <c r="B329" s="359"/>
      <c r="C329" s="360"/>
      <c r="D329" s="361"/>
      <c r="E329" s="352"/>
      <c r="F329" s="161"/>
      <c r="G329" s="225"/>
      <c r="H329" s="225"/>
      <c r="I329" s="180"/>
      <c r="J329" s="181"/>
      <c r="K329" s="181"/>
      <c r="L329" s="181"/>
      <c r="M329" s="164"/>
      <c r="N329" s="180"/>
      <c r="O329" s="180"/>
      <c r="P329" s="182"/>
      <c r="Q329" s="104"/>
      <c r="R329" s="358"/>
      <c r="S329" s="104"/>
    </row>
    <row r="330" spans="1:19" ht="29.25" customHeight="1">
      <c r="A330" s="224"/>
      <c r="B330" s="359"/>
      <c r="C330" s="360"/>
      <c r="D330" s="361"/>
      <c r="E330" s="362"/>
      <c r="F330" s="161"/>
      <c r="G330" s="225"/>
      <c r="H330" s="225"/>
      <c r="I330" s="180"/>
      <c r="J330" s="181"/>
      <c r="K330" s="181"/>
      <c r="L330" s="181"/>
      <c r="M330" s="164"/>
      <c r="N330" s="180"/>
      <c r="O330" s="180"/>
      <c r="P330" s="182"/>
      <c r="Q330" s="104"/>
      <c r="R330" s="363"/>
      <c r="S330" s="104"/>
    </row>
    <row r="331" spans="1:19" ht="29.25" customHeight="1">
      <c r="A331" s="224"/>
      <c r="B331" s="359"/>
      <c r="C331" s="360"/>
      <c r="D331" s="361"/>
      <c r="E331" s="352"/>
      <c r="F331" s="161"/>
      <c r="G331" s="225"/>
      <c r="H331" s="225"/>
      <c r="I331" s="180"/>
      <c r="J331" s="181"/>
      <c r="K331" s="181"/>
      <c r="L331" s="181"/>
      <c r="M331" s="164"/>
      <c r="N331" s="180"/>
      <c r="O331" s="180"/>
      <c r="P331" s="182"/>
      <c r="Q331" s="104"/>
      <c r="R331" s="358"/>
      <c r="S331" s="104"/>
    </row>
    <row r="332" spans="1:19" ht="29.25" customHeight="1">
      <c r="A332" s="224"/>
      <c r="B332" s="359"/>
      <c r="C332" s="360"/>
      <c r="D332" s="361"/>
      <c r="E332" s="362"/>
      <c r="F332" s="161"/>
      <c r="G332" s="225"/>
      <c r="H332" s="225"/>
      <c r="I332" s="180"/>
      <c r="J332" s="181"/>
      <c r="K332" s="181"/>
      <c r="L332" s="181"/>
      <c r="M332" s="164"/>
      <c r="N332" s="180"/>
      <c r="O332" s="180"/>
      <c r="P332" s="182"/>
      <c r="Q332" s="104"/>
      <c r="R332" s="363"/>
      <c r="S332" s="104"/>
    </row>
    <row r="333" spans="1:19" ht="29.25" customHeight="1">
      <c r="A333" s="224"/>
      <c r="B333" s="359"/>
      <c r="C333" s="360"/>
      <c r="D333" s="361"/>
      <c r="E333" s="352"/>
      <c r="F333" s="161"/>
      <c r="G333" s="225"/>
      <c r="H333" s="225"/>
      <c r="I333" s="180"/>
      <c r="J333" s="181"/>
      <c r="K333" s="181"/>
      <c r="L333" s="181"/>
      <c r="M333" s="164"/>
      <c r="N333" s="180"/>
      <c r="O333" s="180"/>
      <c r="P333" s="182"/>
      <c r="Q333" s="104"/>
      <c r="R333" s="358"/>
      <c r="S333" s="104"/>
    </row>
    <row r="334" spans="1:19" ht="29.25" customHeight="1">
      <c r="A334" s="224"/>
      <c r="B334" s="359"/>
      <c r="C334" s="360"/>
      <c r="D334" s="361"/>
      <c r="E334" s="362"/>
      <c r="F334" s="161"/>
      <c r="G334" s="225"/>
      <c r="H334" s="225"/>
      <c r="I334" s="180"/>
      <c r="J334" s="181"/>
      <c r="K334" s="181"/>
      <c r="L334" s="181"/>
      <c r="M334" s="164"/>
      <c r="N334" s="180"/>
      <c r="O334" s="180"/>
      <c r="P334" s="182"/>
      <c r="Q334" s="104"/>
      <c r="R334" s="363"/>
      <c r="S334" s="104"/>
    </row>
    <row r="335" spans="1:19" ht="29.25" customHeight="1">
      <c r="A335" s="224"/>
      <c r="B335" s="359"/>
      <c r="C335" s="360"/>
      <c r="D335" s="361"/>
      <c r="E335" s="352"/>
      <c r="F335" s="161"/>
      <c r="G335" s="225"/>
      <c r="H335" s="225"/>
      <c r="I335" s="180"/>
      <c r="J335" s="181"/>
      <c r="K335" s="181"/>
      <c r="L335" s="181"/>
      <c r="M335" s="164"/>
      <c r="N335" s="180"/>
      <c r="O335" s="180"/>
      <c r="P335" s="182"/>
      <c r="Q335" s="104"/>
      <c r="R335" s="358"/>
      <c r="S335" s="104"/>
    </row>
    <row r="336" spans="1:19" ht="29.25" customHeight="1">
      <c r="A336" s="224"/>
      <c r="B336" s="359"/>
      <c r="C336" s="360"/>
      <c r="D336" s="361"/>
      <c r="E336" s="362"/>
      <c r="F336" s="161"/>
      <c r="G336" s="225"/>
      <c r="H336" s="225"/>
      <c r="I336" s="180"/>
      <c r="J336" s="181"/>
      <c r="K336" s="181"/>
      <c r="L336" s="181"/>
      <c r="M336" s="164"/>
      <c r="N336" s="180"/>
      <c r="O336" s="180"/>
      <c r="P336" s="182"/>
      <c r="Q336" s="104"/>
      <c r="R336" s="363"/>
      <c r="S336" s="104"/>
    </row>
    <row r="337" spans="1:19" ht="29.25" customHeight="1">
      <c r="A337" s="224"/>
      <c r="B337" s="359"/>
      <c r="C337" s="360"/>
      <c r="D337" s="361"/>
      <c r="E337" s="352"/>
      <c r="F337" s="161"/>
      <c r="G337" s="225"/>
      <c r="H337" s="225"/>
      <c r="I337" s="180"/>
      <c r="J337" s="181"/>
      <c r="K337" s="181"/>
      <c r="L337" s="181"/>
      <c r="M337" s="164"/>
      <c r="N337" s="180"/>
      <c r="O337" s="180"/>
      <c r="P337" s="182"/>
      <c r="Q337" s="104"/>
      <c r="R337" s="358"/>
      <c r="S337" s="104"/>
    </row>
    <row r="338" spans="1:19" ht="29.25" customHeight="1">
      <c r="A338" s="224"/>
      <c r="B338" s="359"/>
      <c r="C338" s="360"/>
      <c r="D338" s="361"/>
      <c r="E338" s="362"/>
      <c r="F338" s="161"/>
      <c r="G338" s="225"/>
      <c r="H338" s="225"/>
      <c r="I338" s="180"/>
      <c r="J338" s="181"/>
      <c r="K338" s="181"/>
      <c r="L338" s="181"/>
      <c r="M338" s="164"/>
      <c r="N338" s="180"/>
      <c r="O338" s="180"/>
      <c r="P338" s="182"/>
      <c r="Q338" s="104"/>
      <c r="R338" s="363"/>
      <c r="S338" s="104"/>
    </row>
    <row r="339" spans="1:19" ht="29.25" customHeight="1">
      <c r="A339" s="224"/>
      <c r="B339" s="359"/>
      <c r="C339" s="360"/>
      <c r="D339" s="361"/>
      <c r="E339" s="352"/>
      <c r="F339" s="161"/>
      <c r="G339" s="225"/>
      <c r="H339" s="225"/>
      <c r="I339" s="180"/>
      <c r="J339" s="181"/>
      <c r="K339" s="181"/>
      <c r="L339" s="181"/>
      <c r="M339" s="164"/>
      <c r="N339" s="180"/>
      <c r="O339" s="180"/>
      <c r="P339" s="182"/>
      <c r="Q339" s="104"/>
      <c r="R339" s="358"/>
      <c r="S339" s="104"/>
    </row>
    <row r="340" spans="1:19" ht="29.25" customHeight="1">
      <c r="A340" s="224"/>
      <c r="B340" s="359"/>
      <c r="C340" s="360"/>
      <c r="D340" s="361"/>
      <c r="E340" s="362"/>
      <c r="F340" s="161"/>
      <c r="G340" s="225"/>
      <c r="H340" s="225"/>
      <c r="I340" s="180"/>
      <c r="J340" s="181"/>
      <c r="K340" s="181"/>
      <c r="L340" s="181"/>
      <c r="M340" s="164"/>
      <c r="N340" s="180"/>
      <c r="O340" s="180"/>
      <c r="P340" s="182"/>
      <c r="Q340" s="104"/>
      <c r="R340" s="363"/>
      <c r="S340" s="104"/>
    </row>
    <row r="341" spans="1:19" ht="29.25" customHeight="1">
      <c r="A341" s="224"/>
      <c r="B341" s="359"/>
      <c r="C341" s="360"/>
      <c r="D341" s="361"/>
      <c r="E341" s="352"/>
      <c r="F341" s="161"/>
      <c r="G341" s="225"/>
      <c r="H341" s="225"/>
      <c r="I341" s="180"/>
      <c r="J341" s="181"/>
      <c r="K341" s="181"/>
      <c r="L341" s="181"/>
      <c r="M341" s="164"/>
      <c r="N341" s="180"/>
      <c r="O341" s="180"/>
      <c r="P341" s="182"/>
      <c r="Q341" s="104"/>
      <c r="R341" s="358"/>
      <c r="S341" s="104"/>
    </row>
    <row r="342" spans="1:19" ht="29.25" customHeight="1">
      <c r="A342" s="224"/>
      <c r="B342" s="359"/>
      <c r="C342" s="360"/>
      <c r="D342" s="361"/>
      <c r="E342" s="362"/>
      <c r="F342" s="161"/>
      <c r="G342" s="225"/>
      <c r="H342" s="225"/>
      <c r="I342" s="180"/>
      <c r="J342" s="181"/>
      <c r="K342" s="181"/>
      <c r="L342" s="181"/>
      <c r="M342" s="164"/>
      <c r="N342" s="180"/>
      <c r="O342" s="180"/>
      <c r="P342" s="182"/>
      <c r="Q342" s="104"/>
      <c r="R342" s="363"/>
      <c r="S342" s="104"/>
    </row>
    <row r="343" spans="1:19" ht="29.25" customHeight="1">
      <c r="A343" s="224"/>
      <c r="B343" s="359"/>
      <c r="C343" s="360"/>
      <c r="D343" s="361"/>
      <c r="E343" s="352"/>
      <c r="F343" s="161"/>
      <c r="G343" s="225"/>
      <c r="H343" s="225"/>
      <c r="I343" s="180"/>
      <c r="J343" s="181"/>
      <c r="K343" s="181"/>
      <c r="L343" s="181"/>
      <c r="M343" s="164"/>
      <c r="N343" s="180"/>
      <c r="O343" s="180"/>
      <c r="P343" s="182"/>
      <c r="Q343" s="104"/>
      <c r="R343" s="358"/>
      <c r="S343" s="104"/>
    </row>
    <row r="344" spans="1:19" ht="29.25" customHeight="1">
      <c r="A344" s="224"/>
      <c r="B344" s="359"/>
      <c r="C344" s="360"/>
      <c r="D344" s="361"/>
      <c r="E344" s="362"/>
      <c r="F344" s="161"/>
      <c r="G344" s="225"/>
      <c r="H344" s="225"/>
      <c r="I344" s="180"/>
      <c r="J344" s="181"/>
      <c r="K344" s="181"/>
      <c r="L344" s="181"/>
      <c r="M344" s="164"/>
      <c r="N344" s="180"/>
      <c r="O344" s="180"/>
      <c r="P344" s="182"/>
      <c r="Q344" s="104"/>
      <c r="R344" s="363"/>
      <c r="S344" s="104"/>
    </row>
    <row r="345" spans="1:19" ht="29.25" customHeight="1">
      <c r="A345" s="224"/>
      <c r="B345" s="359"/>
      <c r="C345" s="360"/>
      <c r="D345" s="361"/>
      <c r="E345" s="352"/>
      <c r="F345" s="161"/>
      <c r="G345" s="225"/>
      <c r="H345" s="225"/>
      <c r="I345" s="180"/>
      <c r="J345" s="181"/>
      <c r="K345" s="181"/>
      <c r="L345" s="181"/>
      <c r="M345" s="164"/>
      <c r="N345" s="180"/>
      <c r="O345" s="180"/>
      <c r="P345" s="182"/>
      <c r="Q345" s="104"/>
      <c r="R345" s="358"/>
      <c r="S345" s="104"/>
    </row>
    <row r="346" spans="1:19" ht="29.25" customHeight="1">
      <c r="A346" s="224"/>
      <c r="B346" s="359"/>
      <c r="C346" s="360"/>
      <c r="D346" s="361"/>
      <c r="E346" s="362"/>
      <c r="F346" s="161"/>
      <c r="G346" s="225"/>
      <c r="H346" s="225"/>
      <c r="I346" s="180"/>
      <c r="J346" s="181"/>
      <c r="K346" s="181"/>
      <c r="L346" s="181"/>
      <c r="M346" s="164"/>
      <c r="N346" s="180"/>
      <c r="O346" s="180"/>
      <c r="P346" s="182"/>
      <c r="Q346" s="104"/>
      <c r="R346" s="363"/>
      <c r="S346" s="104"/>
    </row>
    <row r="347" spans="1:19" ht="29.25" customHeight="1">
      <c r="A347" s="224"/>
      <c r="B347" s="359"/>
      <c r="C347" s="360"/>
      <c r="D347" s="361"/>
      <c r="E347" s="352"/>
      <c r="F347" s="161"/>
      <c r="G347" s="225"/>
      <c r="H347" s="225"/>
      <c r="I347" s="180"/>
      <c r="J347" s="181"/>
      <c r="K347" s="181"/>
      <c r="L347" s="181"/>
      <c r="M347" s="164"/>
      <c r="N347" s="180"/>
      <c r="O347" s="180"/>
      <c r="P347" s="182"/>
      <c r="Q347" s="104"/>
      <c r="R347" s="358"/>
      <c r="S347" s="104"/>
    </row>
    <row r="348" spans="1:19" ht="29.25" customHeight="1">
      <c r="A348" s="224"/>
      <c r="B348" s="359"/>
      <c r="C348" s="360"/>
      <c r="D348" s="361"/>
      <c r="E348" s="362"/>
      <c r="F348" s="161"/>
      <c r="G348" s="225"/>
      <c r="H348" s="225"/>
      <c r="I348" s="180"/>
      <c r="J348" s="181"/>
      <c r="K348" s="181"/>
      <c r="L348" s="181"/>
      <c r="M348" s="164"/>
      <c r="N348" s="180"/>
      <c r="O348" s="180"/>
      <c r="P348" s="182"/>
      <c r="Q348" s="104"/>
      <c r="R348" s="363"/>
      <c r="S348" s="104"/>
    </row>
    <row r="349" spans="1:19" ht="29.25" customHeight="1">
      <c r="A349" s="224"/>
      <c r="B349" s="359"/>
      <c r="C349" s="360"/>
      <c r="D349" s="361"/>
      <c r="E349" s="352"/>
      <c r="F349" s="161"/>
      <c r="G349" s="225"/>
      <c r="H349" s="225"/>
      <c r="I349" s="180"/>
      <c r="J349" s="181"/>
      <c r="K349" s="181"/>
      <c r="L349" s="181"/>
      <c r="M349" s="164"/>
      <c r="N349" s="180"/>
      <c r="O349" s="180"/>
      <c r="P349" s="182"/>
      <c r="Q349" s="104"/>
      <c r="R349" s="358"/>
      <c r="S349" s="104"/>
    </row>
    <row r="350" spans="1:19" ht="29.25" customHeight="1">
      <c r="A350" s="224"/>
      <c r="B350" s="359"/>
      <c r="C350" s="360"/>
      <c r="D350" s="361"/>
      <c r="E350" s="362"/>
      <c r="F350" s="161"/>
      <c r="G350" s="225"/>
      <c r="H350" s="225"/>
      <c r="I350" s="180"/>
      <c r="J350" s="181"/>
      <c r="K350" s="181"/>
      <c r="L350" s="181"/>
      <c r="M350" s="164"/>
      <c r="N350" s="180"/>
      <c r="O350" s="180"/>
      <c r="P350" s="182"/>
      <c r="Q350" s="104"/>
      <c r="R350" s="363"/>
      <c r="S350" s="104"/>
    </row>
    <row r="351" spans="1:19" ht="29.25" customHeight="1">
      <c r="A351" s="224"/>
      <c r="B351" s="359"/>
      <c r="C351" s="360"/>
      <c r="D351" s="361"/>
      <c r="E351" s="352"/>
      <c r="F351" s="161"/>
      <c r="G351" s="225"/>
      <c r="H351" s="225"/>
      <c r="I351" s="180"/>
      <c r="J351" s="181"/>
      <c r="K351" s="181"/>
      <c r="L351" s="181"/>
      <c r="M351" s="164"/>
      <c r="N351" s="180"/>
      <c r="O351" s="180"/>
      <c r="P351" s="182"/>
      <c r="Q351" s="104"/>
      <c r="R351" s="358"/>
      <c r="S351" s="104"/>
    </row>
    <row r="352" spans="1:19" ht="29.25" customHeight="1">
      <c r="A352" s="224"/>
      <c r="B352" s="359"/>
      <c r="C352" s="360"/>
      <c r="D352" s="361"/>
      <c r="E352" s="362"/>
      <c r="F352" s="161"/>
      <c r="G352" s="225"/>
      <c r="H352" s="225"/>
      <c r="I352" s="180"/>
      <c r="J352" s="181"/>
      <c r="K352" s="181"/>
      <c r="L352" s="181"/>
      <c r="M352" s="164"/>
      <c r="N352" s="180"/>
      <c r="O352" s="180"/>
      <c r="P352" s="182"/>
      <c r="Q352" s="104"/>
      <c r="R352" s="363"/>
      <c r="S352" s="104"/>
    </row>
    <row r="353" spans="1:19" ht="29.25" customHeight="1">
      <c r="A353" s="224"/>
      <c r="B353" s="359"/>
      <c r="C353" s="360"/>
      <c r="D353" s="361"/>
      <c r="E353" s="352"/>
      <c r="F353" s="161"/>
      <c r="G353" s="225"/>
      <c r="H353" s="225"/>
      <c r="I353" s="180"/>
      <c r="J353" s="181"/>
      <c r="K353" s="181"/>
      <c r="L353" s="181"/>
      <c r="M353" s="164"/>
      <c r="N353" s="180"/>
      <c r="O353" s="180"/>
      <c r="P353" s="182"/>
      <c r="Q353" s="104"/>
      <c r="R353" s="358"/>
      <c r="S353" s="104"/>
    </row>
    <row r="354" spans="1:19" ht="29.25" customHeight="1">
      <c r="A354" s="224"/>
      <c r="B354" s="359"/>
      <c r="C354" s="360"/>
      <c r="D354" s="361"/>
      <c r="E354" s="362"/>
      <c r="F354" s="161"/>
      <c r="G354" s="225"/>
      <c r="H354" s="225"/>
      <c r="I354" s="180"/>
      <c r="J354" s="181"/>
      <c r="K354" s="181"/>
      <c r="L354" s="181"/>
      <c r="M354" s="164"/>
      <c r="N354" s="180"/>
      <c r="O354" s="180"/>
      <c r="P354" s="182"/>
      <c r="Q354" s="104"/>
      <c r="R354" s="363"/>
      <c r="S354" s="104"/>
    </row>
    <row r="355" spans="1:19" ht="29.25" customHeight="1">
      <c r="A355" s="224"/>
      <c r="B355" s="359"/>
      <c r="C355" s="360"/>
      <c r="D355" s="361"/>
      <c r="E355" s="352"/>
      <c r="F355" s="161"/>
      <c r="G355" s="225"/>
      <c r="H355" s="225"/>
      <c r="I355" s="180"/>
      <c r="J355" s="181"/>
      <c r="K355" s="181"/>
      <c r="L355" s="181"/>
      <c r="M355" s="164"/>
      <c r="N355" s="180"/>
      <c r="O355" s="180"/>
      <c r="P355" s="182"/>
      <c r="Q355" s="104"/>
      <c r="R355" s="358"/>
      <c r="S355" s="104"/>
    </row>
    <row r="356" spans="1:19" ht="29.25" customHeight="1">
      <c r="A356" s="224"/>
      <c r="B356" s="359"/>
      <c r="C356" s="360"/>
      <c r="D356" s="361"/>
      <c r="E356" s="362"/>
      <c r="F356" s="161"/>
      <c r="G356" s="225"/>
      <c r="H356" s="225"/>
      <c r="I356" s="180"/>
      <c r="J356" s="181"/>
      <c r="K356" s="181"/>
      <c r="L356" s="181"/>
      <c r="M356" s="164"/>
      <c r="N356" s="180"/>
      <c r="O356" s="180"/>
      <c r="P356" s="182"/>
      <c r="Q356" s="104"/>
      <c r="R356" s="363"/>
      <c r="S356" s="104"/>
    </row>
    <row r="357" spans="1:19" ht="29.25" customHeight="1">
      <c r="A357" s="224"/>
      <c r="B357" s="359"/>
      <c r="C357" s="360"/>
      <c r="D357" s="361"/>
      <c r="E357" s="352"/>
      <c r="F357" s="161"/>
      <c r="G357" s="225"/>
      <c r="H357" s="225"/>
      <c r="I357" s="180"/>
      <c r="J357" s="181"/>
      <c r="K357" s="181"/>
      <c r="L357" s="181"/>
      <c r="M357" s="164"/>
      <c r="N357" s="180"/>
      <c r="O357" s="180"/>
      <c r="P357" s="182"/>
      <c r="Q357" s="104"/>
      <c r="R357" s="358"/>
      <c r="S357" s="104"/>
    </row>
    <row r="358" spans="1:19" ht="29.25" customHeight="1">
      <c r="A358" s="224"/>
      <c r="B358" s="359"/>
      <c r="C358" s="360"/>
      <c r="D358" s="361"/>
      <c r="E358" s="362"/>
      <c r="F358" s="161"/>
      <c r="G358" s="225"/>
      <c r="H358" s="225"/>
      <c r="I358" s="180"/>
      <c r="J358" s="181"/>
      <c r="K358" s="181"/>
      <c r="L358" s="181"/>
      <c r="M358" s="164"/>
      <c r="N358" s="180"/>
      <c r="O358" s="180"/>
      <c r="P358" s="182"/>
      <c r="Q358" s="104"/>
      <c r="R358" s="363"/>
      <c r="S358" s="104"/>
    </row>
    <row r="359" spans="1:19" ht="29.25" customHeight="1">
      <c r="A359" s="224"/>
      <c r="B359" s="359"/>
      <c r="C359" s="360"/>
      <c r="D359" s="361"/>
      <c r="E359" s="352"/>
      <c r="F359" s="161"/>
      <c r="G359" s="225"/>
      <c r="H359" s="225"/>
      <c r="I359" s="180"/>
      <c r="J359" s="181"/>
      <c r="K359" s="181"/>
      <c r="L359" s="181"/>
      <c r="M359" s="164"/>
      <c r="N359" s="180"/>
      <c r="O359" s="180"/>
      <c r="P359" s="182"/>
      <c r="Q359" s="104"/>
      <c r="R359" s="358"/>
      <c r="S359" s="104"/>
    </row>
    <row r="360" spans="1:19" ht="29.25" customHeight="1">
      <c r="A360" s="224"/>
      <c r="B360" s="359"/>
      <c r="C360" s="360"/>
      <c r="D360" s="361"/>
      <c r="E360" s="362"/>
      <c r="F360" s="161"/>
      <c r="G360" s="225"/>
      <c r="H360" s="225"/>
      <c r="I360" s="180"/>
      <c r="J360" s="181"/>
      <c r="K360" s="181"/>
      <c r="L360" s="181"/>
      <c r="M360" s="164"/>
      <c r="N360" s="180"/>
      <c r="O360" s="180"/>
      <c r="P360" s="182"/>
      <c r="Q360" s="104"/>
      <c r="R360" s="363"/>
      <c r="S360" s="104"/>
    </row>
    <row r="361" spans="1:19" ht="29.25" customHeight="1">
      <c r="A361" s="224"/>
      <c r="B361" s="359"/>
      <c r="C361" s="360"/>
      <c r="D361" s="361"/>
      <c r="E361" s="352"/>
      <c r="F361" s="161"/>
      <c r="G361" s="225"/>
      <c r="H361" s="225"/>
      <c r="I361" s="180"/>
      <c r="J361" s="181"/>
      <c r="K361" s="181"/>
      <c r="L361" s="181"/>
      <c r="M361" s="164"/>
      <c r="N361" s="180"/>
      <c r="O361" s="180"/>
      <c r="P361" s="182"/>
      <c r="Q361" s="104"/>
      <c r="R361" s="358"/>
      <c r="S361" s="104"/>
    </row>
    <row r="362" spans="1:19" ht="29.25" customHeight="1">
      <c r="A362" s="224"/>
      <c r="B362" s="359"/>
      <c r="C362" s="360"/>
      <c r="D362" s="361"/>
      <c r="E362" s="362"/>
      <c r="F362" s="161"/>
      <c r="G362" s="225"/>
      <c r="H362" s="225"/>
      <c r="I362" s="180"/>
      <c r="J362" s="181"/>
      <c r="K362" s="181"/>
      <c r="L362" s="181"/>
      <c r="M362" s="164"/>
      <c r="N362" s="180"/>
      <c r="O362" s="180"/>
      <c r="P362" s="182"/>
      <c r="Q362" s="104"/>
      <c r="R362" s="363"/>
      <c r="S362" s="104"/>
    </row>
    <row r="363" spans="1:19" ht="29.25" customHeight="1">
      <c r="A363" s="224"/>
      <c r="B363" s="359"/>
      <c r="C363" s="360"/>
      <c r="D363" s="361"/>
      <c r="E363" s="352"/>
      <c r="F363" s="161"/>
      <c r="G363" s="225"/>
      <c r="H363" s="225"/>
      <c r="I363" s="180"/>
      <c r="J363" s="181"/>
      <c r="K363" s="181"/>
      <c r="L363" s="181"/>
      <c r="M363" s="164"/>
      <c r="N363" s="180"/>
      <c r="O363" s="180"/>
      <c r="P363" s="182"/>
      <c r="Q363" s="104"/>
      <c r="R363" s="358"/>
      <c r="S363" s="104"/>
    </row>
    <row r="364" spans="1:19" ht="29.25" customHeight="1">
      <c r="A364" s="224"/>
      <c r="B364" s="359"/>
      <c r="C364" s="360"/>
      <c r="D364" s="361"/>
      <c r="E364" s="362"/>
      <c r="F364" s="161"/>
      <c r="G364" s="225"/>
      <c r="H364" s="225"/>
      <c r="I364" s="180"/>
      <c r="J364" s="181"/>
      <c r="K364" s="181"/>
      <c r="L364" s="181"/>
      <c r="M364" s="164"/>
      <c r="N364" s="180"/>
      <c r="O364" s="180"/>
      <c r="P364" s="182"/>
      <c r="Q364" s="104"/>
      <c r="R364" s="363"/>
      <c r="S364" s="104"/>
    </row>
    <row r="365" spans="1:19" ht="29.25" customHeight="1">
      <c r="A365" s="224"/>
      <c r="B365" s="359"/>
      <c r="C365" s="360"/>
      <c r="D365" s="361"/>
      <c r="E365" s="352"/>
      <c r="F365" s="161"/>
      <c r="G365" s="225"/>
      <c r="H365" s="225"/>
      <c r="I365" s="180"/>
      <c r="J365" s="181"/>
      <c r="K365" s="181"/>
      <c r="L365" s="181"/>
      <c r="M365" s="164"/>
      <c r="N365" s="180"/>
      <c r="O365" s="180"/>
      <c r="P365" s="182"/>
      <c r="Q365" s="104"/>
      <c r="R365" s="358"/>
      <c r="S365" s="104"/>
    </row>
    <row r="366" spans="1:19" ht="29.25" customHeight="1">
      <c r="A366" s="224"/>
      <c r="B366" s="359"/>
      <c r="C366" s="360"/>
      <c r="D366" s="361"/>
      <c r="E366" s="362"/>
      <c r="F366" s="161"/>
      <c r="G366" s="225"/>
      <c r="H366" s="225"/>
      <c r="I366" s="180"/>
      <c r="J366" s="181"/>
      <c r="K366" s="181"/>
      <c r="L366" s="181"/>
      <c r="M366" s="164"/>
      <c r="N366" s="180"/>
      <c r="O366" s="180"/>
      <c r="P366" s="182"/>
      <c r="Q366" s="104"/>
      <c r="R366" s="363"/>
      <c r="S366" s="104"/>
    </row>
    <row r="367" spans="1:19" ht="29.25" customHeight="1">
      <c r="A367" s="224"/>
      <c r="B367" s="359"/>
      <c r="C367" s="360"/>
      <c r="D367" s="361"/>
      <c r="E367" s="352"/>
      <c r="F367" s="161"/>
      <c r="G367" s="225"/>
      <c r="H367" s="225"/>
      <c r="I367" s="180"/>
      <c r="J367" s="181"/>
      <c r="K367" s="181"/>
      <c r="L367" s="181"/>
      <c r="M367" s="164"/>
      <c r="N367" s="180"/>
      <c r="O367" s="180"/>
      <c r="P367" s="182"/>
      <c r="Q367" s="104"/>
      <c r="R367" s="358"/>
      <c r="S367" s="104"/>
    </row>
    <row r="368" spans="1:19" ht="29.25" customHeight="1">
      <c r="A368" s="224"/>
      <c r="B368" s="359"/>
      <c r="C368" s="360"/>
      <c r="D368" s="361"/>
      <c r="E368" s="362"/>
      <c r="F368" s="161"/>
      <c r="G368" s="225"/>
      <c r="H368" s="225"/>
      <c r="I368" s="180"/>
      <c r="J368" s="181"/>
      <c r="K368" s="181"/>
      <c r="L368" s="181"/>
      <c r="M368" s="164"/>
      <c r="N368" s="180"/>
      <c r="O368" s="180"/>
      <c r="P368" s="182"/>
      <c r="Q368" s="104"/>
      <c r="R368" s="363"/>
      <c r="S368" s="104"/>
    </row>
    <row r="369" spans="1:19" ht="29.25" customHeight="1">
      <c r="A369" s="224"/>
      <c r="B369" s="359"/>
      <c r="C369" s="360"/>
      <c r="D369" s="361"/>
      <c r="E369" s="352"/>
      <c r="F369" s="161"/>
      <c r="G369" s="225"/>
      <c r="H369" s="225"/>
      <c r="I369" s="180"/>
      <c r="J369" s="181"/>
      <c r="K369" s="181"/>
      <c r="L369" s="181"/>
      <c r="M369" s="164"/>
      <c r="N369" s="180"/>
      <c r="O369" s="180"/>
      <c r="P369" s="182"/>
      <c r="Q369" s="104"/>
      <c r="R369" s="358"/>
      <c r="S369" s="104"/>
    </row>
    <row r="370" spans="1:19" ht="29.25" customHeight="1">
      <c r="A370" s="224"/>
      <c r="B370" s="359"/>
      <c r="C370" s="360"/>
      <c r="D370" s="361"/>
      <c r="E370" s="362"/>
      <c r="F370" s="161"/>
      <c r="G370" s="225"/>
      <c r="H370" s="225"/>
      <c r="I370" s="180"/>
      <c r="J370" s="181"/>
      <c r="K370" s="181"/>
      <c r="L370" s="181"/>
      <c r="M370" s="164"/>
      <c r="N370" s="180"/>
      <c r="O370" s="180"/>
      <c r="P370" s="182"/>
      <c r="Q370" s="104"/>
      <c r="R370" s="363"/>
      <c r="S370" s="104"/>
    </row>
    <row r="371" spans="1:19" ht="29.25" customHeight="1">
      <c r="A371" s="224"/>
      <c r="B371" s="359"/>
      <c r="C371" s="360"/>
      <c r="D371" s="361"/>
      <c r="E371" s="352"/>
      <c r="F371" s="161"/>
      <c r="G371" s="225"/>
      <c r="H371" s="225"/>
      <c r="I371" s="180"/>
      <c r="J371" s="181"/>
      <c r="K371" s="181"/>
      <c r="L371" s="181"/>
      <c r="M371" s="164"/>
      <c r="N371" s="180"/>
      <c r="O371" s="180"/>
      <c r="P371" s="182"/>
      <c r="Q371" s="104"/>
      <c r="R371" s="358"/>
      <c r="S371" s="104"/>
    </row>
    <row r="372" spans="1:19" ht="29.25" customHeight="1">
      <c r="A372" s="224"/>
      <c r="B372" s="359"/>
      <c r="C372" s="360"/>
      <c r="D372" s="361"/>
      <c r="E372" s="362"/>
      <c r="F372" s="161"/>
      <c r="G372" s="225"/>
      <c r="H372" s="225"/>
      <c r="I372" s="180"/>
      <c r="J372" s="181"/>
      <c r="K372" s="181"/>
      <c r="L372" s="181"/>
      <c r="M372" s="164"/>
      <c r="N372" s="180"/>
      <c r="O372" s="180"/>
      <c r="P372" s="182"/>
      <c r="Q372" s="104"/>
      <c r="R372" s="363"/>
      <c r="S372" s="104"/>
    </row>
    <row r="373" spans="1:19" ht="29.25" customHeight="1">
      <c r="A373" s="224"/>
      <c r="B373" s="359"/>
      <c r="C373" s="360"/>
      <c r="D373" s="361"/>
      <c r="E373" s="352"/>
      <c r="F373" s="161"/>
      <c r="G373" s="225"/>
      <c r="H373" s="225"/>
      <c r="I373" s="180"/>
      <c r="J373" s="181"/>
      <c r="K373" s="181"/>
      <c r="L373" s="181"/>
      <c r="M373" s="164"/>
      <c r="N373" s="180"/>
      <c r="O373" s="180"/>
      <c r="P373" s="182"/>
      <c r="Q373" s="104"/>
      <c r="R373" s="358"/>
      <c r="S373" s="104"/>
    </row>
    <row r="374" spans="1:19" ht="29.25" customHeight="1">
      <c r="A374" s="224"/>
      <c r="B374" s="359"/>
      <c r="C374" s="360"/>
      <c r="D374" s="361"/>
      <c r="E374" s="362"/>
      <c r="F374" s="161"/>
      <c r="G374" s="225"/>
      <c r="H374" s="225"/>
      <c r="I374" s="180"/>
      <c r="J374" s="181"/>
      <c r="K374" s="181"/>
      <c r="L374" s="181"/>
      <c r="M374" s="164"/>
      <c r="N374" s="180"/>
      <c r="O374" s="180"/>
      <c r="P374" s="182"/>
      <c r="Q374" s="104"/>
      <c r="R374" s="363"/>
      <c r="S374" s="104"/>
    </row>
    <row r="375" spans="1:19" ht="29.25" customHeight="1">
      <c r="A375" s="224"/>
      <c r="B375" s="359"/>
      <c r="C375" s="360"/>
      <c r="D375" s="361"/>
      <c r="E375" s="352"/>
      <c r="F375" s="161"/>
      <c r="G375" s="225"/>
      <c r="H375" s="225"/>
      <c r="I375" s="180"/>
      <c r="J375" s="181"/>
      <c r="K375" s="181"/>
      <c r="L375" s="181"/>
      <c r="M375" s="164"/>
      <c r="N375" s="180"/>
      <c r="O375" s="180"/>
      <c r="P375" s="182"/>
      <c r="Q375" s="104"/>
      <c r="R375" s="358"/>
      <c r="S375" s="104"/>
    </row>
    <row r="376" spans="1:19" ht="29.25" customHeight="1">
      <c r="A376" s="224"/>
      <c r="B376" s="359"/>
      <c r="C376" s="360"/>
      <c r="D376" s="361"/>
      <c r="E376" s="362"/>
      <c r="F376" s="161"/>
      <c r="G376" s="225"/>
      <c r="H376" s="225"/>
      <c r="I376" s="180"/>
      <c r="J376" s="181"/>
      <c r="K376" s="181"/>
      <c r="L376" s="181"/>
      <c r="M376" s="164"/>
      <c r="N376" s="180"/>
      <c r="O376" s="180"/>
      <c r="P376" s="182"/>
      <c r="Q376" s="104"/>
      <c r="R376" s="363"/>
      <c r="S376" s="104"/>
    </row>
    <row r="377" spans="1:19" ht="29.25" customHeight="1">
      <c r="A377" s="224"/>
      <c r="B377" s="359"/>
      <c r="C377" s="360"/>
      <c r="D377" s="361"/>
      <c r="E377" s="352"/>
      <c r="F377" s="161"/>
      <c r="G377" s="225"/>
      <c r="H377" s="225"/>
      <c r="I377" s="180"/>
      <c r="J377" s="181"/>
      <c r="K377" s="181"/>
      <c r="L377" s="181"/>
      <c r="M377" s="164"/>
      <c r="N377" s="180"/>
      <c r="O377" s="180"/>
      <c r="P377" s="182"/>
      <c r="Q377" s="104"/>
      <c r="R377" s="358"/>
      <c r="S377" s="104"/>
    </row>
    <row r="378" spans="1:19" ht="29.25" customHeight="1">
      <c r="A378" s="224"/>
      <c r="B378" s="359"/>
      <c r="C378" s="360"/>
      <c r="D378" s="361"/>
      <c r="E378" s="362"/>
      <c r="F378" s="161"/>
      <c r="G378" s="225"/>
      <c r="H378" s="225"/>
      <c r="I378" s="180"/>
      <c r="J378" s="181"/>
      <c r="K378" s="181"/>
      <c r="L378" s="181"/>
      <c r="M378" s="164"/>
      <c r="N378" s="180"/>
      <c r="O378" s="180"/>
      <c r="P378" s="182"/>
      <c r="Q378" s="104"/>
      <c r="R378" s="363"/>
      <c r="S378" s="104"/>
    </row>
    <row r="379" spans="1:19" ht="29.25" customHeight="1">
      <c r="A379" s="224"/>
      <c r="B379" s="359"/>
      <c r="C379" s="360"/>
      <c r="D379" s="361"/>
      <c r="E379" s="352"/>
      <c r="F379" s="161"/>
      <c r="G379" s="225"/>
      <c r="H379" s="225"/>
      <c r="I379" s="180"/>
      <c r="J379" s="181"/>
      <c r="K379" s="181"/>
      <c r="L379" s="181"/>
      <c r="M379" s="164"/>
      <c r="N379" s="180"/>
      <c r="O379" s="180"/>
      <c r="P379" s="182"/>
      <c r="Q379" s="104"/>
      <c r="R379" s="358"/>
      <c r="S379" s="104"/>
    </row>
    <row r="380" spans="1:19" ht="29.25" customHeight="1">
      <c r="A380" s="224"/>
      <c r="B380" s="359"/>
      <c r="C380" s="360"/>
      <c r="D380" s="361"/>
      <c r="E380" s="362"/>
      <c r="F380" s="161"/>
      <c r="G380" s="225"/>
      <c r="H380" s="225"/>
      <c r="I380" s="180"/>
      <c r="J380" s="181"/>
      <c r="K380" s="181"/>
      <c r="L380" s="181"/>
      <c r="M380" s="164"/>
      <c r="N380" s="180"/>
      <c r="O380" s="180"/>
      <c r="P380" s="182"/>
      <c r="Q380" s="104"/>
      <c r="R380" s="363"/>
      <c r="S380" s="104"/>
    </row>
    <row r="381" spans="1:19" ht="29.25" customHeight="1">
      <c r="A381" s="224"/>
      <c r="B381" s="359"/>
      <c r="C381" s="360"/>
      <c r="D381" s="361"/>
      <c r="E381" s="352"/>
      <c r="F381" s="161"/>
      <c r="G381" s="225"/>
      <c r="H381" s="225"/>
      <c r="I381" s="180"/>
      <c r="J381" s="181"/>
      <c r="K381" s="181"/>
      <c r="L381" s="181"/>
      <c r="M381" s="164"/>
      <c r="N381" s="180"/>
      <c r="O381" s="180"/>
      <c r="P381" s="182"/>
      <c r="Q381" s="104"/>
      <c r="R381" s="358"/>
      <c r="S381" s="104"/>
    </row>
    <row r="382" spans="1:19" ht="29.25" customHeight="1">
      <c r="A382" s="224"/>
      <c r="B382" s="359"/>
      <c r="C382" s="360"/>
      <c r="D382" s="361"/>
      <c r="E382" s="362"/>
      <c r="F382" s="161"/>
      <c r="G382" s="225"/>
      <c r="H382" s="225"/>
      <c r="I382" s="180"/>
      <c r="J382" s="181"/>
      <c r="K382" s="181"/>
      <c r="L382" s="181"/>
      <c r="M382" s="164"/>
      <c r="N382" s="180"/>
      <c r="O382" s="180"/>
      <c r="P382" s="182"/>
      <c r="Q382" s="104"/>
      <c r="R382" s="363"/>
      <c r="S382" s="104"/>
    </row>
    <row r="383" spans="1:19" ht="29.25" customHeight="1">
      <c r="A383" s="224"/>
      <c r="B383" s="359"/>
      <c r="C383" s="360"/>
      <c r="D383" s="361"/>
      <c r="E383" s="352"/>
      <c r="F383" s="161"/>
      <c r="G383" s="225"/>
      <c r="H383" s="225"/>
      <c r="I383" s="180"/>
      <c r="J383" s="181"/>
      <c r="K383" s="181"/>
      <c r="L383" s="181"/>
      <c r="M383" s="164"/>
      <c r="N383" s="180"/>
      <c r="O383" s="180"/>
      <c r="P383" s="182"/>
      <c r="Q383" s="104"/>
      <c r="R383" s="358"/>
      <c r="S383" s="104"/>
    </row>
    <row r="384" spans="1:19" ht="29.25" customHeight="1">
      <c r="A384" s="224"/>
      <c r="B384" s="359"/>
      <c r="C384" s="360"/>
      <c r="D384" s="361"/>
      <c r="E384" s="362"/>
      <c r="F384" s="161"/>
      <c r="G384" s="225"/>
      <c r="H384" s="225"/>
      <c r="I384" s="180"/>
      <c r="J384" s="181"/>
      <c r="K384" s="181"/>
      <c r="L384" s="181"/>
      <c r="M384" s="164"/>
      <c r="N384" s="180"/>
      <c r="O384" s="180"/>
      <c r="P384" s="182"/>
      <c r="Q384" s="104"/>
      <c r="R384" s="363"/>
      <c r="S384" s="104"/>
    </row>
    <row r="385" spans="1:19" ht="29.25" customHeight="1">
      <c r="A385" s="224"/>
      <c r="B385" s="359"/>
      <c r="C385" s="360"/>
      <c r="D385" s="361"/>
      <c r="E385" s="352"/>
      <c r="F385" s="161"/>
      <c r="G385" s="225"/>
      <c r="H385" s="225"/>
      <c r="I385" s="180"/>
      <c r="J385" s="181"/>
      <c r="K385" s="181"/>
      <c r="L385" s="181"/>
      <c r="M385" s="164"/>
      <c r="N385" s="180"/>
      <c r="O385" s="180"/>
      <c r="P385" s="182"/>
      <c r="Q385" s="104"/>
      <c r="R385" s="358"/>
      <c r="S385" s="104"/>
    </row>
    <row r="386" spans="1:19" ht="29.25" customHeight="1">
      <c r="A386" s="224"/>
      <c r="B386" s="359"/>
      <c r="C386" s="360"/>
      <c r="D386" s="361"/>
      <c r="E386" s="362"/>
      <c r="F386" s="161"/>
      <c r="G386" s="225"/>
      <c r="H386" s="225"/>
      <c r="I386" s="180"/>
      <c r="J386" s="181"/>
      <c r="K386" s="181"/>
      <c r="L386" s="181"/>
      <c r="M386" s="164"/>
      <c r="N386" s="180"/>
      <c r="O386" s="180"/>
      <c r="P386" s="182"/>
      <c r="Q386" s="104"/>
      <c r="R386" s="363"/>
      <c r="S386" s="104"/>
    </row>
    <row r="387" spans="1:19" ht="29.25" customHeight="1">
      <c r="A387" s="224"/>
      <c r="B387" s="359"/>
      <c r="C387" s="360"/>
      <c r="D387" s="361"/>
      <c r="E387" s="352"/>
      <c r="F387" s="161"/>
      <c r="G387" s="225"/>
      <c r="H387" s="225"/>
      <c r="I387" s="180"/>
      <c r="J387" s="181"/>
      <c r="K387" s="181"/>
      <c r="L387" s="181"/>
      <c r="M387" s="164"/>
      <c r="N387" s="180"/>
      <c r="O387" s="180"/>
      <c r="P387" s="182"/>
      <c r="Q387" s="104"/>
      <c r="R387" s="358"/>
      <c r="S387" s="104"/>
    </row>
    <row r="388" spans="1:19" ht="29.25" customHeight="1">
      <c r="A388" s="224"/>
      <c r="B388" s="359"/>
      <c r="C388" s="360"/>
      <c r="D388" s="361"/>
      <c r="E388" s="362"/>
      <c r="F388" s="161"/>
      <c r="G388" s="225"/>
      <c r="H388" s="225"/>
      <c r="I388" s="180"/>
      <c r="J388" s="181"/>
      <c r="K388" s="181"/>
      <c r="L388" s="181"/>
      <c r="M388" s="164"/>
      <c r="N388" s="180"/>
      <c r="O388" s="180"/>
      <c r="P388" s="182"/>
      <c r="Q388" s="104"/>
      <c r="R388" s="363"/>
      <c r="S388" s="104"/>
    </row>
    <row r="389" spans="1:19" ht="29.25" customHeight="1">
      <c r="A389" s="224"/>
      <c r="B389" s="359"/>
      <c r="C389" s="360"/>
      <c r="D389" s="361"/>
      <c r="E389" s="352"/>
      <c r="F389" s="161"/>
      <c r="G389" s="225"/>
      <c r="H389" s="225"/>
      <c r="I389" s="180"/>
      <c r="J389" s="181"/>
      <c r="K389" s="181"/>
      <c r="L389" s="181"/>
      <c r="M389" s="164"/>
      <c r="N389" s="180"/>
      <c r="O389" s="180"/>
      <c r="P389" s="182"/>
      <c r="Q389" s="104"/>
      <c r="R389" s="358"/>
      <c r="S389" s="104"/>
    </row>
    <row r="390" spans="1:19" ht="29.25" customHeight="1">
      <c r="A390" s="224"/>
      <c r="B390" s="359"/>
      <c r="C390" s="360"/>
      <c r="D390" s="361"/>
      <c r="E390" s="362"/>
      <c r="F390" s="161"/>
      <c r="G390" s="225"/>
      <c r="H390" s="225"/>
      <c r="I390" s="180"/>
      <c r="J390" s="181"/>
      <c r="K390" s="181"/>
      <c r="L390" s="181"/>
      <c r="M390" s="164"/>
      <c r="N390" s="180"/>
      <c r="O390" s="180"/>
      <c r="P390" s="182"/>
      <c r="Q390" s="104"/>
      <c r="R390" s="363"/>
      <c r="S390" s="104"/>
    </row>
    <row r="391" spans="1:19" ht="29.25" customHeight="1">
      <c r="A391" s="224"/>
      <c r="B391" s="359"/>
      <c r="C391" s="360"/>
      <c r="D391" s="361"/>
      <c r="E391" s="352"/>
      <c r="F391" s="161"/>
      <c r="G391" s="225"/>
      <c r="H391" s="225"/>
      <c r="I391" s="180"/>
      <c r="J391" s="181"/>
      <c r="K391" s="181"/>
      <c r="L391" s="181"/>
      <c r="M391" s="164"/>
      <c r="N391" s="180"/>
      <c r="O391" s="180"/>
      <c r="P391" s="182"/>
      <c r="Q391" s="104"/>
      <c r="R391" s="358"/>
      <c r="S391" s="104"/>
    </row>
    <row r="392" spans="1:19" ht="29.25" customHeight="1">
      <c r="A392" s="224"/>
      <c r="B392" s="359"/>
      <c r="C392" s="360"/>
      <c r="D392" s="361"/>
      <c r="E392" s="362"/>
      <c r="F392" s="161"/>
      <c r="G392" s="225"/>
      <c r="H392" s="225"/>
      <c r="I392" s="180"/>
      <c r="J392" s="181"/>
      <c r="K392" s="181"/>
      <c r="L392" s="181"/>
      <c r="M392" s="164"/>
      <c r="N392" s="180"/>
      <c r="O392" s="180"/>
      <c r="P392" s="182"/>
      <c r="Q392" s="104"/>
      <c r="R392" s="363"/>
      <c r="S392" s="104"/>
    </row>
    <row r="393" spans="1:19" ht="29.25" customHeight="1">
      <c r="A393" s="224"/>
      <c r="B393" s="359"/>
      <c r="C393" s="360"/>
      <c r="D393" s="361"/>
      <c r="E393" s="352"/>
      <c r="F393" s="161"/>
      <c r="G393" s="225"/>
      <c r="H393" s="225"/>
      <c r="I393" s="180"/>
      <c r="J393" s="181"/>
      <c r="K393" s="181"/>
      <c r="L393" s="181"/>
      <c r="M393" s="164"/>
      <c r="N393" s="180"/>
      <c r="O393" s="180"/>
      <c r="P393" s="182"/>
      <c r="Q393" s="104"/>
      <c r="R393" s="358"/>
      <c r="S393" s="104"/>
    </row>
    <row r="394" spans="1:19" ht="29.25" customHeight="1">
      <c r="A394" s="224"/>
      <c r="B394" s="359"/>
      <c r="C394" s="360"/>
      <c r="D394" s="361"/>
      <c r="E394" s="362"/>
      <c r="F394" s="161"/>
      <c r="G394" s="225"/>
      <c r="H394" s="225"/>
      <c r="I394" s="180"/>
      <c r="J394" s="181"/>
      <c r="K394" s="181"/>
      <c r="L394" s="181"/>
      <c r="M394" s="164"/>
      <c r="N394" s="180"/>
      <c r="O394" s="180"/>
      <c r="P394" s="182"/>
      <c r="Q394" s="104"/>
      <c r="R394" s="363"/>
      <c r="S394" s="104"/>
    </row>
    <row r="395" spans="1:19" ht="29.25" customHeight="1">
      <c r="A395" s="224"/>
      <c r="B395" s="359"/>
      <c r="C395" s="360"/>
      <c r="D395" s="361"/>
      <c r="E395" s="352"/>
      <c r="F395" s="161"/>
      <c r="G395" s="225"/>
      <c r="H395" s="225"/>
      <c r="I395" s="180"/>
      <c r="J395" s="181"/>
      <c r="K395" s="181"/>
      <c r="L395" s="181"/>
      <c r="M395" s="164"/>
      <c r="N395" s="180"/>
      <c r="O395" s="180"/>
      <c r="P395" s="182"/>
      <c r="Q395" s="104"/>
      <c r="R395" s="358"/>
      <c r="S395" s="104"/>
    </row>
    <row r="396" spans="1:19" ht="29.25" customHeight="1">
      <c r="A396" s="224"/>
      <c r="B396" s="359"/>
      <c r="C396" s="360"/>
      <c r="D396" s="361"/>
      <c r="E396" s="362"/>
      <c r="F396" s="161"/>
      <c r="G396" s="225"/>
      <c r="H396" s="225"/>
      <c r="I396" s="180"/>
      <c r="J396" s="181"/>
      <c r="K396" s="181"/>
      <c r="L396" s="181"/>
      <c r="M396" s="164"/>
      <c r="N396" s="180"/>
      <c r="O396" s="180"/>
      <c r="P396" s="182"/>
      <c r="Q396" s="104"/>
      <c r="R396" s="363"/>
      <c r="S396" s="104"/>
    </row>
    <row r="397" spans="1:19" ht="29.25" customHeight="1">
      <c r="A397" s="224"/>
      <c r="B397" s="359"/>
      <c r="C397" s="360"/>
      <c r="D397" s="361"/>
      <c r="E397" s="352"/>
      <c r="F397" s="161"/>
      <c r="G397" s="225"/>
      <c r="H397" s="225"/>
      <c r="I397" s="180"/>
      <c r="J397" s="181"/>
      <c r="K397" s="181"/>
      <c r="L397" s="181"/>
      <c r="M397" s="164"/>
      <c r="N397" s="180"/>
      <c r="O397" s="180"/>
      <c r="P397" s="182"/>
      <c r="Q397" s="104"/>
      <c r="R397" s="358"/>
      <c r="S397" s="104"/>
    </row>
    <row r="398" spans="1:19" ht="29.25" customHeight="1">
      <c r="A398" s="224"/>
      <c r="B398" s="359"/>
      <c r="C398" s="360"/>
      <c r="D398" s="361"/>
      <c r="E398" s="362"/>
      <c r="F398" s="161"/>
      <c r="G398" s="225"/>
      <c r="H398" s="225"/>
      <c r="I398" s="180"/>
      <c r="J398" s="181"/>
      <c r="K398" s="181"/>
      <c r="L398" s="181"/>
      <c r="M398" s="164"/>
      <c r="N398" s="180"/>
      <c r="O398" s="180"/>
      <c r="P398" s="182"/>
      <c r="Q398" s="104"/>
      <c r="R398" s="363"/>
      <c r="S398" s="104"/>
    </row>
    <row r="399" spans="1:19" ht="29.25" customHeight="1">
      <c r="A399" s="224"/>
      <c r="B399" s="359"/>
      <c r="C399" s="360"/>
      <c r="D399" s="361"/>
      <c r="E399" s="352"/>
      <c r="F399" s="161"/>
      <c r="G399" s="225"/>
      <c r="H399" s="225"/>
      <c r="I399" s="180"/>
      <c r="J399" s="181"/>
      <c r="K399" s="181"/>
      <c r="L399" s="181"/>
      <c r="M399" s="164"/>
      <c r="N399" s="180"/>
      <c r="O399" s="180"/>
      <c r="P399" s="182"/>
      <c r="Q399" s="104"/>
      <c r="R399" s="358"/>
      <c r="S399" s="104"/>
    </row>
    <row r="400" spans="1:19" ht="29.25" customHeight="1">
      <c r="A400" s="224"/>
      <c r="B400" s="359"/>
      <c r="C400" s="360"/>
      <c r="D400" s="361"/>
      <c r="E400" s="362"/>
      <c r="F400" s="161"/>
      <c r="G400" s="225"/>
      <c r="H400" s="225"/>
      <c r="I400" s="180"/>
      <c r="J400" s="181"/>
      <c r="K400" s="181"/>
      <c r="L400" s="181"/>
      <c r="M400" s="164"/>
      <c r="N400" s="180"/>
      <c r="O400" s="180"/>
      <c r="P400" s="182"/>
      <c r="Q400" s="104"/>
      <c r="R400" s="363"/>
      <c r="S400" s="104"/>
    </row>
    <row r="401" spans="1:19" ht="29.25" customHeight="1">
      <c r="A401" s="224"/>
      <c r="B401" s="359"/>
      <c r="C401" s="360"/>
      <c r="D401" s="361"/>
      <c r="E401" s="352"/>
      <c r="F401" s="161"/>
      <c r="G401" s="225"/>
      <c r="H401" s="225"/>
      <c r="I401" s="180"/>
      <c r="J401" s="181"/>
      <c r="K401" s="181"/>
      <c r="L401" s="181"/>
      <c r="M401" s="164"/>
      <c r="N401" s="180"/>
      <c r="O401" s="180"/>
      <c r="P401" s="182"/>
      <c r="Q401" s="104"/>
      <c r="R401" s="358"/>
      <c r="S401" s="104"/>
    </row>
    <row r="402" spans="1:19" ht="29.25" customHeight="1">
      <c r="A402" s="224"/>
      <c r="B402" s="359"/>
      <c r="C402" s="360"/>
      <c r="D402" s="361"/>
      <c r="E402" s="362"/>
      <c r="F402" s="161"/>
      <c r="G402" s="225"/>
      <c r="H402" s="225"/>
      <c r="I402" s="180"/>
      <c r="J402" s="181"/>
      <c r="K402" s="181"/>
      <c r="L402" s="181"/>
      <c r="M402" s="164"/>
      <c r="N402" s="180"/>
      <c r="O402" s="180"/>
      <c r="P402" s="182"/>
      <c r="Q402" s="104"/>
      <c r="R402" s="363"/>
      <c r="S402" s="104"/>
    </row>
    <row r="403" spans="1:19" ht="29.25" customHeight="1">
      <c r="A403" s="224"/>
      <c r="B403" s="359"/>
      <c r="C403" s="360"/>
      <c r="D403" s="361"/>
      <c r="E403" s="352"/>
      <c r="F403" s="161"/>
      <c r="G403" s="225"/>
      <c r="H403" s="225"/>
      <c r="I403" s="180"/>
      <c r="J403" s="181"/>
      <c r="K403" s="181"/>
      <c r="L403" s="181"/>
      <c r="M403" s="164"/>
      <c r="N403" s="180"/>
      <c r="O403" s="180"/>
      <c r="P403" s="182"/>
      <c r="Q403" s="104"/>
      <c r="R403" s="358"/>
      <c r="S403" s="104"/>
    </row>
    <row r="404" spans="1:19" ht="29.25" customHeight="1">
      <c r="A404" s="224"/>
      <c r="B404" s="359"/>
      <c r="C404" s="360"/>
      <c r="D404" s="361"/>
      <c r="E404" s="362"/>
      <c r="F404" s="161"/>
      <c r="G404" s="225"/>
      <c r="H404" s="225"/>
      <c r="I404" s="180"/>
      <c r="J404" s="181"/>
      <c r="K404" s="181"/>
      <c r="L404" s="181"/>
      <c r="M404" s="164"/>
      <c r="N404" s="180"/>
      <c r="O404" s="180"/>
      <c r="P404" s="182"/>
      <c r="Q404" s="104"/>
      <c r="R404" s="363"/>
      <c r="S404" s="104"/>
    </row>
    <row r="405" spans="1:19" ht="29.25" customHeight="1">
      <c r="A405" s="224"/>
      <c r="B405" s="359"/>
      <c r="C405" s="360"/>
      <c r="D405" s="361"/>
      <c r="E405" s="352"/>
      <c r="F405" s="161"/>
      <c r="G405" s="225"/>
      <c r="H405" s="225"/>
      <c r="I405" s="180"/>
      <c r="J405" s="181"/>
      <c r="K405" s="181"/>
      <c r="L405" s="181"/>
      <c r="M405" s="164"/>
      <c r="N405" s="180"/>
      <c r="O405" s="180"/>
      <c r="P405" s="182"/>
      <c r="Q405" s="104"/>
      <c r="R405" s="358"/>
      <c r="S405" s="104"/>
    </row>
    <row r="406" spans="1:19" ht="29.25" customHeight="1">
      <c r="A406" s="224"/>
      <c r="B406" s="359"/>
      <c r="C406" s="360"/>
      <c r="D406" s="361"/>
      <c r="E406" s="362"/>
      <c r="F406" s="161"/>
      <c r="G406" s="225"/>
      <c r="H406" s="225"/>
      <c r="I406" s="180"/>
      <c r="J406" s="181"/>
      <c r="K406" s="181"/>
      <c r="L406" s="181"/>
      <c r="M406" s="164"/>
      <c r="N406" s="180"/>
      <c r="O406" s="180"/>
      <c r="P406" s="182"/>
      <c r="Q406" s="104"/>
      <c r="R406" s="363"/>
      <c r="S406" s="104"/>
    </row>
    <row r="407" spans="1:19" ht="29.25" customHeight="1">
      <c r="A407" s="224"/>
      <c r="B407" s="359"/>
      <c r="C407" s="360"/>
      <c r="D407" s="361"/>
      <c r="E407" s="352"/>
      <c r="F407" s="161"/>
      <c r="G407" s="225"/>
      <c r="H407" s="225"/>
      <c r="I407" s="180"/>
      <c r="J407" s="181"/>
      <c r="K407" s="181"/>
      <c r="L407" s="181"/>
      <c r="M407" s="164"/>
      <c r="N407" s="180"/>
      <c r="O407" s="180"/>
      <c r="P407" s="182"/>
      <c r="Q407" s="104"/>
      <c r="R407" s="358"/>
      <c r="S407" s="104"/>
    </row>
    <row r="408" spans="1:19" ht="29.25" customHeight="1">
      <c r="A408" s="224"/>
      <c r="B408" s="359"/>
      <c r="C408" s="360"/>
      <c r="D408" s="361"/>
      <c r="E408" s="362"/>
      <c r="F408" s="161"/>
      <c r="G408" s="225"/>
      <c r="H408" s="225"/>
      <c r="I408" s="180"/>
      <c r="J408" s="181"/>
      <c r="K408" s="181"/>
      <c r="L408" s="181"/>
      <c r="M408" s="164"/>
      <c r="N408" s="180"/>
      <c r="O408" s="180"/>
      <c r="P408" s="182"/>
      <c r="Q408" s="104"/>
      <c r="R408" s="363"/>
      <c r="S408" s="104"/>
    </row>
    <row r="409" spans="1:19" ht="29.25" customHeight="1">
      <c r="A409" s="224"/>
      <c r="B409" s="359"/>
      <c r="C409" s="360"/>
      <c r="D409" s="361"/>
      <c r="E409" s="352"/>
      <c r="F409" s="161"/>
      <c r="G409" s="225"/>
      <c r="H409" s="225"/>
      <c r="I409" s="180"/>
      <c r="J409" s="181"/>
      <c r="K409" s="181"/>
      <c r="L409" s="181"/>
      <c r="M409" s="164"/>
      <c r="N409" s="180"/>
      <c r="O409" s="180"/>
      <c r="P409" s="182"/>
      <c r="Q409" s="104"/>
      <c r="R409" s="358"/>
      <c r="S409" s="104"/>
    </row>
    <row r="410" spans="1:19" ht="29.25" customHeight="1">
      <c r="A410" s="224"/>
      <c r="B410" s="359"/>
      <c r="C410" s="360"/>
      <c r="D410" s="361"/>
      <c r="E410" s="362"/>
      <c r="F410" s="161"/>
      <c r="G410" s="225"/>
      <c r="H410" s="225"/>
      <c r="I410" s="180"/>
      <c r="J410" s="181"/>
      <c r="K410" s="181"/>
      <c r="L410" s="181"/>
      <c r="M410" s="164"/>
      <c r="N410" s="180"/>
      <c r="O410" s="180"/>
      <c r="P410" s="182"/>
      <c r="Q410" s="104"/>
      <c r="R410" s="363"/>
      <c r="S410" s="104"/>
    </row>
    <row r="411" spans="1:19" ht="29.25" customHeight="1">
      <c r="A411" s="224"/>
      <c r="B411" s="359"/>
      <c r="C411" s="360"/>
      <c r="D411" s="361"/>
      <c r="E411" s="352"/>
      <c r="F411" s="161"/>
      <c r="G411" s="225"/>
      <c r="H411" s="225"/>
      <c r="I411" s="180"/>
      <c r="J411" s="181"/>
      <c r="K411" s="181"/>
      <c r="L411" s="181"/>
      <c r="M411" s="164"/>
      <c r="N411" s="180"/>
      <c r="O411" s="180"/>
      <c r="P411" s="182"/>
      <c r="Q411" s="104"/>
      <c r="R411" s="358"/>
      <c r="S411" s="104"/>
    </row>
    <row r="412" spans="1:19" ht="29.25" customHeight="1">
      <c r="A412" s="224"/>
      <c r="B412" s="359"/>
      <c r="C412" s="360"/>
      <c r="D412" s="361"/>
      <c r="E412" s="362"/>
      <c r="F412" s="161"/>
      <c r="G412" s="225"/>
      <c r="H412" s="225"/>
      <c r="I412" s="180"/>
      <c r="J412" s="181"/>
      <c r="K412" s="181"/>
      <c r="L412" s="181"/>
      <c r="M412" s="164"/>
      <c r="N412" s="180"/>
      <c r="O412" s="180"/>
      <c r="P412" s="182"/>
      <c r="Q412" s="104"/>
      <c r="R412" s="363"/>
      <c r="S412" s="104"/>
    </row>
    <row r="413" spans="1:19" ht="29.25" customHeight="1">
      <c r="A413" s="224"/>
      <c r="B413" s="359"/>
      <c r="C413" s="360"/>
      <c r="D413" s="361"/>
      <c r="E413" s="352"/>
      <c r="F413" s="161"/>
      <c r="G413" s="225"/>
      <c r="H413" s="225"/>
      <c r="I413" s="180"/>
      <c r="J413" s="181"/>
      <c r="K413" s="181"/>
      <c r="L413" s="181"/>
      <c r="M413" s="164"/>
      <c r="N413" s="180"/>
      <c r="O413" s="180"/>
      <c r="P413" s="182"/>
      <c r="Q413" s="104"/>
      <c r="R413" s="358"/>
      <c r="S413" s="104"/>
    </row>
    <row r="414" spans="1:19" ht="29.25" customHeight="1">
      <c r="A414" s="224"/>
      <c r="B414" s="359"/>
      <c r="C414" s="360"/>
      <c r="D414" s="361"/>
      <c r="E414" s="362"/>
      <c r="F414" s="161"/>
      <c r="G414" s="225"/>
      <c r="H414" s="225"/>
      <c r="I414" s="180"/>
      <c r="J414" s="181"/>
      <c r="K414" s="181"/>
      <c r="L414" s="181"/>
      <c r="M414" s="164"/>
      <c r="N414" s="180"/>
      <c r="O414" s="180"/>
      <c r="P414" s="182"/>
      <c r="Q414" s="104"/>
      <c r="R414" s="363"/>
      <c r="S414" s="104"/>
    </row>
    <row r="415" spans="1:19" ht="29.25" customHeight="1">
      <c r="A415" s="224"/>
      <c r="B415" s="359"/>
      <c r="C415" s="360"/>
      <c r="D415" s="361"/>
      <c r="E415" s="352"/>
      <c r="F415" s="161"/>
      <c r="G415" s="225"/>
      <c r="H415" s="225"/>
      <c r="I415" s="180"/>
      <c r="J415" s="181"/>
      <c r="K415" s="181"/>
      <c r="L415" s="181"/>
      <c r="M415" s="164"/>
      <c r="N415" s="180"/>
      <c r="O415" s="180"/>
      <c r="P415" s="182"/>
      <c r="Q415" s="104"/>
      <c r="R415" s="358"/>
      <c r="S415" s="104"/>
    </row>
    <row r="416" spans="1:19" ht="29.25" customHeight="1">
      <c r="A416" s="224"/>
      <c r="B416" s="359"/>
      <c r="C416" s="360"/>
      <c r="D416" s="361"/>
      <c r="E416" s="362"/>
      <c r="F416" s="161"/>
      <c r="G416" s="225"/>
      <c r="H416" s="225"/>
      <c r="I416" s="180"/>
      <c r="J416" s="181"/>
      <c r="K416" s="181"/>
      <c r="L416" s="181"/>
      <c r="M416" s="164"/>
      <c r="N416" s="180"/>
      <c r="O416" s="180"/>
      <c r="P416" s="182"/>
      <c r="Q416" s="104"/>
      <c r="R416" s="363"/>
      <c r="S416" s="104"/>
    </row>
    <row r="417" spans="1:19" ht="29.25" customHeight="1">
      <c r="A417" s="224"/>
      <c r="B417" s="359"/>
      <c r="C417" s="360"/>
      <c r="D417" s="361"/>
      <c r="E417" s="352"/>
      <c r="F417" s="161"/>
      <c r="G417" s="225"/>
      <c r="H417" s="225"/>
      <c r="I417" s="180"/>
      <c r="J417" s="181"/>
      <c r="K417" s="181"/>
      <c r="L417" s="181"/>
      <c r="M417" s="164"/>
      <c r="N417" s="180"/>
      <c r="O417" s="180"/>
      <c r="P417" s="182"/>
      <c r="Q417" s="104"/>
      <c r="R417" s="358"/>
      <c r="S417" s="104"/>
    </row>
    <row r="418" spans="1:19" ht="29.25" customHeight="1">
      <c r="A418" s="224"/>
      <c r="B418" s="359"/>
      <c r="C418" s="360"/>
      <c r="D418" s="361"/>
      <c r="E418" s="362"/>
      <c r="F418" s="161"/>
      <c r="G418" s="225"/>
      <c r="H418" s="225"/>
      <c r="I418" s="180"/>
      <c r="J418" s="181"/>
      <c r="K418" s="181"/>
      <c r="L418" s="181"/>
      <c r="M418" s="164"/>
      <c r="N418" s="180"/>
      <c r="O418" s="180"/>
      <c r="P418" s="182"/>
      <c r="Q418" s="104"/>
      <c r="R418" s="363"/>
      <c r="S418" s="104"/>
    </row>
    <row r="419" spans="1:19" ht="29.25" customHeight="1">
      <c r="A419" s="224"/>
      <c r="B419" s="359"/>
      <c r="C419" s="360"/>
      <c r="D419" s="361"/>
      <c r="E419" s="352"/>
      <c r="F419" s="161"/>
      <c r="G419" s="225"/>
      <c r="H419" s="225"/>
      <c r="I419" s="180"/>
      <c r="J419" s="181"/>
      <c r="K419" s="181"/>
      <c r="L419" s="181"/>
      <c r="M419" s="164"/>
      <c r="N419" s="180"/>
      <c r="O419" s="180"/>
      <c r="P419" s="182"/>
      <c r="Q419" s="104"/>
      <c r="R419" s="358"/>
      <c r="S419" s="104"/>
    </row>
    <row r="420" spans="1:19" ht="29.25" customHeight="1">
      <c r="A420" s="224"/>
      <c r="B420" s="359"/>
      <c r="C420" s="360"/>
      <c r="D420" s="361"/>
      <c r="E420" s="362"/>
      <c r="F420" s="161"/>
      <c r="G420" s="225"/>
      <c r="H420" s="225"/>
      <c r="I420" s="180"/>
      <c r="J420" s="181"/>
      <c r="K420" s="181"/>
      <c r="L420" s="181"/>
      <c r="M420" s="164"/>
      <c r="N420" s="180"/>
      <c r="O420" s="180"/>
      <c r="P420" s="182"/>
      <c r="Q420" s="104"/>
      <c r="R420" s="363"/>
      <c r="S420" s="104"/>
    </row>
    <row r="421" spans="1:19" ht="29.25" customHeight="1">
      <c r="A421" s="224"/>
      <c r="B421" s="359"/>
      <c r="C421" s="360"/>
      <c r="D421" s="361"/>
      <c r="E421" s="352"/>
      <c r="F421" s="161"/>
      <c r="G421" s="225"/>
      <c r="H421" s="225"/>
      <c r="I421" s="180"/>
      <c r="J421" s="181"/>
      <c r="K421" s="181"/>
      <c r="L421" s="181"/>
      <c r="M421" s="164"/>
      <c r="N421" s="180"/>
      <c r="O421" s="180"/>
      <c r="P421" s="182"/>
      <c r="Q421" s="104"/>
      <c r="R421" s="358"/>
      <c r="S421" s="104"/>
    </row>
    <row r="422" spans="1:19" ht="29.25" customHeight="1">
      <c r="A422" s="224"/>
      <c r="B422" s="359"/>
      <c r="C422" s="360"/>
      <c r="D422" s="361"/>
      <c r="E422" s="362"/>
      <c r="F422" s="161"/>
      <c r="G422" s="225"/>
      <c r="H422" s="225"/>
      <c r="I422" s="180"/>
      <c r="J422" s="181"/>
      <c r="K422" s="181"/>
      <c r="L422" s="181"/>
      <c r="M422" s="164"/>
      <c r="N422" s="180"/>
      <c r="O422" s="180"/>
      <c r="P422" s="182"/>
      <c r="Q422" s="104"/>
      <c r="R422" s="363"/>
      <c r="S422" s="104"/>
    </row>
    <row r="423" spans="1:19" ht="29.25" customHeight="1">
      <c r="A423" s="224"/>
      <c r="B423" s="359"/>
      <c r="C423" s="360"/>
      <c r="D423" s="361"/>
      <c r="E423" s="352"/>
      <c r="F423" s="161"/>
      <c r="G423" s="225"/>
      <c r="H423" s="225"/>
      <c r="I423" s="180"/>
      <c r="J423" s="181"/>
      <c r="K423" s="181"/>
      <c r="L423" s="181"/>
      <c r="M423" s="164"/>
      <c r="N423" s="180"/>
      <c r="O423" s="180"/>
      <c r="P423" s="182"/>
      <c r="Q423" s="104"/>
      <c r="R423" s="358"/>
      <c r="S423" s="104"/>
    </row>
    <row r="424" spans="1:19" ht="29.25" customHeight="1">
      <c r="A424" s="224"/>
      <c r="B424" s="359"/>
      <c r="C424" s="360"/>
      <c r="D424" s="361"/>
      <c r="E424" s="362"/>
      <c r="F424" s="161"/>
      <c r="G424" s="225"/>
      <c r="H424" s="225"/>
      <c r="I424" s="180"/>
      <c r="J424" s="181"/>
      <c r="K424" s="181"/>
      <c r="L424" s="181"/>
      <c r="M424" s="164"/>
      <c r="N424" s="180"/>
      <c r="O424" s="180"/>
      <c r="P424" s="182"/>
      <c r="Q424" s="104"/>
      <c r="R424" s="363"/>
      <c r="S424" s="104"/>
    </row>
    <row r="425" spans="1:19" ht="29.25" customHeight="1">
      <c r="A425" s="224"/>
      <c r="B425" s="359"/>
      <c r="C425" s="360"/>
      <c r="D425" s="361"/>
      <c r="E425" s="352"/>
      <c r="F425" s="161"/>
      <c r="G425" s="225"/>
      <c r="H425" s="225"/>
      <c r="I425" s="180"/>
      <c r="J425" s="181"/>
      <c r="K425" s="181"/>
      <c r="L425" s="181"/>
      <c r="M425" s="164"/>
      <c r="N425" s="180"/>
      <c r="O425" s="180"/>
      <c r="P425" s="182"/>
      <c r="Q425" s="104"/>
      <c r="R425" s="358"/>
      <c r="S425" s="104"/>
    </row>
    <row r="426" spans="1:19" ht="29.25" customHeight="1">
      <c r="A426" s="224"/>
      <c r="B426" s="359"/>
      <c r="C426" s="360"/>
      <c r="D426" s="361"/>
      <c r="E426" s="362"/>
      <c r="F426" s="161"/>
      <c r="G426" s="225"/>
      <c r="H426" s="225"/>
      <c r="I426" s="180"/>
      <c r="J426" s="181"/>
      <c r="K426" s="181"/>
      <c r="L426" s="181"/>
      <c r="M426" s="164"/>
      <c r="N426" s="180"/>
      <c r="O426" s="180"/>
      <c r="P426" s="182"/>
      <c r="Q426" s="104"/>
      <c r="R426" s="363"/>
      <c r="S426" s="104"/>
    </row>
    <row r="427" spans="1:19" ht="29.25" customHeight="1">
      <c r="A427" s="224"/>
      <c r="B427" s="359"/>
      <c r="C427" s="360"/>
      <c r="D427" s="361"/>
      <c r="E427" s="352"/>
      <c r="F427" s="161"/>
      <c r="G427" s="225"/>
      <c r="H427" s="225"/>
      <c r="I427" s="180"/>
      <c r="J427" s="181"/>
      <c r="K427" s="181"/>
      <c r="L427" s="181"/>
      <c r="M427" s="164"/>
      <c r="N427" s="180"/>
      <c r="O427" s="180"/>
      <c r="P427" s="182"/>
      <c r="Q427" s="104"/>
      <c r="R427" s="358"/>
      <c r="S427" s="104"/>
    </row>
    <row r="428" spans="1:19" ht="29.25" customHeight="1">
      <c r="A428" s="224"/>
      <c r="B428" s="359"/>
      <c r="C428" s="360"/>
      <c r="D428" s="361"/>
      <c r="E428" s="362"/>
      <c r="F428" s="161"/>
      <c r="G428" s="225"/>
      <c r="H428" s="225"/>
      <c r="I428" s="180"/>
      <c r="J428" s="181"/>
      <c r="K428" s="181"/>
      <c r="L428" s="181"/>
      <c r="M428" s="164"/>
      <c r="N428" s="180"/>
      <c r="O428" s="180"/>
      <c r="P428" s="182"/>
      <c r="Q428" s="104"/>
      <c r="R428" s="363"/>
      <c r="S428" s="104"/>
    </row>
    <row r="429" spans="1:19" ht="29.25" customHeight="1">
      <c r="A429" s="224"/>
      <c r="B429" s="359"/>
      <c r="C429" s="360"/>
      <c r="D429" s="361"/>
      <c r="E429" s="352"/>
      <c r="F429" s="161"/>
      <c r="G429" s="225"/>
      <c r="H429" s="225"/>
      <c r="I429" s="180"/>
      <c r="J429" s="181"/>
      <c r="K429" s="181"/>
      <c r="L429" s="181"/>
      <c r="M429" s="164"/>
      <c r="N429" s="180"/>
      <c r="O429" s="180"/>
      <c r="P429" s="182"/>
      <c r="Q429" s="104"/>
      <c r="R429" s="358"/>
      <c r="S429" s="104"/>
    </row>
    <row r="430" spans="1:19" ht="29.25" customHeight="1">
      <c r="A430" s="224"/>
      <c r="B430" s="359"/>
      <c r="C430" s="360"/>
      <c r="D430" s="361"/>
      <c r="E430" s="362"/>
      <c r="F430" s="161"/>
      <c r="G430" s="225"/>
      <c r="H430" s="225"/>
      <c r="I430" s="180"/>
      <c r="J430" s="181"/>
      <c r="K430" s="181"/>
      <c r="L430" s="181"/>
      <c r="M430" s="164"/>
      <c r="N430" s="180"/>
      <c r="O430" s="180"/>
      <c r="P430" s="182"/>
      <c r="Q430" s="104"/>
      <c r="R430" s="363"/>
      <c r="S430" s="104"/>
    </row>
    <row r="431" spans="1:19" ht="29.25" customHeight="1">
      <c r="A431" s="224"/>
      <c r="B431" s="359"/>
      <c r="C431" s="360"/>
      <c r="D431" s="361"/>
      <c r="E431" s="352"/>
      <c r="F431" s="161"/>
      <c r="G431" s="225"/>
      <c r="H431" s="225"/>
      <c r="I431" s="180"/>
      <c r="J431" s="181"/>
      <c r="K431" s="181"/>
      <c r="L431" s="181"/>
      <c r="M431" s="164"/>
      <c r="N431" s="180"/>
      <c r="O431" s="180"/>
      <c r="P431" s="182"/>
      <c r="Q431" s="104"/>
      <c r="R431" s="358"/>
      <c r="S431" s="104"/>
    </row>
    <row r="432" spans="1:19" ht="29.25" customHeight="1">
      <c r="A432" s="224"/>
      <c r="B432" s="359"/>
      <c r="C432" s="360"/>
      <c r="D432" s="361"/>
      <c r="E432" s="362"/>
      <c r="F432" s="161"/>
      <c r="G432" s="225"/>
      <c r="H432" s="225"/>
      <c r="I432" s="180"/>
      <c r="J432" s="181"/>
      <c r="K432" s="181"/>
      <c r="L432" s="181"/>
      <c r="M432" s="164"/>
      <c r="N432" s="180"/>
      <c r="O432" s="180"/>
      <c r="P432" s="182"/>
      <c r="Q432" s="104"/>
      <c r="R432" s="363"/>
      <c r="S432" s="104"/>
    </row>
    <row r="433" spans="1:19" ht="29.25" customHeight="1">
      <c r="A433" s="224"/>
      <c r="B433" s="359"/>
      <c r="C433" s="360"/>
      <c r="D433" s="361"/>
      <c r="E433" s="352"/>
      <c r="F433" s="161"/>
      <c r="G433" s="225"/>
      <c r="H433" s="225"/>
      <c r="I433" s="180"/>
      <c r="J433" s="181"/>
      <c r="K433" s="181"/>
      <c r="L433" s="181"/>
      <c r="M433" s="164"/>
      <c r="N433" s="180"/>
      <c r="O433" s="180"/>
      <c r="P433" s="182"/>
      <c r="Q433" s="104"/>
      <c r="R433" s="358"/>
      <c r="S433" s="104"/>
    </row>
    <row r="434" spans="1:19" ht="29.25" customHeight="1">
      <c r="A434" s="224"/>
      <c r="B434" s="359"/>
      <c r="C434" s="360"/>
      <c r="D434" s="361"/>
      <c r="E434" s="362"/>
      <c r="F434" s="161"/>
      <c r="G434" s="225"/>
      <c r="H434" s="225"/>
      <c r="I434" s="180"/>
      <c r="J434" s="181"/>
      <c r="K434" s="181"/>
      <c r="L434" s="181"/>
      <c r="M434" s="164"/>
      <c r="N434" s="180"/>
      <c r="O434" s="180"/>
      <c r="P434" s="182"/>
      <c r="Q434" s="104"/>
      <c r="R434" s="363"/>
      <c r="S434" s="104"/>
    </row>
    <row r="435" spans="1:19" ht="29.25" customHeight="1">
      <c r="A435" s="224"/>
      <c r="B435" s="359"/>
      <c r="C435" s="360"/>
      <c r="D435" s="361"/>
      <c r="E435" s="352"/>
      <c r="F435" s="161"/>
      <c r="G435" s="225"/>
      <c r="H435" s="225"/>
      <c r="I435" s="180"/>
      <c r="J435" s="181"/>
      <c r="K435" s="181"/>
      <c r="L435" s="181"/>
      <c r="M435" s="164"/>
      <c r="N435" s="180"/>
      <c r="O435" s="180"/>
      <c r="P435" s="182"/>
      <c r="Q435" s="104"/>
      <c r="R435" s="358"/>
      <c r="S435" s="104"/>
    </row>
    <row r="436" spans="1:19" ht="29.25" customHeight="1">
      <c r="A436" s="224"/>
      <c r="B436" s="359"/>
      <c r="C436" s="360"/>
      <c r="D436" s="361"/>
      <c r="E436" s="362"/>
      <c r="F436" s="161"/>
      <c r="G436" s="225"/>
      <c r="H436" s="225"/>
      <c r="I436" s="180"/>
      <c r="J436" s="181"/>
      <c r="K436" s="181"/>
      <c r="L436" s="181"/>
      <c r="M436" s="164"/>
      <c r="N436" s="180"/>
      <c r="O436" s="180"/>
      <c r="P436" s="182"/>
      <c r="Q436" s="104"/>
      <c r="R436" s="363"/>
      <c r="S436" s="104"/>
    </row>
    <row r="437" spans="1:19" ht="29.25" customHeight="1">
      <c r="A437" s="224"/>
      <c r="B437" s="359"/>
      <c r="C437" s="360"/>
      <c r="D437" s="361"/>
      <c r="E437" s="352"/>
      <c r="F437" s="161"/>
      <c r="G437" s="225"/>
      <c r="H437" s="225"/>
      <c r="I437" s="180"/>
      <c r="J437" s="181"/>
      <c r="K437" s="181"/>
      <c r="L437" s="181"/>
      <c r="M437" s="164"/>
      <c r="N437" s="180"/>
      <c r="O437" s="180"/>
      <c r="P437" s="182"/>
      <c r="Q437" s="104"/>
      <c r="R437" s="358"/>
      <c r="S437" s="104"/>
    </row>
    <row r="438" spans="1:19" ht="29.25" customHeight="1">
      <c r="A438" s="224"/>
      <c r="B438" s="359"/>
      <c r="C438" s="360"/>
      <c r="D438" s="361"/>
      <c r="E438" s="362"/>
      <c r="F438" s="161"/>
      <c r="G438" s="225"/>
      <c r="H438" s="225"/>
      <c r="I438" s="180"/>
      <c r="J438" s="181"/>
      <c r="K438" s="181"/>
      <c r="L438" s="181"/>
      <c r="M438" s="164"/>
      <c r="N438" s="180"/>
      <c r="O438" s="180"/>
      <c r="P438" s="182"/>
      <c r="Q438" s="104"/>
      <c r="R438" s="363"/>
      <c r="S438" s="104"/>
    </row>
    <row r="439" spans="1:19" ht="29.25" customHeight="1">
      <c r="A439" s="224"/>
      <c r="B439" s="359"/>
      <c r="C439" s="360"/>
      <c r="D439" s="361"/>
      <c r="E439" s="352"/>
      <c r="F439" s="161"/>
      <c r="G439" s="225"/>
      <c r="H439" s="225"/>
      <c r="I439" s="180"/>
      <c r="J439" s="181"/>
      <c r="K439" s="181"/>
      <c r="L439" s="181"/>
      <c r="M439" s="164"/>
      <c r="N439" s="180"/>
      <c r="O439" s="180"/>
      <c r="P439" s="182"/>
      <c r="Q439" s="104"/>
      <c r="R439" s="358"/>
      <c r="S439" s="104"/>
    </row>
    <row r="440" spans="1:19" ht="29.25" customHeight="1">
      <c r="A440" s="224"/>
      <c r="B440" s="359"/>
      <c r="C440" s="360"/>
      <c r="D440" s="361"/>
      <c r="E440" s="362"/>
      <c r="F440" s="161"/>
      <c r="G440" s="225"/>
      <c r="H440" s="225"/>
      <c r="I440" s="180"/>
      <c r="J440" s="181"/>
      <c r="K440" s="181"/>
      <c r="L440" s="181"/>
      <c r="M440" s="164"/>
      <c r="N440" s="180"/>
      <c r="O440" s="180"/>
      <c r="P440" s="182"/>
      <c r="Q440" s="104"/>
      <c r="R440" s="363"/>
      <c r="S440" s="104"/>
    </row>
    <row r="441" spans="1:19" ht="29.25" customHeight="1">
      <c r="A441" s="224"/>
      <c r="B441" s="359"/>
      <c r="C441" s="360"/>
      <c r="D441" s="361"/>
      <c r="E441" s="352"/>
      <c r="F441" s="161"/>
      <c r="G441" s="225"/>
      <c r="H441" s="225"/>
      <c r="I441" s="180"/>
      <c r="J441" s="181"/>
      <c r="K441" s="181"/>
      <c r="L441" s="181"/>
      <c r="M441" s="164"/>
      <c r="N441" s="180"/>
      <c r="O441" s="180"/>
      <c r="P441" s="182"/>
      <c r="Q441" s="104"/>
      <c r="R441" s="358"/>
      <c r="S441" s="104"/>
    </row>
    <row r="442" spans="1:19" ht="29.25" customHeight="1">
      <c r="A442" s="224"/>
      <c r="B442" s="359"/>
      <c r="C442" s="360"/>
      <c r="D442" s="361"/>
      <c r="E442" s="362"/>
      <c r="F442" s="161"/>
      <c r="G442" s="225"/>
      <c r="H442" s="225"/>
      <c r="I442" s="180"/>
      <c r="J442" s="181"/>
      <c r="K442" s="181"/>
      <c r="L442" s="181"/>
      <c r="M442" s="164"/>
      <c r="N442" s="180"/>
      <c r="O442" s="180"/>
      <c r="P442" s="182"/>
      <c r="Q442" s="104"/>
      <c r="R442" s="363"/>
      <c r="S442" s="104"/>
    </row>
    <row r="443" spans="1:19" ht="29.25" customHeight="1">
      <c r="A443" s="224"/>
      <c r="B443" s="359"/>
      <c r="C443" s="360"/>
      <c r="D443" s="361"/>
      <c r="E443" s="352"/>
      <c r="F443" s="161"/>
      <c r="G443" s="225"/>
      <c r="H443" s="225"/>
      <c r="I443" s="180"/>
      <c r="J443" s="181"/>
      <c r="K443" s="181"/>
      <c r="L443" s="181"/>
      <c r="M443" s="164"/>
      <c r="N443" s="180"/>
      <c r="O443" s="180"/>
      <c r="P443" s="182"/>
      <c r="Q443" s="104"/>
      <c r="R443" s="358"/>
      <c r="S443" s="104"/>
    </row>
    <row r="444" spans="1:19" ht="29.25" customHeight="1">
      <c r="A444" s="224"/>
      <c r="B444" s="359"/>
      <c r="C444" s="360"/>
      <c r="D444" s="361"/>
      <c r="E444" s="362"/>
      <c r="F444" s="161"/>
      <c r="G444" s="225"/>
      <c r="H444" s="225"/>
      <c r="I444" s="180"/>
      <c r="J444" s="181"/>
      <c r="K444" s="181"/>
      <c r="L444" s="181"/>
      <c r="M444" s="164"/>
      <c r="N444" s="180"/>
      <c r="O444" s="180"/>
      <c r="P444" s="182"/>
      <c r="Q444" s="104"/>
      <c r="R444" s="363"/>
      <c r="S444" s="104"/>
    </row>
    <row r="445" spans="1:19" ht="29.25" customHeight="1">
      <c r="A445" s="224"/>
      <c r="B445" s="359"/>
      <c r="C445" s="360"/>
      <c r="D445" s="361"/>
      <c r="E445" s="352"/>
      <c r="F445" s="161"/>
      <c r="G445" s="225"/>
      <c r="H445" s="225"/>
      <c r="I445" s="180"/>
      <c r="J445" s="181"/>
      <c r="K445" s="181"/>
      <c r="L445" s="181"/>
      <c r="M445" s="164"/>
      <c r="N445" s="180"/>
      <c r="O445" s="180"/>
      <c r="P445" s="182"/>
      <c r="Q445" s="104"/>
      <c r="R445" s="358"/>
      <c r="S445" s="104"/>
    </row>
    <row r="446" spans="1:19" ht="29.25" customHeight="1">
      <c r="A446" s="224"/>
      <c r="B446" s="359"/>
      <c r="C446" s="360"/>
      <c r="D446" s="361"/>
      <c r="E446" s="362"/>
      <c r="F446" s="161"/>
      <c r="G446" s="225"/>
      <c r="H446" s="225"/>
      <c r="I446" s="180"/>
      <c r="J446" s="181"/>
      <c r="K446" s="181"/>
      <c r="L446" s="181"/>
      <c r="M446" s="164"/>
      <c r="N446" s="180"/>
      <c r="O446" s="180"/>
      <c r="P446" s="182"/>
      <c r="Q446" s="104"/>
      <c r="R446" s="363"/>
      <c r="S446" s="104"/>
    </row>
    <row r="447" spans="1:19" ht="29.25" customHeight="1">
      <c r="A447" s="224"/>
      <c r="B447" s="359"/>
      <c r="C447" s="360"/>
      <c r="D447" s="361"/>
      <c r="E447" s="352"/>
      <c r="F447" s="161"/>
      <c r="G447" s="225"/>
      <c r="H447" s="225"/>
      <c r="I447" s="180"/>
      <c r="J447" s="181"/>
      <c r="K447" s="181"/>
      <c r="L447" s="181"/>
      <c r="M447" s="164"/>
      <c r="N447" s="180"/>
      <c r="O447" s="180"/>
      <c r="P447" s="182"/>
      <c r="Q447" s="104"/>
      <c r="R447" s="358"/>
      <c r="S447" s="104"/>
    </row>
    <row r="448" spans="1:19" ht="29.25" customHeight="1">
      <c r="A448" s="224"/>
      <c r="B448" s="359"/>
      <c r="C448" s="360"/>
      <c r="D448" s="361"/>
      <c r="E448" s="362"/>
      <c r="F448" s="161"/>
      <c r="G448" s="225"/>
      <c r="H448" s="225"/>
      <c r="I448" s="180"/>
      <c r="J448" s="181"/>
      <c r="K448" s="181"/>
      <c r="L448" s="181"/>
      <c r="M448" s="164"/>
      <c r="N448" s="180"/>
      <c r="O448" s="180"/>
      <c r="P448" s="182"/>
      <c r="Q448" s="104"/>
      <c r="R448" s="363"/>
      <c r="S448" s="104"/>
    </row>
    <row r="449" spans="1:19" ht="29.25" customHeight="1">
      <c r="A449" s="224"/>
      <c r="B449" s="359"/>
      <c r="C449" s="360"/>
      <c r="D449" s="361"/>
      <c r="E449" s="352"/>
      <c r="F449" s="161"/>
      <c r="G449" s="225"/>
      <c r="H449" s="225"/>
      <c r="I449" s="180"/>
      <c r="J449" s="181"/>
      <c r="K449" s="181"/>
      <c r="L449" s="181"/>
      <c r="M449" s="164"/>
      <c r="N449" s="180"/>
      <c r="O449" s="180"/>
      <c r="P449" s="182"/>
      <c r="Q449" s="104"/>
      <c r="R449" s="358"/>
      <c r="S449" s="104"/>
    </row>
    <row r="450" spans="1:19" ht="29.25" customHeight="1">
      <c r="A450" s="224"/>
      <c r="B450" s="359"/>
      <c r="C450" s="360"/>
      <c r="D450" s="361"/>
      <c r="E450" s="362"/>
      <c r="F450" s="161"/>
      <c r="G450" s="225"/>
      <c r="H450" s="225"/>
      <c r="I450" s="180"/>
      <c r="J450" s="181"/>
      <c r="K450" s="181"/>
      <c r="L450" s="181"/>
      <c r="M450" s="164"/>
      <c r="N450" s="180"/>
      <c r="O450" s="180"/>
      <c r="P450" s="182"/>
      <c r="Q450" s="104"/>
      <c r="R450" s="363"/>
      <c r="S450" s="104"/>
    </row>
    <row r="451" spans="1:19" ht="29.25" customHeight="1">
      <c r="A451" s="224"/>
      <c r="B451" s="359"/>
      <c r="C451" s="360"/>
      <c r="D451" s="361"/>
      <c r="E451" s="352"/>
      <c r="F451" s="161"/>
      <c r="G451" s="225"/>
      <c r="H451" s="225"/>
      <c r="I451" s="180"/>
      <c r="J451" s="181"/>
      <c r="K451" s="181"/>
      <c r="L451" s="181"/>
      <c r="M451" s="164"/>
      <c r="N451" s="180"/>
      <c r="O451" s="180"/>
      <c r="P451" s="182"/>
      <c r="Q451" s="104"/>
      <c r="R451" s="358"/>
      <c r="S451" s="104"/>
    </row>
    <row r="452" spans="1:19" ht="29.25" customHeight="1">
      <c r="A452" s="224"/>
      <c r="B452" s="359"/>
      <c r="C452" s="360"/>
      <c r="D452" s="361"/>
      <c r="E452" s="362"/>
      <c r="F452" s="161"/>
      <c r="G452" s="225"/>
      <c r="H452" s="225"/>
      <c r="I452" s="180"/>
      <c r="J452" s="181"/>
      <c r="K452" s="181"/>
      <c r="L452" s="181"/>
      <c r="M452" s="164"/>
      <c r="N452" s="180"/>
      <c r="O452" s="180"/>
      <c r="P452" s="182"/>
      <c r="Q452" s="104"/>
      <c r="R452" s="363"/>
      <c r="S452" s="104"/>
    </row>
    <row r="453" spans="1:19" ht="29.25" customHeight="1">
      <c r="A453" s="224"/>
      <c r="B453" s="359"/>
      <c r="C453" s="360"/>
      <c r="D453" s="361"/>
      <c r="E453" s="352"/>
      <c r="F453" s="161"/>
      <c r="G453" s="225"/>
      <c r="H453" s="225"/>
      <c r="I453" s="180"/>
      <c r="J453" s="181"/>
      <c r="K453" s="181"/>
      <c r="L453" s="181"/>
      <c r="M453" s="164"/>
      <c r="N453" s="180"/>
      <c r="O453" s="180"/>
      <c r="P453" s="182"/>
      <c r="Q453" s="104"/>
      <c r="R453" s="358"/>
      <c r="S453" s="104"/>
    </row>
    <row r="454" spans="1:19" ht="29.25" customHeight="1">
      <c r="A454" s="224"/>
      <c r="B454" s="359"/>
      <c r="C454" s="360"/>
      <c r="D454" s="361"/>
      <c r="E454" s="362"/>
      <c r="F454" s="161"/>
      <c r="G454" s="225"/>
      <c r="H454" s="225"/>
      <c r="I454" s="180"/>
      <c r="J454" s="181"/>
      <c r="K454" s="181"/>
      <c r="L454" s="181"/>
      <c r="M454" s="164"/>
      <c r="N454" s="180"/>
      <c r="O454" s="180"/>
      <c r="P454" s="182"/>
      <c r="Q454" s="104"/>
      <c r="R454" s="363"/>
      <c r="S454" s="104"/>
    </row>
    <row r="455" spans="1:19" ht="29.25" customHeight="1">
      <c r="A455" s="224"/>
      <c r="B455" s="359"/>
      <c r="C455" s="360"/>
      <c r="D455" s="361"/>
      <c r="E455" s="352"/>
      <c r="F455" s="161"/>
      <c r="G455" s="225"/>
      <c r="H455" s="225"/>
      <c r="I455" s="180"/>
      <c r="J455" s="181"/>
      <c r="K455" s="181"/>
      <c r="L455" s="181"/>
      <c r="M455" s="164"/>
      <c r="N455" s="180"/>
      <c r="O455" s="180"/>
      <c r="P455" s="182"/>
      <c r="Q455" s="104"/>
      <c r="R455" s="358"/>
      <c r="S455" s="104"/>
    </row>
    <row r="456" spans="1:19" ht="29.25" customHeight="1">
      <c r="A456" s="224"/>
      <c r="B456" s="359"/>
      <c r="C456" s="360"/>
      <c r="D456" s="361"/>
      <c r="E456" s="362"/>
      <c r="F456" s="161"/>
      <c r="G456" s="225"/>
      <c r="H456" s="225"/>
      <c r="I456" s="180"/>
      <c r="J456" s="181"/>
      <c r="K456" s="181"/>
      <c r="L456" s="181"/>
      <c r="M456" s="164"/>
      <c r="N456" s="180"/>
      <c r="O456" s="180"/>
      <c r="P456" s="182"/>
      <c r="Q456" s="104"/>
      <c r="R456" s="363"/>
      <c r="S456" s="104"/>
    </row>
    <row r="457" spans="1:19" ht="29.25" customHeight="1">
      <c r="A457" s="224"/>
      <c r="B457" s="359"/>
      <c r="C457" s="360"/>
      <c r="D457" s="361"/>
      <c r="E457" s="352"/>
      <c r="F457" s="161"/>
      <c r="G457" s="225"/>
      <c r="H457" s="225"/>
      <c r="I457" s="180"/>
      <c r="J457" s="181"/>
      <c r="K457" s="181"/>
      <c r="L457" s="181"/>
      <c r="M457" s="164"/>
      <c r="N457" s="180"/>
      <c r="O457" s="180"/>
      <c r="P457" s="182"/>
      <c r="Q457" s="104"/>
      <c r="R457" s="358"/>
      <c r="S457" s="104"/>
    </row>
    <row r="458" spans="1:19" ht="29.25" customHeight="1">
      <c r="A458" s="224"/>
      <c r="B458" s="359"/>
      <c r="C458" s="360"/>
      <c r="D458" s="361"/>
      <c r="E458" s="362"/>
      <c r="F458" s="161"/>
      <c r="G458" s="225"/>
      <c r="H458" s="225"/>
      <c r="I458" s="180"/>
      <c r="J458" s="181"/>
      <c r="K458" s="181"/>
      <c r="L458" s="181"/>
      <c r="M458" s="164"/>
      <c r="N458" s="180"/>
      <c r="O458" s="180"/>
      <c r="P458" s="182"/>
      <c r="Q458" s="104"/>
      <c r="R458" s="363"/>
      <c r="S458" s="104"/>
    </row>
    <row r="459" spans="1:19" ht="29.25" customHeight="1">
      <c r="A459" s="224"/>
      <c r="B459" s="359"/>
      <c r="C459" s="360"/>
      <c r="D459" s="361"/>
      <c r="E459" s="352"/>
      <c r="F459" s="161"/>
      <c r="G459" s="225"/>
      <c r="H459" s="225"/>
      <c r="I459" s="180"/>
      <c r="J459" s="181"/>
      <c r="K459" s="181"/>
      <c r="L459" s="181"/>
      <c r="M459" s="164"/>
      <c r="N459" s="180"/>
      <c r="O459" s="180"/>
      <c r="P459" s="182"/>
      <c r="Q459" s="104"/>
      <c r="R459" s="358"/>
      <c r="S459" s="104"/>
    </row>
    <row r="460" spans="1:19" ht="29.25" customHeight="1">
      <c r="A460" s="224"/>
      <c r="B460" s="359"/>
      <c r="C460" s="360"/>
      <c r="D460" s="361"/>
      <c r="E460" s="362"/>
      <c r="F460" s="161"/>
      <c r="G460" s="225"/>
      <c r="H460" s="225"/>
      <c r="I460" s="180"/>
      <c r="J460" s="181"/>
      <c r="K460" s="181"/>
      <c r="L460" s="181"/>
      <c r="M460" s="164"/>
      <c r="N460" s="180"/>
      <c r="O460" s="180"/>
      <c r="P460" s="182"/>
      <c r="Q460" s="104"/>
      <c r="R460" s="363"/>
      <c r="S460" s="104"/>
    </row>
    <row r="461" spans="1:19" ht="29.25" customHeight="1">
      <c r="A461" s="224"/>
      <c r="B461" s="359"/>
      <c r="C461" s="360"/>
      <c r="D461" s="361"/>
      <c r="E461" s="352"/>
      <c r="F461" s="161"/>
      <c r="G461" s="225"/>
      <c r="H461" s="225"/>
      <c r="I461" s="180"/>
      <c r="J461" s="181"/>
      <c r="K461" s="181"/>
      <c r="L461" s="181"/>
      <c r="M461" s="164"/>
      <c r="N461" s="180"/>
      <c r="O461" s="180"/>
      <c r="P461" s="182"/>
      <c r="Q461" s="104"/>
      <c r="R461" s="358"/>
      <c r="S461" s="104"/>
    </row>
    <row r="462" spans="1:19" ht="29.25" customHeight="1">
      <c r="A462" s="224"/>
      <c r="B462" s="359"/>
      <c r="C462" s="360"/>
      <c r="D462" s="361"/>
      <c r="E462" s="362"/>
      <c r="F462" s="161"/>
      <c r="G462" s="225"/>
      <c r="H462" s="225"/>
      <c r="I462" s="180"/>
      <c r="J462" s="181"/>
      <c r="K462" s="181"/>
      <c r="L462" s="181"/>
      <c r="M462" s="164"/>
      <c r="N462" s="180"/>
      <c r="O462" s="180"/>
      <c r="P462" s="182"/>
      <c r="Q462" s="104"/>
      <c r="R462" s="363"/>
      <c r="S462" s="104"/>
    </row>
    <row r="463" spans="1:19" ht="29.25" customHeight="1">
      <c r="A463" s="224"/>
      <c r="B463" s="359"/>
      <c r="C463" s="360"/>
      <c r="D463" s="361"/>
      <c r="E463" s="352"/>
      <c r="F463" s="161"/>
      <c r="G463" s="225"/>
      <c r="H463" s="225"/>
      <c r="I463" s="180"/>
      <c r="J463" s="181"/>
      <c r="K463" s="181"/>
      <c r="L463" s="181"/>
      <c r="M463" s="164"/>
      <c r="N463" s="180"/>
      <c r="O463" s="180"/>
      <c r="P463" s="182"/>
      <c r="Q463" s="104"/>
      <c r="R463" s="358"/>
      <c r="S463" s="104"/>
    </row>
    <row r="464" spans="1:19" ht="29.25" customHeight="1">
      <c r="A464" s="224"/>
      <c r="B464" s="359"/>
      <c r="C464" s="360"/>
      <c r="D464" s="361"/>
      <c r="E464" s="362"/>
      <c r="F464" s="161"/>
      <c r="G464" s="225"/>
      <c r="H464" s="225"/>
      <c r="I464" s="180"/>
      <c r="J464" s="181"/>
      <c r="K464" s="181"/>
      <c r="L464" s="181"/>
      <c r="M464" s="164"/>
      <c r="N464" s="180"/>
      <c r="O464" s="180"/>
      <c r="P464" s="182"/>
      <c r="Q464" s="104"/>
      <c r="R464" s="363"/>
      <c r="S464" s="104"/>
    </row>
    <row r="465" spans="1:19" ht="29.25" customHeight="1">
      <c r="A465" s="224"/>
      <c r="B465" s="359"/>
      <c r="C465" s="360"/>
      <c r="D465" s="361"/>
      <c r="E465" s="352"/>
      <c r="F465" s="161"/>
      <c r="G465" s="225"/>
      <c r="H465" s="225"/>
      <c r="I465" s="180"/>
      <c r="J465" s="181"/>
      <c r="K465" s="181"/>
      <c r="L465" s="181"/>
      <c r="M465" s="164"/>
      <c r="N465" s="180"/>
      <c r="O465" s="180"/>
      <c r="P465" s="182"/>
      <c r="Q465" s="104"/>
      <c r="R465" s="358"/>
      <c r="S465" s="104"/>
    </row>
    <row r="466" spans="1:19" ht="29.25" customHeight="1">
      <c r="A466" s="224"/>
      <c r="B466" s="359"/>
      <c r="C466" s="360"/>
      <c r="D466" s="361"/>
      <c r="E466" s="362"/>
      <c r="F466" s="161"/>
      <c r="G466" s="225"/>
      <c r="H466" s="225"/>
      <c r="I466" s="180"/>
      <c r="J466" s="181"/>
      <c r="K466" s="181"/>
      <c r="L466" s="181"/>
      <c r="M466" s="164"/>
      <c r="N466" s="180"/>
      <c r="O466" s="180"/>
      <c r="P466" s="182"/>
      <c r="Q466" s="104"/>
      <c r="R466" s="363"/>
      <c r="S466" s="104"/>
    </row>
    <row r="467" spans="1:19" ht="29.25" customHeight="1">
      <c r="A467" s="224"/>
      <c r="B467" s="359"/>
      <c r="C467" s="360"/>
      <c r="D467" s="361"/>
      <c r="E467" s="352"/>
      <c r="F467" s="161"/>
      <c r="G467" s="225"/>
      <c r="H467" s="225"/>
      <c r="I467" s="180"/>
      <c r="J467" s="181"/>
      <c r="K467" s="181"/>
      <c r="L467" s="181"/>
      <c r="M467" s="164"/>
      <c r="N467" s="180"/>
      <c r="O467" s="180"/>
      <c r="P467" s="182"/>
      <c r="Q467" s="104"/>
      <c r="R467" s="358"/>
      <c r="S467" s="104"/>
    </row>
    <row r="468" spans="1:19" ht="29.25" customHeight="1">
      <c r="A468" s="224"/>
      <c r="B468" s="359"/>
      <c r="C468" s="360"/>
      <c r="D468" s="361"/>
      <c r="E468" s="362"/>
      <c r="F468" s="161"/>
      <c r="G468" s="225"/>
      <c r="H468" s="225"/>
      <c r="I468" s="180"/>
      <c r="J468" s="181"/>
      <c r="K468" s="181"/>
      <c r="L468" s="181"/>
      <c r="M468" s="164"/>
      <c r="N468" s="180"/>
      <c r="O468" s="180"/>
      <c r="P468" s="182"/>
      <c r="Q468" s="104"/>
      <c r="R468" s="363"/>
      <c r="S468" s="104"/>
    </row>
    <row r="469" spans="1:19" ht="29.25" customHeight="1">
      <c r="A469" s="224"/>
      <c r="B469" s="359"/>
      <c r="C469" s="360"/>
      <c r="D469" s="361"/>
      <c r="E469" s="352"/>
      <c r="F469" s="161"/>
      <c r="G469" s="225"/>
      <c r="H469" s="225"/>
      <c r="I469" s="180"/>
      <c r="J469" s="181"/>
      <c r="K469" s="181"/>
      <c r="L469" s="181"/>
      <c r="M469" s="164"/>
      <c r="N469" s="180"/>
      <c r="O469" s="180"/>
      <c r="P469" s="182"/>
      <c r="Q469" s="104"/>
      <c r="R469" s="358"/>
      <c r="S469" s="104"/>
    </row>
    <row r="470" spans="1:19" ht="29.25" customHeight="1">
      <c r="A470" s="224"/>
      <c r="B470" s="359"/>
      <c r="C470" s="360"/>
      <c r="D470" s="361"/>
      <c r="E470" s="362"/>
      <c r="F470" s="161"/>
      <c r="G470" s="225"/>
      <c r="H470" s="225"/>
      <c r="I470" s="180"/>
      <c r="J470" s="181"/>
      <c r="K470" s="181"/>
      <c r="L470" s="181"/>
      <c r="M470" s="164"/>
      <c r="N470" s="180"/>
      <c r="O470" s="180"/>
      <c r="P470" s="182"/>
      <c r="Q470" s="104"/>
      <c r="R470" s="363"/>
      <c r="S470" s="104"/>
    </row>
    <row r="471" spans="1:19" ht="29.25" customHeight="1">
      <c r="A471" s="224"/>
      <c r="B471" s="359"/>
      <c r="C471" s="360"/>
      <c r="D471" s="361"/>
      <c r="E471" s="352"/>
      <c r="F471" s="161"/>
      <c r="G471" s="225"/>
      <c r="H471" s="225"/>
      <c r="I471" s="180"/>
      <c r="J471" s="181"/>
      <c r="K471" s="181"/>
      <c r="L471" s="181"/>
      <c r="M471" s="164"/>
      <c r="N471" s="180"/>
      <c r="O471" s="180"/>
      <c r="P471" s="182"/>
      <c r="Q471" s="104"/>
      <c r="R471" s="358"/>
      <c r="S471" s="104"/>
    </row>
    <row r="472" spans="1:19" ht="29.25" customHeight="1">
      <c r="A472" s="224"/>
      <c r="B472" s="359"/>
      <c r="C472" s="360"/>
      <c r="D472" s="361"/>
      <c r="E472" s="362"/>
      <c r="F472" s="161"/>
      <c r="G472" s="225"/>
      <c r="H472" s="225"/>
      <c r="I472" s="180"/>
      <c r="J472" s="181"/>
      <c r="K472" s="181"/>
      <c r="L472" s="181"/>
      <c r="M472" s="164"/>
      <c r="N472" s="180"/>
      <c r="O472" s="180"/>
      <c r="P472" s="182"/>
      <c r="Q472" s="104"/>
      <c r="R472" s="363"/>
      <c r="S472" s="104"/>
    </row>
    <row r="473" spans="1:19" ht="29.25" customHeight="1">
      <c r="A473" s="224"/>
      <c r="B473" s="359"/>
      <c r="C473" s="360"/>
      <c r="D473" s="361"/>
      <c r="E473" s="352"/>
      <c r="F473" s="161"/>
      <c r="G473" s="225"/>
      <c r="H473" s="225"/>
      <c r="I473" s="180"/>
      <c r="J473" s="181"/>
      <c r="K473" s="181"/>
      <c r="L473" s="181"/>
      <c r="M473" s="164"/>
      <c r="N473" s="180"/>
      <c r="O473" s="180"/>
      <c r="P473" s="182"/>
      <c r="Q473" s="104"/>
      <c r="R473" s="358"/>
      <c r="S473" s="104"/>
    </row>
    <row r="474" spans="1:19" ht="29.25" customHeight="1">
      <c r="A474" s="224"/>
      <c r="B474" s="359"/>
      <c r="C474" s="360"/>
      <c r="D474" s="361"/>
      <c r="E474" s="362"/>
      <c r="F474" s="161"/>
      <c r="G474" s="225"/>
      <c r="H474" s="225"/>
      <c r="I474" s="180"/>
      <c r="J474" s="181"/>
      <c r="K474" s="181"/>
      <c r="L474" s="181"/>
      <c r="M474" s="164"/>
      <c r="N474" s="180"/>
      <c r="O474" s="180"/>
      <c r="P474" s="182"/>
      <c r="Q474" s="104"/>
      <c r="R474" s="363"/>
      <c r="S474" s="104"/>
    </row>
    <row r="475" spans="1:19" ht="29.25" customHeight="1">
      <c r="A475" s="224"/>
      <c r="B475" s="359"/>
      <c r="C475" s="360"/>
      <c r="D475" s="361"/>
      <c r="E475" s="352"/>
      <c r="F475" s="161"/>
      <c r="G475" s="225"/>
      <c r="H475" s="225"/>
      <c r="I475" s="180"/>
      <c r="J475" s="181"/>
      <c r="K475" s="181"/>
      <c r="L475" s="181"/>
      <c r="M475" s="164"/>
      <c r="N475" s="180"/>
      <c r="O475" s="180"/>
      <c r="P475" s="182"/>
      <c r="Q475" s="104"/>
      <c r="R475" s="358"/>
      <c r="S475" s="104"/>
    </row>
    <row r="476" spans="1:19" ht="29.25" customHeight="1">
      <c r="A476" s="224"/>
      <c r="B476" s="359"/>
      <c r="C476" s="360"/>
      <c r="D476" s="361"/>
      <c r="E476" s="362"/>
      <c r="F476" s="161"/>
      <c r="G476" s="225"/>
      <c r="H476" s="225"/>
      <c r="I476" s="180"/>
      <c r="J476" s="181"/>
      <c r="K476" s="181"/>
      <c r="L476" s="181"/>
      <c r="M476" s="164"/>
      <c r="N476" s="180"/>
      <c r="O476" s="180"/>
      <c r="P476" s="182"/>
      <c r="Q476" s="104"/>
      <c r="R476" s="363"/>
      <c r="S476" s="104"/>
    </row>
    <row r="477" spans="1:19" ht="29.25" customHeight="1">
      <c r="A477" s="224"/>
      <c r="B477" s="359"/>
      <c r="C477" s="360"/>
      <c r="D477" s="361"/>
      <c r="E477" s="352"/>
      <c r="F477" s="161"/>
      <c r="G477" s="225"/>
      <c r="H477" s="225"/>
      <c r="I477" s="180"/>
      <c r="J477" s="181"/>
      <c r="K477" s="181"/>
      <c r="L477" s="181"/>
      <c r="M477" s="164"/>
      <c r="N477" s="180"/>
      <c r="O477" s="180"/>
      <c r="P477" s="182"/>
      <c r="Q477" s="104"/>
      <c r="R477" s="358"/>
      <c r="S477" s="104"/>
    </row>
    <row r="478" spans="1:19" ht="29.25" customHeight="1">
      <c r="A478" s="224"/>
      <c r="B478" s="359"/>
      <c r="C478" s="360"/>
      <c r="D478" s="361"/>
      <c r="E478" s="362"/>
      <c r="F478" s="161"/>
      <c r="G478" s="225"/>
      <c r="H478" s="225"/>
      <c r="I478" s="180"/>
      <c r="J478" s="181"/>
      <c r="K478" s="181"/>
      <c r="L478" s="181"/>
      <c r="M478" s="164"/>
      <c r="N478" s="180"/>
      <c r="O478" s="180"/>
      <c r="P478" s="182"/>
      <c r="Q478" s="104"/>
      <c r="R478" s="363"/>
      <c r="S478" s="104"/>
    </row>
    <row r="479" spans="1:19" ht="29.25" customHeight="1">
      <c r="A479" s="224"/>
      <c r="B479" s="359"/>
      <c r="C479" s="360"/>
      <c r="D479" s="361"/>
      <c r="E479" s="352"/>
      <c r="F479" s="161"/>
      <c r="G479" s="225"/>
      <c r="H479" s="225"/>
      <c r="I479" s="180"/>
      <c r="J479" s="181"/>
      <c r="K479" s="181"/>
      <c r="L479" s="181"/>
      <c r="M479" s="164"/>
      <c r="N479" s="180"/>
      <c r="O479" s="180"/>
      <c r="P479" s="182"/>
      <c r="Q479" s="104"/>
      <c r="R479" s="358"/>
      <c r="S479" s="104"/>
    </row>
    <row r="480" spans="1:19" ht="29.25" customHeight="1">
      <c r="A480" s="224"/>
      <c r="B480" s="359"/>
      <c r="C480" s="360"/>
      <c r="D480" s="361"/>
      <c r="E480" s="362"/>
      <c r="F480" s="161"/>
      <c r="G480" s="225"/>
      <c r="H480" s="225"/>
      <c r="I480" s="180"/>
      <c r="J480" s="181"/>
      <c r="K480" s="181"/>
      <c r="L480" s="181"/>
      <c r="M480" s="164"/>
      <c r="N480" s="180"/>
      <c r="O480" s="180"/>
      <c r="P480" s="182"/>
      <c r="Q480" s="104"/>
      <c r="R480" s="363"/>
      <c r="S480" s="104"/>
    </row>
    <row r="481" spans="1:19" ht="29.25" customHeight="1">
      <c r="A481" s="224"/>
      <c r="B481" s="359"/>
      <c r="C481" s="360"/>
      <c r="D481" s="361"/>
      <c r="E481" s="352"/>
      <c r="F481" s="161"/>
      <c r="G481" s="225"/>
      <c r="H481" s="225"/>
      <c r="I481" s="180"/>
      <c r="J481" s="181"/>
      <c r="K481" s="181"/>
      <c r="L481" s="181"/>
      <c r="M481" s="164"/>
      <c r="N481" s="180"/>
      <c r="O481" s="180"/>
      <c r="P481" s="182"/>
      <c r="Q481" s="104"/>
      <c r="R481" s="358"/>
      <c r="S481" s="104"/>
    </row>
    <row r="482" spans="1:19" ht="29.25" customHeight="1">
      <c r="A482" s="224"/>
      <c r="B482" s="359"/>
      <c r="C482" s="360"/>
      <c r="D482" s="361"/>
      <c r="E482" s="362"/>
      <c r="F482" s="161"/>
      <c r="G482" s="225"/>
      <c r="H482" s="225"/>
      <c r="I482" s="180"/>
      <c r="J482" s="181"/>
      <c r="K482" s="181"/>
      <c r="L482" s="181"/>
      <c r="M482" s="164"/>
      <c r="N482" s="180"/>
      <c r="O482" s="180"/>
      <c r="P482" s="182"/>
      <c r="Q482" s="104"/>
      <c r="R482" s="363"/>
      <c r="S482" s="104"/>
    </row>
    <row r="483" spans="1:19" ht="29.25" customHeight="1">
      <c r="A483" s="224"/>
      <c r="B483" s="359"/>
      <c r="C483" s="360"/>
      <c r="D483" s="361"/>
      <c r="E483" s="352"/>
      <c r="F483" s="161"/>
      <c r="G483" s="225"/>
      <c r="H483" s="225"/>
      <c r="I483" s="180"/>
      <c r="J483" s="181"/>
      <c r="K483" s="181"/>
      <c r="L483" s="181"/>
      <c r="M483" s="164"/>
      <c r="N483" s="180"/>
      <c r="O483" s="180"/>
      <c r="P483" s="182"/>
      <c r="Q483" s="104"/>
      <c r="R483" s="358"/>
      <c r="S483" s="104"/>
    </row>
    <row r="484" spans="1:19" ht="29.25" customHeight="1">
      <c r="A484" s="224"/>
      <c r="B484" s="359"/>
      <c r="C484" s="360"/>
      <c r="D484" s="361"/>
      <c r="E484" s="362"/>
      <c r="F484" s="161"/>
      <c r="G484" s="225"/>
      <c r="H484" s="225"/>
      <c r="I484" s="180"/>
      <c r="J484" s="181"/>
      <c r="K484" s="181"/>
      <c r="L484" s="181"/>
      <c r="M484" s="164"/>
      <c r="N484" s="180"/>
      <c r="O484" s="180"/>
      <c r="P484" s="182"/>
      <c r="Q484" s="104"/>
      <c r="R484" s="363"/>
      <c r="S484" s="104"/>
    </row>
    <row r="485" spans="1:19" ht="29.25" customHeight="1">
      <c r="A485" s="224"/>
      <c r="B485" s="359"/>
      <c r="C485" s="360"/>
      <c r="D485" s="361"/>
      <c r="E485" s="352"/>
      <c r="F485" s="161"/>
      <c r="G485" s="225"/>
      <c r="H485" s="225"/>
      <c r="I485" s="180"/>
      <c r="J485" s="181"/>
      <c r="K485" s="181"/>
      <c r="L485" s="181"/>
      <c r="M485" s="164"/>
      <c r="N485" s="180"/>
      <c r="O485" s="180"/>
      <c r="P485" s="182"/>
      <c r="Q485" s="104"/>
      <c r="R485" s="358"/>
      <c r="S485" s="104"/>
    </row>
    <row r="486" spans="1:19" ht="29.25" customHeight="1">
      <c r="A486" s="224"/>
      <c r="B486" s="359"/>
      <c r="C486" s="360"/>
      <c r="D486" s="361"/>
      <c r="E486" s="362"/>
      <c r="F486" s="161"/>
      <c r="G486" s="225"/>
      <c r="H486" s="225"/>
      <c r="I486" s="180"/>
      <c r="J486" s="181"/>
      <c r="K486" s="181"/>
      <c r="L486" s="181"/>
      <c r="M486" s="164"/>
      <c r="N486" s="180"/>
      <c r="O486" s="180"/>
      <c r="P486" s="182"/>
      <c r="Q486" s="104"/>
      <c r="R486" s="363"/>
      <c r="S486" s="104"/>
    </row>
    <row r="487" spans="1:19" ht="29.25" customHeight="1">
      <c r="A487" s="224"/>
      <c r="B487" s="359"/>
      <c r="C487" s="360"/>
      <c r="D487" s="361"/>
      <c r="E487" s="352"/>
      <c r="F487" s="161"/>
      <c r="G487" s="225"/>
      <c r="H487" s="225"/>
      <c r="I487" s="180"/>
      <c r="J487" s="181"/>
      <c r="K487" s="181"/>
      <c r="L487" s="181"/>
      <c r="M487" s="164"/>
      <c r="N487" s="180"/>
      <c r="O487" s="180"/>
      <c r="P487" s="182"/>
      <c r="Q487" s="104"/>
      <c r="R487" s="358"/>
      <c r="S487" s="104"/>
    </row>
    <row r="488" spans="1:19" ht="29.25" customHeight="1">
      <c r="A488" s="224"/>
      <c r="B488" s="359"/>
      <c r="C488" s="360"/>
      <c r="D488" s="361"/>
      <c r="E488" s="362"/>
      <c r="F488" s="161"/>
      <c r="G488" s="225"/>
      <c r="H488" s="225"/>
      <c r="I488" s="180"/>
      <c r="J488" s="181"/>
      <c r="K488" s="181"/>
      <c r="L488" s="181"/>
      <c r="M488" s="164"/>
      <c r="N488" s="180"/>
      <c r="O488" s="180"/>
      <c r="P488" s="182"/>
      <c r="Q488" s="104"/>
      <c r="R488" s="363"/>
      <c r="S488" s="104"/>
    </row>
    <row r="489" spans="1:19" ht="29.25" customHeight="1">
      <c r="A489" s="224"/>
      <c r="B489" s="359"/>
      <c r="C489" s="360"/>
      <c r="D489" s="361"/>
      <c r="E489" s="352"/>
      <c r="F489" s="161"/>
      <c r="G489" s="225"/>
      <c r="H489" s="225"/>
      <c r="I489" s="180"/>
      <c r="J489" s="181"/>
      <c r="K489" s="181"/>
      <c r="L489" s="181"/>
      <c r="M489" s="164"/>
      <c r="N489" s="180"/>
      <c r="O489" s="180"/>
      <c r="P489" s="182"/>
      <c r="Q489" s="104"/>
      <c r="R489" s="358"/>
      <c r="S489" s="104"/>
    </row>
    <row r="490" spans="1:19" ht="29.25" customHeight="1">
      <c r="A490" s="224"/>
      <c r="B490" s="359"/>
      <c r="C490" s="360"/>
      <c r="D490" s="361"/>
      <c r="E490" s="362"/>
      <c r="F490" s="161"/>
      <c r="G490" s="225"/>
      <c r="H490" s="225"/>
      <c r="I490" s="180"/>
      <c r="J490" s="181"/>
      <c r="K490" s="181"/>
      <c r="L490" s="181"/>
      <c r="M490" s="164"/>
      <c r="N490" s="180"/>
      <c r="O490" s="180"/>
      <c r="P490" s="182"/>
      <c r="Q490" s="104"/>
      <c r="R490" s="363"/>
      <c r="S490" s="104"/>
    </row>
    <row r="491" spans="1:19" ht="29.25" customHeight="1">
      <c r="A491" s="224"/>
      <c r="B491" s="359"/>
      <c r="C491" s="360"/>
      <c r="D491" s="361"/>
      <c r="E491" s="352"/>
      <c r="F491" s="161"/>
      <c r="G491" s="225"/>
      <c r="H491" s="225"/>
      <c r="I491" s="180"/>
      <c r="J491" s="181"/>
      <c r="K491" s="181"/>
      <c r="L491" s="181"/>
      <c r="M491" s="164"/>
      <c r="N491" s="180"/>
      <c r="O491" s="180"/>
      <c r="P491" s="182"/>
      <c r="Q491" s="104"/>
      <c r="R491" s="358"/>
      <c r="S491" s="104"/>
    </row>
    <row r="492" spans="1:19" ht="29.25" customHeight="1">
      <c r="A492" s="224"/>
      <c r="B492" s="359"/>
      <c r="C492" s="360"/>
      <c r="D492" s="361"/>
      <c r="E492" s="362"/>
      <c r="F492" s="161"/>
      <c r="G492" s="225"/>
      <c r="H492" s="225"/>
      <c r="I492" s="180"/>
      <c r="J492" s="181"/>
      <c r="K492" s="181"/>
      <c r="L492" s="181"/>
      <c r="M492" s="164"/>
      <c r="N492" s="180"/>
      <c r="O492" s="180"/>
      <c r="P492" s="182"/>
      <c r="Q492" s="104"/>
      <c r="R492" s="363"/>
      <c r="S492" s="104"/>
    </row>
    <row r="493" spans="1:19" ht="29.25" customHeight="1">
      <c r="A493" s="224"/>
      <c r="B493" s="359"/>
      <c r="C493" s="360"/>
      <c r="D493" s="361"/>
      <c r="E493" s="352"/>
      <c r="F493" s="161"/>
      <c r="G493" s="225"/>
      <c r="H493" s="225"/>
      <c r="I493" s="180"/>
      <c r="J493" s="181"/>
      <c r="K493" s="181"/>
      <c r="L493" s="181"/>
      <c r="M493" s="164"/>
      <c r="N493" s="180"/>
      <c r="O493" s="180"/>
      <c r="P493" s="182"/>
      <c r="Q493" s="104"/>
      <c r="R493" s="358"/>
      <c r="S493" s="104"/>
    </row>
    <row r="494" spans="1:19" ht="29.25" customHeight="1">
      <c r="A494" s="224"/>
      <c r="B494" s="359"/>
      <c r="C494" s="360"/>
      <c r="D494" s="361"/>
      <c r="E494" s="362"/>
      <c r="F494" s="161"/>
      <c r="G494" s="225"/>
      <c r="H494" s="225"/>
      <c r="I494" s="180"/>
      <c r="J494" s="181"/>
      <c r="K494" s="181"/>
      <c r="L494" s="181"/>
      <c r="M494" s="164"/>
      <c r="N494" s="180"/>
      <c r="O494" s="180"/>
      <c r="P494" s="182"/>
      <c r="Q494" s="104"/>
      <c r="R494" s="363"/>
      <c r="S494" s="104"/>
    </row>
    <row r="495" spans="1:19" ht="29.25" customHeight="1">
      <c r="A495" s="224"/>
      <c r="B495" s="359"/>
      <c r="C495" s="360"/>
      <c r="D495" s="361"/>
      <c r="E495" s="352"/>
      <c r="F495" s="161"/>
      <c r="G495" s="225"/>
      <c r="H495" s="225"/>
      <c r="I495" s="180"/>
      <c r="J495" s="181"/>
      <c r="K495" s="181"/>
      <c r="L495" s="181"/>
      <c r="M495" s="164"/>
      <c r="N495" s="180"/>
      <c r="O495" s="180"/>
      <c r="P495" s="182"/>
      <c r="Q495" s="104"/>
      <c r="R495" s="358"/>
      <c r="S495" s="104"/>
    </row>
    <row r="496" spans="1:19" ht="29.25" customHeight="1">
      <c r="A496" s="224"/>
      <c r="B496" s="359"/>
      <c r="C496" s="360"/>
      <c r="D496" s="361"/>
      <c r="E496" s="362"/>
      <c r="F496" s="161"/>
      <c r="G496" s="225"/>
      <c r="H496" s="225"/>
      <c r="I496" s="180"/>
      <c r="J496" s="181"/>
      <c r="K496" s="181"/>
      <c r="L496" s="181"/>
      <c r="M496" s="164"/>
      <c r="N496" s="180"/>
      <c r="O496" s="180"/>
      <c r="P496" s="182"/>
      <c r="Q496" s="104"/>
      <c r="R496" s="363"/>
      <c r="S496" s="104"/>
    </row>
    <row r="497" spans="1:19" ht="29.25" customHeight="1">
      <c r="A497" s="224"/>
      <c r="B497" s="359"/>
      <c r="C497" s="360"/>
      <c r="D497" s="361"/>
      <c r="E497" s="352"/>
      <c r="F497" s="161"/>
      <c r="G497" s="225"/>
      <c r="H497" s="225"/>
      <c r="I497" s="180"/>
      <c r="J497" s="181"/>
      <c r="K497" s="181"/>
      <c r="L497" s="181"/>
      <c r="M497" s="164"/>
      <c r="N497" s="180"/>
      <c r="O497" s="180"/>
      <c r="P497" s="182"/>
      <c r="Q497" s="104"/>
      <c r="R497" s="358"/>
      <c r="S497" s="104"/>
    </row>
    <row r="498" spans="1:19" ht="29.25" customHeight="1">
      <c r="A498" s="224"/>
      <c r="B498" s="359"/>
      <c r="C498" s="360"/>
      <c r="D498" s="361"/>
      <c r="E498" s="362"/>
      <c r="F498" s="161"/>
      <c r="G498" s="225"/>
      <c r="H498" s="225"/>
      <c r="I498" s="180"/>
      <c r="J498" s="181"/>
      <c r="K498" s="181"/>
      <c r="L498" s="181"/>
      <c r="M498" s="164"/>
      <c r="N498" s="180"/>
      <c r="O498" s="180"/>
      <c r="P498" s="182"/>
      <c r="Q498" s="104"/>
      <c r="R498" s="363"/>
      <c r="S498" s="104"/>
    </row>
    <row r="499" spans="1:19" ht="29.25" customHeight="1">
      <c r="A499" s="224"/>
      <c r="B499" s="359"/>
      <c r="C499" s="360"/>
      <c r="D499" s="361"/>
      <c r="E499" s="352"/>
      <c r="F499" s="161"/>
      <c r="G499" s="225"/>
      <c r="H499" s="225"/>
      <c r="I499" s="180"/>
      <c r="J499" s="181"/>
      <c r="K499" s="181"/>
      <c r="L499" s="181"/>
      <c r="M499" s="164"/>
      <c r="N499" s="180"/>
      <c r="O499" s="180"/>
      <c r="P499" s="182"/>
      <c r="Q499" s="104"/>
      <c r="R499" s="358"/>
      <c r="S499" s="104"/>
    </row>
    <row r="500" spans="1:19" ht="29.25" customHeight="1">
      <c r="A500" s="224"/>
      <c r="B500" s="359"/>
      <c r="C500" s="360"/>
      <c r="D500" s="361"/>
      <c r="E500" s="362"/>
      <c r="F500" s="161"/>
      <c r="G500" s="225"/>
      <c r="H500" s="225"/>
      <c r="I500" s="180"/>
      <c r="J500" s="181"/>
      <c r="K500" s="181"/>
      <c r="L500" s="181"/>
      <c r="M500" s="164"/>
      <c r="N500" s="180"/>
      <c r="O500" s="180"/>
      <c r="P500" s="182"/>
      <c r="Q500" s="104"/>
      <c r="R500" s="363"/>
      <c r="S500" s="104"/>
    </row>
    <row r="501" spans="1:19" ht="29.25" customHeight="1">
      <c r="A501" s="224"/>
      <c r="B501" s="359"/>
      <c r="C501" s="360"/>
      <c r="D501" s="361"/>
      <c r="E501" s="352"/>
      <c r="F501" s="161"/>
      <c r="G501" s="225"/>
      <c r="H501" s="225"/>
      <c r="I501" s="180"/>
      <c r="J501" s="181"/>
      <c r="K501" s="181"/>
      <c r="L501" s="181"/>
      <c r="M501" s="164"/>
      <c r="N501" s="180"/>
      <c r="O501" s="180"/>
      <c r="P501" s="182"/>
      <c r="Q501" s="104"/>
      <c r="R501" s="358"/>
      <c r="S501" s="104"/>
    </row>
    <row r="502" spans="1:19" ht="29.25" customHeight="1">
      <c r="A502" s="224"/>
      <c r="B502" s="359"/>
      <c r="C502" s="360"/>
      <c r="D502" s="361"/>
      <c r="E502" s="362"/>
      <c r="F502" s="161"/>
      <c r="G502" s="225"/>
      <c r="H502" s="225"/>
      <c r="I502" s="180"/>
      <c r="J502" s="181"/>
      <c r="K502" s="181"/>
      <c r="L502" s="181"/>
      <c r="M502" s="164"/>
      <c r="N502" s="180"/>
      <c r="O502" s="180"/>
      <c r="P502" s="182"/>
      <c r="Q502" s="104"/>
      <c r="R502" s="363"/>
      <c r="S502" s="104"/>
    </row>
    <row r="503" spans="1:19" ht="29.25" customHeight="1">
      <c r="A503" s="224"/>
      <c r="B503" s="359"/>
      <c r="C503" s="360"/>
      <c r="D503" s="361"/>
      <c r="E503" s="352"/>
      <c r="F503" s="161"/>
      <c r="G503" s="225"/>
      <c r="H503" s="225"/>
      <c r="I503" s="180"/>
      <c r="J503" s="181"/>
      <c r="K503" s="181"/>
      <c r="L503" s="181"/>
      <c r="M503" s="164"/>
      <c r="N503" s="180"/>
      <c r="O503" s="180"/>
      <c r="P503" s="182"/>
      <c r="Q503" s="104"/>
      <c r="R503" s="358"/>
      <c r="S503" s="104"/>
    </row>
    <row r="504" spans="1:19" ht="29.25" customHeight="1">
      <c r="A504" s="224"/>
      <c r="B504" s="359"/>
      <c r="C504" s="360"/>
      <c r="D504" s="361"/>
      <c r="E504" s="362"/>
      <c r="F504" s="161"/>
      <c r="G504" s="225"/>
      <c r="H504" s="225"/>
      <c r="I504" s="180"/>
      <c r="J504" s="181"/>
      <c r="K504" s="181"/>
      <c r="L504" s="181"/>
      <c r="M504" s="164"/>
      <c r="N504" s="180"/>
      <c r="O504" s="180"/>
      <c r="P504" s="182"/>
      <c r="Q504" s="104"/>
      <c r="R504" s="363"/>
      <c r="S504" s="104"/>
    </row>
    <row r="505" spans="1:19" ht="29.25" customHeight="1">
      <c r="A505" s="224"/>
      <c r="B505" s="359"/>
      <c r="C505" s="360"/>
      <c r="D505" s="361"/>
      <c r="E505" s="352"/>
      <c r="F505" s="161"/>
      <c r="G505" s="225"/>
      <c r="H505" s="225"/>
      <c r="I505" s="180"/>
      <c r="J505" s="181"/>
      <c r="K505" s="181"/>
      <c r="L505" s="181"/>
      <c r="M505" s="164"/>
      <c r="N505" s="180"/>
      <c r="O505" s="180"/>
      <c r="P505" s="182"/>
      <c r="Q505" s="104"/>
      <c r="R505" s="358"/>
      <c r="S505" s="104"/>
    </row>
    <row r="506" spans="1:19" ht="29.25" customHeight="1">
      <c r="A506" s="224"/>
      <c r="B506" s="359"/>
      <c r="C506" s="360"/>
      <c r="D506" s="361"/>
      <c r="E506" s="362"/>
      <c r="F506" s="161"/>
      <c r="G506" s="225"/>
      <c r="H506" s="225"/>
      <c r="I506" s="180"/>
      <c r="J506" s="181"/>
      <c r="K506" s="181"/>
      <c r="L506" s="181"/>
      <c r="M506" s="164"/>
      <c r="N506" s="180"/>
      <c r="O506" s="180"/>
      <c r="P506" s="182"/>
      <c r="Q506" s="104"/>
      <c r="R506" s="363"/>
      <c r="S506" s="104"/>
    </row>
    <row r="507" spans="1:19" ht="29.25" customHeight="1">
      <c r="A507" s="224"/>
      <c r="B507" s="359"/>
      <c r="C507" s="360"/>
      <c r="D507" s="361"/>
      <c r="E507" s="352"/>
      <c r="F507" s="161"/>
      <c r="G507" s="225"/>
      <c r="H507" s="225"/>
      <c r="I507" s="180"/>
      <c r="J507" s="181"/>
      <c r="K507" s="181"/>
      <c r="L507" s="181"/>
      <c r="M507" s="164"/>
      <c r="N507" s="180"/>
      <c r="O507" s="180"/>
      <c r="P507" s="182"/>
      <c r="Q507" s="104"/>
      <c r="R507" s="358"/>
      <c r="S507" s="104"/>
    </row>
    <row r="508" spans="1:19" ht="29.25" customHeight="1">
      <c r="A508" s="224"/>
      <c r="B508" s="359"/>
      <c r="C508" s="360"/>
      <c r="D508" s="361"/>
      <c r="E508" s="362"/>
      <c r="F508" s="161"/>
      <c r="G508" s="225"/>
      <c r="H508" s="225"/>
      <c r="I508" s="180"/>
      <c r="J508" s="181"/>
      <c r="K508" s="181"/>
      <c r="L508" s="181"/>
      <c r="M508" s="164"/>
      <c r="N508" s="180"/>
      <c r="O508" s="180"/>
      <c r="P508" s="182"/>
      <c r="Q508" s="104"/>
      <c r="R508" s="363"/>
      <c r="S508" s="104"/>
    </row>
    <row r="509" spans="1:19" ht="29.25" customHeight="1">
      <c r="A509" s="224"/>
      <c r="B509" s="359"/>
      <c r="C509" s="360"/>
      <c r="D509" s="361"/>
      <c r="E509" s="352"/>
      <c r="F509" s="161"/>
      <c r="G509" s="225"/>
      <c r="H509" s="225"/>
      <c r="I509" s="180"/>
      <c r="J509" s="181"/>
      <c r="K509" s="181"/>
      <c r="L509" s="181"/>
      <c r="M509" s="164"/>
      <c r="N509" s="180"/>
      <c r="O509" s="180"/>
      <c r="P509" s="182"/>
      <c r="Q509" s="104"/>
      <c r="R509" s="358"/>
      <c r="S509" s="104"/>
    </row>
    <row r="510" spans="1:19" ht="29.25" customHeight="1">
      <c r="A510" s="224"/>
      <c r="B510" s="359"/>
      <c r="C510" s="360"/>
      <c r="D510" s="361"/>
      <c r="E510" s="362"/>
      <c r="F510" s="161"/>
      <c r="G510" s="225"/>
      <c r="H510" s="225"/>
      <c r="I510" s="180"/>
      <c r="J510" s="181"/>
      <c r="K510" s="181"/>
      <c r="L510" s="181"/>
      <c r="M510" s="164"/>
      <c r="N510" s="180"/>
      <c r="O510" s="180"/>
      <c r="P510" s="182"/>
      <c r="Q510" s="104"/>
      <c r="R510" s="363"/>
      <c r="S510" s="104"/>
    </row>
    <row r="511" spans="1:19" ht="29.25" customHeight="1">
      <c r="A511" s="224"/>
      <c r="B511" s="359"/>
      <c r="C511" s="360"/>
      <c r="D511" s="361"/>
      <c r="E511" s="352"/>
      <c r="F511" s="161"/>
      <c r="G511" s="225"/>
      <c r="H511" s="225"/>
      <c r="I511" s="180"/>
      <c r="J511" s="181"/>
      <c r="K511" s="181"/>
      <c r="L511" s="181"/>
      <c r="M511" s="164"/>
      <c r="N511" s="180"/>
      <c r="O511" s="180"/>
      <c r="P511" s="182"/>
      <c r="Q511" s="104"/>
      <c r="R511" s="358"/>
      <c r="S511" s="104"/>
    </row>
    <row r="512" spans="1:19" ht="29.25" customHeight="1">
      <c r="A512" s="224"/>
      <c r="B512" s="359"/>
      <c r="C512" s="360"/>
      <c r="D512" s="361"/>
      <c r="E512" s="362"/>
      <c r="F512" s="161"/>
      <c r="G512" s="225"/>
      <c r="H512" s="225"/>
      <c r="I512" s="180"/>
      <c r="J512" s="181"/>
      <c r="K512" s="181"/>
      <c r="L512" s="181"/>
      <c r="M512" s="164"/>
      <c r="N512" s="180"/>
      <c r="O512" s="180"/>
      <c r="P512" s="182"/>
      <c r="Q512" s="104"/>
      <c r="R512" s="363"/>
      <c r="S512" s="104"/>
    </row>
    <row r="513" spans="1:19" ht="29.25" customHeight="1">
      <c r="A513" s="224"/>
      <c r="B513" s="359"/>
      <c r="C513" s="360"/>
      <c r="D513" s="361"/>
      <c r="E513" s="352"/>
      <c r="F513" s="161"/>
      <c r="G513" s="225"/>
      <c r="H513" s="225"/>
      <c r="I513" s="180"/>
      <c r="J513" s="181"/>
      <c r="K513" s="181"/>
      <c r="L513" s="181"/>
      <c r="M513" s="164"/>
      <c r="N513" s="180"/>
      <c r="O513" s="180"/>
      <c r="P513" s="182"/>
      <c r="Q513" s="104"/>
      <c r="R513" s="358"/>
      <c r="S513" s="104"/>
    </row>
    <row r="514" spans="1:19" ht="29.25" customHeight="1">
      <c r="A514" s="224"/>
      <c r="B514" s="359"/>
      <c r="C514" s="360"/>
      <c r="D514" s="361"/>
      <c r="E514" s="362"/>
      <c r="F514" s="161"/>
      <c r="G514" s="225"/>
      <c r="H514" s="225"/>
      <c r="I514" s="180"/>
      <c r="J514" s="181"/>
      <c r="K514" s="181"/>
      <c r="L514" s="181"/>
      <c r="M514" s="164"/>
      <c r="N514" s="180"/>
      <c r="O514" s="180"/>
      <c r="P514" s="182"/>
      <c r="Q514" s="104"/>
      <c r="R514" s="363"/>
      <c r="S514" s="104"/>
    </row>
    <row r="515" spans="1:19" ht="29.25" customHeight="1">
      <c r="A515" s="224"/>
      <c r="B515" s="359"/>
      <c r="C515" s="360"/>
      <c r="D515" s="361"/>
      <c r="E515" s="352"/>
      <c r="F515" s="161"/>
      <c r="G515" s="225"/>
      <c r="H515" s="225"/>
      <c r="I515" s="180"/>
      <c r="J515" s="181"/>
      <c r="K515" s="181"/>
      <c r="L515" s="181"/>
      <c r="M515" s="164"/>
      <c r="N515" s="180"/>
      <c r="O515" s="180"/>
      <c r="P515" s="182"/>
      <c r="Q515" s="104"/>
      <c r="R515" s="358"/>
      <c r="S515" s="104"/>
    </row>
    <row r="516" spans="1:19" ht="29.25" customHeight="1">
      <c r="A516" s="224"/>
      <c r="B516" s="359"/>
      <c r="C516" s="360"/>
      <c r="D516" s="361"/>
      <c r="E516" s="362"/>
      <c r="F516" s="161"/>
      <c r="G516" s="225"/>
      <c r="H516" s="225"/>
      <c r="I516" s="180"/>
      <c r="J516" s="181"/>
      <c r="K516" s="181"/>
      <c r="L516" s="181"/>
      <c r="M516" s="164"/>
      <c r="N516" s="180"/>
      <c r="O516" s="180"/>
      <c r="P516" s="182"/>
      <c r="Q516" s="104"/>
      <c r="R516" s="363"/>
      <c r="S516" s="104"/>
    </row>
    <row r="517" spans="1:19" ht="29.25" customHeight="1">
      <c r="A517" s="224"/>
      <c r="B517" s="359"/>
      <c r="C517" s="360"/>
      <c r="D517" s="361"/>
      <c r="E517" s="352"/>
      <c r="F517" s="161"/>
      <c r="G517" s="225"/>
      <c r="H517" s="225"/>
      <c r="I517" s="180"/>
      <c r="J517" s="181"/>
      <c r="K517" s="181"/>
      <c r="L517" s="181"/>
      <c r="M517" s="164"/>
      <c r="N517" s="180"/>
      <c r="O517" s="180"/>
      <c r="P517" s="182"/>
      <c r="Q517" s="104"/>
      <c r="R517" s="358"/>
      <c r="S517" s="104"/>
    </row>
    <row r="518" spans="1:19" ht="29.25" customHeight="1">
      <c r="A518" s="224"/>
      <c r="B518" s="359"/>
      <c r="C518" s="360"/>
      <c r="D518" s="361"/>
      <c r="E518" s="362"/>
      <c r="F518" s="161"/>
      <c r="G518" s="225"/>
      <c r="H518" s="225"/>
      <c r="I518" s="180"/>
      <c r="J518" s="181"/>
      <c r="K518" s="181"/>
      <c r="L518" s="181"/>
      <c r="M518" s="164"/>
      <c r="N518" s="180"/>
      <c r="O518" s="180"/>
      <c r="P518" s="182"/>
      <c r="Q518" s="104"/>
      <c r="R518" s="363"/>
      <c r="S518" s="104"/>
    </row>
    <row r="519" spans="1:19" ht="29.25" customHeight="1">
      <c r="A519" s="224"/>
      <c r="B519" s="359"/>
      <c r="C519" s="360"/>
      <c r="D519" s="361"/>
      <c r="E519" s="352"/>
      <c r="F519" s="161"/>
      <c r="G519" s="225"/>
      <c r="H519" s="225"/>
      <c r="I519" s="180"/>
      <c r="J519" s="181"/>
      <c r="K519" s="181"/>
      <c r="L519" s="181"/>
      <c r="M519" s="164"/>
      <c r="N519" s="180"/>
      <c r="O519" s="180"/>
      <c r="P519" s="182"/>
      <c r="Q519" s="104"/>
      <c r="R519" s="358"/>
      <c r="S519" s="104"/>
    </row>
    <row r="520" spans="1:19" ht="29.25" customHeight="1">
      <c r="A520" s="224"/>
      <c r="B520" s="359"/>
      <c r="C520" s="360"/>
      <c r="D520" s="361"/>
      <c r="E520" s="362"/>
      <c r="F520" s="161"/>
      <c r="G520" s="225"/>
      <c r="H520" s="225"/>
      <c r="I520" s="180"/>
      <c r="J520" s="181"/>
      <c r="K520" s="181"/>
      <c r="L520" s="181"/>
      <c r="M520" s="164"/>
      <c r="N520" s="180"/>
      <c r="O520" s="180"/>
      <c r="P520" s="182"/>
      <c r="Q520" s="104"/>
      <c r="R520" s="363"/>
      <c r="S520" s="104"/>
    </row>
    <row r="521" spans="1:19" ht="29.25" customHeight="1">
      <c r="A521" s="224"/>
      <c r="B521" s="359"/>
      <c r="C521" s="360"/>
      <c r="D521" s="361"/>
      <c r="E521" s="352"/>
      <c r="F521" s="161"/>
      <c r="G521" s="225"/>
      <c r="H521" s="225"/>
      <c r="I521" s="180"/>
      <c r="J521" s="181"/>
      <c r="K521" s="181"/>
      <c r="L521" s="181"/>
      <c r="M521" s="164"/>
      <c r="N521" s="180"/>
      <c r="O521" s="180"/>
      <c r="P521" s="182"/>
      <c r="Q521" s="104"/>
      <c r="R521" s="358"/>
      <c r="S521" s="104"/>
    </row>
    <row r="522" spans="1:19" ht="29.25" customHeight="1">
      <c r="A522" s="224"/>
      <c r="B522" s="359"/>
      <c r="C522" s="360"/>
      <c r="D522" s="361"/>
      <c r="E522" s="362"/>
      <c r="F522" s="161"/>
      <c r="G522" s="225"/>
      <c r="H522" s="225"/>
      <c r="I522" s="180"/>
      <c r="J522" s="181"/>
      <c r="K522" s="181"/>
      <c r="L522" s="181"/>
      <c r="M522" s="164"/>
      <c r="N522" s="180"/>
      <c r="O522" s="180"/>
      <c r="P522" s="182"/>
      <c r="Q522" s="104"/>
      <c r="R522" s="363"/>
      <c r="S522" s="104"/>
    </row>
    <row r="523" spans="1:19" ht="29.25" customHeight="1">
      <c r="A523" s="224"/>
      <c r="B523" s="359"/>
      <c r="C523" s="360"/>
      <c r="D523" s="361"/>
      <c r="E523" s="352"/>
      <c r="F523" s="161"/>
      <c r="G523" s="225"/>
      <c r="H523" s="225"/>
      <c r="I523" s="180"/>
      <c r="J523" s="181"/>
      <c r="K523" s="181"/>
      <c r="L523" s="181"/>
      <c r="M523" s="164"/>
      <c r="N523" s="180"/>
      <c r="O523" s="180"/>
      <c r="P523" s="182"/>
      <c r="Q523" s="104"/>
      <c r="R523" s="358"/>
      <c r="S523" s="104"/>
    </row>
    <row r="524" spans="1:19" ht="29.25" customHeight="1">
      <c r="A524" s="224"/>
      <c r="B524" s="359"/>
      <c r="C524" s="360"/>
      <c r="D524" s="361"/>
      <c r="E524" s="362"/>
      <c r="F524" s="161"/>
      <c r="G524" s="225"/>
      <c r="H524" s="225"/>
      <c r="I524" s="180"/>
      <c r="J524" s="181"/>
      <c r="K524" s="181"/>
      <c r="L524" s="181"/>
      <c r="M524" s="164"/>
      <c r="N524" s="180"/>
      <c r="O524" s="180"/>
      <c r="P524" s="182"/>
      <c r="Q524" s="104"/>
      <c r="R524" s="363"/>
      <c r="S524" s="104"/>
    </row>
    <row r="525" spans="1:19" ht="29.25" customHeight="1">
      <c r="A525" s="224"/>
      <c r="B525" s="359"/>
      <c r="C525" s="360"/>
      <c r="D525" s="361"/>
      <c r="E525" s="352"/>
      <c r="F525" s="161"/>
      <c r="G525" s="225"/>
      <c r="H525" s="225"/>
      <c r="I525" s="180"/>
      <c r="J525" s="181"/>
      <c r="K525" s="181"/>
      <c r="L525" s="181"/>
      <c r="M525" s="164"/>
      <c r="N525" s="180"/>
      <c r="O525" s="180"/>
      <c r="P525" s="182"/>
      <c r="Q525" s="104"/>
      <c r="R525" s="358"/>
      <c r="S525" s="104"/>
    </row>
    <row r="526" spans="1:19" ht="29.25" customHeight="1">
      <c r="A526" s="224"/>
      <c r="B526" s="359"/>
      <c r="C526" s="360"/>
      <c r="D526" s="361"/>
      <c r="E526" s="362"/>
      <c r="F526" s="161"/>
      <c r="G526" s="225"/>
      <c r="H526" s="225"/>
      <c r="I526" s="180"/>
      <c r="J526" s="181"/>
      <c r="K526" s="181"/>
      <c r="L526" s="181"/>
      <c r="M526" s="164"/>
      <c r="N526" s="180"/>
      <c r="O526" s="180"/>
      <c r="P526" s="182"/>
      <c r="Q526" s="104"/>
      <c r="R526" s="363"/>
      <c r="S526" s="104"/>
    </row>
    <row r="527" spans="1:19" ht="29.25" customHeight="1">
      <c r="A527" s="224"/>
      <c r="B527" s="359"/>
      <c r="C527" s="360"/>
      <c r="D527" s="361"/>
      <c r="E527" s="352"/>
      <c r="F527" s="161"/>
      <c r="G527" s="225"/>
      <c r="H527" s="225"/>
      <c r="I527" s="180"/>
      <c r="J527" s="181"/>
      <c r="K527" s="181"/>
      <c r="L527" s="181"/>
      <c r="M527" s="164"/>
      <c r="N527" s="180"/>
      <c r="O527" s="180"/>
      <c r="P527" s="182"/>
      <c r="Q527" s="104"/>
      <c r="R527" s="358"/>
      <c r="S527" s="104"/>
    </row>
    <row r="528" spans="1:19" ht="29.25" customHeight="1">
      <c r="A528" s="224"/>
      <c r="B528" s="359"/>
      <c r="C528" s="360"/>
      <c r="D528" s="361"/>
      <c r="E528" s="362"/>
      <c r="F528" s="161"/>
      <c r="G528" s="225"/>
      <c r="H528" s="225"/>
      <c r="I528" s="180"/>
      <c r="J528" s="181"/>
      <c r="K528" s="181"/>
      <c r="L528" s="181"/>
      <c r="M528" s="164"/>
      <c r="N528" s="180"/>
      <c r="O528" s="180"/>
      <c r="P528" s="182"/>
      <c r="Q528" s="104"/>
      <c r="R528" s="363"/>
      <c r="S528" s="104"/>
    </row>
    <row r="529" spans="1:19" ht="29.25" customHeight="1">
      <c r="A529" s="224"/>
      <c r="B529" s="359"/>
      <c r="C529" s="360"/>
      <c r="D529" s="361"/>
      <c r="E529" s="352"/>
      <c r="F529" s="161"/>
      <c r="G529" s="225"/>
      <c r="H529" s="225"/>
      <c r="I529" s="180"/>
      <c r="J529" s="181"/>
      <c r="K529" s="181"/>
      <c r="L529" s="181"/>
      <c r="M529" s="164"/>
      <c r="N529" s="180"/>
      <c r="O529" s="180"/>
      <c r="P529" s="182"/>
      <c r="Q529" s="104"/>
      <c r="R529" s="358"/>
      <c r="S529" s="104"/>
    </row>
    <row r="530" spans="1:19" ht="29.25" customHeight="1">
      <c r="A530" s="224"/>
      <c r="B530" s="359"/>
      <c r="C530" s="360"/>
      <c r="D530" s="361"/>
      <c r="E530" s="362"/>
      <c r="F530" s="161"/>
      <c r="G530" s="225"/>
      <c r="H530" s="225"/>
      <c r="I530" s="180"/>
      <c r="J530" s="181"/>
      <c r="K530" s="181"/>
      <c r="L530" s="181"/>
      <c r="M530" s="164"/>
      <c r="N530" s="180"/>
      <c r="O530" s="180"/>
      <c r="P530" s="182"/>
      <c r="Q530" s="104"/>
      <c r="R530" s="363"/>
      <c r="S530" s="104"/>
    </row>
    <row r="531" spans="1:19" ht="29.25" customHeight="1">
      <c r="A531" s="224"/>
      <c r="B531" s="359"/>
      <c r="C531" s="360"/>
      <c r="D531" s="361"/>
      <c r="E531" s="352"/>
      <c r="F531" s="161"/>
      <c r="G531" s="225"/>
      <c r="H531" s="225"/>
      <c r="I531" s="180"/>
      <c r="J531" s="181"/>
      <c r="K531" s="181"/>
      <c r="L531" s="181"/>
      <c r="M531" s="164"/>
      <c r="N531" s="180"/>
      <c r="O531" s="180"/>
      <c r="P531" s="182"/>
      <c r="Q531" s="104"/>
      <c r="R531" s="358"/>
      <c r="S531" s="104"/>
    </row>
    <row r="532" spans="1:19" ht="29.25" customHeight="1">
      <c r="A532" s="224"/>
      <c r="B532" s="359"/>
      <c r="C532" s="360"/>
      <c r="D532" s="361"/>
      <c r="E532" s="362"/>
      <c r="F532" s="161"/>
      <c r="G532" s="225"/>
      <c r="H532" s="225"/>
      <c r="I532" s="180"/>
      <c r="J532" s="181"/>
      <c r="K532" s="181"/>
      <c r="L532" s="181"/>
      <c r="M532" s="164"/>
      <c r="N532" s="180"/>
      <c r="O532" s="180"/>
      <c r="P532" s="182"/>
      <c r="Q532" s="104"/>
      <c r="R532" s="363"/>
      <c r="S532" s="104"/>
    </row>
    <row r="533" spans="1:19" ht="29.25" customHeight="1">
      <c r="A533" s="224"/>
      <c r="B533" s="359"/>
      <c r="C533" s="360"/>
      <c r="D533" s="361"/>
      <c r="E533" s="352"/>
      <c r="F533" s="161"/>
      <c r="G533" s="225"/>
      <c r="H533" s="225"/>
      <c r="I533" s="180"/>
      <c r="J533" s="181"/>
      <c r="K533" s="181"/>
      <c r="L533" s="181"/>
      <c r="M533" s="164"/>
      <c r="N533" s="180"/>
      <c r="O533" s="180"/>
      <c r="P533" s="182"/>
      <c r="Q533" s="104"/>
      <c r="R533" s="358"/>
      <c r="S533" s="104"/>
    </row>
    <row r="534" spans="1:19" ht="29.25" customHeight="1">
      <c r="A534" s="224"/>
      <c r="B534" s="359"/>
      <c r="C534" s="360"/>
      <c r="D534" s="361"/>
      <c r="E534" s="362"/>
      <c r="F534" s="161"/>
      <c r="G534" s="225"/>
      <c r="H534" s="225"/>
      <c r="I534" s="180"/>
      <c r="J534" s="181"/>
      <c r="K534" s="181"/>
      <c r="L534" s="181"/>
      <c r="M534" s="164"/>
      <c r="N534" s="180"/>
      <c r="O534" s="180"/>
      <c r="P534" s="182"/>
      <c r="Q534" s="104"/>
      <c r="R534" s="363"/>
      <c r="S534" s="104"/>
    </row>
    <row r="535" spans="1:19" ht="29.25" customHeight="1">
      <c r="A535" s="224"/>
      <c r="B535" s="359"/>
      <c r="C535" s="360"/>
      <c r="D535" s="361"/>
      <c r="E535" s="352"/>
      <c r="F535" s="161"/>
      <c r="G535" s="225"/>
      <c r="H535" s="225"/>
      <c r="I535" s="180"/>
      <c r="J535" s="181"/>
      <c r="K535" s="181"/>
      <c r="L535" s="181"/>
      <c r="M535" s="164"/>
      <c r="N535" s="180"/>
      <c r="O535" s="180"/>
      <c r="P535" s="182"/>
      <c r="Q535" s="104"/>
      <c r="R535" s="358"/>
      <c r="S535" s="104"/>
    </row>
    <row r="536" spans="1:19" ht="29.25" customHeight="1">
      <c r="A536" s="224"/>
      <c r="B536" s="359"/>
      <c r="C536" s="360"/>
      <c r="D536" s="361"/>
      <c r="E536" s="362"/>
      <c r="F536" s="161"/>
      <c r="G536" s="225"/>
      <c r="H536" s="225"/>
      <c r="I536" s="180"/>
      <c r="J536" s="181"/>
      <c r="K536" s="181"/>
      <c r="L536" s="181"/>
      <c r="M536" s="164"/>
      <c r="N536" s="180"/>
      <c r="O536" s="180"/>
      <c r="P536" s="182"/>
      <c r="Q536" s="104"/>
      <c r="R536" s="363"/>
      <c r="S536" s="104"/>
    </row>
    <row r="537" spans="1:19" ht="29.25" customHeight="1">
      <c r="A537" s="224"/>
      <c r="B537" s="359"/>
      <c r="C537" s="360"/>
      <c r="D537" s="361"/>
      <c r="E537" s="352"/>
      <c r="F537" s="161"/>
      <c r="G537" s="225"/>
      <c r="H537" s="225"/>
      <c r="I537" s="180"/>
      <c r="J537" s="181"/>
      <c r="K537" s="181"/>
      <c r="L537" s="181"/>
      <c r="M537" s="164"/>
      <c r="N537" s="180"/>
      <c r="O537" s="180"/>
      <c r="P537" s="182"/>
      <c r="Q537" s="104"/>
      <c r="R537" s="358"/>
      <c r="S537" s="104"/>
    </row>
    <row r="538" spans="1:19" ht="29.25" customHeight="1">
      <c r="A538" s="224"/>
      <c r="B538" s="359"/>
      <c r="C538" s="360"/>
      <c r="D538" s="361"/>
      <c r="E538" s="362"/>
      <c r="F538" s="161"/>
      <c r="G538" s="225"/>
      <c r="H538" s="225"/>
      <c r="I538" s="180"/>
      <c r="J538" s="181"/>
      <c r="K538" s="181"/>
      <c r="L538" s="181"/>
      <c r="M538" s="164"/>
      <c r="N538" s="180"/>
      <c r="O538" s="180"/>
      <c r="P538" s="182"/>
      <c r="Q538" s="104"/>
      <c r="R538" s="363"/>
      <c r="S538" s="104"/>
    </row>
    <row r="539" spans="1:19" ht="29.25" customHeight="1">
      <c r="A539" s="224"/>
      <c r="B539" s="359"/>
      <c r="C539" s="360"/>
      <c r="D539" s="361"/>
      <c r="E539" s="352"/>
      <c r="F539" s="161"/>
      <c r="G539" s="225"/>
      <c r="H539" s="225"/>
      <c r="I539" s="180"/>
      <c r="J539" s="181"/>
      <c r="K539" s="181"/>
      <c r="L539" s="181"/>
      <c r="M539" s="164"/>
      <c r="N539" s="180"/>
      <c r="O539" s="180"/>
      <c r="P539" s="182"/>
      <c r="Q539" s="104"/>
      <c r="R539" s="358"/>
      <c r="S539" s="104"/>
    </row>
    <row r="540" spans="1:19" ht="29.25" customHeight="1">
      <c r="A540" s="224"/>
      <c r="B540" s="359"/>
      <c r="C540" s="360"/>
      <c r="D540" s="361"/>
      <c r="E540" s="362"/>
      <c r="F540" s="161"/>
      <c r="G540" s="225"/>
      <c r="H540" s="225"/>
      <c r="I540" s="180"/>
      <c r="J540" s="181"/>
      <c r="K540" s="181"/>
      <c r="L540" s="181"/>
      <c r="M540" s="164"/>
      <c r="N540" s="180"/>
      <c r="O540" s="180"/>
      <c r="P540" s="182"/>
      <c r="Q540" s="104"/>
      <c r="R540" s="363"/>
      <c r="S540" s="104"/>
    </row>
    <row r="541" spans="1:19" ht="29.25" customHeight="1">
      <c r="A541" s="224"/>
      <c r="B541" s="359"/>
      <c r="C541" s="360"/>
      <c r="D541" s="361"/>
      <c r="E541" s="352"/>
      <c r="F541" s="161"/>
      <c r="G541" s="225"/>
      <c r="H541" s="225"/>
      <c r="I541" s="180"/>
      <c r="J541" s="181"/>
      <c r="K541" s="181"/>
      <c r="L541" s="181"/>
      <c r="M541" s="164"/>
      <c r="N541" s="180"/>
      <c r="O541" s="180"/>
      <c r="P541" s="182"/>
      <c r="Q541" s="104"/>
      <c r="R541" s="358"/>
      <c r="S541" s="104"/>
    </row>
    <row r="542" spans="1:19" ht="29.25" customHeight="1">
      <c r="A542" s="224"/>
      <c r="B542" s="359"/>
      <c r="C542" s="360"/>
      <c r="D542" s="361"/>
      <c r="E542" s="362"/>
      <c r="F542" s="161"/>
      <c r="G542" s="225"/>
      <c r="H542" s="225"/>
      <c r="I542" s="180"/>
      <c r="J542" s="181"/>
      <c r="K542" s="181"/>
      <c r="L542" s="181"/>
      <c r="M542" s="164"/>
      <c r="N542" s="180"/>
      <c r="O542" s="180"/>
      <c r="P542" s="182"/>
      <c r="Q542" s="104"/>
      <c r="R542" s="363"/>
      <c r="S542" s="104"/>
    </row>
    <row r="543" spans="1:19" ht="29.25" customHeight="1">
      <c r="A543" s="224"/>
      <c r="B543" s="359"/>
      <c r="C543" s="360"/>
      <c r="D543" s="361"/>
      <c r="E543" s="352"/>
      <c r="F543" s="161"/>
      <c r="G543" s="225"/>
      <c r="H543" s="225"/>
      <c r="I543" s="180"/>
      <c r="J543" s="181"/>
      <c r="K543" s="181"/>
      <c r="L543" s="181"/>
      <c r="M543" s="164"/>
      <c r="N543" s="180"/>
      <c r="O543" s="180"/>
      <c r="P543" s="182"/>
      <c r="Q543" s="104"/>
      <c r="R543" s="358"/>
      <c r="S543" s="104"/>
    </row>
    <row r="544" spans="1:19" ht="29.25" customHeight="1">
      <c r="A544" s="224"/>
      <c r="B544" s="359"/>
      <c r="C544" s="360"/>
      <c r="D544" s="361"/>
      <c r="E544" s="362"/>
      <c r="F544" s="161"/>
      <c r="G544" s="225"/>
      <c r="H544" s="225"/>
      <c r="I544" s="180"/>
      <c r="J544" s="181"/>
      <c r="K544" s="181"/>
      <c r="L544" s="181"/>
      <c r="M544" s="164"/>
      <c r="N544" s="180"/>
      <c r="O544" s="180"/>
      <c r="P544" s="182"/>
      <c r="Q544" s="104"/>
      <c r="R544" s="363"/>
      <c r="S544" s="104"/>
    </row>
    <row r="545" spans="1:19" ht="29.25" customHeight="1">
      <c r="A545" s="224"/>
      <c r="B545" s="359"/>
      <c r="C545" s="360"/>
      <c r="D545" s="361"/>
      <c r="E545" s="352"/>
      <c r="F545" s="161"/>
      <c r="G545" s="225"/>
      <c r="H545" s="225"/>
      <c r="I545" s="180"/>
      <c r="J545" s="181"/>
      <c r="K545" s="181"/>
      <c r="L545" s="181"/>
      <c r="M545" s="164"/>
      <c r="N545" s="180"/>
      <c r="O545" s="180"/>
      <c r="P545" s="182"/>
      <c r="Q545" s="104"/>
      <c r="R545" s="358"/>
      <c r="S545" s="104"/>
    </row>
    <row r="546" spans="1:19" ht="29.25" customHeight="1">
      <c r="A546" s="224"/>
      <c r="B546" s="359"/>
      <c r="C546" s="360"/>
      <c r="D546" s="361"/>
      <c r="E546" s="362"/>
      <c r="F546" s="161"/>
      <c r="G546" s="225"/>
      <c r="H546" s="225"/>
      <c r="I546" s="180"/>
      <c r="J546" s="181"/>
      <c r="K546" s="181"/>
      <c r="L546" s="181"/>
      <c r="M546" s="164"/>
      <c r="N546" s="180"/>
      <c r="O546" s="180"/>
      <c r="P546" s="182"/>
      <c r="Q546" s="104"/>
      <c r="R546" s="363"/>
      <c r="S546" s="104"/>
    </row>
    <row r="547" spans="1:19" ht="29.25" customHeight="1">
      <c r="A547" s="224"/>
      <c r="B547" s="359"/>
      <c r="C547" s="360"/>
      <c r="D547" s="361"/>
      <c r="E547" s="352"/>
      <c r="F547" s="161"/>
      <c r="G547" s="225"/>
      <c r="H547" s="225"/>
      <c r="I547" s="180"/>
      <c r="J547" s="181"/>
      <c r="K547" s="181"/>
      <c r="L547" s="181"/>
      <c r="M547" s="164"/>
      <c r="N547" s="180"/>
      <c r="O547" s="180"/>
      <c r="P547" s="182"/>
      <c r="Q547" s="104"/>
      <c r="R547" s="358"/>
      <c r="S547" s="104"/>
    </row>
    <row r="548" spans="1:19" ht="29.25" customHeight="1">
      <c r="A548" s="224"/>
      <c r="B548" s="359"/>
      <c r="C548" s="360"/>
      <c r="D548" s="361"/>
      <c r="E548" s="362"/>
      <c r="F548" s="161"/>
      <c r="G548" s="225"/>
      <c r="H548" s="225"/>
      <c r="I548" s="180"/>
      <c r="J548" s="181"/>
      <c r="K548" s="181"/>
      <c r="L548" s="181"/>
      <c r="M548" s="164"/>
      <c r="N548" s="180"/>
      <c r="O548" s="180"/>
      <c r="P548" s="182"/>
      <c r="Q548" s="104"/>
      <c r="R548" s="363"/>
      <c r="S548" s="104"/>
    </row>
    <row r="549" spans="1:19" ht="29.25" customHeight="1">
      <c r="A549" s="224"/>
      <c r="B549" s="359"/>
      <c r="C549" s="360"/>
      <c r="D549" s="361"/>
      <c r="E549" s="352"/>
      <c r="F549" s="161"/>
      <c r="G549" s="225"/>
      <c r="H549" s="225"/>
      <c r="I549" s="180"/>
      <c r="J549" s="181"/>
      <c r="K549" s="181"/>
      <c r="L549" s="181"/>
      <c r="M549" s="164"/>
      <c r="N549" s="180"/>
      <c r="O549" s="180"/>
      <c r="P549" s="182"/>
      <c r="Q549" s="104"/>
      <c r="R549" s="358"/>
      <c r="S549" s="104"/>
    </row>
    <row r="550" spans="1:19" ht="29.25" customHeight="1">
      <c r="A550" s="224"/>
      <c r="B550" s="359"/>
      <c r="C550" s="360"/>
      <c r="D550" s="361"/>
      <c r="E550" s="362"/>
      <c r="F550" s="161"/>
      <c r="G550" s="225"/>
      <c r="H550" s="225"/>
      <c r="I550" s="180"/>
      <c r="J550" s="181"/>
      <c r="K550" s="181"/>
      <c r="L550" s="181"/>
      <c r="M550" s="164"/>
      <c r="N550" s="180"/>
      <c r="O550" s="180"/>
      <c r="P550" s="182"/>
      <c r="Q550" s="104"/>
      <c r="R550" s="363"/>
      <c r="S550" s="104"/>
    </row>
    <row r="551" spans="1:19" ht="29.25" customHeight="1">
      <c r="A551" s="224"/>
      <c r="B551" s="359"/>
      <c r="C551" s="360"/>
      <c r="D551" s="361"/>
      <c r="E551" s="352"/>
      <c r="F551" s="161"/>
      <c r="G551" s="225"/>
      <c r="H551" s="225"/>
      <c r="I551" s="180"/>
      <c r="J551" s="181"/>
      <c r="K551" s="181"/>
      <c r="L551" s="181"/>
      <c r="M551" s="164"/>
      <c r="N551" s="180"/>
      <c r="O551" s="180"/>
      <c r="P551" s="182"/>
      <c r="Q551" s="104"/>
      <c r="R551" s="358"/>
      <c r="S551" s="104"/>
    </row>
    <row r="552" spans="1:19" ht="29.25" customHeight="1">
      <c r="A552" s="224"/>
      <c r="B552" s="359"/>
      <c r="C552" s="360"/>
      <c r="D552" s="361"/>
      <c r="E552" s="362"/>
      <c r="F552" s="161"/>
      <c r="G552" s="225"/>
      <c r="H552" s="225"/>
      <c r="I552" s="180"/>
      <c r="J552" s="181"/>
      <c r="K552" s="181"/>
      <c r="L552" s="181"/>
      <c r="M552" s="164"/>
      <c r="N552" s="180"/>
      <c r="O552" s="180"/>
      <c r="P552" s="182"/>
      <c r="Q552" s="104"/>
      <c r="R552" s="363"/>
      <c r="S552" s="104"/>
    </row>
    <row r="553" spans="1:19" ht="29.25" customHeight="1">
      <c r="A553" s="224"/>
      <c r="B553" s="359"/>
      <c r="C553" s="360"/>
      <c r="D553" s="361"/>
      <c r="E553" s="352"/>
      <c r="F553" s="161"/>
      <c r="G553" s="225"/>
      <c r="H553" s="225"/>
      <c r="I553" s="180"/>
      <c r="J553" s="181"/>
      <c r="K553" s="181"/>
      <c r="L553" s="181"/>
      <c r="M553" s="164"/>
      <c r="N553" s="180"/>
      <c r="O553" s="180"/>
      <c r="P553" s="182"/>
      <c r="Q553" s="104"/>
      <c r="R553" s="358"/>
      <c r="S553" s="104"/>
    </row>
    <row r="554" spans="1:19" ht="29.25" customHeight="1">
      <c r="A554" s="224"/>
      <c r="B554" s="359"/>
      <c r="C554" s="360"/>
      <c r="D554" s="361"/>
      <c r="E554" s="362"/>
      <c r="F554" s="161"/>
      <c r="G554" s="225"/>
      <c r="H554" s="225"/>
      <c r="I554" s="180"/>
      <c r="J554" s="181"/>
      <c r="K554" s="181"/>
      <c r="L554" s="181"/>
      <c r="M554" s="164"/>
      <c r="N554" s="180"/>
      <c r="O554" s="180"/>
      <c r="P554" s="182"/>
      <c r="Q554" s="104"/>
      <c r="R554" s="363"/>
      <c r="S554" s="104"/>
    </row>
    <row r="555" spans="1:19" ht="29.25" customHeight="1">
      <c r="A555" s="224"/>
      <c r="B555" s="359"/>
      <c r="C555" s="360"/>
      <c r="D555" s="361"/>
      <c r="E555" s="352"/>
      <c r="F555" s="161"/>
      <c r="G555" s="225"/>
      <c r="H555" s="225"/>
      <c r="I555" s="180"/>
      <c r="J555" s="181"/>
      <c r="K555" s="181"/>
      <c r="L555" s="181"/>
      <c r="M555" s="164"/>
      <c r="N555" s="180"/>
      <c r="O555" s="180"/>
      <c r="P555" s="182"/>
      <c r="Q555" s="104"/>
      <c r="R555" s="358"/>
      <c r="S555" s="104"/>
    </row>
    <row r="556" spans="1:19" ht="29.25" customHeight="1">
      <c r="A556" s="224"/>
      <c r="B556" s="359"/>
      <c r="C556" s="360"/>
      <c r="D556" s="361"/>
      <c r="E556" s="362"/>
      <c r="F556" s="161"/>
      <c r="G556" s="225"/>
      <c r="H556" s="225"/>
      <c r="I556" s="180"/>
      <c r="J556" s="181"/>
      <c r="K556" s="181"/>
      <c r="L556" s="181"/>
      <c r="M556" s="164"/>
      <c r="N556" s="180"/>
      <c r="O556" s="180"/>
      <c r="P556" s="182"/>
      <c r="Q556" s="104"/>
      <c r="R556" s="363"/>
      <c r="S556" s="104"/>
    </row>
    <row r="557" spans="1:19" ht="29.25" customHeight="1">
      <c r="A557" s="224"/>
      <c r="B557" s="359"/>
      <c r="C557" s="360"/>
      <c r="D557" s="361"/>
      <c r="E557" s="352"/>
      <c r="F557" s="161"/>
      <c r="G557" s="225"/>
      <c r="H557" s="225"/>
      <c r="I557" s="180"/>
      <c r="J557" s="181"/>
      <c r="K557" s="181"/>
      <c r="L557" s="181"/>
      <c r="M557" s="164"/>
      <c r="N557" s="180"/>
      <c r="O557" s="180"/>
      <c r="P557" s="182"/>
      <c r="Q557" s="104"/>
      <c r="R557" s="358"/>
      <c r="S557" s="104"/>
    </row>
    <row r="558" spans="1:19" ht="29.25" customHeight="1">
      <c r="A558" s="224"/>
      <c r="B558" s="359"/>
      <c r="C558" s="360"/>
      <c r="D558" s="361"/>
      <c r="E558" s="362"/>
      <c r="F558" s="161"/>
      <c r="G558" s="225"/>
      <c r="H558" s="225"/>
      <c r="I558" s="180"/>
      <c r="J558" s="181"/>
      <c r="K558" s="181"/>
      <c r="L558" s="181"/>
      <c r="M558" s="164"/>
      <c r="N558" s="180"/>
      <c r="O558" s="180"/>
      <c r="P558" s="182"/>
      <c r="Q558" s="104"/>
      <c r="R558" s="363"/>
      <c r="S558" s="104"/>
    </row>
    <row r="559" spans="1:19" ht="29.25" customHeight="1">
      <c r="A559" s="224"/>
      <c r="B559" s="359"/>
      <c r="C559" s="360"/>
      <c r="D559" s="361"/>
      <c r="E559" s="352"/>
      <c r="F559" s="161"/>
      <c r="G559" s="225"/>
      <c r="H559" s="225"/>
      <c r="I559" s="180"/>
      <c r="J559" s="181"/>
      <c r="K559" s="181"/>
      <c r="L559" s="181"/>
      <c r="M559" s="164"/>
      <c r="N559" s="180"/>
      <c r="O559" s="180"/>
      <c r="P559" s="182"/>
      <c r="Q559" s="104"/>
      <c r="R559" s="358"/>
      <c r="S559" s="104"/>
    </row>
    <row r="560" spans="1:19" ht="29.25" customHeight="1">
      <c r="A560" s="224"/>
      <c r="B560" s="359"/>
      <c r="C560" s="360"/>
      <c r="D560" s="361"/>
      <c r="E560" s="362"/>
      <c r="F560" s="161"/>
      <c r="G560" s="225"/>
      <c r="H560" s="225"/>
      <c r="I560" s="180"/>
      <c r="J560" s="181"/>
      <c r="K560" s="181"/>
      <c r="L560" s="181"/>
      <c r="M560" s="164"/>
      <c r="N560" s="180"/>
      <c r="O560" s="180"/>
      <c r="P560" s="182"/>
      <c r="Q560" s="104"/>
      <c r="R560" s="363"/>
      <c r="S560" s="104"/>
    </row>
    <row r="561" spans="1:19" ht="29.25" customHeight="1">
      <c r="A561" s="224"/>
      <c r="B561" s="359"/>
      <c r="C561" s="360"/>
      <c r="D561" s="361"/>
      <c r="E561" s="352"/>
      <c r="F561" s="161"/>
      <c r="G561" s="225"/>
      <c r="H561" s="225"/>
      <c r="I561" s="180"/>
      <c r="J561" s="181"/>
      <c r="K561" s="181"/>
      <c r="L561" s="181"/>
      <c r="M561" s="164"/>
      <c r="N561" s="180"/>
      <c r="O561" s="180"/>
      <c r="P561" s="182"/>
      <c r="Q561" s="104"/>
      <c r="R561" s="358"/>
      <c r="S561" s="104"/>
    </row>
    <row r="562" spans="1:19" ht="29.25" customHeight="1">
      <c r="A562" s="224"/>
      <c r="B562" s="359"/>
      <c r="C562" s="360"/>
      <c r="D562" s="361"/>
      <c r="E562" s="362"/>
      <c r="F562" s="161"/>
      <c r="G562" s="225"/>
      <c r="H562" s="225"/>
      <c r="I562" s="180"/>
      <c r="J562" s="181"/>
      <c r="K562" s="181"/>
      <c r="L562" s="181"/>
      <c r="M562" s="164"/>
      <c r="N562" s="180"/>
      <c r="O562" s="180"/>
      <c r="P562" s="182"/>
      <c r="Q562" s="104"/>
      <c r="R562" s="363"/>
      <c r="S562" s="104"/>
    </row>
    <row r="563" spans="1:19" ht="29.25" customHeight="1">
      <c r="A563" s="224"/>
      <c r="B563" s="359"/>
      <c r="C563" s="360"/>
      <c r="D563" s="361"/>
      <c r="E563" s="352"/>
      <c r="F563" s="161"/>
      <c r="G563" s="225"/>
      <c r="H563" s="225"/>
      <c r="I563" s="180"/>
      <c r="J563" s="181"/>
      <c r="K563" s="181"/>
      <c r="L563" s="181"/>
      <c r="M563" s="164"/>
      <c r="N563" s="180"/>
      <c r="O563" s="180"/>
      <c r="P563" s="182"/>
      <c r="Q563" s="104"/>
      <c r="R563" s="358"/>
      <c r="S563" s="104"/>
    </row>
    <row r="564" spans="1:19" ht="29.25" customHeight="1">
      <c r="A564" s="224"/>
      <c r="B564" s="359"/>
      <c r="C564" s="360"/>
      <c r="D564" s="361"/>
      <c r="E564" s="362"/>
      <c r="F564" s="161"/>
      <c r="G564" s="225"/>
      <c r="H564" s="225"/>
      <c r="I564" s="180"/>
      <c r="J564" s="181"/>
      <c r="K564" s="181"/>
      <c r="L564" s="181"/>
      <c r="M564" s="164"/>
      <c r="N564" s="180"/>
      <c r="O564" s="180"/>
      <c r="P564" s="182"/>
      <c r="Q564" s="104"/>
      <c r="R564" s="363"/>
      <c r="S564" s="104"/>
    </row>
    <row r="565" spans="1:19" ht="29.25" customHeight="1">
      <c r="A565" s="224"/>
      <c r="B565" s="359"/>
      <c r="C565" s="360"/>
      <c r="D565" s="361"/>
      <c r="E565" s="352"/>
      <c r="F565" s="161"/>
      <c r="G565" s="225"/>
      <c r="H565" s="225"/>
      <c r="I565" s="180"/>
      <c r="J565" s="181"/>
      <c r="K565" s="181"/>
      <c r="L565" s="181"/>
      <c r="M565" s="164"/>
      <c r="N565" s="180"/>
      <c r="O565" s="180"/>
      <c r="P565" s="182"/>
      <c r="Q565" s="104"/>
      <c r="R565" s="358"/>
      <c r="S565" s="104"/>
    </row>
    <row r="566" spans="1:19" ht="29.25" customHeight="1">
      <c r="A566" s="224"/>
      <c r="B566" s="359"/>
      <c r="C566" s="360"/>
      <c r="D566" s="361"/>
      <c r="E566" s="362"/>
      <c r="F566" s="161"/>
      <c r="G566" s="225"/>
      <c r="H566" s="225"/>
      <c r="I566" s="180"/>
      <c r="J566" s="181"/>
      <c r="K566" s="181"/>
      <c r="L566" s="181"/>
      <c r="M566" s="164"/>
      <c r="N566" s="180"/>
      <c r="O566" s="180"/>
      <c r="P566" s="182"/>
      <c r="Q566" s="104"/>
      <c r="R566" s="363"/>
      <c r="S566" s="104"/>
    </row>
    <row r="567" spans="1:19" ht="29.25" customHeight="1">
      <c r="A567" s="224"/>
      <c r="B567" s="359"/>
      <c r="C567" s="360"/>
      <c r="D567" s="361"/>
      <c r="E567" s="352"/>
      <c r="F567" s="161"/>
      <c r="G567" s="225"/>
      <c r="H567" s="225"/>
      <c r="I567" s="180"/>
      <c r="J567" s="181"/>
      <c r="K567" s="181"/>
      <c r="L567" s="181"/>
      <c r="M567" s="164"/>
      <c r="N567" s="180"/>
      <c r="O567" s="180"/>
      <c r="P567" s="182"/>
      <c r="Q567" s="104"/>
      <c r="R567" s="358"/>
      <c r="S567" s="104"/>
    </row>
    <row r="568" spans="1:19" ht="29.25" customHeight="1">
      <c r="A568" s="224"/>
      <c r="B568" s="359"/>
      <c r="C568" s="360"/>
      <c r="D568" s="361"/>
      <c r="E568" s="362"/>
      <c r="F568" s="161"/>
      <c r="G568" s="225"/>
      <c r="H568" s="225"/>
      <c r="I568" s="180"/>
      <c r="J568" s="181"/>
      <c r="K568" s="181"/>
      <c r="L568" s="181"/>
      <c r="M568" s="164"/>
      <c r="N568" s="180"/>
      <c r="O568" s="180"/>
      <c r="P568" s="182"/>
      <c r="Q568" s="104"/>
      <c r="R568" s="363"/>
      <c r="S568" s="104"/>
    </row>
    <row r="569" spans="1:19" ht="29.25" customHeight="1">
      <c r="A569" s="224"/>
      <c r="B569" s="359"/>
      <c r="C569" s="360"/>
      <c r="D569" s="361"/>
      <c r="E569" s="352"/>
      <c r="F569" s="161"/>
      <c r="G569" s="225"/>
      <c r="H569" s="225"/>
      <c r="I569" s="180"/>
      <c r="J569" s="181"/>
      <c r="K569" s="181"/>
      <c r="L569" s="181"/>
      <c r="M569" s="164"/>
      <c r="N569" s="180"/>
      <c r="O569" s="180"/>
      <c r="P569" s="182"/>
      <c r="Q569" s="104"/>
      <c r="R569" s="358"/>
      <c r="S569" s="104"/>
    </row>
    <row r="570" spans="1:19" ht="29.25" customHeight="1">
      <c r="A570" s="224"/>
      <c r="B570" s="359"/>
      <c r="C570" s="360"/>
      <c r="D570" s="361"/>
      <c r="E570" s="362"/>
      <c r="F570" s="161"/>
      <c r="G570" s="225"/>
      <c r="H570" s="225"/>
      <c r="I570" s="180"/>
      <c r="J570" s="181"/>
      <c r="K570" s="181"/>
      <c r="L570" s="181"/>
      <c r="M570" s="164"/>
      <c r="N570" s="180"/>
      <c r="O570" s="180"/>
      <c r="P570" s="182"/>
      <c r="Q570" s="104"/>
      <c r="R570" s="363"/>
      <c r="S570" s="104"/>
    </row>
    <row r="571" spans="1:19" ht="29.25" customHeight="1">
      <c r="A571" s="224"/>
      <c r="B571" s="359"/>
      <c r="C571" s="360"/>
      <c r="D571" s="361"/>
      <c r="E571" s="352"/>
      <c r="F571" s="161"/>
      <c r="G571" s="225"/>
      <c r="H571" s="225"/>
      <c r="I571" s="180"/>
      <c r="J571" s="181"/>
      <c r="K571" s="181"/>
      <c r="L571" s="181"/>
      <c r="M571" s="164"/>
      <c r="N571" s="180"/>
      <c r="O571" s="180"/>
      <c r="P571" s="182"/>
      <c r="Q571" s="104"/>
      <c r="R571" s="358"/>
      <c r="S571" s="104"/>
    </row>
    <row r="572" spans="1:19" ht="29.25" customHeight="1">
      <c r="A572" s="224"/>
      <c r="B572" s="359"/>
      <c r="C572" s="360"/>
      <c r="D572" s="361"/>
      <c r="E572" s="362"/>
      <c r="F572" s="161"/>
      <c r="G572" s="225"/>
      <c r="H572" s="225"/>
      <c r="I572" s="180"/>
      <c r="J572" s="181"/>
      <c r="K572" s="181"/>
      <c r="L572" s="181"/>
      <c r="M572" s="164"/>
      <c r="N572" s="180"/>
      <c r="O572" s="180"/>
      <c r="P572" s="182"/>
      <c r="Q572" s="104"/>
      <c r="R572" s="363"/>
      <c r="S572" s="104"/>
    </row>
    <row r="573" spans="1:19" ht="29.25" customHeight="1">
      <c r="A573" s="224"/>
      <c r="B573" s="359"/>
      <c r="C573" s="360"/>
      <c r="D573" s="361"/>
      <c r="E573" s="352"/>
      <c r="F573" s="161"/>
      <c r="G573" s="225"/>
      <c r="H573" s="225"/>
      <c r="I573" s="180"/>
      <c r="J573" s="181"/>
      <c r="K573" s="181"/>
      <c r="L573" s="181"/>
      <c r="M573" s="164"/>
      <c r="N573" s="180"/>
      <c r="O573" s="180"/>
      <c r="P573" s="182"/>
      <c r="Q573" s="104"/>
      <c r="R573" s="358"/>
      <c r="S573" s="104"/>
    </row>
    <row r="574" spans="1:19" ht="29.25" customHeight="1">
      <c r="A574" s="224"/>
      <c r="B574" s="359"/>
      <c r="C574" s="360"/>
      <c r="D574" s="361"/>
      <c r="E574" s="362"/>
      <c r="F574" s="161"/>
      <c r="G574" s="225"/>
      <c r="H574" s="225"/>
      <c r="I574" s="180"/>
      <c r="J574" s="181"/>
      <c r="K574" s="181"/>
      <c r="L574" s="181"/>
      <c r="M574" s="164"/>
      <c r="N574" s="180"/>
      <c r="O574" s="180"/>
      <c r="P574" s="182"/>
      <c r="Q574" s="104"/>
      <c r="R574" s="363"/>
      <c r="S574" s="104"/>
    </row>
    <row r="575" spans="1:19" ht="29.25" customHeight="1">
      <c r="A575" s="224"/>
      <c r="B575" s="359"/>
      <c r="C575" s="360"/>
      <c r="D575" s="361"/>
      <c r="E575" s="352"/>
      <c r="F575" s="161"/>
      <c r="G575" s="225"/>
      <c r="H575" s="225"/>
      <c r="I575" s="180"/>
      <c r="J575" s="181"/>
      <c r="K575" s="181"/>
      <c r="L575" s="181"/>
      <c r="M575" s="164"/>
      <c r="N575" s="180"/>
      <c r="O575" s="180"/>
      <c r="P575" s="182"/>
      <c r="Q575" s="104"/>
      <c r="R575" s="358"/>
      <c r="S575" s="104"/>
    </row>
    <row r="576" spans="1:19" ht="29.25" customHeight="1">
      <c r="A576" s="224"/>
      <c r="B576" s="359"/>
      <c r="C576" s="360"/>
      <c r="D576" s="361"/>
      <c r="E576" s="362"/>
      <c r="F576" s="161"/>
      <c r="G576" s="225"/>
      <c r="H576" s="225"/>
      <c r="I576" s="180"/>
      <c r="J576" s="181"/>
      <c r="K576" s="181"/>
      <c r="L576" s="181"/>
      <c r="M576" s="164"/>
      <c r="N576" s="180"/>
      <c r="O576" s="180"/>
      <c r="P576" s="182"/>
      <c r="Q576" s="104"/>
      <c r="R576" s="363"/>
      <c r="S576" s="104"/>
    </row>
    <row r="577" spans="1:19" ht="29.25" customHeight="1">
      <c r="A577" s="224"/>
      <c r="B577" s="359"/>
      <c r="C577" s="360"/>
      <c r="D577" s="361"/>
      <c r="E577" s="352"/>
      <c r="F577" s="161"/>
      <c r="G577" s="225"/>
      <c r="H577" s="225"/>
      <c r="I577" s="180"/>
      <c r="J577" s="181"/>
      <c r="K577" s="181"/>
      <c r="L577" s="181"/>
      <c r="M577" s="164"/>
      <c r="N577" s="180"/>
      <c r="O577" s="180"/>
      <c r="P577" s="182"/>
      <c r="Q577" s="104"/>
      <c r="R577" s="358"/>
      <c r="S577" s="104"/>
    </row>
    <row r="578" spans="1:19" ht="29.25" customHeight="1">
      <c r="A578" s="224"/>
      <c r="B578" s="359"/>
      <c r="C578" s="360"/>
      <c r="D578" s="361"/>
      <c r="E578" s="362"/>
      <c r="F578" s="161"/>
      <c r="G578" s="225"/>
      <c r="H578" s="225"/>
      <c r="I578" s="180"/>
      <c r="J578" s="181"/>
      <c r="K578" s="181"/>
      <c r="L578" s="181"/>
      <c r="M578" s="164"/>
      <c r="N578" s="180"/>
      <c r="O578" s="180"/>
      <c r="P578" s="182"/>
      <c r="Q578" s="104"/>
      <c r="R578" s="363"/>
      <c r="S578" s="104"/>
    </row>
    <row r="579" spans="1:19" ht="29.25" customHeight="1">
      <c r="A579" s="224"/>
      <c r="B579" s="359"/>
      <c r="C579" s="360"/>
      <c r="D579" s="361"/>
      <c r="E579" s="352"/>
      <c r="F579" s="161"/>
      <c r="G579" s="225"/>
      <c r="H579" s="225"/>
      <c r="I579" s="180"/>
      <c r="J579" s="181"/>
      <c r="K579" s="181"/>
      <c r="L579" s="181"/>
      <c r="M579" s="164"/>
      <c r="N579" s="180"/>
      <c r="O579" s="180"/>
      <c r="P579" s="182"/>
      <c r="Q579" s="104"/>
      <c r="R579" s="358"/>
      <c r="S579" s="104"/>
    </row>
    <row r="580" spans="1:19" ht="29.25" customHeight="1">
      <c r="A580" s="224"/>
      <c r="B580" s="359"/>
      <c r="C580" s="360"/>
      <c r="D580" s="361"/>
      <c r="E580" s="362"/>
      <c r="F580" s="161"/>
      <c r="G580" s="225"/>
      <c r="H580" s="225"/>
      <c r="I580" s="180"/>
      <c r="J580" s="181"/>
      <c r="K580" s="181"/>
      <c r="L580" s="181"/>
      <c r="M580" s="164"/>
      <c r="N580" s="180"/>
      <c r="O580" s="180"/>
      <c r="P580" s="182"/>
      <c r="Q580" s="104"/>
      <c r="R580" s="363"/>
      <c r="S580" s="104"/>
    </row>
    <row r="581" spans="1:19" ht="29.25" customHeight="1">
      <c r="A581" s="224"/>
      <c r="B581" s="359"/>
      <c r="C581" s="360"/>
      <c r="D581" s="361"/>
      <c r="E581" s="352"/>
      <c r="F581" s="161"/>
      <c r="G581" s="225"/>
      <c r="H581" s="225"/>
      <c r="I581" s="180"/>
      <c r="J581" s="181"/>
      <c r="K581" s="181"/>
      <c r="L581" s="181"/>
      <c r="M581" s="164"/>
      <c r="N581" s="180"/>
      <c r="O581" s="180"/>
      <c r="P581" s="182"/>
      <c r="Q581" s="104"/>
      <c r="R581" s="358"/>
      <c r="S581" s="104"/>
    </row>
    <row r="582" spans="1:19" ht="29.25" customHeight="1">
      <c r="A582" s="224"/>
      <c r="B582" s="359"/>
      <c r="C582" s="360"/>
      <c r="D582" s="361"/>
      <c r="E582" s="362"/>
      <c r="F582" s="161"/>
      <c r="G582" s="225"/>
      <c r="H582" s="225"/>
      <c r="I582" s="180"/>
      <c r="J582" s="181"/>
      <c r="K582" s="181"/>
      <c r="L582" s="181"/>
      <c r="M582" s="164"/>
      <c r="N582" s="180"/>
      <c r="O582" s="180"/>
      <c r="P582" s="182"/>
      <c r="Q582" s="104"/>
      <c r="R582" s="363"/>
      <c r="S582" s="104"/>
    </row>
    <row r="583" spans="1:19" ht="29.25" customHeight="1">
      <c r="A583" s="224"/>
      <c r="B583" s="359"/>
      <c r="C583" s="360"/>
      <c r="D583" s="361"/>
      <c r="E583" s="352"/>
      <c r="F583" s="161"/>
      <c r="G583" s="225"/>
      <c r="H583" s="225"/>
      <c r="I583" s="180"/>
      <c r="J583" s="181"/>
      <c r="K583" s="181"/>
      <c r="L583" s="181"/>
      <c r="M583" s="164"/>
      <c r="N583" s="180"/>
      <c r="O583" s="180"/>
      <c r="P583" s="182"/>
      <c r="Q583" s="104"/>
      <c r="R583" s="358"/>
      <c r="S583" s="104"/>
    </row>
    <row r="584" spans="1:19" ht="29.25" customHeight="1">
      <c r="A584" s="224"/>
      <c r="B584" s="359"/>
      <c r="C584" s="360"/>
      <c r="D584" s="361"/>
      <c r="E584" s="362"/>
      <c r="F584" s="161"/>
      <c r="G584" s="225"/>
      <c r="H584" s="225"/>
      <c r="I584" s="180"/>
      <c r="J584" s="181"/>
      <c r="K584" s="181"/>
      <c r="L584" s="181"/>
      <c r="M584" s="164"/>
      <c r="N584" s="180"/>
      <c r="O584" s="180"/>
      <c r="P584" s="182"/>
      <c r="Q584" s="104"/>
      <c r="R584" s="363"/>
      <c r="S584" s="104"/>
    </row>
    <row r="585" spans="1:19" ht="29.25" customHeight="1">
      <c r="A585" s="224"/>
      <c r="B585" s="359"/>
      <c r="C585" s="360"/>
      <c r="D585" s="361"/>
      <c r="E585" s="352"/>
      <c r="F585" s="161"/>
      <c r="G585" s="225"/>
      <c r="H585" s="225"/>
      <c r="I585" s="180"/>
      <c r="J585" s="181"/>
      <c r="K585" s="181"/>
      <c r="L585" s="181"/>
      <c r="M585" s="164"/>
      <c r="N585" s="180"/>
      <c r="O585" s="180"/>
      <c r="P585" s="182"/>
      <c r="Q585" s="104"/>
      <c r="R585" s="358"/>
      <c r="S585" s="104"/>
    </row>
    <row r="586" spans="1:19" ht="29.25" customHeight="1">
      <c r="A586" s="224"/>
      <c r="B586" s="359"/>
      <c r="C586" s="360"/>
      <c r="D586" s="361"/>
      <c r="E586" s="362"/>
      <c r="F586" s="161"/>
      <c r="G586" s="225"/>
      <c r="H586" s="225"/>
      <c r="I586" s="180"/>
      <c r="J586" s="181"/>
      <c r="K586" s="181"/>
      <c r="L586" s="181"/>
      <c r="M586" s="164"/>
      <c r="N586" s="180"/>
      <c r="O586" s="180"/>
      <c r="P586" s="182"/>
      <c r="Q586" s="104"/>
      <c r="R586" s="363"/>
      <c r="S586" s="104"/>
    </row>
    <row r="587" spans="1:19" ht="29.25" customHeight="1">
      <c r="A587" s="224"/>
      <c r="B587" s="359"/>
      <c r="C587" s="360"/>
      <c r="D587" s="361"/>
      <c r="E587" s="352"/>
      <c r="F587" s="161"/>
      <c r="G587" s="225"/>
      <c r="H587" s="225"/>
      <c r="I587" s="180"/>
      <c r="J587" s="181"/>
      <c r="K587" s="181"/>
      <c r="L587" s="181"/>
      <c r="M587" s="164"/>
      <c r="N587" s="180"/>
      <c r="O587" s="180"/>
      <c r="P587" s="182"/>
      <c r="Q587" s="104"/>
      <c r="R587" s="358"/>
      <c r="S587" s="104"/>
    </row>
    <row r="588" spans="1:19" ht="29.25" customHeight="1">
      <c r="A588" s="224"/>
      <c r="B588" s="359"/>
      <c r="C588" s="360"/>
      <c r="D588" s="361"/>
      <c r="E588" s="362"/>
      <c r="F588" s="161"/>
      <c r="G588" s="225"/>
      <c r="H588" s="225"/>
      <c r="I588" s="180"/>
      <c r="J588" s="181"/>
      <c r="K588" s="181"/>
      <c r="L588" s="181"/>
      <c r="M588" s="164"/>
      <c r="N588" s="180"/>
      <c r="O588" s="180"/>
      <c r="P588" s="182"/>
      <c r="Q588" s="104"/>
      <c r="R588" s="363"/>
      <c r="S588" s="104"/>
    </row>
    <row r="589" spans="1:19" ht="29.25" customHeight="1">
      <c r="A589" s="224"/>
      <c r="B589" s="359"/>
      <c r="C589" s="360"/>
      <c r="D589" s="361"/>
      <c r="E589" s="352"/>
      <c r="F589" s="161"/>
      <c r="G589" s="225"/>
      <c r="H589" s="225"/>
      <c r="I589" s="180"/>
      <c r="J589" s="181"/>
      <c r="K589" s="181"/>
      <c r="L589" s="181"/>
      <c r="M589" s="164"/>
      <c r="N589" s="180"/>
      <c r="O589" s="180"/>
      <c r="P589" s="182"/>
      <c r="Q589" s="104"/>
      <c r="R589" s="358"/>
      <c r="S589" s="104"/>
    </row>
    <row r="590" spans="1:19" ht="29.25" customHeight="1">
      <c r="A590" s="224"/>
      <c r="B590" s="359"/>
      <c r="C590" s="360"/>
      <c r="D590" s="361"/>
      <c r="E590" s="362"/>
      <c r="F590" s="161"/>
      <c r="G590" s="225"/>
      <c r="H590" s="225"/>
      <c r="I590" s="180"/>
      <c r="J590" s="181"/>
      <c r="K590" s="181"/>
      <c r="L590" s="181"/>
      <c r="M590" s="164"/>
      <c r="N590" s="180"/>
      <c r="O590" s="180"/>
      <c r="P590" s="182"/>
      <c r="Q590" s="104"/>
      <c r="R590" s="363"/>
      <c r="S590" s="104"/>
    </row>
    <row r="591" spans="1:19" ht="29.25" customHeight="1">
      <c r="A591" s="224"/>
      <c r="B591" s="359"/>
      <c r="C591" s="360"/>
      <c r="D591" s="361"/>
      <c r="E591" s="352"/>
      <c r="F591" s="161"/>
      <c r="G591" s="225"/>
      <c r="H591" s="225"/>
      <c r="I591" s="180"/>
      <c r="J591" s="181"/>
      <c r="K591" s="181"/>
      <c r="L591" s="181"/>
      <c r="M591" s="164"/>
      <c r="N591" s="180"/>
      <c r="O591" s="180"/>
      <c r="P591" s="182"/>
      <c r="Q591" s="104"/>
      <c r="R591" s="358"/>
      <c r="S591" s="104"/>
    </row>
    <row r="592" spans="1:19" ht="29.25" customHeight="1">
      <c r="A592" s="224"/>
      <c r="B592" s="359"/>
      <c r="C592" s="360"/>
      <c r="D592" s="361"/>
      <c r="E592" s="362"/>
      <c r="F592" s="161"/>
      <c r="G592" s="225"/>
      <c r="H592" s="225"/>
      <c r="I592" s="180"/>
      <c r="J592" s="181"/>
      <c r="K592" s="181"/>
      <c r="L592" s="181"/>
      <c r="M592" s="164"/>
      <c r="N592" s="180"/>
      <c r="O592" s="180"/>
      <c r="P592" s="182"/>
      <c r="Q592" s="104"/>
      <c r="R592" s="363"/>
      <c r="S592" s="104"/>
    </row>
    <row r="593" spans="1:19" ht="29.25" customHeight="1">
      <c r="A593" s="224"/>
      <c r="B593" s="359"/>
      <c r="C593" s="360"/>
      <c r="D593" s="361"/>
      <c r="E593" s="352"/>
      <c r="F593" s="161"/>
      <c r="G593" s="225"/>
      <c r="H593" s="225"/>
      <c r="I593" s="180"/>
      <c r="J593" s="181"/>
      <c r="K593" s="181"/>
      <c r="L593" s="181"/>
      <c r="M593" s="164"/>
      <c r="N593" s="180"/>
      <c r="O593" s="180"/>
      <c r="P593" s="182"/>
      <c r="Q593" s="104"/>
      <c r="R593" s="358"/>
      <c r="S593" s="104"/>
    </row>
    <row r="594" spans="1:19" ht="29.25" customHeight="1">
      <c r="A594" s="224"/>
      <c r="B594" s="359"/>
      <c r="C594" s="360"/>
      <c r="D594" s="361"/>
      <c r="E594" s="362"/>
      <c r="F594" s="161"/>
      <c r="G594" s="225"/>
      <c r="H594" s="225"/>
      <c r="I594" s="180"/>
      <c r="J594" s="181"/>
      <c r="K594" s="181"/>
      <c r="L594" s="181"/>
      <c r="M594" s="164"/>
      <c r="N594" s="180"/>
      <c r="O594" s="180"/>
      <c r="P594" s="182"/>
      <c r="Q594" s="104"/>
      <c r="R594" s="363"/>
      <c r="S594" s="104"/>
    </row>
    <row r="595" spans="1:19" ht="29.25" customHeight="1">
      <c r="A595" s="224"/>
      <c r="B595" s="359"/>
      <c r="C595" s="360"/>
      <c r="D595" s="361"/>
      <c r="E595" s="352"/>
      <c r="F595" s="161"/>
      <c r="G595" s="225"/>
      <c r="H595" s="225"/>
      <c r="I595" s="180"/>
      <c r="J595" s="181"/>
      <c r="K595" s="181"/>
      <c r="L595" s="181"/>
      <c r="M595" s="164"/>
      <c r="N595" s="180"/>
      <c r="O595" s="180"/>
      <c r="P595" s="182"/>
      <c r="Q595" s="104"/>
      <c r="R595" s="358"/>
      <c r="S595" s="104"/>
    </row>
    <row r="596" spans="1:19" ht="29.25" customHeight="1">
      <c r="A596" s="224"/>
      <c r="B596" s="359"/>
      <c r="C596" s="360"/>
      <c r="D596" s="361"/>
      <c r="E596" s="362"/>
      <c r="F596" s="161"/>
      <c r="G596" s="225"/>
      <c r="H596" s="225"/>
      <c r="I596" s="180"/>
      <c r="J596" s="181"/>
      <c r="K596" s="181"/>
      <c r="L596" s="181"/>
      <c r="M596" s="164"/>
      <c r="N596" s="180"/>
      <c r="O596" s="180"/>
      <c r="P596" s="182"/>
      <c r="Q596" s="104"/>
      <c r="R596" s="363"/>
      <c r="S596" s="104"/>
    </row>
    <row r="597" spans="1:19" ht="29.25" customHeight="1">
      <c r="A597" s="224"/>
      <c r="B597" s="359"/>
      <c r="C597" s="360"/>
      <c r="D597" s="361"/>
      <c r="E597" s="352"/>
      <c r="F597" s="161"/>
      <c r="G597" s="225"/>
      <c r="H597" s="225"/>
      <c r="I597" s="180"/>
      <c r="J597" s="181"/>
      <c r="K597" s="181"/>
      <c r="L597" s="181"/>
      <c r="M597" s="164"/>
      <c r="N597" s="180"/>
      <c r="O597" s="180"/>
      <c r="P597" s="182"/>
      <c r="Q597" s="104"/>
      <c r="R597" s="358"/>
      <c r="S597" s="104"/>
    </row>
    <row r="598" spans="1:19" ht="29.25" customHeight="1">
      <c r="A598" s="224"/>
      <c r="B598" s="359"/>
      <c r="C598" s="360"/>
      <c r="D598" s="361"/>
      <c r="E598" s="362"/>
      <c r="F598" s="161"/>
      <c r="G598" s="225"/>
      <c r="H598" s="225"/>
      <c r="I598" s="180"/>
      <c r="J598" s="181"/>
      <c r="K598" s="181"/>
      <c r="L598" s="181"/>
      <c r="M598" s="164"/>
      <c r="N598" s="180"/>
      <c r="O598" s="180"/>
      <c r="P598" s="182"/>
      <c r="Q598" s="104"/>
      <c r="R598" s="363"/>
      <c r="S598" s="104"/>
    </row>
    <row r="599" spans="1:19" ht="29.25" customHeight="1">
      <c r="A599" s="224"/>
      <c r="B599" s="359"/>
      <c r="C599" s="360"/>
      <c r="D599" s="361"/>
      <c r="E599" s="352"/>
      <c r="F599" s="161"/>
      <c r="G599" s="225"/>
      <c r="H599" s="225"/>
      <c r="I599" s="180"/>
      <c r="J599" s="181"/>
      <c r="K599" s="181"/>
      <c r="L599" s="181"/>
      <c r="M599" s="164"/>
      <c r="N599" s="180"/>
      <c r="O599" s="180"/>
      <c r="P599" s="182"/>
      <c r="Q599" s="104"/>
      <c r="R599" s="358"/>
      <c r="S599" s="104"/>
    </row>
    <row r="600" spans="1:19" ht="29.25" customHeight="1">
      <c r="A600" s="224"/>
      <c r="B600" s="359"/>
      <c r="C600" s="360"/>
      <c r="D600" s="361"/>
      <c r="E600" s="362"/>
      <c r="F600" s="161"/>
      <c r="G600" s="225"/>
      <c r="H600" s="225"/>
      <c r="I600" s="180"/>
      <c r="J600" s="181"/>
      <c r="K600" s="181"/>
      <c r="L600" s="181"/>
      <c r="M600" s="164"/>
      <c r="N600" s="180"/>
      <c r="O600" s="180"/>
      <c r="P600" s="182"/>
      <c r="Q600" s="104"/>
      <c r="R600" s="363"/>
      <c r="S600" s="104"/>
    </row>
    <row r="601" spans="1:19" ht="29.25" customHeight="1">
      <c r="A601" s="224"/>
      <c r="B601" s="359"/>
      <c r="C601" s="360"/>
      <c r="D601" s="361"/>
      <c r="E601" s="352"/>
      <c r="F601" s="161"/>
      <c r="G601" s="225"/>
      <c r="H601" s="225"/>
      <c r="I601" s="180"/>
      <c r="J601" s="181"/>
      <c r="K601" s="181"/>
      <c r="L601" s="181"/>
      <c r="M601" s="164"/>
      <c r="N601" s="180"/>
      <c r="O601" s="180"/>
      <c r="P601" s="182"/>
      <c r="Q601" s="104"/>
      <c r="R601" s="358"/>
      <c r="S601" s="104"/>
    </row>
    <row r="602" spans="1:19" ht="29.25" customHeight="1">
      <c r="A602" s="224"/>
      <c r="B602" s="359"/>
      <c r="C602" s="360"/>
      <c r="D602" s="361"/>
      <c r="E602" s="362"/>
      <c r="F602" s="161"/>
      <c r="G602" s="225"/>
      <c r="H602" s="225"/>
      <c r="I602" s="180"/>
      <c r="J602" s="181"/>
      <c r="K602" s="181"/>
      <c r="L602" s="181"/>
      <c r="M602" s="164"/>
      <c r="N602" s="180"/>
      <c r="O602" s="180"/>
      <c r="P602" s="182"/>
      <c r="Q602" s="104"/>
      <c r="R602" s="363"/>
      <c r="S602" s="104"/>
    </row>
    <row r="603" spans="1:19" ht="29.25" customHeight="1">
      <c r="A603" s="224"/>
      <c r="B603" s="359"/>
      <c r="C603" s="360"/>
      <c r="D603" s="361"/>
      <c r="E603" s="352"/>
      <c r="F603" s="161"/>
      <c r="G603" s="225"/>
      <c r="H603" s="225"/>
      <c r="I603" s="180"/>
      <c r="J603" s="181"/>
      <c r="K603" s="181"/>
      <c r="L603" s="181"/>
      <c r="M603" s="164"/>
      <c r="N603" s="180"/>
      <c r="O603" s="180"/>
      <c r="P603" s="182"/>
      <c r="Q603" s="104"/>
      <c r="R603" s="358"/>
      <c r="S603" s="104"/>
    </row>
    <row r="604" spans="1:19" ht="29.25" customHeight="1">
      <c r="A604" s="224"/>
      <c r="B604" s="359"/>
      <c r="C604" s="360"/>
      <c r="D604" s="361"/>
      <c r="E604" s="362"/>
      <c r="F604" s="161"/>
      <c r="G604" s="225"/>
      <c r="H604" s="225"/>
      <c r="I604" s="180"/>
      <c r="J604" s="181"/>
      <c r="K604" s="181"/>
      <c r="L604" s="181"/>
      <c r="M604" s="164"/>
      <c r="N604" s="180"/>
      <c r="O604" s="180"/>
      <c r="P604" s="182"/>
      <c r="Q604" s="104"/>
      <c r="R604" s="363"/>
      <c r="S604" s="104"/>
    </row>
    <row r="605" spans="1:19" ht="29.25" customHeight="1">
      <c r="A605" s="224"/>
      <c r="B605" s="359"/>
      <c r="C605" s="360"/>
      <c r="D605" s="361"/>
      <c r="E605" s="352"/>
      <c r="F605" s="161"/>
      <c r="G605" s="225"/>
      <c r="H605" s="225"/>
      <c r="I605" s="180"/>
      <c r="J605" s="181"/>
      <c r="K605" s="181"/>
      <c r="L605" s="181"/>
      <c r="M605" s="164"/>
      <c r="N605" s="180"/>
      <c r="O605" s="180"/>
      <c r="P605" s="182"/>
      <c r="Q605" s="104"/>
      <c r="R605" s="358"/>
      <c r="S605" s="104"/>
    </row>
    <row r="606" spans="1:19" ht="29.25" customHeight="1">
      <c r="A606" s="224"/>
      <c r="B606" s="359"/>
      <c r="C606" s="360"/>
      <c r="D606" s="361"/>
      <c r="E606" s="362"/>
      <c r="F606" s="161"/>
      <c r="G606" s="225"/>
      <c r="H606" s="225"/>
      <c r="I606" s="180"/>
      <c r="J606" s="181"/>
      <c r="K606" s="181"/>
      <c r="L606" s="181"/>
      <c r="M606" s="164"/>
      <c r="N606" s="180"/>
      <c r="O606" s="180"/>
      <c r="P606" s="182"/>
      <c r="Q606" s="104"/>
      <c r="R606" s="363"/>
      <c r="S606" s="104"/>
    </row>
    <row r="607" spans="1:19" ht="29.25" customHeight="1">
      <c r="A607" s="224"/>
      <c r="B607" s="359"/>
      <c r="C607" s="360"/>
      <c r="D607" s="361"/>
      <c r="E607" s="352"/>
      <c r="F607" s="161"/>
      <c r="G607" s="225"/>
      <c r="H607" s="225"/>
      <c r="I607" s="180"/>
      <c r="J607" s="181"/>
      <c r="K607" s="181"/>
      <c r="L607" s="181"/>
      <c r="M607" s="164"/>
      <c r="N607" s="180"/>
      <c r="O607" s="180"/>
      <c r="P607" s="182"/>
      <c r="Q607" s="104"/>
      <c r="R607" s="358"/>
      <c r="S607" s="104"/>
    </row>
    <row r="608" spans="1:19" ht="29.25" customHeight="1">
      <c r="A608" s="224"/>
      <c r="B608" s="359"/>
      <c r="C608" s="360"/>
      <c r="D608" s="361"/>
      <c r="E608" s="362"/>
      <c r="F608" s="161"/>
      <c r="G608" s="225"/>
      <c r="H608" s="225"/>
      <c r="I608" s="180"/>
      <c r="J608" s="181"/>
      <c r="K608" s="181"/>
      <c r="L608" s="181"/>
      <c r="M608" s="164"/>
      <c r="N608" s="180"/>
      <c r="O608" s="180"/>
      <c r="P608" s="182"/>
      <c r="Q608" s="104"/>
      <c r="R608" s="363"/>
      <c r="S608" s="104"/>
    </row>
    <row r="609" spans="1:19" ht="29.25" customHeight="1">
      <c r="A609" s="224"/>
      <c r="B609" s="359"/>
      <c r="C609" s="360"/>
      <c r="D609" s="361"/>
      <c r="E609" s="352"/>
      <c r="F609" s="161"/>
      <c r="G609" s="225"/>
      <c r="H609" s="225"/>
      <c r="I609" s="180"/>
      <c r="J609" s="181"/>
      <c r="K609" s="181"/>
      <c r="L609" s="181"/>
      <c r="M609" s="164"/>
      <c r="N609" s="180"/>
      <c r="O609" s="180"/>
      <c r="P609" s="182"/>
      <c r="Q609" s="104"/>
      <c r="R609" s="358"/>
      <c r="S609" s="104"/>
    </row>
    <row r="610" spans="1:19" ht="29.25" customHeight="1">
      <c r="A610" s="224"/>
      <c r="B610" s="359"/>
      <c r="C610" s="360"/>
      <c r="D610" s="361"/>
      <c r="E610" s="362"/>
      <c r="F610" s="161"/>
      <c r="G610" s="225"/>
      <c r="H610" s="225"/>
      <c r="I610" s="180"/>
      <c r="J610" s="181"/>
      <c r="K610" s="181"/>
      <c r="L610" s="181"/>
      <c r="M610" s="164"/>
      <c r="N610" s="180"/>
      <c r="O610" s="180"/>
      <c r="P610" s="182"/>
      <c r="Q610" s="104"/>
      <c r="R610" s="363"/>
      <c r="S610" s="104"/>
    </row>
    <row r="611" spans="1:19" ht="29.25" customHeight="1">
      <c r="A611" s="224"/>
      <c r="B611" s="359"/>
      <c r="C611" s="360"/>
      <c r="D611" s="361"/>
      <c r="E611" s="352"/>
      <c r="F611" s="161"/>
      <c r="G611" s="225"/>
      <c r="H611" s="225"/>
      <c r="I611" s="180"/>
      <c r="J611" s="181"/>
      <c r="K611" s="181"/>
      <c r="L611" s="181"/>
      <c r="M611" s="164"/>
      <c r="N611" s="180"/>
      <c r="O611" s="180"/>
      <c r="P611" s="182"/>
      <c r="Q611" s="104"/>
      <c r="R611" s="358"/>
      <c r="S611" s="104"/>
    </row>
    <row r="612" spans="1:19" ht="29.25" customHeight="1">
      <c r="A612" s="224"/>
      <c r="B612" s="359"/>
      <c r="C612" s="360"/>
      <c r="D612" s="361"/>
      <c r="E612" s="362"/>
      <c r="F612" s="161"/>
      <c r="G612" s="225"/>
      <c r="H612" s="225"/>
      <c r="I612" s="180"/>
      <c r="J612" s="181"/>
      <c r="K612" s="181"/>
      <c r="L612" s="181"/>
      <c r="M612" s="164"/>
      <c r="N612" s="180"/>
      <c r="O612" s="180"/>
      <c r="P612" s="182"/>
      <c r="Q612" s="104"/>
      <c r="R612" s="363"/>
      <c r="S612" s="104"/>
    </row>
    <row r="613" spans="1:19" ht="29.25" customHeight="1">
      <c r="A613" s="224"/>
      <c r="B613" s="359"/>
      <c r="C613" s="360"/>
      <c r="D613" s="361"/>
      <c r="E613" s="352"/>
      <c r="F613" s="161"/>
      <c r="G613" s="225"/>
      <c r="H613" s="225"/>
      <c r="I613" s="180"/>
      <c r="J613" s="181"/>
      <c r="K613" s="181"/>
      <c r="L613" s="181"/>
      <c r="M613" s="164"/>
      <c r="N613" s="180"/>
      <c r="O613" s="180"/>
      <c r="P613" s="182"/>
      <c r="Q613" s="104"/>
      <c r="R613" s="358"/>
      <c r="S613" s="104"/>
    </row>
    <row r="614" spans="1:19" ht="29.25" customHeight="1">
      <c r="A614" s="224"/>
      <c r="B614" s="359"/>
      <c r="C614" s="360"/>
      <c r="D614" s="361"/>
      <c r="E614" s="362"/>
      <c r="F614" s="161"/>
      <c r="G614" s="225"/>
      <c r="H614" s="225"/>
      <c r="I614" s="180"/>
      <c r="J614" s="181"/>
      <c r="K614" s="181"/>
      <c r="L614" s="181"/>
      <c r="M614" s="164"/>
      <c r="N614" s="180"/>
      <c r="O614" s="180"/>
      <c r="P614" s="182"/>
      <c r="Q614" s="104"/>
      <c r="R614" s="363"/>
      <c r="S614" s="104"/>
    </row>
    <row r="615" spans="1:19" ht="29.25" customHeight="1">
      <c r="A615" s="224"/>
      <c r="B615" s="359"/>
      <c r="C615" s="360"/>
      <c r="D615" s="361"/>
      <c r="E615" s="352"/>
      <c r="F615" s="161"/>
      <c r="G615" s="225"/>
      <c r="H615" s="225"/>
      <c r="I615" s="180"/>
      <c r="J615" s="181"/>
      <c r="K615" s="181"/>
      <c r="L615" s="181"/>
      <c r="M615" s="164"/>
      <c r="N615" s="180"/>
      <c r="O615" s="180"/>
      <c r="P615" s="182"/>
      <c r="Q615" s="104"/>
      <c r="R615" s="358"/>
      <c r="S615" s="104"/>
    </row>
    <row r="616" spans="1:19" ht="29.25" customHeight="1">
      <c r="A616" s="224"/>
      <c r="B616" s="359"/>
      <c r="C616" s="360"/>
      <c r="D616" s="361"/>
      <c r="E616" s="362"/>
      <c r="F616" s="161"/>
      <c r="G616" s="225"/>
      <c r="H616" s="225"/>
      <c r="I616" s="180"/>
      <c r="J616" s="181"/>
      <c r="K616" s="181"/>
      <c r="L616" s="181"/>
      <c r="M616" s="164"/>
      <c r="N616" s="180"/>
      <c r="O616" s="180"/>
      <c r="P616" s="182"/>
      <c r="Q616" s="104"/>
      <c r="R616" s="363"/>
      <c r="S616" s="104"/>
    </row>
    <row r="617" spans="1:19" ht="29.25" customHeight="1">
      <c r="A617" s="224"/>
      <c r="B617" s="359"/>
      <c r="C617" s="360"/>
      <c r="D617" s="361"/>
      <c r="E617" s="352"/>
      <c r="F617" s="161"/>
      <c r="G617" s="225"/>
      <c r="H617" s="225"/>
      <c r="I617" s="180"/>
      <c r="J617" s="181"/>
      <c r="K617" s="181"/>
      <c r="L617" s="181"/>
      <c r="M617" s="164"/>
      <c r="N617" s="180"/>
      <c r="O617" s="180"/>
      <c r="P617" s="182"/>
      <c r="Q617" s="104"/>
      <c r="R617" s="358"/>
      <c r="S617" s="104"/>
    </row>
    <row r="618" spans="1:19" ht="29.25" customHeight="1">
      <c r="A618" s="224"/>
      <c r="B618" s="359"/>
      <c r="C618" s="360"/>
      <c r="D618" s="361"/>
      <c r="E618" s="362"/>
      <c r="F618" s="161"/>
      <c r="G618" s="225"/>
      <c r="H618" s="225"/>
      <c r="I618" s="180"/>
      <c r="J618" s="181"/>
      <c r="K618" s="181"/>
      <c r="L618" s="181"/>
      <c r="M618" s="164"/>
      <c r="N618" s="180"/>
      <c r="O618" s="180"/>
      <c r="P618" s="182"/>
      <c r="Q618" s="104"/>
      <c r="R618" s="363"/>
      <c r="S618" s="104"/>
    </row>
    <row r="619" spans="1:19" ht="29.25" customHeight="1">
      <c r="A619" s="224"/>
      <c r="B619" s="359"/>
      <c r="C619" s="360"/>
      <c r="D619" s="361"/>
      <c r="E619" s="352"/>
      <c r="F619" s="161"/>
      <c r="G619" s="225"/>
      <c r="H619" s="225"/>
      <c r="I619" s="180"/>
      <c r="J619" s="181"/>
      <c r="K619" s="181"/>
      <c r="L619" s="181"/>
      <c r="M619" s="164"/>
      <c r="N619" s="180"/>
      <c r="O619" s="180"/>
      <c r="P619" s="182"/>
      <c r="Q619" s="104"/>
      <c r="R619" s="358"/>
      <c r="S619" s="104"/>
    </row>
    <row r="620" spans="1:19" ht="29.25" customHeight="1">
      <c r="A620" s="224"/>
      <c r="B620" s="359"/>
      <c r="C620" s="360"/>
      <c r="D620" s="361"/>
      <c r="E620" s="362"/>
      <c r="F620" s="161"/>
      <c r="G620" s="225"/>
      <c r="H620" s="225"/>
      <c r="I620" s="180"/>
      <c r="J620" s="181"/>
      <c r="K620" s="181"/>
      <c r="L620" s="181"/>
      <c r="M620" s="164"/>
      <c r="N620" s="180"/>
      <c r="O620" s="180"/>
      <c r="P620" s="182"/>
      <c r="Q620" s="104"/>
      <c r="R620" s="363"/>
      <c r="S620" s="104"/>
    </row>
    <row r="621" spans="1:19" ht="29.25" customHeight="1">
      <c r="A621" s="224"/>
      <c r="B621" s="359"/>
      <c r="C621" s="360"/>
      <c r="D621" s="361"/>
      <c r="E621" s="352"/>
      <c r="F621" s="161"/>
      <c r="G621" s="225"/>
      <c r="H621" s="225"/>
      <c r="I621" s="180"/>
      <c r="J621" s="181"/>
      <c r="K621" s="181"/>
      <c r="L621" s="181"/>
      <c r="M621" s="164"/>
      <c r="N621" s="180"/>
      <c r="O621" s="180"/>
      <c r="P621" s="182"/>
      <c r="Q621" s="104"/>
      <c r="R621" s="358"/>
      <c r="S621" s="104"/>
    </row>
    <row r="622" spans="1:19" ht="29.25" customHeight="1">
      <c r="A622" s="224"/>
      <c r="B622" s="359"/>
      <c r="C622" s="360"/>
      <c r="D622" s="361"/>
      <c r="E622" s="362"/>
      <c r="F622" s="161"/>
      <c r="G622" s="225"/>
      <c r="H622" s="225"/>
      <c r="I622" s="180"/>
      <c r="J622" s="181"/>
      <c r="K622" s="181"/>
      <c r="L622" s="181"/>
      <c r="M622" s="164"/>
      <c r="N622" s="180"/>
      <c r="O622" s="180"/>
      <c r="P622" s="182"/>
      <c r="Q622" s="104"/>
      <c r="R622" s="363"/>
      <c r="S622" s="104"/>
    </row>
    <row r="623" spans="1:19" ht="29.25" customHeight="1">
      <c r="A623" s="224"/>
      <c r="B623" s="359"/>
      <c r="C623" s="360"/>
      <c r="D623" s="361"/>
      <c r="E623" s="352"/>
      <c r="F623" s="161"/>
      <c r="G623" s="225"/>
      <c r="H623" s="225"/>
      <c r="I623" s="180"/>
      <c r="J623" s="181"/>
      <c r="K623" s="181"/>
      <c r="L623" s="181"/>
      <c r="M623" s="164"/>
      <c r="N623" s="180"/>
      <c r="O623" s="180"/>
      <c r="P623" s="182"/>
      <c r="Q623" s="104"/>
      <c r="R623" s="358"/>
      <c r="S623" s="104"/>
    </row>
    <row r="624" spans="1:19" ht="29.25" customHeight="1">
      <c r="A624" s="224"/>
      <c r="B624" s="359"/>
      <c r="C624" s="360"/>
      <c r="D624" s="361"/>
      <c r="E624" s="362"/>
      <c r="F624" s="161"/>
      <c r="G624" s="225"/>
      <c r="H624" s="225"/>
      <c r="I624" s="180"/>
      <c r="J624" s="181"/>
      <c r="K624" s="181"/>
      <c r="L624" s="181"/>
      <c r="M624" s="164"/>
      <c r="N624" s="180"/>
      <c r="O624" s="180"/>
      <c r="P624" s="182"/>
      <c r="Q624" s="104"/>
      <c r="R624" s="363"/>
      <c r="S624" s="104"/>
    </row>
    <row r="625" spans="1:19" ht="29.25" customHeight="1">
      <c r="A625" s="224"/>
      <c r="B625" s="359"/>
      <c r="C625" s="360"/>
      <c r="D625" s="361"/>
      <c r="E625" s="352"/>
      <c r="F625" s="161"/>
      <c r="G625" s="225"/>
      <c r="H625" s="225"/>
      <c r="I625" s="180"/>
      <c r="J625" s="181"/>
      <c r="K625" s="181"/>
      <c r="L625" s="181"/>
      <c r="M625" s="164"/>
      <c r="N625" s="180"/>
      <c r="O625" s="180"/>
      <c r="P625" s="182"/>
      <c r="Q625" s="104"/>
      <c r="R625" s="358"/>
      <c r="S625" s="104"/>
    </row>
    <row r="626" spans="1:19" ht="29.25" customHeight="1">
      <c r="A626" s="224"/>
      <c r="B626" s="359"/>
      <c r="C626" s="360"/>
      <c r="D626" s="361"/>
      <c r="E626" s="362"/>
      <c r="F626" s="161"/>
      <c r="G626" s="225"/>
      <c r="H626" s="225"/>
      <c r="I626" s="180"/>
      <c r="J626" s="181"/>
      <c r="K626" s="181"/>
      <c r="L626" s="181"/>
      <c r="M626" s="164"/>
      <c r="N626" s="180"/>
      <c r="O626" s="180"/>
      <c r="P626" s="182"/>
      <c r="Q626" s="104"/>
      <c r="R626" s="363"/>
      <c r="S626" s="104"/>
    </row>
    <row r="627" spans="1:19" ht="29.25" customHeight="1">
      <c r="A627" s="224"/>
      <c r="B627" s="359"/>
      <c r="C627" s="360"/>
      <c r="D627" s="361"/>
      <c r="E627" s="352"/>
      <c r="F627" s="161"/>
      <c r="G627" s="225"/>
      <c r="H627" s="225"/>
      <c r="I627" s="180"/>
      <c r="J627" s="181"/>
      <c r="K627" s="181"/>
      <c r="L627" s="181"/>
      <c r="M627" s="164"/>
      <c r="N627" s="180"/>
      <c r="O627" s="180"/>
      <c r="P627" s="182"/>
      <c r="Q627" s="104"/>
      <c r="R627" s="358"/>
      <c r="S627" s="104"/>
    </row>
    <row r="628" spans="1:19" ht="29.25" customHeight="1">
      <c r="A628" s="224"/>
      <c r="B628" s="359"/>
      <c r="C628" s="360"/>
      <c r="D628" s="361"/>
      <c r="E628" s="362"/>
      <c r="F628" s="161"/>
      <c r="G628" s="225"/>
      <c r="H628" s="225"/>
      <c r="I628" s="180"/>
      <c r="J628" s="181"/>
      <c r="K628" s="181"/>
      <c r="L628" s="181"/>
      <c r="M628" s="164"/>
      <c r="N628" s="180"/>
      <c r="O628" s="180"/>
      <c r="P628" s="182"/>
      <c r="Q628" s="104"/>
      <c r="R628" s="363"/>
      <c r="S628" s="104"/>
    </row>
    <row r="629" spans="1:19" ht="29.25" customHeight="1">
      <c r="A629" s="224"/>
      <c r="B629" s="359"/>
      <c r="C629" s="360"/>
      <c r="D629" s="361"/>
      <c r="E629" s="352"/>
      <c r="F629" s="161"/>
      <c r="G629" s="225"/>
      <c r="H629" s="225"/>
      <c r="I629" s="180"/>
      <c r="J629" s="181"/>
      <c r="K629" s="181"/>
      <c r="L629" s="181"/>
      <c r="M629" s="164"/>
      <c r="N629" s="180"/>
      <c r="O629" s="180"/>
      <c r="P629" s="182"/>
      <c r="Q629" s="104"/>
      <c r="R629" s="358"/>
      <c r="S629" s="104"/>
    </row>
    <row r="630" spans="1:19" ht="29.25" customHeight="1">
      <c r="A630" s="224"/>
      <c r="B630" s="359"/>
      <c r="C630" s="360"/>
      <c r="D630" s="361"/>
      <c r="E630" s="362"/>
      <c r="F630" s="161"/>
      <c r="G630" s="225"/>
      <c r="H630" s="225"/>
      <c r="I630" s="180"/>
      <c r="J630" s="181"/>
      <c r="K630" s="181"/>
      <c r="L630" s="181"/>
      <c r="M630" s="164"/>
      <c r="N630" s="180"/>
      <c r="O630" s="180"/>
      <c r="P630" s="182"/>
      <c r="Q630" s="104"/>
      <c r="R630" s="363"/>
      <c r="S630" s="104"/>
    </row>
    <row r="631" spans="1:19" ht="29.25" customHeight="1">
      <c r="A631" s="224"/>
      <c r="B631" s="359"/>
      <c r="C631" s="360"/>
      <c r="D631" s="361"/>
      <c r="E631" s="352"/>
      <c r="F631" s="161"/>
      <c r="G631" s="225"/>
      <c r="H631" s="225"/>
      <c r="I631" s="180"/>
      <c r="J631" s="181"/>
      <c r="K631" s="181"/>
      <c r="L631" s="181"/>
      <c r="M631" s="164"/>
      <c r="N631" s="180"/>
      <c r="O631" s="180"/>
      <c r="P631" s="182"/>
      <c r="Q631" s="104"/>
      <c r="R631" s="358"/>
      <c r="S631" s="104"/>
    </row>
    <row r="632" spans="1:19" ht="29.25" customHeight="1">
      <c r="A632" s="224"/>
      <c r="B632" s="359"/>
      <c r="C632" s="360"/>
      <c r="D632" s="361"/>
      <c r="E632" s="362"/>
      <c r="F632" s="161"/>
      <c r="G632" s="225"/>
      <c r="H632" s="225"/>
      <c r="I632" s="180"/>
      <c r="J632" s="181"/>
      <c r="K632" s="181"/>
      <c r="L632" s="181"/>
      <c r="M632" s="164"/>
      <c r="N632" s="180"/>
      <c r="O632" s="180"/>
      <c r="P632" s="182"/>
      <c r="Q632" s="104"/>
      <c r="R632" s="363"/>
      <c r="S632" s="104"/>
    </row>
    <row r="633" spans="1:19" ht="29.25" customHeight="1">
      <c r="A633" s="224"/>
      <c r="B633" s="359"/>
      <c r="C633" s="360"/>
      <c r="D633" s="361"/>
      <c r="E633" s="352"/>
      <c r="F633" s="161"/>
      <c r="G633" s="225"/>
      <c r="H633" s="225"/>
      <c r="I633" s="180"/>
      <c r="J633" s="181"/>
      <c r="K633" s="181"/>
      <c r="L633" s="181"/>
      <c r="M633" s="164"/>
      <c r="N633" s="180"/>
      <c r="O633" s="180"/>
      <c r="P633" s="182"/>
      <c r="Q633" s="104"/>
      <c r="R633" s="358"/>
      <c r="S633" s="104"/>
    </row>
    <row r="634" spans="1:19" ht="29.25" customHeight="1">
      <c r="A634" s="224"/>
      <c r="B634" s="359"/>
      <c r="C634" s="360"/>
      <c r="D634" s="361"/>
      <c r="E634" s="362"/>
      <c r="F634" s="161"/>
      <c r="G634" s="225"/>
      <c r="H634" s="225"/>
      <c r="I634" s="180"/>
      <c r="J634" s="181"/>
      <c r="K634" s="181"/>
      <c r="L634" s="181"/>
      <c r="M634" s="164"/>
      <c r="N634" s="180"/>
      <c r="O634" s="180"/>
      <c r="P634" s="182"/>
      <c r="Q634" s="104"/>
      <c r="R634" s="363"/>
      <c r="S634" s="104"/>
    </row>
    <row r="635" spans="1:19" ht="29.25" customHeight="1">
      <c r="A635" s="224"/>
      <c r="B635" s="359"/>
      <c r="C635" s="360"/>
      <c r="D635" s="361"/>
      <c r="E635" s="352"/>
      <c r="F635" s="161"/>
      <c r="G635" s="225"/>
      <c r="H635" s="225"/>
      <c r="I635" s="180"/>
      <c r="J635" s="181"/>
      <c r="K635" s="181"/>
      <c r="L635" s="181"/>
      <c r="M635" s="164"/>
      <c r="N635" s="180"/>
      <c r="O635" s="180"/>
      <c r="P635" s="182"/>
      <c r="Q635" s="104"/>
      <c r="R635" s="358"/>
      <c r="S635" s="104"/>
    </row>
    <row r="636" spans="1:19" ht="29.25" customHeight="1">
      <c r="A636" s="224"/>
      <c r="B636" s="359"/>
      <c r="C636" s="360"/>
      <c r="D636" s="361"/>
      <c r="E636" s="362"/>
      <c r="F636" s="161"/>
      <c r="G636" s="225"/>
      <c r="H636" s="225"/>
      <c r="I636" s="180"/>
      <c r="J636" s="181"/>
      <c r="K636" s="181"/>
      <c r="L636" s="181"/>
      <c r="M636" s="164"/>
      <c r="N636" s="180"/>
      <c r="O636" s="180"/>
      <c r="P636" s="182"/>
      <c r="Q636" s="104"/>
      <c r="R636" s="363"/>
      <c r="S636" s="104"/>
    </row>
    <row r="637" spans="1:19" ht="29.25" customHeight="1">
      <c r="A637" s="224"/>
      <c r="B637" s="359"/>
      <c r="C637" s="360"/>
      <c r="D637" s="361"/>
      <c r="E637" s="352"/>
      <c r="F637" s="161"/>
      <c r="G637" s="225"/>
      <c r="H637" s="225"/>
      <c r="I637" s="180"/>
      <c r="J637" s="181"/>
      <c r="K637" s="181"/>
      <c r="L637" s="181"/>
      <c r="M637" s="164"/>
      <c r="N637" s="180"/>
      <c r="O637" s="180"/>
      <c r="P637" s="182"/>
      <c r="Q637" s="104"/>
      <c r="R637" s="358"/>
      <c r="S637" s="104"/>
    </row>
    <row r="638" spans="1:19" ht="29.25" customHeight="1">
      <c r="A638" s="224"/>
      <c r="B638" s="359"/>
      <c r="C638" s="360"/>
      <c r="D638" s="361"/>
      <c r="E638" s="362"/>
      <c r="F638" s="161"/>
      <c r="G638" s="225"/>
      <c r="H638" s="225"/>
      <c r="I638" s="180"/>
      <c r="J638" s="181"/>
      <c r="K638" s="181"/>
      <c r="L638" s="181"/>
      <c r="M638" s="164"/>
      <c r="N638" s="180"/>
      <c r="O638" s="180"/>
      <c r="P638" s="182"/>
      <c r="Q638" s="104"/>
      <c r="R638" s="363"/>
      <c r="S638" s="104"/>
    </row>
    <row r="639" spans="1:19" ht="29.25" customHeight="1">
      <c r="A639" s="224"/>
      <c r="B639" s="359"/>
      <c r="C639" s="360"/>
      <c r="D639" s="361"/>
      <c r="E639" s="352"/>
      <c r="F639" s="161"/>
      <c r="G639" s="225"/>
      <c r="H639" s="225"/>
      <c r="I639" s="180"/>
      <c r="J639" s="181"/>
      <c r="K639" s="181"/>
      <c r="L639" s="181"/>
      <c r="M639" s="164"/>
      <c r="N639" s="180"/>
      <c r="O639" s="180"/>
      <c r="P639" s="182"/>
      <c r="Q639" s="104"/>
      <c r="R639" s="358"/>
      <c r="S639" s="104"/>
    </row>
    <row r="640" spans="1:19" ht="29.25" customHeight="1">
      <c r="A640" s="224"/>
      <c r="B640" s="359"/>
      <c r="C640" s="360"/>
      <c r="D640" s="361"/>
      <c r="E640" s="362"/>
      <c r="F640" s="161"/>
      <c r="G640" s="225"/>
      <c r="H640" s="225"/>
      <c r="I640" s="180"/>
      <c r="J640" s="181"/>
      <c r="K640" s="181"/>
      <c r="L640" s="181"/>
      <c r="M640" s="164"/>
      <c r="N640" s="180"/>
      <c r="O640" s="180"/>
      <c r="P640" s="182"/>
      <c r="Q640" s="104"/>
      <c r="R640" s="363"/>
      <c r="S640" s="104"/>
    </row>
    <row r="641" spans="1:19" ht="29.25" customHeight="1">
      <c r="A641" s="224"/>
      <c r="B641" s="359"/>
      <c r="C641" s="360"/>
      <c r="D641" s="361"/>
      <c r="E641" s="352"/>
      <c r="F641" s="161"/>
      <c r="G641" s="225"/>
      <c r="H641" s="225"/>
      <c r="I641" s="180"/>
      <c r="J641" s="181"/>
      <c r="K641" s="181"/>
      <c r="L641" s="181"/>
      <c r="M641" s="164"/>
      <c r="N641" s="180"/>
      <c r="O641" s="180"/>
      <c r="P641" s="182"/>
      <c r="Q641" s="104"/>
      <c r="R641" s="358"/>
      <c r="S641" s="104"/>
    </row>
    <row r="642" spans="1:19" ht="29.25" customHeight="1">
      <c r="A642" s="224"/>
      <c r="B642" s="359"/>
      <c r="C642" s="360"/>
      <c r="D642" s="361"/>
      <c r="E642" s="362"/>
      <c r="F642" s="161"/>
      <c r="G642" s="225"/>
      <c r="H642" s="225"/>
      <c r="I642" s="180"/>
      <c r="J642" s="181"/>
      <c r="K642" s="181"/>
      <c r="L642" s="181"/>
      <c r="M642" s="164"/>
      <c r="N642" s="180"/>
      <c r="O642" s="180"/>
      <c r="P642" s="182"/>
      <c r="Q642" s="104"/>
      <c r="R642" s="363"/>
      <c r="S642" s="104"/>
    </row>
    <row r="643" spans="1:19" ht="29.25" customHeight="1">
      <c r="A643" s="224"/>
      <c r="B643" s="359"/>
      <c r="C643" s="360"/>
      <c r="D643" s="361"/>
      <c r="E643" s="352"/>
      <c r="F643" s="161"/>
      <c r="G643" s="225"/>
      <c r="H643" s="225"/>
      <c r="I643" s="180"/>
      <c r="J643" s="181"/>
      <c r="K643" s="181"/>
      <c r="L643" s="181"/>
      <c r="M643" s="164"/>
      <c r="N643" s="180"/>
      <c r="O643" s="180"/>
      <c r="P643" s="182"/>
      <c r="Q643" s="104"/>
      <c r="R643" s="358"/>
      <c r="S643" s="104"/>
    </row>
    <row r="644" spans="1:19" ht="29.25" customHeight="1">
      <c r="A644" s="224"/>
      <c r="B644" s="359"/>
      <c r="C644" s="360"/>
      <c r="D644" s="361"/>
      <c r="E644" s="362"/>
      <c r="F644" s="161"/>
      <c r="G644" s="225"/>
      <c r="H644" s="225"/>
      <c r="I644" s="180"/>
      <c r="J644" s="181"/>
      <c r="K644" s="181"/>
      <c r="L644" s="181"/>
      <c r="M644" s="164"/>
      <c r="N644" s="180"/>
      <c r="O644" s="180"/>
      <c r="P644" s="182"/>
      <c r="Q644" s="104"/>
      <c r="R644" s="363"/>
      <c r="S644" s="104"/>
    </row>
    <row r="645" spans="1:19" ht="29.25" customHeight="1">
      <c r="A645" s="224"/>
      <c r="B645" s="359"/>
      <c r="C645" s="360"/>
      <c r="D645" s="361"/>
      <c r="E645" s="352"/>
      <c r="F645" s="161"/>
      <c r="G645" s="225"/>
      <c r="H645" s="225"/>
      <c r="I645" s="180"/>
      <c r="J645" s="181"/>
      <c r="K645" s="181"/>
      <c r="L645" s="181"/>
      <c r="M645" s="164"/>
      <c r="N645" s="180"/>
      <c r="O645" s="180"/>
      <c r="P645" s="182"/>
      <c r="Q645" s="104"/>
      <c r="R645" s="358"/>
      <c r="S645" s="104"/>
    </row>
    <row r="646" spans="1:19" ht="29.25" customHeight="1">
      <c r="A646" s="224"/>
      <c r="B646" s="359"/>
      <c r="C646" s="360"/>
      <c r="D646" s="361"/>
      <c r="E646" s="362"/>
      <c r="F646" s="161"/>
      <c r="G646" s="225"/>
      <c r="H646" s="225"/>
      <c r="I646" s="180"/>
      <c r="J646" s="181"/>
      <c r="K646" s="181"/>
      <c r="L646" s="181"/>
      <c r="M646" s="164"/>
      <c r="N646" s="180"/>
      <c r="O646" s="180"/>
      <c r="P646" s="182"/>
      <c r="Q646" s="104"/>
      <c r="R646" s="363"/>
      <c r="S646" s="104"/>
    </row>
    <row r="647" spans="1:19" ht="29.25" customHeight="1">
      <c r="A647" s="224"/>
      <c r="B647" s="359"/>
      <c r="C647" s="360"/>
      <c r="D647" s="361"/>
      <c r="E647" s="352"/>
      <c r="F647" s="161"/>
      <c r="G647" s="225"/>
      <c r="H647" s="225"/>
      <c r="I647" s="180"/>
      <c r="J647" s="181"/>
      <c r="K647" s="181"/>
      <c r="L647" s="181"/>
      <c r="M647" s="164"/>
      <c r="N647" s="180"/>
      <c r="O647" s="180"/>
      <c r="P647" s="182"/>
      <c r="Q647" s="104"/>
      <c r="R647" s="358"/>
      <c r="S647" s="104"/>
    </row>
    <row r="648" spans="1:19" ht="29.25" customHeight="1">
      <c r="A648" s="224"/>
      <c r="B648" s="359"/>
      <c r="C648" s="360"/>
      <c r="D648" s="361"/>
      <c r="E648" s="362"/>
      <c r="F648" s="161"/>
      <c r="G648" s="225"/>
      <c r="H648" s="225"/>
      <c r="I648" s="180"/>
      <c r="J648" s="181"/>
      <c r="K648" s="181"/>
      <c r="L648" s="181"/>
      <c r="M648" s="164"/>
      <c r="N648" s="180"/>
      <c r="O648" s="180"/>
      <c r="P648" s="182"/>
      <c r="Q648" s="104"/>
      <c r="R648" s="363"/>
      <c r="S648" s="104"/>
    </row>
    <row r="649" spans="1:19" ht="29.25" customHeight="1">
      <c r="A649" s="224"/>
      <c r="B649" s="359"/>
      <c r="C649" s="360"/>
      <c r="D649" s="361"/>
      <c r="E649" s="352"/>
      <c r="F649" s="161"/>
      <c r="G649" s="225"/>
      <c r="H649" s="225"/>
      <c r="I649" s="180"/>
      <c r="J649" s="181"/>
      <c r="K649" s="181"/>
      <c r="L649" s="181"/>
      <c r="M649" s="164"/>
      <c r="N649" s="180"/>
      <c r="O649" s="180"/>
      <c r="P649" s="182"/>
      <c r="Q649" s="104"/>
      <c r="R649" s="358"/>
      <c r="S649" s="104"/>
    </row>
    <row r="650" spans="1:19" ht="29.25" customHeight="1">
      <c r="A650" s="224"/>
      <c r="B650" s="359"/>
      <c r="C650" s="360"/>
      <c r="D650" s="361"/>
      <c r="E650" s="362"/>
      <c r="F650" s="161"/>
      <c r="G650" s="225"/>
      <c r="H650" s="225"/>
      <c r="I650" s="180"/>
      <c r="J650" s="181"/>
      <c r="K650" s="181"/>
      <c r="L650" s="181"/>
      <c r="M650" s="164"/>
      <c r="N650" s="180"/>
      <c r="O650" s="180"/>
      <c r="P650" s="182"/>
      <c r="Q650" s="104"/>
      <c r="R650" s="363"/>
      <c r="S650" s="104"/>
    </row>
    <row r="651" spans="1:19" ht="29.25" customHeight="1">
      <c r="A651" s="224"/>
      <c r="B651" s="359"/>
      <c r="C651" s="360"/>
      <c r="D651" s="361"/>
      <c r="E651" s="352"/>
      <c r="F651" s="161"/>
      <c r="G651" s="225"/>
      <c r="H651" s="225"/>
      <c r="I651" s="180"/>
      <c r="J651" s="181"/>
      <c r="K651" s="181"/>
      <c r="L651" s="181"/>
      <c r="M651" s="164"/>
      <c r="N651" s="180"/>
      <c r="O651" s="180"/>
      <c r="P651" s="182"/>
      <c r="Q651" s="104"/>
      <c r="R651" s="358"/>
      <c r="S651" s="104"/>
    </row>
    <row r="652" spans="1:19" ht="29.25" customHeight="1">
      <c r="A652" s="224"/>
      <c r="B652" s="359"/>
      <c r="C652" s="360"/>
      <c r="D652" s="361"/>
      <c r="E652" s="362"/>
      <c r="F652" s="161"/>
      <c r="G652" s="225"/>
      <c r="H652" s="225"/>
      <c r="I652" s="180"/>
      <c r="J652" s="181"/>
      <c r="K652" s="181"/>
      <c r="L652" s="181"/>
      <c r="M652" s="164"/>
      <c r="N652" s="180"/>
      <c r="O652" s="180"/>
      <c r="P652" s="182"/>
      <c r="Q652" s="104"/>
      <c r="R652" s="363"/>
      <c r="S652" s="104"/>
    </row>
    <row r="653" spans="1:19" ht="29.25" customHeight="1">
      <c r="A653" s="224"/>
      <c r="B653" s="359"/>
      <c r="C653" s="360"/>
      <c r="D653" s="361"/>
      <c r="E653" s="352"/>
      <c r="F653" s="161"/>
      <c r="G653" s="225"/>
      <c r="H653" s="225"/>
      <c r="I653" s="180"/>
      <c r="J653" s="181"/>
      <c r="K653" s="181"/>
      <c r="L653" s="181"/>
      <c r="M653" s="164"/>
      <c r="N653" s="180"/>
      <c r="O653" s="180"/>
      <c r="P653" s="182"/>
      <c r="Q653" s="104"/>
      <c r="R653" s="358"/>
      <c r="S653" s="104"/>
    </row>
    <row r="654" spans="1:19" ht="29.25" customHeight="1">
      <c r="A654" s="224"/>
      <c r="B654" s="359"/>
      <c r="C654" s="360"/>
      <c r="D654" s="361"/>
      <c r="E654" s="362"/>
      <c r="F654" s="161"/>
      <c r="G654" s="225"/>
      <c r="H654" s="225"/>
      <c r="I654" s="180"/>
      <c r="J654" s="181"/>
      <c r="K654" s="181"/>
      <c r="L654" s="181"/>
      <c r="M654" s="164"/>
      <c r="N654" s="180"/>
      <c r="O654" s="180"/>
      <c r="P654" s="182"/>
      <c r="Q654" s="104"/>
      <c r="R654" s="363"/>
      <c r="S654" s="104"/>
    </row>
    <row r="655" spans="1:19" ht="29.25" customHeight="1">
      <c r="A655" s="224"/>
      <c r="B655" s="359"/>
      <c r="C655" s="360"/>
      <c r="D655" s="361"/>
      <c r="E655" s="352"/>
      <c r="F655" s="161"/>
      <c r="G655" s="225"/>
      <c r="H655" s="225"/>
      <c r="I655" s="180"/>
      <c r="J655" s="181"/>
      <c r="K655" s="181"/>
      <c r="L655" s="181"/>
      <c r="M655" s="164"/>
      <c r="N655" s="180"/>
      <c r="O655" s="180"/>
      <c r="P655" s="182"/>
      <c r="Q655" s="104"/>
      <c r="R655" s="358"/>
      <c r="S655" s="104"/>
    </row>
    <row r="656" spans="1:19" ht="29.25" customHeight="1">
      <c r="A656" s="224"/>
      <c r="B656" s="359"/>
      <c r="C656" s="360"/>
      <c r="D656" s="361"/>
      <c r="E656" s="362"/>
      <c r="F656" s="161"/>
      <c r="G656" s="225"/>
      <c r="H656" s="225"/>
      <c r="I656" s="180"/>
      <c r="J656" s="181"/>
      <c r="K656" s="181"/>
      <c r="L656" s="181"/>
      <c r="M656" s="164"/>
      <c r="N656" s="180"/>
      <c r="O656" s="180"/>
      <c r="P656" s="182"/>
      <c r="Q656" s="104"/>
      <c r="R656" s="363"/>
      <c r="S656" s="104"/>
    </row>
    <row r="657" spans="1:19" ht="29.25" customHeight="1">
      <c r="A657" s="224"/>
      <c r="B657" s="359"/>
      <c r="C657" s="360"/>
      <c r="D657" s="361"/>
      <c r="E657" s="352"/>
      <c r="F657" s="161"/>
      <c r="G657" s="225"/>
      <c r="H657" s="225"/>
      <c r="I657" s="180"/>
      <c r="J657" s="181"/>
      <c r="K657" s="181"/>
      <c r="L657" s="181"/>
      <c r="M657" s="164"/>
      <c r="N657" s="180"/>
      <c r="O657" s="180"/>
      <c r="P657" s="182"/>
      <c r="Q657" s="104"/>
      <c r="R657" s="358"/>
      <c r="S657" s="104"/>
    </row>
    <row r="658" spans="1:19" ht="29.25" customHeight="1">
      <c r="A658" s="224"/>
      <c r="B658" s="359"/>
      <c r="C658" s="360"/>
      <c r="D658" s="361"/>
      <c r="E658" s="362"/>
      <c r="F658" s="161"/>
      <c r="G658" s="225"/>
      <c r="H658" s="225"/>
      <c r="I658" s="180"/>
      <c r="J658" s="181"/>
      <c r="K658" s="181"/>
      <c r="L658" s="181"/>
      <c r="M658" s="164"/>
      <c r="N658" s="180"/>
      <c r="O658" s="180"/>
      <c r="P658" s="182"/>
      <c r="Q658" s="104"/>
      <c r="R658" s="363"/>
      <c r="S658" s="104"/>
    </row>
    <row r="659" spans="1:19" ht="29.25" customHeight="1">
      <c r="A659" s="224"/>
      <c r="B659" s="359"/>
      <c r="C659" s="360"/>
      <c r="D659" s="361"/>
      <c r="E659" s="352"/>
      <c r="F659" s="161"/>
      <c r="G659" s="225"/>
      <c r="H659" s="225"/>
      <c r="I659" s="180"/>
      <c r="J659" s="181"/>
      <c r="K659" s="181"/>
      <c r="L659" s="181"/>
      <c r="M659" s="164"/>
      <c r="N659" s="180"/>
      <c r="O659" s="180"/>
      <c r="P659" s="182"/>
      <c r="Q659" s="104"/>
      <c r="R659" s="358"/>
      <c r="S659" s="104"/>
    </row>
    <row r="660" spans="1:19" ht="29.25" customHeight="1">
      <c r="A660" s="224"/>
      <c r="B660" s="359"/>
      <c r="C660" s="360"/>
      <c r="D660" s="361"/>
      <c r="E660" s="362"/>
      <c r="F660" s="161"/>
      <c r="G660" s="225"/>
      <c r="H660" s="225"/>
      <c r="I660" s="180"/>
      <c r="J660" s="181"/>
      <c r="K660" s="181"/>
      <c r="L660" s="181"/>
      <c r="M660" s="164"/>
      <c r="N660" s="180"/>
      <c r="O660" s="180"/>
      <c r="P660" s="182"/>
      <c r="Q660" s="104"/>
      <c r="R660" s="363"/>
      <c r="S660" s="104"/>
    </row>
    <row r="661" spans="1:19" ht="29.25" customHeight="1">
      <c r="A661" s="224"/>
      <c r="B661" s="359"/>
      <c r="C661" s="360"/>
      <c r="D661" s="361"/>
      <c r="E661" s="352"/>
      <c r="F661" s="161"/>
      <c r="G661" s="225"/>
      <c r="H661" s="225"/>
      <c r="I661" s="180"/>
      <c r="J661" s="181"/>
      <c r="K661" s="181"/>
      <c r="L661" s="181"/>
      <c r="M661" s="164"/>
      <c r="N661" s="180"/>
      <c r="O661" s="180"/>
      <c r="P661" s="182"/>
      <c r="Q661" s="104"/>
      <c r="R661" s="358"/>
      <c r="S661" s="104"/>
    </row>
    <row r="662" spans="1:19" ht="29.25" customHeight="1">
      <c r="A662" s="224"/>
      <c r="B662" s="359"/>
      <c r="C662" s="360"/>
      <c r="D662" s="361"/>
      <c r="E662" s="362"/>
      <c r="F662" s="161"/>
      <c r="G662" s="225"/>
      <c r="H662" s="225"/>
      <c r="I662" s="180"/>
      <c r="J662" s="181"/>
      <c r="K662" s="181"/>
      <c r="L662" s="181"/>
      <c r="M662" s="164"/>
      <c r="N662" s="180"/>
      <c r="O662" s="180"/>
      <c r="P662" s="182"/>
      <c r="Q662" s="104"/>
      <c r="R662" s="363"/>
      <c r="S662" s="104"/>
    </row>
    <row r="663" spans="1:19" ht="29.25" customHeight="1">
      <c r="A663" s="224"/>
      <c r="B663" s="359"/>
      <c r="C663" s="360"/>
      <c r="D663" s="361"/>
      <c r="E663" s="352"/>
      <c r="F663" s="161"/>
      <c r="G663" s="225"/>
      <c r="H663" s="225"/>
      <c r="I663" s="180"/>
      <c r="J663" s="181"/>
      <c r="K663" s="181"/>
      <c r="L663" s="181"/>
      <c r="M663" s="164"/>
      <c r="N663" s="180"/>
      <c r="O663" s="180"/>
      <c r="P663" s="182"/>
      <c r="Q663" s="104"/>
      <c r="R663" s="358"/>
      <c r="S663" s="104"/>
    </row>
    <row r="664" spans="1:19" ht="29.25" customHeight="1">
      <c r="A664" s="224"/>
      <c r="B664" s="359"/>
      <c r="C664" s="360"/>
      <c r="D664" s="361"/>
      <c r="E664" s="362"/>
      <c r="F664" s="161"/>
      <c r="G664" s="225"/>
      <c r="H664" s="225"/>
      <c r="I664" s="180"/>
      <c r="J664" s="181"/>
      <c r="K664" s="181"/>
      <c r="L664" s="181"/>
      <c r="M664" s="164"/>
      <c r="N664" s="180"/>
      <c r="O664" s="180"/>
      <c r="P664" s="182"/>
      <c r="Q664" s="104"/>
      <c r="R664" s="363"/>
      <c r="S664" s="104"/>
    </row>
    <row r="665" spans="1:19" ht="29.25" customHeight="1">
      <c r="A665" s="224"/>
      <c r="B665" s="359"/>
      <c r="C665" s="360"/>
      <c r="D665" s="361"/>
      <c r="E665" s="352"/>
      <c r="F665" s="161"/>
      <c r="G665" s="225"/>
      <c r="H665" s="225"/>
      <c r="I665" s="180"/>
      <c r="J665" s="181"/>
      <c r="K665" s="181"/>
      <c r="L665" s="181"/>
      <c r="M665" s="164"/>
      <c r="N665" s="180"/>
      <c r="O665" s="180"/>
      <c r="P665" s="182"/>
      <c r="Q665" s="104"/>
      <c r="R665" s="358"/>
      <c r="S665" s="104"/>
    </row>
    <row r="666" spans="1:19" ht="29.25" customHeight="1">
      <c r="A666" s="224"/>
      <c r="B666" s="359"/>
      <c r="C666" s="360"/>
      <c r="D666" s="361"/>
      <c r="E666" s="362"/>
      <c r="F666" s="161"/>
      <c r="G666" s="225"/>
      <c r="H666" s="225"/>
      <c r="I666" s="180"/>
      <c r="J666" s="181"/>
      <c r="K666" s="181"/>
      <c r="L666" s="181"/>
      <c r="M666" s="164"/>
      <c r="N666" s="180"/>
      <c r="O666" s="180"/>
      <c r="P666" s="182"/>
      <c r="Q666" s="104"/>
      <c r="R666" s="363"/>
      <c r="S666" s="104"/>
    </row>
    <row r="667" spans="1:19" ht="29.25" customHeight="1">
      <c r="A667" s="224"/>
      <c r="B667" s="359"/>
      <c r="C667" s="360"/>
      <c r="D667" s="361"/>
      <c r="E667" s="352"/>
      <c r="F667" s="161"/>
      <c r="G667" s="225"/>
      <c r="H667" s="225"/>
      <c r="I667" s="180"/>
      <c r="J667" s="181"/>
      <c r="K667" s="181"/>
      <c r="L667" s="181"/>
      <c r="M667" s="164"/>
      <c r="N667" s="180"/>
      <c r="O667" s="180"/>
      <c r="P667" s="182"/>
      <c r="Q667" s="104"/>
      <c r="R667" s="358"/>
      <c r="S667" s="104"/>
    </row>
    <row r="668" spans="1:19" ht="29.25" customHeight="1">
      <c r="A668" s="224"/>
      <c r="B668" s="359"/>
      <c r="C668" s="360"/>
      <c r="D668" s="361"/>
      <c r="E668" s="362"/>
      <c r="F668" s="161"/>
      <c r="G668" s="225"/>
      <c r="H668" s="225"/>
      <c r="I668" s="180"/>
      <c r="J668" s="181"/>
      <c r="K668" s="181"/>
      <c r="L668" s="181"/>
      <c r="M668" s="164"/>
      <c r="N668" s="180"/>
      <c r="O668" s="180"/>
      <c r="P668" s="182"/>
      <c r="Q668" s="104"/>
      <c r="R668" s="363"/>
      <c r="S668" s="104"/>
    </row>
    <row r="669" spans="1:19" ht="29.25" customHeight="1">
      <c r="A669" s="224"/>
      <c r="B669" s="359"/>
      <c r="C669" s="360"/>
      <c r="D669" s="361"/>
      <c r="E669" s="352"/>
      <c r="F669" s="161"/>
      <c r="G669" s="225"/>
      <c r="H669" s="225"/>
      <c r="I669" s="180"/>
      <c r="J669" s="181"/>
      <c r="K669" s="181"/>
      <c r="L669" s="181"/>
      <c r="M669" s="164"/>
      <c r="N669" s="180"/>
      <c r="O669" s="180"/>
      <c r="P669" s="182"/>
      <c r="Q669" s="104"/>
      <c r="R669" s="358"/>
      <c r="S669" s="104"/>
    </row>
    <row r="670" spans="1:19" ht="29.25" customHeight="1">
      <c r="A670" s="224"/>
      <c r="B670" s="359"/>
      <c r="C670" s="360"/>
      <c r="D670" s="361"/>
      <c r="E670" s="362"/>
      <c r="F670" s="161"/>
      <c r="G670" s="225"/>
      <c r="H670" s="225"/>
      <c r="I670" s="180"/>
      <c r="J670" s="181"/>
      <c r="K670" s="181"/>
      <c r="L670" s="181"/>
      <c r="M670" s="164"/>
      <c r="N670" s="180"/>
      <c r="O670" s="180"/>
      <c r="P670" s="182"/>
      <c r="Q670" s="104"/>
      <c r="R670" s="363"/>
      <c r="S670" s="104"/>
    </row>
    <row r="671" spans="1:19" ht="29.25" customHeight="1">
      <c r="A671" s="224"/>
      <c r="B671" s="359"/>
      <c r="C671" s="360"/>
      <c r="D671" s="361"/>
      <c r="E671" s="352"/>
      <c r="F671" s="161"/>
      <c r="G671" s="225"/>
      <c r="H671" s="225"/>
      <c r="I671" s="180"/>
      <c r="J671" s="181"/>
      <c r="K671" s="181"/>
      <c r="L671" s="181"/>
      <c r="M671" s="164"/>
      <c r="N671" s="180"/>
      <c r="O671" s="180"/>
      <c r="P671" s="182"/>
      <c r="Q671" s="104"/>
      <c r="R671" s="358"/>
      <c r="S671" s="104"/>
    </row>
    <row r="672" spans="1:19" ht="29.25" customHeight="1">
      <c r="A672" s="224"/>
      <c r="B672" s="359"/>
      <c r="C672" s="360"/>
      <c r="D672" s="361"/>
      <c r="E672" s="362"/>
      <c r="F672" s="161"/>
      <c r="G672" s="225"/>
      <c r="H672" s="225"/>
      <c r="I672" s="180"/>
      <c r="J672" s="181"/>
      <c r="K672" s="181"/>
      <c r="L672" s="181"/>
      <c r="M672" s="164"/>
      <c r="N672" s="180"/>
      <c r="O672" s="180"/>
      <c r="P672" s="182"/>
      <c r="Q672" s="104"/>
      <c r="R672" s="363"/>
      <c r="S672" s="104"/>
    </row>
    <row r="673" spans="1:19" ht="29.25" customHeight="1">
      <c r="A673" s="224"/>
      <c r="B673" s="359"/>
      <c r="C673" s="360"/>
      <c r="D673" s="361"/>
      <c r="E673" s="352"/>
      <c r="F673" s="161"/>
      <c r="G673" s="225"/>
      <c r="H673" s="225"/>
      <c r="I673" s="180"/>
      <c r="J673" s="181"/>
      <c r="K673" s="181"/>
      <c r="L673" s="181"/>
      <c r="M673" s="164"/>
      <c r="N673" s="180"/>
      <c r="O673" s="180"/>
      <c r="P673" s="182"/>
      <c r="Q673" s="104"/>
      <c r="R673" s="358"/>
      <c r="S673" s="104"/>
    </row>
    <row r="674" spans="1:19" ht="29.25" customHeight="1">
      <c r="A674" s="224"/>
      <c r="B674" s="359"/>
      <c r="C674" s="360"/>
      <c r="D674" s="361"/>
      <c r="E674" s="362"/>
      <c r="F674" s="161"/>
      <c r="G674" s="225"/>
      <c r="H674" s="225"/>
      <c r="I674" s="180"/>
      <c r="J674" s="181"/>
      <c r="K674" s="181"/>
      <c r="L674" s="181"/>
      <c r="M674" s="164"/>
      <c r="N674" s="180"/>
      <c r="O674" s="180"/>
      <c r="P674" s="182"/>
      <c r="Q674" s="104"/>
      <c r="R674" s="363"/>
      <c r="S674" s="104"/>
    </row>
    <row r="675" spans="1:19" ht="29.25" customHeight="1">
      <c r="A675" s="224"/>
      <c r="B675" s="359"/>
      <c r="C675" s="360"/>
      <c r="D675" s="361"/>
      <c r="E675" s="352"/>
      <c r="F675" s="161"/>
      <c r="G675" s="225"/>
      <c r="H675" s="225"/>
      <c r="I675" s="180"/>
      <c r="J675" s="181"/>
      <c r="K675" s="181"/>
      <c r="L675" s="181"/>
      <c r="M675" s="164"/>
      <c r="N675" s="180"/>
      <c r="O675" s="180"/>
      <c r="P675" s="182"/>
      <c r="Q675" s="104"/>
      <c r="R675" s="358"/>
      <c r="S675" s="104"/>
    </row>
    <row r="676" spans="1:19" ht="29.25" customHeight="1">
      <c r="A676" s="224"/>
      <c r="B676" s="359"/>
      <c r="C676" s="360"/>
      <c r="D676" s="361"/>
      <c r="E676" s="362"/>
      <c r="F676" s="161"/>
      <c r="G676" s="225"/>
      <c r="H676" s="225"/>
      <c r="I676" s="180"/>
      <c r="J676" s="181"/>
      <c r="K676" s="181"/>
      <c r="L676" s="181"/>
      <c r="M676" s="164"/>
      <c r="N676" s="180"/>
      <c r="O676" s="180"/>
      <c r="P676" s="182"/>
      <c r="Q676" s="104"/>
      <c r="R676" s="363"/>
      <c r="S676" s="104"/>
    </row>
    <row r="677" spans="1:19" ht="29.25" customHeight="1">
      <c r="A677" s="224"/>
      <c r="B677" s="359"/>
      <c r="C677" s="360"/>
      <c r="D677" s="361"/>
      <c r="E677" s="352"/>
      <c r="F677" s="161"/>
      <c r="G677" s="225"/>
      <c r="H677" s="225"/>
      <c r="I677" s="180"/>
      <c r="J677" s="181"/>
      <c r="K677" s="181"/>
      <c r="L677" s="181"/>
      <c r="M677" s="164"/>
      <c r="N677" s="180"/>
      <c r="O677" s="180"/>
      <c r="P677" s="182"/>
      <c r="Q677" s="104"/>
      <c r="R677" s="358"/>
      <c r="S677" s="104"/>
    </row>
    <row r="678" spans="1:19" ht="29.25" customHeight="1">
      <c r="A678" s="224"/>
      <c r="B678" s="359"/>
      <c r="C678" s="360"/>
      <c r="D678" s="361"/>
      <c r="E678" s="362"/>
      <c r="F678" s="161"/>
      <c r="G678" s="225"/>
      <c r="H678" s="225"/>
      <c r="I678" s="180"/>
      <c r="J678" s="181"/>
      <c r="K678" s="181"/>
      <c r="L678" s="181"/>
      <c r="M678" s="164"/>
      <c r="N678" s="180"/>
      <c r="O678" s="180"/>
      <c r="P678" s="182"/>
      <c r="Q678" s="104"/>
      <c r="R678" s="363"/>
      <c r="S678" s="104"/>
    </row>
    <row r="679" spans="1:19" ht="29.25" customHeight="1">
      <c r="A679" s="224"/>
      <c r="B679" s="359"/>
      <c r="C679" s="360"/>
      <c r="D679" s="361"/>
      <c r="E679" s="352"/>
      <c r="F679" s="161"/>
      <c r="G679" s="225"/>
      <c r="H679" s="225"/>
      <c r="I679" s="180"/>
      <c r="J679" s="181"/>
      <c r="K679" s="181"/>
      <c r="L679" s="181"/>
      <c r="M679" s="164"/>
      <c r="N679" s="180"/>
      <c r="O679" s="180"/>
      <c r="P679" s="182"/>
      <c r="Q679" s="104"/>
      <c r="R679" s="358"/>
      <c r="S679" s="104"/>
    </row>
    <row r="680" spans="1:19" ht="29.25" customHeight="1">
      <c r="A680" s="224"/>
      <c r="B680" s="359"/>
      <c r="C680" s="360"/>
      <c r="D680" s="361"/>
      <c r="E680" s="362"/>
      <c r="F680" s="161"/>
      <c r="G680" s="225"/>
      <c r="H680" s="225"/>
      <c r="I680" s="180"/>
      <c r="J680" s="181"/>
      <c r="K680" s="181"/>
      <c r="L680" s="181"/>
      <c r="M680" s="164"/>
      <c r="N680" s="180"/>
      <c r="O680" s="180"/>
      <c r="P680" s="182"/>
      <c r="Q680" s="104"/>
      <c r="R680" s="363"/>
      <c r="S680" s="104"/>
    </row>
    <row r="681" spans="1:19" ht="29.25" customHeight="1">
      <c r="A681" s="224"/>
      <c r="B681" s="359"/>
      <c r="C681" s="360"/>
      <c r="D681" s="361"/>
      <c r="E681" s="352"/>
      <c r="F681" s="161"/>
      <c r="G681" s="225"/>
      <c r="H681" s="225"/>
      <c r="I681" s="180"/>
      <c r="J681" s="181"/>
      <c r="K681" s="181"/>
      <c r="L681" s="181"/>
      <c r="M681" s="164"/>
      <c r="N681" s="180"/>
      <c r="O681" s="180"/>
      <c r="P681" s="182"/>
      <c r="Q681" s="104"/>
      <c r="R681" s="358"/>
      <c r="S681" s="104"/>
    </row>
    <row r="682" spans="1:19" ht="29.25" customHeight="1">
      <c r="A682" s="224"/>
      <c r="B682" s="359"/>
      <c r="C682" s="360"/>
      <c r="D682" s="361"/>
      <c r="E682" s="362"/>
      <c r="F682" s="161"/>
      <c r="G682" s="225"/>
      <c r="H682" s="225"/>
      <c r="I682" s="180"/>
      <c r="J682" s="181"/>
      <c r="K682" s="181"/>
      <c r="L682" s="181"/>
      <c r="M682" s="164"/>
      <c r="N682" s="180"/>
      <c r="O682" s="180"/>
      <c r="P682" s="182"/>
      <c r="Q682" s="104"/>
      <c r="R682" s="363"/>
      <c r="S682" s="104"/>
    </row>
    <row r="683" spans="1:19" ht="29.25" customHeight="1">
      <c r="A683" s="224"/>
      <c r="B683" s="359"/>
      <c r="C683" s="360"/>
      <c r="D683" s="361"/>
      <c r="E683" s="352"/>
      <c r="F683" s="161"/>
      <c r="G683" s="225"/>
      <c r="H683" s="225"/>
      <c r="I683" s="180"/>
      <c r="J683" s="181"/>
      <c r="K683" s="181"/>
      <c r="L683" s="181"/>
      <c r="M683" s="164"/>
      <c r="N683" s="180"/>
      <c r="O683" s="180"/>
      <c r="P683" s="182"/>
      <c r="Q683" s="104"/>
      <c r="R683" s="358"/>
      <c r="S683" s="104"/>
    </row>
    <row r="684" spans="1:19" ht="29.25" customHeight="1">
      <c r="A684" s="224"/>
      <c r="B684" s="359"/>
      <c r="C684" s="360"/>
      <c r="D684" s="361"/>
      <c r="E684" s="362"/>
      <c r="F684" s="161"/>
      <c r="G684" s="225"/>
      <c r="H684" s="225"/>
      <c r="I684" s="180"/>
      <c r="J684" s="181"/>
      <c r="K684" s="181"/>
      <c r="L684" s="181"/>
      <c r="M684" s="164"/>
      <c r="N684" s="180"/>
      <c r="O684" s="180"/>
      <c r="P684" s="182"/>
      <c r="Q684" s="104"/>
      <c r="R684" s="363"/>
      <c r="S684" s="104"/>
    </row>
    <row r="685" spans="1:19" ht="29.25" customHeight="1">
      <c r="A685" s="224"/>
      <c r="B685" s="359"/>
      <c r="C685" s="360"/>
      <c r="D685" s="361"/>
      <c r="E685" s="352"/>
      <c r="F685" s="161"/>
      <c r="G685" s="225"/>
      <c r="H685" s="225"/>
      <c r="I685" s="180"/>
      <c r="J685" s="181"/>
      <c r="K685" s="181"/>
      <c r="L685" s="181"/>
      <c r="M685" s="164"/>
      <c r="N685" s="180"/>
      <c r="O685" s="180"/>
      <c r="P685" s="182"/>
      <c r="Q685" s="104"/>
      <c r="R685" s="358"/>
      <c r="S685" s="104"/>
    </row>
    <row r="686" spans="1:19" ht="29.25" customHeight="1">
      <c r="A686" s="224"/>
      <c r="B686" s="359"/>
      <c r="C686" s="360"/>
      <c r="D686" s="361"/>
      <c r="E686" s="362"/>
      <c r="F686" s="161"/>
      <c r="G686" s="225"/>
      <c r="H686" s="225"/>
      <c r="I686" s="180"/>
      <c r="J686" s="181"/>
      <c r="K686" s="181"/>
      <c r="L686" s="181"/>
      <c r="M686" s="164"/>
      <c r="N686" s="180"/>
      <c r="O686" s="180"/>
      <c r="P686" s="182"/>
      <c r="Q686" s="104"/>
      <c r="R686" s="363"/>
      <c r="S686" s="104"/>
    </row>
    <row r="687" spans="1:19" ht="29.25" customHeight="1">
      <c r="A687" s="224"/>
      <c r="B687" s="359"/>
      <c r="C687" s="360"/>
      <c r="D687" s="361"/>
      <c r="E687" s="352"/>
      <c r="F687" s="161"/>
      <c r="G687" s="225"/>
      <c r="H687" s="225"/>
      <c r="I687" s="180"/>
      <c r="J687" s="181"/>
      <c r="K687" s="181"/>
      <c r="L687" s="181"/>
      <c r="M687" s="164"/>
      <c r="N687" s="180"/>
      <c r="O687" s="180"/>
      <c r="P687" s="182"/>
      <c r="Q687" s="104"/>
      <c r="R687" s="358"/>
      <c r="S687" s="104"/>
    </row>
    <row r="688" spans="1:19" ht="29.25" customHeight="1">
      <c r="A688" s="224"/>
      <c r="B688" s="359"/>
      <c r="C688" s="360"/>
      <c r="D688" s="361"/>
      <c r="E688" s="362"/>
      <c r="F688" s="161"/>
      <c r="G688" s="225"/>
      <c r="H688" s="225"/>
      <c r="I688" s="180"/>
      <c r="J688" s="181"/>
      <c r="K688" s="181"/>
      <c r="L688" s="181"/>
      <c r="M688" s="164"/>
      <c r="N688" s="180"/>
      <c r="O688" s="180"/>
      <c r="P688" s="182"/>
      <c r="Q688" s="104"/>
      <c r="R688" s="363"/>
      <c r="S688" s="104"/>
    </row>
    <row r="689" spans="1:19" ht="29.25" customHeight="1">
      <c r="A689" s="224"/>
      <c r="B689" s="359"/>
      <c r="C689" s="360"/>
      <c r="D689" s="361"/>
      <c r="E689" s="352"/>
      <c r="F689" s="161"/>
      <c r="G689" s="225"/>
      <c r="H689" s="225"/>
      <c r="I689" s="180"/>
      <c r="J689" s="181"/>
      <c r="K689" s="181"/>
      <c r="L689" s="181"/>
      <c r="M689" s="164"/>
      <c r="N689" s="180"/>
      <c r="O689" s="180"/>
      <c r="P689" s="182"/>
      <c r="Q689" s="104"/>
      <c r="R689" s="358"/>
      <c r="S689" s="104"/>
    </row>
    <row r="690" spans="1:19" ht="29.25" customHeight="1">
      <c r="A690" s="224"/>
      <c r="B690" s="359"/>
      <c r="C690" s="360"/>
      <c r="D690" s="361"/>
      <c r="E690" s="362"/>
      <c r="F690" s="161"/>
      <c r="G690" s="225"/>
      <c r="H690" s="225"/>
      <c r="I690" s="180"/>
      <c r="J690" s="181"/>
      <c r="K690" s="181"/>
      <c r="L690" s="181"/>
      <c r="M690" s="164"/>
      <c r="N690" s="180"/>
      <c r="O690" s="180"/>
      <c r="P690" s="182"/>
      <c r="Q690" s="104"/>
      <c r="R690" s="363"/>
      <c r="S690" s="104"/>
    </row>
    <row r="691" spans="1:19" ht="29.25" customHeight="1">
      <c r="A691" s="224"/>
      <c r="B691" s="359"/>
      <c r="C691" s="360"/>
      <c r="D691" s="361"/>
      <c r="E691" s="352"/>
      <c r="F691" s="161"/>
      <c r="G691" s="225"/>
      <c r="H691" s="225"/>
      <c r="I691" s="180"/>
      <c r="J691" s="181"/>
      <c r="K691" s="181"/>
      <c r="L691" s="181"/>
      <c r="M691" s="164"/>
      <c r="N691" s="180"/>
      <c r="O691" s="180"/>
      <c r="P691" s="182"/>
      <c r="Q691" s="104"/>
      <c r="R691" s="358"/>
      <c r="S691" s="104"/>
    </row>
    <row r="692" spans="1:19" ht="29.25" customHeight="1">
      <c r="A692" s="224"/>
      <c r="B692" s="359"/>
      <c r="C692" s="360"/>
      <c r="D692" s="361"/>
      <c r="E692" s="362"/>
      <c r="F692" s="161"/>
      <c r="G692" s="225"/>
      <c r="H692" s="225"/>
      <c r="I692" s="180"/>
      <c r="J692" s="181"/>
      <c r="K692" s="181"/>
      <c r="L692" s="181"/>
      <c r="M692" s="164"/>
      <c r="N692" s="180"/>
      <c r="O692" s="180"/>
      <c r="P692" s="182"/>
      <c r="Q692" s="104"/>
      <c r="R692" s="363"/>
      <c r="S692" s="104"/>
    </row>
    <row r="693" spans="1:19" ht="29.25" customHeight="1">
      <c r="A693" s="224"/>
      <c r="B693" s="359"/>
      <c r="C693" s="360"/>
      <c r="D693" s="361"/>
      <c r="E693" s="352"/>
      <c r="F693" s="161"/>
      <c r="G693" s="225"/>
      <c r="H693" s="225"/>
      <c r="I693" s="180"/>
      <c r="J693" s="181"/>
      <c r="K693" s="181"/>
      <c r="L693" s="181"/>
      <c r="M693" s="164"/>
      <c r="N693" s="180"/>
      <c r="O693" s="180"/>
      <c r="P693" s="182"/>
      <c r="Q693" s="104"/>
      <c r="R693" s="358"/>
      <c r="S693" s="104"/>
    </row>
    <row r="694" spans="1:19" ht="29.25" customHeight="1">
      <c r="A694" s="224"/>
      <c r="B694" s="359"/>
      <c r="C694" s="360"/>
      <c r="D694" s="361"/>
      <c r="E694" s="362"/>
      <c r="F694" s="161"/>
      <c r="G694" s="225"/>
      <c r="H694" s="225"/>
      <c r="I694" s="180"/>
      <c r="J694" s="181"/>
      <c r="K694" s="181"/>
      <c r="L694" s="181"/>
      <c r="M694" s="164"/>
      <c r="N694" s="180"/>
      <c r="O694" s="180"/>
      <c r="P694" s="182"/>
      <c r="Q694" s="104"/>
      <c r="R694" s="363"/>
      <c r="S694" s="104"/>
    </row>
    <row r="695" spans="1:19" ht="29.25" customHeight="1">
      <c r="A695" s="224"/>
      <c r="B695" s="359"/>
      <c r="C695" s="360"/>
      <c r="D695" s="361"/>
      <c r="E695" s="352"/>
      <c r="F695" s="161"/>
      <c r="G695" s="225"/>
      <c r="H695" s="225"/>
      <c r="I695" s="180"/>
      <c r="J695" s="181"/>
      <c r="K695" s="181"/>
      <c r="L695" s="181"/>
      <c r="M695" s="164"/>
      <c r="N695" s="180"/>
      <c r="O695" s="180"/>
      <c r="P695" s="182"/>
      <c r="Q695" s="104"/>
      <c r="R695" s="358"/>
      <c r="S695" s="104"/>
    </row>
    <row r="696" spans="1:19" ht="29.25" customHeight="1">
      <c r="A696" s="224"/>
      <c r="B696" s="359"/>
      <c r="C696" s="360"/>
      <c r="D696" s="361"/>
      <c r="E696" s="362"/>
      <c r="F696" s="161"/>
      <c r="G696" s="225"/>
      <c r="H696" s="225"/>
      <c r="I696" s="180"/>
      <c r="J696" s="181"/>
      <c r="K696" s="181"/>
      <c r="L696" s="181"/>
      <c r="M696" s="164"/>
      <c r="N696" s="180"/>
      <c r="O696" s="180"/>
      <c r="P696" s="182"/>
      <c r="Q696" s="104"/>
      <c r="R696" s="363"/>
      <c r="S696" s="104"/>
    </row>
    <row r="697" spans="1:19" ht="29.25" customHeight="1">
      <c r="A697" s="224"/>
      <c r="B697" s="359"/>
      <c r="C697" s="360"/>
      <c r="D697" s="361"/>
      <c r="E697" s="352"/>
      <c r="F697" s="161"/>
      <c r="G697" s="225"/>
      <c r="H697" s="225"/>
      <c r="I697" s="180"/>
      <c r="J697" s="181"/>
      <c r="K697" s="181"/>
      <c r="L697" s="181"/>
      <c r="M697" s="164"/>
      <c r="N697" s="180"/>
      <c r="O697" s="180"/>
      <c r="P697" s="182"/>
      <c r="Q697" s="104"/>
      <c r="R697" s="358"/>
      <c r="S697" s="104"/>
    </row>
    <row r="698" spans="1:19" ht="29.25" customHeight="1">
      <c r="A698" s="224"/>
      <c r="B698" s="359"/>
      <c r="C698" s="360"/>
      <c r="D698" s="361"/>
      <c r="E698" s="362"/>
      <c r="F698" s="161"/>
      <c r="G698" s="225"/>
      <c r="H698" s="225"/>
      <c r="I698" s="180"/>
      <c r="J698" s="181"/>
      <c r="K698" s="181"/>
      <c r="L698" s="181"/>
      <c r="M698" s="164"/>
      <c r="N698" s="180"/>
      <c r="O698" s="180"/>
      <c r="P698" s="182"/>
      <c r="Q698" s="104"/>
      <c r="R698" s="363"/>
      <c r="S698" s="104"/>
    </row>
    <row r="699" spans="1:19" ht="29.25" customHeight="1">
      <c r="A699" s="224"/>
      <c r="B699" s="359"/>
      <c r="C699" s="360"/>
      <c r="D699" s="361"/>
      <c r="E699" s="352"/>
      <c r="F699" s="161"/>
      <c r="G699" s="225"/>
      <c r="H699" s="225"/>
      <c r="I699" s="180"/>
      <c r="J699" s="181"/>
      <c r="K699" s="181"/>
      <c r="L699" s="181"/>
      <c r="M699" s="164"/>
      <c r="N699" s="180"/>
      <c r="O699" s="180"/>
      <c r="P699" s="182"/>
      <c r="Q699" s="104"/>
      <c r="R699" s="358"/>
      <c r="S699" s="104"/>
    </row>
    <row r="700" spans="1:19" ht="29.25" customHeight="1">
      <c r="A700" s="224"/>
      <c r="B700" s="359"/>
      <c r="C700" s="360"/>
      <c r="D700" s="361"/>
      <c r="E700" s="362"/>
      <c r="F700" s="161"/>
      <c r="G700" s="225"/>
      <c r="H700" s="225"/>
      <c r="I700" s="180"/>
      <c r="J700" s="181"/>
      <c r="K700" s="181"/>
      <c r="L700" s="181"/>
      <c r="M700" s="164"/>
      <c r="N700" s="180"/>
      <c r="O700" s="180"/>
      <c r="P700" s="182"/>
      <c r="Q700" s="104"/>
      <c r="R700" s="363"/>
      <c r="S700" s="104"/>
    </row>
    <row r="701" spans="1:19" ht="29.25" customHeight="1">
      <c r="A701" s="224"/>
      <c r="B701" s="359"/>
      <c r="C701" s="360"/>
      <c r="D701" s="361"/>
      <c r="E701" s="352"/>
      <c r="F701" s="161"/>
      <c r="G701" s="225"/>
      <c r="H701" s="225"/>
      <c r="I701" s="180"/>
      <c r="J701" s="181"/>
      <c r="K701" s="181"/>
      <c r="L701" s="181"/>
      <c r="M701" s="164"/>
      <c r="N701" s="180"/>
      <c r="O701" s="180"/>
      <c r="P701" s="182"/>
      <c r="Q701" s="104"/>
      <c r="R701" s="358"/>
      <c r="S701" s="104"/>
    </row>
    <row r="702" spans="1:19" ht="29.25" customHeight="1">
      <c r="A702" s="224"/>
      <c r="B702" s="359"/>
      <c r="C702" s="360"/>
      <c r="D702" s="361"/>
      <c r="E702" s="362"/>
      <c r="F702" s="161"/>
      <c r="G702" s="225"/>
      <c r="H702" s="225"/>
      <c r="I702" s="180"/>
      <c r="J702" s="181"/>
      <c r="K702" s="181"/>
      <c r="L702" s="181"/>
      <c r="M702" s="164"/>
      <c r="N702" s="180"/>
      <c r="O702" s="180"/>
      <c r="P702" s="182"/>
      <c r="Q702" s="104"/>
      <c r="R702" s="363"/>
      <c r="S702" s="104"/>
    </row>
    <row r="703" spans="1:19" ht="29.25" customHeight="1">
      <c r="A703" s="224"/>
      <c r="B703" s="359"/>
      <c r="C703" s="360"/>
      <c r="D703" s="361"/>
      <c r="E703" s="352"/>
      <c r="F703" s="161"/>
      <c r="G703" s="225"/>
      <c r="H703" s="225"/>
      <c r="I703" s="180"/>
      <c r="J703" s="181"/>
      <c r="K703" s="181"/>
      <c r="L703" s="181"/>
      <c r="M703" s="164"/>
      <c r="N703" s="180"/>
      <c r="O703" s="180"/>
      <c r="P703" s="182"/>
      <c r="Q703" s="104"/>
      <c r="R703" s="358"/>
      <c r="S703" s="104"/>
    </row>
    <row r="704" spans="1:19" ht="29.25" customHeight="1">
      <c r="A704" s="224"/>
      <c r="B704" s="359"/>
      <c r="C704" s="360"/>
      <c r="D704" s="361"/>
      <c r="E704" s="362"/>
      <c r="F704" s="161"/>
      <c r="G704" s="225"/>
      <c r="H704" s="225"/>
      <c r="I704" s="180"/>
      <c r="J704" s="181"/>
      <c r="K704" s="181"/>
      <c r="L704" s="181"/>
      <c r="M704" s="164"/>
      <c r="N704" s="180"/>
      <c r="O704" s="180"/>
      <c r="P704" s="182"/>
      <c r="Q704" s="104"/>
      <c r="R704" s="363"/>
      <c r="S704" s="104"/>
    </row>
    <row r="705" spans="1:19" ht="29.25" customHeight="1">
      <c r="A705" s="224"/>
      <c r="B705" s="359"/>
      <c r="C705" s="360"/>
      <c r="D705" s="361"/>
      <c r="E705" s="352"/>
      <c r="F705" s="161"/>
      <c r="G705" s="225"/>
      <c r="H705" s="225"/>
      <c r="I705" s="180"/>
      <c r="J705" s="181"/>
      <c r="K705" s="181"/>
      <c r="L705" s="181"/>
      <c r="M705" s="164"/>
      <c r="N705" s="180"/>
      <c r="O705" s="180"/>
      <c r="P705" s="182"/>
      <c r="Q705" s="104"/>
      <c r="R705" s="358"/>
      <c r="S705" s="104"/>
    </row>
    <row r="706" spans="1:19" ht="29.25" customHeight="1">
      <c r="A706" s="224"/>
      <c r="B706" s="359"/>
      <c r="C706" s="360"/>
      <c r="D706" s="361"/>
      <c r="E706" s="362"/>
      <c r="F706" s="161"/>
      <c r="G706" s="225"/>
      <c r="H706" s="225"/>
      <c r="I706" s="180"/>
      <c r="J706" s="181"/>
      <c r="K706" s="181"/>
      <c r="L706" s="181"/>
      <c r="M706" s="164"/>
      <c r="N706" s="180"/>
      <c r="O706" s="180"/>
      <c r="P706" s="182"/>
      <c r="Q706" s="104"/>
      <c r="R706" s="363"/>
      <c r="S706" s="104"/>
    </row>
    <row r="707" spans="1:19" ht="29.25" customHeight="1">
      <c r="A707" s="224"/>
      <c r="B707" s="359"/>
      <c r="C707" s="360"/>
      <c r="D707" s="361"/>
      <c r="E707" s="352"/>
      <c r="F707" s="161"/>
      <c r="G707" s="225"/>
      <c r="H707" s="225"/>
      <c r="I707" s="180"/>
      <c r="J707" s="181"/>
      <c r="K707" s="181"/>
      <c r="L707" s="181"/>
      <c r="M707" s="164"/>
      <c r="N707" s="180"/>
      <c r="O707" s="180"/>
      <c r="P707" s="182"/>
      <c r="Q707" s="104"/>
      <c r="R707" s="358"/>
      <c r="S707" s="104"/>
    </row>
    <row r="708" spans="1:19" ht="29.25" customHeight="1">
      <c r="A708" s="224"/>
      <c r="B708" s="359"/>
      <c r="C708" s="360"/>
      <c r="D708" s="361"/>
      <c r="E708" s="362"/>
      <c r="F708" s="161"/>
      <c r="G708" s="225"/>
      <c r="H708" s="225"/>
      <c r="I708" s="180"/>
      <c r="J708" s="181"/>
      <c r="K708" s="181"/>
      <c r="L708" s="181"/>
      <c r="M708" s="164"/>
      <c r="N708" s="180"/>
      <c r="O708" s="180"/>
      <c r="P708" s="182"/>
      <c r="Q708" s="104"/>
      <c r="R708" s="363"/>
      <c r="S708" s="104"/>
    </row>
    <row r="709" spans="1:19" ht="29.25" customHeight="1">
      <c r="A709" s="224"/>
      <c r="B709" s="359"/>
      <c r="C709" s="360"/>
      <c r="D709" s="361"/>
      <c r="E709" s="352"/>
      <c r="F709" s="161"/>
      <c r="G709" s="225"/>
      <c r="H709" s="225"/>
      <c r="I709" s="180"/>
      <c r="J709" s="181"/>
      <c r="K709" s="181"/>
      <c r="L709" s="181"/>
      <c r="M709" s="164"/>
      <c r="N709" s="180"/>
      <c r="O709" s="180"/>
      <c r="P709" s="182"/>
      <c r="Q709" s="104"/>
      <c r="R709" s="358"/>
      <c r="S709" s="104"/>
    </row>
    <row r="710" spans="1:19" ht="29.25" customHeight="1">
      <c r="A710" s="224"/>
      <c r="B710" s="359"/>
      <c r="C710" s="360"/>
      <c r="D710" s="361"/>
      <c r="E710" s="362"/>
      <c r="F710" s="161"/>
      <c r="G710" s="225"/>
      <c r="H710" s="225"/>
      <c r="I710" s="180"/>
      <c r="J710" s="181"/>
      <c r="K710" s="181"/>
      <c r="L710" s="181"/>
      <c r="M710" s="164"/>
      <c r="N710" s="180"/>
      <c r="O710" s="180"/>
      <c r="P710" s="182"/>
      <c r="Q710" s="104"/>
      <c r="R710" s="363"/>
      <c r="S710" s="104"/>
    </row>
    <row r="711" spans="1:19" ht="29.25" customHeight="1">
      <c r="A711" s="224"/>
      <c r="B711" s="359"/>
      <c r="C711" s="360"/>
      <c r="D711" s="361"/>
      <c r="E711" s="352"/>
      <c r="F711" s="161"/>
      <c r="G711" s="225"/>
      <c r="H711" s="225"/>
      <c r="I711" s="180"/>
      <c r="J711" s="181"/>
      <c r="K711" s="181"/>
      <c r="L711" s="181"/>
      <c r="M711" s="164"/>
      <c r="N711" s="180"/>
      <c r="O711" s="180"/>
      <c r="P711" s="182"/>
      <c r="Q711" s="104"/>
      <c r="R711" s="358"/>
      <c r="S711" s="104"/>
    </row>
    <row r="712" spans="1:19" ht="29.25" customHeight="1">
      <c r="A712" s="224"/>
      <c r="B712" s="359"/>
      <c r="C712" s="360"/>
      <c r="D712" s="361"/>
      <c r="E712" s="362"/>
      <c r="F712" s="161"/>
      <c r="G712" s="225"/>
      <c r="H712" s="225"/>
      <c r="I712" s="180"/>
      <c r="J712" s="181"/>
      <c r="K712" s="181"/>
      <c r="L712" s="181"/>
      <c r="M712" s="164"/>
      <c r="N712" s="180"/>
      <c r="O712" s="180"/>
      <c r="P712" s="182"/>
      <c r="Q712" s="104"/>
      <c r="R712" s="363"/>
      <c r="S712" s="104"/>
    </row>
    <row r="713" spans="1:19" ht="29.25" customHeight="1">
      <c r="A713" s="224"/>
      <c r="B713" s="359"/>
      <c r="C713" s="360"/>
      <c r="D713" s="361"/>
      <c r="E713" s="352"/>
      <c r="F713" s="161"/>
      <c r="G713" s="225"/>
      <c r="H713" s="225"/>
      <c r="I713" s="180"/>
      <c r="J713" s="181"/>
      <c r="K713" s="181"/>
      <c r="L713" s="181"/>
      <c r="M713" s="164"/>
      <c r="N713" s="180"/>
      <c r="O713" s="180"/>
      <c r="P713" s="182"/>
      <c r="Q713" s="104"/>
      <c r="R713" s="358"/>
      <c r="S713" s="104"/>
    </row>
    <row r="714" spans="1:19" ht="29.25" customHeight="1">
      <c r="A714" s="224"/>
      <c r="B714" s="359"/>
      <c r="C714" s="360"/>
      <c r="D714" s="361"/>
      <c r="E714" s="362"/>
      <c r="F714" s="161"/>
      <c r="G714" s="225"/>
      <c r="H714" s="225"/>
      <c r="I714" s="180"/>
      <c r="J714" s="181"/>
      <c r="K714" s="181"/>
      <c r="L714" s="181"/>
      <c r="M714" s="164"/>
      <c r="N714" s="180"/>
      <c r="O714" s="180"/>
      <c r="P714" s="182"/>
      <c r="Q714" s="104"/>
      <c r="R714" s="363"/>
      <c r="S714" s="104"/>
    </row>
    <row r="715" spans="1:19" ht="29.25" customHeight="1">
      <c r="A715" s="224"/>
      <c r="B715" s="359"/>
      <c r="C715" s="360"/>
      <c r="D715" s="361"/>
      <c r="E715" s="352"/>
      <c r="F715" s="161"/>
      <c r="G715" s="225"/>
      <c r="H715" s="225"/>
      <c r="I715" s="180"/>
      <c r="J715" s="181"/>
      <c r="K715" s="181"/>
      <c r="L715" s="181"/>
      <c r="M715" s="164"/>
      <c r="N715" s="180"/>
      <c r="O715" s="180"/>
      <c r="P715" s="182"/>
      <c r="Q715" s="104"/>
      <c r="R715" s="358"/>
      <c r="S715" s="104"/>
    </row>
    <row r="716" spans="1:19" ht="29.25" customHeight="1">
      <c r="A716" s="224"/>
      <c r="B716" s="359"/>
      <c r="C716" s="360"/>
      <c r="D716" s="361"/>
      <c r="E716" s="362"/>
      <c r="F716" s="161"/>
      <c r="G716" s="225"/>
      <c r="H716" s="225"/>
      <c r="I716" s="180"/>
      <c r="J716" s="181"/>
      <c r="K716" s="181"/>
      <c r="L716" s="181"/>
      <c r="M716" s="164"/>
      <c r="N716" s="180"/>
      <c r="O716" s="180"/>
      <c r="P716" s="182"/>
      <c r="Q716" s="104"/>
      <c r="R716" s="363"/>
      <c r="S716" s="104"/>
    </row>
    <row r="717" spans="1:19" ht="29.25" customHeight="1">
      <c r="A717" s="224"/>
      <c r="B717" s="359"/>
      <c r="C717" s="360"/>
      <c r="D717" s="361"/>
      <c r="E717" s="352"/>
      <c r="F717" s="161"/>
      <c r="G717" s="225"/>
      <c r="H717" s="225"/>
      <c r="I717" s="180"/>
      <c r="J717" s="181"/>
      <c r="K717" s="181"/>
      <c r="L717" s="181"/>
      <c r="M717" s="164"/>
      <c r="N717" s="180"/>
      <c r="O717" s="180"/>
      <c r="P717" s="182"/>
      <c r="Q717" s="104"/>
      <c r="R717" s="358"/>
      <c r="S717" s="104"/>
    </row>
    <row r="718" spans="1:19" ht="29.25" customHeight="1">
      <c r="A718" s="224"/>
      <c r="B718" s="359"/>
      <c r="C718" s="360"/>
      <c r="D718" s="361"/>
      <c r="E718" s="362"/>
      <c r="F718" s="161"/>
      <c r="G718" s="225"/>
      <c r="H718" s="225"/>
      <c r="I718" s="180"/>
      <c r="J718" s="181"/>
      <c r="K718" s="181"/>
      <c r="L718" s="181"/>
      <c r="M718" s="164"/>
      <c r="N718" s="180"/>
      <c r="O718" s="180"/>
      <c r="P718" s="182"/>
      <c r="Q718" s="104"/>
      <c r="R718" s="363"/>
      <c r="S718" s="104"/>
    </row>
    <row r="719" spans="1:19" ht="29.25" customHeight="1">
      <c r="A719" s="224"/>
      <c r="B719" s="359"/>
      <c r="C719" s="360"/>
      <c r="D719" s="361"/>
      <c r="E719" s="352"/>
      <c r="F719" s="161"/>
      <c r="G719" s="225"/>
      <c r="H719" s="225"/>
      <c r="I719" s="180"/>
      <c r="J719" s="181"/>
      <c r="K719" s="181"/>
      <c r="L719" s="181"/>
      <c r="M719" s="164"/>
      <c r="N719" s="180"/>
      <c r="O719" s="180"/>
      <c r="P719" s="182"/>
      <c r="Q719" s="104"/>
      <c r="R719" s="358"/>
      <c r="S719" s="104"/>
    </row>
    <row r="720" spans="1:19" ht="29.25" customHeight="1">
      <c r="A720" s="224"/>
      <c r="B720" s="359"/>
      <c r="C720" s="360"/>
      <c r="D720" s="361"/>
      <c r="E720" s="362"/>
      <c r="F720" s="161"/>
      <c r="G720" s="225"/>
      <c r="H720" s="225"/>
      <c r="I720" s="180"/>
      <c r="J720" s="181"/>
      <c r="K720" s="181"/>
      <c r="L720" s="181"/>
      <c r="M720" s="164"/>
      <c r="N720" s="180"/>
      <c r="O720" s="180"/>
      <c r="P720" s="182"/>
      <c r="Q720" s="104"/>
      <c r="R720" s="363"/>
      <c r="S720" s="104"/>
    </row>
    <row r="721" spans="1:19" ht="29.25" customHeight="1">
      <c r="A721" s="224"/>
      <c r="B721" s="359"/>
      <c r="C721" s="360"/>
      <c r="D721" s="361"/>
      <c r="E721" s="352"/>
      <c r="F721" s="161"/>
      <c r="G721" s="225"/>
      <c r="H721" s="225"/>
      <c r="I721" s="180"/>
      <c r="J721" s="181"/>
      <c r="K721" s="181"/>
      <c r="L721" s="181"/>
      <c r="M721" s="164"/>
      <c r="N721" s="180"/>
      <c r="O721" s="180"/>
      <c r="P721" s="182"/>
      <c r="Q721" s="104"/>
      <c r="R721" s="358"/>
      <c r="S721" s="104"/>
    </row>
    <row r="722" spans="1:19" ht="29.25" customHeight="1">
      <c r="A722" s="224"/>
      <c r="B722" s="359"/>
      <c r="C722" s="360"/>
      <c r="D722" s="361"/>
      <c r="E722" s="362"/>
      <c r="F722" s="161"/>
      <c r="G722" s="225"/>
      <c r="H722" s="225"/>
      <c r="I722" s="180"/>
      <c r="J722" s="181"/>
      <c r="K722" s="181"/>
      <c r="L722" s="181"/>
      <c r="M722" s="164"/>
      <c r="N722" s="180"/>
      <c r="O722" s="180"/>
      <c r="P722" s="182"/>
      <c r="Q722" s="104"/>
      <c r="R722" s="363"/>
      <c r="S722" s="104"/>
    </row>
    <row r="723" spans="1:19" ht="29.25" customHeight="1">
      <c r="A723" s="224"/>
      <c r="B723" s="359"/>
      <c r="C723" s="360"/>
      <c r="D723" s="361"/>
      <c r="E723" s="352"/>
      <c r="F723" s="161"/>
      <c r="G723" s="225"/>
      <c r="H723" s="225"/>
      <c r="I723" s="180"/>
      <c r="J723" s="181"/>
      <c r="K723" s="181"/>
      <c r="L723" s="181"/>
      <c r="M723" s="164"/>
      <c r="N723" s="180"/>
      <c r="O723" s="180"/>
      <c r="P723" s="182"/>
      <c r="Q723" s="104"/>
      <c r="R723" s="358"/>
      <c r="S723" s="104"/>
    </row>
    <row r="724" spans="1:19" ht="29.25" customHeight="1">
      <c r="A724" s="224"/>
      <c r="B724" s="359"/>
      <c r="C724" s="360"/>
      <c r="D724" s="361"/>
      <c r="E724" s="362"/>
      <c r="F724" s="161"/>
      <c r="G724" s="225"/>
      <c r="H724" s="225"/>
      <c r="I724" s="180"/>
      <c r="J724" s="181"/>
      <c r="K724" s="181"/>
      <c r="L724" s="181"/>
      <c r="M724" s="164"/>
      <c r="N724" s="180"/>
      <c r="O724" s="180"/>
      <c r="P724" s="182"/>
      <c r="Q724" s="104"/>
      <c r="R724" s="363"/>
      <c r="S724" s="104"/>
    </row>
    <row r="725" spans="1:19" ht="29.25" customHeight="1">
      <c r="A725" s="224"/>
      <c r="B725" s="359"/>
      <c r="C725" s="360"/>
      <c r="D725" s="361"/>
      <c r="E725" s="352"/>
      <c r="F725" s="161"/>
      <c r="G725" s="225"/>
      <c r="H725" s="225"/>
      <c r="I725" s="180"/>
      <c r="J725" s="181"/>
      <c r="K725" s="181"/>
      <c r="L725" s="181"/>
      <c r="M725" s="164"/>
      <c r="N725" s="180"/>
      <c r="O725" s="180"/>
      <c r="P725" s="182"/>
      <c r="Q725" s="104"/>
      <c r="R725" s="358"/>
      <c r="S725" s="104"/>
    </row>
    <row r="726" spans="1:19" ht="29.25" customHeight="1">
      <c r="A726" s="224"/>
      <c r="B726" s="359"/>
      <c r="C726" s="360"/>
      <c r="D726" s="361"/>
      <c r="E726" s="362"/>
      <c r="F726" s="161"/>
      <c r="G726" s="225"/>
      <c r="H726" s="225"/>
      <c r="I726" s="180"/>
      <c r="J726" s="181"/>
      <c r="K726" s="181"/>
      <c r="L726" s="181"/>
      <c r="M726" s="164"/>
      <c r="N726" s="180"/>
      <c r="O726" s="180"/>
      <c r="P726" s="182"/>
      <c r="Q726" s="104"/>
      <c r="R726" s="363"/>
      <c r="S726" s="104"/>
    </row>
    <row r="727" spans="1:19" ht="29.25" customHeight="1">
      <c r="A727" s="224"/>
      <c r="B727" s="359"/>
      <c r="C727" s="360"/>
      <c r="D727" s="361"/>
      <c r="E727" s="352"/>
      <c r="F727" s="161"/>
      <c r="G727" s="225"/>
      <c r="H727" s="225"/>
      <c r="I727" s="180"/>
      <c r="J727" s="181"/>
      <c r="K727" s="181"/>
      <c r="L727" s="181"/>
      <c r="M727" s="164"/>
      <c r="N727" s="180"/>
      <c r="O727" s="180"/>
      <c r="P727" s="182"/>
      <c r="Q727" s="104"/>
      <c r="R727" s="358"/>
      <c r="S727" s="104"/>
    </row>
    <row r="728" spans="1:19" ht="29.25" customHeight="1">
      <c r="A728" s="224"/>
      <c r="B728" s="359"/>
      <c r="C728" s="360"/>
      <c r="D728" s="361"/>
      <c r="E728" s="362"/>
      <c r="F728" s="161"/>
      <c r="G728" s="225"/>
      <c r="H728" s="225"/>
      <c r="I728" s="180"/>
      <c r="J728" s="181"/>
      <c r="K728" s="181"/>
      <c r="L728" s="181"/>
      <c r="M728" s="164"/>
      <c r="N728" s="180"/>
      <c r="O728" s="180"/>
      <c r="P728" s="182"/>
      <c r="Q728" s="104"/>
      <c r="R728" s="363"/>
      <c r="S728" s="104"/>
    </row>
    <row r="729" spans="1:19" ht="29.25" customHeight="1">
      <c r="A729" s="224"/>
      <c r="B729" s="359"/>
      <c r="C729" s="360"/>
      <c r="D729" s="361"/>
      <c r="E729" s="352"/>
      <c r="F729" s="161"/>
      <c r="G729" s="225"/>
      <c r="H729" s="225"/>
      <c r="I729" s="180"/>
      <c r="J729" s="181"/>
      <c r="K729" s="181"/>
      <c r="L729" s="181"/>
      <c r="M729" s="164"/>
      <c r="N729" s="180"/>
      <c r="O729" s="180"/>
      <c r="P729" s="182"/>
      <c r="Q729" s="104"/>
      <c r="R729" s="358"/>
      <c r="S729" s="104"/>
    </row>
    <row r="730" spans="1:19" ht="29.25" customHeight="1">
      <c r="A730" s="224"/>
      <c r="B730" s="359"/>
      <c r="C730" s="360"/>
      <c r="D730" s="361"/>
      <c r="E730" s="362"/>
      <c r="F730" s="161"/>
      <c r="G730" s="225"/>
      <c r="H730" s="225"/>
      <c r="I730" s="180"/>
      <c r="J730" s="181"/>
      <c r="K730" s="181"/>
      <c r="L730" s="181"/>
      <c r="M730" s="164"/>
      <c r="N730" s="180"/>
      <c r="O730" s="180"/>
      <c r="P730" s="182"/>
      <c r="Q730" s="104"/>
      <c r="R730" s="363"/>
      <c r="S730" s="104"/>
    </row>
    <row r="731" spans="1:19" ht="29.25" customHeight="1">
      <c r="A731" s="224"/>
      <c r="B731" s="359"/>
      <c r="C731" s="360"/>
      <c r="D731" s="361"/>
      <c r="E731" s="352"/>
      <c r="F731" s="161"/>
      <c r="G731" s="225"/>
      <c r="H731" s="225"/>
      <c r="I731" s="180"/>
      <c r="J731" s="181"/>
      <c r="K731" s="181"/>
      <c r="L731" s="181"/>
      <c r="M731" s="164"/>
      <c r="N731" s="180"/>
      <c r="O731" s="180"/>
      <c r="P731" s="182"/>
      <c r="Q731" s="104"/>
      <c r="R731" s="358"/>
      <c r="S731" s="104"/>
    </row>
    <row r="732" spans="1:19" ht="29.25" customHeight="1">
      <c r="A732" s="224"/>
      <c r="B732" s="359"/>
      <c r="C732" s="360"/>
      <c r="D732" s="361"/>
      <c r="E732" s="362"/>
      <c r="F732" s="161"/>
      <c r="G732" s="225"/>
      <c r="H732" s="225"/>
      <c r="I732" s="180"/>
      <c r="J732" s="181"/>
      <c r="K732" s="181"/>
      <c r="L732" s="181"/>
      <c r="M732" s="164"/>
      <c r="N732" s="180"/>
      <c r="O732" s="180"/>
      <c r="P732" s="182"/>
      <c r="Q732" s="104"/>
      <c r="R732" s="363"/>
      <c r="S732" s="104"/>
    </row>
    <row r="733" spans="1:19" ht="29.25" customHeight="1">
      <c r="A733" s="224"/>
      <c r="B733" s="359"/>
      <c r="C733" s="360"/>
      <c r="D733" s="361"/>
      <c r="E733" s="352"/>
      <c r="F733" s="161"/>
      <c r="G733" s="225"/>
      <c r="H733" s="225"/>
      <c r="I733" s="180"/>
      <c r="J733" s="181"/>
      <c r="K733" s="181"/>
      <c r="L733" s="181"/>
      <c r="M733" s="164"/>
      <c r="N733" s="180"/>
      <c r="O733" s="180"/>
      <c r="P733" s="182"/>
      <c r="Q733" s="104"/>
      <c r="R733" s="358"/>
      <c r="S733" s="104"/>
    </row>
    <row r="734" spans="1:19" ht="29.25" customHeight="1">
      <c r="A734" s="224"/>
      <c r="B734" s="359"/>
      <c r="C734" s="360"/>
      <c r="D734" s="361"/>
      <c r="E734" s="362"/>
      <c r="F734" s="161"/>
      <c r="G734" s="225"/>
      <c r="H734" s="225"/>
      <c r="I734" s="180"/>
      <c r="J734" s="181"/>
      <c r="K734" s="181"/>
      <c r="L734" s="181"/>
      <c r="M734" s="164"/>
      <c r="N734" s="180"/>
      <c r="O734" s="180"/>
      <c r="P734" s="182"/>
      <c r="Q734" s="104"/>
      <c r="R734" s="363"/>
      <c r="S734" s="104"/>
    </row>
    <row r="735" spans="1:19" ht="29.25" customHeight="1">
      <c r="A735" s="224"/>
      <c r="B735" s="359"/>
      <c r="C735" s="360"/>
      <c r="D735" s="361"/>
      <c r="E735" s="352"/>
      <c r="F735" s="161"/>
      <c r="G735" s="225"/>
      <c r="H735" s="225"/>
      <c r="I735" s="180"/>
      <c r="J735" s="181"/>
      <c r="K735" s="181"/>
      <c r="L735" s="181"/>
      <c r="M735" s="164"/>
      <c r="N735" s="180"/>
      <c r="O735" s="180"/>
      <c r="P735" s="182"/>
      <c r="Q735" s="104"/>
      <c r="R735" s="358"/>
      <c r="S735" s="104"/>
    </row>
    <row r="736" spans="1:19" ht="29.25" customHeight="1">
      <c r="A736" s="224"/>
      <c r="B736" s="359"/>
      <c r="C736" s="360"/>
      <c r="D736" s="361"/>
      <c r="E736" s="362"/>
      <c r="F736" s="161"/>
      <c r="G736" s="225"/>
      <c r="H736" s="225"/>
      <c r="I736" s="180"/>
      <c r="J736" s="181"/>
      <c r="K736" s="181"/>
      <c r="L736" s="181"/>
      <c r="M736" s="164"/>
      <c r="N736" s="180"/>
      <c r="O736" s="180"/>
      <c r="P736" s="182"/>
      <c r="Q736" s="104"/>
      <c r="R736" s="363"/>
      <c r="S736" s="104"/>
    </row>
    <row r="737" spans="1:19" ht="29.25" customHeight="1">
      <c r="A737" s="224"/>
      <c r="B737" s="359"/>
      <c r="C737" s="360"/>
      <c r="D737" s="361"/>
      <c r="E737" s="352"/>
      <c r="F737" s="161"/>
      <c r="G737" s="225"/>
      <c r="H737" s="225"/>
      <c r="I737" s="180"/>
      <c r="J737" s="181"/>
      <c r="K737" s="181"/>
      <c r="L737" s="181"/>
      <c r="M737" s="164"/>
      <c r="N737" s="180"/>
      <c r="O737" s="180"/>
      <c r="P737" s="182"/>
      <c r="Q737" s="104"/>
      <c r="R737" s="358"/>
      <c r="S737" s="104"/>
    </row>
    <row r="738" spans="1:19" ht="29.25" customHeight="1">
      <c r="A738" s="224"/>
      <c r="B738" s="359"/>
      <c r="C738" s="360"/>
      <c r="D738" s="361"/>
      <c r="E738" s="362"/>
      <c r="F738" s="161"/>
      <c r="G738" s="225"/>
      <c r="H738" s="225"/>
      <c r="I738" s="180"/>
      <c r="J738" s="181"/>
      <c r="K738" s="181"/>
      <c r="L738" s="181"/>
      <c r="M738" s="164"/>
      <c r="N738" s="180"/>
      <c r="O738" s="180"/>
      <c r="P738" s="182"/>
      <c r="Q738" s="104"/>
      <c r="R738" s="363"/>
      <c r="S738" s="104"/>
    </row>
    <row r="739" spans="1:19" ht="29.25" customHeight="1">
      <c r="A739" s="224"/>
      <c r="B739" s="359"/>
      <c r="C739" s="360"/>
      <c r="D739" s="361"/>
      <c r="E739" s="352"/>
      <c r="F739" s="161"/>
      <c r="G739" s="225"/>
      <c r="H739" s="225"/>
      <c r="I739" s="180"/>
      <c r="J739" s="181"/>
      <c r="K739" s="181"/>
      <c r="L739" s="181"/>
      <c r="M739" s="164"/>
      <c r="N739" s="180"/>
      <c r="O739" s="180"/>
      <c r="P739" s="182"/>
      <c r="Q739" s="104"/>
      <c r="R739" s="358"/>
      <c r="S739" s="104"/>
    </row>
    <row r="740" spans="1:19" ht="29.25" customHeight="1">
      <c r="A740" s="224"/>
      <c r="B740" s="359"/>
      <c r="C740" s="360"/>
      <c r="D740" s="361"/>
      <c r="E740" s="362"/>
      <c r="F740" s="161"/>
      <c r="G740" s="225"/>
      <c r="H740" s="225"/>
      <c r="I740" s="180"/>
      <c r="J740" s="181"/>
      <c r="K740" s="181"/>
      <c r="L740" s="181"/>
      <c r="M740" s="164"/>
      <c r="N740" s="180"/>
      <c r="O740" s="180"/>
      <c r="P740" s="182"/>
      <c r="Q740" s="104"/>
      <c r="R740" s="363"/>
      <c r="S740" s="104"/>
    </row>
    <row r="741" spans="1:19" ht="29.25" customHeight="1">
      <c r="A741" s="224"/>
      <c r="B741" s="359"/>
      <c r="C741" s="360"/>
      <c r="D741" s="361"/>
      <c r="E741" s="352"/>
      <c r="F741" s="161"/>
      <c r="G741" s="225"/>
      <c r="H741" s="225"/>
      <c r="I741" s="180"/>
      <c r="J741" s="181"/>
      <c r="K741" s="181"/>
      <c r="L741" s="181"/>
      <c r="M741" s="164"/>
      <c r="N741" s="180"/>
      <c r="O741" s="180"/>
      <c r="P741" s="182"/>
      <c r="Q741" s="104"/>
      <c r="R741" s="358"/>
      <c r="S741" s="104"/>
    </row>
    <row r="742" spans="1:19" ht="29.25" customHeight="1">
      <c r="A742" s="224"/>
      <c r="B742" s="359"/>
      <c r="C742" s="360"/>
      <c r="D742" s="361"/>
      <c r="E742" s="362"/>
      <c r="F742" s="161"/>
      <c r="G742" s="225"/>
      <c r="H742" s="225"/>
      <c r="I742" s="180"/>
      <c r="J742" s="181"/>
      <c r="K742" s="181"/>
      <c r="L742" s="181"/>
      <c r="M742" s="164"/>
      <c r="N742" s="180"/>
      <c r="O742" s="180"/>
      <c r="P742" s="182"/>
      <c r="Q742" s="104"/>
      <c r="R742" s="363"/>
      <c r="S742" s="104"/>
    </row>
    <row r="743" spans="1:19" ht="29.25" customHeight="1">
      <c r="A743" s="224"/>
      <c r="B743" s="359"/>
      <c r="C743" s="360"/>
      <c r="D743" s="361"/>
      <c r="E743" s="352"/>
      <c r="F743" s="161"/>
      <c r="G743" s="225"/>
      <c r="H743" s="225"/>
      <c r="I743" s="180"/>
      <c r="J743" s="181"/>
      <c r="K743" s="181"/>
      <c r="L743" s="181"/>
      <c r="M743" s="164"/>
      <c r="N743" s="180"/>
      <c r="O743" s="180"/>
      <c r="P743" s="182"/>
      <c r="Q743" s="104"/>
      <c r="R743" s="358"/>
      <c r="S743" s="104"/>
    </row>
    <row r="744" spans="1:19" ht="29.25" customHeight="1">
      <c r="A744" s="224"/>
      <c r="B744" s="359"/>
      <c r="C744" s="360"/>
      <c r="D744" s="361"/>
      <c r="E744" s="362"/>
      <c r="F744" s="161"/>
      <c r="G744" s="225"/>
      <c r="H744" s="225"/>
      <c r="I744" s="180"/>
      <c r="J744" s="181"/>
      <c r="K744" s="181"/>
      <c r="L744" s="181"/>
      <c r="M744" s="164"/>
      <c r="N744" s="180"/>
      <c r="O744" s="180"/>
      <c r="P744" s="182"/>
      <c r="Q744" s="104"/>
      <c r="R744" s="363"/>
      <c r="S744" s="104"/>
    </row>
    <row r="745" spans="1:19" ht="29.25" customHeight="1">
      <c r="A745" s="224"/>
      <c r="B745" s="359"/>
      <c r="C745" s="360"/>
      <c r="D745" s="361"/>
      <c r="E745" s="352"/>
      <c r="F745" s="161"/>
      <c r="G745" s="225"/>
      <c r="H745" s="225"/>
      <c r="I745" s="180"/>
      <c r="J745" s="181"/>
      <c r="K745" s="181"/>
      <c r="L745" s="181"/>
      <c r="M745" s="164"/>
      <c r="N745" s="180"/>
      <c r="O745" s="180"/>
      <c r="P745" s="182"/>
      <c r="Q745" s="104"/>
      <c r="R745" s="358"/>
      <c r="S745" s="104"/>
    </row>
    <row r="746" spans="1:19" ht="29.25" customHeight="1">
      <c r="A746" s="224"/>
      <c r="B746" s="359"/>
      <c r="C746" s="360"/>
      <c r="D746" s="361"/>
      <c r="E746" s="362"/>
      <c r="F746" s="161"/>
      <c r="G746" s="225"/>
      <c r="H746" s="225"/>
      <c r="I746" s="180"/>
      <c r="J746" s="181"/>
      <c r="K746" s="181"/>
      <c r="L746" s="181"/>
      <c r="M746" s="164"/>
      <c r="N746" s="180"/>
      <c r="O746" s="180"/>
      <c r="P746" s="182"/>
      <c r="Q746" s="104"/>
      <c r="R746" s="363"/>
      <c r="S746" s="104"/>
    </row>
    <row r="747" spans="1:19" ht="29.25" customHeight="1">
      <c r="A747" s="224"/>
      <c r="B747" s="359"/>
      <c r="C747" s="360"/>
      <c r="D747" s="361"/>
      <c r="E747" s="352"/>
      <c r="F747" s="161"/>
      <c r="G747" s="225"/>
      <c r="H747" s="225"/>
      <c r="I747" s="180"/>
      <c r="J747" s="181"/>
      <c r="K747" s="181"/>
      <c r="L747" s="181"/>
      <c r="M747" s="164"/>
      <c r="N747" s="180"/>
      <c r="O747" s="180"/>
      <c r="P747" s="182"/>
      <c r="Q747" s="104"/>
      <c r="R747" s="358"/>
      <c r="S747" s="104"/>
    </row>
    <row r="748" spans="1:19" ht="29.25" customHeight="1">
      <c r="A748" s="224"/>
      <c r="B748" s="359"/>
      <c r="C748" s="360"/>
      <c r="D748" s="361"/>
      <c r="E748" s="362"/>
      <c r="F748" s="161"/>
      <c r="G748" s="225"/>
      <c r="H748" s="225"/>
      <c r="I748" s="180"/>
      <c r="J748" s="181"/>
      <c r="K748" s="181"/>
      <c r="L748" s="181"/>
      <c r="M748" s="164"/>
      <c r="N748" s="180"/>
      <c r="O748" s="180"/>
      <c r="P748" s="182"/>
      <c r="Q748" s="104"/>
      <c r="R748" s="363"/>
      <c r="S748" s="104"/>
    </row>
    <row r="749" spans="1:19" ht="29.25" customHeight="1">
      <c r="A749" s="224"/>
      <c r="B749" s="359"/>
      <c r="C749" s="360"/>
      <c r="D749" s="361"/>
      <c r="E749" s="352"/>
      <c r="F749" s="161"/>
      <c r="G749" s="225"/>
      <c r="H749" s="225"/>
      <c r="I749" s="180"/>
      <c r="J749" s="181"/>
      <c r="K749" s="181"/>
      <c r="L749" s="181"/>
      <c r="M749" s="164"/>
      <c r="N749" s="180"/>
      <c r="O749" s="180"/>
      <c r="P749" s="182"/>
      <c r="Q749" s="104"/>
      <c r="R749" s="358"/>
      <c r="S749" s="104"/>
    </row>
    <row r="750" spans="1:19" ht="29.25" customHeight="1">
      <c r="A750" s="224"/>
      <c r="B750" s="359"/>
      <c r="C750" s="360"/>
      <c r="D750" s="361"/>
      <c r="E750" s="362"/>
      <c r="F750" s="161"/>
      <c r="G750" s="225"/>
      <c r="H750" s="225"/>
      <c r="I750" s="180"/>
      <c r="J750" s="181"/>
      <c r="K750" s="181"/>
      <c r="L750" s="181"/>
      <c r="M750" s="164"/>
      <c r="N750" s="180"/>
      <c r="O750" s="180"/>
      <c r="P750" s="182"/>
      <c r="Q750" s="104"/>
      <c r="R750" s="363"/>
      <c r="S750" s="104"/>
    </row>
    <row r="751" spans="1:19" ht="29.25" customHeight="1">
      <c r="A751" s="224"/>
      <c r="B751" s="359"/>
      <c r="C751" s="360"/>
      <c r="D751" s="361"/>
      <c r="E751" s="352"/>
      <c r="F751" s="161"/>
      <c r="G751" s="225"/>
      <c r="H751" s="225"/>
      <c r="I751" s="180"/>
      <c r="J751" s="181"/>
      <c r="K751" s="181"/>
      <c r="L751" s="181"/>
      <c r="M751" s="164"/>
      <c r="N751" s="180"/>
      <c r="O751" s="180"/>
      <c r="P751" s="182"/>
      <c r="Q751" s="104"/>
      <c r="R751" s="358"/>
      <c r="S751" s="104"/>
    </row>
    <row r="752" spans="1:19" ht="29.25" customHeight="1">
      <c r="A752" s="224"/>
      <c r="B752" s="359"/>
      <c r="C752" s="360"/>
      <c r="D752" s="361"/>
      <c r="E752" s="362"/>
      <c r="F752" s="161"/>
      <c r="G752" s="225"/>
      <c r="H752" s="225"/>
      <c r="I752" s="180"/>
      <c r="J752" s="181"/>
      <c r="K752" s="181"/>
      <c r="L752" s="181"/>
      <c r="M752" s="164"/>
      <c r="N752" s="180"/>
      <c r="O752" s="180"/>
      <c r="P752" s="182"/>
      <c r="Q752" s="104"/>
      <c r="R752" s="363"/>
      <c r="S752" s="104"/>
    </row>
    <row r="753" spans="1:19" ht="29.25" customHeight="1">
      <c r="A753" s="224"/>
      <c r="B753" s="359"/>
      <c r="C753" s="360"/>
      <c r="D753" s="361"/>
      <c r="E753" s="352"/>
      <c r="F753" s="161"/>
      <c r="G753" s="225"/>
      <c r="H753" s="225"/>
      <c r="I753" s="180"/>
      <c r="J753" s="181"/>
      <c r="K753" s="181"/>
      <c r="L753" s="181"/>
      <c r="M753" s="164"/>
      <c r="N753" s="180"/>
      <c r="O753" s="180"/>
      <c r="P753" s="182"/>
      <c r="Q753" s="104"/>
      <c r="R753" s="358"/>
      <c r="S753" s="104"/>
    </row>
    <row r="754" spans="1:19" ht="29.25" customHeight="1">
      <c r="A754" s="224"/>
      <c r="B754" s="359"/>
      <c r="C754" s="360"/>
      <c r="D754" s="361"/>
      <c r="E754" s="362"/>
      <c r="F754" s="161"/>
      <c r="G754" s="225"/>
      <c r="H754" s="225"/>
      <c r="I754" s="180"/>
      <c r="J754" s="181"/>
      <c r="K754" s="181"/>
      <c r="L754" s="181"/>
      <c r="M754" s="164"/>
      <c r="N754" s="180"/>
      <c r="O754" s="180"/>
      <c r="P754" s="182"/>
      <c r="Q754" s="104"/>
      <c r="R754" s="363"/>
      <c r="S754" s="104"/>
    </row>
    <row r="755" spans="1:19" ht="29.25" customHeight="1">
      <c r="A755" s="224"/>
      <c r="B755" s="359"/>
      <c r="C755" s="360"/>
      <c r="D755" s="361"/>
      <c r="E755" s="352"/>
      <c r="F755" s="161"/>
      <c r="G755" s="225"/>
      <c r="H755" s="225"/>
      <c r="I755" s="180"/>
      <c r="J755" s="181"/>
      <c r="K755" s="181"/>
      <c r="L755" s="181"/>
      <c r="M755" s="164"/>
      <c r="N755" s="180"/>
      <c r="O755" s="180"/>
      <c r="P755" s="182"/>
      <c r="Q755" s="104"/>
      <c r="R755" s="358"/>
      <c r="S755" s="104"/>
    </row>
    <row r="756" spans="1:19" ht="29.25" customHeight="1">
      <c r="A756" s="224"/>
      <c r="B756" s="359"/>
      <c r="C756" s="360"/>
      <c r="D756" s="361"/>
      <c r="E756" s="362"/>
      <c r="F756" s="161"/>
      <c r="G756" s="225"/>
      <c r="H756" s="225"/>
      <c r="I756" s="180"/>
      <c r="J756" s="181"/>
      <c r="K756" s="181"/>
      <c r="L756" s="181"/>
      <c r="M756" s="164"/>
      <c r="N756" s="180"/>
      <c r="O756" s="180"/>
      <c r="P756" s="182"/>
      <c r="Q756" s="104"/>
      <c r="R756" s="363"/>
      <c r="S756" s="104"/>
    </row>
    <row r="757" spans="1:19" ht="29.25" customHeight="1">
      <c r="A757" s="224"/>
      <c r="B757" s="359"/>
      <c r="C757" s="360"/>
      <c r="D757" s="361"/>
      <c r="E757" s="352"/>
      <c r="F757" s="161"/>
      <c r="G757" s="225"/>
      <c r="H757" s="225"/>
      <c r="I757" s="180"/>
      <c r="J757" s="181"/>
      <c r="K757" s="181"/>
      <c r="L757" s="181"/>
      <c r="M757" s="164"/>
      <c r="N757" s="180"/>
      <c r="O757" s="180"/>
      <c r="P757" s="182"/>
      <c r="Q757" s="104"/>
      <c r="R757" s="358"/>
      <c r="S757" s="104"/>
    </row>
    <row r="758" spans="1:19" ht="29.25" customHeight="1">
      <c r="A758" s="224"/>
      <c r="B758" s="359"/>
      <c r="C758" s="360"/>
      <c r="D758" s="361"/>
      <c r="E758" s="362"/>
      <c r="F758" s="161"/>
      <c r="G758" s="225"/>
      <c r="H758" s="225"/>
      <c r="I758" s="180"/>
      <c r="J758" s="181"/>
      <c r="K758" s="181"/>
      <c r="L758" s="181"/>
      <c r="M758" s="164"/>
      <c r="N758" s="180"/>
      <c r="O758" s="180"/>
      <c r="P758" s="182"/>
      <c r="Q758" s="104"/>
      <c r="R758" s="363"/>
      <c r="S758" s="104"/>
    </row>
    <row r="759" spans="1:19" ht="29.25" customHeight="1">
      <c r="A759" s="224"/>
      <c r="B759" s="359"/>
      <c r="C759" s="360"/>
      <c r="D759" s="361"/>
      <c r="E759" s="352"/>
      <c r="F759" s="161"/>
      <c r="G759" s="225"/>
      <c r="H759" s="225"/>
      <c r="I759" s="180"/>
      <c r="J759" s="181"/>
      <c r="K759" s="181"/>
      <c r="L759" s="181"/>
      <c r="M759" s="164"/>
      <c r="N759" s="180"/>
      <c r="O759" s="180"/>
      <c r="P759" s="182"/>
      <c r="Q759" s="104"/>
      <c r="R759" s="358"/>
      <c r="S759" s="104"/>
    </row>
    <row r="760" spans="1:19" ht="29.25" customHeight="1">
      <c r="A760" s="224"/>
      <c r="B760" s="359"/>
      <c r="C760" s="360"/>
      <c r="D760" s="361"/>
      <c r="E760" s="362"/>
      <c r="F760" s="161"/>
      <c r="G760" s="225"/>
      <c r="H760" s="225"/>
      <c r="I760" s="180"/>
      <c r="J760" s="181"/>
      <c r="K760" s="181"/>
      <c r="L760" s="181"/>
      <c r="M760" s="164"/>
      <c r="N760" s="180"/>
      <c r="O760" s="180"/>
      <c r="P760" s="182"/>
      <c r="Q760" s="104"/>
      <c r="R760" s="363"/>
      <c r="S760" s="104"/>
    </row>
    <row r="761" spans="1:19" ht="29.25" customHeight="1">
      <c r="A761" s="224"/>
      <c r="B761" s="359"/>
      <c r="C761" s="360"/>
      <c r="D761" s="361"/>
      <c r="E761" s="352"/>
      <c r="F761" s="161"/>
      <c r="G761" s="225"/>
      <c r="H761" s="225"/>
      <c r="I761" s="180"/>
      <c r="J761" s="181"/>
      <c r="K761" s="181"/>
      <c r="L761" s="181"/>
      <c r="M761" s="164"/>
      <c r="N761" s="180"/>
      <c r="O761" s="180"/>
      <c r="P761" s="182"/>
      <c r="Q761" s="104"/>
      <c r="R761" s="358"/>
      <c r="S761" s="104"/>
    </row>
    <row r="762" spans="1:19" ht="29.25" customHeight="1">
      <c r="A762" s="224"/>
      <c r="B762" s="359"/>
      <c r="C762" s="360"/>
      <c r="D762" s="361"/>
      <c r="E762" s="362"/>
      <c r="F762" s="161"/>
      <c r="G762" s="225"/>
      <c r="H762" s="225"/>
      <c r="I762" s="180"/>
      <c r="J762" s="181"/>
      <c r="K762" s="181"/>
      <c r="L762" s="181"/>
      <c r="M762" s="164"/>
      <c r="N762" s="180"/>
      <c r="O762" s="180"/>
      <c r="P762" s="182"/>
      <c r="Q762" s="104"/>
      <c r="R762" s="363"/>
      <c r="S762" s="104"/>
    </row>
    <row r="763" spans="1:19" ht="29.25" customHeight="1">
      <c r="A763" s="224"/>
      <c r="B763" s="359"/>
      <c r="C763" s="360"/>
      <c r="D763" s="361"/>
      <c r="E763" s="352"/>
      <c r="F763" s="161"/>
      <c r="G763" s="225"/>
      <c r="H763" s="225"/>
      <c r="I763" s="180"/>
      <c r="J763" s="181"/>
      <c r="K763" s="181"/>
      <c r="L763" s="181"/>
      <c r="M763" s="164"/>
      <c r="N763" s="180"/>
      <c r="O763" s="180"/>
      <c r="P763" s="182"/>
      <c r="Q763" s="104"/>
      <c r="R763" s="358"/>
      <c r="S763" s="104"/>
    </row>
    <row r="764" spans="1:19" ht="29.25" customHeight="1">
      <c r="A764" s="224"/>
      <c r="B764" s="359"/>
      <c r="C764" s="360"/>
      <c r="D764" s="361"/>
      <c r="E764" s="362"/>
      <c r="F764" s="161"/>
      <c r="G764" s="225"/>
      <c r="H764" s="225"/>
      <c r="I764" s="180"/>
      <c r="J764" s="181"/>
      <c r="K764" s="181"/>
      <c r="L764" s="181"/>
      <c r="M764" s="164"/>
      <c r="N764" s="180"/>
      <c r="O764" s="180"/>
      <c r="P764" s="182"/>
      <c r="Q764" s="104"/>
      <c r="R764" s="363"/>
      <c r="S764" s="104"/>
    </row>
    <row r="765" spans="1:19" ht="29.25" customHeight="1">
      <c r="A765" s="224"/>
      <c r="B765" s="359"/>
      <c r="C765" s="360"/>
      <c r="D765" s="361"/>
      <c r="E765" s="352"/>
      <c r="F765" s="161"/>
      <c r="G765" s="225"/>
      <c r="H765" s="225"/>
      <c r="I765" s="180"/>
      <c r="J765" s="181"/>
      <c r="K765" s="181"/>
      <c r="L765" s="181"/>
      <c r="M765" s="164"/>
      <c r="N765" s="180"/>
      <c r="O765" s="180"/>
      <c r="P765" s="182"/>
      <c r="Q765" s="104"/>
      <c r="R765" s="358"/>
      <c r="S765" s="104"/>
    </row>
    <row r="766" spans="1:19" ht="29.25" customHeight="1">
      <c r="A766" s="224"/>
      <c r="B766" s="359"/>
      <c r="C766" s="360"/>
      <c r="D766" s="361"/>
      <c r="E766" s="362"/>
      <c r="F766" s="161"/>
      <c r="G766" s="225"/>
      <c r="H766" s="225"/>
      <c r="I766" s="180"/>
      <c r="J766" s="181"/>
      <c r="K766" s="181"/>
      <c r="L766" s="181"/>
      <c r="M766" s="164"/>
      <c r="N766" s="180"/>
      <c r="O766" s="180"/>
      <c r="P766" s="182"/>
      <c r="Q766" s="104"/>
      <c r="R766" s="363"/>
      <c r="S766" s="104"/>
    </row>
    <row r="767" spans="1:19" ht="29.25" customHeight="1">
      <c r="A767" s="224"/>
      <c r="B767" s="359"/>
      <c r="C767" s="360"/>
      <c r="D767" s="361"/>
      <c r="E767" s="352"/>
      <c r="F767" s="161"/>
      <c r="G767" s="225"/>
      <c r="H767" s="225"/>
      <c r="I767" s="180"/>
      <c r="J767" s="181"/>
      <c r="K767" s="181"/>
      <c r="L767" s="181"/>
      <c r="M767" s="164"/>
      <c r="N767" s="180"/>
      <c r="O767" s="180"/>
      <c r="P767" s="182"/>
      <c r="Q767" s="104"/>
      <c r="R767" s="358"/>
      <c r="S767" s="104"/>
    </row>
    <row r="768" spans="1:19" ht="29.25" customHeight="1">
      <c r="A768" s="224"/>
      <c r="B768" s="359"/>
      <c r="C768" s="360"/>
      <c r="D768" s="361"/>
      <c r="E768" s="362"/>
      <c r="F768" s="161"/>
      <c r="G768" s="225"/>
      <c r="H768" s="225"/>
      <c r="I768" s="180"/>
      <c r="J768" s="181"/>
      <c r="K768" s="181"/>
      <c r="L768" s="181"/>
      <c r="M768" s="164"/>
      <c r="N768" s="180"/>
      <c r="O768" s="180"/>
      <c r="P768" s="182"/>
      <c r="Q768" s="104"/>
      <c r="R768" s="363"/>
      <c r="S768" s="104"/>
    </row>
    <row r="769" spans="1:19" ht="29.25" customHeight="1">
      <c r="A769" s="224"/>
      <c r="B769" s="359"/>
      <c r="C769" s="360"/>
      <c r="D769" s="361"/>
      <c r="E769" s="352"/>
      <c r="F769" s="161"/>
      <c r="G769" s="225"/>
      <c r="H769" s="225"/>
      <c r="I769" s="180"/>
      <c r="J769" s="181"/>
      <c r="K769" s="181"/>
      <c r="L769" s="181"/>
      <c r="M769" s="164"/>
      <c r="N769" s="180"/>
      <c r="O769" s="180"/>
      <c r="P769" s="182"/>
      <c r="Q769" s="104"/>
      <c r="R769" s="358"/>
      <c r="S769" s="104"/>
    </row>
    <row r="770" spans="1:19" ht="29.25" customHeight="1">
      <c r="A770" s="224"/>
      <c r="B770" s="359"/>
      <c r="C770" s="360"/>
      <c r="D770" s="361"/>
      <c r="E770" s="362"/>
      <c r="F770" s="161"/>
      <c r="G770" s="225"/>
      <c r="H770" s="225"/>
      <c r="I770" s="180"/>
      <c r="J770" s="181"/>
      <c r="K770" s="181"/>
      <c r="L770" s="181"/>
      <c r="M770" s="164"/>
      <c r="N770" s="180"/>
      <c r="O770" s="180"/>
      <c r="P770" s="182"/>
      <c r="Q770" s="104"/>
      <c r="R770" s="363"/>
      <c r="S770" s="104"/>
    </row>
    <row r="771" spans="1:19" ht="29.25" customHeight="1">
      <c r="A771" s="224"/>
      <c r="B771" s="359"/>
      <c r="C771" s="360"/>
      <c r="D771" s="361"/>
      <c r="E771" s="352"/>
      <c r="F771" s="161"/>
      <c r="G771" s="225"/>
      <c r="H771" s="225"/>
      <c r="I771" s="180"/>
      <c r="J771" s="181"/>
      <c r="K771" s="181"/>
      <c r="L771" s="181"/>
      <c r="M771" s="164"/>
      <c r="N771" s="180"/>
      <c r="O771" s="180"/>
      <c r="P771" s="182"/>
      <c r="Q771" s="104"/>
      <c r="R771" s="358"/>
      <c r="S771" s="104"/>
    </row>
    <row r="772" spans="1:19" ht="29.25" customHeight="1">
      <c r="A772" s="224"/>
      <c r="B772" s="359"/>
      <c r="C772" s="360"/>
      <c r="D772" s="361"/>
      <c r="E772" s="362"/>
      <c r="F772" s="161"/>
      <c r="G772" s="225"/>
      <c r="H772" s="225"/>
      <c r="I772" s="180"/>
      <c r="J772" s="181"/>
      <c r="K772" s="181"/>
      <c r="L772" s="181"/>
      <c r="M772" s="164"/>
      <c r="N772" s="180"/>
      <c r="O772" s="180"/>
      <c r="P772" s="182"/>
      <c r="Q772" s="104"/>
      <c r="R772" s="363"/>
      <c r="S772" s="104"/>
    </row>
    <row r="773" spans="1:19" ht="29.25" customHeight="1">
      <c r="A773" s="224"/>
      <c r="B773" s="359"/>
      <c r="C773" s="360"/>
      <c r="D773" s="361"/>
      <c r="E773" s="352"/>
      <c r="F773" s="161"/>
      <c r="G773" s="225"/>
      <c r="H773" s="225"/>
      <c r="I773" s="180"/>
      <c r="J773" s="181"/>
      <c r="K773" s="181"/>
      <c r="L773" s="181"/>
      <c r="M773" s="164"/>
      <c r="N773" s="180"/>
      <c r="O773" s="180"/>
      <c r="P773" s="182"/>
      <c r="Q773" s="104"/>
      <c r="R773" s="358"/>
      <c r="S773" s="104"/>
    </row>
    <row r="774" spans="1:19" ht="29.25" customHeight="1">
      <c r="A774" s="224"/>
      <c r="B774" s="359"/>
      <c r="C774" s="360"/>
      <c r="D774" s="361"/>
      <c r="E774" s="362"/>
      <c r="F774" s="161"/>
      <c r="G774" s="225"/>
      <c r="H774" s="225"/>
      <c r="I774" s="180"/>
      <c r="J774" s="181"/>
      <c r="K774" s="181"/>
      <c r="L774" s="181"/>
      <c r="M774" s="164"/>
      <c r="N774" s="180"/>
      <c r="O774" s="180"/>
      <c r="P774" s="182"/>
      <c r="Q774" s="104"/>
      <c r="R774" s="363"/>
      <c r="S774" s="104"/>
    </row>
    <row r="775" spans="1:19" ht="29.25" customHeight="1">
      <c r="A775" s="224"/>
      <c r="B775" s="359"/>
      <c r="C775" s="360"/>
      <c r="D775" s="361"/>
      <c r="E775" s="352"/>
      <c r="F775" s="161"/>
      <c r="G775" s="225"/>
      <c r="H775" s="225"/>
      <c r="I775" s="180"/>
      <c r="J775" s="181"/>
      <c r="K775" s="181"/>
      <c r="L775" s="181"/>
      <c r="M775" s="164"/>
      <c r="N775" s="180"/>
      <c r="O775" s="180"/>
      <c r="P775" s="182"/>
      <c r="Q775" s="104"/>
      <c r="R775" s="358"/>
      <c r="S775" s="104"/>
    </row>
    <row r="776" spans="1:19" ht="29.25" customHeight="1">
      <c r="A776" s="224"/>
      <c r="B776" s="359"/>
      <c r="C776" s="360"/>
      <c r="D776" s="361"/>
      <c r="E776" s="362"/>
      <c r="F776" s="161"/>
      <c r="G776" s="225"/>
      <c r="H776" s="225"/>
      <c r="I776" s="180"/>
      <c r="J776" s="181"/>
      <c r="K776" s="181"/>
      <c r="L776" s="181"/>
      <c r="M776" s="164"/>
      <c r="N776" s="180"/>
      <c r="O776" s="180"/>
      <c r="P776" s="182"/>
      <c r="Q776" s="104"/>
      <c r="R776" s="363"/>
      <c r="S776" s="104"/>
    </row>
    <row r="777" spans="1:19" ht="29.25" customHeight="1">
      <c r="A777" s="224"/>
      <c r="B777" s="359"/>
      <c r="C777" s="360"/>
      <c r="D777" s="361"/>
      <c r="E777" s="352"/>
      <c r="F777" s="161"/>
      <c r="G777" s="225"/>
      <c r="H777" s="225"/>
      <c r="I777" s="180"/>
      <c r="J777" s="181"/>
      <c r="K777" s="181"/>
      <c r="L777" s="181"/>
      <c r="M777" s="164"/>
      <c r="N777" s="180"/>
      <c r="O777" s="180"/>
      <c r="P777" s="182"/>
      <c r="Q777" s="104"/>
      <c r="R777" s="358"/>
      <c r="S777" s="104"/>
    </row>
    <row r="778" spans="1:19" ht="29.25" customHeight="1">
      <c r="A778" s="224"/>
      <c r="B778" s="359"/>
      <c r="C778" s="360"/>
      <c r="D778" s="361"/>
      <c r="E778" s="362"/>
      <c r="F778" s="161"/>
      <c r="G778" s="225"/>
      <c r="H778" s="225"/>
      <c r="I778" s="180"/>
      <c r="J778" s="181"/>
      <c r="K778" s="181"/>
      <c r="L778" s="181"/>
      <c r="M778" s="164"/>
      <c r="N778" s="180"/>
      <c r="O778" s="180"/>
      <c r="P778" s="182"/>
      <c r="Q778" s="104"/>
      <c r="R778" s="363"/>
      <c r="S778" s="104"/>
    </row>
    <row r="779" spans="1:19" ht="29.25" customHeight="1">
      <c r="A779" s="224"/>
      <c r="B779" s="359"/>
      <c r="C779" s="360"/>
      <c r="D779" s="361"/>
      <c r="E779" s="352"/>
      <c r="F779" s="161"/>
      <c r="G779" s="225"/>
      <c r="H779" s="225"/>
      <c r="I779" s="180"/>
      <c r="J779" s="181"/>
      <c r="K779" s="181"/>
      <c r="L779" s="181"/>
      <c r="M779" s="164"/>
      <c r="N779" s="180"/>
      <c r="O779" s="180"/>
      <c r="P779" s="182"/>
      <c r="Q779" s="104"/>
      <c r="R779" s="358"/>
      <c r="S779" s="104"/>
    </row>
    <row r="780" spans="1:19" ht="29.25" customHeight="1">
      <c r="A780" s="224"/>
      <c r="B780" s="359"/>
      <c r="C780" s="360"/>
      <c r="D780" s="361"/>
      <c r="E780" s="362"/>
      <c r="F780" s="161"/>
      <c r="G780" s="225"/>
      <c r="H780" s="225"/>
      <c r="I780" s="180"/>
      <c r="J780" s="181"/>
      <c r="K780" s="181"/>
      <c r="L780" s="181"/>
      <c r="M780" s="164"/>
      <c r="N780" s="180"/>
      <c r="O780" s="180"/>
      <c r="P780" s="182"/>
      <c r="Q780" s="104"/>
      <c r="R780" s="363"/>
      <c r="S780" s="104"/>
    </row>
    <row r="781" spans="1:19" ht="29.25" customHeight="1">
      <c r="A781" s="224"/>
      <c r="B781" s="359"/>
      <c r="C781" s="360"/>
      <c r="D781" s="361"/>
      <c r="E781" s="352"/>
      <c r="F781" s="161"/>
      <c r="G781" s="225"/>
      <c r="H781" s="225"/>
      <c r="I781" s="180"/>
      <c r="J781" s="181"/>
      <c r="K781" s="181"/>
      <c r="L781" s="181"/>
      <c r="M781" s="164"/>
      <c r="N781" s="180"/>
      <c r="O781" s="180"/>
      <c r="P781" s="182"/>
      <c r="Q781" s="104"/>
      <c r="R781" s="358"/>
      <c r="S781" s="104"/>
    </row>
    <row r="782" spans="1:19" ht="29.25" customHeight="1">
      <c r="A782" s="224"/>
      <c r="B782" s="359"/>
      <c r="C782" s="360"/>
      <c r="D782" s="361"/>
      <c r="E782" s="362"/>
      <c r="F782" s="161"/>
      <c r="G782" s="225"/>
      <c r="H782" s="225"/>
      <c r="I782" s="180"/>
      <c r="J782" s="181"/>
      <c r="K782" s="181"/>
      <c r="L782" s="181"/>
      <c r="M782" s="164"/>
      <c r="N782" s="180"/>
      <c r="O782" s="180"/>
      <c r="P782" s="182"/>
      <c r="Q782" s="104"/>
      <c r="R782" s="363"/>
      <c r="S782" s="104"/>
    </row>
    <row r="783" spans="1:19" ht="29.25" customHeight="1">
      <c r="A783" s="224"/>
      <c r="B783" s="359"/>
      <c r="C783" s="360"/>
      <c r="D783" s="361"/>
      <c r="E783" s="352"/>
      <c r="F783" s="161"/>
      <c r="G783" s="225"/>
      <c r="H783" s="225"/>
      <c r="I783" s="180"/>
      <c r="J783" s="181"/>
      <c r="K783" s="181"/>
      <c r="L783" s="181"/>
      <c r="M783" s="164"/>
      <c r="N783" s="180"/>
      <c r="O783" s="180"/>
      <c r="P783" s="182"/>
      <c r="Q783" s="104"/>
      <c r="R783" s="358"/>
      <c r="S783" s="104"/>
    </row>
    <row r="784" spans="1:19" ht="29.25" customHeight="1">
      <c r="A784" s="224"/>
      <c r="B784" s="359"/>
      <c r="C784" s="360"/>
      <c r="D784" s="361"/>
      <c r="E784" s="362"/>
      <c r="F784" s="161"/>
      <c r="G784" s="225"/>
      <c r="H784" s="225"/>
      <c r="I784" s="180"/>
      <c r="J784" s="181"/>
      <c r="K784" s="181"/>
      <c r="L784" s="181"/>
      <c r="M784" s="164"/>
      <c r="N784" s="180"/>
      <c r="O784" s="180"/>
      <c r="P784" s="182"/>
      <c r="Q784" s="104"/>
      <c r="R784" s="363"/>
      <c r="S784" s="104"/>
    </row>
    <row r="785" spans="1:19" ht="29.25" customHeight="1">
      <c r="A785" s="224"/>
      <c r="B785" s="359"/>
      <c r="C785" s="360"/>
      <c r="D785" s="361"/>
      <c r="E785" s="352"/>
      <c r="F785" s="161"/>
      <c r="G785" s="225"/>
      <c r="H785" s="225"/>
      <c r="I785" s="180"/>
      <c r="J785" s="181"/>
      <c r="K785" s="181"/>
      <c r="L785" s="181"/>
      <c r="M785" s="164"/>
      <c r="N785" s="180"/>
      <c r="O785" s="180"/>
      <c r="P785" s="182"/>
      <c r="Q785" s="104"/>
      <c r="R785" s="358"/>
      <c r="S785" s="104"/>
    </row>
    <row r="786" spans="1:19" ht="29.25" customHeight="1">
      <c r="A786" s="224"/>
      <c r="B786" s="359"/>
      <c r="C786" s="360"/>
      <c r="D786" s="361"/>
      <c r="E786" s="362"/>
      <c r="F786" s="161"/>
      <c r="G786" s="225"/>
      <c r="H786" s="225"/>
      <c r="I786" s="180"/>
      <c r="J786" s="181"/>
      <c r="K786" s="181"/>
      <c r="L786" s="181"/>
      <c r="M786" s="164"/>
      <c r="N786" s="180"/>
      <c r="O786" s="180"/>
      <c r="P786" s="182"/>
      <c r="Q786" s="104"/>
      <c r="R786" s="363"/>
      <c r="S786" s="104"/>
    </row>
    <row r="787" spans="1:19" ht="29.25" customHeight="1">
      <c r="A787" s="224"/>
      <c r="B787" s="359"/>
      <c r="C787" s="360"/>
      <c r="D787" s="361"/>
      <c r="E787" s="352"/>
      <c r="F787" s="161"/>
      <c r="G787" s="225"/>
      <c r="H787" s="225"/>
      <c r="I787" s="180"/>
      <c r="J787" s="181"/>
      <c r="K787" s="181"/>
      <c r="L787" s="181"/>
      <c r="M787" s="164"/>
      <c r="N787" s="180"/>
      <c r="O787" s="180"/>
      <c r="P787" s="182"/>
      <c r="Q787" s="104"/>
      <c r="R787" s="358"/>
      <c r="S787" s="104"/>
    </row>
    <row r="788" spans="1:19" ht="29.25" customHeight="1">
      <c r="A788" s="224"/>
      <c r="B788" s="359"/>
      <c r="C788" s="360"/>
      <c r="D788" s="361"/>
      <c r="E788" s="362"/>
      <c r="F788" s="161"/>
      <c r="G788" s="225"/>
      <c r="H788" s="225"/>
      <c r="I788" s="180"/>
      <c r="J788" s="181"/>
      <c r="K788" s="181"/>
      <c r="L788" s="181"/>
      <c r="M788" s="164"/>
      <c r="N788" s="180"/>
      <c r="O788" s="180"/>
      <c r="P788" s="182"/>
      <c r="Q788" s="104"/>
      <c r="R788" s="363"/>
      <c r="S788" s="104"/>
    </row>
    <row r="789" spans="1:19" ht="29.25" customHeight="1">
      <c r="A789" s="224"/>
      <c r="B789" s="359"/>
      <c r="C789" s="360"/>
      <c r="D789" s="361"/>
      <c r="E789" s="352"/>
      <c r="F789" s="161"/>
      <c r="G789" s="225"/>
      <c r="H789" s="225"/>
      <c r="I789" s="180"/>
      <c r="J789" s="181"/>
      <c r="K789" s="181"/>
      <c r="L789" s="181"/>
      <c r="M789" s="164"/>
      <c r="N789" s="180"/>
      <c r="O789" s="180"/>
      <c r="P789" s="182"/>
      <c r="Q789" s="104"/>
      <c r="R789" s="358"/>
      <c r="S789" s="104"/>
    </row>
    <row r="790" spans="1:19" ht="29.25" customHeight="1">
      <c r="A790" s="224"/>
      <c r="B790" s="359"/>
      <c r="C790" s="360"/>
      <c r="D790" s="361"/>
      <c r="E790" s="362"/>
      <c r="F790" s="161"/>
      <c r="G790" s="225"/>
      <c r="H790" s="225"/>
      <c r="I790" s="180"/>
      <c r="J790" s="181"/>
      <c r="K790" s="181"/>
      <c r="L790" s="181"/>
      <c r="M790" s="164"/>
      <c r="N790" s="180"/>
      <c r="O790" s="180"/>
      <c r="P790" s="182"/>
      <c r="Q790" s="104"/>
      <c r="R790" s="363"/>
      <c r="S790" s="104"/>
    </row>
    <row r="791" spans="1:19" ht="29.25" customHeight="1">
      <c r="A791" s="224"/>
      <c r="B791" s="359"/>
      <c r="C791" s="360"/>
      <c r="D791" s="361"/>
      <c r="E791" s="352"/>
      <c r="F791" s="161"/>
      <c r="G791" s="225"/>
      <c r="H791" s="225"/>
      <c r="I791" s="180"/>
      <c r="J791" s="181"/>
      <c r="K791" s="181"/>
      <c r="L791" s="181"/>
      <c r="M791" s="164"/>
      <c r="N791" s="180"/>
      <c r="O791" s="180"/>
      <c r="P791" s="182"/>
      <c r="Q791" s="104"/>
      <c r="R791" s="358"/>
      <c r="S791" s="104"/>
    </row>
    <row r="792" spans="1:19" ht="29.25" customHeight="1">
      <c r="A792" s="224"/>
      <c r="B792" s="359"/>
      <c r="C792" s="360"/>
      <c r="D792" s="361"/>
      <c r="E792" s="362"/>
      <c r="F792" s="161"/>
      <c r="G792" s="225"/>
      <c r="H792" s="225"/>
      <c r="I792" s="180"/>
      <c r="J792" s="181"/>
      <c r="K792" s="181"/>
      <c r="L792" s="181"/>
      <c r="M792" s="164"/>
      <c r="N792" s="180"/>
      <c r="O792" s="180"/>
      <c r="P792" s="182"/>
      <c r="Q792" s="104"/>
      <c r="R792" s="363"/>
      <c r="S792" s="104"/>
    </row>
    <row r="793" spans="1:19" ht="29.25" customHeight="1">
      <c r="A793" s="224"/>
      <c r="B793" s="359"/>
      <c r="C793" s="360"/>
      <c r="D793" s="361"/>
      <c r="E793" s="352"/>
      <c r="F793" s="161"/>
      <c r="G793" s="225"/>
      <c r="H793" s="225"/>
      <c r="I793" s="180"/>
      <c r="J793" s="181"/>
      <c r="K793" s="181"/>
      <c r="L793" s="181"/>
      <c r="M793" s="164"/>
      <c r="N793" s="180"/>
      <c r="O793" s="180"/>
      <c r="P793" s="182"/>
      <c r="Q793" s="104"/>
      <c r="R793" s="358"/>
      <c r="S793" s="104"/>
    </row>
    <row r="794" spans="1:19" ht="29.25" customHeight="1">
      <c r="A794" s="224"/>
      <c r="B794" s="359"/>
      <c r="C794" s="360"/>
      <c r="D794" s="361"/>
      <c r="E794" s="362"/>
      <c r="F794" s="161"/>
      <c r="G794" s="225"/>
      <c r="H794" s="225"/>
      <c r="I794" s="180"/>
      <c r="J794" s="181"/>
      <c r="K794" s="181"/>
      <c r="L794" s="181"/>
      <c r="M794" s="164"/>
      <c r="N794" s="180"/>
      <c r="O794" s="180"/>
      <c r="P794" s="182"/>
      <c r="Q794" s="104"/>
      <c r="R794" s="363"/>
      <c r="S794" s="104"/>
    </row>
    <row r="795" spans="1:19" ht="29.25" customHeight="1">
      <c r="A795" s="224"/>
      <c r="B795" s="359"/>
      <c r="C795" s="360"/>
      <c r="D795" s="361"/>
      <c r="E795" s="352"/>
      <c r="F795" s="161"/>
      <c r="G795" s="225"/>
      <c r="H795" s="225"/>
      <c r="I795" s="180"/>
      <c r="J795" s="181"/>
      <c r="K795" s="181"/>
      <c r="L795" s="181"/>
      <c r="M795" s="164"/>
      <c r="N795" s="180"/>
      <c r="O795" s="180"/>
      <c r="P795" s="182"/>
      <c r="Q795" s="104"/>
      <c r="R795" s="358"/>
      <c r="S795" s="104"/>
    </row>
    <row r="796" spans="1:19" ht="29.25" customHeight="1">
      <c r="A796" s="224"/>
      <c r="B796" s="359"/>
      <c r="C796" s="360"/>
      <c r="D796" s="361"/>
      <c r="E796" s="362"/>
      <c r="F796" s="161"/>
      <c r="G796" s="225"/>
      <c r="H796" s="225"/>
      <c r="I796" s="180"/>
      <c r="J796" s="181"/>
      <c r="K796" s="181"/>
      <c r="L796" s="181"/>
      <c r="M796" s="164"/>
      <c r="N796" s="180"/>
      <c r="O796" s="180"/>
      <c r="P796" s="182"/>
      <c r="Q796" s="104"/>
      <c r="R796" s="363"/>
      <c r="S796" s="104"/>
    </row>
    <row r="797" spans="1:19" ht="29.25" customHeight="1">
      <c r="A797" s="224"/>
      <c r="B797" s="359"/>
      <c r="C797" s="360"/>
      <c r="D797" s="361"/>
      <c r="E797" s="352"/>
      <c r="F797" s="161"/>
      <c r="G797" s="225"/>
      <c r="H797" s="225"/>
      <c r="I797" s="180"/>
      <c r="J797" s="181"/>
      <c r="K797" s="181"/>
      <c r="L797" s="181"/>
      <c r="M797" s="164"/>
      <c r="N797" s="180"/>
      <c r="O797" s="180"/>
      <c r="P797" s="182"/>
      <c r="Q797" s="104"/>
      <c r="R797" s="358"/>
      <c r="S797" s="104"/>
    </row>
    <row r="798" spans="1:19" ht="29.25" customHeight="1">
      <c r="A798" s="224"/>
      <c r="B798" s="359"/>
      <c r="C798" s="360"/>
      <c r="D798" s="361"/>
      <c r="E798" s="362"/>
      <c r="F798" s="161"/>
      <c r="G798" s="225"/>
      <c r="H798" s="225"/>
      <c r="I798" s="180"/>
      <c r="J798" s="181"/>
      <c r="K798" s="181"/>
      <c r="L798" s="181"/>
      <c r="M798" s="164"/>
      <c r="N798" s="180"/>
      <c r="O798" s="180"/>
      <c r="P798" s="182"/>
      <c r="Q798" s="104"/>
      <c r="R798" s="363"/>
      <c r="S798" s="104"/>
    </row>
    <row r="799" spans="1:19" ht="29.25" customHeight="1">
      <c r="A799" s="224"/>
      <c r="B799" s="359"/>
      <c r="C799" s="360"/>
      <c r="D799" s="361"/>
      <c r="E799" s="352"/>
      <c r="F799" s="161"/>
      <c r="G799" s="225"/>
      <c r="H799" s="225"/>
      <c r="I799" s="180"/>
      <c r="J799" s="181"/>
      <c r="K799" s="181"/>
      <c r="L799" s="181"/>
      <c r="M799" s="164"/>
      <c r="N799" s="180"/>
      <c r="O799" s="180"/>
      <c r="P799" s="182"/>
      <c r="Q799" s="104"/>
      <c r="R799" s="358"/>
      <c r="S799" s="104"/>
    </row>
    <row r="800" spans="1:19" ht="29.25" customHeight="1">
      <c r="A800" s="224"/>
      <c r="B800" s="359"/>
      <c r="C800" s="360"/>
      <c r="D800" s="361"/>
      <c r="E800" s="362"/>
      <c r="F800" s="161"/>
      <c r="G800" s="225"/>
      <c r="H800" s="225"/>
      <c r="I800" s="180"/>
      <c r="J800" s="181"/>
      <c r="K800" s="181"/>
      <c r="L800" s="181"/>
      <c r="M800" s="164"/>
      <c r="N800" s="180"/>
      <c r="O800" s="180"/>
      <c r="P800" s="182"/>
      <c r="Q800" s="104"/>
      <c r="R800" s="363"/>
      <c r="S800" s="104"/>
    </row>
    <row r="801" spans="1:19" ht="29.25" customHeight="1">
      <c r="A801" s="224"/>
      <c r="B801" s="359"/>
      <c r="C801" s="360"/>
      <c r="D801" s="361"/>
      <c r="E801" s="352"/>
      <c r="F801" s="161"/>
      <c r="G801" s="225"/>
      <c r="H801" s="225"/>
      <c r="I801" s="180"/>
      <c r="J801" s="181"/>
      <c r="K801" s="181"/>
      <c r="L801" s="181"/>
      <c r="M801" s="164"/>
      <c r="N801" s="180"/>
      <c r="O801" s="180"/>
      <c r="P801" s="182"/>
      <c r="Q801" s="104"/>
      <c r="R801" s="358"/>
      <c r="S801" s="104"/>
    </row>
    <row r="802" spans="1:19" ht="29.25" customHeight="1">
      <c r="A802" s="224"/>
      <c r="B802" s="359"/>
      <c r="C802" s="360"/>
      <c r="D802" s="361"/>
      <c r="E802" s="362"/>
      <c r="F802" s="161"/>
      <c r="G802" s="225"/>
      <c r="H802" s="225"/>
      <c r="I802" s="180"/>
      <c r="J802" s="181"/>
      <c r="K802" s="181"/>
      <c r="L802" s="181"/>
      <c r="M802" s="164"/>
      <c r="N802" s="180"/>
      <c r="O802" s="180"/>
      <c r="P802" s="182"/>
      <c r="Q802" s="104"/>
      <c r="R802" s="363"/>
      <c r="S802" s="104"/>
    </row>
    <row r="803" spans="1:19" ht="29.25" customHeight="1">
      <c r="A803" s="224"/>
      <c r="B803" s="359"/>
      <c r="C803" s="360"/>
      <c r="D803" s="361"/>
      <c r="E803" s="352"/>
      <c r="F803" s="161"/>
      <c r="G803" s="225"/>
      <c r="H803" s="225"/>
      <c r="I803" s="180"/>
      <c r="J803" s="181"/>
      <c r="K803" s="181"/>
      <c r="L803" s="181"/>
      <c r="M803" s="164"/>
      <c r="N803" s="180"/>
      <c r="O803" s="180"/>
      <c r="P803" s="182"/>
      <c r="Q803" s="104"/>
      <c r="R803" s="358"/>
      <c r="S803" s="104"/>
    </row>
    <row r="804" spans="1:19" ht="29.25" customHeight="1">
      <c r="A804" s="224"/>
      <c r="B804" s="359"/>
      <c r="C804" s="360"/>
      <c r="D804" s="361"/>
      <c r="E804" s="362"/>
      <c r="F804" s="161"/>
      <c r="G804" s="225"/>
      <c r="H804" s="225"/>
      <c r="I804" s="180"/>
      <c r="J804" s="181"/>
      <c r="K804" s="181"/>
      <c r="L804" s="181"/>
      <c r="M804" s="164"/>
      <c r="N804" s="180"/>
      <c r="O804" s="180"/>
      <c r="P804" s="182"/>
      <c r="Q804" s="104"/>
      <c r="R804" s="363"/>
      <c r="S804" s="104"/>
    </row>
    <row r="805" spans="1:19" ht="29.25" customHeight="1">
      <c r="A805" s="224"/>
      <c r="B805" s="359"/>
      <c r="C805" s="360"/>
      <c r="D805" s="361"/>
      <c r="E805" s="352"/>
      <c r="F805" s="161"/>
      <c r="G805" s="225"/>
      <c r="H805" s="225"/>
      <c r="I805" s="180"/>
      <c r="J805" s="181"/>
      <c r="K805" s="181"/>
      <c r="L805" s="181"/>
      <c r="M805" s="164"/>
      <c r="N805" s="180"/>
      <c r="O805" s="180"/>
      <c r="P805" s="182"/>
      <c r="Q805" s="104"/>
      <c r="R805" s="358"/>
      <c r="S805" s="104"/>
    </row>
    <row r="806" spans="1:19" ht="29.25" customHeight="1">
      <c r="A806" s="224"/>
      <c r="B806" s="359"/>
      <c r="C806" s="360"/>
      <c r="D806" s="361"/>
      <c r="E806" s="362"/>
      <c r="F806" s="161"/>
      <c r="G806" s="225"/>
      <c r="H806" s="225"/>
      <c r="I806" s="180"/>
      <c r="J806" s="181"/>
      <c r="K806" s="181"/>
      <c r="L806" s="181"/>
      <c r="M806" s="164"/>
      <c r="N806" s="180"/>
      <c r="O806" s="180"/>
      <c r="P806" s="182"/>
      <c r="Q806" s="104"/>
      <c r="R806" s="363"/>
      <c r="S806" s="104"/>
    </row>
    <row r="807" spans="1:19" ht="29.25" customHeight="1">
      <c r="A807" s="224"/>
      <c r="B807" s="359"/>
      <c r="C807" s="360"/>
      <c r="D807" s="361"/>
      <c r="E807" s="352"/>
      <c r="F807" s="161"/>
      <c r="G807" s="225"/>
      <c r="H807" s="225"/>
      <c r="I807" s="180"/>
      <c r="J807" s="181"/>
      <c r="K807" s="181"/>
      <c r="L807" s="181"/>
      <c r="M807" s="164"/>
      <c r="N807" s="180"/>
      <c r="O807" s="180"/>
      <c r="P807" s="182"/>
      <c r="Q807" s="104"/>
      <c r="R807" s="358"/>
      <c r="S807" s="104"/>
    </row>
    <row r="808" spans="1:19" ht="29.25" customHeight="1">
      <c r="A808" s="224"/>
      <c r="B808" s="359"/>
      <c r="C808" s="360"/>
      <c r="D808" s="361"/>
      <c r="E808" s="362"/>
      <c r="F808" s="161"/>
      <c r="G808" s="225"/>
      <c r="H808" s="225"/>
      <c r="I808" s="180"/>
      <c r="J808" s="181"/>
      <c r="K808" s="181"/>
      <c r="L808" s="181"/>
      <c r="M808" s="164"/>
      <c r="N808" s="180"/>
      <c r="O808" s="180"/>
      <c r="P808" s="182"/>
      <c r="Q808" s="104"/>
      <c r="R808" s="363"/>
      <c r="S808" s="104"/>
    </row>
    <row r="809" spans="1:19" ht="29.25" customHeight="1">
      <c r="A809" s="224"/>
      <c r="B809" s="359"/>
      <c r="C809" s="360"/>
      <c r="D809" s="361"/>
      <c r="E809" s="352"/>
      <c r="F809" s="161"/>
      <c r="G809" s="225"/>
      <c r="H809" s="225"/>
      <c r="I809" s="180"/>
      <c r="J809" s="181"/>
      <c r="K809" s="181"/>
      <c r="L809" s="181"/>
      <c r="M809" s="164"/>
      <c r="N809" s="180"/>
      <c r="O809" s="180"/>
      <c r="P809" s="182"/>
      <c r="Q809" s="104"/>
      <c r="R809" s="358"/>
      <c r="S809" s="104"/>
    </row>
    <row r="810" spans="1:19" ht="29.25" customHeight="1">
      <c r="A810" s="224"/>
      <c r="B810" s="359"/>
      <c r="C810" s="360"/>
      <c r="D810" s="361"/>
      <c r="E810" s="362"/>
      <c r="F810" s="161"/>
      <c r="G810" s="225"/>
      <c r="H810" s="225"/>
      <c r="I810" s="180"/>
      <c r="J810" s="181"/>
      <c r="K810" s="181"/>
      <c r="L810" s="181"/>
      <c r="M810" s="164"/>
      <c r="N810" s="180"/>
      <c r="O810" s="180"/>
      <c r="P810" s="182"/>
      <c r="Q810" s="104"/>
      <c r="R810" s="363"/>
      <c r="S810" s="104"/>
    </row>
    <row r="811" spans="1:19" ht="29.25" customHeight="1">
      <c r="A811" s="224"/>
      <c r="B811" s="359"/>
      <c r="C811" s="360"/>
      <c r="D811" s="361"/>
      <c r="E811" s="352"/>
      <c r="F811" s="161"/>
      <c r="G811" s="225"/>
      <c r="H811" s="225"/>
      <c r="I811" s="180"/>
      <c r="J811" s="181"/>
      <c r="K811" s="181"/>
      <c r="L811" s="181"/>
      <c r="M811" s="164"/>
      <c r="N811" s="180"/>
      <c r="O811" s="180"/>
      <c r="P811" s="182"/>
      <c r="Q811" s="104"/>
      <c r="R811" s="358"/>
      <c r="S811" s="104"/>
    </row>
    <row r="812" spans="1:19" ht="29.25" customHeight="1">
      <c r="A812" s="224"/>
      <c r="B812" s="359"/>
      <c r="C812" s="360"/>
      <c r="D812" s="361"/>
      <c r="E812" s="362"/>
      <c r="F812" s="161"/>
      <c r="G812" s="225"/>
      <c r="H812" s="225"/>
      <c r="I812" s="180"/>
      <c r="J812" s="181"/>
      <c r="K812" s="181"/>
      <c r="L812" s="181"/>
      <c r="M812" s="164"/>
      <c r="N812" s="180"/>
      <c r="O812" s="180"/>
      <c r="P812" s="182"/>
      <c r="Q812" s="104"/>
      <c r="R812" s="363"/>
      <c r="S812" s="104"/>
    </row>
    <row r="813" spans="1:19" ht="29.25" customHeight="1">
      <c r="A813" s="224"/>
      <c r="B813" s="359"/>
      <c r="C813" s="360"/>
      <c r="D813" s="361"/>
      <c r="E813" s="352"/>
      <c r="F813" s="161"/>
      <c r="G813" s="225"/>
      <c r="H813" s="225"/>
      <c r="I813" s="180"/>
      <c r="J813" s="181"/>
      <c r="K813" s="181"/>
      <c r="L813" s="181"/>
      <c r="M813" s="164"/>
      <c r="N813" s="180"/>
      <c r="O813" s="180"/>
      <c r="P813" s="182"/>
      <c r="Q813" s="104"/>
      <c r="R813" s="358"/>
      <c r="S813" s="104"/>
    </row>
    <row r="814" spans="1:19" ht="29.25" customHeight="1">
      <c r="A814" s="224"/>
      <c r="B814" s="359"/>
      <c r="C814" s="360"/>
      <c r="D814" s="361"/>
      <c r="E814" s="362"/>
      <c r="F814" s="161"/>
      <c r="G814" s="225"/>
      <c r="H814" s="225"/>
      <c r="I814" s="180"/>
      <c r="J814" s="181"/>
      <c r="K814" s="181"/>
      <c r="L814" s="181"/>
      <c r="M814" s="164"/>
      <c r="N814" s="180"/>
      <c r="O814" s="180"/>
      <c r="P814" s="182"/>
      <c r="Q814" s="104"/>
      <c r="R814" s="363"/>
      <c r="S814" s="104"/>
    </row>
    <row r="815" spans="1:19" ht="29.25" customHeight="1">
      <c r="A815" s="224"/>
      <c r="B815" s="359"/>
      <c r="C815" s="360"/>
      <c r="D815" s="361"/>
      <c r="E815" s="352"/>
      <c r="F815" s="161"/>
      <c r="G815" s="225"/>
      <c r="H815" s="225"/>
      <c r="I815" s="180"/>
      <c r="J815" s="181"/>
      <c r="K815" s="181"/>
      <c r="L815" s="181"/>
      <c r="M815" s="164"/>
      <c r="N815" s="180"/>
      <c r="O815" s="180"/>
      <c r="P815" s="182"/>
      <c r="Q815" s="104"/>
      <c r="R815" s="358"/>
      <c r="S815" s="104"/>
    </row>
    <row r="816" spans="1:19" ht="29.25" customHeight="1">
      <c r="A816" s="224"/>
      <c r="B816" s="359"/>
      <c r="C816" s="360"/>
      <c r="D816" s="361"/>
      <c r="E816" s="362"/>
      <c r="F816" s="161"/>
      <c r="G816" s="225"/>
      <c r="H816" s="225"/>
      <c r="I816" s="180"/>
      <c r="J816" s="181"/>
      <c r="K816" s="181"/>
      <c r="L816" s="181"/>
      <c r="M816" s="164"/>
      <c r="N816" s="180"/>
      <c r="O816" s="180"/>
      <c r="P816" s="182"/>
      <c r="Q816" s="104"/>
      <c r="R816" s="363"/>
      <c r="S816" s="104"/>
    </row>
    <row r="817" spans="1:19" ht="29.25" customHeight="1">
      <c r="A817" s="224"/>
      <c r="B817" s="359"/>
      <c r="C817" s="360"/>
      <c r="D817" s="361"/>
      <c r="E817" s="352"/>
      <c r="F817" s="161"/>
      <c r="G817" s="225"/>
      <c r="H817" s="225"/>
      <c r="I817" s="180"/>
      <c r="J817" s="181"/>
      <c r="K817" s="181"/>
      <c r="L817" s="181"/>
      <c r="M817" s="164"/>
      <c r="N817" s="180"/>
      <c r="O817" s="180"/>
      <c r="P817" s="182"/>
      <c r="Q817" s="104"/>
      <c r="R817" s="358"/>
      <c r="S817" s="104"/>
    </row>
    <row r="818" spans="1:19" ht="29.25" customHeight="1">
      <c r="A818" s="224"/>
      <c r="B818" s="359"/>
      <c r="C818" s="360"/>
      <c r="D818" s="361"/>
      <c r="E818" s="362"/>
      <c r="F818" s="161"/>
      <c r="G818" s="225"/>
      <c r="H818" s="225"/>
      <c r="I818" s="180"/>
      <c r="J818" s="181"/>
      <c r="K818" s="181"/>
      <c r="L818" s="181"/>
      <c r="M818" s="164"/>
      <c r="N818" s="180"/>
      <c r="O818" s="180"/>
      <c r="P818" s="182"/>
      <c r="Q818" s="104"/>
      <c r="R818" s="363"/>
      <c r="S818" s="104"/>
    </row>
    <row r="819" spans="1:19" ht="29.25" customHeight="1">
      <c r="A819" s="224"/>
      <c r="B819" s="359"/>
      <c r="C819" s="360"/>
      <c r="D819" s="361"/>
      <c r="E819" s="352"/>
      <c r="F819" s="161"/>
      <c r="G819" s="225"/>
      <c r="H819" s="225"/>
      <c r="I819" s="180"/>
      <c r="J819" s="181"/>
      <c r="K819" s="181"/>
      <c r="L819" s="181"/>
      <c r="M819" s="164"/>
      <c r="N819" s="180"/>
      <c r="O819" s="180"/>
      <c r="P819" s="182"/>
      <c r="Q819" s="104"/>
      <c r="R819" s="358"/>
      <c r="S819" s="104"/>
    </row>
    <row r="820" spans="1:19" ht="29.25" customHeight="1">
      <c r="A820" s="224"/>
      <c r="B820" s="359"/>
      <c r="C820" s="360"/>
      <c r="D820" s="361"/>
      <c r="E820" s="362"/>
      <c r="F820" s="161"/>
      <c r="G820" s="225"/>
      <c r="H820" s="225"/>
      <c r="I820" s="180"/>
      <c r="J820" s="181"/>
      <c r="K820" s="181"/>
      <c r="L820" s="181"/>
      <c r="M820" s="164"/>
      <c r="N820" s="180"/>
      <c r="O820" s="180"/>
      <c r="P820" s="182"/>
      <c r="Q820" s="104"/>
      <c r="R820" s="363"/>
      <c r="S820" s="104"/>
    </row>
    <row r="821" spans="1:19" ht="29.25" customHeight="1">
      <c r="A821" s="224"/>
      <c r="B821" s="359"/>
      <c r="C821" s="360"/>
      <c r="D821" s="361"/>
      <c r="E821" s="352"/>
      <c r="F821" s="161"/>
      <c r="G821" s="225"/>
      <c r="H821" s="225"/>
      <c r="I821" s="180"/>
      <c r="J821" s="181"/>
      <c r="K821" s="181"/>
      <c r="L821" s="181"/>
      <c r="M821" s="164"/>
      <c r="N821" s="180"/>
      <c r="O821" s="180"/>
      <c r="P821" s="182"/>
      <c r="Q821" s="104"/>
      <c r="R821" s="358"/>
      <c r="S821" s="104"/>
    </row>
    <row r="822" spans="1:19" ht="29.25" customHeight="1">
      <c r="A822" s="224"/>
      <c r="B822" s="359"/>
      <c r="C822" s="360"/>
      <c r="D822" s="361"/>
      <c r="E822" s="362"/>
      <c r="F822" s="161"/>
      <c r="G822" s="225"/>
      <c r="H822" s="225"/>
      <c r="I822" s="180"/>
      <c r="J822" s="181"/>
      <c r="K822" s="181"/>
      <c r="L822" s="181"/>
      <c r="M822" s="164"/>
      <c r="N822" s="180"/>
      <c r="O822" s="180"/>
      <c r="P822" s="182"/>
      <c r="Q822" s="104"/>
      <c r="R822" s="363"/>
      <c r="S822" s="104"/>
    </row>
    <row r="823" spans="1:19" ht="29.25" customHeight="1">
      <c r="A823" s="224"/>
      <c r="B823" s="359"/>
      <c r="C823" s="360"/>
      <c r="D823" s="361"/>
      <c r="E823" s="352"/>
      <c r="F823" s="161"/>
      <c r="G823" s="225"/>
      <c r="H823" s="225"/>
      <c r="I823" s="180"/>
      <c r="J823" s="181"/>
      <c r="K823" s="181"/>
      <c r="L823" s="181"/>
      <c r="M823" s="164"/>
      <c r="N823" s="180"/>
      <c r="O823" s="180"/>
      <c r="P823" s="182"/>
      <c r="Q823" s="104"/>
      <c r="R823" s="358"/>
      <c r="S823" s="104"/>
    </row>
    <row r="824" spans="1:19" ht="29.25" customHeight="1">
      <c r="A824" s="224"/>
      <c r="B824" s="359"/>
      <c r="C824" s="360"/>
      <c r="D824" s="361"/>
      <c r="E824" s="362"/>
      <c r="F824" s="161"/>
      <c r="G824" s="225"/>
      <c r="H824" s="225"/>
      <c r="I824" s="180"/>
      <c r="J824" s="181"/>
      <c r="K824" s="181"/>
      <c r="L824" s="181"/>
      <c r="M824" s="164"/>
      <c r="N824" s="180"/>
      <c r="O824" s="180"/>
      <c r="P824" s="182"/>
      <c r="Q824" s="104"/>
      <c r="R824" s="363"/>
      <c r="S824" s="104"/>
    </row>
    <row r="825" spans="1:19" ht="29.25" customHeight="1">
      <c r="A825" s="224"/>
      <c r="B825" s="359"/>
      <c r="C825" s="360"/>
      <c r="D825" s="361"/>
      <c r="E825" s="352"/>
      <c r="F825" s="161"/>
      <c r="G825" s="225"/>
      <c r="H825" s="225"/>
      <c r="I825" s="180"/>
      <c r="J825" s="181"/>
      <c r="K825" s="181"/>
      <c r="L825" s="181"/>
      <c r="M825" s="164"/>
      <c r="N825" s="180"/>
      <c r="O825" s="180"/>
      <c r="P825" s="182"/>
      <c r="Q825" s="104"/>
      <c r="R825" s="358"/>
      <c r="S825" s="104"/>
    </row>
    <row r="826" spans="1:19" ht="29.25" customHeight="1">
      <c r="A826" s="224"/>
      <c r="B826" s="359"/>
      <c r="C826" s="360"/>
      <c r="D826" s="361"/>
      <c r="E826" s="362"/>
      <c r="F826" s="161"/>
      <c r="G826" s="225"/>
      <c r="H826" s="225"/>
      <c r="I826" s="180"/>
      <c r="J826" s="181"/>
      <c r="K826" s="181"/>
      <c r="L826" s="181"/>
      <c r="M826" s="164"/>
      <c r="N826" s="180"/>
      <c r="O826" s="180"/>
      <c r="P826" s="182"/>
      <c r="Q826" s="104"/>
      <c r="R826" s="363"/>
      <c r="S826" s="104"/>
    </row>
    <row r="827" spans="1:19" ht="29.25" customHeight="1">
      <c r="A827" s="224"/>
      <c r="B827" s="359"/>
      <c r="C827" s="360"/>
      <c r="D827" s="361"/>
      <c r="E827" s="352"/>
      <c r="F827" s="161"/>
      <c r="G827" s="225"/>
      <c r="H827" s="225"/>
      <c r="I827" s="180"/>
      <c r="J827" s="181"/>
      <c r="K827" s="181"/>
      <c r="L827" s="181"/>
      <c r="M827" s="164"/>
      <c r="N827" s="180"/>
      <c r="O827" s="180"/>
      <c r="P827" s="182"/>
      <c r="Q827" s="104"/>
      <c r="R827" s="358"/>
      <c r="S827" s="104"/>
    </row>
    <row r="828" spans="1:19" ht="29.25" customHeight="1">
      <c r="A828" s="224"/>
      <c r="B828" s="359"/>
      <c r="C828" s="360"/>
      <c r="D828" s="361"/>
      <c r="E828" s="362"/>
      <c r="F828" s="161"/>
      <c r="G828" s="225"/>
      <c r="H828" s="225"/>
      <c r="I828" s="180"/>
      <c r="J828" s="181"/>
      <c r="K828" s="181"/>
      <c r="L828" s="181"/>
      <c r="M828" s="164"/>
      <c r="N828" s="180"/>
      <c r="O828" s="180"/>
      <c r="P828" s="182"/>
      <c r="Q828" s="104"/>
      <c r="R828" s="363"/>
      <c r="S828" s="104"/>
    </row>
    <row r="829" spans="1:19" ht="29.25" customHeight="1">
      <c r="A829" s="224"/>
      <c r="B829" s="359"/>
      <c r="C829" s="360"/>
      <c r="D829" s="361"/>
      <c r="E829" s="352"/>
      <c r="F829" s="161"/>
      <c r="G829" s="225"/>
      <c r="H829" s="225"/>
      <c r="I829" s="180"/>
      <c r="J829" s="181"/>
      <c r="K829" s="181"/>
      <c r="L829" s="181"/>
      <c r="M829" s="164"/>
      <c r="N829" s="180"/>
      <c r="O829" s="180"/>
      <c r="P829" s="182"/>
      <c r="Q829" s="104"/>
      <c r="R829" s="358"/>
      <c r="S829" s="104"/>
    </row>
    <row r="830" spans="1:19" ht="29.25" customHeight="1">
      <c r="A830" s="224"/>
      <c r="B830" s="359"/>
      <c r="C830" s="360"/>
      <c r="D830" s="361"/>
      <c r="E830" s="362"/>
      <c r="F830" s="161"/>
      <c r="G830" s="225"/>
      <c r="H830" s="225"/>
      <c r="I830" s="180"/>
      <c r="J830" s="181"/>
      <c r="K830" s="181"/>
      <c r="L830" s="181"/>
      <c r="M830" s="164"/>
      <c r="N830" s="180"/>
      <c r="O830" s="180"/>
      <c r="P830" s="182"/>
      <c r="Q830" s="104"/>
      <c r="R830" s="363"/>
      <c r="S830" s="104"/>
    </row>
    <row r="831" spans="1:19" ht="29.25" customHeight="1">
      <c r="A831" s="224"/>
      <c r="B831" s="359"/>
      <c r="C831" s="360"/>
      <c r="D831" s="361"/>
      <c r="E831" s="352"/>
      <c r="F831" s="161"/>
      <c r="G831" s="225"/>
      <c r="H831" s="225"/>
      <c r="I831" s="180"/>
      <c r="J831" s="181"/>
      <c r="K831" s="181"/>
      <c r="L831" s="181"/>
      <c r="M831" s="164"/>
      <c r="N831" s="180"/>
      <c r="O831" s="180"/>
      <c r="P831" s="182"/>
      <c r="Q831" s="104"/>
      <c r="R831" s="358"/>
      <c r="S831" s="104"/>
    </row>
    <row r="832" spans="1:19" ht="29.25" customHeight="1">
      <c r="A832" s="224"/>
      <c r="B832" s="359"/>
      <c r="C832" s="360"/>
      <c r="D832" s="361"/>
      <c r="E832" s="362"/>
      <c r="F832" s="161"/>
      <c r="G832" s="225"/>
      <c r="H832" s="225"/>
      <c r="I832" s="180"/>
      <c r="J832" s="181"/>
      <c r="K832" s="181"/>
      <c r="L832" s="181"/>
      <c r="M832" s="164"/>
      <c r="N832" s="180"/>
      <c r="O832" s="180"/>
      <c r="P832" s="182"/>
      <c r="Q832" s="104"/>
      <c r="R832" s="363"/>
      <c r="S832" s="104"/>
    </row>
    <row r="833" spans="1:19" ht="29.25" customHeight="1">
      <c r="A833" s="224"/>
      <c r="B833" s="359"/>
      <c r="C833" s="360"/>
      <c r="D833" s="361"/>
      <c r="E833" s="352"/>
      <c r="F833" s="161"/>
      <c r="G833" s="225"/>
      <c r="H833" s="225"/>
      <c r="I833" s="180"/>
      <c r="J833" s="181"/>
      <c r="K833" s="181"/>
      <c r="L833" s="181"/>
      <c r="M833" s="164"/>
      <c r="N833" s="180"/>
      <c r="O833" s="180"/>
      <c r="P833" s="182"/>
      <c r="Q833" s="104"/>
      <c r="R833" s="358"/>
      <c r="S833" s="104"/>
    </row>
    <row r="834" spans="1:19" ht="29.25" customHeight="1">
      <c r="A834" s="224"/>
      <c r="B834" s="359"/>
      <c r="C834" s="360"/>
      <c r="D834" s="361"/>
      <c r="E834" s="362"/>
      <c r="F834" s="161"/>
      <c r="G834" s="225"/>
      <c r="H834" s="225"/>
      <c r="I834" s="180"/>
      <c r="J834" s="181"/>
      <c r="K834" s="181"/>
      <c r="L834" s="181"/>
      <c r="M834" s="164"/>
      <c r="N834" s="180"/>
      <c r="O834" s="180"/>
      <c r="P834" s="182"/>
      <c r="Q834" s="104"/>
      <c r="R834" s="363"/>
      <c r="S834" s="104"/>
    </row>
    <row r="835" spans="1:19" ht="29.25" customHeight="1">
      <c r="A835" s="224"/>
      <c r="B835" s="359"/>
      <c r="C835" s="360"/>
      <c r="D835" s="361"/>
      <c r="E835" s="352"/>
      <c r="F835" s="161"/>
      <c r="G835" s="225"/>
      <c r="H835" s="225"/>
      <c r="I835" s="180"/>
      <c r="J835" s="181"/>
      <c r="K835" s="181"/>
      <c r="L835" s="181"/>
      <c r="M835" s="164"/>
      <c r="N835" s="180"/>
      <c r="O835" s="180"/>
      <c r="P835" s="182"/>
      <c r="Q835" s="104"/>
      <c r="R835" s="358"/>
      <c r="S835" s="104"/>
    </row>
    <row r="836" spans="1:19" ht="29.25" customHeight="1">
      <c r="A836" s="224"/>
      <c r="B836" s="359"/>
      <c r="C836" s="360"/>
      <c r="D836" s="361"/>
      <c r="E836" s="362"/>
      <c r="F836" s="161"/>
      <c r="G836" s="225"/>
      <c r="H836" s="225"/>
      <c r="I836" s="180"/>
      <c r="J836" s="181"/>
      <c r="K836" s="181"/>
      <c r="L836" s="181"/>
      <c r="M836" s="164"/>
      <c r="N836" s="180"/>
      <c r="O836" s="180"/>
      <c r="P836" s="182"/>
      <c r="Q836" s="104"/>
      <c r="R836" s="363"/>
      <c r="S836" s="104"/>
    </row>
    <row r="837" spans="1:19" ht="29.25" customHeight="1">
      <c r="A837" s="224"/>
      <c r="B837" s="359"/>
      <c r="C837" s="360"/>
      <c r="D837" s="361"/>
      <c r="E837" s="352"/>
      <c r="F837" s="161"/>
      <c r="G837" s="225"/>
      <c r="H837" s="225"/>
      <c r="I837" s="180"/>
      <c r="J837" s="181"/>
      <c r="K837" s="181"/>
      <c r="L837" s="181"/>
      <c r="M837" s="164"/>
      <c r="N837" s="180"/>
      <c r="O837" s="180"/>
      <c r="P837" s="182"/>
      <c r="Q837" s="104"/>
      <c r="R837" s="358"/>
      <c r="S837" s="104"/>
    </row>
    <row r="838" spans="1:19" ht="29.25" customHeight="1">
      <c r="A838" s="224"/>
      <c r="B838" s="359"/>
      <c r="C838" s="360"/>
      <c r="D838" s="361"/>
      <c r="E838" s="362"/>
      <c r="F838" s="161"/>
      <c r="G838" s="225"/>
      <c r="H838" s="225"/>
      <c r="I838" s="180"/>
      <c r="J838" s="181"/>
      <c r="K838" s="181"/>
      <c r="L838" s="181"/>
      <c r="M838" s="164"/>
      <c r="N838" s="180"/>
      <c r="O838" s="180"/>
      <c r="P838" s="182"/>
      <c r="Q838" s="104"/>
      <c r="R838" s="363"/>
      <c r="S838" s="104"/>
    </row>
    <row r="839" spans="1:19" ht="29.25" customHeight="1">
      <c r="A839" s="224"/>
      <c r="B839" s="359"/>
      <c r="C839" s="360"/>
      <c r="D839" s="361"/>
      <c r="E839" s="352"/>
      <c r="F839" s="161"/>
      <c r="G839" s="225"/>
      <c r="H839" s="225"/>
      <c r="I839" s="180"/>
      <c r="J839" s="181"/>
      <c r="K839" s="181"/>
      <c r="L839" s="181"/>
      <c r="M839" s="164"/>
      <c r="N839" s="180"/>
      <c r="O839" s="180"/>
      <c r="P839" s="182"/>
      <c r="Q839" s="104"/>
      <c r="R839" s="358"/>
      <c r="S839" s="104"/>
    </row>
    <row r="840" spans="1:19" ht="29.25" customHeight="1">
      <c r="A840" s="224"/>
      <c r="B840" s="359"/>
      <c r="C840" s="360"/>
      <c r="D840" s="361"/>
      <c r="E840" s="362"/>
      <c r="F840" s="161"/>
      <c r="G840" s="225"/>
      <c r="H840" s="225"/>
      <c r="I840" s="180"/>
      <c r="J840" s="181"/>
      <c r="K840" s="181"/>
      <c r="L840" s="181"/>
      <c r="M840" s="164"/>
      <c r="N840" s="180"/>
      <c r="O840" s="180"/>
      <c r="P840" s="182"/>
      <c r="Q840" s="104"/>
      <c r="R840" s="363"/>
      <c r="S840" s="104"/>
    </row>
    <row r="841" spans="1:19" ht="29.25" customHeight="1">
      <c r="A841" s="224"/>
      <c r="B841" s="359"/>
      <c r="C841" s="360"/>
      <c r="D841" s="361"/>
      <c r="E841" s="352"/>
      <c r="F841" s="161"/>
      <c r="G841" s="225"/>
      <c r="H841" s="225"/>
      <c r="I841" s="180"/>
      <c r="J841" s="181"/>
      <c r="K841" s="181"/>
      <c r="L841" s="181"/>
      <c r="M841" s="164"/>
      <c r="N841" s="180"/>
      <c r="O841" s="180"/>
      <c r="P841" s="182"/>
      <c r="Q841" s="104"/>
      <c r="R841" s="358"/>
      <c r="S841" s="104"/>
    </row>
    <row r="842" spans="1:19" ht="29.25" customHeight="1">
      <c r="A842" s="224"/>
      <c r="B842" s="359"/>
      <c r="C842" s="360"/>
      <c r="D842" s="361"/>
      <c r="E842" s="362"/>
      <c r="F842" s="161"/>
      <c r="G842" s="225"/>
      <c r="H842" s="225"/>
      <c r="I842" s="180"/>
      <c r="J842" s="181"/>
      <c r="K842" s="181"/>
      <c r="L842" s="181"/>
      <c r="M842" s="164"/>
      <c r="N842" s="180"/>
      <c r="O842" s="180"/>
      <c r="P842" s="182"/>
      <c r="Q842" s="104"/>
      <c r="R842" s="363"/>
      <c r="S842" s="104"/>
    </row>
    <row r="843" spans="1:19" ht="29.25" customHeight="1">
      <c r="A843" s="224"/>
      <c r="B843" s="359"/>
      <c r="C843" s="360"/>
      <c r="D843" s="361"/>
      <c r="E843" s="352"/>
      <c r="F843" s="161"/>
      <c r="G843" s="225"/>
      <c r="H843" s="225"/>
      <c r="I843" s="180"/>
      <c r="J843" s="181"/>
      <c r="K843" s="181"/>
      <c r="L843" s="181"/>
      <c r="M843" s="164"/>
      <c r="N843" s="180"/>
      <c r="O843" s="180"/>
      <c r="P843" s="182"/>
      <c r="Q843" s="104"/>
      <c r="R843" s="358"/>
      <c r="S843" s="104"/>
    </row>
    <row r="844" spans="1:19" ht="29.25" customHeight="1">
      <c r="A844" s="224"/>
      <c r="B844" s="359"/>
      <c r="C844" s="360"/>
      <c r="D844" s="361"/>
      <c r="E844" s="362"/>
      <c r="F844" s="161"/>
      <c r="G844" s="225"/>
      <c r="H844" s="225"/>
      <c r="I844" s="180"/>
      <c r="J844" s="181"/>
      <c r="K844" s="181"/>
      <c r="L844" s="181"/>
      <c r="M844" s="164"/>
      <c r="N844" s="180"/>
      <c r="O844" s="180"/>
      <c r="P844" s="182"/>
      <c r="Q844" s="104"/>
      <c r="R844" s="363"/>
      <c r="S844" s="104"/>
    </row>
    <row r="845" spans="1:19" ht="29.25" customHeight="1">
      <c r="A845" s="224"/>
      <c r="B845" s="359"/>
      <c r="C845" s="360"/>
      <c r="D845" s="361"/>
      <c r="E845" s="352"/>
      <c r="F845" s="161"/>
      <c r="G845" s="225"/>
      <c r="H845" s="225"/>
      <c r="I845" s="180"/>
      <c r="J845" s="181"/>
      <c r="K845" s="181"/>
      <c r="L845" s="181"/>
      <c r="M845" s="164"/>
      <c r="N845" s="180"/>
      <c r="O845" s="180"/>
      <c r="P845" s="182"/>
      <c r="Q845" s="104"/>
      <c r="R845" s="358"/>
      <c r="S845" s="104"/>
    </row>
    <row r="846" spans="1:19" ht="29.25" customHeight="1">
      <c r="A846" s="224"/>
      <c r="B846" s="359"/>
      <c r="C846" s="360"/>
      <c r="D846" s="361"/>
      <c r="E846" s="362"/>
      <c r="F846" s="161"/>
      <c r="G846" s="225"/>
      <c r="H846" s="225"/>
      <c r="I846" s="180"/>
      <c r="J846" s="181"/>
      <c r="K846" s="181"/>
      <c r="L846" s="181"/>
      <c r="M846" s="164"/>
      <c r="N846" s="180"/>
      <c r="O846" s="180"/>
      <c r="P846" s="182"/>
      <c r="Q846" s="104"/>
      <c r="R846" s="363"/>
      <c r="S846" s="104"/>
    </row>
    <row r="847" spans="1:19" ht="29.25" customHeight="1">
      <c r="A847" s="224"/>
      <c r="B847" s="359"/>
      <c r="C847" s="360"/>
      <c r="D847" s="361"/>
      <c r="E847" s="352"/>
      <c r="F847" s="161"/>
      <c r="G847" s="225"/>
      <c r="H847" s="225"/>
      <c r="I847" s="180"/>
      <c r="J847" s="181"/>
      <c r="K847" s="181"/>
      <c r="L847" s="181"/>
      <c r="M847" s="164"/>
      <c r="N847" s="180"/>
      <c r="O847" s="180"/>
      <c r="P847" s="182"/>
      <c r="Q847" s="104"/>
      <c r="R847" s="358"/>
      <c r="S847" s="104"/>
    </row>
    <row r="848" spans="1:19" ht="29.25" customHeight="1">
      <c r="A848" s="224"/>
      <c r="B848" s="359"/>
      <c r="C848" s="360"/>
      <c r="D848" s="361"/>
      <c r="E848" s="362"/>
      <c r="F848" s="161"/>
      <c r="G848" s="225"/>
      <c r="H848" s="225"/>
      <c r="I848" s="180"/>
      <c r="J848" s="181"/>
      <c r="K848" s="181"/>
      <c r="L848" s="181"/>
      <c r="M848" s="164"/>
      <c r="N848" s="180"/>
      <c r="O848" s="180"/>
      <c r="P848" s="182"/>
      <c r="Q848" s="104"/>
      <c r="R848" s="363"/>
      <c r="S848" s="104"/>
    </row>
    <row r="849" spans="1:19" ht="29.25" customHeight="1">
      <c r="A849" s="224"/>
      <c r="B849" s="359"/>
      <c r="C849" s="360"/>
      <c r="D849" s="361"/>
      <c r="E849" s="352"/>
      <c r="F849" s="161"/>
      <c r="G849" s="225"/>
      <c r="H849" s="225"/>
      <c r="I849" s="180"/>
      <c r="J849" s="181"/>
      <c r="K849" s="181"/>
      <c r="L849" s="181"/>
      <c r="M849" s="164"/>
      <c r="N849" s="180"/>
      <c r="O849" s="180"/>
      <c r="P849" s="182"/>
      <c r="Q849" s="104"/>
      <c r="R849" s="358"/>
      <c r="S849" s="104"/>
    </row>
    <row r="850" spans="1:19" ht="29.25" customHeight="1">
      <c r="A850" s="224"/>
      <c r="B850" s="359"/>
      <c r="C850" s="360"/>
      <c r="D850" s="361"/>
      <c r="E850" s="362"/>
      <c r="F850" s="161"/>
      <c r="G850" s="225"/>
      <c r="H850" s="225"/>
      <c r="I850" s="180"/>
      <c r="J850" s="181"/>
      <c r="K850" s="181"/>
      <c r="L850" s="181"/>
      <c r="M850" s="164"/>
      <c r="N850" s="180"/>
      <c r="O850" s="180"/>
      <c r="P850" s="182"/>
      <c r="Q850" s="104"/>
      <c r="R850" s="363"/>
      <c r="S850" s="104"/>
    </row>
    <row r="851" spans="1:19" ht="29.25" customHeight="1">
      <c r="A851" s="224"/>
      <c r="B851" s="359"/>
      <c r="C851" s="360"/>
      <c r="D851" s="361"/>
      <c r="E851" s="352"/>
      <c r="F851" s="161"/>
      <c r="G851" s="225"/>
      <c r="H851" s="225"/>
      <c r="I851" s="180"/>
      <c r="J851" s="181"/>
      <c r="K851" s="181"/>
      <c r="L851" s="181"/>
      <c r="M851" s="164"/>
      <c r="N851" s="180"/>
      <c r="O851" s="180"/>
      <c r="P851" s="182"/>
      <c r="Q851" s="104"/>
      <c r="R851" s="358"/>
      <c r="S851" s="104"/>
    </row>
    <row r="852" spans="1:19" ht="29.25" customHeight="1">
      <c r="A852" s="224"/>
      <c r="B852" s="359"/>
      <c r="C852" s="360"/>
      <c r="D852" s="361"/>
      <c r="E852" s="362"/>
      <c r="F852" s="161"/>
      <c r="G852" s="225"/>
      <c r="H852" s="225"/>
      <c r="I852" s="180"/>
      <c r="J852" s="181"/>
      <c r="K852" s="181"/>
      <c r="L852" s="181"/>
      <c r="M852" s="164"/>
      <c r="N852" s="180"/>
      <c r="O852" s="180"/>
      <c r="P852" s="182"/>
      <c r="Q852" s="104"/>
      <c r="R852" s="363"/>
      <c r="S852" s="104"/>
    </row>
    <row r="853" spans="1:19" ht="29.25" customHeight="1">
      <c r="A853" s="224"/>
      <c r="B853" s="359"/>
      <c r="C853" s="360"/>
      <c r="D853" s="361"/>
      <c r="E853" s="352"/>
      <c r="F853" s="161"/>
      <c r="G853" s="225"/>
      <c r="H853" s="225"/>
      <c r="I853" s="180"/>
      <c r="J853" s="181"/>
      <c r="K853" s="181"/>
      <c r="L853" s="181"/>
      <c r="M853" s="164"/>
      <c r="N853" s="180"/>
      <c r="O853" s="180"/>
      <c r="P853" s="182"/>
      <c r="Q853" s="104"/>
      <c r="R853" s="358"/>
      <c r="S853" s="104"/>
    </row>
    <row r="854" spans="1:19" ht="29.25" customHeight="1">
      <c r="A854" s="224"/>
      <c r="B854" s="359"/>
      <c r="C854" s="360"/>
      <c r="D854" s="361"/>
      <c r="E854" s="362"/>
      <c r="F854" s="161"/>
      <c r="G854" s="225"/>
      <c r="H854" s="225"/>
      <c r="I854" s="180"/>
      <c r="J854" s="181"/>
      <c r="K854" s="181"/>
      <c r="L854" s="181"/>
      <c r="M854" s="164"/>
      <c r="N854" s="180"/>
      <c r="O854" s="180"/>
      <c r="P854" s="182"/>
      <c r="Q854" s="104"/>
      <c r="R854" s="363"/>
      <c r="S854" s="104"/>
    </row>
    <row r="855" spans="1:19" ht="29.25" customHeight="1">
      <c r="A855" s="224"/>
      <c r="B855" s="359"/>
      <c r="C855" s="360"/>
      <c r="D855" s="361"/>
      <c r="E855" s="352"/>
      <c r="F855" s="161"/>
      <c r="G855" s="225"/>
      <c r="H855" s="225"/>
      <c r="I855" s="180"/>
      <c r="J855" s="181"/>
      <c r="K855" s="181"/>
      <c r="L855" s="181"/>
      <c r="M855" s="164"/>
      <c r="N855" s="180"/>
      <c r="O855" s="180"/>
      <c r="P855" s="182"/>
      <c r="Q855" s="104"/>
      <c r="R855" s="358"/>
      <c r="S855" s="104"/>
    </row>
    <row r="856" spans="1:19" ht="29.25" customHeight="1">
      <c r="A856" s="224"/>
      <c r="B856" s="359"/>
      <c r="C856" s="360"/>
      <c r="D856" s="361"/>
      <c r="E856" s="362"/>
      <c r="F856" s="161"/>
      <c r="G856" s="225"/>
      <c r="H856" s="225"/>
      <c r="I856" s="180"/>
      <c r="J856" s="181"/>
      <c r="K856" s="181"/>
      <c r="L856" s="181"/>
      <c r="M856" s="164"/>
      <c r="N856" s="180"/>
      <c r="O856" s="180"/>
      <c r="P856" s="182"/>
      <c r="Q856" s="104"/>
      <c r="R856" s="363"/>
      <c r="S856" s="104"/>
    </row>
    <row r="857" spans="1:19" ht="29.25" customHeight="1">
      <c r="A857" s="224"/>
      <c r="B857" s="359"/>
      <c r="C857" s="360"/>
      <c r="D857" s="361"/>
      <c r="E857" s="352"/>
      <c r="F857" s="161"/>
      <c r="G857" s="225"/>
      <c r="H857" s="225"/>
      <c r="I857" s="180"/>
      <c r="J857" s="181"/>
      <c r="K857" s="181"/>
      <c r="L857" s="181"/>
      <c r="M857" s="164"/>
      <c r="N857" s="180"/>
      <c r="O857" s="180"/>
      <c r="P857" s="182"/>
      <c r="Q857" s="104"/>
      <c r="R857" s="358"/>
      <c r="S857" s="104"/>
    </row>
    <row r="858" spans="1:19" ht="29.25" customHeight="1">
      <c r="A858" s="224"/>
      <c r="B858" s="359"/>
      <c r="C858" s="360"/>
      <c r="D858" s="361"/>
      <c r="E858" s="362"/>
      <c r="F858" s="161"/>
      <c r="G858" s="225"/>
      <c r="H858" s="225"/>
      <c r="I858" s="180"/>
      <c r="J858" s="181"/>
      <c r="K858" s="181"/>
      <c r="L858" s="181"/>
      <c r="M858" s="164"/>
      <c r="N858" s="180"/>
      <c r="O858" s="180"/>
      <c r="P858" s="182"/>
      <c r="Q858" s="104"/>
      <c r="R858" s="363"/>
      <c r="S858" s="104"/>
    </row>
    <row r="859" spans="1:19" ht="29.25" customHeight="1">
      <c r="A859" s="224"/>
      <c r="B859" s="359"/>
      <c r="C859" s="360"/>
      <c r="D859" s="361"/>
      <c r="E859" s="352"/>
      <c r="F859" s="161"/>
      <c r="G859" s="225"/>
      <c r="H859" s="225"/>
      <c r="I859" s="180"/>
      <c r="J859" s="181"/>
      <c r="K859" s="181"/>
      <c r="L859" s="181"/>
      <c r="M859" s="164"/>
      <c r="N859" s="180"/>
      <c r="O859" s="180"/>
      <c r="P859" s="182"/>
      <c r="Q859" s="104"/>
      <c r="R859" s="358"/>
      <c r="S859" s="104"/>
    </row>
    <row r="860" spans="1:19" ht="29.25" customHeight="1">
      <c r="A860" s="224"/>
      <c r="B860" s="359"/>
      <c r="C860" s="360"/>
      <c r="D860" s="361"/>
      <c r="E860" s="362"/>
      <c r="F860" s="161"/>
      <c r="G860" s="225"/>
      <c r="H860" s="225"/>
      <c r="I860" s="180"/>
      <c r="J860" s="181"/>
      <c r="K860" s="181"/>
      <c r="L860" s="181"/>
      <c r="M860" s="164"/>
      <c r="N860" s="180"/>
      <c r="O860" s="180"/>
      <c r="P860" s="182"/>
      <c r="Q860" s="104"/>
      <c r="R860" s="363"/>
      <c r="S860" s="104"/>
    </row>
    <row r="861" spans="1:19" ht="29.25" customHeight="1">
      <c r="A861" s="224"/>
      <c r="B861" s="359"/>
      <c r="C861" s="360"/>
      <c r="D861" s="361"/>
      <c r="E861" s="352"/>
      <c r="F861" s="161"/>
      <c r="G861" s="225"/>
      <c r="H861" s="225"/>
      <c r="I861" s="180"/>
      <c r="J861" s="181"/>
      <c r="K861" s="181"/>
      <c r="L861" s="181"/>
      <c r="M861" s="164"/>
      <c r="N861" s="180"/>
      <c r="O861" s="180"/>
      <c r="P861" s="182"/>
      <c r="Q861" s="104"/>
      <c r="R861" s="358"/>
      <c r="S861" s="104"/>
    </row>
    <row r="862" spans="1:19" ht="29.25" customHeight="1">
      <c r="A862" s="224"/>
      <c r="B862" s="359"/>
      <c r="C862" s="360"/>
      <c r="D862" s="361"/>
      <c r="E862" s="362"/>
      <c r="F862" s="161"/>
      <c r="G862" s="225"/>
      <c r="H862" s="225"/>
      <c r="I862" s="180"/>
      <c r="J862" s="181"/>
      <c r="K862" s="181"/>
      <c r="L862" s="181"/>
      <c r="M862" s="164"/>
      <c r="N862" s="180"/>
      <c r="O862" s="180"/>
      <c r="P862" s="182"/>
      <c r="Q862" s="104"/>
      <c r="R862" s="363"/>
      <c r="S862" s="104"/>
    </row>
    <row r="863" spans="1:19" ht="29.25" customHeight="1">
      <c r="A863" s="224"/>
      <c r="B863" s="359"/>
      <c r="C863" s="360"/>
      <c r="D863" s="361"/>
      <c r="E863" s="352"/>
      <c r="F863" s="161"/>
      <c r="G863" s="225"/>
      <c r="H863" s="225"/>
      <c r="I863" s="180"/>
      <c r="J863" s="181"/>
      <c r="K863" s="181"/>
      <c r="L863" s="181"/>
      <c r="M863" s="164"/>
      <c r="N863" s="180"/>
      <c r="O863" s="180"/>
      <c r="P863" s="182"/>
      <c r="Q863" s="104"/>
      <c r="R863" s="358"/>
      <c r="S863" s="104"/>
    </row>
    <row r="864" spans="1:19" ht="29.25" customHeight="1">
      <c r="A864" s="224"/>
      <c r="B864" s="359"/>
      <c r="C864" s="360"/>
      <c r="D864" s="361"/>
      <c r="E864" s="362"/>
      <c r="F864" s="161"/>
      <c r="G864" s="225"/>
      <c r="H864" s="225"/>
      <c r="I864" s="180"/>
      <c r="J864" s="181"/>
      <c r="K864" s="181"/>
      <c r="L864" s="181"/>
      <c r="M864" s="164"/>
      <c r="N864" s="180"/>
      <c r="O864" s="180"/>
      <c r="P864" s="182"/>
      <c r="Q864" s="104"/>
      <c r="R864" s="363"/>
      <c r="S864" s="104"/>
    </row>
    <row r="865" spans="1:19" ht="29.25" customHeight="1">
      <c r="A865" s="224"/>
      <c r="B865" s="359"/>
      <c r="C865" s="360"/>
      <c r="D865" s="361"/>
      <c r="E865" s="352"/>
      <c r="F865" s="161"/>
      <c r="G865" s="225"/>
      <c r="H865" s="225"/>
      <c r="I865" s="180"/>
      <c r="J865" s="181"/>
      <c r="K865" s="181"/>
      <c r="L865" s="181"/>
      <c r="M865" s="164"/>
      <c r="N865" s="180"/>
      <c r="O865" s="180"/>
      <c r="P865" s="182"/>
      <c r="Q865" s="104"/>
      <c r="R865" s="358"/>
      <c r="S865" s="104"/>
    </row>
    <row r="866" spans="1:19" ht="29.25" customHeight="1">
      <c r="A866" s="224"/>
      <c r="B866" s="359"/>
      <c r="C866" s="360"/>
      <c r="D866" s="361"/>
      <c r="E866" s="362"/>
      <c r="F866" s="161"/>
      <c r="G866" s="225"/>
      <c r="H866" s="225"/>
      <c r="I866" s="180"/>
      <c r="J866" s="181"/>
      <c r="K866" s="181"/>
      <c r="L866" s="181"/>
      <c r="M866" s="164"/>
      <c r="N866" s="180"/>
      <c r="O866" s="180"/>
      <c r="P866" s="182"/>
      <c r="Q866" s="104"/>
      <c r="R866" s="363"/>
      <c r="S866" s="104"/>
    </row>
    <row r="867" spans="1:19" ht="29.25" customHeight="1">
      <c r="A867" s="224"/>
      <c r="B867" s="359"/>
      <c r="C867" s="360"/>
      <c r="D867" s="361"/>
      <c r="E867" s="352"/>
      <c r="F867" s="161"/>
      <c r="G867" s="225"/>
      <c r="H867" s="225"/>
      <c r="I867" s="180"/>
      <c r="J867" s="181"/>
      <c r="K867" s="181"/>
      <c r="L867" s="181"/>
      <c r="M867" s="164"/>
      <c r="N867" s="180"/>
      <c r="O867" s="180"/>
      <c r="P867" s="182"/>
      <c r="Q867" s="104"/>
      <c r="R867" s="358"/>
      <c r="S867" s="104"/>
    </row>
    <row r="868" spans="1:19" ht="29.25" customHeight="1">
      <c r="A868" s="224"/>
      <c r="B868" s="359"/>
      <c r="C868" s="360"/>
      <c r="D868" s="361"/>
      <c r="E868" s="362"/>
      <c r="F868" s="161"/>
      <c r="G868" s="225"/>
      <c r="H868" s="225"/>
      <c r="I868" s="180"/>
      <c r="J868" s="181"/>
      <c r="K868" s="181"/>
      <c r="L868" s="181"/>
      <c r="M868" s="164"/>
      <c r="N868" s="180"/>
      <c r="O868" s="180"/>
      <c r="P868" s="182"/>
      <c r="Q868" s="104"/>
      <c r="R868" s="363"/>
      <c r="S868" s="104"/>
    </row>
    <row r="869" spans="1:19" ht="29.25" customHeight="1">
      <c r="A869" s="224"/>
      <c r="B869" s="359"/>
      <c r="C869" s="360"/>
      <c r="D869" s="361"/>
      <c r="E869" s="352"/>
      <c r="F869" s="161"/>
      <c r="G869" s="225"/>
      <c r="H869" s="225"/>
      <c r="I869" s="180"/>
      <c r="J869" s="181"/>
      <c r="K869" s="181"/>
      <c r="L869" s="181"/>
      <c r="M869" s="164"/>
      <c r="N869" s="180"/>
      <c r="O869" s="180"/>
      <c r="P869" s="182"/>
      <c r="Q869" s="104"/>
      <c r="R869" s="358"/>
      <c r="S869" s="104"/>
    </row>
    <row r="870" spans="1:19" ht="29.25" customHeight="1">
      <c r="A870" s="224"/>
      <c r="B870" s="359"/>
      <c r="C870" s="360"/>
      <c r="D870" s="361"/>
      <c r="E870" s="362"/>
      <c r="F870" s="161"/>
      <c r="G870" s="225"/>
      <c r="H870" s="225"/>
      <c r="I870" s="180"/>
      <c r="J870" s="181"/>
      <c r="K870" s="181"/>
      <c r="L870" s="181"/>
      <c r="M870" s="164"/>
      <c r="N870" s="180"/>
      <c r="O870" s="180"/>
      <c r="P870" s="182"/>
      <c r="Q870" s="104"/>
      <c r="R870" s="363"/>
      <c r="S870" s="104"/>
    </row>
    <row r="871" spans="1:19" ht="29.25" customHeight="1">
      <c r="A871" s="224"/>
      <c r="B871" s="359"/>
      <c r="C871" s="360"/>
      <c r="D871" s="361"/>
      <c r="E871" s="352"/>
      <c r="F871" s="161"/>
      <c r="G871" s="225"/>
      <c r="H871" s="225"/>
      <c r="I871" s="180"/>
      <c r="J871" s="181"/>
      <c r="K871" s="181"/>
      <c r="L871" s="181"/>
      <c r="M871" s="164"/>
      <c r="N871" s="180"/>
      <c r="O871" s="180"/>
      <c r="P871" s="182"/>
      <c r="Q871" s="104"/>
      <c r="R871" s="358"/>
      <c r="S871" s="104"/>
    </row>
    <row r="872" spans="1:19" ht="29.25" customHeight="1">
      <c r="A872" s="224"/>
      <c r="B872" s="359"/>
      <c r="C872" s="360"/>
      <c r="D872" s="361"/>
      <c r="E872" s="362"/>
      <c r="F872" s="161"/>
      <c r="G872" s="225"/>
      <c r="H872" s="225"/>
      <c r="I872" s="180"/>
      <c r="J872" s="181"/>
      <c r="K872" s="181"/>
      <c r="L872" s="181"/>
      <c r="M872" s="164"/>
      <c r="N872" s="180"/>
      <c r="O872" s="180"/>
      <c r="P872" s="182"/>
      <c r="Q872" s="104"/>
      <c r="R872" s="363"/>
      <c r="S872" s="104"/>
    </row>
    <row r="873" spans="1:19" ht="29.25" customHeight="1">
      <c r="A873" s="224"/>
      <c r="B873" s="359"/>
      <c r="C873" s="360"/>
      <c r="D873" s="361"/>
      <c r="E873" s="352"/>
      <c r="F873" s="161"/>
      <c r="G873" s="225"/>
      <c r="H873" s="225"/>
      <c r="I873" s="180"/>
      <c r="J873" s="181"/>
      <c r="K873" s="181"/>
      <c r="L873" s="181"/>
      <c r="M873" s="164"/>
      <c r="N873" s="180"/>
      <c r="O873" s="180"/>
      <c r="P873" s="182"/>
      <c r="Q873" s="104"/>
      <c r="R873" s="358"/>
      <c r="S873" s="104"/>
    </row>
    <row r="874" spans="1:19" ht="29.25" customHeight="1">
      <c r="A874" s="224"/>
      <c r="B874" s="359"/>
      <c r="C874" s="360"/>
      <c r="D874" s="361"/>
      <c r="E874" s="362"/>
      <c r="F874" s="161"/>
      <c r="G874" s="225"/>
      <c r="H874" s="225"/>
      <c r="I874" s="180"/>
      <c r="J874" s="181"/>
      <c r="K874" s="181"/>
      <c r="L874" s="181"/>
      <c r="M874" s="164"/>
      <c r="N874" s="180"/>
      <c r="O874" s="180"/>
      <c r="P874" s="182"/>
      <c r="Q874" s="104"/>
      <c r="R874" s="363"/>
      <c r="S874" s="104"/>
    </row>
    <row r="875" spans="1:19" ht="29.25" customHeight="1">
      <c r="A875" s="224"/>
      <c r="B875" s="359"/>
      <c r="C875" s="360"/>
      <c r="D875" s="361"/>
      <c r="E875" s="352"/>
      <c r="F875" s="161"/>
      <c r="G875" s="225"/>
      <c r="H875" s="225"/>
      <c r="I875" s="180"/>
      <c r="J875" s="181"/>
      <c r="K875" s="181"/>
      <c r="L875" s="181"/>
      <c r="M875" s="164"/>
      <c r="N875" s="180"/>
      <c r="O875" s="180"/>
      <c r="P875" s="182"/>
      <c r="Q875" s="104"/>
      <c r="R875" s="358"/>
      <c r="S875" s="104"/>
    </row>
    <row r="876" spans="1:19" ht="29.25" customHeight="1">
      <c r="A876" s="224"/>
      <c r="B876" s="359"/>
      <c r="C876" s="360"/>
      <c r="D876" s="361"/>
      <c r="E876" s="362"/>
      <c r="F876" s="161"/>
      <c r="G876" s="225"/>
      <c r="H876" s="225"/>
      <c r="I876" s="180"/>
      <c r="J876" s="181"/>
      <c r="K876" s="181"/>
      <c r="L876" s="181"/>
      <c r="M876" s="164"/>
      <c r="N876" s="180"/>
      <c r="O876" s="180"/>
      <c r="P876" s="182"/>
      <c r="Q876" s="104"/>
      <c r="R876" s="363"/>
      <c r="S876" s="104"/>
    </row>
    <row r="877" spans="1:19" ht="29.25" customHeight="1">
      <c r="A877" s="224"/>
      <c r="B877" s="359"/>
      <c r="C877" s="360"/>
      <c r="D877" s="361"/>
      <c r="E877" s="352"/>
      <c r="F877" s="161"/>
      <c r="G877" s="225"/>
      <c r="H877" s="225"/>
      <c r="I877" s="180"/>
      <c r="J877" s="181"/>
      <c r="K877" s="181"/>
      <c r="L877" s="181"/>
      <c r="M877" s="164"/>
      <c r="N877" s="180"/>
      <c r="O877" s="180"/>
      <c r="P877" s="182"/>
      <c r="Q877" s="104"/>
      <c r="R877" s="358"/>
      <c r="S877" s="104"/>
    </row>
    <row r="878" spans="1:19" ht="29.25" customHeight="1">
      <c r="A878" s="224"/>
      <c r="B878" s="359"/>
      <c r="C878" s="360"/>
      <c r="D878" s="361"/>
      <c r="E878" s="362"/>
      <c r="F878" s="161"/>
      <c r="G878" s="225"/>
      <c r="H878" s="225"/>
      <c r="I878" s="180"/>
      <c r="J878" s="181"/>
      <c r="K878" s="181"/>
      <c r="L878" s="181"/>
      <c r="M878" s="164"/>
      <c r="N878" s="180"/>
      <c r="O878" s="180"/>
      <c r="P878" s="182"/>
      <c r="Q878" s="104"/>
      <c r="R878" s="363"/>
      <c r="S878" s="104"/>
    </row>
    <row r="879" spans="1:19" ht="29.25" customHeight="1">
      <c r="A879" s="224"/>
      <c r="B879" s="359"/>
      <c r="C879" s="360"/>
      <c r="D879" s="361"/>
      <c r="E879" s="352"/>
      <c r="F879" s="161"/>
      <c r="G879" s="225"/>
      <c r="H879" s="225"/>
      <c r="I879" s="180"/>
      <c r="J879" s="181"/>
      <c r="K879" s="181"/>
      <c r="L879" s="181"/>
      <c r="M879" s="164"/>
      <c r="N879" s="180"/>
      <c r="O879" s="180"/>
      <c r="P879" s="182"/>
      <c r="Q879" s="104"/>
      <c r="R879" s="358"/>
      <c r="S879" s="104"/>
    </row>
    <row r="880" spans="1:19" ht="29.25" customHeight="1">
      <c r="A880" s="224"/>
      <c r="B880" s="359"/>
      <c r="C880" s="360"/>
      <c r="D880" s="361"/>
      <c r="E880" s="362"/>
      <c r="F880" s="161"/>
      <c r="G880" s="225"/>
      <c r="H880" s="225"/>
      <c r="I880" s="180"/>
      <c r="J880" s="181"/>
      <c r="K880" s="181"/>
      <c r="L880" s="181"/>
      <c r="M880" s="164"/>
      <c r="N880" s="180"/>
      <c r="O880" s="180"/>
      <c r="P880" s="182"/>
      <c r="Q880" s="104"/>
      <c r="R880" s="363"/>
      <c r="S880" s="104"/>
    </row>
    <row r="881" spans="1:19" ht="29.25" customHeight="1">
      <c r="A881" s="224"/>
      <c r="B881" s="359"/>
      <c r="C881" s="360"/>
      <c r="D881" s="361"/>
      <c r="E881" s="352"/>
      <c r="F881" s="161"/>
      <c r="G881" s="225"/>
      <c r="H881" s="225"/>
      <c r="I881" s="180"/>
      <c r="J881" s="181"/>
      <c r="K881" s="181"/>
      <c r="L881" s="181"/>
      <c r="M881" s="164"/>
      <c r="N881" s="180"/>
      <c r="O881" s="180"/>
      <c r="P881" s="182"/>
      <c r="Q881" s="104"/>
      <c r="R881" s="358"/>
      <c r="S881" s="104"/>
    </row>
    <row r="882" spans="1:19" ht="29.25" customHeight="1">
      <c r="A882" s="224"/>
      <c r="B882" s="359"/>
      <c r="C882" s="360"/>
      <c r="D882" s="361"/>
      <c r="E882" s="362"/>
      <c r="F882" s="161"/>
      <c r="G882" s="225"/>
      <c r="H882" s="225"/>
      <c r="I882" s="180"/>
      <c r="J882" s="181"/>
      <c r="K882" s="181"/>
      <c r="L882" s="181"/>
      <c r="M882" s="164"/>
      <c r="N882" s="180"/>
      <c r="O882" s="180"/>
      <c r="P882" s="182"/>
      <c r="Q882" s="104"/>
      <c r="R882" s="363"/>
      <c r="S882" s="104"/>
    </row>
    <row r="883" spans="1:19" ht="29.25" customHeight="1">
      <c r="A883" s="224"/>
      <c r="B883" s="359"/>
      <c r="C883" s="360"/>
      <c r="D883" s="361"/>
      <c r="E883" s="352"/>
      <c r="F883" s="161"/>
      <c r="G883" s="225"/>
      <c r="H883" s="225"/>
      <c r="I883" s="180"/>
      <c r="J883" s="181"/>
      <c r="K883" s="181"/>
      <c r="L883" s="181"/>
      <c r="M883" s="164"/>
      <c r="N883" s="180"/>
      <c r="O883" s="180"/>
      <c r="P883" s="182"/>
      <c r="Q883" s="104"/>
      <c r="R883" s="358"/>
      <c r="S883" s="104"/>
    </row>
    <row r="884" spans="1:19" ht="29.25" customHeight="1">
      <c r="A884" s="224"/>
      <c r="B884" s="359"/>
      <c r="C884" s="360"/>
      <c r="D884" s="361"/>
      <c r="E884" s="362"/>
      <c r="F884" s="161"/>
      <c r="G884" s="225"/>
      <c r="H884" s="225"/>
      <c r="I884" s="180"/>
      <c r="J884" s="181"/>
      <c r="K884" s="181"/>
      <c r="L884" s="181"/>
      <c r="M884" s="164"/>
      <c r="N884" s="180"/>
      <c r="O884" s="180"/>
      <c r="P884" s="182"/>
      <c r="Q884" s="104"/>
      <c r="R884" s="363"/>
      <c r="S884" s="104"/>
    </row>
    <row r="885" spans="1:19" ht="29.25" customHeight="1">
      <c r="A885" s="224"/>
      <c r="B885" s="359"/>
      <c r="C885" s="360"/>
      <c r="D885" s="361"/>
      <c r="E885" s="352"/>
      <c r="F885" s="161"/>
      <c r="G885" s="225"/>
      <c r="H885" s="225"/>
      <c r="I885" s="180"/>
      <c r="J885" s="181"/>
      <c r="K885" s="181"/>
      <c r="L885" s="181"/>
      <c r="M885" s="164"/>
      <c r="N885" s="180"/>
      <c r="O885" s="180"/>
      <c r="P885" s="182"/>
      <c r="Q885" s="104"/>
      <c r="R885" s="358"/>
      <c r="S885" s="104"/>
    </row>
    <row r="886" spans="1:19" ht="29.25" customHeight="1">
      <c r="A886" s="224"/>
      <c r="B886" s="359"/>
      <c r="C886" s="360"/>
      <c r="D886" s="361"/>
      <c r="E886" s="362"/>
      <c r="F886" s="161"/>
      <c r="G886" s="225"/>
      <c r="H886" s="225"/>
      <c r="I886" s="180"/>
      <c r="J886" s="181"/>
      <c r="K886" s="181"/>
      <c r="L886" s="181"/>
      <c r="M886" s="164"/>
      <c r="N886" s="180"/>
      <c r="O886" s="180"/>
      <c r="P886" s="182"/>
      <c r="Q886" s="104"/>
      <c r="R886" s="363"/>
      <c r="S886" s="104"/>
    </row>
    <row r="887" spans="1:19" ht="29.25" customHeight="1">
      <c r="A887" s="224"/>
      <c r="B887" s="359"/>
      <c r="C887" s="360"/>
      <c r="D887" s="361"/>
      <c r="E887" s="352"/>
      <c r="F887" s="161"/>
      <c r="G887" s="225"/>
      <c r="H887" s="225"/>
      <c r="I887" s="180"/>
      <c r="J887" s="181"/>
      <c r="K887" s="181"/>
      <c r="L887" s="181"/>
      <c r="M887" s="164"/>
      <c r="N887" s="180"/>
      <c r="O887" s="180"/>
      <c r="P887" s="182"/>
      <c r="Q887" s="104"/>
      <c r="R887" s="358"/>
      <c r="S887" s="104"/>
    </row>
    <row r="888" spans="1:19" ht="29.25" customHeight="1">
      <c r="A888" s="224"/>
      <c r="B888" s="359"/>
      <c r="C888" s="360"/>
      <c r="D888" s="361"/>
      <c r="E888" s="362"/>
      <c r="F888" s="161"/>
      <c r="G888" s="225"/>
      <c r="H888" s="225"/>
      <c r="I888" s="180"/>
      <c r="J888" s="181"/>
      <c r="K888" s="181"/>
      <c r="L888" s="181"/>
      <c r="M888" s="164"/>
      <c r="N888" s="180"/>
      <c r="O888" s="180"/>
      <c r="P888" s="182"/>
      <c r="Q888" s="104"/>
      <c r="R888" s="363"/>
      <c r="S888" s="104"/>
    </row>
    <row r="889" spans="1:19" ht="29.25" customHeight="1">
      <c r="A889" s="224"/>
      <c r="B889" s="359"/>
      <c r="C889" s="360"/>
      <c r="D889" s="361"/>
      <c r="E889" s="352"/>
      <c r="F889" s="161"/>
      <c r="G889" s="225"/>
      <c r="H889" s="225"/>
      <c r="I889" s="180"/>
      <c r="J889" s="181"/>
      <c r="K889" s="181"/>
      <c r="L889" s="181"/>
      <c r="M889" s="164"/>
      <c r="N889" s="180"/>
      <c r="O889" s="180"/>
      <c r="P889" s="182"/>
      <c r="Q889" s="104"/>
      <c r="R889" s="358"/>
      <c r="S889" s="104"/>
    </row>
    <row r="890" spans="1:19" ht="29.25" customHeight="1">
      <c r="A890" s="224"/>
      <c r="B890" s="359"/>
      <c r="C890" s="360"/>
      <c r="D890" s="361"/>
      <c r="E890" s="362"/>
      <c r="F890" s="161"/>
      <c r="G890" s="225"/>
      <c r="H890" s="225"/>
      <c r="I890" s="180"/>
      <c r="J890" s="181"/>
      <c r="K890" s="181"/>
      <c r="L890" s="181"/>
      <c r="M890" s="164"/>
      <c r="N890" s="180"/>
      <c r="O890" s="180"/>
      <c r="P890" s="182"/>
      <c r="Q890" s="104"/>
      <c r="R890" s="363"/>
      <c r="S890" s="104"/>
    </row>
    <row r="891" spans="1:19" ht="29.25" customHeight="1">
      <c r="A891" s="224"/>
      <c r="B891" s="359"/>
      <c r="C891" s="360"/>
      <c r="D891" s="361"/>
      <c r="E891" s="352"/>
      <c r="F891" s="161"/>
      <c r="G891" s="225"/>
      <c r="H891" s="225"/>
      <c r="I891" s="180"/>
      <c r="J891" s="181"/>
      <c r="K891" s="181"/>
      <c r="L891" s="181"/>
      <c r="M891" s="164"/>
      <c r="N891" s="180"/>
      <c r="O891" s="180"/>
      <c r="P891" s="182"/>
      <c r="Q891" s="104"/>
      <c r="R891" s="358"/>
      <c r="S891" s="104"/>
    </row>
    <row r="892" spans="1:19" ht="29.25" customHeight="1">
      <c r="A892" s="224"/>
      <c r="B892" s="359"/>
      <c r="C892" s="360"/>
      <c r="D892" s="361"/>
      <c r="E892" s="362"/>
      <c r="F892" s="161"/>
      <c r="G892" s="225"/>
      <c r="H892" s="225"/>
      <c r="I892" s="180"/>
      <c r="J892" s="181"/>
      <c r="K892" s="181"/>
      <c r="L892" s="181"/>
      <c r="M892" s="164"/>
      <c r="N892" s="180"/>
      <c r="O892" s="180"/>
      <c r="P892" s="182"/>
      <c r="Q892" s="104"/>
      <c r="R892" s="363"/>
      <c r="S892" s="104"/>
    </row>
    <row r="893" spans="1:19" ht="29.25" customHeight="1">
      <c r="A893" s="224"/>
      <c r="B893" s="359"/>
      <c r="C893" s="360"/>
      <c r="D893" s="361"/>
      <c r="E893" s="352"/>
      <c r="F893" s="161"/>
      <c r="G893" s="225"/>
      <c r="H893" s="225"/>
      <c r="I893" s="180"/>
      <c r="J893" s="181"/>
      <c r="K893" s="181"/>
      <c r="L893" s="181"/>
      <c r="M893" s="164"/>
      <c r="N893" s="180"/>
      <c r="O893" s="180"/>
      <c r="P893" s="182"/>
      <c r="Q893" s="104"/>
      <c r="R893" s="358"/>
      <c r="S893" s="104"/>
    </row>
    <row r="894" spans="1:19" ht="29.25" customHeight="1">
      <c r="A894" s="224"/>
      <c r="B894" s="359"/>
      <c r="C894" s="360"/>
      <c r="D894" s="361"/>
      <c r="E894" s="362"/>
      <c r="F894" s="161"/>
      <c r="G894" s="225"/>
      <c r="H894" s="225"/>
      <c r="I894" s="180"/>
      <c r="J894" s="181"/>
      <c r="K894" s="181"/>
      <c r="L894" s="181"/>
      <c r="M894" s="164"/>
      <c r="N894" s="180"/>
      <c r="O894" s="180"/>
      <c r="P894" s="182"/>
      <c r="Q894" s="104"/>
      <c r="R894" s="363"/>
      <c r="S894" s="104"/>
    </row>
    <row r="895" spans="1:19" ht="29.25" customHeight="1">
      <c r="A895" s="224"/>
      <c r="B895" s="359"/>
      <c r="C895" s="360"/>
      <c r="D895" s="361"/>
      <c r="E895" s="352"/>
      <c r="F895" s="161"/>
      <c r="G895" s="225"/>
      <c r="H895" s="225"/>
      <c r="I895" s="180"/>
      <c r="J895" s="181"/>
      <c r="K895" s="181"/>
      <c r="L895" s="181"/>
      <c r="M895" s="164"/>
      <c r="N895" s="180"/>
      <c r="O895" s="180"/>
      <c r="P895" s="182"/>
      <c r="Q895" s="104"/>
      <c r="R895" s="358"/>
      <c r="S895" s="104"/>
    </row>
    <row r="896" spans="1:19" ht="29.25" customHeight="1">
      <c r="A896" s="224"/>
      <c r="B896" s="359"/>
      <c r="C896" s="360"/>
      <c r="D896" s="361"/>
      <c r="E896" s="362"/>
      <c r="F896" s="161"/>
      <c r="G896" s="225"/>
      <c r="H896" s="225"/>
      <c r="I896" s="180"/>
      <c r="J896" s="181"/>
      <c r="K896" s="181"/>
      <c r="L896" s="181"/>
      <c r="M896" s="164"/>
      <c r="N896" s="180"/>
      <c r="O896" s="180"/>
      <c r="P896" s="182"/>
      <c r="Q896" s="104"/>
      <c r="R896" s="363"/>
      <c r="S896" s="104"/>
    </row>
    <row r="897" spans="1:19" ht="29.25" customHeight="1">
      <c r="A897" s="224"/>
      <c r="B897" s="359"/>
      <c r="C897" s="360"/>
      <c r="D897" s="361"/>
      <c r="E897" s="352"/>
      <c r="F897" s="161"/>
      <c r="G897" s="225"/>
      <c r="H897" s="225"/>
      <c r="I897" s="180"/>
      <c r="J897" s="181"/>
      <c r="K897" s="181"/>
      <c r="L897" s="181"/>
      <c r="M897" s="164"/>
      <c r="N897" s="180"/>
      <c r="O897" s="180"/>
      <c r="P897" s="182"/>
      <c r="Q897" s="104"/>
      <c r="R897" s="358"/>
      <c r="S897" s="104"/>
    </row>
    <row r="898" spans="1:19" ht="29.25" customHeight="1">
      <c r="A898" s="224"/>
      <c r="B898" s="359"/>
      <c r="C898" s="360"/>
      <c r="D898" s="361"/>
      <c r="E898" s="362"/>
      <c r="F898" s="161"/>
      <c r="G898" s="225"/>
      <c r="H898" s="225"/>
      <c r="I898" s="180"/>
      <c r="J898" s="181"/>
      <c r="K898" s="181"/>
      <c r="L898" s="181"/>
      <c r="M898" s="164"/>
      <c r="N898" s="180"/>
      <c r="O898" s="180"/>
      <c r="P898" s="182"/>
      <c r="Q898" s="104"/>
      <c r="R898" s="363"/>
      <c r="S898" s="104"/>
    </row>
    <row r="899" spans="1:19" ht="29.25" customHeight="1">
      <c r="A899" s="224"/>
      <c r="B899" s="359"/>
      <c r="C899" s="360"/>
      <c r="D899" s="361"/>
      <c r="E899" s="352"/>
      <c r="F899" s="161"/>
      <c r="G899" s="225"/>
      <c r="H899" s="225"/>
      <c r="I899" s="180"/>
      <c r="J899" s="181"/>
      <c r="K899" s="181"/>
      <c r="L899" s="181"/>
      <c r="M899" s="164"/>
      <c r="N899" s="180"/>
      <c r="O899" s="180"/>
      <c r="P899" s="182"/>
      <c r="Q899" s="104"/>
      <c r="R899" s="358"/>
      <c r="S899" s="104"/>
    </row>
    <row r="900" spans="1:19" ht="29.25" customHeight="1">
      <c r="A900" s="224"/>
      <c r="B900" s="359"/>
      <c r="C900" s="360"/>
      <c r="D900" s="361"/>
      <c r="E900" s="362"/>
      <c r="F900" s="161"/>
      <c r="G900" s="225"/>
      <c r="H900" s="225"/>
      <c r="I900" s="180"/>
      <c r="J900" s="181"/>
      <c r="K900" s="181"/>
      <c r="L900" s="181"/>
      <c r="M900" s="164"/>
      <c r="N900" s="180"/>
      <c r="O900" s="180"/>
      <c r="P900" s="182"/>
      <c r="Q900" s="104"/>
      <c r="R900" s="363"/>
      <c r="S900" s="104"/>
    </row>
    <row r="901" spans="1:19" ht="29.25" customHeight="1">
      <c r="A901" s="224"/>
      <c r="B901" s="359"/>
      <c r="C901" s="360"/>
      <c r="D901" s="361"/>
      <c r="E901" s="352"/>
      <c r="F901" s="161"/>
      <c r="G901" s="225"/>
      <c r="H901" s="225"/>
      <c r="I901" s="180"/>
      <c r="J901" s="181"/>
      <c r="K901" s="181"/>
      <c r="L901" s="181"/>
      <c r="M901" s="164"/>
      <c r="N901" s="180"/>
      <c r="O901" s="180"/>
      <c r="P901" s="182"/>
      <c r="Q901" s="104"/>
      <c r="R901" s="358"/>
      <c r="S901" s="104"/>
    </row>
    <row r="902" spans="1:19" ht="29.25" customHeight="1">
      <c r="A902" s="224"/>
      <c r="B902" s="359"/>
      <c r="C902" s="360"/>
      <c r="D902" s="361"/>
      <c r="E902" s="362"/>
      <c r="F902" s="161"/>
      <c r="G902" s="225"/>
      <c r="H902" s="225"/>
      <c r="I902" s="180"/>
      <c r="J902" s="181"/>
      <c r="K902" s="181"/>
      <c r="L902" s="181"/>
      <c r="M902" s="164"/>
      <c r="N902" s="180"/>
      <c r="O902" s="180"/>
      <c r="P902" s="182"/>
      <c r="Q902" s="104"/>
      <c r="R902" s="363"/>
      <c r="S902" s="104"/>
    </row>
    <row r="903" spans="1:19" ht="29.25" customHeight="1">
      <c r="A903" s="224"/>
      <c r="B903" s="359"/>
      <c r="C903" s="360"/>
      <c r="D903" s="361"/>
      <c r="E903" s="352"/>
      <c r="F903" s="161"/>
      <c r="G903" s="225"/>
      <c r="H903" s="225"/>
      <c r="I903" s="180"/>
      <c r="J903" s="181"/>
      <c r="K903" s="181"/>
      <c r="L903" s="181"/>
      <c r="M903" s="164"/>
      <c r="N903" s="180"/>
      <c r="O903" s="180"/>
      <c r="P903" s="182"/>
      <c r="Q903" s="104"/>
      <c r="R903" s="358"/>
      <c r="S903" s="104"/>
    </row>
    <row r="904" spans="1:19" ht="29.25" customHeight="1">
      <c r="A904" s="224"/>
      <c r="B904" s="359"/>
      <c r="C904" s="360"/>
      <c r="D904" s="361"/>
      <c r="E904" s="362"/>
      <c r="F904" s="161"/>
      <c r="G904" s="225"/>
      <c r="H904" s="225"/>
      <c r="I904" s="180"/>
      <c r="J904" s="181"/>
      <c r="K904" s="181"/>
      <c r="L904" s="181"/>
      <c r="M904" s="164"/>
      <c r="N904" s="180"/>
      <c r="O904" s="180"/>
      <c r="P904" s="182"/>
      <c r="Q904" s="104"/>
      <c r="R904" s="363"/>
      <c r="S904" s="104"/>
    </row>
    <row r="905" spans="1:19" ht="29.25" customHeight="1">
      <c r="A905" s="224"/>
      <c r="B905" s="359"/>
      <c r="C905" s="360"/>
      <c r="D905" s="361"/>
      <c r="E905" s="352"/>
      <c r="F905" s="161"/>
      <c r="G905" s="225"/>
      <c r="H905" s="225"/>
      <c r="I905" s="180"/>
      <c r="J905" s="181"/>
      <c r="K905" s="181"/>
      <c r="L905" s="181"/>
      <c r="M905" s="164"/>
      <c r="N905" s="180"/>
      <c r="O905" s="180"/>
      <c r="P905" s="182"/>
      <c r="Q905" s="104"/>
      <c r="R905" s="358"/>
      <c r="S905" s="104"/>
    </row>
    <row r="906" spans="1:19" ht="29.25" customHeight="1">
      <c r="A906" s="224"/>
      <c r="B906" s="359"/>
      <c r="C906" s="360"/>
      <c r="D906" s="361"/>
      <c r="E906" s="362"/>
      <c r="F906" s="161"/>
      <c r="G906" s="225"/>
      <c r="H906" s="225"/>
      <c r="I906" s="180"/>
      <c r="J906" s="181"/>
      <c r="K906" s="181"/>
      <c r="L906" s="181"/>
      <c r="M906" s="164"/>
      <c r="N906" s="180"/>
      <c r="O906" s="180"/>
      <c r="P906" s="182"/>
      <c r="Q906" s="104"/>
      <c r="R906" s="363"/>
      <c r="S906" s="104"/>
    </row>
    <row r="907" spans="1:19" ht="29.25" customHeight="1">
      <c r="A907" s="224"/>
      <c r="B907" s="359"/>
      <c r="C907" s="360"/>
      <c r="D907" s="361"/>
      <c r="E907" s="352"/>
      <c r="F907" s="161"/>
      <c r="G907" s="225"/>
      <c r="H907" s="225"/>
      <c r="I907" s="180"/>
      <c r="J907" s="181"/>
      <c r="K907" s="181"/>
      <c r="L907" s="181"/>
      <c r="M907" s="164"/>
      <c r="N907" s="180"/>
      <c r="O907" s="180"/>
      <c r="P907" s="182"/>
      <c r="Q907" s="104"/>
      <c r="R907" s="358"/>
      <c r="S907" s="104"/>
    </row>
    <row r="908" spans="1:19" ht="29.25" customHeight="1">
      <c r="A908" s="224"/>
      <c r="B908" s="359"/>
      <c r="C908" s="360"/>
      <c r="D908" s="361"/>
      <c r="E908" s="362"/>
      <c r="F908" s="161"/>
      <c r="G908" s="225"/>
      <c r="H908" s="225"/>
      <c r="I908" s="180"/>
      <c r="J908" s="181"/>
      <c r="K908" s="181"/>
      <c r="L908" s="181"/>
      <c r="M908" s="164"/>
      <c r="N908" s="180"/>
      <c r="O908" s="180"/>
      <c r="P908" s="182"/>
      <c r="Q908" s="104"/>
      <c r="R908" s="363"/>
      <c r="S908" s="104"/>
    </row>
    <row r="909" spans="1:19" ht="29.25" customHeight="1">
      <c r="A909" s="224"/>
      <c r="B909" s="359"/>
      <c r="C909" s="360"/>
      <c r="D909" s="361"/>
      <c r="E909" s="352"/>
      <c r="F909" s="161"/>
      <c r="G909" s="225"/>
      <c r="H909" s="225"/>
      <c r="I909" s="180"/>
      <c r="J909" s="181"/>
      <c r="K909" s="181"/>
      <c r="L909" s="181"/>
      <c r="M909" s="164"/>
      <c r="N909" s="180"/>
      <c r="O909" s="180"/>
      <c r="P909" s="182"/>
      <c r="Q909" s="104"/>
      <c r="R909" s="358"/>
      <c r="S909" s="104"/>
    </row>
    <row r="910" spans="1:19" ht="29.25" customHeight="1">
      <c r="A910" s="224"/>
      <c r="B910" s="359"/>
      <c r="C910" s="360"/>
      <c r="D910" s="361"/>
      <c r="E910" s="362"/>
      <c r="F910" s="161"/>
      <c r="G910" s="225"/>
      <c r="H910" s="225"/>
      <c r="I910" s="180"/>
      <c r="J910" s="181"/>
      <c r="K910" s="181"/>
      <c r="L910" s="181"/>
      <c r="M910" s="164"/>
      <c r="N910" s="180"/>
      <c r="O910" s="180"/>
      <c r="P910" s="182"/>
      <c r="Q910" s="104"/>
      <c r="R910" s="363"/>
      <c r="S910" s="104"/>
    </row>
    <row r="911" spans="1:19" ht="29.25" customHeight="1">
      <c r="A911" s="224"/>
      <c r="B911" s="359"/>
      <c r="C911" s="360"/>
      <c r="D911" s="361"/>
      <c r="E911" s="352"/>
      <c r="F911" s="161"/>
      <c r="G911" s="225"/>
      <c r="H911" s="225"/>
      <c r="I911" s="180"/>
      <c r="J911" s="181"/>
      <c r="K911" s="181"/>
      <c r="L911" s="181"/>
      <c r="M911" s="164"/>
      <c r="N911" s="180"/>
      <c r="O911" s="180"/>
      <c r="P911" s="182"/>
      <c r="Q911" s="104"/>
      <c r="R911" s="358"/>
      <c r="S911" s="104"/>
    </row>
    <row r="912" spans="1:19" ht="29.25" customHeight="1">
      <c r="A912" s="224"/>
      <c r="B912" s="359"/>
      <c r="C912" s="360"/>
      <c r="D912" s="361"/>
      <c r="E912" s="362"/>
      <c r="F912" s="161"/>
      <c r="G912" s="225"/>
      <c r="H912" s="225"/>
      <c r="I912" s="180"/>
      <c r="J912" s="181"/>
      <c r="K912" s="181"/>
      <c r="L912" s="181"/>
      <c r="M912" s="164"/>
      <c r="N912" s="180"/>
      <c r="O912" s="180"/>
      <c r="P912" s="182"/>
      <c r="Q912" s="104"/>
      <c r="R912" s="363"/>
      <c r="S912" s="104"/>
    </row>
    <row r="913" spans="1:19" ht="29.25" customHeight="1">
      <c r="A913" s="224"/>
      <c r="B913" s="359"/>
      <c r="C913" s="360"/>
      <c r="D913" s="361"/>
      <c r="E913" s="352"/>
      <c r="F913" s="161"/>
      <c r="G913" s="225"/>
      <c r="H913" s="225"/>
      <c r="I913" s="180"/>
      <c r="J913" s="181"/>
      <c r="K913" s="181"/>
      <c r="L913" s="181"/>
      <c r="M913" s="164"/>
      <c r="N913" s="180"/>
      <c r="O913" s="180"/>
      <c r="P913" s="182"/>
      <c r="Q913" s="104"/>
      <c r="R913" s="358"/>
      <c r="S913" s="104"/>
    </row>
    <row r="914" spans="1:19" ht="29.25" customHeight="1">
      <c r="A914" s="224"/>
      <c r="B914" s="359"/>
      <c r="C914" s="360"/>
      <c r="D914" s="361"/>
      <c r="E914" s="362"/>
      <c r="F914" s="161"/>
      <c r="G914" s="225"/>
      <c r="H914" s="225"/>
      <c r="I914" s="180"/>
      <c r="J914" s="181"/>
      <c r="K914" s="181"/>
      <c r="L914" s="181"/>
      <c r="M914" s="164"/>
      <c r="N914" s="180"/>
      <c r="O914" s="180"/>
      <c r="P914" s="182"/>
      <c r="Q914" s="104"/>
      <c r="R914" s="363"/>
      <c r="S914" s="104"/>
    </row>
    <row r="915" spans="1:19" ht="29.25" customHeight="1">
      <c r="A915" s="224"/>
      <c r="B915" s="359"/>
      <c r="C915" s="360"/>
      <c r="D915" s="361"/>
      <c r="E915" s="352"/>
      <c r="F915" s="161"/>
      <c r="G915" s="225"/>
      <c r="H915" s="225"/>
      <c r="I915" s="180"/>
      <c r="J915" s="181"/>
      <c r="K915" s="181"/>
      <c r="L915" s="181"/>
      <c r="M915" s="164"/>
      <c r="N915" s="180"/>
      <c r="O915" s="180"/>
      <c r="P915" s="182"/>
      <c r="Q915" s="104"/>
      <c r="R915" s="358"/>
      <c r="S915" s="104"/>
    </row>
    <row r="916" spans="1:19" ht="29.25" customHeight="1">
      <c r="A916" s="224"/>
      <c r="B916" s="359"/>
      <c r="C916" s="360"/>
      <c r="D916" s="361"/>
      <c r="E916" s="362"/>
      <c r="F916" s="161"/>
      <c r="G916" s="225"/>
      <c r="H916" s="225"/>
      <c r="I916" s="180"/>
      <c r="J916" s="181"/>
      <c r="K916" s="181"/>
      <c r="L916" s="181"/>
      <c r="M916" s="164"/>
      <c r="N916" s="180"/>
      <c r="O916" s="180"/>
      <c r="P916" s="182"/>
      <c r="Q916" s="104"/>
      <c r="R916" s="363"/>
      <c r="S916" s="104"/>
    </row>
    <row r="917" spans="1:19" ht="29.25" customHeight="1">
      <c r="A917" s="224"/>
      <c r="B917" s="359"/>
      <c r="C917" s="360"/>
      <c r="D917" s="361"/>
      <c r="E917" s="352"/>
      <c r="F917" s="161"/>
      <c r="G917" s="225"/>
      <c r="H917" s="225"/>
      <c r="I917" s="180"/>
      <c r="J917" s="181"/>
      <c r="K917" s="181"/>
      <c r="L917" s="181"/>
      <c r="M917" s="164"/>
      <c r="N917" s="180"/>
      <c r="O917" s="180"/>
      <c r="P917" s="182"/>
      <c r="Q917" s="104"/>
      <c r="R917" s="358"/>
      <c r="S917" s="104"/>
    </row>
    <row r="918" spans="1:19" ht="29.25" customHeight="1">
      <c r="A918" s="224"/>
      <c r="B918" s="359"/>
      <c r="C918" s="360"/>
      <c r="D918" s="361"/>
      <c r="E918" s="362"/>
      <c r="F918" s="161"/>
      <c r="G918" s="225"/>
      <c r="H918" s="225"/>
      <c r="I918" s="180"/>
      <c r="J918" s="181"/>
      <c r="K918" s="181"/>
      <c r="L918" s="181"/>
      <c r="M918" s="164"/>
      <c r="N918" s="180"/>
      <c r="O918" s="180"/>
      <c r="P918" s="182"/>
      <c r="Q918" s="104"/>
      <c r="R918" s="363"/>
      <c r="S918" s="104"/>
    </row>
    <row r="919" spans="1:19" ht="29.25" customHeight="1">
      <c r="A919" s="224"/>
      <c r="B919" s="359"/>
      <c r="C919" s="360"/>
      <c r="D919" s="361"/>
      <c r="E919" s="352"/>
      <c r="F919" s="161"/>
      <c r="G919" s="225"/>
      <c r="H919" s="225"/>
      <c r="I919" s="180"/>
      <c r="J919" s="181"/>
      <c r="K919" s="181"/>
      <c r="L919" s="181"/>
      <c r="M919" s="164"/>
      <c r="N919" s="180"/>
      <c r="O919" s="180"/>
      <c r="P919" s="182"/>
      <c r="Q919" s="104"/>
      <c r="R919" s="358"/>
      <c r="S919" s="104"/>
    </row>
    <row r="920" spans="1:19" ht="29.25" customHeight="1">
      <c r="A920" s="224"/>
      <c r="B920" s="359"/>
      <c r="C920" s="360"/>
      <c r="D920" s="361"/>
      <c r="E920" s="362"/>
      <c r="F920" s="161"/>
      <c r="G920" s="225"/>
      <c r="H920" s="225"/>
      <c r="I920" s="180"/>
      <c r="J920" s="181"/>
      <c r="K920" s="181"/>
      <c r="L920" s="181"/>
      <c r="M920" s="164"/>
      <c r="N920" s="180"/>
      <c r="O920" s="180"/>
      <c r="P920" s="182"/>
      <c r="Q920" s="104"/>
      <c r="R920" s="363"/>
      <c r="S920" s="104"/>
    </row>
    <row r="921" spans="1:19" ht="29.25" customHeight="1">
      <c r="A921" s="224"/>
      <c r="B921" s="359"/>
      <c r="C921" s="360"/>
      <c r="D921" s="361"/>
      <c r="E921" s="352"/>
      <c r="F921" s="161"/>
      <c r="G921" s="225"/>
      <c r="H921" s="225"/>
      <c r="I921" s="180"/>
      <c r="J921" s="181"/>
      <c r="K921" s="181"/>
      <c r="L921" s="181"/>
      <c r="M921" s="164"/>
      <c r="N921" s="180"/>
      <c r="O921" s="180"/>
      <c r="P921" s="182"/>
      <c r="Q921" s="104"/>
      <c r="R921" s="358"/>
      <c r="S921" s="104"/>
    </row>
    <row r="922" spans="1:19" ht="29.25" customHeight="1">
      <c r="A922" s="224"/>
      <c r="B922" s="359"/>
      <c r="C922" s="360"/>
      <c r="D922" s="361"/>
      <c r="E922" s="362"/>
      <c r="F922" s="161"/>
      <c r="G922" s="225"/>
      <c r="H922" s="225"/>
      <c r="I922" s="180"/>
      <c r="J922" s="181"/>
      <c r="K922" s="181"/>
      <c r="L922" s="181"/>
      <c r="M922" s="164"/>
      <c r="N922" s="180"/>
      <c r="O922" s="180"/>
      <c r="P922" s="182"/>
      <c r="Q922" s="104"/>
      <c r="R922" s="363"/>
      <c r="S922" s="104"/>
    </row>
    <row r="923" spans="1:19" ht="29.25" customHeight="1">
      <c r="A923" s="224"/>
      <c r="B923" s="359"/>
      <c r="C923" s="360"/>
      <c r="D923" s="361"/>
      <c r="E923" s="352"/>
      <c r="F923" s="161"/>
      <c r="G923" s="225"/>
      <c r="H923" s="225"/>
      <c r="I923" s="180"/>
      <c r="J923" s="181"/>
      <c r="K923" s="181"/>
      <c r="L923" s="181"/>
      <c r="M923" s="164"/>
      <c r="N923" s="180"/>
      <c r="O923" s="180"/>
      <c r="P923" s="182"/>
      <c r="Q923" s="104"/>
      <c r="R923" s="358"/>
      <c r="S923" s="104"/>
    </row>
    <row r="924" spans="1:19" ht="29.25" customHeight="1">
      <c r="A924" s="224"/>
      <c r="B924" s="359"/>
      <c r="C924" s="360"/>
      <c r="D924" s="361"/>
      <c r="E924" s="362"/>
      <c r="F924" s="161"/>
      <c r="G924" s="225"/>
      <c r="H924" s="225"/>
      <c r="I924" s="180"/>
      <c r="J924" s="181"/>
      <c r="K924" s="181"/>
      <c r="L924" s="181"/>
      <c r="M924" s="164"/>
      <c r="N924" s="180"/>
      <c r="O924" s="180"/>
      <c r="P924" s="182"/>
      <c r="Q924" s="104"/>
      <c r="R924" s="363"/>
      <c r="S924" s="104"/>
    </row>
    <row r="925" spans="1:19" ht="29.25" customHeight="1">
      <c r="A925" s="224"/>
      <c r="B925" s="359"/>
      <c r="C925" s="360"/>
      <c r="D925" s="361"/>
      <c r="E925" s="352"/>
      <c r="F925" s="161"/>
      <c r="G925" s="225"/>
      <c r="H925" s="225"/>
      <c r="I925" s="180"/>
      <c r="J925" s="181"/>
      <c r="K925" s="181"/>
      <c r="L925" s="181"/>
      <c r="M925" s="164"/>
      <c r="N925" s="180"/>
      <c r="O925" s="180"/>
      <c r="P925" s="182"/>
      <c r="Q925" s="104"/>
      <c r="R925" s="358"/>
      <c r="S925" s="104"/>
    </row>
    <row r="926" spans="1:19" ht="29.25" customHeight="1">
      <c r="A926" s="224"/>
      <c r="B926" s="359"/>
      <c r="C926" s="360"/>
      <c r="D926" s="361"/>
      <c r="E926" s="362"/>
      <c r="F926" s="161"/>
      <c r="G926" s="225"/>
      <c r="H926" s="225"/>
      <c r="I926" s="180"/>
      <c r="J926" s="181"/>
      <c r="K926" s="181"/>
      <c r="L926" s="181"/>
      <c r="M926" s="164"/>
      <c r="N926" s="180"/>
      <c r="O926" s="180"/>
      <c r="P926" s="182"/>
      <c r="Q926" s="104"/>
      <c r="R926" s="363"/>
      <c r="S926" s="104"/>
    </row>
    <row r="927" spans="1:19" ht="29.25" customHeight="1">
      <c r="A927" s="224"/>
      <c r="B927" s="359"/>
      <c r="C927" s="360"/>
      <c r="D927" s="361"/>
      <c r="E927" s="352"/>
      <c r="F927" s="161"/>
      <c r="G927" s="225"/>
      <c r="H927" s="225"/>
      <c r="I927" s="180"/>
      <c r="J927" s="181"/>
      <c r="K927" s="181"/>
      <c r="L927" s="181"/>
      <c r="M927" s="164"/>
      <c r="N927" s="180"/>
      <c r="O927" s="180"/>
      <c r="P927" s="182"/>
      <c r="Q927" s="104"/>
      <c r="R927" s="358"/>
      <c r="S927" s="104"/>
    </row>
    <row r="928" spans="1:19" ht="29.25" customHeight="1">
      <c r="A928" s="224"/>
      <c r="B928" s="359"/>
      <c r="C928" s="360"/>
      <c r="D928" s="361"/>
      <c r="E928" s="362"/>
      <c r="F928" s="161"/>
      <c r="G928" s="225"/>
      <c r="H928" s="225"/>
      <c r="I928" s="180"/>
      <c r="J928" s="181"/>
      <c r="K928" s="181"/>
      <c r="L928" s="181"/>
      <c r="M928" s="164"/>
      <c r="N928" s="180"/>
      <c r="O928" s="180"/>
      <c r="P928" s="182"/>
      <c r="Q928" s="104"/>
      <c r="R928" s="363"/>
      <c r="S928" s="104"/>
    </row>
    <row r="929" spans="1:19" ht="29.25" customHeight="1">
      <c r="A929" s="224"/>
      <c r="B929" s="359"/>
      <c r="C929" s="360"/>
      <c r="D929" s="361"/>
      <c r="E929" s="352"/>
      <c r="F929" s="161"/>
      <c r="G929" s="225"/>
      <c r="H929" s="225"/>
      <c r="I929" s="180"/>
      <c r="J929" s="181"/>
      <c r="K929" s="181"/>
      <c r="L929" s="181"/>
      <c r="M929" s="164"/>
      <c r="N929" s="180"/>
      <c r="O929" s="180"/>
      <c r="P929" s="182"/>
      <c r="Q929" s="104"/>
      <c r="R929" s="358"/>
      <c r="S929" s="104"/>
    </row>
    <row r="930" spans="1:19" ht="29.25" customHeight="1">
      <c r="A930" s="224"/>
      <c r="B930" s="359"/>
      <c r="C930" s="360"/>
      <c r="D930" s="361"/>
      <c r="E930" s="362"/>
      <c r="F930" s="161"/>
      <c r="G930" s="225"/>
      <c r="H930" s="225"/>
      <c r="I930" s="180"/>
      <c r="J930" s="181"/>
      <c r="K930" s="181"/>
      <c r="L930" s="181"/>
      <c r="M930" s="164"/>
      <c r="N930" s="180"/>
      <c r="O930" s="180"/>
      <c r="P930" s="182"/>
      <c r="Q930" s="104"/>
      <c r="R930" s="363"/>
      <c r="S930" s="104"/>
    </row>
    <row r="931" spans="1:19" ht="29.25" customHeight="1">
      <c r="A931" s="224"/>
      <c r="B931" s="359"/>
      <c r="C931" s="360"/>
      <c r="D931" s="361"/>
      <c r="E931" s="352"/>
      <c r="F931" s="161"/>
      <c r="G931" s="225"/>
      <c r="H931" s="225"/>
      <c r="I931" s="180"/>
      <c r="J931" s="181"/>
      <c r="K931" s="181"/>
      <c r="L931" s="181"/>
      <c r="M931" s="164"/>
      <c r="N931" s="180"/>
      <c r="O931" s="180"/>
      <c r="P931" s="182"/>
      <c r="Q931" s="104"/>
      <c r="R931" s="358"/>
      <c r="S931" s="104"/>
    </row>
    <row r="932" spans="1:19" ht="29.25" customHeight="1">
      <c r="A932" s="224"/>
      <c r="B932" s="359"/>
      <c r="C932" s="360"/>
      <c r="D932" s="361"/>
      <c r="E932" s="362"/>
      <c r="F932" s="161"/>
      <c r="G932" s="225"/>
      <c r="H932" s="225"/>
      <c r="I932" s="180"/>
      <c r="J932" s="181"/>
      <c r="K932" s="181"/>
      <c r="L932" s="181"/>
      <c r="M932" s="164"/>
      <c r="N932" s="180"/>
      <c r="O932" s="180"/>
      <c r="P932" s="182"/>
      <c r="Q932" s="104"/>
      <c r="R932" s="363"/>
      <c r="S932" s="104"/>
    </row>
    <row r="933" spans="1:19" ht="29.25" customHeight="1">
      <c r="A933" s="224"/>
      <c r="B933" s="359"/>
      <c r="C933" s="360"/>
      <c r="D933" s="361"/>
      <c r="E933" s="352"/>
      <c r="F933" s="161"/>
      <c r="G933" s="225"/>
      <c r="H933" s="225"/>
      <c r="I933" s="180"/>
      <c r="J933" s="181"/>
      <c r="K933" s="181"/>
      <c r="L933" s="181"/>
      <c r="M933" s="164"/>
      <c r="N933" s="180"/>
      <c r="O933" s="180"/>
      <c r="P933" s="182"/>
      <c r="Q933" s="104"/>
      <c r="R933" s="358"/>
      <c r="S933" s="104"/>
    </row>
    <row r="934" spans="1:19" ht="29.25" customHeight="1">
      <c r="A934" s="224"/>
      <c r="B934" s="359"/>
      <c r="C934" s="360"/>
      <c r="D934" s="361"/>
      <c r="E934" s="362"/>
      <c r="F934" s="161"/>
      <c r="G934" s="225"/>
      <c r="H934" s="225"/>
      <c r="I934" s="180"/>
      <c r="J934" s="181"/>
      <c r="K934" s="181"/>
      <c r="L934" s="181"/>
      <c r="M934" s="164"/>
      <c r="N934" s="180"/>
      <c r="O934" s="180"/>
      <c r="P934" s="182"/>
      <c r="Q934" s="104"/>
      <c r="R934" s="363"/>
      <c r="S934" s="104"/>
    </row>
    <row r="935" spans="1:19" ht="29.25" customHeight="1">
      <c r="A935" s="224"/>
      <c r="B935" s="359"/>
      <c r="C935" s="360"/>
      <c r="D935" s="361"/>
      <c r="E935" s="352"/>
      <c r="F935" s="161"/>
      <c r="G935" s="225"/>
      <c r="H935" s="225"/>
      <c r="I935" s="180"/>
      <c r="J935" s="181"/>
      <c r="K935" s="181"/>
      <c r="L935" s="181"/>
      <c r="M935" s="164"/>
      <c r="N935" s="180"/>
      <c r="O935" s="180"/>
      <c r="P935" s="182"/>
      <c r="Q935" s="104"/>
      <c r="R935" s="358"/>
      <c r="S935" s="104"/>
    </row>
    <row r="936" spans="1:19" ht="29.25" customHeight="1">
      <c r="A936" s="224"/>
      <c r="B936" s="359"/>
      <c r="C936" s="360"/>
      <c r="D936" s="361"/>
      <c r="E936" s="362"/>
      <c r="F936" s="161"/>
      <c r="G936" s="225"/>
      <c r="H936" s="225"/>
      <c r="I936" s="180"/>
      <c r="J936" s="181"/>
      <c r="K936" s="181"/>
      <c r="L936" s="181"/>
      <c r="M936" s="164"/>
      <c r="N936" s="180"/>
      <c r="O936" s="180"/>
      <c r="P936" s="182"/>
      <c r="Q936" s="104"/>
      <c r="R936" s="363"/>
      <c r="S936" s="104"/>
    </row>
    <row r="937" spans="1:19" ht="29.25" customHeight="1">
      <c r="A937" s="224"/>
      <c r="B937" s="359"/>
      <c r="C937" s="360"/>
      <c r="D937" s="361"/>
      <c r="E937" s="352"/>
      <c r="F937" s="161"/>
      <c r="G937" s="225"/>
      <c r="H937" s="225"/>
      <c r="I937" s="180"/>
      <c r="J937" s="181"/>
      <c r="K937" s="181"/>
      <c r="L937" s="181"/>
      <c r="M937" s="164"/>
      <c r="N937" s="180"/>
      <c r="O937" s="180"/>
      <c r="P937" s="182"/>
      <c r="Q937" s="104"/>
      <c r="R937" s="358"/>
      <c r="S937" s="104"/>
    </row>
    <row r="938" spans="1:19" ht="29.25" customHeight="1">
      <c r="A938" s="224"/>
      <c r="B938" s="359"/>
      <c r="C938" s="360"/>
      <c r="D938" s="361"/>
      <c r="E938" s="362"/>
      <c r="F938" s="161"/>
      <c r="G938" s="225"/>
      <c r="H938" s="225"/>
      <c r="I938" s="180"/>
      <c r="J938" s="181"/>
      <c r="K938" s="181"/>
      <c r="L938" s="181"/>
      <c r="M938" s="164"/>
      <c r="N938" s="180"/>
      <c r="O938" s="180"/>
      <c r="P938" s="182"/>
      <c r="Q938" s="104"/>
      <c r="R938" s="363"/>
      <c r="S938" s="104"/>
    </row>
    <row r="939" spans="1:19" ht="29.25" customHeight="1">
      <c r="A939" s="224"/>
      <c r="B939" s="359"/>
      <c r="C939" s="360"/>
      <c r="D939" s="361"/>
      <c r="E939" s="352"/>
      <c r="F939" s="161"/>
      <c r="G939" s="225"/>
      <c r="H939" s="225"/>
      <c r="I939" s="180"/>
      <c r="J939" s="181"/>
      <c r="K939" s="181"/>
      <c r="L939" s="181"/>
      <c r="M939" s="164"/>
      <c r="N939" s="180"/>
      <c r="O939" s="180"/>
      <c r="P939" s="182"/>
      <c r="Q939" s="104"/>
      <c r="R939" s="358"/>
      <c r="S939" s="104"/>
    </row>
    <row r="940" spans="1:19" ht="29.25" customHeight="1">
      <c r="A940" s="224"/>
      <c r="B940" s="359"/>
      <c r="C940" s="360"/>
      <c r="D940" s="361"/>
      <c r="E940" s="362"/>
      <c r="F940" s="161"/>
      <c r="G940" s="225"/>
      <c r="H940" s="225"/>
      <c r="I940" s="180"/>
      <c r="J940" s="181"/>
      <c r="K940" s="181"/>
      <c r="L940" s="181"/>
      <c r="M940" s="164"/>
      <c r="N940" s="180"/>
      <c r="O940" s="180"/>
      <c r="P940" s="182"/>
      <c r="Q940" s="104"/>
      <c r="R940" s="363"/>
      <c r="S940" s="104"/>
    </row>
    <row r="941" spans="1:19" ht="29.25" customHeight="1">
      <c r="A941" s="224"/>
      <c r="B941" s="359"/>
      <c r="C941" s="360"/>
      <c r="D941" s="361"/>
      <c r="E941" s="352"/>
      <c r="F941" s="161"/>
      <c r="G941" s="225"/>
      <c r="H941" s="225"/>
      <c r="I941" s="180"/>
      <c r="J941" s="181"/>
      <c r="K941" s="181"/>
      <c r="L941" s="181"/>
      <c r="M941" s="164"/>
      <c r="N941" s="180"/>
      <c r="O941" s="180"/>
      <c r="P941" s="182"/>
      <c r="Q941" s="104"/>
      <c r="R941" s="358"/>
      <c r="S941" s="104"/>
    </row>
    <row r="942" spans="1:19" ht="29.25" customHeight="1">
      <c r="A942" s="224"/>
      <c r="B942" s="359"/>
      <c r="C942" s="360"/>
      <c r="D942" s="361"/>
      <c r="E942" s="362"/>
      <c r="F942" s="161"/>
      <c r="G942" s="225"/>
      <c r="H942" s="225"/>
      <c r="I942" s="180"/>
      <c r="J942" s="181"/>
      <c r="K942" s="181"/>
      <c r="L942" s="181"/>
      <c r="M942" s="164"/>
      <c r="N942" s="180"/>
      <c r="O942" s="180"/>
      <c r="P942" s="182"/>
      <c r="Q942" s="104"/>
      <c r="R942" s="363"/>
      <c r="S942" s="104"/>
    </row>
    <row r="943" spans="1:19" ht="29.25" customHeight="1">
      <c r="A943" s="224"/>
      <c r="B943" s="359"/>
      <c r="C943" s="360"/>
      <c r="D943" s="361"/>
      <c r="E943" s="352"/>
      <c r="F943" s="161"/>
      <c r="G943" s="225"/>
      <c r="H943" s="225"/>
      <c r="I943" s="180"/>
      <c r="J943" s="181"/>
      <c r="K943" s="181"/>
      <c r="L943" s="181"/>
      <c r="M943" s="164"/>
      <c r="N943" s="180"/>
      <c r="O943" s="180"/>
      <c r="P943" s="182"/>
      <c r="Q943" s="104"/>
      <c r="R943" s="358"/>
      <c r="S943" s="104"/>
    </row>
    <row r="944" spans="1:19" ht="29.25" customHeight="1">
      <c r="A944" s="224"/>
      <c r="B944" s="359"/>
      <c r="C944" s="360"/>
      <c r="D944" s="361"/>
      <c r="E944" s="362"/>
      <c r="F944" s="161"/>
      <c r="G944" s="225"/>
      <c r="H944" s="225"/>
      <c r="I944" s="180"/>
      <c r="J944" s="181"/>
      <c r="K944" s="181"/>
      <c r="L944" s="181"/>
      <c r="M944" s="164"/>
      <c r="N944" s="180"/>
      <c r="O944" s="180"/>
      <c r="P944" s="182"/>
      <c r="Q944" s="104"/>
      <c r="R944" s="363"/>
      <c r="S944" s="104"/>
    </row>
    <row r="945" spans="1:19" ht="29.25" customHeight="1">
      <c r="A945" s="224"/>
      <c r="B945" s="359"/>
      <c r="C945" s="360"/>
      <c r="D945" s="361"/>
      <c r="E945" s="352"/>
      <c r="F945" s="161"/>
      <c r="G945" s="225"/>
      <c r="H945" s="225"/>
      <c r="I945" s="180"/>
      <c r="J945" s="181"/>
      <c r="K945" s="181"/>
      <c r="L945" s="181"/>
      <c r="M945" s="164"/>
      <c r="N945" s="180"/>
      <c r="O945" s="180"/>
      <c r="P945" s="182"/>
      <c r="Q945" s="104"/>
      <c r="R945" s="358"/>
      <c r="S945" s="104"/>
    </row>
    <row r="946" spans="1:19" ht="29.25" customHeight="1">
      <c r="A946" s="224"/>
      <c r="B946" s="359"/>
      <c r="C946" s="360"/>
      <c r="D946" s="361"/>
      <c r="E946" s="362"/>
      <c r="F946" s="161"/>
      <c r="G946" s="225"/>
      <c r="H946" s="225"/>
      <c r="I946" s="180"/>
      <c r="J946" s="181"/>
      <c r="K946" s="181"/>
      <c r="L946" s="181"/>
      <c r="M946" s="164"/>
      <c r="N946" s="180"/>
      <c r="O946" s="180"/>
      <c r="P946" s="182"/>
      <c r="Q946" s="104"/>
      <c r="R946" s="363"/>
      <c r="S946" s="104"/>
    </row>
    <row r="947" spans="1:19" ht="29.25" customHeight="1">
      <c r="A947" s="224"/>
      <c r="B947" s="359"/>
      <c r="C947" s="360"/>
      <c r="D947" s="361"/>
      <c r="E947" s="352"/>
      <c r="F947" s="161"/>
      <c r="G947" s="225"/>
      <c r="H947" s="225"/>
      <c r="I947" s="180"/>
      <c r="J947" s="181"/>
      <c r="K947" s="181"/>
      <c r="L947" s="181"/>
      <c r="M947" s="164"/>
      <c r="N947" s="180"/>
      <c r="O947" s="180"/>
      <c r="P947" s="182"/>
      <c r="Q947" s="104"/>
      <c r="R947" s="358"/>
      <c r="S947" s="104"/>
    </row>
    <row r="948" spans="1:19" ht="29.25" customHeight="1">
      <c r="A948" s="224"/>
      <c r="B948" s="359"/>
      <c r="C948" s="360"/>
      <c r="D948" s="361"/>
      <c r="E948" s="362"/>
      <c r="F948" s="161"/>
      <c r="G948" s="225"/>
      <c r="H948" s="225"/>
      <c r="I948" s="180"/>
      <c r="J948" s="181"/>
      <c r="K948" s="181"/>
      <c r="L948" s="181"/>
      <c r="M948" s="164"/>
      <c r="N948" s="180"/>
      <c r="O948" s="180"/>
      <c r="P948" s="182"/>
      <c r="Q948" s="104"/>
      <c r="R948" s="363"/>
      <c r="S948" s="104"/>
    </row>
    <row r="949" spans="1:19" ht="29.25" customHeight="1">
      <c r="A949" s="224"/>
      <c r="B949" s="359"/>
      <c r="C949" s="360"/>
      <c r="D949" s="361"/>
      <c r="E949" s="352"/>
      <c r="F949" s="161"/>
      <c r="G949" s="225"/>
      <c r="H949" s="225"/>
      <c r="I949" s="180"/>
      <c r="J949" s="181"/>
      <c r="K949" s="181"/>
      <c r="L949" s="181"/>
      <c r="M949" s="164"/>
      <c r="N949" s="180"/>
      <c r="O949" s="180"/>
      <c r="P949" s="182"/>
      <c r="Q949" s="104"/>
      <c r="R949" s="358"/>
      <c r="S949" s="104"/>
    </row>
    <row r="950" spans="1:19" ht="29.25" customHeight="1">
      <c r="A950" s="224"/>
      <c r="B950" s="359"/>
      <c r="C950" s="360"/>
      <c r="D950" s="361"/>
      <c r="E950" s="362"/>
      <c r="F950" s="161"/>
      <c r="G950" s="225"/>
      <c r="H950" s="225"/>
      <c r="I950" s="180"/>
      <c r="J950" s="181"/>
      <c r="K950" s="181"/>
      <c r="L950" s="181"/>
      <c r="M950" s="164"/>
      <c r="N950" s="180"/>
      <c r="O950" s="180"/>
      <c r="P950" s="182"/>
      <c r="Q950" s="104"/>
      <c r="R950" s="363"/>
      <c r="S950" s="104"/>
    </row>
    <row r="951" spans="1:19" ht="29.25" customHeight="1">
      <c r="A951" s="224"/>
      <c r="B951" s="359"/>
      <c r="C951" s="360"/>
      <c r="D951" s="361"/>
      <c r="E951" s="352"/>
      <c r="F951" s="161"/>
      <c r="G951" s="225"/>
      <c r="H951" s="225"/>
      <c r="I951" s="180"/>
      <c r="J951" s="181"/>
      <c r="K951" s="181"/>
      <c r="L951" s="181"/>
      <c r="M951" s="164"/>
      <c r="N951" s="180"/>
      <c r="O951" s="180"/>
      <c r="P951" s="182"/>
      <c r="Q951" s="104"/>
      <c r="R951" s="358"/>
      <c r="S951" s="104"/>
    </row>
    <row r="952" spans="1:19" ht="29.25" customHeight="1">
      <c r="A952" s="224"/>
      <c r="B952" s="359"/>
      <c r="C952" s="360"/>
      <c r="D952" s="361"/>
      <c r="E952" s="362"/>
      <c r="F952" s="161"/>
      <c r="G952" s="225"/>
      <c r="H952" s="225"/>
      <c r="I952" s="180"/>
      <c r="J952" s="181"/>
      <c r="K952" s="181"/>
      <c r="L952" s="181"/>
      <c r="M952" s="164"/>
      <c r="N952" s="180"/>
      <c r="O952" s="180"/>
      <c r="P952" s="182"/>
      <c r="Q952" s="104"/>
      <c r="R952" s="363"/>
      <c r="S952" s="104"/>
    </row>
    <row r="953" spans="1:19" ht="29.25" customHeight="1">
      <c r="A953" s="224"/>
      <c r="B953" s="359"/>
      <c r="C953" s="360"/>
      <c r="D953" s="361"/>
      <c r="E953" s="352"/>
      <c r="F953" s="161"/>
      <c r="G953" s="225"/>
      <c r="H953" s="225"/>
      <c r="I953" s="180"/>
      <c r="J953" s="181"/>
      <c r="K953" s="181"/>
      <c r="L953" s="181"/>
      <c r="M953" s="164"/>
      <c r="N953" s="180"/>
      <c r="O953" s="180"/>
      <c r="P953" s="182"/>
      <c r="Q953" s="104"/>
      <c r="R953" s="358"/>
      <c r="S953" s="104"/>
    </row>
    <row r="954" spans="1:19" ht="29.25" customHeight="1">
      <c r="A954" s="224"/>
      <c r="B954" s="359"/>
      <c r="C954" s="360"/>
      <c r="D954" s="361"/>
      <c r="E954" s="362"/>
      <c r="F954" s="161"/>
      <c r="G954" s="225"/>
      <c r="H954" s="225"/>
      <c r="I954" s="180"/>
      <c r="J954" s="181"/>
      <c r="K954" s="181"/>
      <c r="L954" s="181"/>
      <c r="M954" s="164"/>
      <c r="N954" s="180"/>
      <c r="O954" s="180"/>
      <c r="P954" s="182"/>
      <c r="Q954" s="104"/>
      <c r="R954" s="363"/>
      <c r="S954" s="104"/>
    </row>
    <row r="955" spans="1:19" ht="29.25" customHeight="1">
      <c r="A955" s="224"/>
      <c r="B955" s="359"/>
      <c r="C955" s="360"/>
      <c r="D955" s="361"/>
      <c r="E955" s="352"/>
      <c r="F955" s="161"/>
      <c r="G955" s="225"/>
      <c r="H955" s="225"/>
      <c r="I955" s="180"/>
      <c r="J955" s="181"/>
      <c r="K955" s="181"/>
      <c r="L955" s="181"/>
      <c r="M955" s="164"/>
      <c r="N955" s="180"/>
      <c r="O955" s="180"/>
      <c r="P955" s="182"/>
      <c r="Q955" s="104"/>
      <c r="R955" s="358"/>
      <c r="S955" s="104"/>
    </row>
    <row r="956" spans="1:19" ht="29.25" customHeight="1">
      <c r="A956" s="224"/>
      <c r="B956" s="359"/>
      <c r="C956" s="360"/>
      <c r="D956" s="361"/>
      <c r="E956" s="362"/>
      <c r="F956" s="161"/>
      <c r="G956" s="225"/>
      <c r="H956" s="225"/>
      <c r="I956" s="180"/>
      <c r="J956" s="181"/>
      <c r="K956" s="181"/>
      <c r="L956" s="181"/>
      <c r="M956" s="164"/>
      <c r="N956" s="180"/>
      <c r="O956" s="180"/>
      <c r="P956" s="182"/>
      <c r="Q956" s="104"/>
      <c r="R956" s="363"/>
      <c r="S956" s="104"/>
    </row>
    <row r="957" spans="1:19" ht="29.25" customHeight="1">
      <c r="A957" s="224"/>
      <c r="B957" s="359"/>
      <c r="C957" s="360"/>
      <c r="D957" s="361"/>
      <c r="E957" s="352"/>
      <c r="F957" s="161"/>
      <c r="G957" s="225"/>
      <c r="H957" s="225"/>
      <c r="I957" s="180"/>
      <c r="J957" s="181"/>
      <c r="K957" s="181"/>
      <c r="L957" s="181"/>
      <c r="M957" s="164"/>
      <c r="N957" s="180"/>
      <c r="O957" s="180"/>
      <c r="P957" s="182"/>
      <c r="Q957" s="104"/>
      <c r="R957" s="358"/>
      <c r="S957" s="104"/>
    </row>
    <row r="958" spans="1:19" ht="29.25" customHeight="1">
      <c r="A958" s="224"/>
      <c r="B958" s="359"/>
      <c r="C958" s="360"/>
      <c r="D958" s="361"/>
      <c r="E958" s="362"/>
      <c r="F958" s="161"/>
      <c r="G958" s="225"/>
      <c r="H958" s="225"/>
      <c r="I958" s="180"/>
      <c r="J958" s="181"/>
      <c r="K958" s="181"/>
      <c r="L958" s="181"/>
      <c r="M958" s="164"/>
      <c r="N958" s="180"/>
      <c r="O958" s="180"/>
      <c r="P958" s="182"/>
      <c r="Q958" s="104"/>
      <c r="R958" s="363"/>
      <c r="S958" s="104"/>
    </row>
    <row r="959" spans="1:19" ht="29.25" customHeight="1">
      <c r="A959" s="224"/>
      <c r="B959" s="359"/>
      <c r="C959" s="360"/>
      <c r="D959" s="361"/>
      <c r="E959" s="352"/>
      <c r="F959" s="161"/>
      <c r="G959" s="225"/>
      <c r="H959" s="225"/>
      <c r="I959" s="180"/>
      <c r="J959" s="181"/>
      <c r="K959" s="181"/>
      <c r="L959" s="181"/>
      <c r="M959" s="164"/>
      <c r="N959" s="180"/>
      <c r="O959" s="180"/>
      <c r="P959" s="182"/>
      <c r="Q959" s="104"/>
      <c r="R959" s="358"/>
      <c r="S959" s="104"/>
    </row>
    <row r="960" spans="1:19" ht="29.25" customHeight="1">
      <c r="A960" s="224"/>
      <c r="B960" s="359"/>
      <c r="C960" s="360"/>
      <c r="D960" s="361"/>
      <c r="E960" s="362"/>
      <c r="F960" s="161"/>
      <c r="G960" s="225"/>
      <c r="H960" s="225"/>
      <c r="I960" s="180"/>
      <c r="J960" s="181"/>
      <c r="K960" s="181"/>
      <c r="L960" s="181"/>
      <c r="M960" s="164"/>
      <c r="N960" s="180"/>
      <c r="O960" s="180"/>
      <c r="P960" s="182"/>
      <c r="Q960" s="104"/>
      <c r="R960" s="363"/>
      <c r="S960" s="104"/>
    </row>
    <row r="961" spans="1:19" ht="29.25" customHeight="1">
      <c r="A961" s="224"/>
      <c r="B961" s="359"/>
      <c r="C961" s="360"/>
      <c r="D961" s="361"/>
      <c r="E961" s="352"/>
      <c r="F961" s="161"/>
      <c r="G961" s="225"/>
      <c r="H961" s="225"/>
      <c r="I961" s="180"/>
      <c r="J961" s="181"/>
      <c r="K961" s="181"/>
      <c r="L961" s="181"/>
      <c r="M961" s="164"/>
      <c r="N961" s="180"/>
      <c r="O961" s="180"/>
      <c r="P961" s="182"/>
      <c r="Q961" s="104"/>
      <c r="R961" s="358"/>
      <c r="S961" s="104"/>
    </row>
    <row r="962" spans="1:19" ht="29.25" customHeight="1">
      <c r="A962" s="224"/>
      <c r="B962" s="359"/>
      <c r="C962" s="360"/>
      <c r="D962" s="361"/>
      <c r="E962" s="362"/>
      <c r="F962" s="161"/>
      <c r="G962" s="225"/>
      <c r="H962" s="225"/>
      <c r="I962" s="180"/>
      <c r="J962" s="181"/>
      <c r="K962" s="181"/>
      <c r="L962" s="181"/>
      <c r="M962" s="164"/>
      <c r="N962" s="180"/>
      <c r="O962" s="180"/>
      <c r="P962" s="182"/>
      <c r="Q962" s="104"/>
      <c r="R962" s="363"/>
      <c r="S962" s="104"/>
    </row>
    <row r="963" spans="1:19" ht="29.25" customHeight="1">
      <c r="A963" s="224"/>
      <c r="B963" s="359"/>
      <c r="C963" s="360"/>
      <c r="D963" s="361"/>
      <c r="E963" s="352"/>
      <c r="F963" s="161"/>
      <c r="G963" s="225"/>
      <c r="H963" s="225"/>
      <c r="I963" s="180"/>
      <c r="J963" s="181"/>
      <c r="K963" s="181"/>
      <c r="L963" s="181"/>
      <c r="M963" s="164"/>
      <c r="N963" s="180"/>
      <c r="O963" s="180"/>
      <c r="P963" s="182"/>
      <c r="Q963" s="104"/>
      <c r="R963" s="358"/>
      <c r="S963" s="104"/>
    </row>
    <row r="964" spans="1:19" ht="29.25" customHeight="1">
      <c r="A964" s="224"/>
      <c r="B964" s="359"/>
      <c r="C964" s="360"/>
      <c r="D964" s="361"/>
      <c r="E964" s="362"/>
      <c r="F964" s="161"/>
      <c r="G964" s="225"/>
      <c r="H964" s="225"/>
      <c r="I964" s="180"/>
      <c r="J964" s="181"/>
      <c r="K964" s="181"/>
      <c r="L964" s="181"/>
      <c r="M964" s="164"/>
      <c r="N964" s="180"/>
      <c r="O964" s="180"/>
      <c r="P964" s="182"/>
      <c r="Q964" s="104"/>
      <c r="R964" s="363"/>
      <c r="S964" s="104"/>
    </row>
    <row r="965" spans="1:19" ht="29.25" customHeight="1">
      <c r="A965" s="224"/>
      <c r="B965" s="359"/>
      <c r="C965" s="360"/>
      <c r="D965" s="361"/>
      <c r="E965" s="352"/>
      <c r="F965" s="161"/>
      <c r="G965" s="225"/>
      <c r="H965" s="225"/>
      <c r="I965" s="180"/>
      <c r="J965" s="181"/>
      <c r="K965" s="181"/>
      <c r="L965" s="181"/>
      <c r="M965" s="164"/>
      <c r="N965" s="180"/>
      <c r="O965" s="180"/>
      <c r="P965" s="182"/>
      <c r="Q965" s="104"/>
      <c r="R965" s="358"/>
      <c r="S965" s="104"/>
    </row>
    <row r="966" spans="1:19" ht="29.25" customHeight="1">
      <c r="A966" s="224"/>
      <c r="B966" s="359"/>
      <c r="C966" s="360"/>
      <c r="D966" s="361"/>
      <c r="E966" s="362"/>
      <c r="F966" s="161"/>
      <c r="G966" s="225"/>
      <c r="H966" s="225"/>
      <c r="I966" s="180"/>
      <c r="J966" s="181"/>
      <c r="K966" s="181"/>
      <c r="L966" s="181"/>
      <c r="M966" s="164"/>
      <c r="N966" s="180"/>
      <c r="O966" s="180"/>
      <c r="P966" s="182"/>
      <c r="Q966" s="104"/>
      <c r="R966" s="363"/>
      <c r="S966" s="104"/>
    </row>
    <row r="967" spans="1:19" ht="29.25" customHeight="1">
      <c r="A967" s="224"/>
      <c r="B967" s="359"/>
      <c r="C967" s="360"/>
      <c r="D967" s="361"/>
      <c r="E967" s="352"/>
      <c r="F967" s="161"/>
      <c r="G967" s="225"/>
      <c r="H967" s="225"/>
      <c r="I967" s="180"/>
      <c r="J967" s="181"/>
      <c r="K967" s="181"/>
      <c r="L967" s="181"/>
      <c r="M967" s="164"/>
      <c r="N967" s="180"/>
      <c r="O967" s="180"/>
      <c r="P967" s="182"/>
      <c r="Q967" s="104"/>
      <c r="R967" s="358"/>
      <c r="S967" s="104"/>
    </row>
    <row r="968" spans="1:19" ht="29.25" customHeight="1">
      <c r="A968" s="224"/>
      <c r="B968" s="359"/>
      <c r="C968" s="360"/>
      <c r="D968" s="361"/>
      <c r="E968" s="362"/>
      <c r="F968" s="161"/>
      <c r="G968" s="225"/>
      <c r="H968" s="225"/>
      <c r="I968" s="180"/>
      <c r="J968" s="181"/>
      <c r="K968" s="181"/>
      <c r="L968" s="181"/>
      <c r="M968" s="164"/>
      <c r="N968" s="180"/>
      <c r="O968" s="180"/>
      <c r="P968" s="182"/>
      <c r="Q968" s="104"/>
      <c r="R968" s="363"/>
      <c r="S968" s="104"/>
    </row>
    <row r="969" spans="1:19" ht="29.25" customHeight="1">
      <c r="A969" s="224"/>
      <c r="B969" s="359"/>
      <c r="C969" s="360"/>
      <c r="D969" s="361"/>
      <c r="E969" s="352"/>
      <c r="F969" s="161"/>
      <c r="G969" s="225"/>
      <c r="H969" s="225"/>
      <c r="I969" s="180"/>
      <c r="J969" s="181"/>
      <c r="K969" s="181"/>
      <c r="L969" s="181"/>
      <c r="M969" s="164"/>
      <c r="N969" s="180"/>
      <c r="O969" s="180"/>
      <c r="P969" s="182"/>
      <c r="Q969" s="104"/>
      <c r="R969" s="358"/>
      <c r="S969" s="104"/>
    </row>
    <row r="970" spans="1:19" ht="29.25" customHeight="1">
      <c r="A970" s="224"/>
      <c r="B970" s="359"/>
      <c r="C970" s="360"/>
      <c r="D970" s="361"/>
      <c r="E970" s="362"/>
      <c r="F970" s="161"/>
      <c r="G970" s="225"/>
      <c r="H970" s="225"/>
      <c r="I970" s="180"/>
      <c r="J970" s="181"/>
      <c r="K970" s="181"/>
      <c r="L970" s="181"/>
      <c r="M970" s="164"/>
      <c r="N970" s="180"/>
      <c r="O970" s="180"/>
      <c r="P970" s="182"/>
      <c r="Q970" s="104"/>
      <c r="R970" s="363"/>
      <c r="S970" s="104"/>
    </row>
    <row r="971" spans="1:19" ht="29.25" customHeight="1">
      <c r="A971" s="224"/>
      <c r="B971" s="359"/>
      <c r="C971" s="360"/>
      <c r="D971" s="361"/>
      <c r="E971" s="352"/>
      <c r="F971" s="161"/>
      <c r="G971" s="225"/>
      <c r="H971" s="225"/>
      <c r="I971" s="180"/>
      <c r="J971" s="181"/>
      <c r="K971" s="181"/>
      <c r="L971" s="181"/>
      <c r="M971" s="164"/>
      <c r="N971" s="180"/>
      <c r="O971" s="180"/>
      <c r="P971" s="182"/>
      <c r="Q971" s="104"/>
      <c r="R971" s="358"/>
      <c r="S971" s="104"/>
    </row>
    <row r="972" spans="1:19" ht="29.25" customHeight="1">
      <c r="A972" s="224"/>
      <c r="B972" s="359"/>
      <c r="C972" s="360"/>
      <c r="D972" s="361"/>
      <c r="E972" s="362"/>
      <c r="F972" s="161"/>
      <c r="G972" s="225"/>
      <c r="H972" s="225"/>
      <c r="I972" s="180"/>
      <c r="J972" s="181"/>
      <c r="K972" s="181"/>
      <c r="L972" s="181"/>
      <c r="M972" s="164"/>
      <c r="N972" s="180"/>
      <c r="O972" s="180"/>
      <c r="P972" s="182"/>
      <c r="Q972" s="104"/>
      <c r="R972" s="363"/>
      <c r="S972" s="104"/>
    </row>
    <row r="973" spans="1:19" ht="29.25" customHeight="1">
      <c r="A973" s="224"/>
      <c r="B973" s="359"/>
      <c r="C973" s="360"/>
      <c r="D973" s="361"/>
      <c r="E973" s="352"/>
      <c r="F973" s="161"/>
      <c r="G973" s="225"/>
      <c r="H973" s="225"/>
      <c r="I973" s="180"/>
      <c r="J973" s="181"/>
      <c r="K973" s="181"/>
      <c r="L973" s="181"/>
      <c r="M973" s="164"/>
      <c r="N973" s="180"/>
      <c r="O973" s="180"/>
      <c r="P973" s="182"/>
      <c r="Q973" s="104"/>
      <c r="R973" s="358"/>
      <c r="S973" s="104"/>
    </row>
    <row r="974" spans="1:19" ht="29.25" customHeight="1">
      <c r="A974" s="224"/>
      <c r="B974" s="359"/>
      <c r="C974" s="360"/>
      <c r="D974" s="361"/>
      <c r="E974" s="362"/>
      <c r="F974" s="161"/>
      <c r="G974" s="225"/>
      <c r="H974" s="225"/>
      <c r="I974" s="180"/>
      <c r="J974" s="181"/>
      <c r="K974" s="181"/>
      <c r="L974" s="181"/>
      <c r="M974" s="164"/>
      <c r="N974" s="180"/>
      <c r="O974" s="180"/>
      <c r="P974" s="182"/>
      <c r="Q974" s="104"/>
      <c r="R974" s="363"/>
      <c r="S974" s="104"/>
    </row>
    <row r="975" spans="1:19" ht="29.25" customHeight="1">
      <c r="A975" s="224"/>
      <c r="B975" s="359"/>
      <c r="C975" s="360"/>
      <c r="D975" s="361"/>
      <c r="E975" s="352"/>
      <c r="F975" s="161"/>
      <c r="G975" s="225"/>
      <c r="H975" s="225"/>
      <c r="I975" s="180"/>
      <c r="J975" s="181"/>
      <c r="K975" s="181"/>
      <c r="L975" s="181"/>
      <c r="M975" s="164"/>
      <c r="N975" s="180"/>
      <c r="O975" s="180"/>
      <c r="P975" s="182"/>
      <c r="Q975" s="104"/>
      <c r="R975" s="358"/>
      <c r="S975" s="104"/>
    </row>
    <row r="976" spans="1:19" ht="29.25" customHeight="1">
      <c r="A976" s="224"/>
      <c r="B976" s="359"/>
      <c r="C976" s="360"/>
      <c r="D976" s="361"/>
      <c r="E976" s="362"/>
      <c r="F976" s="161"/>
      <c r="G976" s="225"/>
      <c r="H976" s="225"/>
      <c r="I976" s="180"/>
      <c r="J976" s="181"/>
      <c r="K976" s="181"/>
      <c r="L976" s="181"/>
      <c r="M976" s="164"/>
      <c r="N976" s="180"/>
      <c r="O976" s="180"/>
      <c r="P976" s="182"/>
      <c r="Q976" s="104"/>
      <c r="R976" s="363"/>
      <c r="S976" s="104"/>
    </row>
    <row r="977" spans="1:19" ht="29.25" customHeight="1">
      <c r="A977" s="224"/>
      <c r="B977" s="359"/>
      <c r="C977" s="360"/>
      <c r="D977" s="361"/>
      <c r="E977" s="352"/>
      <c r="F977" s="161"/>
      <c r="G977" s="225"/>
      <c r="H977" s="225"/>
      <c r="I977" s="180"/>
      <c r="J977" s="181"/>
      <c r="K977" s="181"/>
      <c r="L977" s="181"/>
      <c r="M977" s="164"/>
      <c r="N977" s="180"/>
      <c r="O977" s="180"/>
      <c r="P977" s="182"/>
      <c r="Q977" s="104"/>
      <c r="R977" s="358"/>
      <c r="S977" s="104"/>
    </row>
    <row r="978" spans="1:19" ht="29.25" customHeight="1">
      <c r="A978" s="224"/>
      <c r="B978" s="359"/>
      <c r="C978" s="360"/>
      <c r="D978" s="361"/>
      <c r="E978" s="362"/>
      <c r="F978" s="161"/>
      <c r="G978" s="225"/>
      <c r="H978" s="225"/>
      <c r="I978" s="180"/>
      <c r="J978" s="181"/>
      <c r="K978" s="181"/>
      <c r="L978" s="181"/>
      <c r="M978" s="164"/>
      <c r="N978" s="180"/>
      <c r="O978" s="180"/>
      <c r="P978" s="182"/>
      <c r="Q978" s="104"/>
      <c r="R978" s="363"/>
      <c r="S978" s="104"/>
    </row>
    <row r="979" spans="1:19" ht="29.25" customHeight="1">
      <c r="A979" s="224"/>
      <c r="B979" s="359"/>
      <c r="C979" s="360"/>
      <c r="D979" s="361"/>
      <c r="E979" s="352"/>
      <c r="F979" s="161"/>
      <c r="G979" s="225"/>
      <c r="H979" s="225"/>
      <c r="I979" s="180"/>
      <c r="J979" s="181"/>
      <c r="K979" s="181"/>
      <c r="L979" s="181"/>
      <c r="M979" s="164"/>
      <c r="N979" s="180"/>
      <c r="O979" s="180"/>
      <c r="P979" s="182"/>
      <c r="Q979" s="104"/>
      <c r="R979" s="358"/>
      <c r="S979" s="104"/>
    </row>
    <row r="980" spans="1:19" ht="29.25" customHeight="1">
      <c r="A980" s="224"/>
      <c r="B980" s="359"/>
      <c r="C980" s="360"/>
      <c r="D980" s="361"/>
      <c r="E980" s="362"/>
      <c r="F980" s="161"/>
      <c r="G980" s="225"/>
      <c r="H980" s="225"/>
      <c r="I980" s="180"/>
      <c r="J980" s="181"/>
      <c r="K980" s="181"/>
      <c r="L980" s="181"/>
      <c r="M980" s="164"/>
      <c r="N980" s="180"/>
      <c r="O980" s="180"/>
      <c r="P980" s="182"/>
      <c r="Q980" s="104"/>
      <c r="R980" s="363"/>
      <c r="S980" s="104"/>
    </row>
    <row r="981" spans="1:19" ht="29.25" customHeight="1">
      <c r="A981" s="224"/>
      <c r="B981" s="359"/>
      <c r="C981" s="360"/>
      <c r="D981" s="361"/>
      <c r="E981" s="352"/>
      <c r="F981" s="161"/>
      <c r="G981" s="225"/>
      <c r="H981" s="225"/>
      <c r="I981" s="180"/>
      <c r="J981" s="181"/>
      <c r="K981" s="181"/>
      <c r="L981" s="181"/>
      <c r="M981" s="164"/>
      <c r="N981" s="180"/>
      <c r="O981" s="180"/>
      <c r="P981" s="182"/>
      <c r="Q981" s="104"/>
      <c r="R981" s="358"/>
      <c r="S981" s="104"/>
    </row>
    <row r="982" spans="1:19" ht="29.25" customHeight="1">
      <c r="A982" s="224"/>
      <c r="B982" s="359"/>
      <c r="C982" s="360"/>
      <c r="D982" s="361"/>
      <c r="E982" s="362"/>
      <c r="F982" s="161"/>
      <c r="G982" s="225"/>
      <c r="H982" s="225"/>
      <c r="I982" s="180"/>
      <c r="J982" s="181"/>
      <c r="K982" s="181"/>
      <c r="L982" s="181"/>
      <c r="M982" s="164"/>
      <c r="N982" s="180"/>
      <c r="O982" s="180"/>
      <c r="P982" s="182"/>
      <c r="Q982" s="104"/>
      <c r="R982" s="363"/>
      <c r="S982" s="104"/>
    </row>
    <row r="983" spans="1:19" ht="29.25" customHeight="1">
      <c r="A983" s="224"/>
      <c r="B983" s="359"/>
      <c r="C983" s="360"/>
      <c r="D983" s="361"/>
      <c r="E983" s="352"/>
      <c r="F983" s="161"/>
      <c r="G983" s="225"/>
      <c r="H983" s="225"/>
      <c r="I983" s="180"/>
      <c r="J983" s="181"/>
      <c r="K983" s="181"/>
      <c r="L983" s="181"/>
      <c r="M983" s="164"/>
      <c r="N983" s="180"/>
      <c r="O983" s="180"/>
      <c r="P983" s="182"/>
      <c r="Q983" s="104"/>
      <c r="R983" s="358"/>
      <c r="S983" s="104"/>
    </row>
    <row r="984" spans="1:19" ht="29.25" customHeight="1">
      <c r="A984" s="224"/>
      <c r="B984" s="359"/>
      <c r="C984" s="360"/>
      <c r="D984" s="361"/>
      <c r="E984" s="362"/>
      <c r="F984" s="161"/>
      <c r="G984" s="225"/>
      <c r="H984" s="225"/>
      <c r="I984" s="180"/>
      <c r="J984" s="181"/>
      <c r="K984" s="181"/>
      <c r="L984" s="181"/>
      <c r="M984" s="164"/>
      <c r="N984" s="180"/>
      <c r="O984" s="180"/>
      <c r="P984" s="182"/>
      <c r="Q984" s="104"/>
      <c r="R984" s="363"/>
      <c r="S984" s="104"/>
    </row>
    <row r="985" spans="1:19" ht="29.25" customHeight="1">
      <c r="A985" s="224"/>
      <c r="B985" s="359"/>
      <c r="C985" s="360"/>
      <c r="D985" s="361"/>
      <c r="E985" s="352"/>
      <c r="F985" s="161"/>
      <c r="G985" s="225"/>
      <c r="H985" s="225"/>
      <c r="I985" s="180"/>
      <c r="J985" s="181"/>
      <c r="K985" s="181"/>
      <c r="L985" s="181"/>
      <c r="M985" s="164"/>
      <c r="N985" s="180"/>
      <c r="O985" s="180"/>
      <c r="P985" s="182"/>
      <c r="Q985" s="104"/>
      <c r="R985" s="358"/>
      <c r="S985" s="104"/>
    </row>
    <row r="986" spans="1:19" ht="29.25" customHeight="1">
      <c r="A986" s="224"/>
      <c r="B986" s="359"/>
      <c r="C986" s="360"/>
      <c r="D986" s="361"/>
      <c r="E986" s="362"/>
      <c r="F986" s="161"/>
      <c r="G986" s="225"/>
      <c r="H986" s="225"/>
      <c r="I986" s="180"/>
      <c r="J986" s="181"/>
      <c r="K986" s="181"/>
      <c r="L986" s="181"/>
      <c r="M986" s="164"/>
      <c r="N986" s="180"/>
      <c r="O986" s="180"/>
      <c r="P986" s="182"/>
      <c r="Q986" s="104"/>
      <c r="R986" s="363"/>
      <c r="S986" s="104"/>
    </row>
    <row r="987" spans="1:19" ht="29.25" customHeight="1">
      <c r="A987" s="224"/>
      <c r="B987" s="359"/>
      <c r="C987" s="360"/>
      <c r="D987" s="361"/>
      <c r="E987" s="352"/>
      <c r="F987" s="161"/>
      <c r="G987" s="225"/>
      <c r="H987" s="225"/>
      <c r="I987" s="180"/>
      <c r="J987" s="181"/>
      <c r="K987" s="181"/>
      <c r="L987" s="181"/>
      <c r="M987" s="164"/>
      <c r="N987" s="180"/>
      <c r="O987" s="180"/>
      <c r="P987" s="182"/>
      <c r="Q987" s="104"/>
      <c r="R987" s="358"/>
      <c r="S987" s="104"/>
    </row>
    <row r="988" spans="1:19" ht="29.25" customHeight="1">
      <c r="A988" s="224"/>
      <c r="B988" s="359"/>
      <c r="C988" s="360"/>
      <c r="D988" s="361"/>
      <c r="E988" s="362"/>
      <c r="F988" s="161"/>
      <c r="G988" s="225"/>
      <c r="H988" s="225"/>
      <c r="I988" s="180"/>
      <c r="J988" s="181"/>
      <c r="K988" s="181"/>
      <c r="L988" s="181"/>
      <c r="M988" s="164"/>
      <c r="N988" s="180"/>
      <c r="O988" s="180"/>
      <c r="P988" s="182"/>
      <c r="Q988" s="104"/>
      <c r="R988" s="363"/>
      <c r="S988" s="104"/>
    </row>
    <row r="989" spans="1:19" ht="29.25" customHeight="1">
      <c r="A989" s="224"/>
      <c r="B989" s="359"/>
      <c r="C989" s="360"/>
      <c r="D989" s="361"/>
      <c r="E989" s="352"/>
      <c r="F989" s="161"/>
      <c r="G989" s="225"/>
      <c r="H989" s="225"/>
      <c r="I989" s="180"/>
      <c r="J989" s="181"/>
      <c r="K989" s="181"/>
      <c r="L989" s="181"/>
      <c r="M989" s="164"/>
      <c r="N989" s="180"/>
      <c r="O989" s="180"/>
      <c r="P989" s="182"/>
      <c r="Q989" s="104"/>
      <c r="R989" s="358"/>
      <c r="S989" s="104"/>
    </row>
    <row r="990" spans="1:19" ht="29.25" customHeight="1">
      <c r="A990" s="224"/>
      <c r="B990" s="359"/>
      <c r="C990" s="360"/>
      <c r="D990" s="361"/>
      <c r="E990" s="362"/>
      <c r="F990" s="161"/>
      <c r="G990" s="225"/>
      <c r="H990" s="225"/>
      <c r="I990" s="180"/>
      <c r="J990" s="181"/>
      <c r="K990" s="181"/>
      <c r="L990" s="181"/>
      <c r="M990" s="164"/>
      <c r="N990" s="180"/>
      <c r="O990" s="180"/>
      <c r="P990" s="182"/>
      <c r="Q990" s="104"/>
      <c r="R990" s="363"/>
      <c r="S990" s="104"/>
    </row>
    <row r="991" spans="1:19" ht="29.25" customHeight="1">
      <c r="A991" s="224"/>
      <c r="B991" s="359"/>
      <c r="C991" s="360"/>
      <c r="D991" s="361"/>
      <c r="E991" s="352"/>
      <c r="F991" s="161"/>
      <c r="G991" s="225"/>
      <c r="H991" s="225"/>
      <c r="I991" s="180"/>
      <c r="J991" s="181"/>
      <c r="K991" s="181"/>
      <c r="L991" s="181"/>
      <c r="M991" s="164"/>
      <c r="N991" s="180"/>
      <c r="O991" s="180"/>
      <c r="P991" s="182"/>
      <c r="Q991" s="104"/>
      <c r="R991" s="358"/>
      <c r="S991" s="104"/>
    </row>
    <row r="992" spans="1:19" ht="29.25" customHeight="1">
      <c r="A992" s="224"/>
      <c r="B992" s="359"/>
      <c r="C992" s="360"/>
      <c r="D992" s="361"/>
      <c r="E992" s="362"/>
      <c r="F992" s="161"/>
      <c r="G992" s="225"/>
      <c r="H992" s="225"/>
      <c r="I992" s="180"/>
      <c r="J992" s="181"/>
      <c r="K992" s="181"/>
      <c r="L992" s="181"/>
      <c r="M992" s="164"/>
      <c r="N992" s="180"/>
      <c r="O992" s="180"/>
      <c r="P992" s="182"/>
      <c r="Q992" s="104"/>
      <c r="R992" s="363"/>
      <c r="S992" s="104"/>
    </row>
    <row r="993" spans="1:19" ht="29.25" customHeight="1">
      <c r="A993" s="224"/>
      <c r="B993" s="359"/>
      <c r="C993" s="360"/>
      <c r="D993" s="361"/>
      <c r="E993" s="352"/>
      <c r="F993" s="161"/>
      <c r="G993" s="225"/>
      <c r="H993" s="225"/>
      <c r="I993" s="180"/>
      <c r="J993" s="181"/>
      <c r="K993" s="181"/>
      <c r="L993" s="181"/>
      <c r="M993" s="164"/>
      <c r="N993" s="180"/>
      <c r="O993" s="180"/>
      <c r="P993" s="182"/>
      <c r="Q993" s="104"/>
      <c r="R993" s="358"/>
      <c r="S993" s="104"/>
    </row>
    <row r="994" spans="1:19" ht="29.25" customHeight="1">
      <c r="A994" s="224"/>
      <c r="B994" s="359"/>
      <c r="C994" s="360"/>
      <c r="D994" s="361"/>
      <c r="E994" s="362"/>
      <c r="F994" s="161"/>
      <c r="G994" s="225"/>
      <c r="H994" s="225"/>
      <c r="I994" s="180"/>
      <c r="J994" s="181"/>
      <c r="K994" s="181"/>
      <c r="L994" s="181"/>
      <c r="M994" s="164"/>
      <c r="N994" s="180"/>
      <c r="O994" s="180"/>
      <c r="P994" s="182"/>
      <c r="Q994" s="104"/>
      <c r="R994" s="363"/>
      <c r="S994" s="104"/>
    </row>
    <row r="995" spans="1:19" ht="29.25" customHeight="1">
      <c r="A995" s="224"/>
      <c r="B995" s="359"/>
      <c r="C995" s="360"/>
      <c r="D995" s="361"/>
      <c r="E995" s="352"/>
      <c r="F995" s="161"/>
      <c r="G995" s="225"/>
      <c r="H995" s="225"/>
      <c r="I995" s="180"/>
      <c r="J995" s="181"/>
      <c r="K995" s="181"/>
      <c r="L995" s="181"/>
      <c r="M995" s="164"/>
      <c r="N995" s="180"/>
      <c r="O995" s="180"/>
      <c r="P995" s="182"/>
      <c r="Q995" s="104"/>
      <c r="R995" s="358"/>
      <c r="S995" s="104"/>
    </row>
    <row r="996" spans="1:19" ht="29.25" customHeight="1">
      <c r="A996" s="224"/>
      <c r="B996" s="359"/>
      <c r="C996" s="360"/>
      <c r="D996" s="361"/>
      <c r="E996" s="362"/>
      <c r="F996" s="161"/>
      <c r="G996" s="225"/>
      <c r="H996" s="225"/>
      <c r="I996" s="180"/>
      <c r="J996" s="181"/>
      <c r="K996" s="181"/>
      <c r="L996" s="181"/>
      <c r="M996" s="164"/>
      <c r="N996" s="180"/>
      <c r="O996" s="180"/>
      <c r="P996" s="182"/>
      <c r="Q996" s="104"/>
      <c r="R996" s="363"/>
      <c r="S996" s="104"/>
    </row>
    <row r="997" spans="1:19" ht="29.25" customHeight="1">
      <c r="A997" s="224"/>
      <c r="B997" s="359"/>
      <c r="C997" s="360"/>
      <c r="D997" s="361"/>
      <c r="E997" s="352"/>
      <c r="F997" s="161"/>
      <c r="G997" s="225"/>
      <c r="H997" s="225"/>
      <c r="I997" s="180"/>
      <c r="J997" s="181"/>
      <c r="K997" s="181"/>
      <c r="L997" s="181"/>
      <c r="M997" s="164"/>
      <c r="N997" s="180"/>
      <c r="O997" s="180"/>
      <c r="P997" s="182"/>
      <c r="Q997" s="104"/>
      <c r="R997" s="358"/>
      <c r="S997" s="104"/>
    </row>
    <row r="998" spans="1:19" ht="29.25" customHeight="1">
      <c r="A998" s="224"/>
      <c r="B998" s="359"/>
      <c r="C998" s="360"/>
      <c r="D998" s="361"/>
      <c r="E998" s="362"/>
      <c r="F998" s="161"/>
      <c r="G998" s="225"/>
      <c r="H998" s="225"/>
      <c r="I998" s="180"/>
      <c r="J998" s="181"/>
      <c r="K998" s="181"/>
      <c r="L998" s="181"/>
      <c r="M998" s="164"/>
      <c r="N998" s="180"/>
      <c r="O998" s="180"/>
      <c r="P998" s="182"/>
      <c r="Q998" s="104"/>
      <c r="R998" s="363"/>
      <c r="S998" s="104"/>
    </row>
    <row r="999" spans="1:19" ht="29.25" customHeight="1">
      <c r="A999" s="224"/>
      <c r="B999" s="359"/>
      <c r="C999" s="360"/>
      <c r="D999" s="361"/>
      <c r="E999" s="352"/>
      <c r="F999" s="161"/>
      <c r="G999" s="225"/>
      <c r="H999" s="225"/>
      <c r="I999" s="180"/>
      <c r="J999" s="181"/>
      <c r="K999" s="181"/>
      <c r="L999" s="181"/>
      <c r="M999" s="164"/>
      <c r="N999" s="180"/>
      <c r="O999" s="180"/>
      <c r="P999" s="182"/>
      <c r="Q999" s="104"/>
      <c r="R999" s="358"/>
      <c r="S999" s="104"/>
    </row>
    <row r="1000" spans="1:19" ht="29.25" customHeight="1">
      <c r="A1000" s="224"/>
      <c r="B1000" s="359"/>
      <c r="C1000" s="360"/>
      <c r="D1000" s="361"/>
      <c r="E1000" s="362"/>
      <c r="F1000" s="161"/>
      <c r="G1000" s="225"/>
      <c r="H1000" s="225"/>
      <c r="I1000" s="180"/>
      <c r="J1000" s="181"/>
      <c r="K1000" s="181"/>
      <c r="L1000" s="181"/>
      <c r="M1000" s="164"/>
      <c r="N1000" s="180"/>
      <c r="O1000" s="180"/>
      <c r="P1000" s="182"/>
      <c r="Q1000" s="104"/>
      <c r="R1000" s="363"/>
      <c r="S1000" s="104"/>
    </row>
    <row r="1001" spans="1:19" ht="29.25" customHeight="1">
      <c r="A1001" s="224"/>
      <c r="B1001" s="359"/>
      <c r="C1001" s="360"/>
      <c r="D1001" s="361"/>
      <c r="E1001" s="352"/>
      <c r="F1001" s="161"/>
      <c r="G1001" s="225"/>
      <c r="H1001" s="225"/>
      <c r="I1001" s="180"/>
      <c r="J1001" s="181"/>
      <c r="K1001" s="181"/>
      <c r="L1001" s="181"/>
      <c r="M1001" s="164"/>
      <c r="N1001" s="180"/>
      <c r="O1001" s="180"/>
      <c r="P1001" s="182"/>
      <c r="Q1001" s="104"/>
      <c r="R1001" s="358"/>
      <c r="S1001" s="104"/>
    </row>
    <row r="1002" spans="1:19" ht="29.25" customHeight="1">
      <c r="A1002" s="224"/>
      <c r="B1002" s="359"/>
      <c r="C1002" s="360"/>
      <c r="D1002" s="361"/>
      <c r="E1002" s="362"/>
      <c r="F1002" s="161"/>
      <c r="G1002" s="225"/>
      <c r="H1002" s="225"/>
      <c r="I1002" s="180"/>
      <c r="J1002" s="181"/>
      <c r="K1002" s="181"/>
      <c r="L1002" s="181"/>
      <c r="M1002" s="164"/>
      <c r="N1002" s="180"/>
      <c r="O1002" s="180"/>
      <c r="P1002" s="182"/>
      <c r="Q1002" s="104"/>
      <c r="R1002" s="363"/>
      <c r="S1002" s="104"/>
    </row>
    <row r="1003" spans="1:19" ht="29.25" customHeight="1">
      <c r="A1003" s="224"/>
      <c r="B1003" s="359"/>
      <c r="C1003" s="360"/>
      <c r="D1003" s="361"/>
      <c r="E1003" s="352"/>
      <c r="F1003" s="161"/>
      <c r="G1003" s="225"/>
      <c r="H1003" s="225"/>
      <c r="I1003" s="180"/>
      <c r="J1003" s="181"/>
      <c r="K1003" s="181"/>
      <c r="L1003" s="181"/>
      <c r="M1003" s="164"/>
      <c r="N1003" s="180"/>
      <c r="O1003" s="180"/>
      <c r="P1003" s="182"/>
      <c r="Q1003" s="104"/>
      <c r="R1003" s="358"/>
      <c r="S1003" s="104"/>
    </row>
    <row r="1004" spans="1:19" ht="29.25" customHeight="1">
      <c r="A1004" s="224"/>
      <c r="B1004" s="359"/>
      <c r="C1004" s="360"/>
      <c r="D1004" s="361"/>
      <c r="E1004" s="362"/>
      <c r="F1004" s="161"/>
      <c r="G1004" s="225"/>
      <c r="H1004" s="225"/>
      <c r="I1004" s="180"/>
      <c r="J1004" s="181"/>
      <c r="K1004" s="181"/>
      <c r="L1004" s="181"/>
      <c r="M1004" s="164"/>
      <c r="N1004" s="180"/>
      <c r="O1004" s="180"/>
      <c r="P1004" s="182"/>
      <c r="Q1004" s="104"/>
      <c r="R1004" s="363"/>
      <c r="S1004" s="104"/>
    </row>
    <row r="1005" spans="1:19" ht="29.25" customHeight="1">
      <c r="A1005" s="224"/>
      <c r="B1005" s="359"/>
      <c r="C1005" s="360"/>
      <c r="D1005" s="361"/>
      <c r="E1005" s="352"/>
      <c r="F1005" s="161"/>
      <c r="G1005" s="225"/>
      <c r="H1005" s="225"/>
      <c r="I1005" s="180"/>
      <c r="J1005" s="181"/>
      <c r="K1005" s="181"/>
      <c r="L1005" s="181"/>
      <c r="M1005" s="164"/>
      <c r="N1005" s="180"/>
      <c r="O1005" s="180"/>
      <c r="P1005" s="182"/>
      <c r="Q1005" s="104"/>
      <c r="R1005" s="358"/>
      <c r="S1005" s="104"/>
    </row>
    <row r="1006" spans="1:19" ht="29.25" customHeight="1">
      <c r="A1006" s="224"/>
      <c r="B1006" s="359"/>
      <c r="C1006" s="360"/>
      <c r="D1006" s="361"/>
      <c r="E1006" s="362"/>
      <c r="F1006" s="161"/>
      <c r="G1006" s="225"/>
      <c r="H1006" s="225"/>
      <c r="I1006" s="180"/>
      <c r="J1006" s="181"/>
      <c r="K1006" s="181"/>
      <c r="L1006" s="181"/>
      <c r="M1006" s="164"/>
      <c r="N1006" s="180"/>
      <c r="O1006" s="180"/>
      <c r="P1006" s="182"/>
      <c r="Q1006" s="104"/>
      <c r="R1006" s="363"/>
      <c r="S1006" s="104"/>
    </row>
    <row r="1007" spans="1:19" ht="29.25" customHeight="1">
      <c r="A1007" s="224"/>
      <c r="B1007" s="359"/>
      <c r="C1007" s="360"/>
      <c r="D1007" s="361"/>
      <c r="E1007" s="352"/>
      <c r="F1007" s="161"/>
      <c r="G1007" s="225"/>
      <c r="H1007" s="225"/>
      <c r="I1007" s="180"/>
      <c r="J1007" s="181"/>
      <c r="K1007" s="181"/>
      <c r="L1007" s="181"/>
      <c r="M1007" s="164"/>
      <c r="N1007" s="180"/>
      <c r="O1007" s="180"/>
      <c r="P1007" s="182"/>
      <c r="Q1007" s="104"/>
      <c r="R1007" s="358"/>
      <c r="S1007" s="104"/>
    </row>
    <row r="1008" spans="1:19" ht="29.25" customHeight="1">
      <c r="A1008" s="224"/>
      <c r="B1008" s="359"/>
      <c r="C1008" s="360"/>
      <c r="D1008" s="361"/>
      <c r="E1008" s="362"/>
      <c r="F1008" s="161"/>
      <c r="G1008" s="225"/>
      <c r="H1008" s="225"/>
      <c r="I1008" s="180"/>
      <c r="J1008" s="181"/>
      <c r="K1008" s="181"/>
      <c r="L1008" s="181"/>
      <c r="M1008" s="164"/>
      <c r="N1008" s="180"/>
      <c r="O1008" s="180"/>
      <c r="P1008" s="182"/>
      <c r="Q1008" s="104"/>
      <c r="R1008" s="363"/>
      <c r="S1008" s="104"/>
    </row>
    <row r="1009" spans="1:19" ht="29.25" customHeight="1">
      <c r="A1009" s="224"/>
      <c r="B1009" s="359"/>
      <c r="C1009" s="360"/>
      <c r="D1009" s="361"/>
      <c r="E1009" s="352"/>
      <c r="F1009" s="161"/>
      <c r="G1009" s="225"/>
      <c r="H1009" s="225"/>
      <c r="I1009" s="180"/>
      <c r="J1009" s="181"/>
      <c r="K1009" s="181"/>
      <c r="L1009" s="181"/>
      <c r="M1009" s="164"/>
      <c r="N1009" s="180"/>
      <c r="O1009" s="180"/>
      <c r="P1009" s="182"/>
      <c r="Q1009" s="104"/>
      <c r="R1009" s="358"/>
      <c r="S1009" s="104"/>
    </row>
    <row r="1010" spans="1:19" ht="29.25" customHeight="1">
      <c r="A1010" s="224"/>
      <c r="B1010" s="359"/>
      <c r="C1010" s="360"/>
      <c r="D1010" s="361"/>
      <c r="E1010" s="362"/>
      <c r="F1010" s="161"/>
      <c r="G1010" s="225"/>
      <c r="H1010" s="225"/>
      <c r="I1010" s="180"/>
      <c r="J1010" s="181"/>
      <c r="K1010" s="181"/>
      <c r="L1010" s="181"/>
      <c r="M1010" s="164"/>
      <c r="N1010" s="180"/>
      <c r="O1010" s="180"/>
      <c r="P1010" s="182"/>
      <c r="Q1010" s="104"/>
      <c r="R1010" s="363"/>
      <c r="S1010" s="104"/>
    </row>
    <row r="1011" spans="1:19" ht="29.25" customHeight="1">
      <c r="A1011" s="224"/>
      <c r="B1011" s="359"/>
      <c r="C1011" s="360"/>
      <c r="D1011" s="361"/>
      <c r="E1011" s="352"/>
      <c r="F1011" s="161"/>
      <c r="G1011" s="225"/>
      <c r="H1011" s="225"/>
      <c r="I1011" s="180"/>
      <c r="J1011" s="181"/>
      <c r="K1011" s="181"/>
      <c r="L1011" s="181"/>
      <c r="M1011" s="164"/>
      <c r="N1011" s="180"/>
      <c r="O1011" s="180"/>
      <c r="P1011" s="182"/>
      <c r="Q1011" s="104"/>
      <c r="R1011" s="358"/>
      <c r="S1011" s="104"/>
    </row>
    <row r="1012" spans="1:19" ht="29.25" customHeight="1">
      <c r="A1012" s="224"/>
      <c r="B1012" s="359"/>
      <c r="C1012" s="360"/>
      <c r="D1012" s="361"/>
      <c r="E1012" s="362"/>
      <c r="F1012" s="161"/>
      <c r="G1012" s="225"/>
      <c r="H1012" s="225"/>
      <c r="I1012" s="180"/>
      <c r="J1012" s="181"/>
      <c r="K1012" s="181"/>
      <c r="L1012" s="181"/>
      <c r="M1012" s="164"/>
      <c r="N1012" s="180"/>
      <c r="O1012" s="180"/>
      <c r="P1012" s="182"/>
      <c r="Q1012" s="104"/>
      <c r="R1012" s="363"/>
      <c r="S1012" s="104"/>
    </row>
    <row r="1013" spans="1:19" ht="29.25" customHeight="1">
      <c r="A1013" s="224"/>
      <c r="B1013" s="359"/>
      <c r="C1013" s="360"/>
      <c r="D1013" s="361"/>
      <c r="E1013" s="352"/>
      <c r="F1013" s="161"/>
      <c r="G1013" s="225"/>
      <c r="H1013" s="225"/>
      <c r="I1013" s="180"/>
      <c r="J1013" s="181"/>
      <c r="K1013" s="181"/>
      <c r="L1013" s="181"/>
      <c r="M1013" s="164"/>
      <c r="N1013" s="180"/>
      <c r="O1013" s="180"/>
      <c r="P1013" s="182"/>
      <c r="Q1013" s="104"/>
      <c r="R1013" s="358"/>
      <c r="S1013" s="104"/>
    </row>
    <row r="1014" spans="1:19" ht="29.25" customHeight="1">
      <c r="A1014" s="224"/>
      <c r="B1014" s="359"/>
      <c r="C1014" s="360"/>
      <c r="D1014" s="361"/>
      <c r="E1014" s="362"/>
      <c r="F1014" s="161"/>
      <c r="G1014" s="225"/>
      <c r="H1014" s="225"/>
      <c r="I1014" s="180"/>
      <c r="J1014" s="181"/>
      <c r="K1014" s="181"/>
      <c r="L1014" s="181"/>
      <c r="M1014" s="164"/>
      <c r="N1014" s="180"/>
      <c r="O1014" s="180"/>
      <c r="P1014" s="182"/>
      <c r="Q1014" s="104"/>
      <c r="R1014" s="363"/>
      <c r="S1014" s="104"/>
    </row>
    <row r="1015" spans="1:19" ht="29.25" customHeight="1">
      <c r="A1015" s="224"/>
      <c r="B1015" s="359"/>
      <c r="C1015" s="360"/>
      <c r="D1015" s="361"/>
      <c r="E1015" s="352"/>
      <c r="F1015" s="161"/>
      <c r="G1015" s="225"/>
      <c r="H1015" s="225"/>
      <c r="I1015" s="180"/>
      <c r="J1015" s="181"/>
      <c r="K1015" s="181"/>
      <c r="L1015" s="181"/>
      <c r="M1015" s="164"/>
      <c r="N1015" s="180"/>
      <c r="O1015" s="180"/>
      <c r="P1015" s="182"/>
      <c r="Q1015" s="104"/>
      <c r="R1015" s="358"/>
      <c r="S1015" s="104"/>
    </row>
    <row r="1016" spans="1:19" ht="29.25" customHeight="1">
      <c r="A1016" s="224"/>
      <c r="B1016" s="359"/>
      <c r="C1016" s="360"/>
      <c r="D1016" s="361"/>
      <c r="E1016" s="362"/>
      <c r="F1016" s="161"/>
      <c r="G1016" s="225"/>
      <c r="H1016" s="225"/>
      <c r="I1016" s="180"/>
      <c r="J1016" s="181"/>
      <c r="K1016" s="181"/>
      <c r="L1016" s="181"/>
      <c r="M1016" s="164"/>
      <c r="N1016" s="180"/>
      <c r="O1016" s="180"/>
      <c r="P1016" s="182"/>
      <c r="Q1016" s="104"/>
      <c r="R1016" s="363"/>
      <c r="S1016" s="104"/>
    </row>
    <row r="1017" spans="1:19" ht="29.25" customHeight="1">
      <c r="A1017" s="224"/>
      <c r="B1017" s="359"/>
      <c r="C1017" s="360"/>
      <c r="D1017" s="361"/>
      <c r="E1017" s="352"/>
      <c r="F1017" s="161"/>
      <c r="G1017" s="225"/>
      <c r="H1017" s="225"/>
      <c r="I1017" s="180"/>
      <c r="J1017" s="181"/>
      <c r="K1017" s="181"/>
      <c r="L1017" s="181"/>
      <c r="M1017" s="164"/>
      <c r="N1017" s="180"/>
      <c r="O1017" s="180"/>
      <c r="P1017" s="182"/>
      <c r="Q1017" s="104"/>
      <c r="R1017" s="358"/>
      <c r="S1017" s="104"/>
    </row>
    <row r="1018" spans="1:19" ht="29.25" customHeight="1">
      <c r="A1018" s="224"/>
      <c r="B1018" s="359"/>
      <c r="C1018" s="360"/>
      <c r="D1018" s="361"/>
      <c r="E1018" s="362"/>
      <c r="F1018" s="161"/>
      <c r="G1018" s="225"/>
      <c r="H1018" s="225"/>
      <c r="I1018" s="180"/>
      <c r="J1018" s="181"/>
      <c r="K1018" s="181"/>
      <c r="L1018" s="181"/>
      <c r="M1018" s="164"/>
      <c r="N1018" s="180"/>
      <c r="O1018" s="180"/>
      <c r="P1018" s="182"/>
      <c r="Q1018" s="104"/>
      <c r="R1018" s="363"/>
      <c r="S1018" s="104"/>
    </row>
    <row r="1019" spans="1:19" ht="29.25" customHeight="1">
      <c r="A1019" s="224"/>
      <c r="B1019" s="359"/>
      <c r="C1019" s="360"/>
      <c r="D1019" s="361"/>
      <c r="E1019" s="352"/>
      <c r="F1019" s="161"/>
      <c r="G1019" s="225"/>
      <c r="H1019" s="225"/>
      <c r="I1019" s="180"/>
      <c r="J1019" s="181"/>
      <c r="K1019" s="181"/>
      <c r="L1019" s="181"/>
      <c r="M1019" s="164"/>
      <c r="N1019" s="180"/>
      <c r="O1019" s="180"/>
      <c r="P1019" s="182"/>
      <c r="Q1019" s="104"/>
      <c r="R1019" s="358"/>
      <c r="S1019" s="104"/>
    </row>
    <row r="1020" spans="1:19" ht="29.25" customHeight="1">
      <c r="A1020" s="224"/>
      <c r="B1020" s="359"/>
      <c r="C1020" s="360"/>
      <c r="D1020" s="361"/>
      <c r="E1020" s="362"/>
      <c r="F1020" s="161"/>
      <c r="G1020" s="225"/>
      <c r="H1020" s="225"/>
      <c r="I1020" s="180"/>
      <c r="J1020" s="181"/>
      <c r="K1020" s="181"/>
      <c r="L1020" s="181"/>
      <c r="M1020" s="164"/>
      <c r="N1020" s="180"/>
      <c r="O1020" s="180"/>
      <c r="P1020" s="182"/>
      <c r="Q1020" s="104"/>
      <c r="R1020" s="363"/>
      <c r="S1020" s="104"/>
    </row>
    <row r="1021" spans="1:19" ht="29.25" customHeight="1">
      <c r="A1021" s="224"/>
      <c r="B1021" s="359"/>
      <c r="C1021" s="360"/>
      <c r="D1021" s="361"/>
      <c r="E1021" s="352"/>
      <c r="F1021" s="161"/>
      <c r="G1021" s="225"/>
      <c r="H1021" s="225"/>
      <c r="I1021" s="180"/>
      <c r="J1021" s="181"/>
      <c r="K1021" s="181"/>
      <c r="L1021" s="181"/>
      <c r="M1021" s="164"/>
      <c r="N1021" s="180"/>
      <c r="O1021" s="180"/>
      <c r="P1021" s="182"/>
      <c r="Q1021" s="104"/>
      <c r="R1021" s="358"/>
      <c r="S1021" s="104"/>
    </row>
    <row r="1022" spans="1:19" ht="29.25" customHeight="1">
      <c r="A1022" s="224"/>
      <c r="B1022" s="359"/>
      <c r="C1022" s="360"/>
      <c r="D1022" s="361"/>
      <c r="E1022" s="362"/>
      <c r="F1022" s="161"/>
      <c r="G1022" s="225"/>
      <c r="H1022" s="225"/>
      <c r="I1022" s="180"/>
      <c r="J1022" s="181"/>
      <c r="K1022" s="181"/>
      <c r="L1022" s="181"/>
      <c r="M1022" s="164"/>
      <c r="N1022" s="180"/>
      <c r="O1022" s="180"/>
      <c r="P1022" s="182"/>
      <c r="Q1022" s="104"/>
      <c r="R1022" s="363"/>
      <c r="S1022" s="104"/>
    </row>
    <row r="1023" spans="1:19" ht="29.25" customHeight="1">
      <c r="A1023" s="224"/>
      <c r="B1023" s="359"/>
      <c r="C1023" s="360"/>
      <c r="D1023" s="361"/>
      <c r="E1023" s="352"/>
      <c r="F1023" s="161"/>
      <c r="G1023" s="225"/>
      <c r="H1023" s="225"/>
      <c r="I1023" s="180"/>
      <c r="J1023" s="181"/>
      <c r="K1023" s="181"/>
      <c r="L1023" s="181"/>
      <c r="M1023" s="164"/>
      <c r="N1023" s="180"/>
      <c r="O1023" s="180"/>
      <c r="P1023" s="182"/>
      <c r="Q1023" s="104"/>
      <c r="R1023" s="358"/>
      <c r="S1023" s="104"/>
    </row>
    <row r="1024" spans="1:19" ht="29.25" customHeight="1">
      <c r="A1024" s="224"/>
      <c r="B1024" s="359"/>
      <c r="C1024" s="360"/>
      <c r="D1024" s="361"/>
      <c r="E1024" s="362"/>
      <c r="F1024" s="161"/>
      <c r="G1024" s="225"/>
      <c r="H1024" s="225"/>
      <c r="I1024" s="180"/>
      <c r="J1024" s="181"/>
      <c r="K1024" s="181"/>
      <c r="L1024" s="181"/>
      <c r="M1024" s="164"/>
      <c r="N1024" s="180"/>
      <c r="O1024" s="180"/>
      <c r="P1024" s="182"/>
      <c r="Q1024" s="104"/>
      <c r="R1024" s="363"/>
      <c r="S1024" s="104"/>
    </row>
    <row r="1025" spans="1:19" ht="29.25" customHeight="1">
      <c r="A1025" s="224"/>
      <c r="B1025" s="359"/>
      <c r="C1025" s="360"/>
      <c r="D1025" s="361"/>
      <c r="E1025" s="352"/>
      <c r="F1025" s="161"/>
      <c r="G1025" s="225"/>
      <c r="H1025" s="225"/>
      <c r="I1025" s="180"/>
      <c r="J1025" s="181"/>
      <c r="K1025" s="181"/>
      <c r="L1025" s="181"/>
      <c r="M1025" s="164"/>
      <c r="N1025" s="180"/>
      <c r="O1025" s="180"/>
      <c r="P1025" s="182"/>
      <c r="Q1025" s="104"/>
      <c r="R1025" s="358"/>
      <c r="S1025" s="104"/>
    </row>
    <row r="1026" spans="1:19" ht="29.25" customHeight="1">
      <c r="A1026" s="224"/>
      <c r="B1026" s="359"/>
      <c r="C1026" s="360"/>
      <c r="D1026" s="361"/>
      <c r="E1026" s="362"/>
      <c r="F1026" s="161"/>
      <c r="G1026" s="225"/>
      <c r="H1026" s="225"/>
      <c r="I1026" s="180"/>
      <c r="J1026" s="181"/>
      <c r="K1026" s="181"/>
      <c r="L1026" s="181"/>
      <c r="M1026" s="164"/>
      <c r="N1026" s="180"/>
      <c r="O1026" s="180"/>
      <c r="P1026" s="182"/>
      <c r="Q1026" s="104"/>
      <c r="R1026" s="363"/>
      <c r="S1026" s="104"/>
    </row>
    <row r="1027" spans="1:19" ht="29.25" customHeight="1">
      <c r="A1027" s="224"/>
      <c r="B1027" s="359"/>
      <c r="C1027" s="360"/>
      <c r="D1027" s="361"/>
      <c r="E1027" s="352"/>
      <c r="F1027" s="161"/>
      <c r="G1027" s="225"/>
      <c r="H1027" s="225"/>
      <c r="I1027" s="180"/>
      <c r="J1027" s="181"/>
      <c r="K1027" s="181"/>
      <c r="L1027" s="181"/>
      <c r="M1027" s="164"/>
      <c r="N1027" s="180"/>
      <c r="O1027" s="180"/>
      <c r="P1027" s="182"/>
      <c r="Q1027" s="104"/>
      <c r="R1027" s="358"/>
      <c r="S1027" s="104"/>
    </row>
    <row r="1028" spans="1:19" ht="29.25" customHeight="1">
      <c r="A1028" s="224"/>
      <c r="B1028" s="359"/>
      <c r="C1028" s="360"/>
      <c r="D1028" s="361"/>
      <c r="E1028" s="362"/>
      <c r="F1028" s="161"/>
      <c r="G1028" s="225"/>
      <c r="H1028" s="225"/>
      <c r="I1028" s="180"/>
      <c r="J1028" s="181"/>
      <c r="K1028" s="181"/>
      <c r="L1028" s="181"/>
      <c r="M1028" s="164"/>
      <c r="N1028" s="180"/>
      <c r="O1028" s="180"/>
      <c r="P1028" s="182"/>
      <c r="Q1028" s="104"/>
      <c r="R1028" s="363"/>
      <c r="S1028" s="104"/>
    </row>
    <row r="1029" spans="1:19" ht="29.25" customHeight="1">
      <c r="A1029" s="224"/>
      <c r="B1029" s="359"/>
      <c r="C1029" s="360"/>
      <c r="D1029" s="361"/>
      <c r="E1029" s="352"/>
      <c r="F1029" s="161"/>
      <c r="G1029" s="225"/>
      <c r="H1029" s="225"/>
      <c r="I1029" s="180"/>
      <c r="J1029" s="181"/>
      <c r="K1029" s="181"/>
      <c r="L1029" s="181"/>
      <c r="M1029" s="164"/>
      <c r="N1029" s="180"/>
      <c r="O1029" s="180"/>
      <c r="P1029" s="182"/>
      <c r="Q1029" s="104"/>
      <c r="R1029" s="358"/>
      <c r="S1029" s="104"/>
    </row>
    <row r="1030" spans="1:19" ht="29.25" customHeight="1">
      <c r="A1030" s="224"/>
      <c r="B1030" s="359"/>
      <c r="C1030" s="360"/>
      <c r="D1030" s="361"/>
      <c r="E1030" s="362"/>
      <c r="F1030" s="161"/>
      <c r="G1030" s="225"/>
      <c r="H1030" s="225"/>
      <c r="I1030" s="180"/>
      <c r="J1030" s="181"/>
      <c r="K1030" s="181"/>
      <c r="L1030" s="181"/>
      <c r="M1030" s="164"/>
      <c r="N1030" s="180"/>
      <c r="O1030" s="180"/>
      <c r="P1030" s="182"/>
      <c r="Q1030" s="104"/>
      <c r="R1030" s="363"/>
      <c r="S1030" s="104"/>
    </row>
    <row r="1031" spans="1:19" ht="29.25" customHeight="1">
      <c r="A1031" s="224"/>
      <c r="B1031" s="359"/>
      <c r="C1031" s="360"/>
      <c r="D1031" s="361"/>
      <c r="E1031" s="352"/>
      <c r="F1031" s="161"/>
      <c r="G1031" s="225"/>
      <c r="H1031" s="225"/>
      <c r="I1031" s="180"/>
      <c r="J1031" s="181"/>
      <c r="K1031" s="181"/>
      <c r="L1031" s="181"/>
      <c r="M1031" s="164"/>
      <c r="N1031" s="180"/>
      <c r="O1031" s="180"/>
      <c r="P1031" s="182"/>
      <c r="Q1031" s="104"/>
      <c r="R1031" s="358"/>
      <c r="S1031" s="104"/>
    </row>
    <row r="1032" spans="1:19" ht="29.25" customHeight="1">
      <c r="A1032" s="224"/>
      <c r="B1032" s="359"/>
      <c r="C1032" s="360"/>
      <c r="D1032" s="361"/>
      <c r="E1032" s="362"/>
      <c r="F1032" s="161"/>
      <c r="G1032" s="225"/>
      <c r="H1032" s="225"/>
      <c r="I1032" s="180"/>
      <c r="J1032" s="181"/>
      <c r="K1032" s="181"/>
      <c r="L1032" s="181"/>
      <c r="M1032" s="164"/>
      <c r="N1032" s="180"/>
      <c r="O1032" s="180"/>
      <c r="P1032" s="182"/>
      <c r="Q1032" s="104"/>
      <c r="R1032" s="363"/>
      <c r="S1032" s="104"/>
    </row>
    <row r="1033" spans="1:19" ht="29.25" customHeight="1">
      <c r="A1033" s="224"/>
      <c r="B1033" s="359"/>
      <c r="C1033" s="360"/>
      <c r="D1033" s="361"/>
      <c r="E1033" s="352"/>
      <c r="F1033" s="161"/>
      <c r="G1033" s="225"/>
      <c r="H1033" s="225"/>
      <c r="I1033" s="180"/>
      <c r="J1033" s="181"/>
      <c r="K1033" s="181"/>
      <c r="L1033" s="181"/>
      <c r="M1033" s="164"/>
      <c r="N1033" s="180"/>
      <c r="O1033" s="180"/>
      <c r="P1033" s="182"/>
      <c r="Q1033" s="104"/>
      <c r="R1033" s="358"/>
      <c r="S1033" s="104"/>
    </row>
    <row r="1034" spans="1:19" ht="29.25" customHeight="1">
      <c r="A1034" s="224"/>
      <c r="B1034" s="359"/>
      <c r="C1034" s="360"/>
      <c r="D1034" s="361"/>
      <c r="E1034" s="362"/>
      <c r="F1034" s="161"/>
      <c r="G1034" s="225"/>
      <c r="H1034" s="225"/>
      <c r="I1034" s="180"/>
      <c r="J1034" s="181"/>
      <c r="K1034" s="181"/>
      <c r="L1034" s="181"/>
      <c r="M1034" s="164"/>
      <c r="N1034" s="180"/>
      <c r="O1034" s="180"/>
      <c r="P1034" s="182"/>
      <c r="Q1034" s="104"/>
      <c r="R1034" s="363"/>
      <c r="S1034" s="104"/>
    </row>
    <row r="1035" spans="1:19" ht="29.25" customHeight="1">
      <c r="A1035" s="224"/>
      <c r="B1035" s="359"/>
      <c r="C1035" s="360"/>
      <c r="D1035" s="361"/>
      <c r="E1035" s="352"/>
      <c r="F1035" s="161"/>
      <c r="G1035" s="225"/>
      <c r="H1035" s="225"/>
      <c r="I1035" s="180"/>
      <c r="J1035" s="181"/>
      <c r="K1035" s="181"/>
      <c r="L1035" s="181"/>
      <c r="M1035" s="164"/>
      <c r="N1035" s="180"/>
      <c r="O1035" s="180"/>
      <c r="P1035" s="182"/>
      <c r="Q1035" s="104"/>
      <c r="R1035" s="358"/>
      <c r="S1035" s="104"/>
    </row>
    <row r="1036" spans="1:19" ht="29.25" customHeight="1">
      <c r="A1036" s="224"/>
      <c r="B1036" s="359"/>
      <c r="C1036" s="360"/>
      <c r="D1036" s="361"/>
      <c r="E1036" s="362"/>
      <c r="F1036" s="161"/>
      <c r="G1036" s="225"/>
      <c r="H1036" s="225"/>
      <c r="I1036" s="180"/>
      <c r="J1036" s="181"/>
      <c r="K1036" s="181"/>
      <c r="L1036" s="181"/>
      <c r="M1036" s="164"/>
      <c r="N1036" s="180"/>
      <c r="O1036" s="180"/>
      <c r="P1036" s="182"/>
      <c r="Q1036" s="104"/>
      <c r="R1036" s="363"/>
      <c r="S1036" s="104"/>
    </row>
    <row r="1037" spans="1:19" ht="29.25" customHeight="1">
      <c r="A1037" s="224"/>
      <c r="B1037" s="359"/>
      <c r="C1037" s="360"/>
      <c r="D1037" s="361"/>
      <c r="E1037" s="352"/>
      <c r="F1037" s="161"/>
      <c r="G1037" s="225"/>
      <c r="H1037" s="225"/>
      <c r="I1037" s="180"/>
      <c r="J1037" s="181"/>
      <c r="K1037" s="181"/>
      <c r="L1037" s="181"/>
      <c r="M1037" s="164"/>
      <c r="N1037" s="180"/>
      <c r="O1037" s="180"/>
      <c r="P1037" s="182"/>
      <c r="Q1037" s="104"/>
      <c r="R1037" s="358"/>
      <c r="S1037" s="104"/>
    </row>
    <row r="1038" spans="1:19" ht="29.25" customHeight="1">
      <c r="A1038" s="224"/>
      <c r="B1038" s="359"/>
      <c r="C1038" s="360"/>
      <c r="D1038" s="361"/>
      <c r="E1038" s="362"/>
      <c r="F1038" s="161"/>
      <c r="G1038" s="225"/>
      <c r="H1038" s="225"/>
      <c r="I1038" s="180"/>
      <c r="J1038" s="181"/>
      <c r="K1038" s="181"/>
      <c r="L1038" s="181"/>
      <c r="M1038" s="164"/>
      <c r="N1038" s="180"/>
      <c r="O1038" s="180"/>
      <c r="P1038" s="182"/>
      <c r="Q1038" s="104"/>
      <c r="R1038" s="363"/>
      <c r="S1038" s="104"/>
    </row>
    <row r="1039" spans="1:19" ht="29.25" customHeight="1">
      <c r="A1039" s="224"/>
      <c r="B1039" s="359"/>
      <c r="C1039" s="360"/>
      <c r="D1039" s="361"/>
      <c r="E1039" s="352"/>
      <c r="F1039" s="161"/>
      <c r="G1039" s="225"/>
      <c r="H1039" s="225"/>
      <c r="I1039" s="180"/>
      <c r="J1039" s="181"/>
      <c r="K1039" s="181"/>
      <c r="L1039" s="181"/>
      <c r="M1039" s="164"/>
      <c r="N1039" s="180"/>
      <c r="O1039" s="180"/>
      <c r="P1039" s="182"/>
      <c r="Q1039" s="104"/>
      <c r="R1039" s="358"/>
      <c r="S1039" s="104"/>
    </row>
    <row r="1040" spans="1:19" ht="29.25" customHeight="1">
      <c r="A1040" s="224"/>
      <c r="B1040" s="359"/>
      <c r="C1040" s="360"/>
      <c r="D1040" s="361"/>
      <c r="E1040" s="362"/>
      <c r="F1040" s="161"/>
      <c r="G1040" s="225"/>
      <c r="H1040" s="225"/>
      <c r="I1040" s="180"/>
      <c r="J1040" s="181"/>
      <c r="K1040" s="181"/>
      <c r="L1040" s="181"/>
      <c r="M1040" s="164"/>
      <c r="N1040" s="180"/>
      <c r="O1040" s="180"/>
      <c r="P1040" s="182"/>
      <c r="Q1040" s="104"/>
      <c r="R1040" s="363"/>
      <c r="S1040" s="104"/>
    </row>
    <row r="1041" spans="1:19" ht="29.25" customHeight="1">
      <c r="A1041" s="224"/>
      <c r="B1041" s="359"/>
      <c r="C1041" s="360"/>
      <c r="D1041" s="361"/>
      <c r="E1041" s="352"/>
      <c r="F1041" s="161"/>
      <c r="G1041" s="225"/>
      <c r="H1041" s="225"/>
      <c r="I1041" s="180"/>
      <c r="J1041" s="181"/>
      <c r="K1041" s="181"/>
      <c r="L1041" s="181"/>
      <c r="M1041" s="164"/>
      <c r="N1041" s="180"/>
      <c r="O1041" s="180"/>
      <c r="P1041" s="182"/>
      <c r="Q1041" s="104"/>
      <c r="R1041" s="358"/>
      <c r="S1041" s="104"/>
    </row>
    <row r="1042" spans="1:19" ht="29.25" customHeight="1">
      <c r="A1042" s="224"/>
      <c r="B1042" s="359"/>
      <c r="C1042" s="360"/>
      <c r="D1042" s="361"/>
      <c r="E1042" s="362"/>
      <c r="F1042" s="161"/>
      <c r="G1042" s="225"/>
      <c r="H1042" s="225"/>
      <c r="I1042" s="180"/>
      <c r="J1042" s="181"/>
      <c r="K1042" s="181"/>
      <c r="L1042" s="181"/>
      <c r="M1042" s="164"/>
      <c r="N1042" s="180"/>
      <c r="O1042" s="180"/>
      <c r="P1042" s="182"/>
      <c r="Q1042" s="104"/>
      <c r="R1042" s="363"/>
      <c r="S1042" s="104"/>
    </row>
    <row r="1043" spans="1:19" ht="29.25" customHeight="1">
      <c r="A1043" s="224"/>
      <c r="B1043" s="359"/>
      <c r="C1043" s="360"/>
      <c r="D1043" s="361"/>
      <c r="E1043" s="352"/>
      <c r="F1043" s="161"/>
      <c r="G1043" s="225"/>
      <c r="H1043" s="225"/>
      <c r="I1043" s="180"/>
      <c r="J1043" s="181"/>
      <c r="K1043" s="181"/>
      <c r="L1043" s="181"/>
      <c r="M1043" s="164"/>
      <c r="N1043" s="180"/>
      <c r="O1043" s="180"/>
      <c r="P1043" s="182"/>
      <c r="Q1043" s="104"/>
      <c r="R1043" s="358"/>
      <c r="S1043" s="104"/>
    </row>
    <row r="1044" spans="1:19" ht="29.25" customHeight="1">
      <c r="A1044" s="224"/>
      <c r="B1044" s="359"/>
      <c r="C1044" s="360"/>
      <c r="D1044" s="361"/>
      <c r="E1044" s="362"/>
      <c r="F1044" s="161"/>
      <c r="G1044" s="225"/>
      <c r="H1044" s="225"/>
      <c r="I1044" s="180"/>
      <c r="J1044" s="181"/>
      <c r="K1044" s="181"/>
      <c r="L1044" s="181"/>
      <c r="M1044" s="164"/>
      <c r="N1044" s="180"/>
      <c r="O1044" s="180"/>
      <c r="P1044" s="182"/>
      <c r="Q1044" s="104"/>
      <c r="R1044" s="363"/>
      <c r="S1044" s="104"/>
    </row>
    <row r="1045" spans="1:19" ht="29.25" customHeight="1">
      <c r="A1045" s="224"/>
      <c r="B1045" s="359"/>
      <c r="C1045" s="360"/>
      <c r="D1045" s="361"/>
      <c r="E1045" s="352"/>
      <c r="F1045" s="161"/>
      <c r="G1045" s="225"/>
      <c r="H1045" s="225"/>
      <c r="I1045" s="180"/>
      <c r="J1045" s="181"/>
      <c r="K1045" s="181"/>
      <c r="L1045" s="181"/>
      <c r="M1045" s="164"/>
      <c r="N1045" s="180"/>
      <c r="O1045" s="180"/>
      <c r="P1045" s="182"/>
      <c r="Q1045" s="104"/>
      <c r="R1045" s="358"/>
      <c r="S1045" s="104"/>
    </row>
    <row r="1046" spans="1:19" ht="29.25" customHeight="1">
      <c r="A1046" s="224"/>
      <c r="B1046" s="359"/>
      <c r="C1046" s="360"/>
      <c r="D1046" s="361"/>
      <c r="E1046" s="362"/>
      <c r="F1046" s="161"/>
      <c r="G1046" s="225"/>
      <c r="H1046" s="225"/>
      <c r="I1046" s="180"/>
      <c r="J1046" s="181"/>
      <c r="K1046" s="181"/>
      <c r="L1046" s="181"/>
      <c r="M1046" s="164"/>
      <c r="N1046" s="180"/>
      <c r="O1046" s="180"/>
      <c r="P1046" s="182"/>
      <c r="Q1046" s="104"/>
      <c r="R1046" s="363"/>
      <c r="S1046" s="104"/>
    </row>
    <row r="1047" spans="1:19" ht="29.25" customHeight="1">
      <c r="A1047" s="224"/>
      <c r="B1047" s="359"/>
      <c r="C1047" s="360"/>
      <c r="D1047" s="361"/>
      <c r="E1047" s="352"/>
      <c r="F1047" s="161"/>
      <c r="G1047" s="225"/>
      <c r="H1047" s="225"/>
      <c r="I1047" s="180"/>
      <c r="J1047" s="181"/>
      <c r="K1047" s="181"/>
      <c r="L1047" s="181"/>
      <c r="M1047" s="164"/>
      <c r="N1047" s="180"/>
      <c r="O1047" s="180"/>
      <c r="P1047" s="182"/>
      <c r="Q1047" s="104"/>
      <c r="R1047" s="358"/>
      <c r="S1047" s="104"/>
    </row>
    <row r="1048" spans="1:19" ht="29.25" customHeight="1">
      <c r="A1048" s="224"/>
      <c r="B1048" s="359"/>
      <c r="C1048" s="360"/>
      <c r="D1048" s="361"/>
      <c r="E1048" s="362"/>
      <c r="F1048" s="161"/>
      <c r="G1048" s="225"/>
      <c r="H1048" s="225"/>
      <c r="I1048" s="180"/>
      <c r="J1048" s="181"/>
      <c r="K1048" s="181"/>
      <c r="L1048" s="181"/>
      <c r="M1048" s="164"/>
      <c r="N1048" s="180"/>
      <c r="O1048" s="180"/>
      <c r="P1048" s="182"/>
      <c r="Q1048" s="104"/>
      <c r="R1048" s="363"/>
      <c r="S1048" s="104"/>
    </row>
    <row r="1049" spans="1:19" ht="29.25" customHeight="1">
      <c r="A1049" s="224"/>
      <c r="B1049" s="359"/>
      <c r="C1049" s="360"/>
      <c r="D1049" s="361"/>
      <c r="E1049" s="352"/>
      <c r="F1049" s="161"/>
      <c r="G1049" s="225"/>
      <c r="H1049" s="225"/>
      <c r="I1049" s="180"/>
      <c r="J1049" s="181"/>
      <c r="K1049" s="181"/>
      <c r="L1049" s="181"/>
      <c r="M1049" s="164"/>
      <c r="N1049" s="180"/>
      <c r="O1049" s="180"/>
      <c r="P1049" s="182"/>
      <c r="Q1049" s="104"/>
      <c r="R1049" s="358"/>
      <c r="S1049" s="104"/>
    </row>
    <row r="1050" spans="1:19" ht="29.25" customHeight="1">
      <c r="A1050" s="224"/>
      <c r="B1050" s="359"/>
      <c r="C1050" s="360"/>
      <c r="D1050" s="361"/>
      <c r="E1050" s="362"/>
      <c r="F1050" s="161"/>
      <c r="G1050" s="225"/>
      <c r="H1050" s="225"/>
      <c r="I1050" s="180"/>
      <c r="J1050" s="181"/>
      <c r="K1050" s="181"/>
      <c r="L1050" s="181"/>
      <c r="M1050" s="164"/>
      <c r="N1050" s="180"/>
      <c r="O1050" s="180"/>
      <c r="P1050" s="182"/>
      <c r="Q1050" s="104"/>
      <c r="R1050" s="363"/>
      <c r="S1050" s="104"/>
    </row>
    <row r="1051" spans="1:19" ht="29.25" customHeight="1">
      <c r="A1051" s="224"/>
      <c r="B1051" s="359"/>
      <c r="C1051" s="360"/>
      <c r="D1051" s="361"/>
      <c r="E1051" s="352"/>
      <c r="F1051" s="161"/>
      <c r="G1051" s="225"/>
      <c r="H1051" s="225"/>
      <c r="I1051" s="180"/>
      <c r="J1051" s="181"/>
      <c r="K1051" s="181"/>
      <c r="L1051" s="181"/>
      <c r="M1051" s="164"/>
      <c r="N1051" s="180"/>
      <c r="O1051" s="180"/>
      <c r="P1051" s="182"/>
      <c r="Q1051" s="104"/>
      <c r="R1051" s="358"/>
      <c r="S1051" s="104"/>
    </row>
    <row r="1052" spans="1:19" ht="29.25" customHeight="1">
      <c r="A1052" s="224"/>
      <c r="B1052" s="359"/>
      <c r="C1052" s="360"/>
      <c r="D1052" s="361"/>
      <c r="E1052" s="362"/>
      <c r="F1052" s="161"/>
      <c r="G1052" s="225"/>
      <c r="H1052" s="225"/>
      <c r="I1052" s="180"/>
      <c r="J1052" s="181"/>
      <c r="K1052" s="181"/>
      <c r="L1052" s="181"/>
      <c r="M1052" s="164"/>
      <c r="N1052" s="180"/>
      <c r="O1052" s="180"/>
      <c r="P1052" s="182"/>
      <c r="Q1052" s="104"/>
      <c r="R1052" s="363"/>
      <c r="S1052" s="104"/>
    </row>
    <row r="1053" spans="1:19" ht="29.25" customHeight="1">
      <c r="A1053" s="224"/>
      <c r="B1053" s="359"/>
      <c r="C1053" s="360"/>
      <c r="D1053" s="361"/>
      <c r="E1053" s="352"/>
      <c r="F1053" s="161"/>
      <c r="G1053" s="225"/>
      <c r="H1053" s="225"/>
      <c r="I1053" s="180"/>
      <c r="J1053" s="181"/>
      <c r="K1053" s="181"/>
      <c r="L1053" s="181"/>
      <c r="M1053" s="164"/>
      <c r="N1053" s="180"/>
      <c r="O1053" s="180"/>
      <c r="P1053" s="182"/>
      <c r="Q1053" s="104"/>
      <c r="R1053" s="358"/>
      <c r="S1053" s="104"/>
    </row>
    <row r="1054" spans="1:19" ht="29.25" customHeight="1">
      <c r="A1054" s="224"/>
      <c r="B1054" s="359"/>
      <c r="C1054" s="360"/>
      <c r="D1054" s="361"/>
      <c r="E1054" s="362"/>
      <c r="F1054" s="161"/>
      <c r="G1054" s="225"/>
      <c r="H1054" s="225"/>
      <c r="I1054" s="180"/>
      <c r="J1054" s="181"/>
      <c r="K1054" s="181"/>
      <c r="L1054" s="181"/>
      <c r="M1054" s="164"/>
      <c r="N1054" s="180"/>
      <c r="O1054" s="180"/>
      <c r="P1054" s="182"/>
      <c r="Q1054" s="104"/>
      <c r="R1054" s="363"/>
      <c r="S1054" s="104"/>
    </row>
    <row r="1055" spans="1:19" ht="29.25" customHeight="1">
      <c r="A1055" s="224"/>
      <c r="B1055" s="359"/>
      <c r="C1055" s="360"/>
      <c r="D1055" s="361"/>
      <c r="E1055" s="352"/>
      <c r="F1055" s="161"/>
      <c r="G1055" s="225"/>
      <c r="H1055" s="225"/>
      <c r="I1055" s="180"/>
      <c r="J1055" s="181"/>
      <c r="K1055" s="181"/>
      <c r="L1055" s="181"/>
      <c r="M1055" s="164"/>
      <c r="N1055" s="180"/>
      <c r="O1055" s="180"/>
      <c r="P1055" s="182"/>
      <c r="Q1055" s="104"/>
      <c r="R1055" s="358"/>
      <c r="S1055" s="104"/>
    </row>
    <row r="1056" spans="1:19" ht="29.25" customHeight="1">
      <c r="A1056" s="224"/>
      <c r="B1056" s="359"/>
      <c r="C1056" s="360"/>
      <c r="D1056" s="361"/>
      <c r="E1056" s="362"/>
      <c r="F1056" s="161"/>
      <c r="G1056" s="225"/>
      <c r="H1056" s="225"/>
      <c r="I1056" s="180"/>
      <c r="J1056" s="181"/>
      <c r="K1056" s="181"/>
      <c r="L1056" s="181"/>
      <c r="M1056" s="164"/>
      <c r="N1056" s="180"/>
      <c r="O1056" s="180"/>
      <c r="P1056" s="182"/>
      <c r="Q1056" s="104"/>
      <c r="R1056" s="363"/>
      <c r="S1056" s="104"/>
    </row>
    <row r="1057" spans="1:19" ht="29.25" customHeight="1">
      <c r="A1057" s="224"/>
      <c r="B1057" s="359"/>
      <c r="C1057" s="360"/>
      <c r="D1057" s="361"/>
      <c r="E1057" s="352"/>
      <c r="F1057" s="161"/>
      <c r="G1057" s="225"/>
      <c r="H1057" s="225"/>
      <c r="I1057" s="180"/>
      <c r="J1057" s="181"/>
      <c r="K1057" s="181"/>
      <c r="L1057" s="181"/>
      <c r="M1057" s="164"/>
      <c r="N1057" s="180"/>
      <c r="O1057" s="180"/>
      <c r="P1057" s="182"/>
      <c r="Q1057" s="104"/>
      <c r="R1057" s="358"/>
      <c r="S1057" s="104"/>
    </row>
    <row r="1058" spans="1:19" ht="29.25" customHeight="1">
      <c r="A1058" s="224"/>
      <c r="B1058" s="359"/>
      <c r="C1058" s="360"/>
      <c r="D1058" s="361"/>
      <c r="E1058" s="362"/>
      <c r="F1058" s="161"/>
      <c r="G1058" s="225"/>
      <c r="H1058" s="225"/>
      <c r="I1058" s="180"/>
      <c r="J1058" s="181"/>
      <c r="K1058" s="181"/>
      <c r="L1058" s="181"/>
      <c r="M1058" s="164"/>
      <c r="N1058" s="180"/>
      <c r="O1058" s="180"/>
      <c r="P1058" s="182"/>
      <c r="Q1058" s="104"/>
      <c r="R1058" s="363"/>
      <c r="S1058" s="104"/>
    </row>
    <row r="1059" spans="1:19" ht="29.25" customHeight="1">
      <c r="A1059" s="224"/>
      <c r="B1059" s="359"/>
      <c r="C1059" s="360"/>
      <c r="D1059" s="361"/>
      <c r="E1059" s="352"/>
      <c r="F1059" s="161"/>
      <c r="G1059" s="225"/>
      <c r="H1059" s="225"/>
      <c r="I1059" s="180"/>
      <c r="J1059" s="181"/>
      <c r="K1059" s="181"/>
      <c r="L1059" s="181"/>
      <c r="M1059" s="164"/>
      <c r="N1059" s="180"/>
      <c r="O1059" s="180"/>
      <c r="P1059" s="182"/>
      <c r="Q1059" s="104"/>
      <c r="R1059" s="358"/>
      <c r="S1059" s="104"/>
    </row>
    <row r="1060" spans="1:19" ht="29.25" customHeight="1">
      <c r="A1060" s="224"/>
      <c r="B1060" s="359"/>
      <c r="C1060" s="360"/>
      <c r="D1060" s="361"/>
      <c r="E1060" s="362"/>
      <c r="F1060" s="161"/>
      <c r="G1060" s="225"/>
      <c r="H1060" s="225"/>
      <c r="I1060" s="180"/>
      <c r="J1060" s="181"/>
      <c r="K1060" s="181"/>
      <c r="L1060" s="181"/>
      <c r="M1060" s="164"/>
      <c r="N1060" s="180"/>
      <c r="O1060" s="180"/>
      <c r="P1060" s="182"/>
      <c r="Q1060" s="104"/>
      <c r="R1060" s="363"/>
      <c r="S1060" s="104"/>
    </row>
    <row r="1061" spans="1:19" ht="29.25" customHeight="1">
      <c r="A1061" s="224"/>
      <c r="B1061" s="359"/>
      <c r="C1061" s="360"/>
      <c r="D1061" s="361"/>
      <c r="E1061" s="352"/>
      <c r="F1061" s="161"/>
      <c r="G1061" s="225"/>
      <c r="H1061" s="225"/>
      <c r="I1061" s="180"/>
      <c r="J1061" s="181"/>
      <c r="K1061" s="181"/>
      <c r="L1061" s="181"/>
      <c r="M1061" s="164"/>
      <c r="N1061" s="180"/>
      <c r="O1061" s="180"/>
      <c r="P1061" s="182"/>
      <c r="Q1061" s="104"/>
      <c r="R1061" s="358"/>
      <c r="S1061" s="104"/>
    </row>
    <row r="1062" spans="1:19" ht="29.25" customHeight="1">
      <c r="A1062" s="224"/>
      <c r="B1062" s="359"/>
      <c r="C1062" s="360"/>
      <c r="D1062" s="361"/>
      <c r="E1062" s="362"/>
      <c r="F1062" s="161"/>
      <c r="G1062" s="225"/>
      <c r="H1062" s="225"/>
      <c r="I1062" s="180"/>
      <c r="J1062" s="181"/>
      <c r="K1062" s="181"/>
      <c r="L1062" s="181"/>
      <c r="M1062" s="164"/>
      <c r="N1062" s="180"/>
      <c r="O1062" s="180"/>
      <c r="P1062" s="182"/>
      <c r="Q1062" s="104"/>
      <c r="R1062" s="363"/>
      <c r="S1062" s="104"/>
    </row>
    <row r="1063" spans="1:19" ht="29.25" customHeight="1">
      <c r="A1063" s="224"/>
      <c r="B1063" s="359"/>
      <c r="C1063" s="360"/>
      <c r="D1063" s="361"/>
      <c r="E1063" s="364"/>
      <c r="F1063" s="161"/>
      <c r="G1063" s="225"/>
      <c r="H1063" s="225"/>
      <c r="I1063" s="180"/>
      <c r="J1063" s="181"/>
      <c r="K1063" s="181"/>
      <c r="L1063" s="181"/>
      <c r="M1063" s="164"/>
      <c r="N1063" s="180"/>
      <c r="O1063" s="180"/>
      <c r="P1063" s="182"/>
      <c r="Q1063" s="104"/>
      <c r="R1063" s="365"/>
      <c r="S1063" s="104"/>
    </row>
    <row r="1064" spans="1:19" ht="29.25" customHeight="1">
      <c r="A1064" s="224"/>
      <c r="B1064" s="359"/>
      <c r="C1064" s="360"/>
      <c r="D1064" s="361"/>
      <c r="E1064" s="366"/>
      <c r="F1064" s="161"/>
      <c r="G1064" s="225"/>
      <c r="H1064" s="225"/>
      <c r="I1064" s="180"/>
      <c r="J1064" s="181"/>
      <c r="K1064" s="181"/>
      <c r="L1064" s="181"/>
      <c r="M1064" s="164"/>
      <c r="N1064" s="180"/>
      <c r="O1064" s="180"/>
      <c r="P1064" s="182"/>
      <c r="Q1064" s="104"/>
      <c r="R1064" s="367"/>
      <c r="S1064" s="104"/>
    </row>
    <row r="1065" spans="1:19" ht="29.25" customHeight="1">
      <c r="A1065" s="224"/>
      <c r="B1065" s="359"/>
      <c r="C1065" s="360"/>
      <c r="D1065" s="361"/>
      <c r="E1065" s="366"/>
      <c r="F1065" s="161"/>
      <c r="G1065" s="225"/>
      <c r="H1065" s="225"/>
      <c r="I1065" s="180"/>
      <c r="J1065" s="181"/>
      <c r="K1065" s="181"/>
      <c r="L1065" s="181"/>
      <c r="M1065" s="164"/>
      <c r="N1065" s="180"/>
      <c r="O1065" s="180"/>
      <c r="P1065" s="182"/>
      <c r="Q1065" s="104"/>
      <c r="R1065" s="367"/>
      <c r="S1065" s="104"/>
    </row>
    <row r="1066" spans="1:19" ht="29.25" customHeight="1"/>
  </sheetData>
  <conditionalFormatting sqref="B2:B1066">
    <cfRule type="expression" dxfId="1" priority="1">
      <formula>COUNTIF($B$2:$B$1056,B2)&gt;1</formula>
    </cfRule>
  </conditionalFormatting>
  <dataValidations count="3">
    <dataValidation type="list" allowBlank="1" sqref="F2:F1065">
      <formula1>"FINALIZADO,EN PROCESO,PAUSADO,EN TEST,PENDIENTE,PRUEBAS CLIENTE,PENDIENTE CLIENTE,PRUEBAS IMAGINE,PASO A PRODUCCION"</formula1>
    </dataValidation>
    <dataValidation type="custom" allowBlank="1" showDropDown="1" sqref="I2:L1065 O2:P1065">
      <formula1>OR(NOT(ISERROR(DATEVALUE(I2))), AND(ISNUMBER(I2), LEFT(CELL("format", I2))="D"))</formula1>
    </dataValidation>
    <dataValidation allowBlank="1" showDropDown="1" sqref="R2:R1065"/>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68" t="s">
        <v>2226</v>
      </c>
      <c r="B1" s="368" t="s">
        <v>2</v>
      </c>
      <c r="C1" s="368" t="s">
        <v>4</v>
      </c>
      <c r="D1" s="368" t="s">
        <v>5</v>
      </c>
      <c r="E1" s="369" t="s">
        <v>8</v>
      </c>
      <c r="F1" s="369" t="s">
        <v>9</v>
      </c>
      <c r="G1" s="370" t="s">
        <v>2227</v>
      </c>
      <c r="H1" s="369" t="s">
        <v>11</v>
      </c>
      <c r="I1" s="369" t="s">
        <v>2228</v>
      </c>
      <c r="J1" s="371" t="s">
        <v>14</v>
      </c>
      <c r="K1" s="368" t="s">
        <v>15</v>
      </c>
      <c r="L1" s="372" t="s">
        <v>2229</v>
      </c>
      <c r="M1" s="373"/>
      <c r="N1" s="373"/>
      <c r="O1" s="373"/>
      <c r="P1" s="373"/>
      <c r="Q1" s="373"/>
      <c r="R1" s="373"/>
      <c r="S1" s="373"/>
      <c r="T1" s="373"/>
      <c r="U1" s="373"/>
      <c r="V1" s="373"/>
      <c r="W1" s="373"/>
      <c r="X1" s="373"/>
      <c r="Y1" s="373"/>
      <c r="Z1" s="373"/>
    </row>
    <row r="2" spans="1:26" ht="30">
      <c r="A2" s="374" t="s">
        <v>2230</v>
      </c>
      <c r="B2" s="375" t="s">
        <v>2231</v>
      </c>
      <c r="C2" s="376"/>
      <c r="D2" s="377" t="s">
        <v>2232</v>
      </c>
      <c r="E2" s="378">
        <v>45526</v>
      </c>
      <c r="F2" s="378">
        <v>45526</v>
      </c>
      <c r="G2" s="376"/>
      <c r="H2" s="376"/>
      <c r="I2" s="376"/>
      <c r="J2" s="376"/>
      <c r="K2" s="376"/>
      <c r="L2" s="376" t="s">
        <v>2233</v>
      </c>
      <c r="M2" s="379"/>
      <c r="N2" s="379"/>
      <c r="O2" s="379"/>
      <c r="P2" s="379"/>
      <c r="Q2" s="379"/>
      <c r="R2" s="379"/>
      <c r="S2" s="379"/>
      <c r="T2" s="379"/>
      <c r="U2" s="379"/>
      <c r="V2" s="379"/>
      <c r="W2" s="379"/>
      <c r="X2" s="379"/>
      <c r="Y2" s="379"/>
      <c r="Z2" s="379"/>
    </row>
    <row r="3" spans="1:26" ht="28.5">
      <c r="A3" s="380" t="s">
        <v>2230</v>
      </c>
      <c r="B3" s="381" t="s">
        <v>2234</v>
      </c>
      <c r="C3" s="382" t="s">
        <v>2235</v>
      </c>
      <c r="D3" s="382" t="s">
        <v>76</v>
      </c>
      <c r="E3" s="383">
        <v>45560</v>
      </c>
      <c r="F3" s="383">
        <v>45560</v>
      </c>
      <c r="G3" s="384"/>
      <c r="H3" s="383">
        <v>45567</v>
      </c>
      <c r="I3" s="385">
        <f ca="1">IF(ISBLANK(H3), NETWORKDAYS(F3, TODAY(),fESTIVOS!$A$1:$A$18), NETWORKDAYS(F3, H3, fESTIVOS!$A$1:$A$18))</f>
        <v>6</v>
      </c>
      <c r="J3" s="383">
        <v>45567</v>
      </c>
      <c r="K3" s="384"/>
      <c r="L3" s="386" t="s">
        <v>2236</v>
      </c>
      <c r="M3" s="373"/>
      <c r="N3" s="373"/>
      <c r="O3" s="373"/>
      <c r="P3" s="373"/>
      <c r="Q3" s="373"/>
      <c r="R3" s="373"/>
      <c r="S3" s="373"/>
      <c r="T3" s="373"/>
      <c r="U3" s="373"/>
      <c r="V3" s="373"/>
      <c r="W3" s="373"/>
      <c r="X3" s="373"/>
      <c r="Y3" s="373"/>
      <c r="Z3" s="373"/>
    </row>
    <row r="4" spans="1:26" ht="186">
      <c r="A4" s="387" t="s">
        <v>2237</v>
      </c>
      <c r="B4" s="388" t="s">
        <v>2238</v>
      </c>
      <c r="C4" s="389" t="s">
        <v>2239</v>
      </c>
      <c r="D4" s="390" t="s">
        <v>2240</v>
      </c>
      <c r="E4" s="391">
        <v>45581</v>
      </c>
      <c r="F4" s="391">
        <v>45581</v>
      </c>
      <c r="G4" s="391">
        <v>45582</v>
      </c>
      <c r="H4" s="392">
        <v>45590</v>
      </c>
      <c r="I4" s="393">
        <f ca="1">IF(ISBLANK(H4), NETWORKDAYS(F4, TODAY(),fESTIVOS!$A$1:$A$18), NETWORKDAYS(F4, H4, fESTIVOS!$A$1:$A$18))</f>
        <v>8</v>
      </c>
      <c r="J4" s="392">
        <v>45590</v>
      </c>
      <c r="K4" s="391"/>
      <c r="L4" s="387" t="s">
        <v>2241</v>
      </c>
      <c r="M4" s="394"/>
      <c r="N4" s="394"/>
      <c r="O4" s="394"/>
      <c r="P4" s="394"/>
      <c r="Q4" s="394"/>
      <c r="R4" s="394"/>
      <c r="S4" s="394"/>
      <c r="T4" s="394"/>
      <c r="U4" s="394"/>
      <c r="V4" s="394"/>
      <c r="W4" s="394"/>
      <c r="X4" s="394"/>
      <c r="Y4" s="394"/>
      <c r="Z4" s="394"/>
    </row>
    <row r="5" spans="1:26" ht="30">
      <c r="A5" s="372" t="s">
        <v>2230</v>
      </c>
      <c r="B5" s="388" t="s">
        <v>2242</v>
      </c>
      <c r="C5" s="382" t="s">
        <v>2243</v>
      </c>
      <c r="D5" s="395" t="s">
        <v>654</v>
      </c>
      <c r="E5" s="383">
        <v>45572</v>
      </c>
      <c r="F5" s="383">
        <v>45590</v>
      </c>
      <c r="G5" s="383"/>
      <c r="H5" s="383">
        <v>45594</v>
      </c>
      <c r="I5" s="385">
        <f ca="1">IF(ISBLANK(H5), NETWORKDAYS(F5, TODAY(),fESTIVOS!$A$1:$A$18), NETWORKDAYS(F5, H5, fESTIVOS!$A$1:$A$18))</f>
        <v>3</v>
      </c>
      <c r="J5" s="383">
        <v>45594</v>
      </c>
      <c r="K5" s="383"/>
      <c r="L5" s="386" t="s">
        <v>2244</v>
      </c>
      <c r="M5" s="373"/>
      <c r="N5" s="373"/>
      <c r="O5" s="373"/>
      <c r="P5" s="373"/>
      <c r="Q5" s="373"/>
      <c r="R5" s="373"/>
      <c r="S5" s="373"/>
      <c r="T5" s="373"/>
      <c r="U5" s="373"/>
      <c r="V5" s="373"/>
      <c r="W5" s="373"/>
      <c r="X5" s="373"/>
      <c r="Y5" s="373"/>
      <c r="Z5" s="373"/>
    </row>
    <row r="6" spans="1:26" ht="117">
      <c r="A6" s="396" t="s">
        <v>2245</v>
      </c>
      <c r="B6" s="396" t="s">
        <v>2246</v>
      </c>
      <c r="C6" s="390" t="s">
        <v>2247</v>
      </c>
      <c r="D6" s="396" t="s">
        <v>2248</v>
      </c>
      <c r="E6" s="397">
        <v>45602</v>
      </c>
      <c r="F6" s="397">
        <v>45602</v>
      </c>
      <c r="G6" s="396"/>
      <c r="H6" s="397">
        <v>45602</v>
      </c>
      <c r="I6" s="393">
        <f ca="1">IF(ISBLANK(H6), NETWORKDAYS(F6, TODAY(),fESTIVOS!$A$1:$A$18), NETWORKDAYS(F6, H6, fESTIVOS!$A$1:$A$18))</f>
        <v>1</v>
      </c>
      <c r="J6" s="397"/>
      <c r="K6" s="397">
        <v>45602</v>
      </c>
      <c r="L6" s="398" t="s">
        <v>2249</v>
      </c>
      <c r="M6" s="399"/>
      <c r="N6" s="400"/>
      <c r="O6" s="400"/>
      <c r="P6" s="400"/>
      <c r="Q6" s="400"/>
      <c r="R6" s="400"/>
      <c r="S6" s="400"/>
      <c r="T6" s="400"/>
      <c r="U6" s="400"/>
      <c r="V6" s="400"/>
      <c r="W6" s="400"/>
      <c r="X6" s="400"/>
      <c r="Y6" s="400"/>
      <c r="Z6" s="400"/>
    </row>
    <row r="7" spans="1:26" ht="99.75">
      <c r="A7" s="372" t="s">
        <v>2230</v>
      </c>
      <c r="B7" s="381" t="s">
        <v>2234</v>
      </c>
      <c r="C7" s="401" t="s">
        <v>2250</v>
      </c>
      <c r="D7" s="395" t="s">
        <v>654</v>
      </c>
      <c r="E7" s="383">
        <v>45589</v>
      </c>
      <c r="F7" s="383">
        <v>45589</v>
      </c>
      <c r="G7" s="395"/>
      <c r="H7" s="402">
        <v>45603</v>
      </c>
      <c r="I7" s="385">
        <f ca="1">IF(ISBLANK(H7), NETWORKDAYS(F7, TODAY(),fESTIVOS!$A$1:$A$18), NETWORKDAYS(F7, H7, fESTIVOS!$A$1:$A$18))</f>
        <v>10</v>
      </c>
      <c r="J7" s="402">
        <v>45603</v>
      </c>
      <c r="K7" s="395"/>
      <c r="L7" s="403" t="s">
        <v>2251</v>
      </c>
      <c r="M7" s="404"/>
      <c r="N7" s="404"/>
      <c r="O7" s="404"/>
      <c r="P7" s="404"/>
      <c r="Q7" s="404"/>
      <c r="R7" s="404"/>
      <c r="S7" s="404"/>
      <c r="T7" s="404"/>
      <c r="U7" s="404"/>
      <c r="V7" s="404"/>
      <c r="W7" s="404"/>
      <c r="X7" s="404"/>
      <c r="Y7" s="404"/>
      <c r="Z7" s="404"/>
    </row>
    <row r="8" spans="1:26" ht="71.25">
      <c r="A8" s="405" t="s">
        <v>2230</v>
      </c>
      <c r="B8" s="406" t="s">
        <v>2252</v>
      </c>
      <c r="C8" s="407"/>
      <c r="D8" s="407" t="s">
        <v>2253</v>
      </c>
      <c r="E8" s="408">
        <v>45603</v>
      </c>
      <c r="F8" s="408">
        <v>45603</v>
      </c>
      <c r="G8" s="408"/>
      <c r="H8" s="408">
        <v>45610</v>
      </c>
      <c r="I8" s="409">
        <f ca="1">IF(ISBLANK(H8), NETWORKDAYS(F8, TODAY(),fESTIVOS!$A$1:$A$18), NETWORKDAYS(F8, H8, fESTIVOS!$A$1:$A$18))</f>
        <v>5</v>
      </c>
      <c r="J8" s="408">
        <v>45610</v>
      </c>
      <c r="K8" s="408"/>
      <c r="L8" s="410" t="s">
        <v>2254</v>
      </c>
      <c r="M8" s="373"/>
      <c r="N8" s="373"/>
      <c r="O8" s="373"/>
      <c r="P8" s="373"/>
      <c r="Q8" s="373"/>
      <c r="R8" s="373"/>
      <c r="S8" s="373"/>
      <c r="T8" s="373"/>
      <c r="U8" s="373"/>
      <c r="V8" s="373"/>
      <c r="W8" s="373"/>
      <c r="X8" s="373"/>
      <c r="Y8" s="373"/>
      <c r="Z8" s="373"/>
    </row>
    <row r="9" spans="1:26" ht="42.75">
      <c r="A9" s="411" t="s">
        <v>2255</v>
      </c>
      <c r="B9" s="412" t="s">
        <v>2256</v>
      </c>
      <c r="C9" s="413" t="s">
        <v>2257</v>
      </c>
      <c r="D9" s="414" t="s">
        <v>2258</v>
      </c>
      <c r="E9" s="415">
        <v>45671</v>
      </c>
      <c r="F9" s="416">
        <v>45673</v>
      </c>
      <c r="G9" s="413" t="s">
        <v>2259</v>
      </c>
      <c r="H9" s="415">
        <v>45680</v>
      </c>
      <c r="I9" s="393">
        <f ca="1">IF(ISBLANK(H9), NETWORKDAYS(F9, TODAY(),fESTIVOS!$A$1:$A$18), NETWORKDAYS(F9, H9, fESTIVOS!$A$1:$A$18))</f>
        <v>6</v>
      </c>
      <c r="J9" s="415">
        <v>45680</v>
      </c>
      <c r="K9" s="413"/>
      <c r="L9" s="417" t="s">
        <v>2260</v>
      </c>
      <c r="M9" s="418"/>
      <c r="N9" s="418"/>
      <c r="O9" s="418"/>
      <c r="P9" s="418"/>
      <c r="Q9" s="418"/>
      <c r="R9" s="418"/>
      <c r="S9" s="418"/>
      <c r="T9" s="418"/>
      <c r="U9" s="418"/>
      <c r="V9" s="418"/>
      <c r="W9" s="418"/>
      <c r="X9" s="418"/>
      <c r="Y9" s="418"/>
      <c r="Z9" s="418"/>
    </row>
    <row r="10" spans="1:26" ht="57">
      <c r="A10" s="411" t="s">
        <v>2255</v>
      </c>
      <c r="B10" s="419"/>
      <c r="C10" s="417" t="s">
        <v>2261</v>
      </c>
      <c r="D10" s="414" t="s">
        <v>2258</v>
      </c>
      <c r="E10" s="415">
        <v>45671</v>
      </c>
      <c r="F10" s="416">
        <v>45673</v>
      </c>
      <c r="G10" s="413"/>
      <c r="H10" s="415">
        <v>45674</v>
      </c>
      <c r="I10" s="393">
        <f ca="1">IF(ISBLANK(H10), NETWORKDAYS(F10, TODAY(),fESTIVOS!$A$1:$A$18), NETWORKDAYS(F10, H10, fESTIVOS!$A$1:$A$18))</f>
        <v>2</v>
      </c>
      <c r="J10" s="413"/>
      <c r="K10" s="413"/>
      <c r="L10" s="417" t="s">
        <v>2262</v>
      </c>
      <c r="M10" s="418"/>
      <c r="N10" s="418"/>
      <c r="O10" s="418"/>
      <c r="P10" s="418"/>
      <c r="Q10" s="418"/>
      <c r="R10" s="418"/>
      <c r="S10" s="418"/>
      <c r="T10" s="418"/>
      <c r="U10" s="418"/>
      <c r="V10" s="418"/>
      <c r="W10" s="418"/>
      <c r="X10" s="418"/>
      <c r="Y10" s="418"/>
      <c r="Z10" s="418"/>
    </row>
    <row r="11" spans="1:26" ht="42.75">
      <c r="A11" s="411" t="s">
        <v>2255</v>
      </c>
      <c r="B11" s="419"/>
      <c r="C11" s="417" t="s">
        <v>2263</v>
      </c>
      <c r="D11" s="414" t="s">
        <v>2258</v>
      </c>
      <c r="E11" s="415">
        <v>45671</v>
      </c>
      <c r="F11" s="416">
        <v>45673</v>
      </c>
      <c r="G11" s="413"/>
      <c r="H11" s="415">
        <v>45674</v>
      </c>
      <c r="I11" s="393">
        <f ca="1">IF(ISBLANK(H11), NETWORKDAYS(F11, TODAY(),fESTIVOS!$A$1:$A$18), NETWORKDAYS(F11, H11, fESTIVOS!$A$1:$A$18))</f>
        <v>2</v>
      </c>
      <c r="J11" s="413"/>
      <c r="K11" s="413"/>
      <c r="L11" s="417" t="s">
        <v>2262</v>
      </c>
      <c r="M11" s="418"/>
      <c r="N11" s="418"/>
      <c r="O11" s="418"/>
      <c r="P11" s="418"/>
      <c r="Q11" s="418"/>
      <c r="R11" s="418"/>
      <c r="S11" s="418"/>
      <c r="T11" s="418"/>
      <c r="U11" s="418"/>
      <c r="V11" s="418"/>
      <c r="W11" s="418"/>
      <c r="X11" s="418"/>
      <c r="Y11" s="418"/>
      <c r="Z11" s="418"/>
    </row>
    <row r="12" spans="1:26" ht="42.75">
      <c r="A12" s="411" t="s">
        <v>2255</v>
      </c>
      <c r="B12" s="419"/>
      <c r="C12" s="417" t="s">
        <v>2264</v>
      </c>
      <c r="D12" s="414" t="s">
        <v>2258</v>
      </c>
      <c r="E12" s="415">
        <v>45671</v>
      </c>
      <c r="F12" s="416">
        <v>45673</v>
      </c>
      <c r="G12" s="413"/>
      <c r="H12" s="415">
        <v>45674</v>
      </c>
      <c r="I12" s="393">
        <f ca="1">IF(ISBLANK(H12), NETWORKDAYS(F12, TODAY(),fESTIVOS!$A$1:$A$18), NETWORKDAYS(F12, H12, fESTIVOS!$A$1:$A$18))</f>
        <v>2</v>
      </c>
      <c r="J12" s="413"/>
      <c r="K12" s="413"/>
      <c r="L12" s="417" t="s">
        <v>2262</v>
      </c>
      <c r="M12" s="418"/>
      <c r="N12" s="418"/>
      <c r="O12" s="418"/>
      <c r="P12" s="418"/>
      <c r="Q12" s="418"/>
      <c r="R12" s="418"/>
      <c r="S12" s="418"/>
      <c r="T12" s="418"/>
      <c r="U12" s="418"/>
      <c r="V12" s="418"/>
      <c r="W12" s="418"/>
      <c r="X12" s="418"/>
      <c r="Y12" s="418"/>
      <c r="Z12" s="418"/>
    </row>
    <row r="13" spans="1:26" ht="42.75">
      <c r="A13" s="411" t="s">
        <v>2255</v>
      </c>
      <c r="B13" s="419"/>
      <c r="C13" s="417" t="s">
        <v>2265</v>
      </c>
      <c r="D13" s="414" t="s">
        <v>2258</v>
      </c>
      <c r="E13" s="415">
        <v>45671</v>
      </c>
      <c r="F13" s="416">
        <v>45673</v>
      </c>
      <c r="G13" s="413"/>
      <c r="H13" s="415">
        <v>45677</v>
      </c>
      <c r="I13" s="393">
        <f ca="1">IF(ISBLANK(H13), NETWORKDAYS(F13, TODAY(),fESTIVOS!$A$1:$A$18), NETWORKDAYS(F13, H13, fESTIVOS!$A$1:$A$18))</f>
        <v>3</v>
      </c>
      <c r="J13" s="413"/>
      <c r="K13" s="413"/>
      <c r="L13" s="417" t="s">
        <v>2262</v>
      </c>
      <c r="M13" s="418"/>
      <c r="N13" s="418"/>
      <c r="O13" s="418"/>
      <c r="P13" s="418"/>
      <c r="Q13" s="418"/>
      <c r="R13" s="418"/>
      <c r="S13" s="418"/>
      <c r="T13" s="418"/>
      <c r="U13" s="418"/>
      <c r="V13" s="418"/>
      <c r="W13" s="418"/>
      <c r="X13" s="418"/>
      <c r="Y13" s="418"/>
      <c r="Z13" s="418"/>
    </row>
    <row r="14" spans="1:26" ht="42.75">
      <c r="A14" s="411" t="s">
        <v>2255</v>
      </c>
      <c r="B14" s="419"/>
      <c r="C14" s="417" t="s">
        <v>2266</v>
      </c>
      <c r="D14" s="414" t="s">
        <v>2258</v>
      </c>
      <c r="E14" s="415">
        <v>45671</v>
      </c>
      <c r="F14" s="416">
        <v>45678</v>
      </c>
      <c r="G14" s="413"/>
      <c r="H14" s="416">
        <v>45678</v>
      </c>
      <c r="I14" s="393">
        <f ca="1">IF(ISBLANK(H14), NETWORKDAYS(F14, TODAY(),fESTIVOS!$A$1:$A$18), NETWORKDAYS(F14, H14, fESTIVOS!$A$1:$A$18))</f>
        <v>1</v>
      </c>
      <c r="J14" s="413"/>
      <c r="K14" s="413"/>
      <c r="L14" s="413" t="s">
        <v>2267</v>
      </c>
      <c r="M14" s="418"/>
      <c r="N14" s="418"/>
      <c r="O14" s="418"/>
      <c r="P14" s="418"/>
      <c r="Q14" s="418"/>
      <c r="R14" s="418"/>
      <c r="S14" s="418"/>
      <c r="T14" s="418"/>
      <c r="U14" s="418"/>
      <c r="V14" s="418"/>
      <c r="W14" s="418"/>
      <c r="X14" s="418"/>
      <c r="Y14" s="418"/>
      <c r="Z14" s="418"/>
    </row>
    <row r="15" spans="1:26" ht="42.75">
      <c r="A15" s="411" t="s">
        <v>2255</v>
      </c>
      <c r="B15" s="419"/>
      <c r="C15" s="417" t="s">
        <v>2268</v>
      </c>
      <c r="D15" s="414" t="s">
        <v>2258</v>
      </c>
      <c r="E15" s="415">
        <v>45671</v>
      </c>
      <c r="F15" s="416">
        <v>45679</v>
      </c>
      <c r="G15" s="413"/>
      <c r="H15" s="416">
        <v>45679</v>
      </c>
      <c r="I15" s="393">
        <f ca="1">IF(ISBLANK(H15), NETWORKDAYS(F15, TODAY(),fESTIVOS!$A$1:$A$18), NETWORKDAYS(F15, H15, fESTIVOS!$A$1:$A$18))</f>
        <v>1</v>
      </c>
      <c r="J15" s="413"/>
      <c r="K15" s="413"/>
      <c r="L15" s="413" t="s">
        <v>2267</v>
      </c>
      <c r="M15" s="418"/>
      <c r="N15" s="418"/>
      <c r="O15" s="418"/>
      <c r="P15" s="418"/>
      <c r="Q15" s="418"/>
      <c r="R15" s="418"/>
      <c r="S15" s="418"/>
      <c r="T15" s="418"/>
      <c r="U15" s="418"/>
      <c r="V15" s="418"/>
      <c r="W15" s="418"/>
      <c r="X15" s="418"/>
      <c r="Y15" s="418"/>
      <c r="Z15" s="418"/>
    </row>
    <row r="16" spans="1:26" ht="71.25">
      <c r="A16" s="411" t="s">
        <v>2255</v>
      </c>
      <c r="B16" s="420"/>
      <c r="C16" s="421" t="s">
        <v>2269</v>
      </c>
      <c r="D16" s="414" t="s">
        <v>2258</v>
      </c>
      <c r="E16" s="415">
        <v>45681</v>
      </c>
      <c r="F16" s="416">
        <v>45684</v>
      </c>
      <c r="G16" s="413"/>
      <c r="H16" s="415">
        <v>45685</v>
      </c>
      <c r="I16" s="393">
        <f ca="1">IF(ISBLANK(H16), NETWORKDAYS(F16, TODAY(),fESTIVOS!$A$1:$A$18), NETWORKDAYS(F16, H16, fESTIVOS!$A$1:$A$18))</f>
        <v>2</v>
      </c>
      <c r="J16" s="413"/>
      <c r="K16" s="413"/>
      <c r="L16" s="417" t="s">
        <v>2270</v>
      </c>
      <c r="M16" s="418"/>
      <c r="N16" s="418"/>
      <c r="O16" s="418"/>
      <c r="P16" s="418"/>
      <c r="Q16" s="418"/>
      <c r="R16" s="418"/>
      <c r="S16" s="418"/>
      <c r="T16" s="418"/>
      <c r="U16" s="418"/>
      <c r="V16" s="418"/>
      <c r="W16" s="418"/>
      <c r="X16" s="418"/>
      <c r="Y16" s="418"/>
      <c r="Z16" s="418"/>
    </row>
    <row r="17" spans="1:26" ht="15.75" customHeight="1">
      <c r="A17" s="379"/>
      <c r="B17" s="379"/>
      <c r="C17" s="379"/>
      <c r="D17" s="379"/>
      <c r="E17" s="379"/>
      <c r="F17" s="379"/>
      <c r="G17" s="379"/>
      <c r="H17" s="379"/>
      <c r="I17" s="379"/>
      <c r="J17" s="379"/>
      <c r="K17" s="379"/>
      <c r="L17" s="379"/>
      <c r="M17" s="379"/>
      <c r="N17" s="379"/>
      <c r="O17" s="379"/>
      <c r="P17" s="379"/>
      <c r="Q17" s="379"/>
      <c r="R17" s="379"/>
      <c r="S17" s="379"/>
      <c r="T17" s="379"/>
      <c r="U17" s="379"/>
      <c r="V17" s="379"/>
      <c r="W17" s="379"/>
      <c r="X17" s="379"/>
      <c r="Y17" s="379"/>
      <c r="Z17" s="379"/>
    </row>
    <row r="18" spans="1:26" ht="15.75" customHeight="1">
      <c r="A18" s="379"/>
      <c r="B18" s="379"/>
      <c r="C18" s="379"/>
      <c r="D18" s="379"/>
      <c r="E18" s="379"/>
      <c r="F18" s="379"/>
      <c r="G18" s="379"/>
      <c r="H18" s="379"/>
      <c r="I18" s="379"/>
      <c r="J18" s="379"/>
      <c r="K18" s="379"/>
      <c r="L18" s="379"/>
      <c r="M18" s="379"/>
      <c r="N18" s="379"/>
      <c r="O18" s="379"/>
      <c r="P18" s="379"/>
      <c r="Q18" s="379"/>
      <c r="R18" s="379"/>
      <c r="S18" s="379"/>
      <c r="T18" s="379"/>
      <c r="U18" s="379"/>
      <c r="V18" s="379"/>
      <c r="W18" s="379"/>
      <c r="X18" s="379"/>
      <c r="Y18" s="379"/>
      <c r="Z18" s="379"/>
    </row>
    <row r="19" spans="1:26" ht="15.75" customHeight="1">
      <c r="A19" s="379"/>
      <c r="B19" s="379"/>
      <c r="C19" s="379"/>
      <c r="D19" s="379"/>
      <c r="E19" s="379"/>
      <c r="F19" s="379"/>
      <c r="G19" s="379"/>
      <c r="H19" s="379"/>
      <c r="I19" s="379"/>
      <c r="J19" s="379"/>
      <c r="K19" s="379"/>
      <c r="L19" s="379"/>
      <c r="M19" s="379"/>
      <c r="N19" s="379"/>
      <c r="O19" s="379"/>
      <c r="P19" s="379"/>
      <c r="Q19" s="379"/>
      <c r="R19" s="379"/>
      <c r="S19" s="379"/>
      <c r="T19" s="379"/>
      <c r="U19" s="379"/>
      <c r="V19" s="379"/>
      <c r="W19" s="379"/>
      <c r="X19" s="379"/>
      <c r="Y19" s="379"/>
      <c r="Z19" s="379"/>
    </row>
    <row r="20" spans="1:26" ht="15.75" customHeight="1">
      <c r="A20" s="379"/>
      <c r="B20" s="379"/>
      <c r="C20" s="379"/>
      <c r="D20" s="379"/>
      <c r="E20" s="379"/>
      <c r="F20" s="379"/>
      <c r="G20" s="379"/>
      <c r="H20" s="379"/>
      <c r="I20" s="379"/>
      <c r="J20" s="379"/>
      <c r="K20" s="379"/>
      <c r="L20" s="379"/>
      <c r="M20" s="379"/>
      <c r="N20" s="379"/>
      <c r="O20" s="379"/>
      <c r="P20" s="379"/>
      <c r="Q20" s="379"/>
      <c r="R20" s="379"/>
      <c r="S20" s="379"/>
      <c r="T20" s="379"/>
      <c r="U20" s="379"/>
      <c r="V20" s="379"/>
      <c r="W20" s="379"/>
      <c r="X20" s="379"/>
      <c r="Y20" s="379"/>
      <c r="Z20" s="379"/>
    </row>
    <row r="21" spans="1:26" ht="15.75" customHeight="1">
      <c r="A21" s="379"/>
      <c r="B21" s="379"/>
      <c r="C21" s="379"/>
      <c r="D21" s="379"/>
      <c r="E21" s="379"/>
      <c r="F21" s="379"/>
      <c r="G21" s="379"/>
      <c r="H21" s="379"/>
      <c r="I21" s="379"/>
      <c r="J21" s="379"/>
      <c r="K21" s="379"/>
      <c r="L21" s="379"/>
      <c r="M21" s="379"/>
      <c r="N21" s="379"/>
      <c r="O21" s="379"/>
      <c r="P21" s="379"/>
      <c r="Q21" s="379"/>
      <c r="R21" s="379"/>
      <c r="S21" s="379"/>
      <c r="T21" s="379"/>
      <c r="U21" s="379"/>
      <c r="V21" s="379"/>
      <c r="W21" s="379"/>
      <c r="X21" s="379"/>
      <c r="Y21" s="379"/>
      <c r="Z21" s="379"/>
    </row>
    <row r="22" spans="1:26" ht="15.75" customHeight="1">
      <c r="A22" s="379"/>
      <c r="B22" s="379"/>
      <c r="C22" s="379"/>
      <c r="D22" s="379"/>
      <c r="E22" s="379"/>
      <c r="F22" s="379"/>
      <c r="G22" s="379"/>
      <c r="H22" s="379"/>
      <c r="I22" s="379"/>
      <c r="J22" s="379"/>
      <c r="K22" s="379"/>
      <c r="L22" s="379"/>
      <c r="M22" s="379"/>
      <c r="N22" s="379"/>
      <c r="O22" s="379"/>
      <c r="P22" s="379"/>
      <c r="Q22" s="379"/>
      <c r="R22" s="379"/>
      <c r="S22" s="379"/>
      <c r="T22" s="379"/>
      <c r="U22" s="379"/>
      <c r="V22" s="379"/>
      <c r="W22" s="379"/>
      <c r="X22" s="379"/>
      <c r="Y22" s="379"/>
      <c r="Z22" s="379"/>
    </row>
    <row r="23" spans="1:26" ht="15.75" customHeight="1">
      <c r="A23" s="379"/>
      <c r="B23" s="379"/>
      <c r="C23" s="379"/>
      <c r="D23" s="379"/>
      <c r="E23" s="379"/>
      <c r="F23" s="379"/>
      <c r="G23" s="379"/>
      <c r="H23" s="379"/>
      <c r="I23" s="379"/>
      <c r="J23" s="379"/>
      <c r="K23" s="379"/>
      <c r="L23" s="379"/>
      <c r="M23" s="379"/>
      <c r="N23" s="379"/>
      <c r="O23" s="379"/>
      <c r="P23" s="379"/>
      <c r="Q23" s="379"/>
      <c r="R23" s="379"/>
      <c r="S23" s="379"/>
      <c r="T23" s="379"/>
      <c r="U23" s="379"/>
      <c r="V23" s="379"/>
      <c r="W23" s="379"/>
      <c r="X23" s="379"/>
      <c r="Y23" s="379"/>
      <c r="Z23" s="379"/>
    </row>
    <row r="24" spans="1:26" ht="15.75" customHeight="1">
      <c r="A24" s="379"/>
      <c r="B24" s="379"/>
      <c r="C24" s="379"/>
      <c r="D24" s="379"/>
      <c r="E24" s="379"/>
      <c r="F24" s="379"/>
      <c r="G24" s="379"/>
      <c r="H24" s="379"/>
      <c r="I24" s="379"/>
      <c r="J24" s="379"/>
      <c r="K24" s="379"/>
      <c r="L24" s="379"/>
      <c r="M24" s="379"/>
      <c r="N24" s="379"/>
      <c r="O24" s="379"/>
      <c r="P24" s="379"/>
      <c r="Q24" s="379"/>
      <c r="R24" s="379"/>
      <c r="S24" s="379"/>
      <c r="T24" s="379"/>
      <c r="U24" s="379"/>
      <c r="V24" s="379"/>
      <c r="W24" s="379"/>
      <c r="X24" s="379"/>
      <c r="Y24" s="379"/>
      <c r="Z24" s="379"/>
    </row>
    <row r="25" spans="1:26" ht="15.75" customHeight="1">
      <c r="A25" s="379"/>
      <c r="B25" s="379"/>
      <c r="C25" s="379"/>
      <c r="D25" s="379"/>
      <c r="E25" s="379"/>
      <c r="F25" s="379"/>
      <c r="G25" s="379"/>
      <c r="H25" s="379"/>
      <c r="I25" s="379"/>
      <c r="J25" s="379"/>
      <c r="K25" s="379"/>
      <c r="L25" s="379"/>
      <c r="M25" s="379"/>
      <c r="N25" s="379"/>
      <c r="O25" s="379"/>
      <c r="P25" s="379"/>
      <c r="Q25" s="379"/>
      <c r="R25" s="379"/>
      <c r="S25" s="379"/>
      <c r="T25" s="379"/>
      <c r="U25" s="379"/>
      <c r="V25" s="379"/>
      <c r="W25" s="379"/>
      <c r="X25" s="379"/>
      <c r="Y25" s="379"/>
      <c r="Z25" s="379"/>
    </row>
    <row r="26" spans="1:26" ht="15.75" customHeight="1">
      <c r="A26" s="379"/>
      <c r="B26" s="379"/>
      <c r="C26" s="379"/>
      <c r="D26" s="379"/>
      <c r="E26" s="379"/>
      <c r="F26" s="379"/>
      <c r="G26" s="379"/>
      <c r="H26" s="379"/>
      <c r="I26" s="379"/>
      <c r="J26" s="379"/>
      <c r="K26" s="379"/>
      <c r="L26" s="379"/>
      <c r="M26" s="379"/>
      <c r="N26" s="379"/>
      <c r="O26" s="379"/>
      <c r="P26" s="379"/>
      <c r="Q26" s="379"/>
      <c r="R26" s="379"/>
      <c r="S26" s="379"/>
      <c r="T26" s="379"/>
      <c r="U26" s="379"/>
      <c r="V26" s="379"/>
      <c r="W26" s="379"/>
      <c r="X26" s="379"/>
      <c r="Y26" s="379"/>
      <c r="Z26" s="379"/>
    </row>
    <row r="27" spans="1:26" ht="15.75" customHeight="1">
      <c r="A27" s="379"/>
      <c r="B27" s="379"/>
      <c r="C27" s="379"/>
      <c r="D27" s="379"/>
      <c r="E27" s="379"/>
      <c r="F27" s="379"/>
      <c r="G27" s="379"/>
      <c r="H27" s="379"/>
      <c r="I27" s="379"/>
      <c r="J27" s="379"/>
      <c r="K27" s="379"/>
      <c r="L27" s="379"/>
      <c r="M27" s="379"/>
      <c r="N27" s="379"/>
      <c r="O27" s="379"/>
      <c r="P27" s="379"/>
      <c r="Q27" s="379"/>
      <c r="R27" s="379"/>
      <c r="S27" s="379"/>
      <c r="T27" s="379"/>
      <c r="U27" s="379"/>
      <c r="V27" s="379"/>
      <c r="W27" s="379"/>
      <c r="X27" s="379"/>
      <c r="Y27" s="379"/>
      <c r="Z27" s="379"/>
    </row>
    <row r="28" spans="1:26" ht="15.75" customHeight="1">
      <c r="A28" s="379"/>
      <c r="B28" s="379"/>
      <c r="C28" s="379"/>
      <c r="D28" s="379"/>
      <c r="E28" s="379"/>
      <c r="F28" s="379"/>
      <c r="G28" s="379"/>
      <c r="H28" s="379"/>
      <c r="I28" s="379"/>
      <c r="J28" s="379"/>
      <c r="K28" s="379"/>
      <c r="L28" s="379"/>
      <c r="M28" s="379"/>
      <c r="N28" s="379"/>
      <c r="O28" s="379"/>
      <c r="P28" s="379"/>
      <c r="Q28" s="379"/>
      <c r="R28" s="379"/>
      <c r="S28" s="379"/>
      <c r="T28" s="379"/>
      <c r="U28" s="379"/>
      <c r="V28" s="379"/>
      <c r="W28" s="379"/>
      <c r="X28" s="379"/>
      <c r="Y28" s="379"/>
      <c r="Z28" s="379"/>
    </row>
    <row r="29" spans="1:26" ht="15.75" customHeight="1">
      <c r="A29" s="379"/>
      <c r="B29" s="379"/>
      <c r="C29" s="379"/>
      <c r="D29" s="379"/>
      <c r="E29" s="379"/>
      <c r="F29" s="379"/>
      <c r="G29" s="379"/>
      <c r="H29" s="379"/>
      <c r="I29" s="379"/>
      <c r="J29" s="379"/>
      <c r="K29" s="379"/>
      <c r="L29" s="379"/>
      <c r="M29" s="379"/>
      <c r="N29" s="379"/>
      <c r="O29" s="379"/>
      <c r="P29" s="379"/>
      <c r="Q29" s="379"/>
      <c r="R29" s="379"/>
      <c r="S29" s="379"/>
      <c r="T29" s="379"/>
      <c r="U29" s="379"/>
      <c r="V29" s="379"/>
      <c r="W29" s="379"/>
      <c r="X29" s="379"/>
      <c r="Y29" s="379"/>
      <c r="Z29" s="379"/>
    </row>
    <row r="30" spans="1:26" ht="15.75" customHeight="1">
      <c r="A30" s="379"/>
      <c r="B30" s="379"/>
      <c r="C30" s="379"/>
      <c r="D30" s="379"/>
      <c r="E30" s="379"/>
      <c r="F30" s="379"/>
      <c r="G30" s="379"/>
      <c r="H30" s="379"/>
      <c r="I30" s="379"/>
      <c r="J30" s="379"/>
      <c r="K30" s="379"/>
      <c r="L30" s="379"/>
      <c r="M30" s="379"/>
      <c r="N30" s="379"/>
      <c r="O30" s="379"/>
      <c r="P30" s="379"/>
      <c r="Q30" s="379"/>
      <c r="R30" s="379"/>
      <c r="S30" s="379"/>
      <c r="T30" s="379"/>
      <c r="U30" s="379"/>
      <c r="V30" s="379"/>
      <c r="W30" s="379"/>
      <c r="X30" s="379"/>
      <c r="Y30" s="379"/>
      <c r="Z30" s="379"/>
    </row>
    <row r="31" spans="1:26" ht="15.75" customHeight="1">
      <c r="A31" s="379"/>
      <c r="B31" s="379"/>
      <c r="C31" s="379"/>
      <c r="D31" s="379"/>
      <c r="E31" s="379"/>
      <c r="F31" s="379"/>
      <c r="G31" s="379"/>
      <c r="H31" s="379"/>
      <c r="I31" s="379"/>
      <c r="J31" s="379"/>
      <c r="K31" s="379"/>
      <c r="L31" s="379"/>
      <c r="M31" s="379"/>
      <c r="N31" s="379"/>
      <c r="O31" s="379"/>
      <c r="P31" s="379"/>
      <c r="Q31" s="379"/>
      <c r="R31" s="379"/>
      <c r="S31" s="379"/>
      <c r="T31" s="379"/>
      <c r="U31" s="379"/>
      <c r="V31" s="379"/>
      <c r="W31" s="379"/>
      <c r="X31" s="379"/>
      <c r="Y31" s="379"/>
      <c r="Z31" s="379"/>
    </row>
    <row r="32" spans="1:26" ht="15.75" customHeight="1">
      <c r="A32" s="379"/>
      <c r="B32" s="379"/>
      <c r="C32" s="379"/>
      <c r="D32" s="379"/>
      <c r="E32" s="379"/>
      <c r="F32" s="379"/>
      <c r="G32" s="379"/>
      <c r="H32" s="379"/>
      <c r="I32" s="379"/>
      <c r="J32" s="379"/>
      <c r="K32" s="379"/>
      <c r="L32" s="379"/>
      <c r="M32" s="379"/>
      <c r="N32" s="379"/>
      <c r="O32" s="379"/>
      <c r="P32" s="379"/>
      <c r="Q32" s="379"/>
      <c r="R32" s="379"/>
      <c r="S32" s="379"/>
      <c r="T32" s="379"/>
      <c r="U32" s="379"/>
      <c r="V32" s="379"/>
      <c r="W32" s="379"/>
      <c r="X32" s="379"/>
      <c r="Y32" s="379"/>
      <c r="Z32" s="379"/>
    </row>
    <row r="33" spans="1:26" ht="15.75" customHeight="1">
      <c r="A33" s="379"/>
      <c r="B33" s="379"/>
      <c r="C33" s="379"/>
      <c r="D33" s="379"/>
      <c r="E33" s="379"/>
      <c r="F33" s="379"/>
      <c r="G33" s="379"/>
      <c r="H33" s="379"/>
      <c r="I33" s="379"/>
      <c r="J33" s="379"/>
      <c r="K33" s="379"/>
      <c r="L33" s="379"/>
      <c r="M33" s="379"/>
      <c r="N33" s="379"/>
      <c r="O33" s="379"/>
      <c r="P33" s="379"/>
      <c r="Q33" s="379"/>
      <c r="R33" s="379"/>
      <c r="S33" s="379"/>
      <c r="T33" s="379"/>
      <c r="U33" s="379"/>
      <c r="V33" s="379"/>
      <c r="W33" s="379"/>
      <c r="X33" s="379"/>
      <c r="Y33" s="379"/>
      <c r="Z33" s="379"/>
    </row>
    <row r="34" spans="1:26" ht="15.75" customHeight="1">
      <c r="A34" s="379"/>
      <c r="B34" s="379"/>
      <c r="C34" s="379"/>
      <c r="D34" s="379"/>
      <c r="E34" s="379"/>
      <c r="F34" s="379"/>
      <c r="G34" s="379"/>
      <c r="H34" s="379"/>
      <c r="I34" s="379"/>
      <c r="J34" s="379"/>
      <c r="K34" s="379"/>
      <c r="L34" s="379"/>
      <c r="M34" s="379"/>
      <c r="N34" s="379"/>
      <c r="O34" s="379"/>
      <c r="P34" s="379"/>
      <c r="Q34" s="379"/>
      <c r="R34" s="379"/>
      <c r="S34" s="379"/>
      <c r="T34" s="379"/>
      <c r="U34" s="379"/>
      <c r="V34" s="379"/>
      <c r="W34" s="379"/>
      <c r="X34" s="379"/>
      <c r="Y34" s="379"/>
      <c r="Z34" s="379"/>
    </row>
    <row r="35" spans="1:26" ht="15.75" customHeight="1">
      <c r="A35" s="379"/>
      <c r="B35" s="379"/>
      <c r="C35" s="379"/>
      <c r="D35" s="379"/>
      <c r="E35" s="379"/>
      <c r="F35" s="379"/>
      <c r="G35" s="379"/>
      <c r="H35" s="379"/>
      <c r="I35" s="379"/>
      <c r="J35" s="379"/>
      <c r="K35" s="379"/>
      <c r="L35" s="379"/>
      <c r="M35" s="379"/>
      <c r="N35" s="379"/>
      <c r="O35" s="379"/>
      <c r="P35" s="379"/>
      <c r="Q35" s="379"/>
      <c r="R35" s="379"/>
      <c r="S35" s="379"/>
      <c r="T35" s="379"/>
      <c r="U35" s="379"/>
      <c r="V35" s="379"/>
      <c r="W35" s="379"/>
      <c r="X35" s="379"/>
      <c r="Y35" s="379"/>
      <c r="Z35" s="379"/>
    </row>
    <row r="36" spans="1:26" ht="15.75" customHeight="1">
      <c r="A36" s="379"/>
      <c r="B36" s="379"/>
      <c r="C36" s="379"/>
      <c r="D36" s="379"/>
      <c r="E36" s="379"/>
      <c r="F36" s="379"/>
      <c r="G36" s="379"/>
      <c r="H36" s="379"/>
      <c r="I36" s="379"/>
      <c r="J36" s="379"/>
      <c r="K36" s="379"/>
      <c r="L36" s="379"/>
      <c r="M36" s="379"/>
      <c r="N36" s="379"/>
      <c r="O36" s="379"/>
      <c r="P36" s="379"/>
      <c r="Q36" s="379"/>
      <c r="R36" s="379"/>
      <c r="S36" s="379"/>
      <c r="T36" s="379"/>
      <c r="U36" s="379"/>
      <c r="V36" s="379"/>
      <c r="W36" s="379"/>
      <c r="X36" s="379"/>
      <c r="Y36" s="379"/>
      <c r="Z36" s="379"/>
    </row>
    <row r="37" spans="1:26" ht="15.75" customHeight="1">
      <c r="A37" s="379"/>
      <c r="B37" s="379"/>
      <c r="C37" s="379"/>
      <c r="D37" s="379"/>
      <c r="E37" s="379"/>
      <c r="F37" s="379"/>
      <c r="G37" s="379"/>
      <c r="H37" s="379"/>
      <c r="I37" s="379"/>
      <c r="J37" s="379"/>
      <c r="K37" s="379"/>
      <c r="L37" s="379"/>
      <c r="M37" s="379"/>
      <c r="N37" s="379"/>
      <c r="O37" s="379"/>
      <c r="P37" s="379"/>
      <c r="Q37" s="379"/>
      <c r="R37" s="379"/>
      <c r="S37" s="379"/>
      <c r="T37" s="379"/>
      <c r="U37" s="379"/>
      <c r="V37" s="379"/>
      <c r="W37" s="379"/>
      <c r="X37" s="379"/>
      <c r="Y37" s="379"/>
      <c r="Z37" s="379"/>
    </row>
    <row r="38" spans="1:26" ht="15.75" customHeight="1">
      <c r="A38" s="379"/>
      <c r="B38" s="379"/>
      <c r="C38" s="379"/>
      <c r="D38" s="379"/>
      <c r="E38" s="379"/>
      <c r="F38" s="379"/>
      <c r="G38" s="379"/>
      <c r="H38" s="379"/>
      <c r="I38" s="379"/>
      <c r="J38" s="379"/>
      <c r="K38" s="379"/>
      <c r="L38" s="379"/>
      <c r="M38" s="379"/>
      <c r="N38" s="379"/>
      <c r="O38" s="379"/>
      <c r="P38" s="379"/>
      <c r="Q38" s="379"/>
      <c r="R38" s="379"/>
      <c r="S38" s="379"/>
      <c r="T38" s="379"/>
      <c r="U38" s="379"/>
      <c r="V38" s="379"/>
      <c r="W38" s="379"/>
      <c r="X38" s="379"/>
      <c r="Y38" s="379"/>
      <c r="Z38" s="379"/>
    </row>
    <row r="39" spans="1:26" ht="15.75" customHeight="1">
      <c r="A39" s="379"/>
      <c r="B39" s="379"/>
      <c r="C39" s="379"/>
      <c r="D39" s="379"/>
      <c r="E39" s="379"/>
      <c r="F39" s="379"/>
      <c r="G39" s="379"/>
      <c r="H39" s="379"/>
      <c r="I39" s="379"/>
      <c r="J39" s="379"/>
      <c r="K39" s="379"/>
      <c r="L39" s="379"/>
      <c r="M39" s="379"/>
      <c r="N39" s="379"/>
      <c r="O39" s="379"/>
      <c r="P39" s="379"/>
      <c r="Q39" s="379"/>
      <c r="R39" s="379"/>
      <c r="S39" s="379"/>
      <c r="T39" s="379"/>
      <c r="U39" s="379"/>
      <c r="V39" s="379"/>
      <c r="W39" s="379"/>
      <c r="X39" s="379"/>
      <c r="Y39" s="379"/>
      <c r="Z39" s="379"/>
    </row>
    <row r="40" spans="1:26" ht="15.75" customHeight="1">
      <c r="A40" s="379"/>
      <c r="B40" s="379"/>
      <c r="C40" s="379"/>
      <c r="D40" s="379"/>
      <c r="E40" s="379"/>
      <c r="F40" s="379"/>
      <c r="G40" s="379"/>
      <c r="H40" s="379"/>
      <c r="I40" s="379"/>
      <c r="J40" s="379"/>
      <c r="K40" s="379"/>
      <c r="L40" s="379"/>
      <c r="M40" s="379"/>
      <c r="N40" s="379"/>
      <c r="O40" s="379"/>
      <c r="P40" s="379"/>
      <c r="Q40" s="379"/>
      <c r="R40" s="379"/>
      <c r="S40" s="379"/>
      <c r="T40" s="379"/>
      <c r="U40" s="379"/>
      <c r="V40" s="379"/>
      <c r="W40" s="379"/>
      <c r="X40" s="379"/>
      <c r="Y40" s="379"/>
      <c r="Z40" s="379"/>
    </row>
    <row r="41" spans="1:26" ht="15.75" customHeight="1">
      <c r="A41" s="379"/>
      <c r="B41" s="379"/>
      <c r="C41" s="379"/>
      <c r="D41" s="379"/>
      <c r="E41" s="379"/>
      <c r="F41" s="379"/>
      <c r="G41" s="379"/>
      <c r="H41" s="379"/>
      <c r="I41" s="379"/>
      <c r="J41" s="379"/>
      <c r="K41" s="379"/>
      <c r="L41" s="379"/>
      <c r="M41" s="379"/>
      <c r="N41" s="379"/>
      <c r="O41" s="379"/>
      <c r="P41" s="379"/>
      <c r="Q41" s="379"/>
      <c r="R41" s="379"/>
      <c r="S41" s="379"/>
      <c r="T41" s="379"/>
      <c r="U41" s="379"/>
      <c r="V41" s="379"/>
      <c r="W41" s="379"/>
      <c r="X41" s="379"/>
      <c r="Y41" s="379"/>
      <c r="Z41" s="379"/>
    </row>
    <row r="42" spans="1:26" ht="15.75" customHeight="1">
      <c r="A42" s="379"/>
      <c r="B42" s="379"/>
      <c r="C42" s="379"/>
      <c r="D42" s="379"/>
      <c r="E42" s="379"/>
      <c r="F42" s="379"/>
      <c r="G42" s="379"/>
      <c r="H42" s="379"/>
      <c r="I42" s="379"/>
      <c r="J42" s="379"/>
      <c r="K42" s="379"/>
      <c r="L42" s="379"/>
      <c r="M42" s="379"/>
      <c r="N42" s="379"/>
      <c r="O42" s="379"/>
      <c r="P42" s="379"/>
      <c r="Q42" s="379"/>
      <c r="R42" s="379"/>
      <c r="S42" s="379"/>
      <c r="T42" s="379"/>
      <c r="U42" s="379"/>
      <c r="V42" s="379"/>
      <c r="W42" s="379"/>
      <c r="X42" s="379"/>
      <c r="Y42" s="379"/>
      <c r="Z42" s="379"/>
    </row>
    <row r="43" spans="1:26" ht="15.75" customHeight="1">
      <c r="A43" s="379"/>
      <c r="B43" s="379"/>
      <c r="C43" s="379"/>
      <c r="D43" s="379"/>
      <c r="E43" s="379"/>
      <c r="F43" s="379"/>
      <c r="G43" s="379"/>
      <c r="H43" s="379"/>
      <c r="I43" s="379"/>
      <c r="J43" s="379"/>
      <c r="K43" s="379"/>
      <c r="L43" s="379"/>
      <c r="M43" s="379"/>
      <c r="N43" s="379"/>
      <c r="O43" s="379"/>
      <c r="P43" s="379"/>
      <c r="Q43" s="379"/>
      <c r="R43" s="379"/>
      <c r="S43" s="379"/>
      <c r="T43" s="379"/>
      <c r="U43" s="379"/>
      <c r="V43" s="379"/>
      <c r="W43" s="379"/>
      <c r="X43" s="379"/>
      <c r="Y43" s="379"/>
      <c r="Z43" s="379"/>
    </row>
    <row r="44" spans="1:26" ht="15.75" customHeight="1">
      <c r="A44" s="379"/>
      <c r="B44" s="379"/>
      <c r="C44" s="379"/>
      <c r="D44" s="379"/>
      <c r="E44" s="379"/>
      <c r="F44" s="379"/>
      <c r="G44" s="379"/>
      <c r="H44" s="379"/>
      <c r="I44" s="379"/>
      <c r="J44" s="379"/>
      <c r="K44" s="379"/>
      <c r="L44" s="379"/>
      <c r="M44" s="379"/>
      <c r="N44" s="379"/>
      <c r="O44" s="379"/>
      <c r="P44" s="379"/>
      <c r="Q44" s="379"/>
      <c r="R44" s="379"/>
      <c r="S44" s="379"/>
      <c r="T44" s="379"/>
      <c r="U44" s="379"/>
      <c r="V44" s="379"/>
      <c r="W44" s="379"/>
      <c r="X44" s="379"/>
      <c r="Y44" s="379"/>
      <c r="Z44" s="379"/>
    </row>
    <row r="45" spans="1:26" ht="15.75" customHeight="1">
      <c r="A45" s="379"/>
      <c r="B45" s="379"/>
      <c r="C45" s="379"/>
      <c r="D45" s="379"/>
      <c r="E45" s="379"/>
      <c r="F45" s="379"/>
      <c r="G45" s="379"/>
      <c r="H45" s="379"/>
      <c r="I45" s="379"/>
      <c r="J45" s="379"/>
      <c r="K45" s="379"/>
      <c r="L45" s="379"/>
      <c r="M45" s="379"/>
      <c r="N45" s="379"/>
      <c r="O45" s="379"/>
      <c r="P45" s="379"/>
      <c r="Q45" s="379"/>
      <c r="R45" s="379"/>
      <c r="S45" s="379"/>
      <c r="T45" s="379"/>
      <c r="U45" s="379"/>
      <c r="V45" s="379"/>
      <c r="W45" s="379"/>
      <c r="X45" s="379"/>
      <c r="Y45" s="379"/>
      <c r="Z45" s="379"/>
    </row>
    <row r="46" spans="1:26" ht="15.75" customHeight="1">
      <c r="A46" s="379"/>
      <c r="B46" s="379"/>
      <c r="C46" s="379"/>
      <c r="D46" s="379"/>
      <c r="E46" s="379"/>
      <c r="F46" s="379"/>
      <c r="G46" s="379"/>
      <c r="H46" s="379"/>
      <c r="I46" s="379"/>
      <c r="J46" s="379"/>
      <c r="K46" s="379"/>
      <c r="L46" s="379"/>
      <c r="M46" s="379"/>
      <c r="N46" s="379"/>
      <c r="O46" s="379"/>
      <c r="P46" s="379"/>
      <c r="Q46" s="379"/>
      <c r="R46" s="379"/>
      <c r="S46" s="379"/>
      <c r="T46" s="379"/>
      <c r="U46" s="379"/>
      <c r="V46" s="379"/>
      <c r="W46" s="379"/>
      <c r="X46" s="379"/>
      <c r="Y46" s="379"/>
      <c r="Z46" s="379"/>
    </row>
    <row r="47" spans="1:26" ht="15.75" customHeight="1">
      <c r="A47" s="379"/>
      <c r="B47" s="379"/>
      <c r="C47" s="379"/>
      <c r="D47" s="379"/>
      <c r="E47" s="379"/>
      <c r="F47" s="379"/>
      <c r="G47" s="379"/>
      <c r="H47" s="379"/>
      <c r="I47" s="379"/>
      <c r="J47" s="379"/>
      <c r="K47" s="379"/>
      <c r="L47" s="379"/>
      <c r="M47" s="379"/>
      <c r="N47" s="379"/>
      <c r="O47" s="379"/>
      <c r="P47" s="379"/>
      <c r="Q47" s="379"/>
      <c r="R47" s="379"/>
      <c r="S47" s="379"/>
      <c r="T47" s="379"/>
      <c r="U47" s="379"/>
      <c r="V47" s="379"/>
      <c r="W47" s="379"/>
      <c r="X47" s="379"/>
      <c r="Y47" s="379"/>
      <c r="Z47" s="379"/>
    </row>
    <row r="48" spans="1:26" ht="15.75" customHeight="1">
      <c r="A48" s="379"/>
      <c r="B48" s="379"/>
      <c r="C48" s="379"/>
      <c r="D48" s="379"/>
      <c r="E48" s="379"/>
      <c r="F48" s="379"/>
      <c r="G48" s="379"/>
      <c r="H48" s="379"/>
      <c r="I48" s="379"/>
      <c r="J48" s="379"/>
      <c r="K48" s="379"/>
      <c r="L48" s="379"/>
      <c r="M48" s="379"/>
      <c r="N48" s="379"/>
      <c r="O48" s="379"/>
      <c r="P48" s="379"/>
      <c r="Q48" s="379"/>
      <c r="R48" s="379"/>
      <c r="S48" s="379"/>
      <c r="T48" s="379"/>
      <c r="U48" s="379"/>
      <c r="V48" s="379"/>
      <c r="W48" s="379"/>
      <c r="X48" s="379"/>
      <c r="Y48" s="379"/>
      <c r="Z48" s="379"/>
    </row>
    <row r="49" spans="1:26" ht="15.75" customHeight="1">
      <c r="A49" s="379"/>
      <c r="B49" s="379"/>
      <c r="C49" s="379"/>
      <c r="D49" s="379"/>
      <c r="E49" s="379"/>
      <c r="F49" s="379"/>
      <c r="G49" s="379"/>
      <c r="H49" s="379"/>
      <c r="I49" s="379"/>
      <c r="J49" s="379"/>
      <c r="K49" s="379"/>
      <c r="L49" s="379"/>
      <c r="M49" s="379"/>
      <c r="N49" s="379"/>
      <c r="O49" s="379"/>
      <c r="P49" s="379"/>
      <c r="Q49" s="379"/>
      <c r="R49" s="379"/>
      <c r="S49" s="379"/>
      <c r="T49" s="379"/>
      <c r="U49" s="379"/>
      <c r="V49" s="379"/>
      <c r="W49" s="379"/>
      <c r="X49" s="379"/>
      <c r="Y49" s="379"/>
      <c r="Z49" s="379"/>
    </row>
    <row r="50" spans="1:26" ht="15.75" customHeight="1">
      <c r="A50" s="379"/>
      <c r="B50" s="379"/>
      <c r="C50" s="379"/>
      <c r="D50" s="379"/>
      <c r="E50" s="379"/>
      <c r="F50" s="379"/>
      <c r="G50" s="379"/>
      <c r="H50" s="379"/>
      <c r="I50" s="379"/>
      <c r="J50" s="379"/>
      <c r="K50" s="379"/>
      <c r="L50" s="379"/>
      <c r="M50" s="379"/>
      <c r="N50" s="379"/>
      <c r="O50" s="379"/>
      <c r="P50" s="379"/>
      <c r="Q50" s="379"/>
      <c r="R50" s="379"/>
      <c r="S50" s="379"/>
      <c r="T50" s="379"/>
      <c r="U50" s="379"/>
      <c r="V50" s="379"/>
      <c r="W50" s="379"/>
      <c r="X50" s="379"/>
      <c r="Y50" s="379"/>
      <c r="Z50" s="379"/>
    </row>
    <row r="51" spans="1:26" ht="15.75" customHeight="1">
      <c r="A51" s="379"/>
      <c r="B51" s="379"/>
      <c r="C51" s="379"/>
      <c r="D51" s="379"/>
      <c r="E51" s="379"/>
      <c r="F51" s="379"/>
      <c r="G51" s="379"/>
      <c r="H51" s="379"/>
      <c r="I51" s="379"/>
      <c r="J51" s="379"/>
      <c r="K51" s="379"/>
      <c r="L51" s="379"/>
      <c r="M51" s="379"/>
      <c r="N51" s="379"/>
      <c r="O51" s="379"/>
      <c r="P51" s="379"/>
      <c r="Q51" s="379"/>
      <c r="R51" s="379"/>
      <c r="S51" s="379"/>
      <c r="T51" s="379"/>
      <c r="U51" s="379"/>
      <c r="V51" s="379"/>
      <c r="W51" s="379"/>
      <c r="X51" s="379"/>
      <c r="Y51" s="379"/>
      <c r="Z51" s="379"/>
    </row>
    <row r="52" spans="1:26" ht="15.75" customHeight="1">
      <c r="A52" s="379"/>
      <c r="B52" s="379"/>
      <c r="C52" s="379"/>
      <c r="D52" s="379"/>
      <c r="E52" s="379"/>
      <c r="F52" s="379"/>
      <c r="G52" s="379"/>
      <c r="H52" s="379"/>
      <c r="I52" s="379"/>
      <c r="J52" s="379"/>
      <c r="K52" s="379"/>
      <c r="L52" s="379"/>
      <c r="M52" s="379"/>
      <c r="N52" s="379"/>
      <c r="O52" s="379"/>
      <c r="P52" s="379"/>
      <c r="Q52" s="379"/>
      <c r="R52" s="379"/>
      <c r="S52" s="379"/>
      <c r="T52" s="379"/>
      <c r="U52" s="379"/>
      <c r="V52" s="379"/>
      <c r="W52" s="379"/>
      <c r="X52" s="379"/>
      <c r="Y52" s="379"/>
      <c r="Z52" s="379"/>
    </row>
    <row r="53" spans="1:26" ht="15.75" customHeight="1">
      <c r="A53" s="379"/>
      <c r="B53" s="379"/>
      <c r="C53" s="379"/>
      <c r="D53" s="379"/>
      <c r="E53" s="379"/>
      <c r="F53" s="379"/>
      <c r="G53" s="379"/>
      <c r="H53" s="379"/>
      <c r="I53" s="379"/>
      <c r="J53" s="379"/>
      <c r="K53" s="379"/>
      <c r="L53" s="379"/>
      <c r="M53" s="379"/>
      <c r="N53" s="379"/>
      <c r="O53" s="379"/>
      <c r="P53" s="379"/>
      <c r="Q53" s="379"/>
      <c r="R53" s="379"/>
      <c r="S53" s="379"/>
      <c r="T53" s="379"/>
      <c r="U53" s="379"/>
      <c r="V53" s="379"/>
      <c r="W53" s="379"/>
      <c r="X53" s="379"/>
      <c r="Y53" s="379"/>
      <c r="Z53" s="379"/>
    </row>
    <row r="54" spans="1:26" ht="15.75" customHeight="1">
      <c r="A54" s="379"/>
      <c r="B54" s="379"/>
      <c r="C54" s="379"/>
      <c r="D54" s="379"/>
      <c r="E54" s="379"/>
      <c r="F54" s="379"/>
      <c r="G54" s="379"/>
      <c r="H54" s="379"/>
      <c r="I54" s="379"/>
      <c r="J54" s="379"/>
      <c r="K54" s="379"/>
      <c r="L54" s="379"/>
      <c r="M54" s="379"/>
      <c r="N54" s="379"/>
      <c r="O54" s="379"/>
      <c r="P54" s="379"/>
      <c r="Q54" s="379"/>
      <c r="R54" s="379"/>
      <c r="S54" s="379"/>
      <c r="T54" s="379"/>
      <c r="U54" s="379"/>
      <c r="V54" s="379"/>
      <c r="W54" s="379"/>
      <c r="X54" s="379"/>
      <c r="Y54" s="379"/>
      <c r="Z54" s="379"/>
    </row>
    <row r="55" spans="1:26" ht="15.75" customHeight="1">
      <c r="A55" s="379"/>
      <c r="B55" s="379"/>
      <c r="C55" s="379"/>
      <c r="D55" s="379"/>
      <c r="E55" s="379"/>
      <c r="F55" s="379"/>
      <c r="G55" s="379"/>
      <c r="H55" s="379"/>
      <c r="I55" s="379"/>
      <c r="J55" s="379"/>
      <c r="K55" s="379"/>
      <c r="L55" s="379"/>
      <c r="M55" s="379"/>
      <c r="N55" s="379"/>
      <c r="O55" s="379"/>
      <c r="P55" s="379"/>
      <c r="Q55" s="379"/>
      <c r="R55" s="379"/>
      <c r="S55" s="379"/>
      <c r="T55" s="379"/>
      <c r="U55" s="379"/>
      <c r="V55" s="379"/>
      <c r="W55" s="379"/>
      <c r="X55" s="379"/>
      <c r="Y55" s="379"/>
      <c r="Z55" s="379"/>
    </row>
    <row r="56" spans="1:26" ht="15.75" customHeight="1">
      <c r="A56" s="379"/>
      <c r="B56" s="379"/>
      <c r="C56" s="379"/>
      <c r="D56" s="379"/>
      <c r="E56" s="379"/>
      <c r="F56" s="379"/>
      <c r="G56" s="379"/>
      <c r="H56" s="379"/>
      <c r="I56" s="379"/>
      <c r="J56" s="379"/>
      <c r="K56" s="379"/>
      <c r="L56" s="379"/>
      <c r="M56" s="379"/>
      <c r="N56" s="379"/>
      <c r="O56" s="379"/>
      <c r="P56" s="379"/>
      <c r="Q56" s="379"/>
      <c r="R56" s="379"/>
      <c r="S56" s="379"/>
      <c r="T56" s="379"/>
      <c r="U56" s="379"/>
      <c r="V56" s="379"/>
      <c r="W56" s="379"/>
      <c r="X56" s="379"/>
      <c r="Y56" s="379"/>
      <c r="Z56" s="379"/>
    </row>
    <row r="57" spans="1:26" ht="15.75" customHeight="1">
      <c r="A57" s="379"/>
      <c r="B57" s="379"/>
      <c r="C57" s="379"/>
      <c r="D57" s="379"/>
      <c r="E57" s="379"/>
      <c r="F57" s="379"/>
      <c r="G57" s="379"/>
      <c r="H57" s="379"/>
      <c r="I57" s="379"/>
      <c r="J57" s="379"/>
      <c r="K57" s="379"/>
      <c r="L57" s="379"/>
      <c r="M57" s="379"/>
      <c r="N57" s="379"/>
      <c r="O57" s="379"/>
      <c r="P57" s="379"/>
      <c r="Q57" s="379"/>
      <c r="R57" s="379"/>
      <c r="S57" s="379"/>
      <c r="T57" s="379"/>
      <c r="U57" s="379"/>
      <c r="V57" s="379"/>
      <c r="W57" s="379"/>
      <c r="X57" s="379"/>
      <c r="Y57" s="379"/>
      <c r="Z57" s="379"/>
    </row>
    <row r="58" spans="1:26" ht="15.75" customHeight="1">
      <c r="A58" s="379"/>
      <c r="B58" s="379"/>
      <c r="C58" s="379"/>
      <c r="D58" s="379"/>
      <c r="E58" s="379"/>
      <c r="F58" s="379"/>
      <c r="G58" s="379"/>
      <c r="H58" s="379"/>
      <c r="I58" s="379"/>
      <c r="J58" s="379"/>
      <c r="K58" s="379"/>
      <c r="L58" s="379"/>
      <c r="M58" s="379"/>
      <c r="N58" s="379"/>
      <c r="O58" s="379"/>
      <c r="P58" s="379"/>
      <c r="Q58" s="379"/>
      <c r="R58" s="379"/>
      <c r="S58" s="379"/>
      <c r="T58" s="379"/>
      <c r="U58" s="379"/>
      <c r="V58" s="379"/>
      <c r="W58" s="379"/>
      <c r="X58" s="379"/>
      <c r="Y58" s="379"/>
      <c r="Z58" s="379"/>
    </row>
    <row r="59" spans="1:26" ht="15.75" customHeight="1">
      <c r="A59" s="379"/>
      <c r="B59" s="379"/>
      <c r="C59" s="379"/>
      <c r="D59" s="379"/>
      <c r="E59" s="379"/>
      <c r="F59" s="379"/>
      <c r="G59" s="379"/>
      <c r="H59" s="379"/>
      <c r="I59" s="379"/>
      <c r="J59" s="379"/>
      <c r="K59" s="379"/>
      <c r="L59" s="379"/>
      <c r="M59" s="379"/>
      <c r="N59" s="379"/>
      <c r="O59" s="379"/>
      <c r="P59" s="379"/>
      <c r="Q59" s="379"/>
      <c r="R59" s="379"/>
      <c r="S59" s="379"/>
      <c r="T59" s="379"/>
      <c r="U59" s="379"/>
      <c r="V59" s="379"/>
      <c r="W59" s="379"/>
      <c r="X59" s="379"/>
      <c r="Y59" s="379"/>
      <c r="Z59" s="379"/>
    </row>
    <row r="60" spans="1:26" ht="15.75" customHeight="1">
      <c r="A60" s="379"/>
      <c r="B60" s="379"/>
      <c r="C60" s="379"/>
      <c r="D60" s="379"/>
      <c r="E60" s="379"/>
      <c r="F60" s="379"/>
      <c r="G60" s="379"/>
      <c r="H60" s="379"/>
      <c r="I60" s="379"/>
      <c r="J60" s="379"/>
      <c r="K60" s="379"/>
      <c r="L60" s="379"/>
      <c r="M60" s="379"/>
      <c r="N60" s="379"/>
      <c r="O60" s="379"/>
      <c r="P60" s="379"/>
      <c r="Q60" s="379"/>
      <c r="R60" s="379"/>
      <c r="S60" s="379"/>
      <c r="T60" s="379"/>
      <c r="U60" s="379"/>
      <c r="V60" s="379"/>
      <c r="W60" s="379"/>
      <c r="X60" s="379"/>
      <c r="Y60" s="379"/>
      <c r="Z60" s="379"/>
    </row>
    <row r="61" spans="1:26" ht="15.75" customHeight="1">
      <c r="A61" s="379"/>
      <c r="B61" s="379"/>
      <c r="C61" s="379"/>
      <c r="D61" s="379"/>
      <c r="E61" s="379"/>
      <c r="F61" s="379"/>
      <c r="G61" s="379"/>
      <c r="H61" s="379"/>
      <c r="I61" s="379"/>
      <c r="J61" s="379"/>
      <c r="K61" s="379"/>
      <c r="L61" s="379"/>
      <c r="M61" s="379"/>
      <c r="N61" s="379"/>
      <c r="O61" s="379"/>
      <c r="P61" s="379"/>
      <c r="Q61" s="379"/>
      <c r="R61" s="379"/>
      <c r="S61" s="379"/>
      <c r="T61" s="379"/>
      <c r="U61" s="379"/>
      <c r="V61" s="379"/>
      <c r="W61" s="379"/>
      <c r="X61" s="379"/>
      <c r="Y61" s="379"/>
      <c r="Z61" s="379"/>
    </row>
    <row r="62" spans="1:26" ht="15.75" customHeight="1">
      <c r="A62" s="379"/>
      <c r="B62" s="379"/>
      <c r="C62" s="379"/>
      <c r="D62" s="379"/>
      <c r="E62" s="379"/>
      <c r="F62" s="379"/>
      <c r="G62" s="379"/>
      <c r="H62" s="379"/>
      <c r="I62" s="379"/>
      <c r="J62" s="379"/>
      <c r="K62" s="379"/>
      <c r="L62" s="379"/>
      <c r="M62" s="379"/>
      <c r="N62" s="379"/>
      <c r="O62" s="379"/>
      <c r="P62" s="379"/>
      <c r="Q62" s="379"/>
      <c r="R62" s="379"/>
      <c r="S62" s="379"/>
      <c r="T62" s="379"/>
      <c r="U62" s="379"/>
      <c r="V62" s="379"/>
      <c r="W62" s="379"/>
      <c r="X62" s="379"/>
      <c r="Y62" s="379"/>
      <c r="Z62" s="379"/>
    </row>
    <row r="63" spans="1:26" ht="15.75" customHeight="1">
      <c r="A63" s="379"/>
      <c r="B63" s="379"/>
      <c r="C63" s="379"/>
      <c r="D63" s="379"/>
      <c r="E63" s="379"/>
      <c r="F63" s="379"/>
      <c r="G63" s="379"/>
      <c r="H63" s="379"/>
      <c r="I63" s="379"/>
      <c r="J63" s="379"/>
      <c r="K63" s="379"/>
      <c r="L63" s="379"/>
      <c r="M63" s="379"/>
      <c r="N63" s="379"/>
      <c r="O63" s="379"/>
      <c r="P63" s="379"/>
      <c r="Q63" s="379"/>
      <c r="R63" s="379"/>
      <c r="S63" s="379"/>
      <c r="T63" s="379"/>
      <c r="U63" s="379"/>
      <c r="V63" s="379"/>
      <c r="W63" s="379"/>
      <c r="X63" s="379"/>
      <c r="Y63" s="379"/>
      <c r="Z63" s="379"/>
    </row>
    <row r="64" spans="1:26" ht="15.75" customHeight="1">
      <c r="A64" s="379"/>
      <c r="B64" s="379"/>
      <c r="C64" s="379"/>
      <c r="D64" s="379"/>
      <c r="E64" s="379"/>
      <c r="F64" s="379"/>
      <c r="G64" s="379"/>
      <c r="H64" s="379"/>
      <c r="I64" s="379"/>
      <c r="J64" s="379"/>
      <c r="K64" s="379"/>
      <c r="L64" s="379"/>
      <c r="M64" s="379"/>
      <c r="N64" s="379"/>
      <c r="O64" s="379"/>
      <c r="P64" s="379"/>
      <c r="Q64" s="379"/>
      <c r="R64" s="379"/>
      <c r="S64" s="379"/>
      <c r="T64" s="379"/>
      <c r="U64" s="379"/>
      <c r="V64" s="379"/>
      <c r="W64" s="379"/>
      <c r="X64" s="379"/>
      <c r="Y64" s="379"/>
      <c r="Z64" s="379"/>
    </row>
    <row r="65" spans="1:26" ht="15.75" customHeight="1">
      <c r="A65" s="379"/>
      <c r="B65" s="379"/>
      <c r="C65" s="379"/>
      <c r="D65" s="379"/>
      <c r="E65" s="379"/>
      <c r="F65" s="379"/>
      <c r="G65" s="379"/>
      <c r="H65" s="379"/>
      <c r="I65" s="379"/>
      <c r="J65" s="379"/>
      <c r="K65" s="379"/>
      <c r="L65" s="379"/>
      <c r="M65" s="379"/>
      <c r="N65" s="379"/>
      <c r="O65" s="379"/>
      <c r="P65" s="379"/>
      <c r="Q65" s="379"/>
      <c r="R65" s="379"/>
      <c r="S65" s="379"/>
      <c r="T65" s="379"/>
      <c r="U65" s="379"/>
      <c r="V65" s="379"/>
      <c r="W65" s="379"/>
      <c r="X65" s="379"/>
      <c r="Y65" s="379"/>
      <c r="Z65" s="379"/>
    </row>
    <row r="66" spans="1:26" ht="15.75" customHeight="1">
      <c r="A66" s="379"/>
      <c r="B66" s="379"/>
      <c r="C66" s="379"/>
      <c r="D66" s="379"/>
      <c r="E66" s="379"/>
      <c r="F66" s="379"/>
      <c r="G66" s="379"/>
      <c r="H66" s="379"/>
      <c r="I66" s="379"/>
      <c r="J66" s="379"/>
      <c r="K66" s="379"/>
      <c r="L66" s="379"/>
      <c r="M66" s="379"/>
      <c r="N66" s="379"/>
      <c r="O66" s="379"/>
      <c r="P66" s="379"/>
      <c r="Q66" s="379"/>
      <c r="R66" s="379"/>
      <c r="S66" s="379"/>
      <c r="T66" s="379"/>
      <c r="U66" s="379"/>
      <c r="V66" s="379"/>
      <c r="W66" s="379"/>
      <c r="X66" s="379"/>
      <c r="Y66" s="379"/>
      <c r="Z66" s="379"/>
    </row>
    <row r="67" spans="1:26" ht="15.75" customHeight="1">
      <c r="A67" s="379"/>
      <c r="B67" s="379"/>
      <c r="C67" s="379"/>
      <c r="D67" s="379"/>
      <c r="E67" s="379"/>
      <c r="F67" s="379"/>
      <c r="G67" s="379"/>
      <c r="H67" s="379"/>
      <c r="I67" s="379"/>
      <c r="J67" s="379"/>
      <c r="K67" s="379"/>
      <c r="L67" s="379"/>
      <c r="M67" s="379"/>
      <c r="N67" s="379"/>
      <c r="O67" s="379"/>
      <c r="P67" s="379"/>
      <c r="Q67" s="379"/>
      <c r="R67" s="379"/>
      <c r="S67" s="379"/>
      <c r="T67" s="379"/>
      <c r="U67" s="379"/>
      <c r="V67" s="379"/>
      <c r="W67" s="379"/>
      <c r="X67" s="379"/>
      <c r="Y67" s="379"/>
      <c r="Z67" s="379"/>
    </row>
    <row r="68" spans="1:26" ht="15.75" customHeight="1">
      <c r="A68" s="379"/>
      <c r="B68" s="379"/>
      <c r="C68" s="379"/>
      <c r="D68" s="379"/>
      <c r="E68" s="379"/>
      <c r="F68" s="379"/>
      <c r="G68" s="379"/>
      <c r="H68" s="379"/>
      <c r="I68" s="379"/>
      <c r="J68" s="379"/>
      <c r="K68" s="379"/>
      <c r="L68" s="379"/>
      <c r="M68" s="379"/>
      <c r="N68" s="379"/>
      <c r="O68" s="379"/>
      <c r="P68" s="379"/>
      <c r="Q68" s="379"/>
      <c r="R68" s="379"/>
      <c r="S68" s="379"/>
      <c r="T68" s="379"/>
      <c r="U68" s="379"/>
      <c r="V68" s="379"/>
      <c r="W68" s="379"/>
      <c r="X68" s="379"/>
      <c r="Y68" s="379"/>
      <c r="Z68" s="379"/>
    </row>
    <row r="69" spans="1:26" ht="15.75" customHeight="1">
      <c r="A69" s="379"/>
      <c r="B69" s="379"/>
      <c r="C69" s="379"/>
      <c r="D69" s="379"/>
      <c r="E69" s="379"/>
      <c r="F69" s="379"/>
      <c r="G69" s="379"/>
      <c r="H69" s="379"/>
      <c r="I69" s="379"/>
      <c r="J69" s="379"/>
      <c r="K69" s="379"/>
      <c r="L69" s="379"/>
      <c r="M69" s="379"/>
      <c r="N69" s="379"/>
      <c r="O69" s="379"/>
      <c r="P69" s="379"/>
      <c r="Q69" s="379"/>
      <c r="R69" s="379"/>
      <c r="S69" s="379"/>
      <c r="T69" s="379"/>
      <c r="U69" s="379"/>
      <c r="V69" s="379"/>
      <c r="W69" s="379"/>
      <c r="X69" s="379"/>
      <c r="Y69" s="379"/>
      <c r="Z69" s="379"/>
    </row>
    <row r="70" spans="1:26" ht="15.75" customHeight="1">
      <c r="A70" s="379"/>
      <c r="B70" s="379"/>
      <c r="C70" s="379"/>
      <c r="D70" s="379"/>
      <c r="E70" s="379"/>
      <c r="F70" s="379"/>
      <c r="G70" s="379"/>
      <c r="H70" s="379"/>
      <c r="I70" s="379"/>
      <c r="J70" s="379"/>
      <c r="K70" s="379"/>
      <c r="L70" s="379"/>
      <c r="M70" s="379"/>
      <c r="N70" s="379"/>
      <c r="O70" s="379"/>
      <c r="P70" s="379"/>
      <c r="Q70" s="379"/>
      <c r="R70" s="379"/>
      <c r="S70" s="379"/>
      <c r="T70" s="379"/>
      <c r="U70" s="379"/>
      <c r="V70" s="379"/>
      <c r="W70" s="379"/>
      <c r="X70" s="379"/>
      <c r="Y70" s="379"/>
      <c r="Z70" s="379"/>
    </row>
    <row r="71" spans="1:26" ht="15.75" customHeight="1">
      <c r="A71" s="379"/>
      <c r="B71" s="379"/>
      <c r="C71" s="379"/>
      <c r="D71" s="379"/>
      <c r="E71" s="379"/>
      <c r="F71" s="379"/>
      <c r="G71" s="379"/>
      <c r="H71" s="379"/>
      <c r="I71" s="379"/>
      <c r="J71" s="379"/>
      <c r="K71" s="379"/>
      <c r="L71" s="379"/>
      <c r="M71" s="379"/>
      <c r="N71" s="379"/>
      <c r="O71" s="379"/>
      <c r="P71" s="379"/>
      <c r="Q71" s="379"/>
      <c r="R71" s="379"/>
      <c r="S71" s="379"/>
      <c r="T71" s="379"/>
      <c r="U71" s="379"/>
      <c r="V71" s="379"/>
      <c r="W71" s="379"/>
      <c r="X71" s="379"/>
      <c r="Y71" s="379"/>
      <c r="Z71" s="379"/>
    </row>
    <row r="72" spans="1:26" ht="15.75" customHeight="1">
      <c r="A72" s="379"/>
      <c r="B72" s="379"/>
      <c r="C72" s="379"/>
      <c r="D72" s="379"/>
      <c r="E72" s="379"/>
      <c r="F72" s="379"/>
      <c r="G72" s="379"/>
      <c r="H72" s="379"/>
      <c r="I72" s="379"/>
      <c r="J72" s="379"/>
      <c r="K72" s="379"/>
      <c r="L72" s="379"/>
      <c r="M72" s="379"/>
      <c r="N72" s="379"/>
      <c r="O72" s="379"/>
      <c r="P72" s="379"/>
      <c r="Q72" s="379"/>
      <c r="R72" s="379"/>
      <c r="S72" s="379"/>
      <c r="T72" s="379"/>
      <c r="U72" s="379"/>
      <c r="V72" s="379"/>
      <c r="W72" s="379"/>
      <c r="X72" s="379"/>
      <c r="Y72" s="379"/>
      <c r="Z72" s="379"/>
    </row>
    <row r="73" spans="1:26" ht="15.75" customHeight="1">
      <c r="A73" s="379"/>
      <c r="B73" s="379"/>
      <c r="C73" s="379"/>
      <c r="D73" s="379"/>
      <c r="E73" s="379"/>
      <c r="F73" s="379"/>
      <c r="G73" s="379"/>
      <c r="H73" s="379"/>
      <c r="I73" s="379"/>
      <c r="J73" s="379"/>
      <c r="K73" s="379"/>
      <c r="L73" s="379"/>
      <c r="M73" s="379"/>
      <c r="N73" s="379"/>
      <c r="O73" s="379"/>
      <c r="P73" s="379"/>
      <c r="Q73" s="379"/>
      <c r="R73" s="379"/>
      <c r="S73" s="379"/>
      <c r="T73" s="379"/>
      <c r="U73" s="379"/>
      <c r="V73" s="379"/>
      <c r="W73" s="379"/>
      <c r="X73" s="379"/>
      <c r="Y73" s="379"/>
      <c r="Z73" s="379"/>
    </row>
    <row r="74" spans="1:26" ht="15.75" customHeight="1">
      <c r="A74" s="379"/>
      <c r="B74" s="379"/>
      <c r="C74" s="379"/>
      <c r="D74" s="379"/>
      <c r="E74" s="379"/>
      <c r="F74" s="379"/>
      <c r="G74" s="379"/>
      <c r="H74" s="379"/>
      <c r="I74" s="379"/>
      <c r="J74" s="379"/>
      <c r="K74" s="379"/>
      <c r="L74" s="379"/>
      <c r="M74" s="379"/>
      <c r="N74" s="379"/>
      <c r="O74" s="379"/>
      <c r="P74" s="379"/>
      <c r="Q74" s="379"/>
      <c r="R74" s="379"/>
      <c r="S74" s="379"/>
      <c r="T74" s="379"/>
      <c r="U74" s="379"/>
      <c r="V74" s="379"/>
      <c r="W74" s="379"/>
      <c r="X74" s="379"/>
      <c r="Y74" s="379"/>
      <c r="Z74" s="379"/>
    </row>
    <row r="75" spans="1:26" ht="15.75" customHeight="1">
      <c r="A75" s="379"/>
      <c r="B75" s="379"/>
      <c r="C75" s="379"/>
      <c r="D75" s="379"/>
      <c r="E75" s="379"/>
      <c r="F75" s="379"/>
      <c r="G75" s="379"/>
      <c r="H75" s="379"/>
      <c r="I75" s="379"/>
      <c r="J75" s="379"/>
      <c r="K75" s="379"/>
      <c r="L75" s="379"/>
      <c r="M75" s="379"/>
      <c r="N75" s="379"/>
      <c r="O75" s="379"/>
      <c r="P75" s="379"/>
      <c r="Q75" s="379"/>
      <c r="R75" s="379"/>
      <c r="S75" s="379"/>
      <c r="T75" s="379"/>
      <c r="U75" s="379"/>
      <c r="V75" s="379"/>
      <c r="W75" s="379"/>
      <c r="X75" s="379"/>
      <c r="Y75" s="379"/>
      <c r="Z75" s="379"/>
    </row>
    <row r="76" spans="1:26" ht="15.75" customHeight="1">
      <c r="A76" s="379"/>
      <c r="B76" s="379"/>
      <c r="C76" s="379"/>
      <c r="D76" s="379"/>
      <c r="E76" s="379"/>
      <c r="F76" s="379"/>
      <c r="G76" s="379"/>
      <c r="H76" s="379"/>
      <c r="I76" s="379"/>
      <c r="J76" s="379"/>
      <c r="K76" s="379"/>
      <c r="L76" s="379"/>
      <c r="M76" s="379"/>
      <c r="N76" s="379"/>
      <c r="O76" s="379"/>
      <c r="P76" s="379"/>
      <c r="Q76" s="379"/>
      <c r="R76" s="379"/>
      <c r="S76" s="379"/>
      <c r="T76" s="379"/>
      <c r="U76" s="379"/>
      <c r="V76" s="379"/>
      <c r="W76" s="379"/>
      <c r="X76" s="379"/>
      <c r="Y76" s="379"/>
      <c r="Z76" s="379"/>
    </row>
    <row r="77" spans="1:26" ht="15.75" customHeight="1">
      <c r="A77" s="379"/>
      <c r="B77" s="379"/>
      <c r="C77" s="379"/>
      <c r="D77" s="379"/>
      <c r="E77" s="379"/>
      <c r="F77" s="379"/>
      <c r="G77" s="379"/>
      <c r="H77" s="379"/>
      <c r="I77" s="379"/>
      <c r="J77" s="379"/>
      <c r="K77" s="379"/>
      <c r="L77" s="379"/>
      <c r="M77" s="379"/>
      <c r="N77" s="379"/>
      <c r="O77" s="379"/>
      <c r="P77" s="379"/>
      <c r="Q77" s="379"/>
      <c r="R77" s="379"/>
      <c r="S77" s="379"/>
      <c r="T77" s="379"/>
      <c r="U77" s="379"/>
      <c r="V77" s="379"/>
      <c r="W77" s="379"/>
      <c r="X77" s="379"/>
      <c r="Y77" s="379"/>
      <c r="Z77" s="379"/>
    </row>
    <row r="78" spans="1:26" ht="15.75" customHeight="1">
      <c r="A78" s="379"/>
      <c r="B78" s="379"/>
      <c r="C78" s="379"/>
      <c r="D78" s="379"/>
      <c r="E78" s="379"/>
      <c r="F78" s="379"/>
      <c r="G78" s="379"/>
      <c r="H78" s="379"/>
      <c r="I78" s="379"/>
      <c r="J78" s="379"/>
      <c r="K78" s="379"/>
      <c r="L78" s="379"/>
      <c r="M78" s="379"/>
      <c r="N78" s="379"/>
      <c r="O78" s="379"/>
      <c r="P78" s="379"/>
      <c r="Q78" s="379"/>
      <c r="R78" s="379"/>
      <c r="S78" s="379"/>
      <c r="T78" s="379"/>
      <c r="U78" s="379"/>
      <c r="V78" s="379"/>
      <c r="W78" s="379"/>
      <c r="X78" s="379"/>
      <c r="Y78" s="379"/>
      <c r="Z78" s="379"/>
    </row>
    <row r="79" spans="1:26" ht="15.75" customHeight="1">
      <c r="A79" s="379"/>
      <c r="B79" s="379"/>
      <c r="C79" s="379"/>
      <c r="D79" s="379"/>
      <c r="E79" s="379"/>
      <c r="F79" s="379"/>
      <c r="G79" s="379"/>
      <c r="H79" s="379"/>
      <c r="I79" s="379"/>
      <c r="J79" s="379"/>
      <c r="K79" s="379"/>
      <c r="L79" s="379"/>
      <c r="M79" s="379"/>
      <c r="N79" s="379"/>
      <c r="O79" s="379"/>
      <c r="P79" s="379"/>
      <c r="Q79" s="379"/>
      <c r="R79" s="379"/>
      <c r="S79" s="379"/>
      <c r="T79" s="379"/>
      <c r="U79" s="379"/>
      <c r="V79" s="379"/>
      <c r="W79" s="379"/>
      <c r="X79" s="379"/>
      <c r="Y79" s="379"/>
      <c r="Z79" s="379"/>
    </row>
    <row r="80" spans="1:26" ht="15.75" customHeight="1">
      <c r="A80" s="379"/>
      <c r="B80" s="379"/>
      <c r="C80" s="379"/>
      <c r="D80" s="379"/>
      <c r="E80" s="379"/>
      <c r="F80" s="379"/>
      <c r="G80" s="379"/>
      <c r="H80" s="379"/>
      <c r="I80" s="379"/>
      <c r="J80" s="379"/>
      <c r="K80" s="379"/>
      <c r="L80" s="379"/>
      <c r="M80" s="379"/>
      <c r="N80" s="379"/>
      <c r="O80" s="379"/>
      <c r="P80" s="379"/>
      <c r="Q80" s="379"/>
      <c r="R80" s="379"/>
      <c r="S80" s="379"/>
      <c r="T80" s="379"/>
      <c r="U80" s="379"/>
      <c r="V80" s="379"/>
      <c r="W80" s="379"/>
      <c r="X80" s="379"/>
      <c r="Y80" s="379"/>
      <c r="Z80" s="379"/>
    </row>
    <row r="81" spans="1:26" ht="15.75" customHeight="1">
      <c r="A81" s="379"/>
      <c r="B81" s="379"/>
      <c r="C81" s="379"/>
      <c r="D81" s="379"/>
      <c r="E81" s="379"/>
      <c r="F81" s="379"/>
      <c r="G81" s="379"/>
      <c r="H81" s="379"/>
      <c r="I81" s="379"/>
      <c r="J81" s="379"/>
      <c r="K81" s="379"/>
      <c r="L81" s="379"/>
      <c r="M81" s="379"/>
      <c r="N81" s="379"/>
      <c r="O81" s="379"/>
      <c r="P81" s="379"/>
      <c r="Q81" s="379"/>
      <c r="R81" s="379"/>
      <c r="S81" s="379"/>
      <c r="T81" s="379"/>
      <c r="U81" s="379"/>
      <c r="V81" s="379"/>
      <c r="W81" s="379"/>
      <c r="X81" s="379"/>
      <c r="Y81" s="379"/>
      <c r="Z81" s="379"/>
    </row>
    <row r="82" spans="1:26" ht="15.75" customHeight="1">
      <c r="A82" s="379"/>
      <c r="B82" s="379"/>
      <c r="C82" s="379"/>
      <c r="D82" s="379"/>
      <c r="E82" s="379"/>
      <c r="F82" s="379"/>
      <c r="G82" s="379"/>
      <c r="H82" s="379"/>
      <c r="I82" s="379"/>
      <c r="J82" s="379"/>
      <c r="K82" s="379"/>
      <c r="L82" s="379"/>
      <c r="M82" s="379"/>
      <c r="N82" s="379"/>
      <c r="O82" s="379"/>
      <c r="P82" s="379"/>
      <c r="Q82" s="379"/>
      <c r="R82" s="379"/>
      <c r="S82" s="379"/>
      <c r="T82" s="379"/>
      <c r="U82" s="379"/>
      <c r="V82" s="379"/>
      <c r="W82" s="379"/>
      <c r="X82" s="379"/>
      <c r="Y82" s="379"/>
      <c r="Z82" s="379"/>
    </row>
    <row r="83" spans="1:26" ht="15.75" customHeight="1">
      <c r="A83" s="379"/>
      <c r="B83" s="379"/>
      <c r="C83" s="379"/>
      <c r="D83" s="379"/>
      <c r="E83" s="379"/>
      <c r="F83" s="379"/>
      <c r="G83" s="379"/>
      <c r="H83" s="379"/>
      <c r="I83" s="379"/>
      <c r="J83" s="379"/>
      <c r="K83" s="379"/>
      <c r="L83" s="379"/>
      <c r="M83" s="379"/>
      <c r="N83" s="379"/>
      <c r="O83" s="379"/>
      <c r="P83" s="379"/>
      <c r="Q83" s="379"/>
      <c r="R83" s="379"/>
      <c r="S83" s="379"/>
      <c r="T83" s="379"/>
      <c r="U83" s="379"/>
      <c r="V83" s="379"/>
      <c r="W83" s="379"/>
      <c r="X83" s="379"/>
      <c r="Y83" s="379"/>
      <c r="Z83" s="379"/>
    </row>
    <row r="84" spans="1:26" ht="15.75" customHeight="1">
      <c r="A84" s="379"/>
      <c r="B84" s="379"/>
      <c r="C84" s="379"/>
      <c r="D84" s="379"/>
      <c r="E84" s="379"/>
      <c r="F84" s="379"/>
      <c r="G84" s="379"/>
      <c r="H84" s="379"/>
      <c r="I84" s="379"/>
      <c r="J84" s="379"/>
      <c r="K84" s="379"/>
      <c r="L84" s="379"/>
      <c r="M84" s="379"/>
      <c r="N84" s="379"/>
      <c r="O84" s="379"/>
      <c r="P84" s="379"/>
      <c r="Q84" s="379"/>
      <c r="R84" s="379"/>
      <c r="S84" s="379"/>
      <c r="T84" s="379"/>
      <c r="U84" s="379"/>
      <c r="V84" s="379"/>
      <c r="W84" s="379"/>
      <c r="X84" s="379"/>
      <c r="Y84" s="379"/>
      <c r="Z84" s="379"/>
    </row>
    <row r="85" spans="1:26" ht="15.75" customHeight="1">
      <c r="A85" s="379"/>
      <c r="B85" s="379"/>
      <c r="C85" s="379"/>
      <c r="D85" s="379"/>
      <c r="E85" s="379"/>
      <c r="F85" s="379"/>
      <c r="G85" s="379"/>
      <c r="H85" s="379"/>
      <c r="I85" s="379"/>
      <c r="J85" s="379"/>
      <c r="K85" s="379"/>
      <c r="L85" s="379"/>
      <c r="M85" s="379"/>
      <c r="N85" s="379"/>
      <c r="O85" s="379"/>
      <c r="P85" s="379"/>
      <c r="Q85" s="379"/>
      <c r="R85" s="379"/>
      <c r="S85" s="379"/>
      <c r="T85" s="379"/>
      <c r="U85" s="379"/>
      <c r="V85" s="379"/>
      <c r="W85" s="379"/>
      <c r="X85" s="379"/>
      <c r="Y85" s="379"/>
      <c r="Z85" s="379"/>
    </row>
    <row r="86" spans="1:26" ht="15.75" customHeight="1">
      <c r="A86" s="379"/>
      <c r="B86" s="379"/>
      <c r="C86" s="379"/>
      <c r="D86" s="379"/>
      <c r="E86" s="379"/>
      <c r="F86" s="379"/>
      <c r="G86" s="379"/>
      <c r="H86" s="379"/>
      <c r="I86" s="379"/>
      <c r="J86" s="379"/>
      <c r="K86" s="379"/>
      <c r="L86" s="379"/>
      <c r="M86" s="379"/>
      <c r="N86" s="379"/>
      <c r="O86" s="379"/>
      <c r="P86" s="379"/>
      <c r="Q86" s="379"/>
      <c r="R86" s="379"/>
      <c r="S86" s="379"/>
      <c r="T86" s="379"/>
      <c r="U86" s="379"/>
      <c r="V86" s="379"/>
      <c r="W86" s="379"/>
      <c r="X86" s="379"/>
      <c r="Y86" s="379"/>
      <c r="Z86" s="379"/>
    </row>
    <row r="87" spans="1:26" ht="15.75" customHeight="1">
      <c r="A87" s="379"/>
      <c r="B87" s="379"/>
      <c r="C87" s="379"/>
      <c r="D87" s="379"/>
      <c r="E87" s="379"/>
      <c r="F87" s="379"/>
      <c r="G87" s="379"/>
      <c r="H87" s="379"/>
      <c r="I87" s="379"/>
      <c r="J87" s="379"/>
      <c r="K87" s="379"/>
      <c r="L87" s="379"/>
      <c r="M87" s="379"/>
      <c r="N87" s="379"/>
      <c r="O87" s="379"/>
      <c r="P87" s="379"/>
      <c r="Q87" s="379"/>
      <c r="R87" s="379"/>
      <c r="S87" s="379"/>
      <c r="T87" s="379"/>
      <c r="U87" s="379"/>
      <c r="V87" s="379"/>
      <c r="W87" s="379"/>
      <c r="X87" s="379"/>
      <c r="Y87" s="379"/>
      <c r="Z87" s="379"/>
    </row>
    <row r="88" spans="1:26" ht="15.75" customHeight="1">
      <c r="A88" s="379"/>
      <c r="B88" s="379"/>
      <c r="C88" s="379"/>
      <c r="D88" s="379"/>
      <c r="E88" s="379"/>
      <c r="F88" s="379"/>
      <c r="G88" s="379"/>
      <c r="H88" s="379"/>
      <c r="I88" s="379"/>
      <c r="J88" s="379"/>
      <c r="K88" s="379"/>
      <c r="L88" s="379"/>
      <c r="M88" s="379"/>
      <c r="N88" s="379"/>
      <c r="O88" s="379"/>
      <c r="P88" s="379"/>
      <c r="Q88" s="379"/>
      <c r="R88" s="379"/>
      <c r="S88" s="379"/>
      <c r="T88" s="379"/>
      <c r="U88" s="379"/>
      <c r="V88" s="379"/>
      <c r="W88" s="379"/>
      <c r="X88" s="379"/>
      <c r="Y88" s="379"/>
      <c r="Z88" s="379"/>
    </row>
    <row r="89" spans="1:26" ht="15.75" customHeight="1">
      <c r="A89" s="379"/>
      <c r="B89" s="379"/>
      <c r="C89" s="379"/>
      <c r="D89" s="379"/>
      <c r="E89" s="379"/>
      <c r="F89" s="379"/>
      <c r="G89" s="379"/>
      <c r="H89" s="379"/>
      <c r="I89" s="379"/>
      <c r="J89" s="379"/>
      <c r="K89" s="379"/>
      <c r="L89" s="379"/>
      <c r="M89" s="379"/>
      <c r="N89" s="379"/>
      <c r="O89" s="379"/>
      <c r="P89" s="379"/>
      <c r="Q89" s="379"/>
      <c r="R89" s="379"/>
      <c r="S89" s="379"/>
      <c r="T89" s="379"/>
      <c r="U89" s="379"/>
      <c r="V89" s="379"/>
      <c r="W89" s="379"/>
      <c r="X89" s="379"/>
      <c r="Y89" s="379"/>
      <c r="Z89" s="379"/>
    </row>
    <row r="90" spans="1:26" ht="15.75" customHeight="1">
      <c r="A90" s="379"/>
      <c r="B90" s="379"/>
      <c r="C90" s="379"/>
      <c r="D90" s="379"/>
      <c r="E90" s="379"/>
      <c r="F90" s="379"/>
      <c r="G90" s="379"/>
      <c r="H90" s="379"/>
      <c r="I90" s="379"/>
      <c r="J90" s="379"/>
      <c r="K90" s="379"/>
      <c r="L90" s="379"/>
      <c r="M90" s="379"/>
      <c r="N90" s="379"/>
      <c r="O90" s="379"/>
      <c r="P90" s="379"/>
      <c r="Q90" s="379"/>
      <c r="R90" s="379"/>
      <c r="S90" s="379"/>
      <c r="T90" s="379"/>
      <c r="U90" s="379"/>
      <c r="V90" s="379"/>
      <c r="W90" s="379"/>
      <c r="X90" s="379"/>
      <c r="Y90" s="379"/>
      <c r="Z90" s="379"/>
    </row>
    <row r="91" spans="1:26" ht="15.75" customHeight="1">
      <c r="A91" s="379"/>
      <c r="B91" s="379"/>
      <c r="C91" s="379"/>
      <c r="D91" s="379"/>
      <c r="E91" s="379"/>
      <c r="F91" s="379"/>
      <c r="G91" s="379"/>
      <c r="H91" s="379"/>
      <c r="I91" s="379"/>
      <c r="J91" s="379"/>
      <c r="K91" s="379"/>
      <c r="L91" s="379"/>
      <c r="M91" s="379"/>
      <c r="N91" s="379"/>
      <c r="O91" s="379"/>
      <c r="P91" s="379"/>
      <c r="Q91" s="379"/>
      <c r="R91" s="379"/>
      <c r="S91" s="379"/>
      <c r="T91" s="379"/>
      <c r="U91" s="379"/>
      <c r="V91" s="379"/>
      <c r="W91" s="379"/>
      <c r="X91" s="379"/>
      <c r="Y91" s="379"/>
      <c r="Z91" s="379"/>
    </row>
    <row r="92" spans="1:26" ht="15.75" customHeight="1">
      <c r="A92" s="379"/>
      <c r="B92" s="379"/>
      <c r="C92" s="379"/>
      <c r="D92" s="379"/>
      <c r="E92" s="379"/>
      <c r="F92" s="379"/>
      <c r="G92" s="379"/>
      <c r="H92" s="379"/>
      <c r="I92" s="379"/>
      <c r="J92" s="379"/>
      <c r="K92" s="379"/>
      <c r="L92" s="379"/>
      <c r="M92" s="379"/>
      <c r="N92" s="379"/>
      <c r="O92" s="379"/>
      <c r="P92" s="379"/>
      <c r="Q92" s="379"/>
      <c r="R92" s="379"/>
      <c r="S92" s="379"/>
      <c r="T92" s="379"/>
      <c r="U92" s="379"/>
      <c r="V92" s="379"/>
      <c r="W92" s="379"/>
      <c r="X92" s="379"/>
      <c r="Y92" s="379"/>
      <c r="Z92" s="379"/>
    </row>
    <row r="93" spans="1:26" ht="15.75" customHeight="1">
      <c r="A93" s="379"/>
      <c r="B93" s="379"/>
      <c r="C93" s="379"/>
      <c r="D93" s="379"/>
      <c r="E93" s="379"/>
      <c r="F93" s="379"/>
      <c r="G93" s="379"/>
      <c r="H93" s="379"/>
      <c r="I93" s="379"/>
      <c r="J93" s="379"/>
      <c r="K93" s="379"/>
      <c r="L93" s="379"/>
      <c r="M93" s="379"/>
      <c r="N93" s="379"/>
      <c r="O93" s="379"/>
      <c r="P93" s="379"/>
      <c r="Q93" s="379"/>
      <c r="R93" s="379"/>
      <c r="S93" s="379"/>
      <c r="T93" s="379"/>
      <c r="U93" s="379"/>
      <c r="V93" s="379"/>
      <c r="W93" s="379"/>
      <c r="X93" s="379"/>
      <c r="Y93" s="379"/>
      <c r="Z93" s="379"/>
    </row>
    <row r="94" spans="1:26" ht="15.75" customHeight="1">
      <c r="A94" s="379"/>
      <c r="B94" s="379"/>
      <c r="C94" s="379"/>
      <c r="D94" s="379"/>
      <c r="E94" s="379"/>
      <c r="F94" s="379"/>
      <c r="G94" s="379"/>
      <c r="H94" s="379"/>
      <c r="I94" s="379"/>
      <c r="J94" s="379"/>
      <c r="K94" s="379"/>
      <c r="L94" s="379"/>
      <c r="M94" s="379"/>
      <c r="N94" s="379"/>
      <c r="O94" s="379"/>
      <c r="P94" s="379"/>
      <c r="Q94" s="379"/>
      <c r="R94" s="379"/>
      <c r="S94" s="379"/>
      <c r="T94" s="379"/>
      <c r="U94" s="379"/>
      <c r="V94" s="379"/>
      <c r="W94" s="379"/>
      <c r="X94" s="379"/>
      <c r="Y94" s="379"/>
      <c r="Z94" s="379"/>
    </row>
    <row r="95" spans="1:26" ht="15.75" customHeight="1">
      <c r="A95" s="379"/>
      <c r="B95" s="379"/>
      <c r="C95" s="379"/>
      <c r="D95" s="379"/>
      <c r="E95" s="379"/>
      <c r="F95" s="379"/>
      <c r="G95" s="379"/>
      <c r="H95" s="379"/>
      <c r="I95" s="379"/>
      <c r="J95" s="379"/>
      <c r="K95" s="379"/>
      <c r="L95" s="379"/>
      <c r="M95" s="379"/>
      <c r="N95" s="379"/>
      <c r="O95" s="379"/>
      <c r="P95" s="379"/>
      <c r="Q95" s="379"/>
      <c r="R95" s="379"/>
      <c r="S95" s="379"/>
      <c r="T95" s="379"/>
      <c r="U95" s="379"/>
      <c r="V95" s="379"/>
      <c r="W95" s="379"/>
      <c r="X95" s="379"/>
      <c r="Y95" s="379"/>
      <c r="Z95" s="379"/>
    </row>
    <row r="96" spans="1:26" ht="15.75" customHeight="1">
      <c r="A96" s="379"/>
      <c r="B96" s="379"/>
      <c r="C96" s="379"/>
      <c r="D96" s="379"/>
      <c r="E96" s="379"/>
      <c r="F96" s="379"/>
      <c r="G96" s="379"/>
      <c r="H96" s="379"/>
      <c r="I96" s="379"/>
      <c r="J96" s="379"/>
      <c r="K96" s="379"/>
      <c r="L96" s="379"/>
      <c r="M96" s="379"/>
      <c r="N96" s="379"/>
      <c r="O96" s="379"/>
      <c r="P96" s="379"/>
      <c r="Q96" s="379"/>
      <c r="R96" s="379"/>
      <c r="S96" s="379"/>
      <c r="T96" s="379"/>
      <c r="U96" s="379"/>
      <c r="V96" s="379"/>
      <c r="W96" s="379"/>
      <c r="X96" s="379"/>
      <c r="Y96" s="379"/>
      <c r="Z96" s="379"/>
    </row>
    <row r="97" spans="1:26" ht="15.75" customHeight="1">
      <c r="A97" s="379"/>
      <c r="B97" s="379"/>
      <c r="C97" s="379"/>
      <c r="D97" s="379"/>
      <c r="E97" s="379"/>
      <c r="F97" s="379"/>
      <c r="G97" s="379"/>
      <c r="H97" s="379"/>
      <c r="I97" s="379"/>
      <c r="J97" s="379"/>
      <c r="K97" s="379"/>
      <c r="L97" s="379"/>
      <c r="M97" s="379"/>
      <c r="N97" s="379"/>
      <c r="O97" s="379"/>
      <c r="P97" s="379"/>
      <c r="Q97" s="379"/>
      <c r="R97" s="379"/>
      <c r="S97" s="379"/>
      <c r="T97" s="379"/>
      <c r="U97" s="379"/>
      <c r="V97" s="379"/>
      <c r="W97" s="379"/>
      <c r="X97" s="379"/>
      <c r="Y97" s="379"/>
      <c r="Z97" s="379"/>
    </row>
    <row r="98" spans="1:26" ht="15.75" customHeight="1">
      <c r="A98" s="379"/>
      <c r="B98" s="379"/>
      <c r="C98" s="379"/>
      <c r="D98" s="379"/>
      <c r="E98" s="379"/>
      <c r="F98" s="379"/>
      <c r="G98" s="379"/>
      <c r="H98" s="379"/>
      <c r="I98" s="379"/>
      <c r="J98" s="379"/>
      <c r="K98" s="379"/>
      <c r="L98" s="379"/>
      <c r="M98" s="379"/>
      <c r="N98" s="379"/>
      <c r="O98" s="379"/>
      <c r="P98" s="379"/>
      <c r="Q98" s="379"/>
      <c r="R98" s="379"/>
      <c r="S98" s="379"/>
      <c r="T98" s="379"/>
      <c r="U98" s="379"/>
      <c r="V98" s="379"/>
      <c r="W98" s="379"/>
      <c r="X98" s="379"/>
      <c r="Y98" s="379"/>
      <c r="Z98" s="379"/>
    </row>
    <row r="99" spans="1:26" ht="15.75" customHeight="1">
      <c r="A99" s="379"/>
      <c r="B99" s="379"/>
      <c r="C99" s="379"/>
      <c r="D99" s="379"/>
      <c r="E99" s="379"/>
      <c r="F99" s="379"/>
      <c r="G99" s="379"/>
      <c r="H99" s="379"/>
      <c r="I99" s="379"/>
      <c r="J99" s="379"/>
      <c r="K99" s="379"/>
      <c r="L99" s="379"/>
      <c r="M99" s="379"/>
      <c r="N99" s="379"/>
      <c r="O99" s="379"/>
      <c r="P99" s="379"/>
      <c r="Q99" s="379"/>
      <c r="R99" s="379"/>
      <c r="S99" s="379"/>
      <c r="T99" s="379"/>
      <c r="U99" s="379"/>
      <c r="V99" s="379"/>
      <c r="W99" s="379"/>
      <c r="X99" s="379"/>
      <c r="Y99" s="379"/>
      <c r="Z99" s="379"/>
    </row>
    <row r="100" spans="1:26" ht="15.75" customHeight="1">
      <c r="A100" s="379"/>
      <c r="B100" s="379"/>
      <c r="C100" s="379"/>
      <c r="D100" s="379"/>
      <c r="E100" s="379"/>
      <c r="F100" s="379"/>
      <c r="G100" s="379"/>
      <c r="H100" s="379"/>
      <c r="I100" s="379"/>
      <c r="J100" s="379"/>
      <c r="K100" s="379"/>
      <c r="L100" s="379"/>
      <c r="M100" s="379"/>
      <c r="N100" s="379"/>
      <c r="O100" s="379"/>
      <c r="P100" s="379"/>
      <c r="Q100" s="379"/>
      <c r="R100" s="379"/>
      <c r="S100" s="379"/>
      <c r="T100" s="379"/>
      <c r="U100" s="379"/>
      <c r="V100" s="379"/>
      <c r="W100" s="379"/>
      <c r="X100" s="379"/>
      <c r="Y100" s="379"/>
      <c r="Z100" s="379"/>
    </row>
    <row r="101" spans="1:26" ht="15.75" customHeight="1">
      <c r="A101" s="379"/>
      <c r="B101" s="379"/>
      <c r="C101" s="379"/>
      <c r="D101" s="379"/>
      <c r="E101" s="379"/>
      <c r="F101" s="379"/>
      <c r="G101" s="379"/>
      <c r="H101" s="379"/>
      <c r="I101" s="379"/>
      <c r="J101" s="379"/>
      <c r="K101" s="379"/>
      <c r="L101" s="379"/>
      <c r="M101" s="379"/>
      <c r="N101" s="379"/>
      <c r="O101" s="379"/>
      <c r="P101" s="379"/>
      <c r="Q101" s="379"/>
      <c r="R101" s="379"/>
      <c r="S101" s="379"/>
      <c r="T101" s="379"/>
      <c r="U101" s="379"/>
      <c r="V101" s="379"/>
      <c r="W101" s="379"/>
      <c r="X101" s="379"/>
      <c r="Y101" s="379"/>
      <c r="Z101" s="379"/>
    </row>
    <row r="102" spans="1:26" ht="15.75" customHeight="1">
      <c r="A102" s="379"/>
      <c r="B102" s="379"/>
      <c r="C102" s="379"/>
      <c r="D102" s="379"/>
      <c r="E102" s="379"/>
      <c r="F102" s="379"/>
      <c r="G102" s="379"/>
      <c r="H102" s="379"/>
      <c r="I102" s="379"/>
      <c r="J102" s="379"/>
      <c r="K102" s="379"/>
      <c r="L102" s="379"/>
      <c r="M102" s="379"/>
      <c r="N102" s="379"/>
      <c r="O102" s="379"/>
      <c r="P102" s="379"/>
      <c r="Q102" s="379"/>
      <c r="R102" s="379"/>
      <c r="S102" s="379"/>
      <c r="T102" s="379"/>
      <c r="U102" s="379"/>
      <c r="V102" s="379"/>
      <c r="W102" s="379"/>
      <c r="X102" s="379"/>
      <c r="Y102" s="379"/>
      <c r="Z102" s="379"/>
    </row>
    <row r="103" spans="1:26" ht="15.75" customHeight="1">
      <c r="A103" s="379"/>
      <c r="B103" s="379"/>
      <c r="C103" s="379"/>
      <c r="D103" s="379"/>
      <c r="E103" s="379"/>
      <c r="F103" s="379"/>
      <c r="G103" s="379"/>
      <c r="H103" s="379"/>
      <c r="I103" s="379"/>
      <c r="J103" s="379"/>
      <c r="K103" s="379"/>
      <c r="L103" s="379"/>
      <c r="M103" s="379"/>
      <c r="N103" s="379"/>
      <c r="O103" s="379"/>
      <c r="P103" s="379"/>
      <c r="Q103" s="379"/>
      <c r="R103" s="379"/>
      <c r="S103" s="379"/>
      <c r="T103" s="379"/>
      <c r="U103" s="379"/>
      <c r="V103" s="379"/>
      <c r="W103" s="379"/>
      <c r="X103" s="379"/>
      <c r="Y103" s="379"/>
      <c r="Z103" s="379"/>
    </row>
    <row r="104" spans="1:26" ht="15.75" customHeight="1">
      <c r="A104" s="379"/>
      <c r="B104" s="379"/>
      <c r="C104" s="379"/>
      <c r="D104" s="379"/>
      <c r="E104" s="379"/>
      <c r="F104" s="379"/>
      <c r="G104" s="379"/>
      <c r="H104" s="379"/>
      <c r="I104" s="379"/>
      <c r="J104" s="379"/>
      <c r="K104" s="379"/>
      <c r="L104" s="379"/>
      <c r="M104" s="379"/>
      <c r="N104" s="379"/>
      <c r="O104" s="379"/>
      <c r="P104" s="379"/>
      <c r="Q104" s="379"/>
      <c r="R104" s="379"/>
      <c r="S104" s="379"/>
      <c r="T104" s="379"/>
      <c r="U104" s="379"/>
      <c r="V104" s="379"/>
      <c r="W104" s="379"/>
      <c r="X104" s="379"/>
      <c r="Y104" s="379"/>
      <c r="Z104" s="379"/>
    </row>
    <row r="105" spans="1:26" ht="15.75" customHeight="1">
      <c r="A105" s="379"/>
      <c r="B105" s="379"/>
      <c r="C105" s="379"/>
      <c r="D105" s="379"/>
      <c r="E105" s="379"/>
      <c r="F105" s="379"/>
      <c r="G105" s="379"/>
      <c r="H105" s="379"/>
      <c r="I105" s="379"/>
      <c r="J105" s="379"/>
      <c r="K105" s="379"/>
      <c r="L105" s="379"/>
      <c r="M105" s="379"/>
      <c r="N105" s="379"/>
      <c r="O105" s="379"/>
      <c r="P105" s="379"/>
      <c r="Q105" s="379"/>
      <c r="R105" s="379"/>
      <c r="S105" s="379"/>
      <c r="T105" s="379"/>
      <c r="U105" s="379"/>
      <c r="V105" s="379"/>
      <c r="W105" s="379"/>
      <c r="X105" s="379"/>
      <c r="Y105" s="379"/>
      <c r="Z105" s="379"/>
    </row>
    <row r="106" spans="1:26" ht="15.75" customHeight="1">
      <c r="A106" s="379"/>
      <c r="B106" s="379"/>
      <c r="C106" s="379"/>
      <c r="D106" s="379"/>
      <c r="E106" s="379"/>
      <c r="F106" s="379"/>
      <c r="G106" s="379"/>
      <c r="H106" s="379"/>
      <c r="I106" s="379"/>
      <c r="J106" s="379"/>
      <c r="K106" s="379"/>
      <c r="L106" s="379"/>
      <c r="M106" s="379"/>
      <c r="N106" s="379"/>
      <c r="O106" s="379"/>
      <c r="P106" s="379"/>
      <c r="Q106" s="379"/>
      <c r="R106" s="379"/>
      <c r="S106" s="379"/>
      <c r="T106" s="379"/>
      <c r="U106" s="379"/>
      <c r="V106" s="379"/>
      <c r="W106" s="379"/>
      <c r="X106" s="379"/>
      <c r="Y106" s="379"/>
      <c r="Z106" s="379"/>
    </row>
    <row r="107" spans="1:26" ht="15.75" customHeight="1">
      <c r="A107" s="379"/>
      <c r="B107" s="379"/>
      <c r="C107" s="379"/>
      <c r="D107" s="379"/>
      <c r="E107" s="379"/>
      <c r="F107" s="379"/>
      <c r="G107" s="379"/>
      <c r="H107" s="379"/>
      <c r="I107" s="379"/>
      <c r="J107" s="379"/>
      <c r="K107" s="379"/>
      <c r="L107" s="379"/>
      <c r="M107" s="379"/>
      <c r="N107" s="379"/>
      <c r="O107" s="379"/>
      <c r="P107" s="379"/>
      <c r="Q107" s="379"/>
      <c r="R107" s="379"/>
      <c r="S107" s="379"/>
      <c r="T107" s="379"/>
      <c r="U107" s="379"/>
      <c r="V107" s="379"/>
      <c r="W107" s="379"/>
      <c r="X107" s="379"/>
      <c r="Y107" s="379"/>
      <c r="Z107" s="379"/>
    </row>
    <row r="108" spans="1:26" ht="15.75" customHeight="1">
      <c r="A108" s="379"/>
      <c r="B108" s="379"/>
      <c r="C108" s="379"/>
      <c r="D108" s="379"/>
      <c r="E108" s="379"/>
      <c r="F108" s="379"/>
      <c r="G108" s="379"/>
      <c r="H108" s="379"/>
      <c r="I108" s="379"/>
      <c r="J108" s="379"/>
      <c r="K108" s="379"/>
      <c r="L108" s="379"/>
      <c r="M108" s="379"/>
      <c r="N108" s="379"/>
      <c r="O108" s="379"/>
      <c r="P108" s="379"/>
      <c r="Q108" s="379"/>
      <c r="R108" s="379"/>
      <c r="S108" s="379"/>
      <c r="T108" s="379"/>
      <c r="U108" s="379"/>
      <c r="V108" s="379"/>
      <c r="W108" s="379"/>
      <c r="X108" s="379"/>
      <c r="Y108" s="379"/>
      <c r="Z108" s="379"/>
    </row>
    <row r="109" spans="1:26" ht="15.75" customHeight="1">
      <c r="A109" s="379"/>
      <c r="B109" s="379"/>
      <c r="C109" s="379"/>
      <c r="D109" s="379"/>
      <c r="E109" s="379"/>
      <c r="F109" s="379"/>
      <c r="G109" s="379"/>
      <c r="H109" s="379"/>
      <c r="I109" s="379"/>
      <c r="J109" s="379"/>
      <c r="K109" s="379"/>
      <c r="L109" s="379"/>
      <c r="M109" s="379"/>
      <c r="N109" s="379"/>
      <c r="O109" s="379"/>
      <c r="P109" s="379"/>
      <c r="Q109" s="379"/>
      <c r="R109" s="379"/>
      <c r="S109" s="379"/>
      <c r="T109" s="379"/>
      <c r="U109" s="379"/>
      <c r="V109" s="379"/>
      <c r="W109" s="379"/>
      <c r="X109" s="379"/>
      <c r="Y109" s="379"/>
      <c r="Z109" s="379"/>
    </row>
    <row r="110" spans="1:26" ht="15.75" customHeight="1">
      <c r="A110" s="379"/>
      <c r="B110" s="379"/>
      <c r="C110" s="379"/>
      <c r="D110" s="379"/>
      <c r="E110" s="379"/>
      <c r="F110" s="379"/>
      <c r="G110" s="379"/>
      <c r="H110" s="379"/>
      <c r="I110" s="379"/>
      <c r="J110" s="379"/>
      <c r="K110" s="379"/>
      <c r="L110" s="379"/>
      <c r="M110" s="379"/>
      <c r="N110" s="379"/>
      <c r="O110" s="379"/>
      <c r="P110" s="379"/>
      <c r="Q110" s="379"/>
      <c r="R110" s="379"/>
      <c r="S110" s="379"/>
      <c r="T110" s="379"/>
      <c r="U110" s="379"/>
      <c r="V110" s="379"/>
      <c r="W110" s="379"/>
      <c r="X110" s="379"/>
      <c r="Y110" s="379"/>
      <c r="Z110" s="379"/>
    </row>
    <row r="111" spans="1:26" ht="15.75" customHeight="1">
      <c r="A111" s="379"/>
      <c r="B111" s="379"/>
      <c r="C111" s="379"/>
      <c r="D111" s="379"/>
      <c r="E111" s="379"/>
      <c r="F111" s="379"/>
      <c r="G111" s="379"/>
      <c r="H111" s="379"/>
      <c r="I111" s="379"/>
      <c r="J111" s="379"/>
      <c r="K111" s="379"/>
      <c r="L111" s="379"/>
      <c r="M111" s="379"/>
      <c r="N111" s="379"/>
      <c r="O111" s="379"/>
      <c r="P111" s="379"/>
      <c r="Q111" s="379"/>
      <c r="R111" s="379"/>
      <c r="S111" s="379"/>
      <c r="T111" s="379"/>
      <c r="U111" s="379"/>
      <c r="V111" s="379"/>
      <c r="W111" s="379"/>
      <c r="X111" s="379"/>
      <c r="Y111" s="379"/>
      <c r="Z111" s="379"/>
    </row>
    <row r="112" spans="1:26" ht="15.75" customHeight="1">
      <c r="A112" s="379"/>
      <c r="B112" s="379"/>
      <c r="C112" s="379"/>
      <c r="D112" s="379"/>
      <c r="E112" s="379"/>
      <c r="F112" s="379"/>
      <c r="G112" s="379"/>
      <c r="H112" s="379"/>
      <c r="I112" s="379"/>
      <c r="J112" s="379"/>
      <c r="K112" s="379"/>
      <c r="L112" s="379"/>
      <c r="M112" s="379"/>
      <c r="N112" s="379"/>
      <c r="O112" s="379"/>
      <c r="P112" s="379"/>
      <c r="Q112" s="379"/>
      <c r="R112" s="379"/>
      <c r="S112" s="379"/>
      <c r="T112" s="379"/>
      <c r="U112" s="379"/>
      <c r="V112" s="379"/>
      <c r="W112" s="379"/>
      <c r="X112" s="379"/>
      <c r="Y112" s="379"/>
      <c r="Z112" s="379"/>
    </row>
    <row r="113" spans="1:26" ht="15.75" customHeight="1">
      <c r="A113" s="379"/>
      <c r="B113" s="379"/>
      <c r="C113" s="379"/>
      <c r="D113" s="379"/>
      <c r="E113" s="379"/>
      <c r="F113" s="379"/>
      <c r="G113" s="379"/>
      <c r="H113" s="379"/>
      <c r="I113" s="379"/>
      <c r="J113" s="379"/>
      <c r="K113" s="379"/>
      <c r="L113" s="379"/>
      <c r="M113" s="379"/>
      <c r="N113" s="379"/>
      <c r="O113" s="379"/>
      <c r="P113" s="379"/>
      <c r="Q113" s="379"/>
      <c r="R113" s="379"/>
      <c r="S113" s="379"/>
      <c r="T113" s="379"/>
      <c r="U113" s="379"/>
      <c r="V113" s="379"/>
      <c r="W113" s="379"/>
      <c r="X113" s="379"/>
      <c r="Y113" s="379"/>
      <c r="Z113" s="379"/>
    </row>
    <row r="114" spans="1:26" ht="15.75" customHeight="1">
      <c r="A114" s="379"/>
      <c r="B114" s="379"/>
      <c r="C114" s="379"/>
      <c r="D114" s="379"/>
      <c r="E114" s="379"/>
      <c r="F114" s="379"/>
      <c r="G114" s="379"/>
      <c r="H114" s="379"/>
      <c r="I114" s="379"/>
      <c r="J114" s="379"/>
      <c r="K114" s="379"/>
      <c r="L114" s="379"/>
      <c r="M114" s="379"/>
      <c r="N114" s="379"/>
      <c r="O114" s="379"/>
      <c r="P114" s="379"/>
      <c r="Q114" s="379"/>
      <c r="R114" s="379"/>
      <c r="S114" s="379"/>
      <c r="T114" s="379"/>
      <c r="U114" s="379"/>
      <c r="V114" s="379"/>
      <c r="W114" s="379"/>
      <c r="X114" s="379"/>
      <c r="Y114" s="379"/>
      <c r="Z114" s="379"/>
    </row>
    <row r="115" spans="1:26" ht="15.75" customHeight="1">
      <c r="A115" s="379"/>
      <c r="B115" s="379"/>
      <c r="C115" s="379"/>
      <c r="D115" s="379"/>
      <c r="E115" s="379"/>
      <c r="F115" s="379"/>
      <c r="G115" s="379"/>
      <c r="H115" s="379"/>
      <c r="I115" s="379"/>
      <c r="J115" s="379"/>
      <c r="K115" s="379"/>
      <c r="L115" s="379"/>
      <c r="M115" s="379"/>
      <c r="N115" s="379"/>
      <c r="O115" s="379"/>
      <c r="P115" s="379"/>
      <c r="Q115" s="379"/>
      <c r="R115" s="379"/>
      <c r="S115" s="379"/>
      <c r="T115" s="379"/>
      <c r="U115" s="379"/>
      <c r="V115" s="379"/>
      <c r="W115" s="379"/>
      <c r="X115" s="379"/>
      <c r="Y115" s="379"/>
      <c r="Z115" s="379"/>
    </row>
    <row r="116" spans="1:26" ht="15.75" customHeight="1">
      <c r="A116" s="379"/>
      <c r="B116" s="379"/>
      <c r="C116" s="379"/>
      <c r="D116" s="379"/>
      <c r="E116" s="379"/>
      <c r="F116" s="379"/>
      <c r="G116" s="379"/>
      <c r="H116" s="379"/>
      <c r="I116" s="379"/>
      <c r="J116" s="379"/>
      <c r="K116" s="379"/>
      <c r="L116" s="379"/>
      <c r="M116" s="379"/>
      <c r="N116" s="379"/>
      <c r="O116" s="379"/>
      <c r="P116" s="379"/>
      <c r="Q116" s="379"/>
      <c r="R116" s="379"/>
      <c r="S116" s="379"/>
      <c r="T116" s="379"/>
      <c r="U116" s="379"/>
      <c r="V116" s="379"/>
      <c r="W116" s="379"/>
      <c r="X116" s="379"/>
      <c r="Y116" s="379"/>
      <c r="Z116" s="379"/>
    </row>
    <row r="117" spans="1:26" ht="15.75" customHeight="1">
      <c r="A117" s="379"/>
      <c r="B117" s="379"/>
      <c r="C117" s="379"/>
      <c r="D117" s="379"/>
      <c r="E117" s="379"/>
      <c r="F117" s="379"/>
      <c r="G117" s="379"/>
      <c r="H117" s="379"/>
      <c r="I117" s="379"/>
      <c r="J117" s="379"/>
      <c r="K117" s="379"/>
      <c r="L117" s="379"/>
      <c r="M117" s="379"/>
      <c r="N117" s="379"/>
      <c r="O117" s="379"/>
      <c r="P117" s="379"/>
      <c r="Q117" s="379"/>
      <c r="R117" s="379"/>
      <c r="S117" s="379"/>
      <c r="T117" s="379"/>
      <c r="U117" s="379"/>
      <c r="V117" s="379"/>
      <c r="W117" s="379"/>
      <c r="X117" s="379"/>
      <c r="Y117" s="379"/>
      <c r="Z117" s="379"/>
    </row>
    <row r="118" spans="1:26" ht="15.75" customHeight="1">
      <c r="A118" s="379"/>
      <c r="B118" s="379"/>
      <c r="C118" s="379"/>
      <c r="D118" s="379"/>
      <c r="E118" s="379"/>
      <c r="F118" s="379"/>
      <c r="G118" s="379"/>
      <c r="H118" s="379"/>
      <c r="I118" s="379"/>
      <c r="J118" s="379"/>
      <c r="K118" s="379"/>
      <c r="L118" s="379"/>
      <c r="M118" s="379"/>
      <c r="N118" s="379"/>
      <c r="O118" s="379"/>
      <c r="P118" s="379"/>
      <c r="Q118" s="379"/>
      <c r="R118" s="379"/>
      <c r="S118" s="379"/>
      <c r="T118" s="379"/>
      <c r="U118" s="379"/>
      <c r="V118" s="379"/>
      <c r="W118" s="379"/>
      <c r="X118" s="379"/>
      <c r="Y118" s="379"/>
      <c r="Z118" s="379"/>
    </row>
    <row r="119" spans="1:26" ht="15.75" customHeight="1">
      <c r="A119" s="379"/>
      <c r="B119" s="379"/>
      <c r="C119" s="379"/>
      <c r="D119" s="379"/>
      <c r="E119" s="379"/>
      <c r="F119" s="379"/>
      <c r="G119" s="379"/>
      <c r="H119" s="379"/>
      <c r="I119" s="379"/>
      <c r="J119" s="379"/>
      <c r="K119" s="379"/>
      <c r="L119" s="379"/>
      <c r="M119" s="379"/>
      <c r="N119" s="379"/>
      <c r="O119" s="379"/>
      <c r="P119" s="379"/>
      <c r="Q119" s="379"/>
      <c r="R119" s="379"/>
      <c r="S119" s="379"/>
      <c r="T119" s="379"/>
      <c r="U119" s="379"/>
      <c r="V119" s="379"/>
      <c r="W119" s="379"/>
      <c r="X119" s="379"/>
      <c r="Y119" s="379"/>
      <c r="Z119" s="379"/>
    </row>
    <row r="120" spans="1:26" ht="15.75" customHeight="1">
      <c r="A120" s="379"/>
      <c r="B120" s="379"/>
      <c r="C120" s="379"/>
      <c r="D120" s="379"/>
      <c r="E120" s="379"/>
      <c r="F120" s="379"/>
      <c r="G120" s="379"/>
      <c r="H120" s="379"/>
      <c r="I120" s="379"/>
      <c r="J120" s="379"/>
      <c r="K120" s="379"/>
      <c r="L120" s="379"/>
      <c r="M120" s="379"/>
      <c r="N120" s="379"/>
      <c r="O120" s="379"/>
      <c r="P120" s="379"/>
      <c r="Q120" s="379"/>
      <c r="R120" s="379"/>
      <c r="S120" s="379"/>
      <c r="T120" s="379"/>
      <c r="U120" s="379"/>
      <c r="V120" s="379"/>
      <c r="W120" s="379"/>
      <c r="X120" s="379"/>
      <c r="Y120" s="379"/>
      <c r="Z120" s="379"/>
    </row>
    <row r="121" spans="1:26" ht="15.75" customHeight="1">
      <c r="A121" s="379"/>
      <c r="B121" s="379"/>
      <c r="C121" s="379"/>
      <c r="D121" s="379"/>
      <c r="E121" s="379"/>
      <c r="F121" s="379"/>
      <c r="G121" s="379"/>
      <c r="H121" s="379"/>
      <c r="I121" s="379"/>
      <c r="J121" s="379"/>
      <c r="K121" s="379"/>
      <c r="L121" s="379"/>
      <c r="M121" s="379"/>
      <c r="N121" s="379"/>
      <c r="O121" s="379"/>
      <c r="P121" s="379"/>
      <c r="Q121" s="379"/>
      <c r="R121" s="379"/>
      <c r="S121" s="379"/>
      <c r="T121" s="379"/>
      <c r="U121" s="379"/>
      <c r="V121" s="379"/>
      <c r="W121" s="379"/>
      <c r="X121" s="379"/>
      <c r="Y121" s="379"/>
      <c r="Z121" s="379"/>
    </row>
    <row r="122" spans="1:26" ht="15.75" customHeight="1">
      <c r="A122" s="379"/>
      <c r="B122" s="379"/>
      <c r="C122" s="379"/>
      <c r="D122" s="379"/>
      <c r="E122" s="379"/>
      <c r="F122" s="379"/>
      <c r="G122" s="379"/>
      <c r="H122" s="379"/>
      <c r="I122" s="379"/>
      <c r="J122" s="379"/>
      <c r="K122" s="379"/>
      <c r="L122" s="379"/>
      <c r="M122" s="379"/>
      <c r="N122" s="379"/>
      <c r="O122" s="379"/>
      <c r="P122" s="379"/>
      <c r="Q122" s="379"/>
      <c r="R122" s="379"/>
      <c r="S122" s="379"/>
      <c r="T122" s="379"/>
      <c r="U122" s="379"/>
      <c r="V122" s="379"/>
      <c r="W122" s="379"/>
      <c r="X122" s="379"/>
      <c r="Y122" s="379"/>
      <c r="Z122" s="379"/>
    </row>
    <row r="123" spans="1:26" ht="15.75" customHeight="1">
      <c r="A123" s="379"/>
      <c r="B123" s="379"/>
      <c r="C123" s="379"/>
      <c r="D123" s="379"/>
      <c r="E123" s="379"/>
      <c r="F123" s="379"/>
      <c r="G123" s="379"/>
      <c r="H123" s="379"/>
      <c r="I123" s="379"/>
      <c r="J123" s="379"/>
      <c r="K123" s="379"/>
      <c r="L123" s="379"/>
      <c r="M123" s="379"/>
      <c r="N123" s="379"/>
      <c r="O123" s="379"/>
      <c r="P123" s="379"/>
      <c r="Q123" s="379"/>
      <c r="R123" s="379"/>
      <c r="S123" s="379"/>
      <c r="T123" s="379"/>
      <c r="U123" s="379"/>
      <c r="V123" s="379"/>
      <c r="W123" s="379"/>
      <c r="X123" s="379"/>
      <c r="Y123" s="379"/>
      <c r="Z123" s="379"/>
    </row>
    <row r="124" spans="1:26" ht="15.75" customHeight="1">
      <c r="A124" s="379"/>
      <c r="B124" s="379"/>
      <c r="C124" s="379"/>
      <c r="D124" s="379"/>
      <c r="E124" s="379"/>
      <c r="F124" s="379"/>
      <c r="G124" s="379"/>
      <c r="H124" s="379"/>
      <c r="I124" s="379"/>
      <c r="J124" s="379"/>
      <c r="K124" s="379"/>
      <c r="L124" s="379"/>
      <c r="M124" s="379"/>
      <c r="N124" s="379"/>
      <c r="O124" s="379"/>
      <c r="P124" s="379"/>
      <c r="Q124" s="379"/>
      <c r="R124" s="379"/>
      <c r="S124" s="379"/>
      <c r="T124" s="379"/>
      <c r="U124" s="379"/>
      <c r="V124" s="379"/>
      <c r="W124" s="379"/>
      <c r="X124" s="379"/>
      <c r="Y124" s="379"/>
      <c r="Z124" s="379"/>
    </row>
    <row r="125" spans="1:26" ht="15.75" customHeight="1">
      <c r="A125" s="379"/>
      <c r="B125" s="379"/>
      <c r="C125" s="379"/>
      <c r="D125" s="379"/>
      <c r="E125" s="379"/>
      <c r="F125" s="379"/>
      <c r="G125" s="379"/>
      <c r="H125" s="379"/>
      <c r="I125" s="379"/>
      <c r="J125" s="379"/>
      <c r="K125" s="379"/>
      <c r="L125" s="379"/>
      <c r="M125" s="379"/>
      <c r="N125" s="379"/>
      <c r="O125" s="379"/>
      <c r="P125" s="379"/>
      <c r="Q125" s="379"/>
      <c r="R125" s="379"/>
      <c r="S125" s="379"/>
      <c r="T125" s="379"/>
      <c r="U125" s="379"/>
      <c r="V125" s="379"/>
      <c r="W125" s="379"/>
      <c r="X125" s="379"/>
      <c r="Y125" s="379"/>
      <c r="Z125" s="379"/>
    </row>
    <row r="126" spans="1:26" ht="15.75" customHeight="1">
      <c r="A126" s="379"/>
      <c r="B126" s="379"/>
      <c r="C126" s="379"/>
      <c r="D126" s="379"/>
      <c r="E126" s="379"/>
      <c r="F126" s="379"/>
      <c r="G126" s="379"/>
      <c r="H126" s="379"/>
      <c r="I126" s="379"/>
      <c r="J126" s="379"/>
      <c r="K126" s="379"/>
      <c r="L126" s="379"/>
      <c r="M126" s="379"/>
      <c r="N126" s="379"/>
      <c r="O126" s="379"/>
      <c r="P126" s="379"/>
      <c r="Q126" s="379"/>
      <c r="R126" s="379"/>
      <c r="S126" s="379"/>
      <c r="T126" s="379"/>
      <c r="U126" s="379"/>
      <c r="V126" s="379"/>
      <c r="W126" s="379"/>
      <c r="X126" s="379"/>
      <c r="Y126" s="379"/>
      <c r="Z126" s="379"/>
    </row>
    <row r="127" spans="1:26" ht="15.75" customHeight="1">
      <c r="A127" s="379"/>
      <c r="B127" s="379"/>
      <c r="C127" s="379"/>
      <c r="D127" s="379"/>
      <c r="E127" s="379"/>
      <c r="F127" s="379"/>
      <c r="G127" s="379"/>
      <c r="H127" s="379"/>
      <c r="I127" s="379"/>
      <c r="J127" s="379"/>
      <c r="K127" s="379"/>
      <c r="L127" s="379"/>
      <c r="M127" s="379"/>
      <c r="N127" s="379"/>
      <c r="O127" s="379"/>
      <c r="P127" s="379"/>
      <c r="Q127" s="379"/>
      <c r="R127" s="379"/>
      <c r="S127" s="379"/>
      <c r="T127" s="379"/>
      <c r="U127" s="379"/>
      <c r="V127" s="379"/>
      <c r="W127" s="379"/>
      <c r="X127" s="379"/>
      <c r="Y127" s="379"/>
      <c r="Z127" s="379"/>
    </row>
    <row r="128" spans="1:26" ht="15.75" customHeight="1">
      <c r="A128" s="379"/>
      <c r="B128" s="379"/>
      <c r="C128" s="379"/>
      <c r="D128" s="379"/>
      <c r="E128" s="379"/>
      <c r="F128" s="379"/>
      <c r="G128" s="379"/>
      <c r="H128" s="379"/>
      <c r="I128" s="379"/>
      <c r="J128" s="379"/>
      <c r="K128" s="379"/>
      <c r="L128" s="379"/>
      <c r="M128" s="379"/>
      <c r="N128" s="379"/>
      <c r="O128" s="379"/>
      <c r="P128" s="379"/>
      <c r="Q128" s="379"/>
      <c r="R128" s="379"/>
      <c r="S128" s="379"/>
      <c r="T128" s="379"/>
      <c r="U128" s="379"/>
      <c r="V128" s="379"/>
      <c r="W128" s="379"/>
      <c r="X128" s="379"/>
      <c r="Y128" s="379"/>
      <c r="Z128" s="379"/>
    </row>
    <row r="129" spans="1:26" ht="15.75" customHeight="1">
      <c r="A129" s="379"/>
      <c r="B129" s="379"/>
      <c r="C129" s="379"/>
      <c r="D129" s="379"/>
      <c r="E129" s="379"/>
      <c r="F129" s="379"/>
      <c r="G129" s="379"/>
      <c r="H129" s="379"/>
      <c r="I129" s="379"/>
      <c r="J129" s="379"/>
      <c r="K129" s="379"/>
      <c r="L129" s="379"/>
      <c r="M129" s="379"/>
      <c r="N129" s="379"/>
      <c r="O129" s="379"/>
      <c r="P129" s="379"/>
      <c r="Q129" s="379"/>
      <c r="R129" s="379"/>
      <c r="S129" s="379"/>
      <c r="T129" s="379"/>
      <c r="U129" s="379"/>
      <c r="V129" s="379"/>
      <c r="W129" s="379"/>
      <c r="X129" s="379"/>
      <c r="Y129" s="379"/>
      <c r="Z129" s="379"/>
    </row>
    <row r="130" spans="1:26" ht="15.75" customHeight="1">
      <c r="A130" s="379"/>
      <c r="B130" s="379"/>
      <c r="C130" s="379"/>
      <c r="D130" s="379"/>
      <c r="E130" s="379"/>
      <c r="F130" s="379"/>
      <c r="G130" s="379"/>
      <c r="H130" s="379"/>
      <c r="I130" s="379"/>
      <c r="J130" s="379"/>
      <c r="K130" s="379"/>
      <c r="L130" s="379"/>
      <c r="M130" s="379"/>
      <c r="N130" s="379"/>
      <c r="O130" s="379"/>
      <c r="P130" s="379"/>
      <c r="Q130" s="379"/>
      <c r="R130" s="379"/>
      <c r="S130" s="379"/>
      <c r="T130" s="379"/>
      <c r="U130" s="379"/>
      <c r="V130" s="379"/>
      <c r="W130" s="379"/>
      <c r="X130" s="379"/>
      <c r="Y130" s="379"/>
      <c r="Z130" s="379"/>
    </row>
    <row r="131" spans="1:26" ht="15.75" customHeight="1">
      <c r="A131" s="379"/>
      <c r="B131" s="379"/>
      <c r="C131" s="379"/>
      <c r="D131" s="379"/>
      <c r="E131" s="379"/>
      <c r="F131" s="379"/>
      <c r="G131" s="379"/>
      <c r="H131" s="379"/>
      <c r="I131" s="379"/>
      <c r="J131" s="379"/>
      <c r="K131" s="379"/>
      <c r="L131" s="379"/>
      <c r="M131" s="379"/>
      <c r="N131" s="379"/>
      <c r="O131" s="379"/>
      <c r="P131" s="379"/>
      <c r="Q131" s="379"/>
      <c r="R131" s="379"/>
      <c r="S131" s="379"/>
      <c r="T131" s="379"/>
      <c r="U131" s="379"/>
      <c r="V131" s="379"/>
      <c r="W131" s="379"/>
      <c r="X131" s="379"/>
      <c r="Y131" s="379"/>
      <c r="Z131" s="379"/>
    </row>
    <row r="132" spans="1:26" ht="15.75" customHeight="1">
      <c r="A132" s="379"/>
      <c r="B132" s="379"/>
      <c r="C132" s="379"/>
      <c r="D132" s="379"/>
      <c r="E132" s="379"/>
      <c r="F132" s="379"/>
      <c r="G132" s="379"/>
      <c r="H132" s="379"/>
      <c r="I132" s="379"/>
      <c r="J132" s="379"/>
      <c r="K132" s="379"/>
      <c r="L132" s="379"/>
      <c r="M132" s="379"/>
      <c r="N132" s="379"/>
      <c r="O132" s="379"/>
      <c r="P132" s="379"/>
      <c r="Q132" s="379"/>
      <c r="R132" s="379"/>
      <c r="S132" s="379"/>
      <c r="T132" s="379"/>
      <c r="U132" s="379"/>
      <c r="V132" s="379"/>
      <c r="W132" s="379"/>
      <c r="X132" s="379"/>
      <c r="Y132" s="379"/>
      <c r="Z132" s="379"/>
    </row>
    <row r="133" spans="1:26" ht="15.75" customHeight="1">
      <c r="A133" s="379"/>
      <c r="B133" s="379"/>
      <c r="C133" s="379"/>
      <c r="D133" s="379"/>
      <c r="E133" s="379"/>
      <c r="F133" s="379"/>
      <c r="G133" s="379"/>
      <c r="H133" s="379"/>
      <c r="I133" s="379"/>
      <c r="J133" s="379"/>
      <c r="K133" s="379"/>
      <c r="L133" s="379"/>
      <c r="M133" s="379"/>
      <c r="N133" s="379"/>
      <c r="O133" s="379"/>
      <c r="P133" s="379"/>
      <c r="Q133" s="379"/>
      <c r="R133" s="379"/>
      <c r="S133" s="379"/>
      <c r="T133" s="379"/>
      <c r="U133" s="379"/>
      <c r="V133" s="379"/>
      <c r="W133" s="379"/>
      <c r="X133" s="379"/>
      <c r="Y133" s="379"/>
      <c r="Z133" s="379"/>
    </row>
    <row r="134" spans="1:26" ht="15.75" customHeight="1">
      <c r="A134" s="379"/>
      <c r="B134" s="379"/>
      <c r="C134" s="379"/>
      <c r="D134" s="379"/>
      <c r="E134" s="379"/>
      <c r="F134" s="379"/>
      <c r="G134" s="379"/>
      <c r="H134" s="379"/>
      <c r="I134" s="379"/>
      <c r="J134" s="379"/>
      <c r="K134" s="379"/>
      <c r="L134" s="379"/>
      <c r="M134" s="379"/>
      <c r="N134" s="379"/>
      <c r="O134" s="379"/>
      <c r="P134" s="379"/>
      <c r="Q134" s="379"/>
      <c r="R134" s="379"/>
      <c r="S134" s="379"/>
      <c r="T134" s="379"/>
      <c r="U134" s="379"/>
      <c r="V134" s="379"/>
      <c r="W134" s="379"/>
      <c r="X134" s="379"/>
      <c r="Y134" s="379"/>
      <c r="Z134" s="379"/>
    </row>
    <row r="135" spans="1:26" ht="15.75" customHeight="1">
      <c r="A135" s="379"/>
      <c r="B135" s="379"/>
      <c r="C135" s="379"/>
      <c r="D135" s="379"/>
      <c r="E135" s="379"/>
      <c r="F135" s="379"/>
      <c r="G135" s="379"/>
      <c r="H135" s="379"/>
      <c r="I135" s="379"/>
      <c r="J135" s="379"/>
      <c r="K135" s="379"/>
      <c r="L135" s="379"/>
      <c r="M135" s="379"/>
      <c r="N135" s="379"/>
      <c r="O135" s="379"/>
      <c r="P135" s="379"/>
      <c r="Q135" s="379"/>
      <c r="R135" s="379"/>
      <c r="S135" s="379"/>
      <c r="T135" s="379"/>
      <c r="U135" s="379"/>
      <c r="V135" s="379"/>
      <c r="W135" s="379"/>
      <c r="X135" s="379"/>
      <c r="Y135" s="379"/>
      <c r="Z135" s="379"/>
    </row>
    <row r="136" spans="1:26" ht="15.75" customHeight="1">
      <c r="A136" s="379"/>
      <c r="B136" s="379"/>
      <c r="C136" s="379"/>
      <c r="D136" s="379"/>
      <c r="E136" s="379"/>
      <c r="F136" s="379"/>
      <c r="G136" s="379"/>
      <c r="H136" s="379"/>
      <c r="I136" s="379"/>
      <c r="J136" s="379"/>
      <c r="K136" s="379"/>
      <c r="L136" s="379"/>
      <c r="M136" s="379"/>
      <c r="N136" s="379"/>
      <c r="O136" s="379"/>
      <c r="P136" s="379"/>
      <c r="Q136" s="379"/>
      <c r="R136" s="379"/>
      <c r="S136" s="379"/>
      <c r="T136" s="379"/>
      <c r="U136" s="379"/>
      <c r="V136" s="379"/>
      <c r="W136" s="379"/>
      <c r="X136" s="379"/>
      <c r="Y136" s="379"/>
      <c r="Z136" s="379"/>
    </row>
    <row r="137" spans="1:26" ht="15.75" customHeight="1">
      <c r="A137" s="379"/>
      <c r="B137" s="379"/>
      <c r="C137" s="379"/>
      <c r="D137" s="379"/>
      <c r="E137" s="379"/>
      <c r="F137" s="379"/>
      <c r="G137" s="379"/>
      <c r="H137" s="379"/>
      <c r="I137" s="379"/>
      <c r="J137" s="379"/>
      <c r="K137" s="379"/>
      <c r="L137" s="379"/>
      <c r="M137" s="379"/>
      <c r="N137" s="379"/>
      <c r="O137" s="379"/>
      <c r="P137" s="379"/>
      <c r="Q137" s="379"/>
      <c r="R137" s="379"/>
      <c r="S137" s="379"/>
      <c r="T137" s="379"/>
      <c r="U137" s="379"/>
      <c r="V137" s="379"/>
      <c r="W137" s="379"/>
      <c r="X137" s="379"/>
      <c r="Y137" s="379"/>
      <c r="Z137" s="379"/>
    </row>
    <row r="138" spans="1:26" ht="15.75" customHeight="1">
      <c r="A138" s="379"/>
      <c r="B138" s="379"/>
      <c r="C138" s="379"/>
      <c r="D138" s="379"/>
      <c r="E138" s="379"/>
      <c r="F138" s="379"/>
      <c r="G138" s="379"/>
      <c r="H138" s="379"/>
      <c r="I138" s="379"/>
      <c r="J138" s="379"/>
      <c r="K138" s="379"/>
      <c r="L138" s="379"/>
      <c r="M138" s="379"/>
      <c r="N138" s="379"/>
      <c r="O138" s="379"/>
      <c r="P138" s="379"/>
      <c r="Q138" s="379"/>
      <c r="R138" s="379"/>
      <c r="S138" s="379"/>
      <c r="T138" s="379"/>
      <c r="U138" s="379"/>
      <c r="V138" s="379"/>
      <c r="W138" s="379"/>
      <c r="X138" s="379"/>
      <c r="Y138" s="379"/>
      <c r="Z138" s="379"/>
    </row>
    <row r="139" spans="1:26" ht="15.75" customHeight="1">
      <c r="A139" s="379"/>
      <c r="B139" s="379"/>
      <c r="C139" s="379"/>
      <c r="D139" s="379"/>
      <c r="E139" s="379"/>
      <c r="F139" s="379"/>
      <c r="G139" s="379"/>
      <c r="H139" s="379"/>
      <c r="I139" s="379"/>
      <c r="J139" s="379"/>
      <c r="K139" s="379"/>
      <c r="L139" s="379"/>
      <c r="M139" s="379"/>
      <c r="N139" s="379"/>
      <c r="O139" s="379"/>
      <c r="P139" s="379"/>
      <c r="Q139" s="379"/>
      <c r="R139" s="379"/>
      <c r="S139" s="379"/>
      <c r="T139" s="379"/>
      <c r="U139" s="379"/>
      <c r="V139" s="379"/>
      <c r="W139" s="379"/>
      <c r="X139" s="379"/>
      <c r="Y139" s="379"/>
      <c r="Z139" s="379"/>
    </row>
    <row r="140" spans="1:26" ht="15.75" customHeight="1">
      <c r="A140" s="379"/>
      <c r="B140" s="379"/>
      <c r="C140" s="379"/>
      <c r="D140" s="379"/>
      <c r="E140" s="379"/>
      <c r="F140" s="379"/>
      <c r="G140" s="379"/>
      <c r="H140" s="379"/>
      <c r="I140" s="379"/>
      <c r="J140" s="379"/>
      <c r="K140" s="379"/>
      <c r="L140" s="379"/>
      <c r="M140" s="379"/>
      <c r="N140" s="379"/>
      <c r="O140" s="379"/>
      <c r="P140" s="379"/>
      <c r="Q140" s="379"/>
      <c r="R140" s="379"/>
      <c r="S140" s="379"/>
      <c r="T140" s="379"/>
      <c r="U140" s="379"/>
      <c r="V140" s="379"/>
      <c r="W140" s="379"/>
      <c r="X140" s="379"/>
      <c r="Y140" s="379"/>
      <c r="Z140" s="379"/>
    </row>
    <row r="141" spans="1:26" ht="15.75" customHeight="1">
      <c r="A141" s="379"/>
      <c r="B141" s="379"/>
      <c r="C141" s="379"/>
      <c r="D141" s="379"/>
      <c r="E141" s="379"/>
      <c r="F141" s="379"/>
      <c r="G141" s="379"/>
      <c r="H141" s="379"/>
      <c r="I141" s="379"/>
      <c r="J141" s="379"/>
      <c r="K141" s="379"/>
      <c r="L141" s="379"/>
      <c r="M141" s="379"/>
      <c r="N141" s="379"/>
      <c r="O141" s="379"/>
      <c r="P141" s="379"/>
      <c r="Q141" s="379"/>
      <c r="R141" s="379"/>
      <c r="S141" s="379"/>
      <c r="T141" s="379"/>
      <c r="U141" s="379"/>
      <c r="V141" s="379"/>
      <c r="W141" s="379"/>
      <c r="X141" s="379"/>
      <c r="Y141" s="379"/>
      <c r="Z141" s="379"/>
    </row>
    <row r="142" spans="1:26" ht="15.75" customHeight="1">
      <c r="A142" s="379"/>
      <c r="B142" s="379"/>
      <c r="C142" s="379"/>
      <c r="D142" s="379"/>
      <c r="E142" s="379"/>
      <c r="F142" s="379"/>
      <c r="G142" s="379"/>
      <c r="H142" s="379"/>
      <c r="I142" s="379"/>
      <c r="J142" s="379"/>
      <c r="K142" s="379"/>
      <c r="L142" s="379"/>
      <c r="M142" s="379"/>
      <c r="N142" s="379"/>
      <c r="O142" s="379"/>
      <c r="P142" s="379"/>
      <c r="Q142" s="379"/>
      <c r="R142" s="379"/>
      <c r="S142" s="379"/>
      <c r="T142" s="379"/>
      <c r="U142" s="379"/>
      <c r="V142" s="379"/>
      <c r="W142" s="379"/>
      <c r="X142" s="379"/>
      <c r="Y142" s="379"/>
      <c r="Z142" s="379"/>
    </row>
    <row r="143" spans="1:26" ht="15.75" customHeight="1">
      <c r="A143" s="379"/>
      <c r="B143" s="379"/>
      <c r="C143" s="379"/>
      <c r="D143" s="379"/>
      <c r="E143" s="379"/>
      <c r="F143" s="379"/>
      <c r="G143" s="379"/>
      <c r="H143" s="379"/>
      <c r="I143" s="379"/>
      <c r="J143" s="379"/>
      <c r="K143" s="379"/>
      <c r="L143" s="379"/>
      <c r="M143" s="379"/>
      <c r="N143" s="379"/>
      <c r="O143" s="379"/>
      <c r="P143" s="379"/>
      <c r="Q143" s="379"/>
      <c r="R143" s="379"/>
      <c r="S143" s="379"/>
      <c r="T143" s="379"/>
      <c r="U143" s="379"/>
      <c r="V143" s="379"/>
      <c r="W143" s="379"/>
      <c r="X143" s="379"/>
      <c r="Y143" s="379"/>
      <c r="Z143" s="379"/>
    </row>
    <row r="144" spans="1:26" ht="15.75" customHeight="1">
      <c r="A144" s="379"/>
      <c r="B144" s="379"/>
      <c r="C144" s="379"/>
      <c r="D144" s="379"/>
      <c r="E144" s="379"/>
      <c r="F144" s="379"/>
      <c r="G144" s="379"/>
      <c r="H144" s="379"/>
      <c r="I144" s="379"/>
      <c r="J144" s="379"/>
      <c r="K144" s="379"/>
      <c r="L144" s="379"/>
      <c r="M144" s="379"/>
      <c r="N144" s="379"/>
      <c r="O144" s="379"/>
      <c r="P144" s="379"/>
      <c r="Q144" s="379"/>
      <c r="R144" s="379"/>
      <c r="S144" s="379"/>
      <c r="T144" s="379"/>
      <c r="U144" s="379"/>
      <c r="V144" s="379"/>
      <c r="W144" s="379"/>
      <c r="X144" s="379"/>
      <c r="Y144" s="379"/>
      <c r="Z144" s="379"/>
    </row>
    <row r="145" spans="1:26" ht="15.75" customHeight="1">
      <c r="A145" s="379"/>
      <c r="B145" s="379"/>
      <c r="C145" s="379"/>
      <c r="D145" s="379"/>
      <c r="E145" s="379"/>
      <c r="F145" s="379"/>
      <c r="G145" s="379"/>
      <c r="H145" s="379"/>
      <c r="I145" s="379"/>
      <c r="J145" s="379"/>
      <c r="K145" s="379"/>
      <c r="L145" s="379"/>
      <c r="M145" s="379"/>
      <c r="N145" s="379"/>
      <c r="O145" s="379"/>
      <c r="P145" s="379"/>
      <c r="Q145" s="379"/>
      <c r="R145" s="379"/>
      <c r="S145" s="379"/>
      <c r="T145" s="379"/>
      <c r="U145" s="379"/>
      <c r="V145" s="379"/>
      <c r="W145" s="379"/>
      <c r="X145" s="379"/>
      <c r="Y145" s="379"/>
      <c r="Z145" s="379"/>
    </row>
    <row r="146" spans="1:26" ht="15.75" customHeight="1">
      <c r="A146" s="379"/>
      <c r="B146" s="379"/>
      <c r="C146" s="379"/>
      <c r="D146" s="379"/>
      <c r="E146" s="379"/>
      <c r="F146" s="379"/>
      <c r="G146" s="379"/>
      <c r="H146" s="379"/>
      <c r="I146" s="379"/>
      <c r="J146" s="379"/>
      <c r="K146" s="379"/>
      <c r="L146" s="379"/>
      <c r="M146" s="379"/>
      <c r="N146" s="379"/>
      <c r="O146" s="379"/>
      <c r="P146" s="379"/>
      <c r="Q146" s="379"/>
      <c r="R146" s="379"/>
      <c r="S146" s="379"/>
      <c r="T146" s="379"/>
      <c r="U146" s="379"/>
      <c r="V146" s="379"/>
      <c r="W146" s="379"/>
      <c r="X146" s="379"/>
      <c r="Y146" s="379"/>
      <c r="Z146" s="379"/>
    </row>
    <row r="147" spans="1:26" ht="15.75" customHeight="1">
      <c r="A147" s="379"/>
      <c r="B147" s="379"/>
      <c r="C147" s="379"/>
      <c r="D147" s="379"/>
      <c r="E147" s="379"/>
      <c r="F147" s="379"/>
      <c r="G147" s="379"/>
      <c r="H147" s="379"/>
      <c r="I147" s="379"/>
      <c r="J147" s="379"/>
      <c r="K147" s="379"/>
      <c r="L147" s="379"/>
      <c r="M147" s="379"/>
      <c r="N147" s="379"/>
      <c r="O147" s="379"/>
      <c r="P147" s="379"/>
      <c r="Q147" s="379"/>
      <c r="R147" s="379"/>
      <c r="S147" s="379"/>
      <c r="T147" s="379"/>
      <c r="U147" s="379"/>
      <c r="V147" s="379"/>
      <c r="W147" s="379"/>
      <c r="X147" s="379"/>
      <c r="Y147" s="379"/>
      <c r="Z147" s="379"/>
    </row>
    <row r="148" spans="1:26" ht="15.75" customHeight="1">
      <c r="A148" s="379"/>
      <c r="B148" s="379"/>
      <c r="C148" s="379"/>
      <c r="D148" s="379"/>
      <c r="E148" s="379"/>
      <c r="F148" s="379"/>
      <c r="G148" s="379"/>
      <c r="H148" s="379"/>
      <c r="I148" s="379"/>
      <c r="J148" s="379"/>
      <c r="K148" s="379"/>
      <c r="L148" s="379"/>
      <c r="M148" s="379"/>
      <c r="N148" s="379"/>
      <c r="O148" s="379"/>
      <c r="P148" s="379"/>
      <c r="Q148" s="379"/>
      <c r="R148" s="379"/>
      <c r="S148" s="379"/>
      <c r="T148" s="379"/>
      <c r="U148" s="379"/>
      <c r="V148" s="379"/>
      <c r="W148" s="379"/>
      <c r="X148" s="379"/>
      <c r="Y148" s="379"/>
      <c r="Z148" s="379"/>
    </row>
    <row r="149" spans="1:26" ht="15.75" customHeight="1">
      <c r="A149" s="379"/>
      <c r="B149" s="379"/>
      <c r="C149" s="379"/>
      <c r="D149" s="379"/>
      <c r="E149" s="379"/>
      <c r="F149" s="379"/>
      <c r="G149" s="379"/>
      <c r="H149" s="379"/>
      <c r="I149" s="379"/>
      <c r="J149" s="379"/>
      <c r="K149" s="379"/>
      <c r="L149" s="379"/>
      <c r="M149" s="379"/>
      <c r="N149" s="379"/>
      <c r="O149" s="379"/>
      <c r="P149" s="379"/>
      <c r="Q149" s="379"/>
      <c r="R149" s="379"/>
      <c r="S149" s="379"/>
      <c r="T149" s="379"/>
      <c r="U149" s="379"/>
      <c r="V149" s="379"/>
      <c r="W149" s="379"/>
      <c r="X149" s="379"/>
      <c r="Y149" s="379"/>
      <c r="Z149" s="379"/>
    </row>
    <row r="150" spans="1:26" ht="15.75" customHeight="1">
      <c r="A150" s="379"/>
      <c r="B150" s="379"/>
      <c r="C150" s="379"/>
      <c r="D150" s="379"/>
      <c r="E150" s="379"/>
      <c r="F150" s="379"/>
      <c r="G150" s="379"/>
      <c r="H150" s="379"/>
      <c r="I150" s="379"/>
      <c r="J150" s="379"/>
      <c r="K150" s="379"/>
      <c r="L150" s="379"/>
      <c r="M150" s="379"/>
      <c r="N150" s="379"/>
      <c r="O150" s="379"/>
      <c r="P150" s="379"/>
      <c r="Q150" s="379"/>
      <c r="R150" s="379"/>
      <c r="S150" s="379"/>
      <c r="T150" s="379"/>
      <c r="U150" s="379"/>
      <c r="V150" s="379"/>
      <c r="W150" s="379"/>
      <c r="X150" s="379"/>
      <c r="Y150" s="379"/>
      <c r="Z150" s="379"/>
    </row>
    <row r="151" spans="1:26" ht="15.75" customHeight="1">
      <c r="A151" s="379"/>
      <c r="B151" s="379"/>
      <c r="C151" s="379"/>
      <c r="D151" s="379"/>
      <c r="E151" s="379"/>
      <c r="F151" s="379"/>
      <c r="G151" s="379"/>
      <c r="H151" s="379"/>
      <c r="I151" s="379"/>
      <c r="J151" s="379"/>
      <c r="K151" s="379"/>
      <c r="L151" s="379"/>
      <c r="M151" s="379"/>
      <c r="N151" s="379"/>
      <c r="O151" s="379"/>
      <c r="P151" s="379"/>
      <c r="Q151" s="379"/>
      <c r="R151" s="379"/>
      <c r="S151" s="379"/>
      <c r="T151" s="379"/>
      <c r="U151" s="379"/>
      <c r="V151" s="379"/>
      <c r="W151" s="379"/>
      <c r="X151" s="379"/>
      <c r="Y151" s="379"/>
      <c r="Z151" s="379"/>
    </row>
    <row r="152" spans="1:26" ht="15.75" customHeight="1">
      <c r="A152" s="379"/>
      <c r="B152" s="379"/>
      <c r="C152" s="379"/>
      <c r="D152" s="379"/>
      <c r="E152" s="379"/>
      <c r="F152" s="379"/>
      <c r="G152" s="379"/>
      <c r="H152" s="379"/>
      <c r="I152" s="379"/>
      <c r="J152" s="379"/>
      <c r="K152" s="379"/>
      <c r="L152" s="379"/>
      <c r="M152" s="379"/>
      <c r="N152" s="379"/>
      <c r="O152" s="379"/>
      <c r="P152" s="379"/>
      <c r="Q152" s="379"/>
      <c r="R152" s="379"/>
      <c r="S152" s="379"/>
      <c r="T152" s="379"/>
      <c r="U152" s="379"/>
      <c r="V152" s="379"/>
      <c r="W152" s="379"/>
      <c r="X152" s="379"/>
      <c r="Y152" s="379"/>
      <c r="Z152" s="379"/>
    </row>
    <row r="153" spans="1:26" ht="15.75" customHeight="1">
      <c r="A153" s="379"/>
      <c r="B153" s="379"/>
      <c r="C153" s="379"/>
      <c r="D153" s="379"/>
      <c r="E153" s="379"/>
      <c r="F153" s="379"/>
      <c r="G153" s="379"/>
      <c r="H153" s="379"/>
      <c r="I153" s="379"/>
      <c r="J153" s="379"/>
      <c r="K153" s="379"/>
      <c r="L153" s="379"/>
      <c r="M153" s="379"/>
      <c r="N153" s="379"/>
      <c r="O153" s="379"/>
      <c r="P153" s="379"/>
      <c r="Q153" s="379"/>
      <c r="R153" s="379"/>
      <c r="S153" s="379"/>
      <c r="T153" s="379"/>
      <c r="U153" s="379"/>
      <c r="V153" s="379"/>
      <c r="W153" s="379"/>
      <c r="X153" s="379"/>
      <c r="Y153" s="379"/>
      <c r="Z153" s="379"/>
    </row>
    <row r="154" spans="1:26" ht="15.75" customHeight="1">
      <c r="A154" s="379"/>
      <c r="B154" s="379"/>
      <c r="C154" s="379"/>
      <c r="D154" s="379"/>
      <c r="E154" s="379"/>
      <c r="F154" s="379"/>
      <c r="G154" s="379"/>
      <c r="H154" s="379"/>
      <c r="I154" s="379"/>
      <c r="J154" s="379"/>
      <c r="K154" s="379"/>
      <c r="L154" s="379"/>
      <c r="M154" s="379"/>
      <c r="N154" s="379"/>
      <c r="O154" s="379"/>
      <c r="P154" s="379"/>
      <c r="Q154" s="379"/>
      <c r="R154" s="379"/>
      <c r="S154" s="379"/>
      <c r="T154" s="379"/>
      <c r="U154" s="379"/>
      <c r="V154" s="379"/>
      <c r="W154" s="379"/>
      <c r="X154" s="379"/>
      <c r="Y154" s="379"/>
      <c r="Z154" s="379"/>
    </row>
    <row r="155" spans="1:26" ht="15.75" customHeight="1">
      <c r="A155" s="379"/>
      <c r="B155" s="379"/>
      <c r="C155" s="379"/>
      <c r="D155" s="379"/>
      <c r="E155" s="379"/>
      <c r="F155" s="379"/>
      <c r="G155" s="379"/>
      <c r="H155" s="379"/>
      <c r="I155" s="379"/>
      <c r="J155" s="379"/>
      <c r="K155" s="379"/>
      <c r="L155" s="379"/>
      <c r="M155" s="379"/>
      <c r="N155" s="379"/>
      <c r="O155" s="379"/>
      <c r="P155" s="379"/>
      <c r="Q155" s="379"/>
      <c r="R155" s="379"/>
      <c r="S155" s="379"/>
      <c r="T155" s="379"/>
      <c r="U155" s="379"/>
      <c r="V155" s="379"/>
      <c r="W155" s="379"/>
      <c r="X155" s="379"/>
      <c r="Y155" s="379"/>
      <c r="Z155" s="379"/>
    </row>
    <row r="156" spans="1:26" ht="15.75" customHeight="1">
      <c r="A156" s="379"/>
      <c r="B156" s="379"/>
      <c r="C156" s="379"/>
      <c r="D156" s="379"/>
      <c r="E156" s="379"/>
      <c r="F156" s="379"/>
      <c r="G156" s="379"/>
      <c r="H156" s="379"/>
      <c r="I156" s="379"/>
      <c r="J156" s="379"/>
      <c r="K156" s="379"/>
      <c r="L156" s="379"/>
      <c r="M156" s="379"/>
      <c r="N156" s="379"/>
      <c r="O156" s="379"/>
      <c r="P156" s="379"/>
      <c r="Q156" s="379"/>
      <c r="R156" s="379"/>
      <c r="S156" s="379"/>
      <c r="T156" s="379"/>
      <c r="U156" s="379"/>
      <c r="V156" s="379"/>
      <c r="W156" s="379"/>
      <c r="X156" s="379"/>
      <c r="Y156" s="379"/>
      <c r="Z156" s="379"/>
    </row>
    <row r="157" spans="1:26" ht="15.75" customHeight="1">
      <c r="A157" s="379"/>
      <c r="B157" s="379"/>
      <c r="C157" s="379"/>
      <c r="D157" s="379"/>
      <c r="E157" s="379"/>
      <c r="F157" s="379"/>
      <c r="G157" s="379"/>
      <c r="H157" s="379"/>
      <c r="I157" s="379"/>
      <c r="J157" s="379"/>
      <c r="K157" s="379"/>
      <c r="L157" s="379"/>
      <c r="M157" s="379"/>
      <c r="N157" s="379"/>
      <c r="O157" s="379"/>
      <c r="P157" s="379"/>
      <c r="Q157" s="379"/>
      <c r="R157" s="379"/>
      <c r="S157" s="379"/>
      <c r="T157" s="379"/>
      <c r="U157" s="379"/>
      <c r="V157" s="379"/>
      <c r="W157" s="379"/>
      <c r="X157" s="379"/>
      <c r="Y157" s="379"/>
      <c r="Z157" s="379"/>
    </row>
    <row r="158" spans="1:26" ht="15.75" customHeight="1">
      <c r="A158" s="379"/>
      <c r="B158" s="379"/>
      <c r="C158" s="379"/>
      <c r="D158" s="379"/>
      <c r="E158" s="379"/>
      <c r="F158" s="379"/>
      <c r="G158" s="379"/>
      <c r="H158" s="379"/>
      <c r="I158" s="379"/>
      <c r="J158" s="379"/>
      <c r="K158" s="379"/>
      <c r="L158" s="379"/>
      <c r="M158" s="379"/>
      <c r="N158" s="379"/>
      <c r="O158" s="379"/>
      <c r="P158" s="379"/>
      <c r="Q158" s="379"/>
      <c r="R158" s="379"/>
      <c r="S158" s="379"/>
      <c r="T158" s="379"/>
      <c r="U158" s="379"/>
      <c r="V158" s="379"/>
      <c r="W158" s="379"/>
      <c r="X158" s="379"/>
      <c r="Y158" s="379"/>
      <c r="Z158" s="379"/>
    </row>
    <row r="159" spans="1:26" ht="15.75" customHeight="1">
      <c r="A159" s="379"/>
      <c r="B159" s="379"/>
      <c r="C159" s="379"/>
      <c r="D159" s="379"/>
      <c r="E159" s="379"/>
      <c r="F159" s="379"/>
      <c r="G159" s="379"/>
      <c r="H159" s="379"/>
      <c r="I159" s="379"/>
      <c r="J159" s="379"/>
      <c r="K159" s="379"/>
      <c r="L159" s="379"/>
      <c r="M159" s="379"/>
      <c r="N159" s="379"/>
      <c r="O159" s="379"/>
      <c r="P159" s="379"/>
      <c r="Q159" s="379"/>
      <c r="R159" s="379"/>
      <c r="S159" s="379"/>
      <c r="T159" s="379"/>
      <c r="U159" s="379"/>
      <c r="V159" s="379"/>
      <c r="W159" s="379"/>
      <c r="X159" s="379"/>
      <c r="Y159" s="379"/>
      <c r="Z159" s="379"/>
    </row>
    <row r="160" spans="1:26" ht="15.75" customHeight="1">
      <c r="A160" s="379"/>
      <c r="B160" s="379"/>
      <c r="C160" s="379"/>
      <c r="D160" s="379"/>
      <c r="E160" s="379"/>
      <c r="F160" s="379"/>
      <c r="G160" s="379"/>
      <c r="H160" s="379"/>
      <c r="I160" s="379"/>
      <c r="J160" s="379"/>
      <c r="K160" s="379"/>
      <c r="L160" s="379"/>
      <c r="M160" s="379"/>
      <c r="N160" s="379"/>
      <c r="O160" s="379"/>
      <c r="P160" s="379"/>
      <c r="Q160" s="379"/>
      <c r="R160" s="379"/>
      <c r="S160" s="379"/>
      <c r="T160" s="379"/>
      <c r="U160" s="379"/>
      <c r="V160" s="379"/>
      <c r="W160" s="379"/>
      <c r="X160" s="379"/>
      <c r="Y160" s="379"/>
      <c r="Z160" s="379"/>
    </row>
    <row r="161" spans="1:26" ht="15.75" customHeight="1">
      <c r="A161" s="379"/>
      <c r="B161" s="379"/>
      <c r="C161" s="379"/>
      <c r="D161" s="379"/>
      <c r="E161" s="379"/>
      <c r="F161" s="379"/>
      <c r="G161" s="379"/>
      <c r="H161" s="379"/>
      <c r="I161" s="379"/>
      <c r="J161" s="379"/>
      <c r="K161" s="379"/>
      <c r="L161" s="379"/>
      <c r="M161" s="379"/>
      <c r="N161" s="379"/>
      <c r="O161" s="379"/>
      <c r="P161" s="379"/>
      <c r="Q161" s="379"/>
      <c r="R161" s="379"/>
      <c r="S161" s="379"/>
      <c r="T161" s="379"/>
      <c r="U161" s="379"/>
      <c r="V161" s="379"/>
      <c r="W161" s="379"/>
      <c r="X161" s="379"/>
      <c r="Y161" s="379"/>
      <c r="Z161" s="379"/>
    </row>
    <row r="162" spans="1:26" ht="15.75" customHeight="1">
      <c r="A162" s="379"/>
      <c r="B162" s="379"/>
      <c r="C162" s="379"/>
      <c r="D162" s="379"/>
      <c r="E162" s="379"/>
      <c r="F162" s="379"/>
      <c r="G162" s="379"/>
      <c r="H162" s="379"/>
      <c r="I162" s="379"/>
      <c r="J162" s="379"/>
      <c r="K162" s="379"/>
      <c r="L162" s="379"/>
      <c r="M162" s="379"/>
      <c r="N162" s="379"/>
      <c r="O162" s="379"/>
      <c r="P162" s="379"/>
      <c r="Q162" s="379"/>
      <c r="R162" s="379"/>
      <c r="S162" s="379"/>
      <c r="T162" s="379"/>
      <c r="U162" s="379"/>
      <c r="V162" s="379"/>
      <c r="W162" s="379"/>
      <c r="X162" s="379"/>
      <c r="Y162" s="379"/>
      <c r="Z162" s="379"/>
    </row>
    <row r="163" spans="1:26" ht="15.75" customHeight="1">
      <c r="A163" s="379"/>
      <c r="B163" s="379"/>
      <c r="C163" s="379"/>
      <c r="D163" s="379"/>
      <c r="E163" s="379"/>
      <c r="F163" s="379"/>
      <c r="G163" s="379"/>
      <c r="H163" s="379"/>
      <c r="I163" s="379"/>
      <c r="J163" s="379"/>
      <c r="K163" s="379"/>
      <c r="L163" s="379"/>
      <c r="M163" s="379"/>
      <c r="N163" s="379"/>
      <c r="O163" s="379"/>
      <c r="P163" s="379"/>
      <c r="Q163" s="379"/>
      <c r="R163" s="379"/>
      <c r="S163" s="379"/>
      <c r="T163" s="379"/>
      <c r="U163" s="379"/>
      <c r="V163" s="379"/>
      <c r="W163" s="379"/>
      <c r="X163" s="379"/>
      <c r="Y163" s="379"/>
      <c r="Z163" s="379"/>
    </row>
    <row r="164" spans="1:26" ht="15.75" customHeight="1">
      <c r="A164" s="379"/>
      <c r="B164" s="379"/>
      <c r="C164" s="379"/>
      <c r="D164" s="379"/>
      <c r="E164" s="379"/>
      <c r="F164" s="379"/>
      <c r="G164" s="379"/>
      <c r="H164" s="379"/>
      <c r="I164" s="379"/>
      <c r="J164" s="379"/>
      <c r="K164" s="379"/>
      <c r="L164" s="379"/>
      <c r="M164" s="379"/>
      <c r="N164" s="379"/>
      <c r="O164" s="379"/>
      <c r="P164" s="379"/>
      <c r="Q164" s="379"/>
      <c r="R164" s="379"/>
      <c r="S164" s="379"/>
      <c r="T164" s="379"/>
      <c r="U164" s="379"/>
      <c r="V164" s="379"/>
      <c r="W164" s="379"/>
      <c r="X164" s="379"/>
      <c r="Y164" s="379"/>
      <c r="Z164" s="379"/>
    </row>
    <row r="165" spans="1:26" ht="15.75" customHeight="1">
      <c r="A165" s="379"/>
      <c r="B165" s="379"/>
      <c r="C165" s="379"/>
      <c r="D165" s="379"/>
      <c r="E165" s="379"/>
      <c r="F165" s="379"/>
      <c r="G165" s="379"/>
      <c r="H165" s="379"/>
      <c r="I165" s="379"/>
      <c r="J165" s="379"/>
      <c r="K165" s="379"/>
      <c r="L165" s="379"/>
      <c r="M165" s="379"/>
      <c r="N165" s="379"/>
      <c r="O165" s="379"/>
      <c r="P165" s="379"/>
      <c r="Q165" s="379"/>
      <c r="R165" s="379"/>
      <c r="S165" s="379"/>
      <c r="T165" s="379"/>
      <c r="U165" s="379"/>
      <c r="V165" s="379"/>
      <c r="W165" s="379"/>
      <c r="X165" s="379"/>
      <c r="Y165" s="379"/>
      <c r="Z165" s="379"/>
    </row>
    <row r="166" spans="1:26" ht="15.75" customHeight="1">
      <c r="A166" s="379"/>
      <c r="B166" s="379"/>
      <c r="C166" s="379"/>
      <c r="D166" s="379"/>
      <c r="E166" s="379"/>
      <c r="F166" s="379"/>
      <c r="G166" s="379"/>
      <c r="H166" s="379"/>
      <c r="I166" s="379"/>
      <c r="J166" s="379"/>
      <c r="K166" s="379"/>
      <c r="L166" s="379"/>
      <c r="M166" s="379"/>
      <c r="N166" s="379"/>
      <c r="O166" s="379"/>
      <c r="P166" s="379"/>
      <c r="Q166" s="379"/>
      <c r="R166" s="379"/>
      <c r="S166" s="379"/>
      <c r="T166" s="379"/>
      <c r="U166" s="379"/>
      <c r="V166" s="379"/>
      <c r="W166" s="379"/>
      <c r="X166" s="379"/>
      <c r="Y166" s="379"/>
      <c r="Z166" s="379"/>
    </row>
    <row r="167" spans="1:26" ht="15.75" customHeight="1">
      <c r="A167" s="379"/>
      <c r="B167" s="379"/>
      <c r="C167" s="379"/>
      <c r="D167" s="379"/>
      <c r="E167" s="379"/>
      <c r="F167" s="379"/>
      <c r="G167" s="379"/>
      <c r="H167" s="379"/>
      <c r="I167" s="379"/>
      <c r="J167" s="379"/>
      <c r="K167" s="379"/>
      <c r="L167" s="379"/>
      <c r="M167" s="379"/>
      <c r="N167" s="379"/>
      <c r="O167" s="379"/>
      <c r="P167" s="379"/>
      <c r="Q167" s="379"/>
      <c r="R167" s="379"/>
      <c r="S167" s="379"/>
      <c r="T167" s="379"/>
      <c r="U167" s="379"/>
      <c r="V167" s="379"/>
      <c r="W167" s="379"/>
      <c r="X167" s="379"/>
      <c r="Y167" s="379"/>
      <c r="Z167" s="379"/>
    </row>
    <row r="168" spans="1:26" ht="15.75" customHeight="1">
      <c r="A168" s="379"/>
      <c r="B168" s="379"/>
      <c r="C168" s="379"/>
      <c r="D168" s="379"/>
      <c r="E168" s="379"/>
      <c r="F168" s="379"/>
      <c r="G168" s="379"/>
      <c r="H168" s="379"/>
      <c r="I168" s="379"/>
      <c r="J168" s="379"/>
      <c r="K168" s="379"/>
      <c r="L168" s="379"/>
      <c r="M168" s="379"/>
      <c r="N168" s="379"/>
      <c r="O168" s="379"/>
      <c r="P168" s="379"/>
      <c r="Q168" s="379"/>
      <c r="R168" s="379"/>
      <c r="S168" s="379"/>
      <c r="T168" s="379"/>
      <c r="U168" s="379"/>
      <c r="V168" s="379"/>
      <c r="W168" s="379"/>
      <c r="X168" s="379"/>
      <c r="Y168" s="379"/>
      <c r="Z168" s="379"/>
    </row>
    <row r="169" spans="1:26" ht="15.75" customHeight="1">
      <c r="A169" s="379"/>
      <c r="B169" s="379"/>
      <c r="C169" s="379"/>
      <c r="D169" s="379"/>
      <c r="E169" s="379"/>
      <c r="F169" s="379"/>
      <c r="G169" s="379"/>
      <c r="H169" s="379"/>
      <c r="I169" s="379"/>
      <c r="J169" s="379"/>
      <c r="K169" s="379"/>
      <c r="L169" s="379"/>
      <c r="M169" s="379"/>
      <c r="N169" s="379"/>
      <c r="O169" s="379"/>
      <c r="P169" s="379"/>
      <c r="Q169" s="379"/>
      <c r="R169" s="379"/>
      <c r="S169" s="379"/>
      <c r="T169" s="379"/>
      <c r="U169" s="379"/>
      <c r="V169" s="379"/>
      <c r="W169" s="379"/>
      <c r="X169" s="379"/>
      <c r="Y169" s="379"/>
      <c r="Z169" s="379"/>
    </row>
    <row r="170" spans="1:26" ht="15.75" customHeight="1">
      <c r="A170" s="379"/>
      <c r="B170" s="379"/>
      <c r="C170" s="379"/>
      <c r="D170" s="379"/>
      <c r="E170" s="379"/>
      <c r="F170" s="379"/>
      <c r="G170" s="379"/>
      <c r="H170" s="379"/>
      <c r="I170" s="379"/>
      <c r="J170" s="379"/>
      <c r="K170" s="379"/>
      <c r="L170" s="379"/>
      <c r="M170" s="379"/>
      <c r="N170" s="379"/>
      <c r="O170" s="379"/>
      <c r="P170" s="379"/>
      <c r="Q170" s="379"/>
      <c r="R170" s="379"/>
      <c r="S170" s="379"/>
      <c r="T170" s="379"/>
      <c r="U170" s="379"/>
      <c r="V170" s="379"/>
      <c r="W170" s="379"/>
      <c r="X170" s="379"/>
      <c r="Y170" s="379"/>
      <c r="Z170" s="379"/>
    </row>
    <row r="171" spans="1:26" ht="15.75" customHeight="1">
      <c r="A171" s="379"/>
      <c r="B171" s="379"/>
      <c r="C171" s="379"/>
      <c r="D171" s="379"/>
      <c r="E171" s="379"/>
      <c r="F171" s="379"/>
      <c r="G171" s="379"/>
      <c r="H171" s="379"/>
      <c r="I171" s="379"/>
      <c r="J171" s="379"/>
      <c r="K171" s="379"/>
      <c r="L171" s="379"/>
      <c r="M171" s="379"/>
      <c r="N171" s="379"/>
      <c r="O171" s="379"/>
      <c r="P171" s="379"/>
      <c r="Q171" s="379"/>
      <c r="R171" s="379"/>
      <c r="S171" s="379"/>
      <c r="T171" s="379"/>
      <c r="U171" s="379"/>
      <c r="V171" s="379"/>
      <c r="W171" s="379"/>
      <c r="X171" s="379"/>
      <c r="Y171" s="379"/>
      <c r="Z171" s="379"/>
    </row>
    <row r="172" spans="1:26" ht="15.75" customHeight="1">
      <c r="A172" s="379"/>
      <c r="B172" s="379"/>
      <c r="C172" s="379"/>
      <c r="D172" s="379"/>
      <c r="E172" s="379"/>
      <c r="F172" s="379"/>
      <c r="G172" s="379"/>
      <c r="H172" s="379"/>
      <c r="I172" s="379"/>
      <c r="J172" s="379"/>
      <c r="K172" s="379"/>
      <c r="L172" s="379"/>
      <c r="M172" s="379"/>
      <c r="N172" s="379"/>
      <c r="O172" s="379"/>
      <c r="P172" s="379"/>
      <c r="Q172" s="379"/>
      <c r="R172" s="379"/>
      <c r="S172" s="379"/>
      <c r="T172" s="379"/>
      <c r="U172" s="379"/>
      <c r="V172" s="379"/>
      <c r="W172" s="379"/>
      <c r="X172" s="379"/>
      <c r="Y172" s="379"/>
      <c r="Z172" s="379"/>
    </row>
    <row r="173" spans="1:26" ht="15.75" customHeight="1">
      <c r="A173" s="379"/>
      <c r="B173" s="379"/>
      <c r="C173" s="379"/>
      <c r="D173" s="379"/>
      <c r="E173" s="379"/>
      <c r="F173" s="379"/>
      <c r="G173" s="379"/>
      <c r="H173" s="379"/>
      <c r="I173" s="379"/>
      <c r="J173" s="379"/>
      <c r="K173" s="379"/>
      <c r="L173" s="379"/>
      <c r="M173" s="379"/>
      <c r="N173" s="379"/>
      <c r="O173" s="379"/>
      <c r="P173" s="379"/>
      <c r="Q173" s="379"/>
      <c r="R173" s="379"/>
      <c r="S173" s="379"/>
      <c r="T173" s="379"/>
      <c r="U173" s="379"/>
      <c r="V173" s="379"/>
      <c r="W173" s="379"/>
      <c r="X173" s="379"/>
      <c r="Y173" s="379"/>
      <c r="Z173" s="379"/>
    </row>
    <row r="174" spans="1:26" ht="15.75" customHeight="1">
      <c r="A174" s="379"/>
      <c r="B174" s="379"/>
      <c r="C174" s="379"/>
      <c r="D174" s="379"/>
      <c r="E174" s="379"/>
      <c r="F174" s="379"/>
      <c r="G174" s="379"/>
      <c r="H174" s="379"/>
      <c r="I174" s="379"/>
      <c r="J174" s="379"/>
      <c r="K174" s="379"/>
      <c r="L174" s="379"/>
      <c r="M174" s="379"/>
      <c r="N174" s="379"/>
      <c r="O174" s="379"/>
      <c r="P174" s="379"/>
      <c r="Q174" s="379"/>
      <c r="R174" s="379"/>
      <c r="S174" s="379"/>
      <c r="T174" s="379"/>
      <c r="U174" s="379"/>
      <c r="V174" s="379"/>
      <c r="W174" s="379"/>
      <c r="X174" s="379"/>
      <c r="Y174" s="379"/>
      <c r="Z174" s="379"/>
    </row>
    <row r="175" spans="1:26" ht="15.75" customHeight="1">
      <c r="A175" s="379"/>
      <c r="B175" s="379"/>
      <c r="C175" s="379"/>
      <c r="D175" s="379"/>
      <c r="E175" s="379"/>
      <c r="F175" s="379"/>
      <c r="G175" s="379"/>
      <c r="H175" s="379"/>
      <c r="I175" s="379"/>
      <c r="J175" s="379"/>
      <c r="K175" s="379"/>
      <c r="L175" s="379"/>
      <c r="M175" s="379"/>
      <c r="N175" s="379"/>
      <c r="O175" s="379"/>
      <c r="P175" s="379"/>
      <c r="Q175" s="379"/>
      <c r="R175" s="379"/>
      <c r="S175" s="379"/>
      <c r="T175" s="379"/>
      <c r="U175" s="379"/>
      <c r="V175" s="379"/>
      <c r="W175" s="379"/>
      <c r="X175" s="379"/>
      <c r="Y175" s="379"/>
      <c r="Z175" s="379"/>
    </row>
    <row r="176" spans="1:26" ht="15.75" customHeight="1">
      <c r="A176" s="379"/>
      <c r="B176" s="379"/>
      <c r="C176" s="379"/>
      <c r="D176" s="379"/>
      <c r="E176" s="379"/>
      <c r="F176" s="379"/>
      <c r="G176" s="379"/>
      <c r="H176" s="379"/>
      <c r="I176" s="379"/>
      <c r="J176" s="379"/>
      <c r="K176" s="379"/>
      <c r="L176" s="379"/>
      <c r="M176" s="379"/>
      <c r="N176" s="379"/>
      <c r="O176" s="379"/>
      <c r="P176" s="379"/>
      <c r="Q176" s="379"/>
      <c r="R176" s="379"/>
      <c r="S176" s="379"/>
      <c r="T176" s="379"/>
      <c r="U176" s="379"/>
      <c r="V176" s="379"/>
      <c r="W176" s="379"/>
      <c r="X176" s="379"/>
      <c r="Y176" s="379"/>
      <c r="Z176" s="379"/>
    </row>
    <row r="177" spans="1:26" ht="15.75" customHeight="1">
      <c r="A177" s="379"/>
      <c r="B177" s="379"/>
      <c r="C177" s="379"/>
      <c r="D177" s="379"/>
      <c r="E177" s="379"/>
      <c r="F177" s="379"/>
      <c r="G177" s="379"/>
      <c r="H177" s="379"/>
      <c r="I177" s="379"/>
      <c r="J177" s="379"/>
      <c r="K177" s="379"/>
      <c r="L177" s="379"/>
      <c r="M177" s="379"/>
      <c r="N177" s="379"/>
      <c r="O177" s="379"/>
      <c r="P177" s="379"/>
      <c r="Q177" s="379"/>
      <c r="R177" s="379"/>
      <c r="S177" s="379"/>
      <c r="T177" s="379"/>
      <c r="U177" s="379"/>
      <c r="V177" s="379"/>
      <c r="W177" s="379"/>
      <c r="X177" s="379"/>
      <c r="Y177" s="379"/>
      <c r="Z177" s="379"/>
    </row>
    <row r="178" spans="1:26" ht="15.75" customHeight="1">
      <c r="A178" s="379"/>
      <c r="B178" s="379"/>
      <c r="C178" s="379"/>
      <c r="D178" s="379"/>
      <c r="E178" s="379"/>
      <c r="F178" s="379"/>
      <c r="G178" s="379"/>
      <c r="H178" s="379"/>
      <c r="I178" s="379"/>
      <c r="J178" s="379"/>
      <c r="K178" s="379"/>
      <c r="L178" s="379"/>
      <c r="M178" s="379"/>
      <c r="N178" s="379"/>
      <c r="O178" s="379"/>
      <c r="P178" s="379"/>
      <c r="Q178" s="379"/>
      <c r="R178" s="379"/>
      <c r="S178" s="379"/>
      <c r="T178" s="379"/>
      <c r="U178" s="379"/>
      <c r="V178" s="379"/>
      <c r="W178" s="379"/>
      <c r="X178" s="379"/>
      <c r="Y178" s="379"/>
      <c r="Z178" s="379"/>
    </row>
    <row r="179" spans="1:26" ht="15.75" customHeight="1">
      <c r="A179" s="379"/>
      <c r="B179" s="379"/>
      <c r="C179" s="379"/>
      <c r="D179" s="379"/>
      <c r="E179" s="379"/>
      <c r="F179" s="379"/>
      <c r="G179" s="379"/>
      <c r="H179" s="379"/>
      <c r="I179" s="379"/>
      <c r="J179" s="379"/>
      <c r="K179" s="379"/>
      <c r="L179" s="379"/>
      <c r="M179" s="379"/>
      <c r="N179" s="379"/>
      <c r="O179" s="379"/>
      <c r="P179" s="379"/>
      <c r="Q179" s="379"/>
      <c r="R179" s="379"/>
      <c r="S179" s="379"/>
      <c r="T179" s="379"/>
      <c r="U179" s="379"/>
      <c r="V179" s="379"/>
      <c r="W179" s="379"/>
      <c r="X179" s="379"/>
      <c r="Y179" s="379"/>
      <c r="Z179" s="379"/>
    </row>
    <row r="180" spans="1:26" ht="15.75" customHeight="1">
      <c r="A180" s="379"/>
      <c r="B180" s="379"/>
      <c r="C180" s="379"/>
      <c r="D180" s="379"/>
      <c r="E180" s="379"/>
      <c r="F180" s="379"/>
      <c r="G180" s="379"/>
      <c r="H180" s="379"/>
      <c r="I180" s="379"/>
      <c r="J180" s="379"/>
      <c r="K180" s="379"/>
      <c r="L180" s="379"/>
      <c r="M180" s="379"/>
      <c r="N180" s="379"/>
      <c r="O180" s="379"/>
      <c r="P180" s="379"/>
      <c r="Q180" s="379"/>
      <c r="R180" s="379"/>
      <c r="S180" s="379"/>
      <c r="T180" s="379"/>
      <c r="U180" s="379"/>
      <c r="V180" s="379"/>
      <c r="W180" s="379"/>
      <c r="X180" s="379"/>
      <c r="Y180" s="379"/>
      <c r="Z180" s="379"/>
    </row>
    <row r="181" spans="1:26" ht="15.75" customHeight="1">
      <c r="A181" s="379"/>
      <c r="B181" s="379"/>
      <c r="C181" s="379"/>
      <c r="D181" s="379"/>
      <c r="E181" s="379"/>
      <c r="F181" s="379"/>
      <c r="G181" s="379"/>
      <c r="H181" s="379"/>
      <c r="I181" s="379"/>
      <c r="J181" s="379"/>
      <c r="K181" s="379"/>
      <c r="L181" s="379"/>
      <c r="M181" s="379"/>
      <c r="N181" s="379"/>
      <c r="O181" s="379"/>
      <c r="P181" s="379"/>
      <c r="Q181" s="379"/>
      <c r="R181" s="379"/>
      <c r="S181" s="379"/>
      <c r="T181" s="379"/>
      <c r="U181" s="379"/>
      <c r="V181" s="379"/>
      <c r="W181" s="379"/>
      <c r="X181" s="379"/>
      <c r="Y181" s="379"/>
      <c r="Z181" s="379"/>
    </row>
    <row r="182" spans="1:26" ht="15.75" customHeight="1">
      <c r="A182" s="379"/>
      <c r="B182" s="379"/>
      <c r="C182" s="379"/>
      <c r="D182" s="379"/>
      <c r="E182" s="379"/>
      <c r="F182" s="379"/>
      <c r="G182" s="379"/>
      <c r="H182" s="379"/>
      <c r="I182" s="379"/>
      <c r="J182" s="379"/>
      <c r="K182" s="379"/>
      <c r="L182" s="379"/>
      <c r="M182" s="379"/>
      <c r="N182" s="379"/>
      <c r="O182" s="379"/>
      <c r="P182" s="379"/>
      <c r="Q182" s="379"/>
      <c r="R182" s="379"/>
      <c r="S182" s="379"/>
      <c r="T182" s="379"/>
      <c r="U182" s="379"/>
      <c r="V182" s="379"/>
      <c r="W182" s="379"/>
      <c r="X182" s="379"/>
      <c r="Y182" s="379"/>
      <c r="Z182" s="379"/>
    </row>
    <row r="183" spans="1:26" ht="15.75" customHeight="1">
      <c r="A183" s="379"/>
      <c r="B183" s="379"/>
      <c r="C183" s="379"/>
      <c r="D183" s="379"/>
      <c r="E183" s="379"/>
      <c r="F183" s="379"/>
      <c r="G183" s="379"/>
      <c r="H183" s="379"/>
      <c r="I183" s="379"/>
      <c r="J183" s="379"/>
      <c r="K183" s="379"/>
      <c r="L183" s="379"/>
      <c r="M183" s="379"/>
      <c r="N183" s="379"/>
      <c r="O183" s="379"/>
      <c r="P183" s="379"/>
      <c r="Q183" s="379"/>
      <c r="R183" s="379"/>
      <c r="S183" s="379"/>
      <c r="T183" s="379"/>
      <c r="U183" s="379"/>
      <c r="V183" s="379"/>
      <c r="W183" s="379"/>
      <c r="X183" s="379"/>
      <c r="Y183" s="379"/>
      <c r="Z183" s="379"/>
    </row>
    <row r="184" spans="1:26" ht="15.75" customHeight="1">
      <c r="A184" s="379"/>
      <c r="B184" s="379"/>
      <c r="C184" s="379"/>
      <c r="D184" s="379"/>
      <c r="E184" s="379"/>
      <c r="F184" s="379"/>
      <c r="G184" s="379"/>
      <c r="H184" s="379"/>
      <c r="I184" s="379"/>
      <c r="J184" s="379"/>
      <c r="K184" s="379"/>
      <c r="L184" s="379"/>
      <c r="M184" s="379"/>
      <c r="N184" s="379"/>
      <c r="O184" s="379"/>
      <c r="P184" s="379"/>
      <c r="Q184" s="379"/>
      <c r="R184" s="379"/>
      <c r="S184" s="379"/>
      <c r="T184" s="379"/>
      <c r="U184" s="379"/>
      <c r="V184" s="379"/>
      <c r="W184" s="379"/>
      <c r="X184" s="379"/>
      <c r="Y184" s="379"/>
      <c r="Z184" s="379"/>
    </row>
    <row r="185" spans="1:26" ht="15.75" customHeight="1">
      <c r="A185" s="379"/>
      <c r="B185" s="379"/>
      <c r="C185" s="379"/>
      <c r="D185" s="379"/>
      <c r="E185" s="379"/>
      <c r="F185" s="379"/>
      <c r="G185" s="379"/>
      <c r="H185" s="379"/>
      <c r="I185" s="379"/>
      <c r="J185" s="379"/>
      <c r="K185" s="379"/>
      <c r="L185" s="379"/>
      <c r="M185" s="379"/>
      <c r="N185" s="379"/>
      <c r="O185" s="379"/>
      <c r="P185" s="379"/>
      <c r="Q185" s="379"/>
      <c r="R185" s="379"/>
      <c r="S185" s="379"/>
      <c r="T185" s="379"/>
      <c r="U185" s="379"/>
      <c r="V185" s="379"/>
      <c r="W185" s="379"/>
      <c r="X185" s="379"/>
      <c r="Y185" s="379"/>
      <c r="Z185" s="379"/>
    </row>
    <row r="186" spans="1:26" ht="15.75" customHeight="1">
      <c r="A186" s="379"/>
      <c r="B186" s="379"/>
      <c r="C186" s="379"/>
      <c r="D186" s="379"/>
      <c r="E186" s="379"/>
      <c r="F186" s="379"/>
      <c r="G186" s="379"/>
      <c r="H186" s="379"/>
      <c r="I186" s="379"/>
      <c r="J186" s="379"/>
      <c r="K186" s="379"/>
      <c r="L186" s="379"/>
      <c r="M186" s="379"/>
      <c r="N186" s="379"/>
      <c r="O186" s="379"/>
      <c r="P186" s="379"/>
      <c r="Q186" s="379"/>
      <c r="R186" s="379"/>
      <c r="S186" s="379"/>
      <c r="T186" s="379"/>
      <c r="U186" s="379"/>
      <c r="V186" s="379"/>
      <c r="W186" s="379"/>
      <c r="X186" s="379"/>
      <c r="Y186" s="379"/>
      <c r="Z186" s="379"/>
    </row>
    <row r="187" spans="1:26" ht="15.75" customHeight="1">
      <c r="A187" s="379"/>
      <c r="B187" s="379"/>
      <c r="C187" s="379"/>
      <c r="D187" s="379"/>
      <c r="E187" s="379"/>
      <c r="F187" s="379"/>
      <c r="G187" s="379"/>
      <c r="H187" s="379"/>
      <c r="I187" s="379"/>
      <c r="J187" s="379"/>
      <c r="K187" s="379"/>
      <c r="L187" s="379"/>
      <c r="M187" s="379"/>
      <c r="N187" s="379"/>
      <c r="O187" s="379"/>
      <c r="P187" s="379"/>
      <c r="Q187" s="379"/>
      <c r="R187" s="379"/>
      <c r="S187" s="379"/>
      <c r="T187" s="379"/>
      <c r="U187" s="379"/>
      <c r="V187" s="379"/>
      <c r="W187" s="379"/>
      <c r="X187" s="379"/>
      <c r="Y187" s="379"/>
      <c r="Z187" s="379"/>
    </row>
    <row r="188" spans="1:26" ht="15.75" customHeight="1">
      <c r="A188" s="379"/>
      <c r="B188" s="379"/>
      <c r="C188" s="379"/>
      <c r="D188" s="379"/>
      <c r="E188" s="379"/>
      <c r="F188" s="379"/>
      <c r="G188" s="379"/>
      <c r="H188" s="379"/>
      <c r="I188" s="379"/>
      <c r="J188" s="379"/>
      <c r="K188" s="379"/>
      <c r="L188" s="379"/>
      <c r="M188" s="379"/>
      <c r="N188" s="379"/>
      <c r="O188" s="379"/>
      <c r="P188" s="379"/>
      <c r="Q188" s="379"/>
      <c r="R188" s="379"/>
      <c r="S188" s="379"/>
      <c r="T188" s="379"/>
      <c r="U188" s="379"/>
      <c r="V188" s="379"/>
      <c r="W188" s="379"/>
      <c r="X188" s="379"/>
      <c r="Y188" s="379"/>
      <c r="Z188" s="379"/>
    </row>
    <row r="189" spans="1:26" ht="15.75" customHeight="1">
      <c r="A189" s="379"/>
      <c r="B189" s="379"/>
      <c r="C189" s="379"/>
      <c r="D189" s="379"/>
      <c r="E189" s="379"/>
      <c r="F189" s="379"/>
      <c r="G189" s="379"/>
      <c r="H189" s="379"/>
      <c r="I189" s="379"/>
      <c r="J189" s="379"/>
      <c r="K189" s="379"/>
      <c r="L189" s="379"/>
      <c r="M189" s="379"/>
      <c r="N189" s="379"/>
      <c r="O189" s="379"/>
      <c r="P189" s="379"/>
      <c r="Q189" s="379"/>
      <c r="R189" s="379"/>
      <c r="S189" s="379"/>
      <c r="T189" s="379"/>
      <c r="U189" s="379"/>
      <c r="V189" s="379"/>
      <c r="W189" s="379"/>
      <c r="X189" s="379"/>
      <c r="Y189" s="379"/>
      <c r="Z189" s="379"/>
    </row>
    <row r="190" spans="1:26" ht="15.75" customHeight="1">
      <c r="A190" s="379"/>
      <c r="B190" s="379"/>
      <c r="C190" s="379"/>
      <c r="D190" s="379"/>
      <c r="E190" s="379"/>
      <c r="F190" s="379"/>
      <c r="G190" s="379"/>
      <c r="H190" s="379"/>
      <c r="I190" s="379"/>
      <c r="J190" s="379"/>
      <c r="K190" s="379"/>
      <c r="L190" s="379"/>
      <c r="M190" s="379"/>
      <c r="N190" s="379"/>
      <c r="O190" s="379"/>
      <c r="P190" s="379"/>
      <c r="Q190" s="379"/>
      <c r="R190" s="379"/>
      <c r="S190" s="379"/>
      <c r="T190" s="379"/>
      <c r="U190" s="379"/>
      <c r="V190" s="379"/>
      <c r="W190" s="379"/>
      <c r="X190" s="379"/>
      <c r="Y190" s="379"/>
      <c r="Z190" s="379"/>
    </row>
    <row r="191" spans="1:26" ht="15.75" customHeight="1">
      <c r="A191" s="379"/>
      <c r="B191" s="379"/>
      <c r="C191" s="379"/>
      <c r="D191" s="379"/>
      <c r="E191" s="379"/>
      <c r="F191" s="379"/>
      <c r="G191" s="379"/>
      <c r="H191" s="379"/>
      <c r="I191" s="379"/>
      <c r="J191" s="379"/>
      <c r="K191" s="379"/>
      <c r="L191" s="379"/>
      <c r="M191" s="379"/>
      <c r="N191" s="379"/>
      <c r="O191" s="379"/>
      <c r="P191" s="379"/>
      <c r="Q191" s="379"/>
      <c r="R191" s="379"/>
      <c r="S191" s="379"/>
      <c r="T191" s="379"/>
      <c r="U191" s="379"/>
      <c r="V191" s="379"/>
      <c r="W191" s="379"/>
      <c r="X191" s="379"/>
      <c r="Y191" s="379"/>
      <c r="Z191" s="379"/>
    </row>
    <row r="192" spans="1:26" ht="15.75" customHeight="1">
      <c r="A192" s="379"/>
      <c r="B192" s="379"/>
      <c r="C192" s="379"/>
      <c r="D192" s="379"/>
      <c r="E192" s="379"/>
      <c r="F192" s="379"/>
      <c r="G192" s="379"/>
      <c r="H192" s="379"/>
      <c r="I192" s="379"/>
      <c r="J192" s="379"/>
      <c r="K192" s="379"/>
      <c r="L192" s="379"/>
      <c r="M192" s="379"/>
      <c r="N192" s="379"/>
      <c r="O192" s="379"/>
      <c r="P192" s="379"/>
      <c r="Q192" s="379"/>
      <c r="R192" s="379"/>
      <c r="S192" s="379"/>
      <c r="T192" s="379"/>
      <c r="U192" s="379"/>
      <c r="V192" s="379"/>
      <c r="W192" s="379"/>
      <c r="X192" s="379"/>
      <c r="Y192" s="379"/>
      <c r="Z192" s="379"/>
    </row>
    <row r="193" spans="1:26" ht="15.75" customHeight="1">
      <c r="A193" s="379"/>
      <c r="B193" s="379"/>
      <c r="C193" s="379"/>
      <c r="D193" s="379"/>
      <c r="E193" s="379"/>
      <c r="F193" s="379"/>
      <c r="G193" s="379"/>
      <c r="H193" s="379"/>
      <c r="I193" s="379"/>
      <c r="J193" s="379"/>
      <c r="K193" s="379"/>
      <c r="L193" s="379"/>
      <c r="M193" s="379"/>
      <c r="N193" s="379"/>
      <c r="O193" s="379"/>
      <c r="P193" s="379"/>
      <c r="Q193" s="379"/>
      <c r="R193" s="379"/>
      <c r="S193" s="379"/>
      <c r="T193" s="379"/>
      <c r="U193" s="379"/>
      <c r="V193" s="379"/>
      <c r="W193" s="379"/>
      <c r="X193" s="379"/>
      <c r="Y193" s="379"/>
      <c r="Z193" s="379"/>
    </row>
    <row r="194" spans="1:26" ht="15.75" customHeight="1">
      <c r="A194" s="379"/>
      <c r="B194" s="379"/>
      <c r="C194" s="379"/>
      <c r="D194" s="379"/>
      <c r="E194" s="379"/>
      <c r="F194" s="379"/>
      <c r="G194" s="379"/>
      <c r="H194" s="379"/>
      <c r="I194" s="379"/>
      <c r="J194" s="379"/>
      <c r="K194" s="379"/>
      <c r="L194" s="379"/>
      <c r="M194" s="379"/>
      <c r="N194" s="379"/>
      <c r="O194" s="379"/>
      <c r="P194" s="379"/>
      <c r="Q194" s="379"/>
      <c r="R194" s="379"/>
      <c r="S194" s="379"/>
      <c r="T194" s="379"/>
      <c r="U194" s="379"/>
      <c r="V194" s="379"/>
      <c r="W194" s="379"/>
      <c r="X194" s="379"/>
      <c r="Y194" s="379"/>
      <c r="Z194" s="379"/>
    </row>
    <row r="195" spans="1:26" ht="15.75" customHeight="1">
      <c r="A195" s="379"/>
      <c r="B195" s="379"/>
      <c r="C195" s="379"/>
      <c r="D195" s="379"/>
      <c r="E195" s="379"/>
      <c r="F195" s="379"/>
      <c r="G195" s="379"/>
      <c r="H195" s="379"/>
      <c r="I195" s="379"/>
      <c r="J195" s="379"/>
      <c r="K195" s="379"/>
      <c r="L195" s="379"/>
      <c r="M195" s="379"/>
      <c r="N195" s="379"/>
      <c r="O195" s="379"/>
      <c r="P195" s="379"/>
      <c r="Q195" s="379"/>
      <c r="R195" s="379"/>
      <c r="S195" s="379"/>
      <c r="T195" s="379"/>
      <c r="U195" s="379"/>
      <c r="V195" s="379"/>
      <c r="W195" s="379"/>
      <c r="X195" s="379"/>
      <c r="Y195" s="379"/>
      <c r="Z195" s="379"/>
    </row>
    <row r="196" spans="1:26" ht="15.75" customHeight="1">
      <c r="A196" s="379"/>
      <c r="B196" s="379"/>
      <c r="C196" s="379"/>
      <c r="D196" s="379"/>
      <c r="E196" s="379"/>
      <c r="F196" s="379"/>
      <c r="G196" s="379"/>
      <c r="H196" s="379"/>
      <c r="I196" s="379"/>
      <c r="J196" s="379"/>
      <c r="K196" s="379"/>
      <c r="L196" s="379"/>
      <c r="M196" s="379"/>
      <c r="N196" s="379"/>
      <c r="O196" s="379"/>
      <c r="P196" s="379"/>
      <c r="Q196" s="379"/>
      <c r="R196" s="379"/>
      <c r="S196" s="379"/>
      <c r="T196" s="379"/>
      <c r="U196" s="379"/>
      <c r="V196" s="379"/>
      <c r="W196" s="379"/>
      <c r="X196" s="379"/>
      <c r="Y196" s="379"/>
      <c r="Z196" s="379"/>
    </row>
    <row r="197" spans="1:26" ht="15.75" customHeight="1">
      <c r="A197" s="379"/>
      <c r="B197" s="379"/>
      <c r="C197" s="379"/>
      <c r="D197" s="379"/>
      <c r="E197" s="379"/>
      <c r="F197" s="379"/>
      <c r="G197" s="379"/>
      <c r="H197" s="379"/>
      <c r="I197" s="379"/>
      <c r="J197" s="379"/>
      <c r="K197" s="379"/>
      <c r="L197" s="379"/>
      <c r="M197" s="379"/>
      <c r="N197" s="379"/>
      <c r="O197" s="379"/>
      <c r="P197" s="379"/>
      <c r="Q197" s="379"/>
      <c r="R197" s="379"/>
      <c r="S197" s="379"/>
      <c r="T197" s="379"/>
      <c r="U197" s="379"/>
      <c r="V197" s="379"/>
      <c r="W197" s="379"/>
      <c r="X197" s="379"/>
      <c r="Y197" s="379"/>
      <c r="Z197" s="379"/>
    </row>
    <row r="198" spans="1:26" ht="15.75" customHeight="1">
      <c r="A198" s="379"/>
      <c r="B198" s="379"/>
      <c r="C198" s="379"/>
      <c r="D198" s="379"/>
      <c r="E198" s="379"/>
      <c r="F198" s="379"/>
      <c r="G198" s="379"/>
      <c r="H198" s="379"/>
      <c r="I198" s="379"/>
      <c r="J198" s="379"/>
      <c r="K198" s="379"/>
      <c r="L198" s="379"/>
      <c r="M198" s="379"/>
      <c r="N198" s="379"/>
      <c r="O198" s="379"/>
      <c r="P198" s="379"/>
      <c r="Q198" s="379"/>
      <c r="R198" s="379"/>
      <c r="S198" s="379"/>
      <c r="T198" s="379"/>
      <c r="U198" s="379"/>
      <c r="V198" s="379"/>
      <c r="W198" s="379"/>
      <c r="X198" s="379"/>
      <c r="Y198" s="379"/>
      <c r="Z198" s="379"/>
    </row>
    <row r="199" spans="1:26" ht="15.75" customHeight="1">
      <c r="A199" s="379"/>
      <c r="B199" s="379"/>
      <c r="C199" s="379"/>
      <c r="D199" s="379"/>
      <c r="E199" s="379"/>
      <c r="F199" s="379"/>
      <c r="G199" s="379"/>
      <c r="H199" s="379"/>
      <c r="I199" s="379"/>
      <c r="J199" s="379"/>
      <c r="K199" s="379"/>
      <c r="L199" s="379"/>
      <c r="M199" s="379"/>
      <c r="N199" s="379"/>
      <c r="O199" s="379"/>
      <c r="P199" s="379"/>
      <c r="Q199" s="379"/>
      <c r="R199" s="379"/>
      <c r="S199" s="379"/>
      <c r="T199" s="379"/>
      <c r="U199" s="379"/>
      <c r="V199" s="379"/>
      <c r="W199" s="379"/>
      <c r="X199" s="379"/>
      <c r="Y199" s="379"/>
      <c r="Z199" s="379"/>
    </row>
    <row r="200" spans="1:26" ht="15.75" customHeight="1">
      <c r="A200" s="379"/>
      <c r="B200" s="379"/>
      <c r="C200" s="379"/>
      <c r="D200" s="379"/>
      <c r="E200" s="379"/>
      <c r="F200" s="379"/>
      <c r="G200" s="379"/>
      <c r="H200" s="379"/>
      <c r="I200" s="379"/>
      <c r="J200" s="379"/>
      <c r="K200" s="379"/>
      <c r="L200" s="379"/>
      <c r="M200" s="379"/>
      <c r="N200" s="379"/>
      <c r="O200" s="379"/>
      <c r="P200" s="379"/>
      <c r="Q200" s="379"/>
      <c r="R200" s="379"/>
      <c r="S200" s="379"/>
      <c r="T200" s="379"/>
      <c r="U200" s="379"/>
      <c r="V200" s="379"/>
      <c r="W200" s="379"/>
      <c r="X200" s="379"/>
      <c r="Y200" s="379"/>
      <c r="Z200" s="379"/>
    </row>
    <row r="201" spans="1:26" ht="15.75" customHeight="1">
      <c r="A201" s="379"/>
      <c r="B201" s="379"/>
      <c r="C201" s="379"/>
      <c r="D201" s="379"/>
      <c r="E201" s="379"/>
      <c r="F201" s="379"/>
      <c r="G201" s="379"/>
      <c r="H201" s="379"/>
      <c r="I201" s="379"/>
      <c r="J201" s="379"/>
      <c r="K201" s="379"/>
      <c r="L201" s="379"/>
      <c r="M201" s="379"/>
      <c r="N201" s="379"/>
      <c r="O201" s="379"/>
      <c r="P201" s="379"/>
      <c r="Q201" s="379"/>
      <c r="R201" s="379"/>
      <c r="S201" s="379"/>
      <c r="T201" s="379"/>
      <c r="U201" s="379"/>
      <c r="V201" s="379"/>
      <c r="W201" s="379"/>
      <c r="X201" s="379"/>
      <c r="Y201" s="379"/>
      <c r="Z201" s="379"/>
    </row>
    <row r="202" spans="1:26" ht="15.75" customHeight="1">
      <c r="A202" s="379"/>
      <c r="B202" s="379"/>
      <c r="C202" s="379"/>
      <c r="D202" s="379"/>
      <c r="E202" s="379"/>
      <c r="F202" s="379"/>
      <c r="G202" s="379"/>
      <c r="H202" s="379"/>
      <c r="I202" s="379"/>
      <c r="J202" s="379"/>
      <c r="K202" s="379"/>
      <c r="L202" s="379"/>
      <c r="M202" s="379"/>
      <c r="N202" s="379"/>
      <c r="O202" s="379"/>
      <c r="P202" s="379"/>
      <c r="Q202" s="379"/>
      <c r="R202" s="379"/>
      <c r="S202" s="379"/>
      <c r="T202" s="379"/>
      <c r="U202" s="379"/>
      <c r="V202" s="379"/>
      <c r="W202" s="379"/>
      <c r="X202" s="379"/>
      <c r="Y202" s="379"/>
      <c r="Z202" s="379"/>
    </row>
    <row r="203" spans="1:26" ht="15.75" customHeight="1">
      <c r="A203" s="379"/>
      <c r="B203" s="379"/>
      <c r="C203" s="379"/>
      <c r="D203" s="379"/>
      <c r="E203" s="379"/>
      <c r="F203" s="379"/>
      <c r="G203" s="379"/>
      <c r="H203" s="379"/>
      <c r="I203" s="379"/>
      <c r="J203" s="379"/>
      <c r="K203" s="379"/>
      <c r="L203" s="379"/>
      <c r="M203" s="379"/>
      <c r="N203" s="379"/>
      <c r="O203" s="379"/>
      <c r="P203" s="379"/>
      <c r="Q203" s="379"/>
      <c r="R203" s="379"/>
      <c r="S203" s="379"/>
      <c r="T203" s="379"/>
      <c r="U203" s="379"/>
      <c r="V203" s="379"/>
      <c r="W203" s="379"/>
      <c r="X203" s="379"/>
      <c r="Y203" s="379"/>
      <c r="Z203" s="379"/>
    </row>
    <row r="204" spans="1:26" ht="15.75" customHeight="1">
      <c r="A204" s="379"/>
      <c r="B204" s="379"/>
      <c r="C204" s="379"/>
      <c r="D204" s="379"/>
      <c r="E204" s="379"/>
      <c r="F204" s="379"/>
      <c r="G204" s="379"/>
      <c r="H204" s="379"/>
      <c r="I204" s="379"/>
      <c r="J204" s="379"/>
      <c r="K204" s="379"/>
      <c r="L204" s="379"/>
      <c r="M204" s="379"/>
      <c r="N204" s="379"/>
      <c r="O204" s="379"/>
      <c r="P204" s="379"/>
      <c r="Q204" s="379"/>
      <c r="R204" s="379"/>
      <c r="S204" s="379"/>
      <c r="T204" s="379"/>
      <c r="U204" s="379"/>
      <c r="V204" s="379"/>
      <c r="W204" s="379"/>
      <c r="X204" s="379"/>
      <c r="Y204" s="379"/>
      <c r="Z204" s="379"/>
    </row>
    <row r="205" spans="1:26" ht="15.75" customHeight="1">
      <c r="A205" s="379"/>
      <c r="B205" s="379"/>
      <c r="C205" s="379"/>
      <c r="D205" s="379"/>
      <c r="E205" s="379"/>
      <c r="F205" s="379"/>
      <c r="G205" s="379"/>
      <c r="H205" s="379"/>
      <c r="I205" s="379"/>
      <c r="J205" s="379"/>
      <c r="K205" s="379"/>
      <c r="L205" s="379"/>
      <c r="M205" s="379"/>
      <c r="N205" s="379"/>
      <c r="O205" s="379"/>
      <c r="P205" s="379"/>
      <c r="Q205" s="379"/>
      <c r="R205" s="379"/>
      <c r="S205" s="379"/>
      <c r="T205" s="379"/>
      <c r="U205" s="379"/>
      <c r="V205" s="379"/>
      <c r="W205" s="379"/>
      <c r="X205" s="379"/>
      <c r="Y205" s="379"/>
      <c r="Z205" s="379"/>
    </row>
    <row r="206" spans="1:26" ht="15.75" customHeight="1">
      <c r="A206" s="379"/>
      <c r="B206" s="379"/>
      <c r="C206" s="379"/>
      <c r="D206" s="379"/>
      <c r="E206" s="379"/>
      <c r="F206" s="379"/>
      <c r="G206" s="379"/>
      <c r="H206" s="379"/>
      <c r="I206" s="379"/>
      <c r="J206" s="379"/>
      <c r="K206" s="379"/>
      <c r="L206" s="379"/>
      <c r="M206" s="379"/>
      <c r="N206" s="379"/>
      <c r="O206" s="379"/>
      <c r="P206" s="379"/>
      <c r="Q206" s="379"/>
      <c r="R206" s="379"/>
      <c r="S206" s="379"/>
      <c r="T206" s="379"/>
      <c r="U206" s="379"/>
      <c r="V206" s="379"/>
      <c r="W206" s="379"/>
      <c r="X206" s="379"/>
      <c r="Y206" s="379"/>
      <c r="Z206" s="379"/>
    </row>
    <row r="207" spans="1:26" ht="15.75" customHeight="1">
      <c r="A207" s="379"/>
      <c r="B207" s="379"/>
      <c r="C207" s="379"/>
      <c r="D207" s="379"/>
      <c r="E207" s="379"/>
      <c r="F207" s="379"/>
      <c r="G207" s="379"/>
      <c r="H207" s="379"/>
      <c r="I207" s="379"/>
      <c r="J207" s="379"/>
      <c r="K207" s="379"/>
      <c r="L207" s="379"/>
      <c r="M207" s="379"/>
      <c r="N207" s="379"/>
      <c r="O207" s="379"/>
      <c r="P207" s="379"/>
      <c r="Q207" s="379"/>
      <c r="R207" s="379"/>
      <c r="S207" s="379"/>
      <c r="T207" s="379"/>
      <c r="U207" s="379"/>
      <c r="V207" s="379"/>
      <c r="W207" s="379"/>
      <c r="X207" s="379"/>
      <c r="Y207" s="379"/>
      <c r="Z207" s="379"/>
    </row>
    <row r="208" spans="1:26" ht="15.75" customHeight="1">
      <c r="A208" s="379"/>
      <c r="B208" s="379"/>
      <c r="C208" s="379"/>
      <c r="D208" s="379"/>
      <c r="E208" s="379"/>
      <c r="F208" s="379"/>
      <c r="G208" s="379"/>
      <c r="H208" s="379"/>
      <c r="I208" s="379"/>
      <c r="J208" s="379"/>
      <c r="K208" s="379"/>
      <c r="L208" s="379"/>
      <c r="M208" s="379"/>
      <c r="N208" s="379"/>
      <c r="O208" s="379"/>
      <c r="P208" s="379"/>
      <c r="Q208" s="379"/>
      <c r="R208" s="379"/>
      <c r="S208" s="379"/>
      <c r="T208" s="379"/>
      <c r="U208" s="379"/>
      <c r="V208" s="379"/>
      <c r="W208" s="379"/>
      <c r="X208" s="379"/>
      <c r="Y208" s="379"/>
      <c r="Z208" s="379"/>
    </row>
    <row r="209" spans="1:26" ht="15.75" customHeight="1">
      <c r="A209" s="379"/>
      <c r="B209" s="379"/>
      <c r="C209" s="379"/>
      <c r="D209" s="379"/>
      <c r="E209" s="379"/>
      <c r="F209" s="379"/>
      <c r="G209" s="379"/>
      <c r="H209" s="379"/>
      <c r="I209" s="379"/>
      <c r="J209" s="379"/>
      <c r="K209" s="379"/>
      <c r="L209" s="379"/>
      <c r="M209" s="379"/>
      <c r="N209" s="379"/>
      <c r="O209" s="379"/>
      <c r="P209" s="379"/>
      <c r="Q209" s="379"/>
      <c r="R209" s="379"/>
      <c r="S209" s="379"/>
      <c r="T209" s="379"/>
      <c r="U209" s="379"/>
      <c r="V209" s="379"/>
      <c r="W209" s="379"/>
      <c r="X209" s="379"/>
      <c r="Y209" s="379"/>
      <c r="Z209" s="379"/>
    </row>
    <row r="210" spans="1:26" ht="15.75" customHeight="1">
      <c r="A210" s="379"/>
      <c r="B210" s="379"/>
      <c r="C210" s="379"/>
      <c r="D210" s="379"/>
      <c r="E210" s="379"/>
      <c r="F210" s="379"/>
      <c r="G210" s="379"/>
      <c r="H210" s="379"/>
      <c r="I210" s="379"/>
      <c r="J210" s="379"/>
      <c r="K210" s="379"/>
      <c r="L210" s="379"/>
      <c r="M210" s="379"/>
      <c r="N210" s="379"/>
      <c r="O210" s="379"/>
      <c r="P210" s="379"/>
      <c r="Q210" s="379"/>
      <c r="R210" s="379"/>
      <c r="S210" s="379"/>
      <c r="T210" s="379"/>
      <c r="U210" s="379"/>
      <c r="V210" s="379"/>
      <c r="W210" s="379"/>
      <c r="X210" s="379"/>
      <c r="Y210" s="379"/>
      <c r="Z210" s="379"/>
    </row>
    <row r="211" spans="1:26" ht="15.75" customHeight="1">
      <c r="A211" s="379"/>
      <c r="B211" s="379"/>
      <c r="C211" s="379"/>
      <c r="D211" s="379"/>
      <c r="E211" s="379"/>
      <c r="F211" s="379"/>
      <c r="G211" s="379"/>
      <c r="H211" s="379"/>
      <c r="I211" s="379"/>
      <c r="J211" s="379"/>
      <c r="K211" s="379"/>
      <c r="L211" s="379"/>
      <c r="M211" s="379"/>
      <c r="N211" s="379"/>
      <c r="O211" s="379"/>
      <c r="P211" s="379"/>
      <c r="Q211" s="379"/>
      <c r="R211" s="379"/>
      <c r="S211" s="379"/>
      <c r="T211" s="379"/>
      <c r="U211" s="379"/>
      <c r="V211" s="379"/>
      <c r="W211" s="379"/>
      <c r="X211" s="379"/>
      <c r="Y211" s="379"/>
      <c r="Z211" s="379"/>
    </row>
    <row r="212" spans="1:26" ht="15.75" customHeight="1">
      <c r="A212" s="379"/>
      <c r="B212" s="379"/>
      <c r="C212" s="379"/>
      <c r="D212" s="379"/>
      <c r="E212" s="379"/>
      <c r="F212" s="379"/>
      <c r="G212" s="379"/>
      <c r="H212" s="379"/>
      <c r="I212" s="379"/>
      <c r="J212" s="379"/>
      <c r="K212" s="379"/>
      <c r="L212" s="379"/>
      <c r="M212" s="379"/>
      <c r="N212" s="379"/>
      <c r="O212" s="379"/>
      <c r="P212" s="379"/>
      <c r="Q212" s="379"/>
      <c r="R212" s="379"/>
      <c r="S212" s="379"/>
      <c r="T212" s="379"/>
      <c r="U212" s="379"/>
      <c r="V212" s="379"/>
      <c r="W212" s="379"/>
      <c r="X212" s="379"/>
      <c r="Y212" s="379"/>
      <c r="Z212" s="379"/>
    </row>
    <row r="213" spans="1:26" ht="15.75" customHeight="1">
      <c r="A213" s="379"/>
      <c r="B213" s="379"/>
      <c r="C213" s="379"/>
      <c r="D213" s="379"/>
      <c r="E213" s="379"/>
      <c r="F213" s="379"/>
      <c r="G213" s="379"/>
      <c r="H213" s="379"/>
      <c r="I213" s="379"/>
      <c r="J213" s="379"/>
      <c r="K213" s="379"/>
      <c r="L213" s="379"/>
      <c r="M213" s="379"/>
      <c r="N213" s="379"/>
      <c r="O213" s="379"/>
      <c r="P213" s="379"/>
      <c r="Q213" s="379"/>
      <c r="R213" s="379"/>
      <c r="S213" s="379"/>
      <c r="T213" s="379"/>
      <c r="U213" s="379"/>
      <c r="V213" s="379"/>
      <c r="W213" s="379"/>
      <c r="X213" s="379"/>
      <c r="Y213" s="379"/>
      <c r="Z213" s="379"/>
    </row>
    <row r="214" spans="1:26" ht="15.75" customHeight="1">
      <c r="A214" s="379"/>
      <c r="B214" s="379"/>
      <c r="C214" s="379"/>
      <c r="D214" s="379"/>
      <c r="E214" s="379"/>
      <c r="F214" s="379"/>
      <c r="G214" s="379"/>
      <c r="H214" s="379"/>
      <c r="I214" s="379"/>
      <c r="J214" s="379"/>
      <c r="K214" s="379"/>
      <c r="L214" s="379"/>
      <c r="M214" s="379"/>
      <c r="N214" s="379"/>
      <c r="O214" s="379"/>
      <c r="P214" s="379"/>
      <c r="Q214" s="379"/>
      <c r="R214" s="379"/>
      <c r="S214" s="379"/>
      <c r="T214" s="379"/>
      <c r="U214" s="379"/>
      <c r="V214" s="379"/>
      <c r="W214" s="379"/>
      <c r="X214" s="379"/>
      <c r="Y214" s="379"/>
      <c r="Z214" s="379"/>
    </row>
    <row r="215" spans="1:26" ht="15.75" customHeight="1">
      <c r="A215" s="379"/>
      <c r="B215" s="379"/>
      <c r="C215" s="379"/>
      <c r="D215" s="379"/>
      <c r="E215" s="379"/>
      <c r="F215" s="379"/>
      <c r="G215" s="379"/>
      <c r="H215" s="379"/>
      <c r="I215" s="379"/>
      <c r="J215" s="379"/>
      <c r="K215" s="379"/>
      <c r="L215" s="379"/>
      <c r="M215" s="379"/>
      <c r="N215" s="379"/>
      <c r="O215" s="379"/>
      <c r="P215" s="379"/>
      <c r="Q215" s="379"/>
      <c r="R215" s="379"/>
      <c r="S215" s="379"/>
      <c r="T215" s="379"/>
      <c r="U215" s="379"/>
      <c r="V215" s="379"/>
      <c r="W215" s="379"/>
      <c r="X215" s="379"/>
      <c r="Y215" s="379"/>
      <c r="Z215" s="379"/>
    </row>
    <row r="216" spans="1:26" ht="15.75" customHeight="1">
      <c r="A216" s="379"/>
      <c r="B216" s="379"/>
      <c r="C216" s="379"/>
      <c r="D216" s="379"/>
      <c r="E216" s="379"/>
      <c r="F216" s="379"/>
      <c r="G216" s="379"/>
      <c r="H216" s="379"/>
      <c r="I216" s="379"/>
      <c r="J216" s="379"/>
      <c r="K216" s="379"/>
      <c r="L216" s="379"/>
      <c r="M216" s="379"/>
      <c r="N216" s="379"/>
      <c r="O216" s="379"/>
      <c r="P216" s="379"/>
      <c r="Q216" s="379"/>
      <c r="R216" s="379"/>
      <c r="S216" s="379"/>
      <c r="T216" s="379"/>
      <c r="U216" s="379"/>
      <c r="V216" s="379"/>
      <c r="W216" s="379"/>
      <c r="X216" s="379"/>
      <c r="Y216" s="379"/>
      <c r="Z216" s="379"/>
    </row>
    <row r="217" spans="1:26" ht="15.75" customHeight="1">
      <c r="A217" s="379"/>
      <c r="B217" s="379"/>
      <c r="C217" s="379"/>
      <c r="D217" s="379"/>
      <c r="E217" s="379"/>
      <c r="F217" s="379"/>
      <c r="G217" s="379"/>
      <c r="H217" s="379"/>
      <c r="I217" s="379"/>
      <c r="J217" s="379"/>
      <c r="K217" s="379"/>
      <c r="L217" s="379"/>
      <c r="M217" s="379"/>
      <c r="N217" s="379"/>
      <c r="O217" s="379"/>
      <c r="P217" s="379"/>
      <c r="Q217" s="379"/>
      <c r="R217" s="379"/>
      <c r="S217" s="379"/>
      <c r="T217" s="379"/>
      <c r="U217" s="379"/>
      <c r="V217" s="379"/>
      <c r="W217" s="379"/>
      <c r="X217" s="379"/>
      <c r="Y217" s="379"/>
      <c r="Z217" s="379"/>
    </row>
    <row r="218" spans="1:26" ht="15.75" customHeight="1">
      <c r="A218" s="379"/>
      <c r="B218" s="379"/>
      <c r="C218" s="379"/>
      <c r="D218" s="379"/>
      <c r="E218" s="379"/>
      <c r="F218" s="379"/>
      <c r="G218" s="379"/>
      <c r="H218" s="379"/>
      <c r="I218" s="379"/>
      <c r="J218" s="379"/>
      <c r="K218" s="379"/>
      <c r="L218" s="379"/>
      <c r="M218" s="379"/>
      <c r="N218" s="379"/>
      <c r="O218" s="379"/>
      <c r="P218" s="379"/>
      <c r="Q218" s="379"/>
      <c r="R218" s="379"/>
      <c r="S218" s="379"/>
      <c r="T218" s="379"/>
      <c r="U218" s="379"/>
      <c r="V218" s="379"/>
      <c r="W218" s="379"/>
      <c r="X218" s="379"/>
      <c r="Y218" s="379"/>
      <c r="Z218" s="379"/>
    </row>
    <row r="219" spans="1:26" ht="15.75" customHeight="1">
      <c r="A219" s="379"/>
      <c r="B219" s="379"/>
      <c r="C219" s="379"/>
      <c r="D219" s="379"/>
      <c r="E219" s="379"/>
      <c r="F219" s="379"/>
      <c r="G219" s="379"/>
      <c r="H219" s="379"/>
      <c r="I219" s="379"/>
      <c r="J219" s="379"/>
      <c r="K219" s="379"/>
      <c r="L219" s="379"/>
      <c r="M219" s="379"/>
      <c r="N219" s="379"/>
      <c r="O219" s="379"/>
      <c r="P219" s="379"/>
      <c r="Q219" s="379"/>
      <c r="R219" s="379"/>
      <c r="S219" s="379"/>
      <c r="T219" s="379"/>
      <c r="U219" s="379"/>
      <c r="V219" s="379"/>
      <c r="W219" s="379"/>
      <c r="X219" s="379"/>
      <c r="Y219" s="379"/>
      <c r="Z219" s="379"/>
    </row>
    <row r="220" spans="1:26" ht="15.75" customHeight="1">
      <c r="A220" s="379"/>
      <c r="B220" s="379"/>
      <c r="C220" s="379"/>
      <c r="D220" s="379"/>
      <c r="E220" s="379"/>
      <c r="F220" s="379"/>
      <c r="G220" s="379"/>
      <c r="H220" s="379"/>
      <c r="I220" s="379"/>
      <c r="J220" s="379"/>
      <c r="K220" s="379"/>
      <c r="L220" s="379"/>
      <c r="M220" s="379"/>
      <c r="N220" s="379"/>
      <c r="O220" s="379"/>
      <c r="P220" s="379"/>
      <c r="Q220" s="379"/>
      <c r="R220" s="379"/>
      <c r="S220" s="379"/>
      <c r="T220" s="379"/>
      <c r="U220" s="379"/>
      <c r="V220" s="379"/>
      <c r="W220" s="379"/>
      <c r="X220" s="379"/>
      <c r="Y220" s="379"/>
      <c r="Z220" s="37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22" t="s">
        <v>0</v>
      </c>
      <c r="B1" s="423" t="s">
        <v>1</v>
      </c>
      <c r="C1" s="424" t="s">
        <v>2</v>
      </c>
      <c r="D1" s="425" t="s">
        <v>5</v>
      </c>
      <c r="E1" s="7" t="s">
        <v>1718</v>
      </c>
      <c r="F1" s="8" t="s">
        <v>2271</v>
      </c>
      <c r="G1" s="9" t="s">
        <v>8</v>
      </c>
      <c r="H1" s="9" t="s">
        <v>9</v>
      </c>
      <c r="I1" s="10" t="s">
        <v>2227</v>
      </c>
      <c r="J1" s="10" t="s">
        <v>11</v>
      </c>
      <c r="K1" s="9" t="s">
        <v>2228</v>
      </c>
      <c r="L1" s="7" t="s">
        <v>19</v>
      </c>
      <c r="M1" s="9" t="s">
        <v>14</v>
      </c>
      <c r="N1" s="7" t="s">
        <v>20</v>
      </c>
      <c r="O1" s="9" t="s">
        <v>15</v>
      </c>
      <c r="P1" s="12" t="s">
        <v>16</v>
      </c>
      <c r="Q1" s="15" t="s">
        <v>2272</v>
      </c>
      <c r="R1" s="15" t="s">
        <v>2273</v>
      </c>
      <c r="S1" s="15" t="s">
        <v>22</v>
      </c>
      <c r="T1" s="15" t="s">
        <v>23</v>
      </c>
      <c r="U1" s="15" t="s">
        <v>24</v>
      </c>
      <c r="V1" s="15" t="s">
        <v>25</v>
      </c>
      <c r="W1" s="15" t="s">
        <v>26</v>
      </c>
      <c r="X1" s="426" t="s">
        <v>27</v>
      </c>
      <c r="Y1" s="426" t="s">
        <v>28</v>
      </c>
      <c r="Z1" s="426" t="s">
        <v>29</v>
      </c>
      <c r="AA1" s="426" t="s">
        <v>30</v>
      </c>
      <c r="AB1" s="426" t="s">
        <v>31</v>
      </c>
      <c r="AC1" s="426" t="s">
        <v>32</v>
      </c>
      <c r="AD1" s="426" t="s">
        <v>33</v>
      </c>
      <c r="AE1" s="426" t="s">
        <v>34</v>
      </c>
      <c r="AF1" s="426" t="s">
        <v>35</v>
      </c>
      <c r="AG1" s="426" t="s">
        <v>36</v>
      </c>
      <c r="AH1" s="426" t="s">
        <v>37</v>
      </c>
      <c r="AI1" s="426" t="s">
        <v>38</v>
      </c>
      <c r="AJ1" s="15" t="s">
        <v>39</v>
      </c>
      <c r="AK1" s="15" t="s">
        <v>40</v>
      </c>
      <c r="AL1" s="15" t="s">
        <v>41</v>
      </c>
      <c r="AM1" s="15" t="s">
        <v>2274</v>
      </c>
      <c r="AN1" s="15" t="s">
        <v>2275</v>
      </c>
    </row>
    <row r="2" spans="1:40" ht="22.5" customHeight="1">
      <c r="A2" s="427" t="s">
        <v>2245</v>
      </c>
      <c r="B2" s="428" t="s">
        <v>1551</v>
      </c>
      <c r="C2" s="114" t="s">
        <v>1552</v>
      </c>
      <c r="D2" s="116" t="s">
        <v>76</v>
      </c>
      <c r="E2" s="32"/>
      <c r="F2" s="429"/>
      <c r="G2" s="23">
        <v>45751</v>
      </c>
      <c r="H2" s="24">
        <v>45756</v>
      </c>
      <c r="I2" s="52">
        <v>45760</v>
      </c>
      <c r="J2" s="26">
        <v>45759</v>
      </c>
      <c r="K2" s="39">
        <f ca="1">IF(ISBLANK(J2), NETWORKDAYS(H2, TODAY(),fESTIVOS!$A$1:$A$18), NETWORKDAYS(H2, J2, fESTIVOS!$A$1:$A$18))</f>
        <v>3</v>
      </c>
      <c r="L2" s="39"/>
      <c r="M2" s="23"/>
      <c r="N2" s="430"/>
      <c r="O2" s="29"/>
      <c r="P2" s="86" t="s">
        <v>1554</v>
      </c>
      <c r="Q2" s="431"/>
      <c r="R2" s="431"/>
      <c r="S2" s="431"/>
      <c r="T2" s="431"/>
      <c r="U2" s="431"/>
      <c r="V2" s="431"/>
      <c r="W2" s="431"/>
    </row>
    <row r="3" spans="1:40" ht="22.5" customHeight="1">
      <c r="A3" s="427" t="s">
        <v>2245</v>
      </c>
      <c r="B3" s="432"/>
      <c r="C3" s="114" t="s">
        <v>2276</v>
      </c>
      <c r="D3" s="116" t="s">
        <v>76</v>
      </c>
      <c r="E3" s="21">
        <v>90</v>
      </c>
      <c r="F3" s="429"/>
      <c r="G3" s="23">
        <v>45749</v>
      </c>
      <c r="H3" s="24">
        <v>45754</v>
      </c>
      <c r="I3" s="26">
        <v>45772</v>
      </c>
      <c r="J3" s="26">
        <v>45783</v>
      </c>
      <c r="K3" s="39">
        <f ca="1">IF(ISBLANK(J3), NETWORKDAYS(H3, TODAY(),fESTIVOS!$A$1:$A$18), NETWORKDAYS(H3, J3, fESTIVOS!$A$1:$A$18))</f>
        <v>22</v>
      </c>
      <c r="L3" s="32"/>
      <c r="M3" s="23">
        <v>45755</v>
      </c>
      <c r="N3" s="430"/>
      <c r="O3" s="29"/>
      <c r="P3" s="53" t="s">
        <v>2277</v>
      </c>
      <c r="Q3" s="37" t="s">
        <v>2278</v>
      </c>
      <c r="R3" s="37" t="s">
        <v>2279</v>
      </c>
      <c r="S3" s="37" t="s">
        <v>2280</v>
      </c>
      <c r="T3" s="37" t="s">
        <v>2281</v>
      </c>
      <c r="U3" s="36"/>
      <c r="V3" s="36"/>
      <c r="W3" s="36"/>
    </row>
    <row r="4" spans="1:40" ht="22.5" customHeight="1">
      <c r="A4" s="427" t="s">
        <v>2245</v>
      </c>
      <c r="B4" s="432"/>
      <c r="C4" s="114" t="s">
        <v>2282</v>
      </c>
      <c r="D4" s="116" t="s">
        <v>76</v>
      </c>
      <c r="E4" s="21">
        <v>60</v>
      </c>
      <c r="F4" s="429"/>
      <c r="G4" s="23">
        <v>45749</v>
      </c>
      <c r="H4" s="24">
        <v>45749</v>
      </c>
      <c r="I4" s="26">
        <v>45779</v>
      </c>
      <c r="J4" s="26">
        <v>45783</v>
      </c>
      <c r="K4" s="39">
        <f ca="1">IF(ISBLANK(J4), NETWORKDAYS(H4, TODAY(),fESTIVOS!$A$1:$A$18), NETWORKDAYS(H4, J4, fESTIVOS!$A$1:$A$18))</f>
        <v>25</v>
      </c>
      <c r="L4" s="32"/>
      <c r="M4" s="23">
        <v>45754</v>
      </c>
      <c r="N4" s="430"/>
      <c r="O4" s="29"/>
      <c r="P4" s="53" t="s">
        <v>2283</v>
      </c>
      <c r="Q4" s="37" t="s">
        <v>2278</v>
      </c>
      <c r="R4" s="37" t="s">
        <v>2284</v>
      </c>
      <c r="S4" s="37" t="s">
        <v>2280</v>
      </c>
      <c r="T4" s="37" t="s">
        <v>2285</v>
      </c>
      <c r="U4" s="36"/>
      <c r="V4" s="36"/>
      <c r="W4" s="36"/>
    </row>
    <row r="5" spans="1:40" ht="22.5" customHeight="1">
      <c r="A5" s="427" t="s">
        <v>2245</v>
      </c>
      <c r="B5" s="432"/>
      <c r="C5" s="433" t="s">
        <v>2286</v>
      </c>
      <c r="D5" s="116" t="s">
        <v>76</v>
      </c>
      <c r="E5" s="58">
        <v>100</v>
      </c>
      <c r="F5" s="429"/>
      <c r="G5" s="81">
        <v>45770</v>
      </c>
      <c r="H5" s="60">
        <v>45770</v>
      </c>
      <c r="I5" s="60">
        <v>45770</v>
      </c>
      <c r="J5" s="60">
        <v>45770</v>
      </c>
      <c r="K5" s="39">
        <f ca="1">IF(ISBLANK(J5), NETWORKDAYS(H5, TODAY(),fESTIVOS!$A$1:$A$18), NETWORKDAYS(H5, J5, fESTIVOS!$A$1:$A$18))</f>
        <v>1</v>
      </c>
      <c r="L5" s="39"/>
      <c r="M5" s="23"/>
      <c r="N5" s="430"/>
      <c r="O5" s="29"/>
      <c r="P5" s="53" t="s">
        <v>2287</v>
      </c>
      <c r="Q5" s="104"/>
      <c r="R5" s="104"/>
      <c r="S5" s="104"/>
      <c r="T5" s="104"/>
      <c r="U5" s="104"/>
      <c r="V5" s="104"/>
      <c r="W5" s="104"/>
    </row>
    <row r="6" spans="1:40" ht="22.5" customHeight="1">
      <c r="A6" s="427" t="s">
        <v>2245</v>
      </c>
      <c r="B6" s="234" t="s">
        <v>2288</v>
      </c>
      <c r="C6" s="434" t="s">
        <v>2289</v>
      </c>
      <c r="D6" s="435" t="s">
        <v>76</v>
      </c>
      <c r="E6" s="436">
        <v>50</v>
      </c>
      <c r="F6" s="437"/>
      <c r="G6" s="438"/>
      <c r="H6" s="439"/>
      <c r="I6" s="439"/>
      <c r="J6" s="439"/>
      <c r="K6" s="39">
        <f ca="1">IF(ISBLANK(J6), NETWORKDAYS(H6, TODAY(),fESTIVOS!$A$1:$A$18), NETWORKDAYS(H6, J6, fESTIVOS!$A$1:$A$18))</f>
        <v>32904</v>
      </c>
      <c r="L6" s="440"/>
      <c r="M6" s="438"/>
      <c r="N6" s="437"/>
      <c r="O6" s="441"/>
      <c r="P6" s="437"/>
      <c r="Q6" s="442" t="s">
        <v>2290</v>
      </c>
      <c r="R6" s="442" t="s">
        <v>2291</v>
      </c>
      <c r="S6" s="443"/>
      <c r="T6" s="443"/>
      <c r="U6" s="443"/>
      <c r="V6" s="443"/>
      <c r="W6" s="443"/>
    </row>
    <row r="7" spans="1:40" ht="22.5" customHeight="1">
      <c r="A7" s="427" t="s">
        <v>2245</v>
      </c>
      <c r="B7" s="234" t="s">
        <v>2288</v>
      </c>
      <c r="C7" s="444" t="s">
        <v>2292</v>
      </c>
      <c r="D7" s="116" t="s">
        <v>76</v>
      </c>
      <c r="E7" s="138"/>
      <c r="F7" s="71"/>
      <c r="G7" s="59">
        <v>45666</v>
      </c>
      <c r="H7" s="52">
        <v>45684</v>
      </c>
      <c r="I7" s="68"/>
      <c r="J7" s="52">
        <v>45685</v>
      </c>
      <c r="K7" s="39">
        <f ca="1">IF(ISBLANK(J7), NETWORKDAYS(H7, TODAY(),fESTIVOS!$A$1:$A$18), NETWORKDAYS(H7, J7, fESTIVOS!$A$1:$A$18))</f>
        <v>2</v>
      </c>
      <c r="L7" s="429"/>
      <c r="M7" s="249">
        <v>45685</v>
      </c>
      <c r="N7" s="430"/>
      <c r="O7" s="29"/>
      <c r="P7" s="215" t="s">
        <v>2293</v>
      </c>
      <c r="Q7" s="91" t="s">
        <v>2294</v>
      </c>
      <c r="R7" s="442" t="s">
        <v>2291</v>
      </c>
      <c r="S7" s="443"/>
      <c r="T7" s="443"/>
      <c r="U7" s="443"/>
      <c r="V7" s="443"/>
      <c r="W7" s="443"/>
    </row>
    <row r="8" spans="1:40" ht="29.25" customHeight="1">
      <c r="A8" s="445" t="s">
        <v>2230</v>
      </c>
      <c r="B8" s="446"/>
      <c r="C8" s="447" t="s">
        <v>2295</v>
      </c>
      <c r="D8" s="116" t="s">
        <v>76</v>
      </c>
      <c r="E8" s="448"/>
      <c r="F8" s="448"/>
      <c r="G8" s="449">
        <v>45756</v>
      </c>
      <c r="H8" s="450">
        <v>45756</v>
      </c>
      <c r="I8" s="450"/>
      <c r="J8" s="450">
        <v>45756</v>
      </c>
      <c r="K8" s="451">
        <f ca="1">IF(ISBLANK(J8), NETWORKDAYS(H8, TODAY(),fESTIVOS!$A$1:$A$18), NETWORKDAYS(H8, J8, fESTIVOS!$A$1:$A$18))</f>
        <v>1</v>
      </c>
      <c r="L8" s="448"/>
      <c r="M8" s="449"/>
      <c r="N8" s="448"/>
      <c r="O8" s="452"/>
      <c r="P8" s="453" t="s">
        <v>2296</v>
      </c>
      <c r="Q8" s="454"/>
      <c r="R8" s="454"/>
      <c r="S8" s="454"/>
      <c r="T8" s="454"/>
      <c r="U8" s="454"/>
      <c r="V8" s="454"/>
      <c r="W8" s="454"/>
      <c r="X8" s="455"/>
      <c r="Y8" s="455"/>
      <c r="Z8" s="455"/>
      <c r="AA8" s="455"/>
      <c r="AB8" s="455"/>
      <c r="AC8" s="455"/>
      <c r="AD8" s="455"/>
      <c r="AE8" s="455"/>
      <c r="AF8" s="455"/>
      <c r="AG8" s="455"/>
      <c r="AH8" s="455"/>
      <c r="AI8" s="455"/>
      <c r="AJ8" s="455"/>
      <c r="AK8" s="455"/>
      <c r="AL8" s="455"/>
      <c r="AM8" s="455"/>
      <c r="AN8" s="455"/>
    </row>
    <row r="9" spans="1:40" ht="29.25" customHeight="1">
      <c r="A9" s="445" t="s">
        <v>2230</v>
      </c>
      <c r="B9" s="446"/>
      <c r="C9" s="447" t="s">
        <v>2297</v>
      </c>
      <c r="D9" s="456" t="s">
        <v>76</v>
      </c>
      <c r="E9" s="448"/>
      <c r="F9" s="448"/>
      <c r="G9" s="449">
        <v>45750</v>
      </c>
      <c r="H9" s="450">
        <v>45750</v>
      </c>
      <c r="I9" s="450"/>
      <c r="J9" s="450">
        <v>45755</v>
      </c>
      <c r="K9" s="451">
        <f ca="1">IF(ISBLANK(J9), NETWORKDAYS(H9, TODAY(),fESTIVOS!$A$1:$A$18), NETWORKDAYS(H9, J9, fESTIVOS!$A$1:$A$18))</f>
        <v>4</v>
      </c>
      <c r="L9" s="448"/>
      <c r="M9" s="449">
        <v>45755</v>
      </c>
      <c r="N9" s="448"/>
      <c r="O9" s="452">
        <v>45761</v>
      </c>
      <c r="P9" s="457" t="s">
        <v>2298</v>
      </c>
      <c r="Q9" s="458"/>
      <c r="R9" s="458"/>
      <c r="S9" s="458"/>
      <c r="T9" s="458"/>
      <c r="U9" s="458"/>
      <c r="V9" s="458"/>
      <c r="W9" s="458"/>
      <c r="X9" s="455"/>
      <c r="Y9" s="455"/>
      <c r="Z9" s="455"/>
      <c r="AA9" s="455"/>
      <c r="AB9" s="455"/>
      <c r="AC9" s="455"/>
      <c r="AD9" s="455"/>
      <c r="AE9" s="455"/>
      <c r="AF9" s="455"/>
      <c r="AG9" s="455"/>
      <c r="AH9" s="455"/>
      <c r="AI9" s="455"/>
      <c r="AJ9" s="455"/>
      <c r="AK9" s="455"/>
      <c r="AL9" s="455"/>
      <c r="AM9" s="455"/>
      <c r="AN9" s="455"/>
    </row>
    <row r="10" spans="1:40" ht="29.25" customHeight="1">
      <c r="A10" s="445" t="s">
        <v>2230</v>
      </c>
      <c r="B10" s="446"/>
      <c r="C10" s="459" t="s">
        <v>2299</v>
      </c>
      <c r="D10" s="116" t="s">
        <v>76</v>
      </c>
      <c r="E10" s="448"/>
      <c r="F10" s="448"/>
      <c r="G10" s="449">
        <v>45750</v>
      </c>
      <c r="H10" s="450">
        <v>45751</v>
      </c>
      <c r="I10" s="450"/>
      <c r="J10" s="450"/>
      <c r="K10" s="451">
        <f ca="1">IF(ISBLANK(J10), NETWORKDAYS(H10, TODAY(),fESTIVOS!$A$1:$A$18), NETWORKDAYS(H10, J10, fESTIVOS!$A$1:$A$18))</f>
        <v>241</v>
      </c>
      <c r="L10" s="448"/>
      <c r="M10" s="449"/>
      <c r="N10" s="460" t="s">
        <v>2300</v>
      </c>
      <c r="O10" s="452"/>
      <c r="P10" s="457" t="s">
        <v>2301</v>
      </c>
      <c r="Q10" s="458"/>
      <c r="R10" s="461"/>
      <c r="S10" s="461"/>
      <c r="T10" s="461"/>
      <c r="U10" s="461"/>
      <c r="V10" s="461"/>
      <c r="W10" s="461"/>
      <c r="X10" s="462"/>
      <c r="Y10" s="462"/>
      <c r="Z10" s="462"/>
      <c r="AA10" s="462"/>
      <c r="AB10" s="462"/>
      <c r="AC10" s="462"/>
      <c r="AD10" s="462"/>
      <c r="AE10" s="462"/>
      <c r="AF10" s="462"/>
      <c r="AG10" s="462"/>
      <c r="AH10" s="462"/>
      <c r="AI10" s="462"/>
      <c r="AJ10" s="462"/>
      <c r="AK10" s="462"/>
      <c r="AL10" s="462"/>
      <c r="AM10" s="462"/>
      <c r="AN10" s="462"/>
    </row>
    <row r="11" spans="1:40" ht="29.25" customHeight="1">
      <c r="Q11" s="463" t="s">
        <v>2302</v>
      </c>
      <c r="R11" s="463" t="s">
        <v>2303</v>
      </c>
      <c r="S11" s="463" t="s">
        <v>2304</v>
      </c>
      <c r="T11" s="464"/>
      <c r="U11" s="464"/>
      <c r="V11" s="464"/>
      <c r="W11" s="464"/>
      <c r="X11" s="465"/>
      <c r="Y11" s="465"/>
      <c r="Z11" s="465"/>
      <c r="AA11" s="465"/>
      <c r="AB11" s="465"/>
      <c r="AC11" s="465"/>
      <c r="AD11" s="465"/>
      <c r="AE11" s="465"/>
      <c r="AF11" s="465"/>
      <c r="AG11" s="465"/>
      <c r="AH11" s="465"/>
      <c r="AI11" s="465"/>
      <c r="AJ11" s="465"/>
      <c r="AK11" s="465"/>
      <c r="AL11" s="465"/>
      <c r="AM11" s="465"/>
      <c r="AN11" s="465"/>
    </row>
    <row r="12" spans="1:40" ht="29.25" customHeight="1">
      <c r="A12" s="445" t="s">
        <v>2255</v>
      </c>
      <c r="B12" s="466" t="s">
        <v>2305</v>
      </c>
      <c r="C12" s="459" t="s">
        <v>2306</v>
      </c>
      <c r="D12" s="456" t="s">
        <v>76</v>
      </c>
      <c r="E12" s="448"/>
      <c r="F12" s="467"/>
      <c r="G12" s="449">
        <v>45751</v>
      </c>
      <c r="H12" s="450">
        <v>45755</v>
      </c>
      <c r="I12" s="468"/>
      <c r="J12" s="469">
        <v>45758</v>
      </c>
      <c r="K12" s="451">
        <f ca="1">IF(ISBLANK(J12), NETWORKDAYS(H12, TODAY(),fESTIVOS!$A$1:$A$18), NETWORKDAYS(H12, J12, fESTIVOS!$A$1:$A$18))</f>
        <v>4</v>
      </c>
      <c r="L12" s="470"/>
      <c r="M12" s="471"/>
      <c r="N12" s="472"/>
      <c r="O12" s="473"/>
      <c r="P12" s="474" t="s">
        <v>2307</v>
      </c>
      <c r="Q12" s="454"/>
      <c r="R12" s="475"/>
      <c r="S12" s="475"/>
      <c r="T12" s="475"/>
      <c r="U12" s="475"/>
      <c r="V12" s="475"/>
      <c r="W12" s="475"/>
      <c r="X12" s="462"/>
      <c r="Y12" s="462"/>
      <c r="Z12" s="462"/>
      <c r="AA12" s="462"/>
      <c r="AB12" s="462"/>
      <c r="AC12" s="462"/>
      <c r="AD12" s="462"/>
      <c r="AE12" s="462"/>
      <c r="AF12" s="462"/>
      <c r="AG12" s="462"/>
      <c r="AH12" s="462"/>
      <c r="AI12" s="462"/>
      <c r="AJ12" s="462"/>
      <c r="AK12" s="462"/>
      <c r="AL12" s="462"/>
      <c r="AM12" s="462"/>
      <c r="AN12" s="462"/>
    </row>
    <row r="13" spans="1:40" ht="29.25" customHeight="1">
      <c r="A13" s="445" t="s">
        <v>2255</v>
      </c>
      <c r="B13" s="446"/>
      <c r="C13" s="447" t="s">
        <v>2308</v>
      </c>
      <c r="D13" s="116" t="s">
        <v>76</v>
      </c>
      <c r="E13" s="448"/>
      <c r="F13" s="476"/>
      <c r="G13" s="449">
        <v>45757</v>
      </c>
      <c r="H13" s="477"/>
      <c r="I13" s="478"/>
      <c r="J13" s="478"/>
      <c r="K13" s="451">
        <f ca="1">IF(ISBLANK(J13), NETWORKDAYS(H13, TODAY(),fESTIVOS!$A$1:$A$18), NETWORKDAYS(H13, J13, fESTIVOS!$A$1:$A$18))</f>
        <v>32904</v>
      </c>
      <c r="L13" s="479"/>
      <c r="M13" s="480"/>
      <c r="N13" s="481"/>
      <c r="O13" s="482"/>
      <c r="P13" s="472" t="s">
        <v>2309</v>
      </c>
      <c r="Q13" s="483"/>
      <c r="R13" s="483"/>
      <c r="S13" s="483"/>
      <c r="T13" s="483"/>
      <c r="U13" s="483"/>
      <c r="V13" s="483"/>
      <c r="W13" s="483"/>
      <c r="X13" s="462"/>
      <c r="Y13" s="462"/>
      <c r="Z13" s="462"/>
      <c r="AA13" s="462"/>
      <c r="AB13" s="462"/>
      <c r="AC13" s="462"/>
      <c r="AD13" s="462"/>
      <c r="AE13" s="462"/>
      <c r="AF13" s="462"/>
      <c r="AG13" s="462"/>
      <c r="AH13" s="462"/>
      <c r="AI13" s="462"/>
      <c r="AJ13" s="462"/>
      <c r="AK13" s="462"/>
      <c r="AL13" s="462"/>
      <c r="AM13" s="462"/>
      <c r="AN13" s="462"/>
    </row>
    <row r="14" spans="1:40" ht="29.25" customHeight="1">
      <c r="A14" s="445" t="s">
        <v>2255</v>
      </c>
      <c r="B14" s="484" t="s">
        <v>2310</v>
      </c>
      <c r="C14" s="485" t="s">
        <v>2311</v>
      </c>
      <c r="D14" s="116" t="s">
        <v>76</v>
      </c>
      <c r="E14" s="448"/>
      <c r="F14" s="467"/>
      <c r="G14" s="449">
        <v>45748</v>
      </c>
      <c r="H14" s="450">
        <v>45749</v>
      </c>
      <c r="I14" s="468"/>
      <c r="J14" s="468">
        <v>45755</v>
      </c>
      <c r="K14" s="451">
        <f ca="1">IF(ISBLANK(J14), NETWORKDAYS(H14, TODAY(),fESTIVOS!$A$1:$A$18), NETWORKDAYS(H14, J14, fESTIVOS!$A$1:$A$18))</f>
        <v>5</v>
      </c>
      <c r="L14" s="486"/>
      <c r="M14" s="471">
        <v>45755</v>
      </c>
      <c r="N14" s="472"/>
      <c r="O14" s="473"/>
      <c r="P14" s="487" t="s">
        <v>2312</v>
      </c>
      <c r="Q14" s="488"/>
      <c r="R14" s="489"/>
      <c r="S14" s="489"/>
      <c r="T14" s="489"/>
      <c r="U14" s="489"/>
      <c r="V14" s="489"/>
      <c r="W14" s="489"/>
      <c r="X14" s="465"/>
      <c r="Y14" s="465"/>
      <c r="Z14" s="465"/>
      <c r="AA14" s="465"/>
      <c r="AB14" s="465"/>
      <c r="AC14" s="465"/>
      <c r="AD14" s="465"/>
      <c r="AE14" s="465"/>
      <c r="AF14" s="465"/>
      <c r="AG14" s="465"/>
      <c r="AH14" s="465"/>
      <c r="AI14" s="465"/>
      <c r="AJ14" s="465"/>
      <c r="AK14" s="465"/>
      <c r="AL14" s="465"/>
      <c r="AM14" s="465"/>
      <c r="AN14" s="465"/>
    </row>
    <row r="15" spans="1:40" ht="29.25" customHeight="1">
      <c r="A15" s="445" t="s">
        <v>2230</v>
      </c>
      <c r="B15" s="460" t="s">
        <v>2313</v>
      </c>
      <c r="C15" s="485" t="s">
        <v>2314</v>
      </c>
      <c r="D15" s="456" t="s">
        <v>76</v>
      </c>
      <c r="E15" s="448"/>
      <c r="F15" s="448"/>
      <c r="G15" s="449">
        <v>45754</v>
      </c>
      <c r="H15" s="450">
        <v>45757</v>
      </c>
      <c r="I15" s="450"/>
      <c r="J15" s="450">
        <v>45761</v>
      </c>
      <c r="K15" s="451">
        <f ca="1">IF(ISBLANK(J15), NETWORKDAYS(H15, TODAY(),fESTIVOS!$A$1:$A$18), NETWORKDAYS(H15, J15, fESTIVOS!$A$1:$A$18))</f>
        <v>3</v>
      </c>
      <c r="L15" s="448"/>
      <c r="M15" s="449"/>
      <c r="N15" s="448"/>
      <c r="O15" s="452">
        <v>45761</v>
      </c>
      <c r="P15" s="453" t="s">
        <v>2315</v>
      </c>
      <c r="Q15" s="454"/>
      <c r="R15" s="454"/>
      <c r="S15" s="454"/>
      <c r="T15" s="454"/>
      <c r="U15" s="454"/>
      <c r="V15" s="454"/>
      <c r="W15" s="454"/>
      <c r="X15" s="455"/>
      <c r="Y15" s="455"/>
      <c r="Z15" s="455"/>
      <c r="AA15" s="455"/>
      <c r="AB15" s="455"/>
      <c r="AC15" s="455"/>
      <c r="AD15" s="455"/>
      <c r="AE15" s="455"/>
      <c r="AF15" s="455"/>
      <c r="AG15" s="455"/>
      <c r="AH15" s="455"/>
      <c r="AI15" s="455"/>
      <c r="AJ15" s="455"/>
      <c r="AK15" s="455"/>
      <c r="AL15" s="455"/>
      <c r="AM15" s="455"/>
      <c r="AN15" s="455"/>
    </row>
    <row r="16" spans="1:40" ht="29.25" customHeight="1">
      <c r="A16" s="445" t="s">
        <v>2230</v>
      </c>
      <c r="B16" s="460" t="s">
        <v>2316</v>
      </c>
      <c r="C16" s="485" t="s">
        <v>2317</v>
      </c>
      <c r="D16" s="456" t="s">
        <v>76</v>
      </c>
      <c r="E16" s="448"/>
      <c r="F16" s="448"/>
      <c r="G16" s="449">
        <v>45754</v>
      </c>
      <c r="H16" s="450">
        <v>45757</v>
      </c>
      <c r="I16" s="450"/>
      <c r="J16" s="450">
        <v>45761</v>
      </c>
      <c r="K16" s="451">
        <f ca="1">IF(ISBLANK(J16), NETWORKDAYS(H16, TODAY(),fESTIVOS!$A$1:$A$18), NETWORKDAYS(H16, J16, fESTIVOS!$A$1:$A$18))</f>
        <v>3</v>
      </c>
      <c r="L16" s="448"/>
      <c r="M16" s="449"/>
      <c r="N16" s="448"/>
      <c r="O16" s="452">
        <v>45761</v>
      </c>
      <c r="P16" s="453" t="s">
        <v>2318</v>
      </c>
      <c r="Q16" s="454"/>
      <c r="R16" s="454"/>
      <c r="S16" s="454"/>
      <c r="T16" s="454"/>
      <c r="U16" s="454"/>
      <c r="V16" s="454"/>
      <c r="W16" s="454"/>
      <c r="X16" s="455"/>
      <c r="Y16" s="455"/>
      <c r="Z16" s="455"/>
      <c r="AA16" s="455"/>
      <c r="AB16" s="455"/>
      <c r="AC16" s="455"/>
      <c r="AD16" s="455"/>
      <c r="AE16" s="455"/>
      <c r="AF16" s="455"/>
      <c r="AG16" s="455"/>
      <c r="AH16" s="455"/>
      <c r="AI16" s="455"/>
      <c r="AJ16" s="455"/>
      <c r="AK16" s="455"/>
      <c r="AL16" s="455"/>
      <c r="AM16" s="455"/>
      <c r="AN16" s="455"/>
    </row>
    <row r="17" spans="1:40" ht="29.25" customHeight="1">
      <c r="A17" s="445" t="s">
        <v>2230</v>
      </c>
      <c r="B17" s="460" t="s">
        <v>2319</v>
      </c>
      <c r="C17" s="485" t="s">
        <v>2320</v>
      </c>
      <c r="D17" s="456" t="s">
        <v>76</v>
      </c>
      <c r="E17" s="448"/>
      <c r="F17" s="448"/>
      <c r="G17" s="449">
        <v>45754</v>
      </c>
      <c r="H17" s="450">
        <v>45761</v>
      </c>
      <c r="I17" s="450"/>
      <c r="J17" s="450">
        <v>45761</v>
      </c>
      <c r="K17" s="451">
        <f ca="1">IF(ISBLANK(J17), NETWORKDAYS(H17, TODAY(),fESTIVOS!$A$1:$A$18), NETWORKDAYS(H17, J17, fESTIVOS!$A$1:$A$18))</f>
        <v>1</v>
      </c>
      <c r="L17" s="448"/>
      <c r="M17" s="449"/>
      <c r="N17" s="448"/>
      <c r="O17" s="452">
        <v>45761</v>
      </c>
      <c r="P17" s="453" t="s">
        <v>2321</v>
      </c>
      <c r="Q17" s="454"/>
      <c r="R17" s="454"/>
      <c r="S17" s="454"/>
      <c r="T17" s="454"/>
      <c r="U17" s="454"/>
      <c r="V17" s="454"/>
      <c r="W17" s="454"/>
      <c r="X17" s="455"/>
      <c r="Y17" s="455"/>
      <c r="Z17" s="455"/>
      <c r="AA17" s="455"/>
      <c r="AB17" s="455"/>
      <c r="AC17" s="455"/>
      <c r="AD17" s="455"/>
      <c r="AE17" s="455"/>
      <c r="AF17" s="455"/>
      <c r="AG17" s="455"/>
      <c r="AH17" s="455"/>
      <c r="AI17" s="455"/>
      <c r="AJ17" s="455"/>
      <c r="AK17" s="455"/>
      <c r="AL17" s="455"/>
      <c r="AM17" s="455"/>
      <c r="AN17" s="455"/>
    </row>
    <row r="18" spans="1:40" ht="29.25" customHeight="1">
      <c r="A18" s="445" t="s">
        <v>2230</v>
      </c>
      <c r="B18" s="460" t="s">
        <v>2322</v>
      </c>
      <c r="C18" s="485" t="s">
        <v>2323</v>
      </c>
      <c r="D18" s="456" t="s">
        <v>76</v>
      </c>
      <c r="E18" s="448"/>
      <c r="F18" s="448"/>
      <c r="G18" s="449">
        <v>45754</v>
      </c>
      <c r="H18" s="450">
        <v>45757</v>
      </c>
      <c r="I18" s="450"/>
      <c r="J18" s="450">
        <v>45761</v>
      </c>
      <c r="K18" s="451">
        <f ca="1">IF(ISBLANK(J18), NETWORKDAYS(H18, TODAY(),fESTIVOS!$A$1:$A$18), NETWORKDAYS(H18, J18, fESTIVOS!$A$1:$A$18))</f>
        <v>3</v>
      </c>
      <c r="L18" s="448"/>
      <c r="M18" s="449"/>
      <c r="N18" s="448"/>
      <c r="O18" s="452">
        <v>45761</v>
      </c>
      <c r="P18" s="453" t="s">
        <v>2324</v>
      </c>
      <c r="Q18" s="454"/>
      <c r="R18" s="454"/>
      <c r="S18" s="454"/>
      <c r="T18" s="454"/>
      <c r="U18" s="454"/>
      <c r="V18" s="454"/>
      <c r="W18" s="454"/>
      <c r="X18" s="455"/>
      <c r="Y18" s="455"/>
      <c r="Z18" s="455"/>
      <c r="AA18" s="455"/>
      <c r="AB18" s="455"/>
      <c r="AC18" s="455"/>
      <c r="AD18" s="455"/>
      <c r="AE18" s="455"/>
      <c r="AF18" s="455"/>
      <c r="AG18" s="455"/>
      <c r="AH18" s="455"/>
      <c r="AI18" s="455"/>
      <c r="AJ18" s="455"/>
      <c r="AK18" s="455"/>
      <c r="AL18" s="455"/>
      <c r="AM18" s="455"/>
      <c r="AN18" s="455"/>
    </row>
    <row r="19" spans="1:40" ht="29.25" customHeight="1">
      <c r="A19" s="490" t="s">
        <v>2230</v>
      </c>
      <c r="B19" s="460" t="s">
        <v>2325</v>
      </c>
      <c r="C19" s="485" t="s">
        <v>2326</v>
      </c>
      <c r="D19" s="456" t="s">
        <v>76</v>
      </c>
      <c r="E19" s="491"/>
      <c r="F19" s="491"/>
      <c r="G19" s="492">
        <v>45793</v>
      </c>
      <c r="H19" s="493">
        <v>45793</v>
      </c>
      <c r="I19" s="493">
        <v>45793</v>
      </c>
      <c r="J19" s="493">
        <v>45793</v>
      </c>
      <c r="K19" s="460">
        <v>1</v>
      </c>
      <c r="L19" s="448"/>
      <c r="M19" s="449"/>
      <c r="N19" s="448"/>
      <c r="O19" s="452"/>
      <c r="P19" s="457"/>
      <c r="Q19" s="458"/>
      <c r="R19" s="458"/>
      <c r="S19" s="458"/>
      <c r="T19" s="458"/>
      <c r="U19" s="458"/>
      <c r="V19" s="458"/>
      <c r="W19" s="458"/>
      <c r="X19" s="455"/>
      <c r="Y19" s="455"/>
      <c r="Z19" s="455"/>
      <c r="AA19" s="455"/>
      <c r="AB19" s="455"/>
      <c r="AC19" s="455"/>
      <c r="AD19" s="455"/>
      <c r="AE19" s="455"/>
      <c r="AF19" s="455"/>
      <c r="AG19" s="455"/>
      <c r="AH19" s="455"/>
      <c r="AI19" s="455"/>
      <c r="AJ19" s="455"/>
      <c r="AK19" s="455"/>
      <c r="AL19" s="455"/>
      <c r="AM19" s="455"/>
      <c r="AN19" s="455"/>
    </row>
    <row r="20" spans="1:40" ht="29.25" customHeight="1">
      <c r="A20" s="490" t="s">
        <v>2327</v>
      </c>
      <c r="B20" s="494" t="s">
        <v>2328</v>
      </c>
      <c r="C20" s="485" t="s">
        <v>2329</v>
      </c>
      <c r="D20" s="495" t="s">
        <v>76</v>
      </c>
      <c r="E20" s="496"/>
      <c r="F20" s="496"/>
      <c r="G20" s="492">
        <v>45763</v>
      </c>
      <c r="H20" s="493">
        <v>45763</v>
      </c>
      <c r="I20" s="493">
        <v>45763</v>
      </c>
      <c r="J20" s="493">
        <v>45763</v>
      </c>
      <c r="K20" s="460">
        <v>1</v>
      </c>
      <c r="L20" s="448"/>
      <c r="M20" s="492">
        <v>45763</v>
      </c>
      <c r="N20" s="496"/>
      <c r="O20" s="497">
        <v>45763</v>
      </c>
      <c r="P20" s="458"/>
      <c r="Q20" s="458"/>
      <c r="R20" s="458"/>
      <c r="S20" s="458"/>
      <c r="T20" s="458"/>
      <c r="U20" s="458"/>
      <c r="V20" s="458"/>
      <c r="W20" s="458"/>
      <c r="X20" s="455"/>
      <c r="Y20" s="455"/>
      <c r="Z20" s="455"/>
      <c r="AA20" s="455"/>
      <c r="AB20" s="455"/>
      <c r="AC20" s="455"/>
      <c r="AD20" s="455"/>
      <c r="AE20" s="455"/>
      <c r="AF20" s="455"/>
      <c r="AG20" s="455"/>
      <c r="AH20" s="455"/>
      <c r="AI20" s="455"/>
      <c r="AJ20" s="455"/>
      <c r="AK20" s="455"/>
      <c r="AL20" s="455"/>
      <c r="AM20" s="455"/>
      <c r="AN20" s="455"/>
    </row>
    <row r="21" spans="1:40" ht="29.25" customHeight="1">
      <c r="A21" s="490" t="s">
        <v>2327</v>
      </c>
      <c r="B21" s="494" t="s">
        <v>2330</v>
      </c>
      <c r="C21" s="485" t="s">
        <v>2329</v>
      </c>
      <c r="D21" s="495" t="s">
        <v>76</v>
      </c>
      <c r="E21" s="496"/>
      <c r="F21" s="496"/>
      <c r="G21" s="492">
        <v>45763</v>
      </c>
      <c r="H21" s="493">
        <v>45763</v>
      </c>
      <c r="I21" s="493">
        <v>45763</v>
      </c>
      <c r="J21" s="493">
        <v>45763</v>
      </c>
      <c r="K21" s="460">
        <v>1</v>
      </c>
      <c r="L21" s="448"/>
      <c r="M21" s="492">
        <v>45763</v>
      </c>
      <c r="N21" s="496"/>
      <c r="O21" s="497">
        <v>45763</v>
      </c>
      <c r="P21" s="458"/>
      <c r="Q21" s="458"/>
      <c r="R21" s="458"/>
      <c r="S21" s="458"/>
      <c r="T21" s="458"/>
      <c r="U21" s="458"/>
      <c r="V21" s="458"/>
      <c r="W21" s="458"/>
      <c r="X21" s="455"/>
      <c r="Y21" s="455"/>
      <c r="Z21" s="455"/>
      <c r="AA21" s="455"/>
      <c r="AB21" s="455"/>
      <c r="AC21" s="455"/>
      <c r="AD21" s="455"/>
      <c r="AE21" s="455"/>
      <c r="AF21" s="455"/>
      <c r="AG21" s="455"/>
      <c r="AH21" s="455"/>
      <c r="AI21" s="455"/>
      <c r="AJ21" s="455"/>
      <c r="AK21" s="455"/>
      <c r="AL21" s="455"/>
      <c r="AM21" s="455"/>
      <c r="AN21" s="455"/>
    </row>
    <row r="22" spans="1:40" ht="29.25" customHeight="1">
      <c r="A22" s="490" t="s">
        <v>2327</v>
      </c>
      <c r="B22" s="494" t="s">
        <v>2331</v>
      </c>
      <c r="C22" s="485" t="s">
        <v>2329</v>
      </c>
      <c r="D22" s="495" t="s">
        <v>76</v>
      </c>
      <c r="E22" s="496"/>
      <c r="F22" s="496"/>
      <c r="G22" s="492">
        <v>45763</v>
      </c>
      <c r="H22" s="493">
        <v>45763</v>
      </c>
      <c r="I22" s="493">
        <v>45763</v>
      </c>
      <c r="J22" s="493">
        <v>45763</v>
      </c>
      <c r="K22" s="460">
        <v>1</v>
      </c>
      <c r="L22" s="448"/>
      <c r="M22" s="492">
        <v>45763</v>
      </c>
      <c r="N22" s="496"/>
      <c r="O22" s="497">
        <v>45763</v>
      </c>
      <c r="P22" s="458"/>
      <c r="Q22" s="458"/>
      <c r="R22" s="458"/>
      <c r="S22" s="458"/>
      <c r="T22" s="458"/>
      <c r="U22" s="458"/>
      <c r="V22" s="458"/>
      <c r="W22" s="458"/>
      <c r="X22" s="455"/>
      <c r="Y22" s="455"/>
      <c r="Z22" s="455"/>
      <c r="AA22" s="455"/>
      <c r="AB22" s="455"/>
      <c r="AC22" s="455"/>
      <c r="AD22" s="455"/>
      <c r="AE22" s="455"/>
      <c r="AF22" s="455"/>
      <c r="AG22" s="455"/>
      <c r="AH22" s="455"/>
      <c r="AI22" s="455"/>
      <c r="AJ22" s="455"/>
      <c r="AK22" s="455"/>
      <c r="AL22" s="455"/>
      <c r="AM22" s="455"/>
      <c r="AN22" s="455"/>
    </row>
    <row r="23" spans="1:40" ht="29.25" customHeight="1">
      <c r="A23" s="490" t="s">
        <v>2327</v>
      </c>
      <c r="B23" s="494" t="s">
        <v>2332</v>
      </c>
      <c r="C23" s="485" t="s">
        <v>2329</v>
      </c>
      <c r="D23" s="495" t="s">
        <v>76</v>
      </c>
      <c r="E23" s="496"/>
      <c r="F23" s="496"/>
      <c r="G23" s="492">
        <v>45763</v>
      </c>
      <c r="H23" s="493">
        <v>45763</v>
      </c>
      <c r="I23" s="493">
        <v>45763</v>
      </c>
      <c r="J23" s="493">
        <v>45763</v>
      </c>
      <c r="K23" s="460">
        <v>1</v>
      </c>
      <c r="L23" s="448"/>
      <c r="M23" s="492">
        <v>45763</v>
      </c>
      <c r="N23" s="496"/>
      <c r="O23" s="497">
        <v>45763</v>
      </c>
      <c r="P23" s="458"/>
      <c r="Q23" s="458"/>
      <c r="R23" s="458"/>
      <c r="S23" s="458"/>
      <c r="T23" s="458"/>
      <c r="U23" s="458"/>
      <c r="V23" s="458"/>
      <c r="W23" s="458"/>
      <c r="X23" s="455"/>
      <c r="Y23" s="455"/>
      <c r="Z23" s="455"/>
      <c r="AA23" s="455"/>
      <c r="AB23" s="455"/>
      <c r="AC23" s="455"/>
      <c r="AD23" s="455"/>
      <c r="AE23" s="455"/>
      <c r="AF23" s="455"/>
      <c r="AG23" s="455"/>
      <c r="AH23" s="455"/>
      <c r="AI23" s="455"/>
      <c r="AJ23" s="455"/>
      <c r="AK23" s="455"/>
      <c r="AL23" s="455"/>
      <c r="AM23" s="455"/>
      <c r="AN23" s="455"/>
    </row>
    <row r="24" spans="1:40" ht="29.25" customHeight="1">
      <c r="A24" s="490" t="s">
        <v>2327</v>
      </c>
      <c r="B24" s="494" t="s">
        <v>2333</v>
      </c>
      <c r="C24" s="485" t="s">
        <v>2329</v>
      </c>
      <c r="D24" s="495" t="s">
        <v>76</v>
      </c>
      <c r="E24" s="496"/>
      <c r="F24" s="496"/>
      <c r="G24" s="492">
        <v>45763</v>
      </c>
      <c r="H24" s="493">
        <v>45763</v>
      </c>
      <c r="I24" s="493">
        <v>45763</v>
      </c>
      <c r="J24" s="493">
        <v>45763</v>
      </c>
      <c r="K24" s="460">
        <v>1</v>
      </c>
      <c r="L24" s="448"/>
      <c r="M24" s="492">
        <v>45763</v>
      </c>
      <c r="N24" s="496"/>
      <c r="O24" s="497">
        <v>45763</v>
      </c>
      <c r="P24" s="458"/>
      <c r="Q24" s="458"/>
      <c r="R24" s="458"/>
      <c r="S24" s="458"/>
      <c r="T24" s="458"/>
      <c r="U24" s="458"/>
      <c r="V24" s="458"/>
      <c r="W24" s="458"/>
      <c r="X24" s="455"/>
      <c r="Y24" s="455"/>
      <c r="Z24" s="455"/>
      <c r="AA24" s="455"/>
      <c r="AB24" s="455"/>
      <c r="AC24" s="455"/>
      <c r="AD24" s="455"/>
      <c r="AE24" s="455"/>
      <c r="AF24" s="455"/>
      <c r="AG24" s="455"/>
      <c r="AH24" s="455"/>
      <c r="AI24" s="455"/>
      <c r="AJ24" s="455"/>
      <c r="AK24" s="455"/>
      <c r="AL24" s="455"/>
      <c r="AM24" s="455"/>
      <c r="AN24" s="455"/>
    </row>
    <row r="25" spans="1:40" ht="29.25" customHeight="1">
      <c r="A25" s="490" t="s">
        <v>2327</v>
      </c>
      <c r="B25" s="494" t="s">
        <v>2334</v>
      </c>
      <c r="C25" s="485" t="s">
        <v>2329</v>
      </c>
      <c r="D25" s="495" t="s">
        <v>76</v>
      </c>
      <c r="E25" s="496"/>
      <c r="F25" s="496"/>
      <c r="G25" s="492">
        <v>45763</v>
      </c>
      <c r="H25" s="493">
        <v>45763</v>
      </c>
      <c r="I25" s="493">
        <v>45763</v>
      </c>
      <c r="J25" s="493">
        <v>45763</v>
      </c>
      <c r="K25" s="460">
        <v>1</v>
      </c>
      <c r="L25" s="448"/>
      <c r="M25" s="492">
        <v>45763</v>
      </c>
      <c r="N25" s="496"/>
      <c r="O25" s="497">
        <v>45763</v>
      </c>
      <c r="P25" s="458"/>
      <c r="Q25" s="458"/>
      <c r="R25" s="458"/>
      <c r="S25" s="458"/>
      <c r="T25" s="458"/>
      <c r="U25" s="458"/>
      <c r="V25" s="458"/>
      <c r="W25" s="458"/>
      <c r="X25" s="455"/>
      <c r="Y25" s="455"/>
      <c r="Z25" s="455"/>
      <c r="AA25" s="455"/>
      <c r="AB25" s="455"/>
      <c r="AC25" s="455"/>
      <c r="AD25" s="455"/>
      <c r="AE25" s="455"/>
      <c r="AF25" s="455"/>
      <c r="AG25" s="455"/>
      <c r="AH25" s="455"/>
      <c r="AI25" s="455"/>
      <c r="AJ25" s="455"/>
      <c r="AK25" s="455"/>
      <c r="AL25" s="455"/>
      <c r="AM25" s="455"/>
      <c r="AN25" s="455"/>
    </row>
    <row r="26" spans="1:40" ht="29.25" customHeight="1">
      <c r="A26" s="490" t="s">
        <v>2327</v>
      </c>
      <c r="B26" s="494" t="s">
        <v>2335</v>
      </c>
      <c r="C26" s="485" t="s">
        <v>2329</v>
      </c>
      <c r="D26" s="495" t="s">
        <v>76</v>
      </c>
      <c r="E26" s="496"/>
      <c r="F26" s="496"/>
      <c r="G26" s="492">
        <v>45763</v>
      </c>
      <c r="H26" s="493">
        <v>45763</v>
      </c>
      <c r="I26" s="493">
        <v>45763</v>
      </c>
      <c r="J26" s="493">
        <v>45763</v>
      </c>
      <c r="K26" s="460">
        <v>1</v>
      </c>
      <c r="L26" s="448"/>
      <c r="M26" s="492">
        <v>45763</v>
      </c>
      <c r="N26" s="496"/>
      <c r="O26" s="497">
        <v>45763</v>
      </c>
      <c r="P26" s="458"/>
      <c r="Q26" s="458"/>
      <c r="R26" s="458"/>
      <c r="S26" s="458"/>
      <c r="T26" s="458"/>
      <c r="U26" s="458"/>
      <c r="V26" s="458"/>
      <c r="W26" s="458"/>
      <c r="X26" s="455"/>
      <c r="Y26" s="455"/>
      <c r="Z26" s="455"/>
      <c r="AA26" s="455"/>
      <c r="AB26" s="455"/>
      <c r="AC26" s="455"/>
      <c r="AD26" s="455"/>
      <c r="AE26" s="455"/>
      <c r="AF26" s="455"/>
      <c r="AG26" s="455"/>
      <c r="AH26" s="455"/>
      <c r="AI26" s="455"/>
      <c r="AJ26" s="455"/>
      <c r="AK26" s="455"/>
      <c r="AL26" s="455"/>
      <c r="AM26" s="455"/>
      <c r="AN26" s="455"/>
    </row>
    <row r="27" spans="1:40" ht="29.25" customHeight="1">
      <c r="A27" s="490" t="s">
        <v>2327</v>
      </c>
      <c r="B27" s="494" t="s">
        <v>2336</v>
      </c>
      <c r="C27" s="485" t="s">
        <v>2329</v>
      </c>
      <c r="D27" s="495" t="s">
        <v>76</v>
      </c>
      <c r="E27" s="496"/>
      <c r="F27" s="496"/>
      <c r="G27" s="492">
        <v>45763</v>
      </c>
      <c r="H27" s="493">
        <v>45763</v>
      </c>
      <c r="I27" s="493">
        <v>45763</v>
      </c>
      <c r="J27" s="493">
        <v>45763</v>
      </c>
      <c r="K27" s="460">
        <v>1</v>
      </c>
      <c r="L27" s="448"/>
      <c r="M27" s="492">
        <v>45763</v>
      </c>
      <c r="N27" s="496"/>
      <c r="O27" s="497">
        <v>45763</v>
      </c>
      <c r="P27" s="458"/>
      <c r="Q27" s="458"/>
      <c r="R27" s="458"/>
      <c r="S27" s="458"/>
      <c r="T27" s="458"/>
      <c r="U27" s="458"/>
      <c r="V27" s="458"/>
      <c r="W27" s="458"/>
      <c r="X27" s="455"/>
      <c r="Y27" s="455"/>
      <c r="Z27" s="455"/>
      <c r="AA27" s="455"/>
      <c r="AB27" s="455"/>
      <c r="AC27" s="455"/>
      <c r="AD27" s="455"/>
      <c r="AE27" s="455"/>
      <c r="AF27" s="455"/>
      <c r="AG27" s="455"/>
      <c r="AH27" s="455"/>
      <c r="AI27" s="455"/>
      <c r="AJ27" s="455"/>
      <c r="AK27" s="455"/>
      <c r="AL27" s="455"/>
      <c r="AM27" s="455"/>
      <c r="AN27" s="455"/>
    </row>
    <row r="28" spans="1:40" ht="29.25" customHeight="1">
      <c r="A28" s="490" t="s">
        <v>2327</v>
      </c>
      <c r="B28" s="494" t="s">
        <v>2325</v>
      </c>
      <c r="C28" s="485" t="s">
        <v>2329</v>
      </c>
      <c r="D28" s="495" t="s">
        <v>76</v>
      </c>
      <c r="E28" s="496"/>
      <c r="F28" s="496"/>
      <c r="G28" s="492">
        <v>45763</v>
      </c>
      <c r="H28" s="493">
        <v>45763</v>
      </c>
      <c r="I28" s="493">
        <v>45763</v>
      </c>
      <c r="J28" s="493">
        <v>45763</v>
      </c>
      <c r="K28" s="460">
        <v>1</v>
      </c>
      <c r="L28" s="448"/>
      <c r="M28" s="492">
        <v>45763</v>
      </c>
      <c r="N28" s="496"/>
      <c r="O28" s="497">
        <v>45763</v>
      </c>
      <c r="P28" s="458"/>
      <c r="Q28" s="458"/>
      <c r="R28" s="458"/>
      <c r="S28" s="458"/>
      <c r="T28" s="458"/>
      <c r="U28" s="458"/>
      <c r="V28" s="458"/>
      <c r="W28" s="458"/>
      <c r="X28" s="455"/>
      <c r="Y28" s="455"/>
      <c r="Z28" s="455"/>
      <c r="AA28" s="455"/>
      <c r="AB28" s="455"/>
      <c r="AC28" s="455"/>
      <c r="AD28" s="455"/>
      <c r="AE28" s="455"/>
      <c r="AF28" s="455"/>
      <c r="AG28" s="455"/>
      <c r="AH28" s="455"/>
      <c r="AI28" s="455"/>
      <c r="AJ28" s="455"/>
      <c r="AK28" s="455"/>
      <c r="AL28" s="455"/>
      <c r="AM28" s="455"/>
      <c r="AN28" s="455"/>
    </row>
    <row r="29" spans="1:40" ht="29.25" customHeight="1">
      <c r="A29" s="490" t="s">
        <v>2327</v>
      </c>
      <c r="B29" s="494" t="s">
        <v>2337</v>
      </c>
      <c r="C29" s="485" t="s">
        <v>2338</v>
      </c>
      <c r="D29" s="495" t="s">
        <v>76</v>
      </c>
      <c r="E29" s="496"/>
      <c r="F29" s="496"/>
      <c r="G29" s="492">
        <v>45770</v>
      </c>
      <c r="H29" s="493">
        <v>45771</v>
      </c>
      <c r="I29" s="493">
        <v>45772</v>
      </c>
      <c r="J29" s="493"/>
      <c r="K29" s="460"/>
      <c r="L29" s="448"/>
      <c r="M29" s="492"/>
      <c r="N29" s="498"/>
      <c r="O29" s="499"/>
      <c r="P29" s="458"/>
      <c r="Q29" s="500" t="s">
        <v>2339</v>
      </c>
      <c r="R29" s="501"/>
      <c r="S29" s="501"/>
      <c r="T29" s="501"/>
      <c r="U29" s="501"/>
      <c r="V29" s="501"/>
      <c r="W29" s="501"/>
      <c r="X29" s="455"/>
      <c r="Y29" s="455"/>
      <c r="Z29" s="455"/>
      <c r="AA29" s="455"/>
      <c r="AB29" s="455"/>
      <c r="AC29" s="455"/>
      <c r="AD29" s="455"/>
      <c r="AE29" s="455"/>
      <c r="AF29" s="455"/>
      <c r="AG29" s="455"/>
      <c r="AH29" s="455"/>
      <c r="AI29" s="455"/>
      <c r="AJ29" s="455"/>
      <c r="AK29" s="455"/>
      <c r="AL29" s="455"/>
      <c r="AM29" s="455"/>
      <c r="AN29" s="455"/>
    </row>
    <row r="30" spans="1:40" ht="29.25" customHeight="1">
      <c r="A30" s="490" t="s">
        <v>2327</v>
      </c>
      <c r="B30" s="502" t="s">
        <v>2340</v>
      </c>
      <c r="C30" s="485" t="s">
        <v>2341</v>
      </c>
      <c r="D30" s="495" t="s">
        <v>76</v>
      </c>
      <c r="E30" s="496"/>
      <c r="F30" s="460">
        <v>1</v>
      </c>
      <c r="G30" s="492">
        <v>45775</v>
      </c>
      <c r="H30" s="493">
        <v>45775</v>
      </c>
      <c r="I30" s="493">
        <v>45775</v>
      </c>
      <c r="J30" s="493">
        <v>45775</v>
      </c>
      <c r="K30" s="460"/>
      <c r="L30" s="448"/>
      <c r="M30" s="492"/>
      <c r="N30" s="498"/>
      <c r="O30" s="499"/>
      <c r="P30" s="458"/>
      <c r="Q30" s="500" t="s">
        <v>2342</v>
      </c>
      <c r="R30" s="501"/>
      <c r="S30" s="501"/>
      <c r="T30" s="501"/>
      <c r="U30" s="501"/>
      <c r="V30" s="501"/>
      <c r="W30" s="501"/>
      <c r="X30" s="455"/>
      <c r="Y30" s="455"/>
      <c r="Z30" s="455"/>
      <c r="AA30" s="455"/>
      <c r="AB30" s="455"/>
      <c r="AC30" s="455"/>
      <c r="AD30" s="455"/>
      <c r="AE30" s="455"/>
      <c r="AF30" s="455"/>
      <c r="AG30" s="455"/>
      <c r="AH30" s="455"/>
      <c r="AI30" s="455"/>
      <c r="AJ30" s="455"/>
      <c r="AK30" s="455"/>
      <c r="AL30" s="455"/>
      <c r="AM30" s="455"/>
      <c r="AN30" s="455"/>
    </row>
    <row r="31" spans="1:40" ht="29.25" customHeight="1">
      <c r="A31" s="490" t="s">
        <v>2327</v>
      </c>
      <c r="B31" s="502" t="s">
        <v>2337</v>
      </c>
      <c r="C31" s="485" t="s">
        <v>2343</v>
      </c>
      <c r="D31" s="495" t="s">
        <v>76</v>
      </c>
      <c r="E31" s="460">
        <v>100</v>
      </c>
      <c r="F31" s="496"/>
      <c r="G31" s="492">
        <v>45770</v>
      </c>
      <c r="H31" s="493">
        <v>45770</v>
      </c>
      <c r="I31" s="493">
        <v>45770</v>
      </c>
      <c r="J31" s="493">
        <v>45770</v>
      </c>
      <c r="K31" s="460">
        <v>1</v>
      </c>
      <c r="L31" s="448"/>
      <c r="M31" s="492"/>
      <c r="N31" s="498"/>
      <c r="O31" s="499"/>
      <c r="P31" s="458"/>
      <c r="Q31" s="458"/>
      <c r="R31" s="458"/>
      <c r="S31" s="458"/>
      <c r="T31" s="458"/>
      <c r="U31" s="458"/>
      <c r="V31" s="458"/>
      <c r="W31" s="458"/>
      <c r="X31" s="455"/>
      <c r="Y31" s="455"/>
      <c r="Z31" s="455"/>
      <c r="AA31" s="455"/>
      <c r="AB31" s="455"/>
      <c r="AC31" s="455"/>
      <c r="AD31" s="455"/>
      <c r="AE31" s="455"/>
      <c r="AF31" s="455"/>
      <c r="AG31" s="455"/>
      <c r="AH31" s="455"/>
      <c r="AI31" s="455"/>
      <c r="AJ31" s="455"/>
      <c r="AK31" s="455"/>
      <c r="AL31" s="455"/>
      <c r="AM31" s="455"/>
      <c r="AN31" s="455"/>
    </row>
    <row r="32" spans="1:40" ht="29.25" customHeight="1">
      <c r="A32" s="490" t="s">
        <v>2327</v>
      </c>
      <c r="B32" s="502" t="s">
        <v>2337</v>
      </c>
      <c r="C32" s="485" t="s">
        <v>2344</v>
      </c>
      <c r="D32" s="495" t="s">
        <v>76</v>
      </c>
      <c r="E32" s="460">
        <v>100</v>
      </c>
      <c r="F32" s="496"/>
      <c r="G32" s="492">
        <v>45770</v>
      </c>
      <c r="H32" s="493">
        <v>45770</v>
      </c>
      <c r="I32" s="493">
        <v>45770</v>
      </c>
      <c r="J32" s="493">
        <v>45770</v>
      </c>
      <c r="K32" s="460">
        <v>1</v>
      </c>
      <c r="L32" s="448"/>
      <c r="M32" s="492"/>
      <c r="N32" s="498"/>
      <c r="O32" s="499"/>
      <c r="P32" s="458"/>
      <c r="Q32" s="458"/>
      <c r="R32" s="458"/>
      <c r="S32" s="458"/>
      <c r="T32" s="458"/>
      <c r="U32" s="458"/>
      <c r="V32" s="458"/>
      <c r="W32" s="458"/>
      <c r="X32" s="455"/>
      <c r="Y32" s="455"/>
      <c r="Z32" s="455"/>
      <c r="AA32" s="455"/>
      <c r="AB32" s="455"/>
      <c r="AC32" s="455"/>
      <c r="AD32" s="455"/>
      <c r="AE32" s="455"/>
      <c r="AF32" s="455"/>
      <c r="AG32" s="455"/>
      <c r="AH32" s="455"/>
      <c r="AI32" s="455"/>
      <c r="AJ32" s="455"/>
      <c r="AK32" s="455"/>
      <c r="AL32" s="455"/>
      <c r="AM32" s="455"/>
      <c r="AN32" s="455"/>
    </row>
    <row r="33" spans="1:40" ht="29.25" customHeight="1">
      <c r="A33" s="503" t="s">
        <v>2345</v>
      </c>
      <c r="B33" s="502" t="s">
        <v>2346</v>
      </c>
      <c r="C33" s="485" t="s">
        <v>2347</v>
      </c>
      <c r="D33" s="495" t="s">
        <v>76</v>
      </c>
      <c r="E33" s="460">
        <v>90</v>
      </c>
      <c r="F33" s="460">
        <v>2</v>
      </c>
      <c r="G33" s="492">
        <v>45773</v>
      </c>
      <c r="H33" s="493">
        <v>45776</v>
      </c>
      <c r="I33" s="493">
        <v>45783</v>
      </c>
      <c r="J33" s="493">
        <v>45785</v>
      </c>
      <c r="K33" s="460"/>
      <c r="L33" s="448"/>
      <c r="M33" s="492"/>
      <c r="N33" s="498"/>
      <c r="O33" s="499"/>
      <c r="P33" s="458"/>
      <c r="Q33" s="458"/>
      <c r="R33" s="458"/>
      <c r="S33" s="458"/>
      <c r="T33" s="458"/>
      <c r="U33" s="458"/>
      <c r="V33" s="500" t="s">
        <v>2348</v>
      </c>
      <c r="W33" s="501"/>
      <c r="X33" s="455"/>
      <c r="Y33" s="455"/>
      <c r="Z33" s="455"/>
      <c r="AA33" s="455"/>
      <c r="AB33" s="455"/>
      <c r="AC33" s="455"/>
      <c r="AD33" s="455"/>
      <c r="AE33" s="455"/>
      <c r="AF33" s="455"/>
      <c r="AG33" s="455"/>
      <c r="AH33" s="455"/>
      <c r="AI33" s="455"/>
      <c r="AJ33" s="455"/>
      <c r="AK33" s="455"/>
      <c r="AL33" s="455"/>
      <c r="AM33" s="455"/>
      <c r="AN33" s="455"/>
    </row>
    <row r="34" spans="1:40" ht="29.25" customHeight="1">
      <c r="A34" s="445" t="s">
        <v>2230</v>
      </c>
      <c r="B34" s="502" t="s">
        <v>2346</v>
      </c>
      <c r="C34" s="485" t="s">
        <v>2349</v>
      </c>
      <c r="D34" s="495" t="s">
        <v>76</v>
      </c>
      <c r="E34" s="496"/>
      <c r="F34" s="496"/>
      <c r="G34" s="492">
        <v>45779</v>
      </c>
      <c r="H34" s="493">
        <v>45779</v>
      </c>
      <c r="I34" s="493">
        <v>45782</v>
      </c>
      <c r="J34" s="493">
        <v>45782</v>
      </c>
      <c r="K34" s="460"/>
      <c r="L34" s="448"/>
      <c r="M34" s="492"/>
      <c r="N34" s="498"/>
      <c r="O34" s="499"/>
      <c r="P34" s="458"/>
      <c r="Q34" s="458"/>
      <c r="R34" s="458"/>
      <c r="S34" s="500" t="s">
        <v>2350</v>
      </c>
      <c r="T34" s="500" t="s">
        <v>2351</v>
      </c>
      <c r="U34" s="501"/>
      <c r="V34" s="501"/>
      <c r="W34" s="501"/>
      <c r="X34" s="455"/>
      <c r="Y34" s="455"/>
      <c r="Z34" s="455"/>
      <c r="AA34" s="455"/>
      <c r="AB34" s="455"/>
      <c r="AC34" s="455"/>
      <c r="AD34" s="455"/>
      <c r="AE34" s="455"/>
      <c r="AF34" s="455"/>
      <c r="AG34" s="455"/>
      <c r="AH34" s="455"/>
      <c r="AI34" s="455"/>
      <c r="AJ34" s="455"/>
      <c r="AK34" s="455"/>
      <c r="AL34" s="455"/>
      <c r="AM34" s="455"/>
      <c r="AN34" s="455"/>
    </row>
    <row r="35" spans="1:40" ht="29.25" customHeight="1">
      <c r="A35" s="504" t="s">
        <v>2352</v>
      </c>
      <c r="B35" s="505"/>
      <c r="C35" s="447" t="s">
        <v>2353</v>
      </c>
      <c r="D35" s="116" t="s">
        <v>76</v>
      </c>
      <c r="E35" s="448"/>
      <c r="F35" s="448"/>
      <c r="G35" s="449">
        <v>45714</v>
      </c>
      <c r="H35" s="493">
        <v>45784</v>
      </c>
      <c r="I35" s="450"/>
      <c r="J35" s="493">
        <v>45785</v>
      </c>
      <c r="K35" s="506"/>
      <c r="L35" s="448"/>
      <c r="M35" s="449"/>
      <c r="N35" s="448"/>
      <c r="O35" s="452"/>
      <c r="P35" s="453" t="s">
        <v>2354</v>
      </c>
      <c r="Q35" s="454"/>
      <c r="R35" s="454"/>
      <c r="S35" s="454"/>
      <c r="T35" s="454"/>
      <c r="U35" s="454"/>
      <c r="V35" s="454"/>
      <c r="W35" s="454"/>
      <c r="X35" s="455"/>
      <c r="Y35" s="455"/>
      <c r="Z35" s="455"/>
      <c r="AA35" s="455"/>
      <c r="AB35" s="455"/>
      <c r="AC35" s="455"/>
      <c r="AD35" s="455"/>
      <c r="AE35" s="455"/>
      <c r="AF35" s="455"/>
      <c r="AG35" s="455"/>
      <c r="AH35" s="455"/>
      <c r="AI35" s="455"/>
      <c r="AJ35" s="455"/>
      <c r="AK35" s="455"/>
      <c r="AL35" s="455"/>
      <c r="AM35" s="455"/>
      <c r="AN35" s="455"/>
    </row>
    <row r="36" spans="1:40" ht="29.25" customHeight="1">
      <c r="A36" s="503" t="s">
        <v>2245</v>
      </c>
      <c r="B36" s="502" t="s">
        <v>2346</v>
      </c>
      <c r="C36" s="485" t="s">
        <v>2355</v>
      </c>
      <c r="D36" s="495" t="s">
        <v>76</v>
      </c>
      <c r="E36" s="460">
        <v>80</v>
      </c>
      <c r="F36" s="460">
        <v>15</v>
      </c>
      <c r="G36" s="492">
        <v>45778</v>
      </c>
      <c r="H36" s="493">
        <v>45778</v>
      </c>
      <c r="I36" s="493"/>
      <c r="J36" s="493">
        <v>45793</v>
      </c>
      <c r="K36" s="451">
        <f ca="1">IF(ISBLANK(J36), NETWORKDAYS(H36, TODAY(),fESTIVOS!$A$1:$A$18), NETWORKDAYS(H36, J36, fESTIVOS!$A$1:$A$18))</f>
        <v>12</v>
      </c>
      <c r="L36" s="448"/>
      <c r="M36" s="492"/>
      <c r="N36" s="507"/>
      <c r="O36" s="499"/>
      <c r="P36" s="458"/>
      <c r="Q36" s="458"/>
      <c r="R36" s="458"/>
      <c r="S36" s="458"/>
      <c r="T36" s="458"/>
      <c r="U36" s="458"/>
      <c r="V36" s="500" t="s">
        <v>2356</v>
      </c>
      <c r="W36" s="500" t="s">
        <v>2357</v>
      </c>
      <c r="X36" s="463" t="s">
        <v>2358</v>
      </c>
      <c r="Y36" s="464"/>
      <c r="Z36" s="463" t="s">
        <v>2359</v>
      </c>
      <c r="AA36" s="464"/>
      <c r="AB36" s="464"/>
      <c r="AC36" s="463" t="s">
        <v>2360</v>
      </c>
      <c r="AD36" s="464"/>
      <c r="AE36" s="464"/>
      <c r="AF36" s="464"/>
      <c r="AG36" s="464"/>
      <c r="AH36" s="464"/>
      <c r="AI36" s="464"/>
      <c r="AJ36" s="464"/>
      <c r="AK36" s="464"/>
      <c r="AL36" s="464"/>
      <c r="AM36" s="464"/>
      <c r="AN36" s="464"/>
    </row>
    <row r="37" spans="1:40" ht="29.25" customHeight="1">
      <c r="A37" s="503" t="s">
        <v>2245</v>
      </c>
      <c r="B37" s="502" t="s">
        <v>2346</v>
      </c>
      <c r="C37" s="485" t="s">
        <v>2361</v>
      </c>
      <c r="D37" s="495" t="s">
        <v>76</v>
      </c>
      <c r="E37" s="496"/>
      <c r="F37" s="460">
        <v>1</v>
      </c>
      <c r="G37" s="492">
        <v>45785</v>
      </c>
      <c r="H37" s="493">
        <v>45785</v>
      </c>
      <c r="I37" s="493">
        <v>45786</v>
      </c>
      <c r="J37" s="493">
        <v>45786</v>
      </c>
      <c r="K37" s="451">
        <f ca="1">IF(ISBLANK(J37), NETWORKDAYS(H37, TODAY(),fESTIVOS!$A$1:$A$18), NETWORKDAYS(H37, J37, fESTIVOS!$A$1:$A$18))</f>
        <v>2</v>
      </c>
      <c r="L37" s="448"/>
      <c r="M37" s="492"/>
      <c r="N37" s="507"/>
      <c r="O37" s="497">
        <v>45786</v>
      </c>
      <c r="P37" s="458"/>
      <c r="Q37" s="458"/>
      <c r="R37" s="458"/>
      <c r="S37" s="458"/>
      <c r="T37" s="458"/>
      <c r="U37" s="458"/>
      <c r="V37" s="500" t="s">
        <v>2362</v>
      </c>
      <c r="W37" s="500" t="s">
        <v>2363</v>
      </c>
      <c r="X37" s="501"/>
      <c r="Y37" s="501"/>
      <c r="Z37" s="501"/>
      <c r="AA37" s="501"/>
      <c r="AB37" s="501"/>
      <c r="AC37" s="501"/>
      <c r="AD37" s="501"/>
      <c r="AE37" s="501"/>
      <c r="AF37" s="501"/>
      <c r="AG37" s="501"/>
      <c r="AH37" s="501"/>
      <c r="AI37" s="501"/>
      <c r="AJ37" s="501"/>
      <c r="AK37" s="501"/>
      <c r="AL37" s="501"/>
      <c r="AM37" s="501"/>
      <c r="AN37" s="501"/>
    </row>
    <row r="38" spans="1:40" ht="29.25" customHeight="1">
      <c r="A38" s="503" t="s">
        <v>2245</v>
      </c>
      <c r="B38" s="502" t="s">
        <v>2346</v>
      </c>
      <c r="C38" s="508" t="s">
        <v>2364</v>
      </c>
      <c r="D38" s="509" t="s">
        <v>76</v>
      </c>
      <c r="E38" s="498"/>
      <c r="F38" s="498"/>
      <c r="G38" s="492">
        <v>45791</v>
      </c>
      <c r="H38" s="493">
        <v>45791</v>
      </c>
      <c r="I38" s="493"/>
      <c r="J38" s="493">
        <v>45791</v>
      </c>
      <c r="K38" s="451">
        <f ca="1">IF(ISBLANK(J38), NETWORKDAYS(H38, TODAY(),fESTIVOS!$A$1:$A$18), NETWORKDAYS(H38, J38, fESTIVOS!$A$1:$A$18))</f>
        <v>1</v>
      </c>
      <c r="L38" s="510"/>
      <c r="M38" s="511"/>
      <c r="N38" s="512"/>
      <c r="O38" s="513"/>
      <c r="P38" s="458"/>
      <c r="Q38" s="458"/>
      <c r="R38" s="461"/>
      <c r="S38" s="461"/>
      <c r="T38" s="461"/>
      <c r="U38" s="461"/>
      <c r="V38" s="461"/>
      <c r="W38" s="461"/>
      <c r="X38" s="500" t="s">
        <v>2365</v>
      </c>
      <c r="Y38" s="461"/>
      <c r="Z38" s="500" t="s">
        <v>2366</v>
      </c>
      <c r="AA38" s="514"/>
      <c r="AB38" s="514"/>
      <c r="AC38" s="514"/>
      <c r="AD38" s="514"/>
      <c r="AE38" s="514"/>
      <c r="AF38" s="514"/>
      <c r="AG38" s="514"/>
      <c r="AH38" s="514"/>
      <c r="AI38" s="514"/>
      <c r="AJ38" s="514"/>
      <c r="AK38" s="514"/>
      <c r="AL38" s="514"/>
      <c r="AM38" s="514"/>
      <c r="AN38" s="514"/>
    </row>
    <row r="39" spans="1:40" ht="29.25" customHeight="1">
      <c r="A39" s="445" t="s">
        <v>2255</v>
      </c>
      <c r="B39" s="515" t="s">
        <v>2367</v>
      </c>
      <c r="C39" s="459" t="s">
        <v>1557</v>
      </c>
      <c r="D39" s="495" t="s">
        <v>76</v>
      </c>
      <c r="E39" s="448"/>
      <c r="F39" s="460">
        <v>1</v>
      </c>
      <c r="G39" s="492">
        <v>45779</v>
      </c>
      <c r="H39" s="493">
        <v>45779</v>
      </c>
      <c r="I39" s="493">
        <v>45779</v>
      </c>
      <c r="J39" s="493">
        <v>45779</v>
      </c>
      <c r="K39" s="516">
        <f ca="1">IF(ISBLANK(J39), NETWORKDAYS(H39, TODAY(),fESTIVOS!$A$1:$A$18), NETWORKDAYS(H39, J39, fESTIVOS!$A$1:$A$18))</f>
        <v>1</v>
      </c>
      <c r="L39" s="448"/>
      <c r="M39" s="492">
        <v>45782</v>
      </c>
      <c r="N39" s="517"/>
      <c r="O39" s="497">
        <v>45789</v>
      </c>
      <c r="P39" s="453"/>
      <c r="Q39" s="454"/>
      <c r="R39" s="454"/>
      <c r="S39" s="463" t="s">
        <v>278</v>
      </c>
      <c r="T39" s="464"/>
      <c r="U39" s="464"/>
      <c r="V39" s="464"/>
      <c r="W39" s="463" t="s">
        <v>2368</v>
      </c>
      <c r="X39" s="463" t="s">
        <v>2369</v>
      </c>
      <c r="Y39" s="464"/>
      <c r="Z39" s="464"/>
      <c r="AA39" s="464"/>
      <c r="AB39" s="464"/>
      <c r="AC39" s="464"/>
      <c r="AD39" s="464"/>
      <c r="AE39" s="464"/>
      <c r="AF39" s="464"/>
      <c r="AG39" s="464"/>
      <c r="AH39" s="464"/>
      <c r="AI39" s="464"/>
      <c r="AJ39" s="464"/>
      <c r="AK39" s="464"/>
      <c r="AL39" s="464"/>
      <c r="AM39" s="464"/>
      <c r="AN39" s="464"/>
    </row>
    <row r="40" spans="1:40" ht="29.25" customHeight="1">
      <c r="A40" s="518" t="s">
        <v>2327</v>
      </c>
      <c r="B40" s="502" t="s">
        <v>2370</v>
      </c>
      <c r="C40" s="485" t="s">
        <v>2371</v>
      </c>
      <c r="D40" s="495" t="s">
        <v>76</v>
      </c>
      <c r="E40" s="496"/>
      <c r="F40" s="496"/>
      <c r="G40" s="492">
        <v>45789</v>
      </c>
      <c r="H40" s="493">
        <v>45789</v>
      </c>
      <c r="I40" s="493"/>
      <c r="J40" s="493">
        <v>45790</v>
      </c>
      <c r="K40" s="451">
        <f ca="1">IF(ISBLANK(J40), NETWORKDAYS(H40, TODAY(),fESTIVOS!$A$1:$A$18), NETWORKDAYS(H40, J40, fESTIVOS!$A$1:$A$18))</f>
        <v>2</v>
      </c>
      <c r="L40" s="448"/>
      <c r="M40" s="492"/>
      <c r="N40" s="507"/>
      <c r="O40" s="497"/>
      <c r="P40" s="458"/>
      <c r="Q40" s="458"/>
      <c r="R40" s="458"/>
      <c r="S40" s="458"/>
      <c r="T40" s="458"/>
      <c r="U40" s="458"/>
      <c r="V40" s="458"/>
      <c r="W40" s="500" t="s">
        <v>2372</v>
      </c>
      <c r="X40" s="500" t="s">
        <v>2373</v>
      </c>
      <c r="Y40" s="501"/>
      <c r="Z40" s="501"/>
      <c r="AA40" s="501"/>
      <c r="AB40" s="501"/>
      <c r="AC40" s="501"/>
      <c r="AD40" s="501"/>
      <c r="AE40" s="501"/>
      <c r="AF40" s="501"/>
      <c r="AG40" s="501"/>
      <c r="AH40" s="501"/>
      <c r="AI40" s="501"/>
      <c r="AJ40" s="501"/>
      <c r="AK40" s="501"/>
      <c r="AL40" s="501"/>
      <c r="AM40" s="501"/>
      <c r="AN40" s="501"/>
    </row>
    <row r="41" spans="1:40" ht="29.25" customHeight="1">
      <c r="A41" s="490" t="s">
        <v>2374</v>
      </c>
      <c r="B41" s="502" t="s">
        <v>2375</v>
      </c>
      <c r="C41" s="459" t="s">
        <v>2376</v>
      </c>
      <c r="D41" s="495" t="s">
        <v>76</v>
      </c>
      <c r="E41" s="496"/>
      <c r="F41" s="496"/>
      <c r="G41" s="492">
        <v>45789</v>
      </c>
      <c r="H41" s="493">
        <v>45789</v>
      </c>
      <c r="I41" s="493"/>
      <c r="J41" s="493">
        <v>45790</v>
      </c>
      <c r="K41" s="451">
        <f ca="1">IF(ISBLANK(J41), NETWORKDAYS(H41, TODAY(),fESTIVOS!$A$1:$A$18), NETWORKDAYS(H41, J41, fESTIVOS!$A$1:$A$18))</f>
        <v>2</v>
      </c>
      <c r="L41" s="448"/>
      <c r="M41" s="492"/>
      <c r="N41" s="507"/>
      <c r="O41" s="497"/>
      <c r="P41" s="458"/>
      <c r="Q41" s="458"/>
      <c r="R41" s="458"/>
      <c r="S41" s="458"/>
      <c r="T41" s="458"/>
      <c r="U41" s="458"/>
      <c r="V41" s="458"/>
      <c r="W41" s="500" t="s">
        <v>2372</v>
      </c>
      <c r="X41" s="500" t="s">
        <v>2377</v>
      </c>
      <c r="Y41" s="501"/>
      <c r="Z41" s="501"/>
      <c r="AA41" s="501"/>
      <c r="AB41" s="501"/>
      <c r="AC41" s="501"/>
      <c r="AD41" s="501"/>
      <c r="AE41" s="501"/>
      <c r="AF41" s="501"/>
      <c r="AG41" s="501"/>
      <c r="AH41" s="501"/>
      <c r="AI41" s="501"/>
      <c r="AJ41" s="501"/>
      <c r="AK41" s="501"/>
      <c r="AL41" s="501"/>
      <c r="AM41" s="501"/>
      <c r="AN41" s="501"/>
    </row>
    <row r="42" spans="1:40" ht="29.25" customHeight="1">
      <c r="A42" s="490" t="s">
        <v>2327</v>
      </c>
      <c r="B42" s="519" t="s">
        <v>2378</v>
      </c>
      <c r="C42" s="485" t="s">
        <v>2379</v>
      </c>
      <c r="D42" s="495" t="s">
        <v>76</v>
      </c>
      <c r="E42" s="460">
        <v>90</v>
      </c>
      <c r="F42" s="496"/>
      <c r="G42" s="492">
        <v>45791</v>
      </c>
      <c r="H42" s="493">
        <v>45792</v>
      </c>
      <c r="I42" s="493">
        <v>45793</v>
      </c>
      <c r="J42" s="493">
        <v>45793</v>
      </c>
      <c r="K42" s="451">
        <f ca="1">IF(ISBLANK(J42), NETWORKDAYS(H42, TODAY(),fESTIVOS!$A$1:$A$18), NETWORKDAYS(H42, J42, fESTIVOS!$A$1:$A$18))</f>
        <v>2</v>
      </c>
      <c r="L42" s="448"/>
      <c r="M42" s="492">
        <v>45793</v>
      </c>
      <c r="N42" s="507"/>
      <c r="O42" s="499"/>
      <c r="P42" s="458"/>
      <c r="Q42" s="458"/>
      <c r="R42" s="458"/>
      <c r="S42" s="458"/>
      <c r="T42" s="458"/>
      <c r="U42" s="458"/>
      <c r="V42" s="458"/>
      <c r="W42" s="458"/>
      <c r="X42" s="458"/>
      <c r="Y42" s="458"/>
      <c r="Z42" s="500" t="s">
        <v>2380</v>
      </c>
      <c r="AA42" s="500" t="s">
        <v>2381</v>
      </c>
      <c r="AB42" s="501"/>
      <c r="AC42" s="501"/>
      <c r="AD42" s="501"/>
      <c r="AE42" s="501"/>
      <c r="AF42" s="501"/>
      <c r="AG42" s="501"/>
      <c r="AH42" s="501"/>
      <c r="AI42" s="501"/>
      <c r="AJ42" s="501"/>
      <c r="AK42" s="501"/>
      <c r="AL42" s="501"/>
      <c r="AM42" s="501"/>
      <c r="AN42" s="501"/>
    </row>
    <row r="43" spans="1:40" ht="29.25" customHeight="1">
      <c r="A43" s="490" t="s">
        <v>2327</v>
      </c>
      <c r="B43" s="520" t="s">
        <v>2382</v>
      </c>
      <c r="C43" s="485" t="s">
        <v>2383</v>
      </c>
      <c r="D43" s="495" t="s">
        <v>76</v>
      </c>
      <c r="E43" s="460">
        <v>0</v>
      </c>
      <c r="F43" s="496"/>
      <c r="G43" s="492">
        <v>45796</v>
      </c>
      <c r="H43" s="493">
        <v>45796</v>
      </c>
      <c r="I43" s="493"/>
      <c r="J43" s="493">
        <v>45796</v>
      </c>
      <c r="K43" s="451">
        <f ca="1">IF(ISBLANK(J43), NETWORKDAYS(H43, TODAY(),fESTIVOS!$A$1:$A$18), NETWORKDAYS(H43, J43, fESTIVOS!$A$1:$A$18))</f>
        <v>1</v>
      </c>
      <c r="L43" s="448"/>
      <c r="M43" s="492"/>
      <c r="N43" s="507"/>
      <c r="O43" s="499"/>
      <c r="P43" s="458"/>
      <c r="Q43" s="458"/>
      <c r="R43" s="458"/>
      <c r="S43" s="458"/>
      <c r="T43" s="458"/>
      <c r="U43" s="458"/>
      <c r="V43" s="458"/>
      <c r="W43" s="458"/>
      <c r="X43" s="458"/>
      <c r="Y43" s="458"/>
      <c r="Z43" s="500"/>
      <c r="AA43" s="500" t="s">
        <v>2384</v>
      </c>
      <c r="AB43" s="501"/>
      <c r="AC43" s="501"/>
      <c r="AD43" s="501"/>
      <c r="AE43" s="501"/>
      <c r="AF43" s="501"/>
      <c r="AG43" s="501"/>
      <c r="AH43" s="501"/>
      <c r="AI43" s="501"/>
      <c r="AJ43" s="501"/>
      <c r="AK43" s="501"/>
      <c r="AL43" s="501"/>
      <c r="AM43" s="501"/>
      <c r="AN43" s="501"/>
    </row>
    <row r="44" spans="1:40" ht="29.25" customHeight="1">
      <c r="A44" s="490" t="s">
        <v>2327</v>
      </c>
      <c r="B44" s="520" t="s">
        <v>2385</v>
      </c>
      <c r="C44" s="485" t="s">
        <v>2386</v>
      </c>
      <c r="D44" s="495" t="s">
        <v>76</v>
      </c>
      <c r="E44" s="460">
        <v>80</v>
      </c>
      <c r="F44" s="496"/>
      <c r="G44" s="492">
        <v>45796</v>
      </c>
      <c r="H44" s="493">
        <v>45796</v>
      </c>
      <c r="I44" s="493"/>
      <c r="J44" s="493">
        <v>45796</v>
      </c>
      <c r="K44" s="451">
        <f ca="1">IF(ISBLANK(J44), NETWORKDAYS(H44, TODAY(),fESTIVOS!$A$1:$A$18), NETWORKDAYS(H44, J44, fESTIVOS!$A$1:$A$18))</f>
        <v>1</v>
      </c>
      <c r="L44" s="448"/>
      <c r="M44" s="492"/>
      <c r="N44" s="507"/>
      <c r="O44" s="499"/>
      <c r="P44" s="458"/>
      <c r="Q44" s="458"/>
      <c r="R44" s="458"/>
      <c r="S44" s="458"/>
      <c r="T44" s="458"/>
      <c r="U44" s="458"/>
      <c r="V44" s="458"/>
      <c r="W44" s="458"/>
      <c r="X44" s="458"/>
      <c r="Y44" s="458"/>
      <c r="Z44" s="500"/>
      <c r="AA44" s="500" t="s">
        <v>2387</v>
      </c>
      <c r="AB44" s="500" t="s">
        <v>2388</v>
      </c>
      <c r="AC44" s="501"/>
      <c r="AD44" s="501"/>
      <c r="AE44" s="501"/>
      <c r="AF44" s="501"/>
      <c r="AG44" s="501"/>
      <c r="AH44" s="501"/>
      <c r="AI44" s="501"/>
      <c r="AJ44" s="501"/>
      <c r="AK44" s="501"/>
      <c r="AL44" s="501"/>
      <c r="AM44" s="501"/>
      <c r="AN44" s="501"/>
    </row>
    <row r="45" spans="1:40" ht="29.25" customHeight="1">
      <c r="A45" s="490" t="s">
        <v>2327</v>
      </c>
      <c r="B45" s="520" t="s">
        <v>2389</v>
      </c>
      <c r="C45" s="459" t="s">
        <v>2390</v>
      </c>
      <c r="D45" s="495" t="s">
        <v>76</v>
      </c>
      <c r="E45" s="460"/>
      <c r="F45" s="496"/>
      <c r="G45" s="492">
        <v>45797</v>
      </c>
      <c r="H45" s="493">
        <v>45798</v>
      </c>
      <c r="I45" s="493"/>
      <c r="J45" s="493">
        <v>45799</v>
      </c>
      <c r="K45" s="451">
        <f ca="1">IF(ISBLANK(J45), NETWORKDAYS(H45, TODAY(),fESTIVOS!$A$1:$A$18), NETWORKDAYS(H45, J45, fESTIVOS!$A$1:$A$18))</f>
        <v>2</v>
      </c>
      <c r="L45" s="448"/>
      <c r="M45" s="492">
        <v>45799</v>
      </c>
      <c r="N45" s="507"/>
      <c r="O45" s="499"/>
      <c r="P45" s="458"/>
      <c r="Q45" s="458"/>
      <c r="R45" s="458"/>
      <c r="S45" s="458"/>
      <c r="T45" s="458"/>
      <c r="U45" s="458"/>
      <c r="V45" s="458"/>
      <c r="W45" s="458"/>
      <c r="X45" s="458"/>
      <c r="Y45" s="458"/>
      <c r="Z45" s="500"/>
      <c r="AA45" s="500"/>
      <c r="AB45" s="500" t="s">
        <v>2391</v>
      </c>
      <c r="AC45" s="500" t="s">
        <v>2392</v>
      </c>
    </row>
    <row r="46" spans="1:40" ht="29.25" customHeight="1">
      <c r="A46" s="490" t="s">
        <v>2327</v>
      </c>
      <c r="B46" s="520" t="s">
        <v>2389</v>
      </c>
      <c r="C46" s="459" t="s">
        <v>2393</v>
      </c>
      <c r="D46" s="495" t="s">
        <v>76</v>
      </c>
      <c r="E46" s="460"/>
      <c r="F46" s="496"/>
      <c r="G46" s="492">
        <v>45797</v>
      </c>
      <c r="H46" s="493">
        <v>45797</v>
      </c>
      <c r="I46" s="493"/>
      <c r="J46" s="493">
        <v>45799</v>
      </c>
      <c r="K46" s="451">
        <f ca="1">IF(ISBLANK(J46), NETWORKDAYS(H46, TODAY(),fESTIVOS!$A$1:$A$18), NETWORKDAYS(H46, J46, fESTIVOS!$A$1:$A$18))</f>
        <v>3</v>
      </c>
      <c r="L46" s="448"/>
      <c r="M46" s="492"/>
      <c r="N46" s="507"/>
      <c r="O46" s="499"/>
      <c r="P46" s="458"/>
      <c r="Q46" s="458"/>
      <c r="R46" s="458"/>
      <c r="S46" s="458"/>
      <c r="T46" s="458"/>
      <c r="U46" s="458"/>
      <c r="V46" s="458"/>
      <c r="W46" s="458"/>
      <c r="X46" s="458"/>
      <c r="Y46" s="458"/>
      <c r="Z46" s="500"/>
      <c r="AA46" s="500"/>
      <c r="AB46" s="500" t="s">
        <v>2394</v>
      </c>
      <c r="AC46" s="500" t="s">
        <v>2395</v>
      </c>
      <c r="AD46" s="501"/>
      <c r="AE46" s="501"/>
      <c r="AF46" s="501"/>
      <c r="AG46" s="501"/>
      <c r="AH46" s="501"/>
      <c r="AI46" s="501"/>
      <c r="AJ46" s="501"/>
      <c r="AK46" s="501"/>
      <c r="AL46" s="501"/>
      <c r="AM46" s="501"/>
      <c r="AN46" s="501"/>
    </row>
    <row r="47" spans="1:40" ht="29.25" customHeight="1">
      <c r="A47" s="490" t="s">
        <v>2327</v>
      </c>
      <c r="B47" s="520" t="s">
        <v>2396</v>
      </c>
      <c r="C47" s="459" t="s">
        <v>2397</v>
      </c>
      <c r="D47" s="495" t="s">
        <v>76</v>
      </c>
      <c r="E47" s="460"/>
      <c r="F47" s="496"/>
      <c r="G47" s="492">
        <v>45799</v>
      </c>
      <c r="H47" s="493">
        <v>45799</v>
      </c>
      <c r="I47" s="493"/>
      <c r="J47" s="493">
        <v>45799</v>
      </c>
      <c r="K47" s="451">
        <f ca="1">IF(ISBLANK(J47), NETWORKDAYS(H47, TODAY(),fESTIVOS!$A$1:$A$18), NETWORKDAYS(H47, J47, fESTIVOS!$A$1:$A$18))</f>
        <v>1</v>
      </c>
      <c r="L47" s="448"/>
      <c r="M47" s="492"/>
      <c r="N47" s="507"/>
      <c r="O47" s="499"/>
      <c r="P47" s="458"/>
      <c r="Q47" s="458"/>
      <c r="R47" s="458"/>
      <c r="S47" s="458"/>
      <c r="T47" s="458"/>
      <c r="U47" s="458"/>
      <c r="V47" s="458"/>
      <c r="W47" s="458"/>
      <c r="X47" s="458"/>
      <c r="Y47" s="458"/>
      <c r="Z47" s="500"/>
      <c r="AA47" s="500"/>
      <c r="AB47" s="500"/>
      <c r="AC47" s="500" t="s">
        <v>2398</v>
      </c>
      <c r="AD47" s="501"/>
      <c r="AE47" s="501"/>
      <c r="AF47" s="501"/>
      <c r="AG47" s="501"/>
      <c r="AH47" s="501"/>
      <c r="AI47" s="501"/>
      <c r="AJ47" s="501"/>
      <c r="AK47" s="501"/>
      <c r="AL47" s="501"/>
      <c r="AM47" s="501"/>
      <c r="AN47" s="501"/>
    </row>
    <row r="48" spans="1:40" ht="29.25" customHeight="1">
      <c r="A48" s="490" t="s">
        <v>2327</v>
      </c>
      <c r="B48" s="520" t="s">
        <v>2399</v>
      </c>
      <c r="C48" s="459" t="s">
        <v>2400</v>
      </c>
      <c r="D48" s="495" t="s">
        <v>76</v>
      </c>
      <c r="E48" s="460"/>
      <c r="F48" s="496"/>
      <c r="G48" s="492">
        <v>45798</v>
      </c>
      <c r="H48" s="493">
        <v>45799</v>
      </c>
      <c r="I48" s="493"/>
      <c r="J48" s="493">
        <v>45799</v>
      </c>
      <c r="K48" s="451">
        <f ca="1">IF(ISBLANK(J48), NETWORKDAYS(H48, TODAY(),fESTIVOS!$A$1:$A$18), NETWORKDAYS(H48, J48, fESTIVOS!$A$1:$A$18))</f>
        <v>1</v>
      </c>
      <c r="L48" s="448"/>
      <c r="M48" s="492"/>
      <c r="N48" s="507"/>
      <c r="O48" s="499"/>
      <c r="P48" s="458"/>
      <c r="Q48" s="458"/>
      <c r="R48" s="458"/>
      <c r="S48" s="458"/>
      <c r="T48" s="458"/>
      <c r="U48" s="458"/>
      <c r="V48" s="458"/>
      <c r="W48" s="458"/>
      <c r="X48" s="458"/>
      <c r="Y48" s="458"/>
      <c r="Z48" s="500"/>
      <c r="AA48" s="500"/>
      <c r="AB48" s="500"/>
      <c r="AC48" s="501"/>
      <c r="AD48" s="501"/>
      <c r="AE48" s="501"/>
      <c r="AF48" s="501"/>
      <c r="AG48" s="501"/>
      <c r="AH48" s="501"/>
      <c r="AI48" s="501"/>
      <c r="AJ48" s="501"/>
      <c r="AK48" s="501"/>
      <c r="AL48" s="501"/>
      <c r="AM48" s="501"/>
      <c r="AN48" s="501"/>
    </row>
    <row r="49" spans="1:40" ht="29.25" customHeight="1">
      <c r="A49" s="490" t="s">
        <v>2327</v>
      </c>
      <c r="B49" s="520" t="s">
        <v>2401</v>
      </c>
      <c r="C49" s="459" t="s">
        <v>2402</v>
      </c>
      <c r="D49" s="495" t="s">
        <v>76</v>
      </c>
      <c r="E49" s="460"/>
      <c r="F49" s="496"/>
      <c r="G49" s="492">
        <v>45799</v>
      </c>
      <c r="H49" s="493">
        <v>45799</v>
      </c>
      <c r="I49" s="493"/>
      <c r="J49" s="493">
        <v>45799</v>
      </c>
      <c r="K49" s="451">
        <f ca="1">IF(ISBLANK(J49), NETWORKDAYS(H49, TODAY(),fESTIVOS!$A$1:$A$18), NETWORKDAYS(H49, J49, fESTIVOS!$A$1:$A$18))</f>
        <v>1</v>
      </c>
      <c r="L49" s="448"/>
      <c r="M49" s="492"/>
      <c r="N49" s="507"/>
      <c r="O49" s="499"/>
      <c r="P49" s="458"/>
      <c r="Q49" s="458"/>
      <c r="R49" s="458"/>
      <c r="S49" s="458"/>
      <c r="T49" s="458"/>
      <c r="U49" s="458"/>
      <c r="V49" s="458"/>
      <c r="W49" s="458"/>
      <c r="X49" s="458"/>
      <c r="Y49" s="458"/>
      <c r="Z49" s="500"/>
      <c r="AA49" s="500"/>
      <c r="AB49" s="500"/>
      <c r="AC49" s="501"/>
      <c r="AD49" s="501"/>
      <c r="AE49" s="501"/>
      <c r="AF49" s="501"/>
      <c r="AG49" s="501"/>
      <c r="AH49" s="501"/>
      <c r="AI49" s="501"/>
      <c r="AJ49" s="501"/>
      <c r="AK49" s="501"/>
      <c r="AL49" s="501"/>
      <c r="AM49" s="501"/>
      <c r="AN49" s="501"/>
    </row>
    <row r="50" spans="1:40" ht="29.25" customHeight="1">
      <c r="A50" s="490" t="s">
        <v>2327</v>
      </c>
      <c r="B50" s="520" t="s">
        <v>2337</v>
      </c>
      <c r="C50" s="459" t="s">
        <v>2403</v>
      </c>
      <c r="D50" s="495" t="s">
        <v>76</v>
      </c>
      <c r="E50" s="460"/>
      <c r="F50" s="496"/>
      <c r="G50" s="492">
        <v>45796</v>
      </c>
      <c r="H50" s="493">
        <v>45798</v>
      </c>
      <c r="I50" s="493"/>
      <c r="J50" s="493">
        <v>45798</v>
      </c>
      <c r="K50" s="451">
        <f ca="1">IF(ISBLANK(J50), NETWORKDAYS(H50, TODAY(),fESTIVOS!$A$1:$A$18), NETWORKDAYS(H50, J50, fESTIVOS!$A$1:$A$18))</f>
        <v>1</v>
      </c>
      <c r="L50" s="448"/>
      <c r="M50" s="492"/>
      <c r="N50" s="507"/>
      <c r="O50" s="499"/>
      <c r="P50" s="458"/>
      <c r="Q50" s="458"/>
      <c r="R50" s="458"/>
      <c r="S50" s="458"/>
      <c r="T50" s="458"/>
      <c r="U50" s="458"/>
      <c r="V50" s="458"/>
      <c r="W50" s="458"/>
      <c r="X50" s="458"/>
      <c r="Y50" s="458"/>
      <c r="Z50" s="500"/>
      <c r="AA50" s="500"/>
      <c r="AB50" s="500" t="s">
        <v>2404</v>
      </c>
      <c r="AC50" s="501"/>
      <c r="AD50" s="501"/>
      <c r="AE50" s="501"/>
      <c r="AF50" s="501"/>
      <c r="AG50" s="501"/>
      <c r="AH50" s="501"/>
      <c r="AI50" s="501"/>
      <c r="AJ50" s="501"/>
      <c r="AK50" s="501"/>
      <c r="AL50" s="501"/>
      <c r="AM50" s="501"/>
      <c r="AN50" s="501"/>
    </row>
    <row r="51" spans="1:40" ht="29.25" customHeight="1">
      <c r="A51" s="490" t="s">
        <v>2327</v>
      </c>
      <c r="B51" s="502" t="s">
        <v>2405</v>
      </c>
      <c r="C51" s="485" t="s">
        <v>2406</v>
      </c>
      <c r="D51" s="495" t="s">
        <v>76</v>
      </c>
      <c r="E51" s="496"/>
      <c r="F51" s="496"/>
      <c r="G51" s="492">
        <v>45791</v>
      </c>
      <c r="H51" s="493">
        <v>45792</v>
      </c>
      <c r="I51" s="493"/>
      <c r="J51" s="493">
        <v>45792</v>
      </c>
      <c r="K51" s="451">
        <f ca="1">IF(ISBLANK(J51), NETWORKDAYS(H51, TODAY(),fESTIVOS!$A$1:$A$18), NETWORKDAYS(H51, J51, fESTIVOS!$A$1:$A$18))</f>
        <v>1</v>
      </c>
      <c r="L51" s="448"/>
      <c r="M51" s="492"/>
      <c r="N51" s="507"/>
      <c r="O51" s="499"/>
      <c r="P51" s="458"/>
      <c r="Q51" s="458"/>
      <c r="R51" s="458"/>
      <c r="S51" s="458"/>
      <c r="T51" s="458"/>
      <c r="U51" s="458"/>
      <c r="V51" s="458"/>
      <c r="W51" s="458"/>
      <c r="X51" s="458"/>
      <c r="Y51" s="500" t="s">
        <v>2407</v>
      </c>
      <c r="Z51" s="501"/>
      <c r="AA51" s="501"/>
      <c r="AB51" s="501"/>
      <c r="AC51" s="501"/>
      <c r="AD51" s="501"/>
      <c r="AE51" s="501"/>
      <c r="AF51" s="501"/>
      <c r="AG51" s="501"/>
      <c r="AH51" s="501"/>
      <c r="AI51" s="501"/>
      <c r="AJ51" s="501"/>
      <c r="AK51" s="501"/>
      <c r="AL51" s="501"/>
      <c r="AM51" s="501"/>
      <c r="AN51" s="501"/>
    </row>
    <row r="52" spans="1:40" ht="29.25" customHeight="1">
      <c r="A52" s="445" t="s">
        <v>2230</v>
      </c>
      <c r="B52" s="460" t="s">
        <v>2408</v>
      </c>
      <c r="C52" s="485" t="s">
        <v>2409</v>
      </c>
      <c r="D52" s="495" t="s">
        <v>76</v>
      </c>
      <c r="E52" s="460">
        <v>80</v>
      </c>
      <c r="F52" s="448"/>
      <c r="G52" s="492">
        <v>45763</v>
      </c>
      <c r="H52" s="493">
        <v>45779</v>
      </c>
      <c r="I52" s="493">
        <v>45776</v>
      </c>
      <c r="J52" s="493">
        <v>45799</v>
      </c>
      <c r="K52" s="451">
        <f ca="1">IF(ISBLANK(J52), NETWORKDAYS(H52, TODAY(),fESTIVOS!$A$1:$A$18), NETWORKDAYS(H52, J52, fESTIVOS!$A$1:$A$18))</f>
        <v>15</v>
      </c>
      <c r="L52" s="521" t="s">
        <v>2410</v>
      </c>
      <c r="M52" s="492">
        <v>45777</v>
      </c>
      <c r="N52" s="495" t="s">
        <v>2411</v>
      </c>
      <c r="O52" s="497">
        <v>45799</v>
      </c>
      <c r="P52" s="457"/>
      <c r="Q52" s="500" t="s">
        <v>2412</v>
      </c>
      <c r="R52" s="500" t="s">
        <v>2413</v>
      </c>
      <c r="S52" s="500" t="s">
        <v>2414</v>
      </c>
      <c r="T52" s="501"/>
      <c r="U52" s="501"/>
      <c r="V52" s="501"/>
      <c r="W52" s="500" t="s">
        <v>2415</v>
      </c>
      <c r="X52" s="500" t="s">
        <v>2416</v>
      </c>
      <c r="Y52" s="501"/>
      <c r="Z52" s="500" t="s">
        <v>2417</v>
      </c>
      <c r="AA52" s="500" t="s">
        <v>2418</v>
      </c>
      <c r="AB52" s="500" t="s">
        <v>2419</v>
      </c>
      <c r="AC52" s="500" t="s">
        <v>2420</v>
      </c>
      <c r="AD52" s="501"/>
      <c r="AE52" s="501"/>
      <c r="AF52" s="501"/>
      <c r="AG52" s="501"/>
      <c r="AH52" s="501"/>
      <c r="AI52" s="501"/>
      <c r="AJ52" s="501"/>
      <c r="AK52" s="501"/>
      <c r="AL52" s="501"/>
      <c r="AM52" s="501"/>
      <c r="AN52" s="501"/>
    </row>
    <row r="53" spans="1:40" ht="29.25" customHeight="1">
      <c r="A53" s="504" t="s">
        <v>2352</v>
      </c>
      <c r="B53" s="505"/>
      <c r="C53" s="447" t="s">
        <v>2353</v>
      </c>
      <c r="D53" s="116" t="s">
        <v>76</v>
      </c>
      <c r="E53" s="448"/>
      <c r="F53" s="448"/>
      <c r="G53" s="449">
        <v>45714</v>
      </c>
      <c r="H53" s="493">
        <v>45784</v>
      </c>
      <c r="I53" s="450"/>
      <c r="J53" s="493">
        <v>45785</v>
      </c>
      <c r="K53" s="506"/>
      <c r="L53" s="448"/>
      <c r="M53" s="449"/>
      <c r="N53" s="517"/>
      <c r="O53" s="452"/>
      <c r="P53" s="453" t="s">
        <v>2354</v>
      </c>
      <c r="Q53" s="454"/>
      <c r="R53" s="454"/>
      <c r="S53" s="454"/>
      <c r="T53" s="454"/>
      <c r="U53" s="454"/>
      <c r="V53" s="454"/>
      <c r="W53" s="454"/>
      <c r="X53" s="454"/>
      <c r="Y53" s="454"/>
      <c r="Z53" s="454"/>
      <c r="AA53" s="454"/>
      <c r="AB53" s="454"/>
      <c r="AC53" s="454"/>
      <c r="AD53" s="454"/>
      <c r="AE53" s="454"/>
      <c r="AF53" s="454"/>
      <c r="AG53" s="454"/>
      <c r="AH53" s="454"/>
      <c r="AI53" s="454"/>
      <c r="AJ53" s="454"/>
      <c r="AK53" s="454"/>
      <c r="AL53" s="454"/>
      <c r="AM53" s="454"/>
      <c r="AN53" s="454"/>
    </row>
    <row r="54" spans="1:40" ht="29.25" customHeight="1">
      <c r="A54" s="522" t="s">
        <v>2230</v>
      </c>
      <c r="B54" s="523" t="s">
        <v>2421</v>
      </c>
      <c r="C54" s="524" t="s">
        <v>2422</v>
      </c>
      <c r="D54" s="525" t="s">
        <v>76</v>
      </c>
      <c r="E54" s="460">
        <v>100</v>
      </c>
      <c r="F54" s="460"/>
      <c r="G54" s="526">
        <v>45800</v>
      </c>
      <c r="H54" s="493"/>
      <c r="I54" s="493"/>
      <c r="J54" s="493">
        <v>45804</v>
      </c>
      <c r="K54" s="460"/>
      <c r="L54" s="448"/>
      <c r="M54" s="492"/>
      <c r="N54" s="507"/>
      <c r="O54" s="499"/>
      <c r="P54" s="527"/>
      <c r="Q54" s="527"/>
      <c r="R54" s="527"/>
      <c r="S54" s="528"/>
      <c r="T54" s="529"/>
      <c r="U54" s="529"/>
      <c r="V54" s="528"/>
      <c r="W54" s="528"/>
      <c r="X54" s="528"/>
      <c r="Y54" s="529"/>
      <c r="Z54" s="529"/>
      <c r="AA54" s="528"/>
      <c r="AB54" s="528"/>
      <c r="AC54" s="528" t="s">
        <v>2423</v>
      </c>
      <c r="AD54" s="529"/>
      <c r="AE54" s="500" t="s">
        <v>2424</v>
      </c>
      <c r="AF54" s="500"/>
      <c r="AG54" s="500"/>
      <c r="AH54" s="500"/>
      <c r="AI54" s="500"/>
      <c r="AJ54" s="500"/>
      <c r="AK54" s="500"/>
      <c r="AL54" s="500"/>
      <c r="AM54" s="500"/>
      <c r="AN54" s="500"/>
    </row>
    <row r="55" spans="1:40" ht="29.25" customHeight="1">
      <c r="A55" s="530" t="s">
        <v>2327</v>
      </c>
      <c r="B55" s="531" t="s">
        <v>2389</v>
      </c>
      <c r="C55" s="532" t="s">
        <v>2425</v>
      </c>
      <c r="D55" s="525" t="s">
        <v>76</v>
      </c>
      <c r="E55" s="460">
        <v>100</v>
      </c>
      <c r="F55" s="496"/>
      <c r="G55" s="492">
        <v>45798</v>
      </c>
      <c r="H55" s="493">
        <v>45803</v>
      </c>
      <c r="I55" s="493"/>
      <c r="J55" s="493">
        <v>45803</v>
      </c>
      <c r="K55" s="451">
        <f ca="1">IF(ISBLANK(J55), NETWORKDAYS(H55, TODAY(),fESTIVOS!$A$1:$A$18), NETWORKDAYS(H55, J55, fESTIVOS!$A$1:$A$18))</f>
        <v>1</v>
      </c>
      <c r="L55" s="448"/>
      <c r="M55" s="492"/>
      <c r="N55" s="507"/>
      <c r="O55" s="499">
        <v>45803</v>
      </c>
      <c r="P55" s="527"/>
      <c r="Q55" s="527"/>
      <c r="R55" s="527"/>
      <c r="S55" s="527"/>
      <c r="T55" s="527"/>
      <c r="U55" s="527"/>
      <c r="V55" s="527"/>
      <c r="W55" s="527"/>
      <c r="X55" s="527"/>
      <c r="Y55" s="527"/>
      <c r="Z55" s="528"/>
      <c r="AA55" s="528"/>
      <c r="AB55" s="528"/>
      <c r="AC55" s="528" t="s">
        <v>2426</v>
      </c>
      <c r="AD55" s="528" t="s">
        <v>2427</v>
      </c>
      <c r="AE55" s="500" t="s">
        <v>2428</v>
      </c>
      <c r="AF55" s="500"/>
      <c r="AG55" s="500"/>
      <c r="AH55" s="500"/>
      <c r="AI55" s="500"/>
      <c r="AJ55" s="500"/>
      <c r="AK55" s="500"/>
      <c r="AL55" s="500"/>
      <c r="AM55" s="500"/>
      <c r="AN55" s="500"/>
    </row>
    <row r="56" spans="1:40" ht="29.25" customHeight="1">
      <c r="A56" s="530" t="s">
        <v>2327</v>
      </c>
      <c r="B56" s="533" t="s">
        <v>2429</v>
      </c>
      <c r="C56" s="532" t="s">
        <v>2430</v>
      </c>
      <c r="D56" s="525" t="s">
        <v>76</v>
      </c>
      <c r="E56" s="496"/>
      <c r="F56" s="496"/>
      <c r="G56" s="492">
        <v>45804</v>
      </c>
      <c r="H56" s="493">
        <v>45804</v>
      </c>
      <c r="I56" s="493"/>
      <c r="J56" s="493">
        <v>45804</v>
      </c>
      <c r="K56" s="451">
        <f ca="1">IF(ISBLANK(J56), NETWORKDAYS(H56, TODAY(),fESTIVOS!$A$1:$A$18), NETWORKDAYS(H56, J56, fESTIVOS!$A$1:$A$18))</f>
        <v>1</v>
      </c>
      <c r="L56" s="448"/>
      <c r="M56" s="492"/>
      <c r="N56" s="507"/>
      <c r="O56" s="499"/>
      <c r="P56" s="527"/>
      <c r="Q56" s="527"/>
      <c r="R56" s="527"/>
      <c r="S56" s="527"/>
      <c r="T56" s="527"/>
      <c r="U56" s="527"/>
      <c r="V56" s="527"/>
      <c r="W56" s="527"/>
      <c r="X56" s="527"/>
      <c r="Y56" s="527"/>
      <c r="Z56" s="527"/>
      <c r="AA56" s="527"/>
      <c r="AB56" s="527"/>
      <c r="AC56" s="527"/>
      <c r="AD56" s="527"/>
      <c r="AE56" s="500" t="s">
        <v>2431</v>
      </c>
      <c r="AF56" s="500"/>
      <c r="AG56" s="500"/>
      <c r="AH56" s="500"/>
      <c r="AI56" s="500"/>
      <c r="AJ56" s="500"/>
      <c r="AK56" s="500"/>
      <c r="AL56" s="500"/>
      <c r="AM56" s="500"/>
      <c r="AN56" s="500"/>
    </row>
    <row r="57" spans="1:40" ht="29.25" customHeight="1">
      <c r="A57" s="530" t="s">
        <v>2327</v>
      </c>
      <c r="B57" s="502" t="s">
        <v>2337</v>
      </c>
      <c r="C57" s="485" t="s">
        <v>2432</v>
      </c>
      <c r="D57" s="495" t="s">
        <v>76</v>
      </c>
      <c r="E57" s="496"/>
      <c r="F57" s="496"/>
      <c r="G57" s="492">
        <v>45805</v>
      </c>
      <c r="H57" s="493">
        <v>45806</v>
      </c>
      <c r="I57" s="493"/>
      <c r="J57" s="493">
        <v>45806</v>
      </c>
      <c r="K57" s="451">
        <f ca="1">IF(ISBLANK(J57), NETWORKDAYS(H57, TODAY(),fESTIVOS!$A$1:$A$18), NETWORKDAYS(H57, J57, fESTIVOS!$A$1:$A$18))</f>
        <v>1</v>
      </c>
      <c r="L57" s="448"/>
      <c r="M57" s="492"/>
      <c r="N57" s="507"/>
      <c r="O57" s="499"/>
      <c r="P57" s="527"/>
      <c r="Q57" s="527"/>
      <c r="R57" s="527"/>
      <c r="S57" s="527"/>
      <c r="T57" s="527"/>
      <c r="U57" s="527"/>
      <c r="V57" s="527"/>
      <c r="W57" s="527"/>
      <c r="X57" s="527"/>
      <c r="Y57" s="527"/>
      <c r="Z57" s="527"/>
      <c r="AA57" s="527"/>
      <c r="AB57" s="527"/>
      <c r="AC57" s="527"/>
      <c r="AD57" s="527"/>
      <c r="AE57" s="458"/>
      <c r="AF57" s="500" t="s">
        <v>2433</v>
      </c>
      <c r="AG57" s="500"/>
      <c r="AH57" s="500"/>
      <c r="AI57" s="500"/>
      <c r="AJ57" s="500"/>
      <c r="AK57" s="500"/>
      <c r="AL57" s="500"/>
      <c r="AM57" s="500"/>
      <c r="AN57" s="500"/>
    </row>
    <row r="58" spans="1:40" ht="29.25" customHeight="1">
      <c r="A58" s="530" t="s">
        <v>2327</v>
      </c>
      <c r="B58" s="502" t="s">
        <v>2434</v>
      </c>
      <c r="C58" s="485" t="s">
        <v>2435</v>
      </c>
      <c r="D58" s="495" t="s">
        <v>76</v>
      </c>
      <c r="E58" s="496"/>
      <c r="F58" s="496"/>
      <c r="G58" s="492">
        <v>45807</v>
      </c>
      <c r="H58" s="493">
        <v>45807</v>
      </c>
      <c r="I58" s="493"/>
      <c r="J58" s="493">
        <v>45811</v>
      </c>
      <c r="K58" s="451">
        <f ca="1">IF(ISBLANK(J58), NETWORKDAYS(H58, TODAY(),fESTIVOS!$A$1:$A$18), NETWORKDAYS(H58, J58, fESTIVOS!$A$1:$A$18))</f>
        <v>3</v>
      </c>
      <c r="L58" s="448"/>
      <c r="M58" s="492"/>
      <c r="N58" s="507"/>
      <c r="O58" s="499"/>
      <c r="P58" s="527"/>
      <c r="Q58" s="527"/>
      <c r="R58" s="527"/>
      <c r="S58" s="527"/>
      <c r="T58" s="527"/>
      <c r="U58" s="527"/>
      <c r="V58" s="527"/>
      <c r="W58" s="527"/>
      <c r="X58" s="527"/>
      <c r="Y58" s="527"/>
      <c r="Z58" s="527"/>
      <c r="AA58" s="527"/>
      <c r="AB58" s="527"/>
      <c r="AC58" s="527"/>
      <c r="AD58" s="527"/>
      <c r="AE58" s="527"/>
      <c r="AF58" s="528" t="s">
        <v>2436</v>
      </c>
      <c r="AG58" s="500"/>
      <c r="AH58" s="500"/>
      <c r="AI58" s="500"/>
      <c r="AJ58" s="500"/>
      <c r="AK58" s="500"/>
      <c r="AL58" s="500"/>
      <c r="AM58" s="500"/>
      <c r="AN58" s="500"/>
    </row>
    <row r="59" spans="1:40" ht="29.25" customHeight="1">
      <c r="A59" s="530" t="s">
        <v>2327</v>
      </c>
      <c r="B59" s="502" t="s">
        <v>2337</v>
      </c>
      <c r="C59" s="485" t="s">
        <v>2437</v>
      </c>
      <c r="D59" s="495" t="s">
        <v>76</v>
      </c>
      <c r="E59" s="496"/>
      <c r="F59" s="496"/>
      <c r="G59" s="492">
        <v>45811</v>
      </c>
      <c r="H59" s="493">
        <v>45812</v>
      </c>
      <c r="I59" s="493"/>
      <c r="J59" s="493">
        <v>45812</v>
      </c>
      <c r="K59" s="451">
        <f ca="1">IF(ISBLANK(J59), NETWORKDAYS(H59, TODAY(),fESTIVOS!$A$1:$A$18), NETWORKDAYS(H59, J59, fESTIVOS!$A$1:$A$18))</f>
        <v>1</v>
      </c>
      <c r="L59" s="448"/>
      <c r="M59" s="492"/>
      <c r="N59" s="507"/>
      <c r="O59" s="499"/>
      <c r="P59" s="527"/>
      <c r="Q59" s="527"/>
      <c r="R59" s="527"/>
      <c r="S59" s="527"/>
      <c r="T59" s="527"/>
      <c r="U59" s="527"/>
      <c r="V59" s="527"/>
      <c r="W59" s="527"/>
      <c r="X59" s="527"/>
      <c r="Y59" s="527"/>
      <c r="Z59" s="527"/>
      <c r="AA59" s="527"/>
      <c r="AB59" s="527"/>
      <c r="AC59" s="527"/>
      <c r="AD59" s="527"/>
      <c r="AE59" s="527"/>
      <c r="AF59" s="527"/>
      <c r="AG59" s="500" t="s">
        <v>2438</v>
      </c>
      <c r="AH59" s="500"/>
      <c r="AI59" s="500"/>
      <c r="AJ59" s="500"/>
      <c r="AK59" s="500"/>
      <c r="AL59" s="500"/>
      <c r="AM59" s="500"/>
      <c r="AN59" s="500"/>
    </row>
    <row r="60" spans="1:40" ht="29.25" customHeight="1">
      <c r="A60" s="530" t="s">
        <v>2327</v>
      </c>
      <c r="B60" s="533" t="s">
        <v>297</v>
      </c>
      <c r="C60" s="532" t="s">
        <v>2439</v>
      </c>
      <c r="D60" s="495" t="s">
        <v>76</v>
      </c>
      <c r="E60" s="496"/>
      <c r="F60" s="496"/>
      <c r="G60" s="492">
        <v>45811</v>
      </c>
      <c r="H60" s="493">
        <v>45811</v>
      </c>
      <c r="I60" s="493"/>
      <c r="J60" s="493">
        <v>45814</v>
      </c>
      <c r="K60" s="451">
        <f ca="1">IF(ISBLANK(J60), NETWORKDAYS(H60, TODAY(),fESTIVOS!$A$1:$A$18), NETWORKDAYS(H60, J60, fESTIVOS!$A$1:$A$18))</f>
        <v>4</v>
      </c>
      <c r="L60" s="448"/>
      <c r="M60" s="492">
        <v>45811</v>
      </c>
      <c r="N60" s="507"/>
      <c r="O60" s="499">
        <v>45814</v>
      </c>
      <c r="P60" s="527"/>
      <c r="Q60" s="527"/>
      <c r="R60" s="527"/>
      <c r="S60" s="527"/>
      <c r="T60" s="527"/>
      <c r="U60" s="527"/>
      <c r="V60" s="527"/>
      <c r="W60" s="527"/>
      <c r="X60" s="527"/>
      <c r="Y60" s="527"/>
      <c r="Z60" s="527"/>
      <c r="AA60" s="527"/>
      <c r="AB60" s="527"/>
      <c r="AC60" s="527"/>
      <c r="AD60" s="527"/>
      <c r="AE60" s="458"/>
      <c r="AF60" s="500" t="s">
        <v>2440</v>
      </c>
      <c r="AG60" s="500" t="s">
        <v>2441</v>
      </c>
      <c r="AH60" s="500" t="s">
        <v>2442</v>
      </c>
      <c r="AI60" s="500" t="s">
        <v>2443</v>
      </c>
      <c r="AJ60" s="500"/>
      <c r="AK60" s="500"/>
      <c r="AL60" s="500"/>
      <c r="AM60" s="500"/>
      <c r="AN60" s="500"/>
    </row>
    <row r="61" spans="1:40" ht="29.25" customHeight="1">
      <c r="A61" s="530" t="s">
        <v>2255</v>
      </c>
      <c r="B61" s="534" t="s">
        <v>2444</v>
      </c>
      <c r="C61" s="524" t="s">
        <v>2445</v>
      </c>
      <c r="D61" s="525" t="s">
        <v>76</v>
      </c>
      <c r="E61" s="460">
        <v>95</v>
      </c>
      <c r="F61" s="460">
        <v>3</v>
      </c>
      <c r="G61" s="492">
        <v>45784</v>
      </c>
      <c r="H61" s="493">
        <v>45784</v>
      </c>
      <c r="I61" s="493">
        <v>45786</v>
      </c>
      <c r="J61" s="493">
        <v>45803</v>
      </c>
      <c r="K61" s="516">
        <f ca="1">IF(ISBLANK(J61), NETWORKDAYS(H61, TODAY(),fESTIVOS!$A$1:$A$18), NETWORKDAYS(H61, J61, fESTIVOS!$A$1:$A$18))</f>
        <v>14</v>
      </c>
      <c r="L61" s="448"/>
      <c r="M61" s="492">
        <v>45786</v>
      </c>
      <c r="N61" s="517"/>
      <c r="O61" s="497">
        <v>45814</v>
      </c>
      <c r="P61" s="453"/>
      <c r="Q61" s="535"/>
      <c r="R61" s="535"/>
      <c r="S61" s="535"/>
      <c r="T61" s="536" t="s">
        <v>2446</v>
      </c>
      <c r="U61" s="537"/>
      <c r="V61" s="536" t="s">
        <v>2447</v>
      </c>
      <c r="W61" s="536" t="s">
        <v>2448</v>
      </c>
      <c r="X61" s="536" t="s">
        <v>2449</v>
      </c>
      <c r="Y61" s="537"/>
      <c r="Z61" s="537"/>
      <c r="AA61" s="537"/>
      <c r="AB61" s="537"/>
      <c r="AC61" s="537"/>
      <c r="AD61" s="537"/>
      <c r="AE61" s="464"/>
      <c r="AF61" s="464"/>
      <c r="AG61" s="463" t="s">
        <v>2450</v>
      </c>
      <c r="AH61" s="463" t="s">
        <v>2451</v>
      </c>
      <c r="AI61" s="463" t="s">
        <v>2452</v>
      </c>
      <c r="AJ61" s="463"/>
      <c r="AK61" s="463"/>
      <c r="AL61" s="463"/>
      <c r="AM61" s="463"/>
      <c r="AN61" s="463"/>
    </row>
    <row r="62" spans="1:40" ht="29.25" customHeight="1">
      <c r="A62" s="530" t="s">
        <v>2327</v>
      </c>
      <c r="B62" s="502" t="s">
        <v>2453</v>
      </c>
      <c r="C62" s="485" t="s">
        <v>2454</v>
      </c>
      <c r="D62" s="495" t="s">
        <v>76</v>
      </c>
      <c r="E62" s="496"/>
      <c r="F62" s="496"/>
      <c r="G62" s="492">
        <v>45818</v>
      </c>
      <c r="H62" s="493">
        <v>45818</v>
      </c>
      <c r="I62" s="493"/>
      <c r="J62" s="493">
        <v>45818</v>
      </c>
      <c r="K62" s="451">
        <f ca="1">IF(ISBLANK(J62), NETWORKDAYS(H62, TODAY(),fESTIVOS!$A$1:$A$18), NETWORKDAYS(H62, J62, fESTIVOS!$A$1:$A$18))</f>
        <v>1</v>
      </c>
      <c r="L62" s="448"/>
      <c r="M62" s="492"/>
      <c r="N62" s="507"/>
      <c r="O62" s="499"/>
      <c r="P62" s="527"/>
      <c r="Q62" s="527"/>
      <c r="R62" s="527"/>
      <c r="S62" s="527"/>
      <c r="T62" s="527"/>
      <c r="U62" s="527"/>
      <c r="V62" s="527"/>
      <c r="W62" s="527"/>
      <c r="X62" s="527"/>
      <c r="Y62" s="527"/>
      <c r="Z62" s="527"/>
      <c r="AA62" s="527"/>
      <c r="AB62" s="527"/>
      <c r="AC62" s="527"/>
      <c r="AD62" s="527"/>
      <c r="AE62" s="527"/>
      <c r="AF62" s="527"/>
      <c r="AG62" s="527"/>
      <c r="AH62" s="527"/>
      <c r="AI62" s="527"/>
      <c r="AJ62" s="500" t="s">
        <v>2455</v>
      </c>
      <c r="AK62" s="500"/>
      <c r="AL62" s="500"/>
      <c r="AM62" s="500"/>
      <c r="AN62" s="500"/>
    </row>
    <row r="63" spans="1:40" ht="29.25" customHeight="1">
      <c r="A63" s="490" t="s">
        <v>2245</v>
      </c>
      <c r="B63" s="502" t="s">
        <v>423</v>
      </c>
      <c r="C63" s="459" t="s">
        <v>2456</v>
      </c>
      <c r="D63" s="495" t="s">
        <v>76</v>
      </c>
      <c r="E63" s="460">
        <v>100</v>
      </c>
      <c r="F63" s="460">
        <v>1</v>
      </c>
      <c r="G63" s="492">
        <v>45818</v>
      </c>
      <c r="H63" s="493">
        <v>45819</v>
      </c>
      <c r="I63" s="493">
        <v>45819</v>
      </c>
      <c r="J63" s="493">
        <v>45819</v>
      </c>
      <c r="K63" s="451">
        <f ca="1">IF(ISBLANK(J63), NETWORKDAYS(H63, TODAY(),fESTIVOS!$A$1:$A$18), NETWORKDAYS(H63, J63, fESTIVOS!$A$1:$A$18))</f>
        <v>1</v>
      </c>
      <c r="L63" s="448"/>
      <c r="M63" s="492"/>
      <c r="N63" s="507"/>
      <c r="O63" s="499"/>
      <c r="P63" s="527"/>
      <c r="Q63" s="527"/>
      <c r="R63" s="527"/>
      <c r="S63" s="527"/>
      <c r="T63" s="527"/>
      <c r="U63" s="527"/>
      <c r="V63" s="527"/>
      <c r="W63" s="527"/>
      <c r="X63" s="527"/>
      <c r="Y63" s="527"/>
      <c r="Z63" s="527"/>
      <c r="AA63" s="527"/>
      <c r="AB63" s="527"/>
      <c r="AC63" s="527"/>
      <c r="AD63" s="527"/>
      <c r="AE63" s="527"/>
      <c r="AF63" s="527"/>
      <c r="AG63" s="527"/>
      <c r="AH63" s="527"/>
      <c r="AI63" s="527"/>
      <c r="AJ63" s="528" t="s">
        <v>2457</v>
      </c>
      <c r="AK63" s="500" t="s">
        <v>2458</v>
      </c>
      <c r="AL63" s="500"/>
      <c r="AM63" s="500"/>
      <c r="AN63" s="500"/>
    </row>
    <row r="64" spans="1:40" ht="29.25" customHeight="1">
      <c r="A64" s="490" t="s">
        <v>2245</v>
      </c>
      <c r="B64" s="502" t="s">
        <v>423</v>
      </c>
      <c r="C64" s="459" t="s">
        <v>2459</v>
      </c>
      <c r="D64" s="495" t="s">
        <v>76</v>
      </c>
      <c r="E64" s="460">
        <v>100</v>
      </c>
      <c r="F64" s="460">
        <v>1</v>
      </c>
      <c r="G64" s="492">
        <v>45818</v>
      </c>
      <c r="H64" s="493">
        <v>45820</v>
      </c>
      <c r="I64" s="493">
        <v>45820</v>
      </c>
      <c r="J64" s="493">
        <v>45821</v>
      </c>
      <c r="K64" s="451">
        <f ca="1">IF(ISBLANK(J64), NETWORKDAYS(H64, TODAY(),fESTIVOS!$A$1:$A$18), NETWORKDAYS(H64, J64, fESTIVOS!$A$1:$A$18))</f>
        <v>2</v>
      </c>
      <c r="L64" s="448"/>
      <c r="M64" s="492"/>
      <c r="N64" s="507"/>
      <c r="O64" s="499"/>
      <c r="P64" s="527"/>
      <c r="Q64" s="527"/>
      <c r="R64" s="527"/>
      <c r="S64" s="527"/>
      <c r="T64" s="527"/>
      <c r="U64" s="527"/>
      <c r="V64" s="527"/>
      <c r="W64" s="527"/>
      <c r="X64" s="527"/>
      <c r="Y64" s="527"/>
      <c r="Z64" s="527"/>
      <c r="AA64" s="527"/>
      <c r="AB64" s="527"/>
      <c r="AC64" s="527"/>
      <c r="AD64" s="527"/>
      <c r="AE64" s="527"/>
      <c r="AF64" s="527"/>
      <c r="AG64" s="527"/>
      <c r="AH64" s="527"/>
      <c r="AI64" s="527"/>
      <c r="AJ64" s="528" t="s">
        <v>2460</v>
      </c>
      <c r="AK64" s="500" t="s">
        <v>2461</v>
      </c>
      <c r="AL64" s="500"/>
      <c r="AM64" s="500"/>
      <c r="AN64" s="500"/>
    </row>
    <row r="65" spans="1:40" ht="29.25" customHeight="1">
      <c r="A65" s="522" t="s">
        <v>2230</v>
      </c>
      <c r="B65" s="533" t="s">
        <v>2346</v>
      </c>
      <c r="C65" s="538" t="s">
        <v>2462</v>
      </c>
      <c r="D65" s="525" t="s">
        <v>76</v>
      </c>
      <c r="E65" s="460">
        <v>100</v>
      </c>
      <c r="F65" s="539">
        <v>1</v>
      </c>
      <c r="G65" s="492">
        <v>45786</v>
      </c>
      <c r="H65" s="493">
        <v>45786</v>
      </c>
      <c r="I65" s="493"/>
      <c r="J65" s="493">
        <v>45825</v>
      </c>
      <c r="K65" s="451">
        <f ca="1">IF(ISBLANK(J65), NETWORKDAYS(H65, TODAY(),fESTIVOS!$A$1:$A$18), NETWORKDAYS(H65, J65, fESTIVOS!$A$1:$A$18))</f>
        <v>28</v>
      </c>
      <c r="L65" s="448"/>
      <c r="M65" s="492"/>
      <c r="N65" s="507"/>
      <c r="O65" s="499"/>
      <c r="P65" s="527"/>
      <c r="Q65" s="527"/>
      <c r="R65" s="527"/>
      <c r="S65" s="528" t="s">
        <v>2463</v>
      </c>
      <c r="T65" s="529"/>
      <c r="U65" s="529"/>
      <c r="V65" s="528" t="s">
        <v>2464</v>
      </c>
      <c r="W65" s="528" t="s">
        <v>2465</v>
      </c>
      <c r="X65" s="528" t="s">
        <v>2466</v>
      </c>
      <c r="Y65" s="529"/>
      <c r="Z65" s="529"/>
      <c r="AA65" s="528" t="s">
        <v>2467</v>
      </c>
      <c r="AB65" s="528" t="s">
        <v>2468</v>
      </c>
      <c r="AC65" s="528" t="s">
        <v>2469</v>
      </c>
      <c r="AD65" s="528" t="s">
        <v>2470</v>
      </c>
      <c r="AE65" s="500" t="s">
        <v>253</v>
      </c>
      <c r="AF65" s="500" t="s">
        <v>2471</v>
      </c>
      <c r="AG65" s="500"/>
      <c r="AH65" s="500"/>
      <c r="AI65" s="500"/>
      <c r="AJ65" s="500" t="s">
        <v>2472</v>
      </c>
      <c r="AK65" s="500" t="s">
        <v>2473</v>
      </c>
      <c r="AL65" s="500" t="s">
        <v>2474</v>
      </c>
      <c r="AM65" s="500" t="s">
        <v>2475</v>
      </c>
      <c r="AN65" s="500"/>
    </row>
    <row r="66" spans="1:40" ht="29.25" customHeight="1">
      <c r="A66" s="530" t="s">
        <v>2327</v>
      </c>
      <c r="B66" s="502" t="s">
        <v>2476</v>
      </c>
      <c r="C66" s="540" t="s">
        <v>2477</v>
      </c>
      <c r="D66" s="495" t="s">
        <v>76</v>
      </c>
      <c r="E66" s="460">
        <v>100</v>
      </c>
      <c r="F66" s="496"/>
      <c r="G66" s="492">
        <v>45805</v>
      </c>
      <c r="H66" s="493">
        <v>45825</v>
      </c>
      <c r="I66" s="493"/>
      <c r="J66" s="493">
        <v>45825</v>
      </c>
      <c r="K66" s="451">
        <f ca="1">IF(ISBLANK(J66), NETWORKDAYS(H66, TODAY(),fESTIVOS!$A$1:$A$18), NETWORKDAYS(H66, J66, fESTIVOS!$A$1:$A$18))</f>
        <v>1</v>
      </c>
      <c r="L66" s="448"/>
      <c r="M66" s="492"/>
      <c r="N66" s="507"/>
      <c r="O66" s="499"/>
      <c r="P66" s="527"/>
      <c r="Q66" s="527"/>
      <c r="R66" s="527"/>
      <c r="S66" s="527"/>
      <c r="T66" s="527"/>
      <c r="U66" s="527"/>
      <c r="V66" s="527"/>
      <c r="W66" s="527"/>
      <c r="X66" s="527"/>
      <c r="Y66" s="527"/>
      <c r="Z66" s="527"/>
      <c r="AA66" s="527"/>
      <c r="AB66" s="527"/>
      <c r="AC66" s="527"/>
      <c r="AD66" s="527"/>
      <c r="AE66" s="458"/>
      <c r="AF66" s="500" t="s">
        <v>2478</v>
      </c>
      <c r="AG66" s="500"/>
      <c r="AH66" s="500"/>
      <c r="AI66" s="500"/>
      <c r="AJ66" s="500"/>
      <c r="AK66" s="500"/>
      <c r="AL66" s="500" t="s">
        <v>2479</v>
      </c>
      <c r="AM66" s="500" t="s">
        <v>2480</v>
      </c>
      <c r="AN66" s="500"/>
    </row>
    <row r="67" spans="1:40" ht="29.25" customHeight="1">
      <c r="A67" s="530" t="s">
        <v>2327</v>
      </c>
      <c r="B67" s="494"/>
      <c r="C67" s="459" t="s">
        <v>2481</v>
      </c>
      <c r="D67" s="495" t="s">
        <v>76</v>
      </c>
      <c r="E67" s="496"/>
      <c r="F67" s="460">
        <v>1</v>
      </c>
      <c r="G67" s="492">
        <v>45825</v>
      </c>
      <c r="H67" s="493">
        <v>45825</v>
      </c>
      <c r="I67" s="493">
        <v>45825</v>
      </c>
      <c r="J67" s="493"/>
      <c r="K67" s="451">
        <f ca="1">IF(ISBLANK(J67), NETWORKDAYS(H67, TODAY(),fESTIVOS!$A$1:$A$18), NETWORKDAYS(H67, J67, fESTIVOS!$A$1:$A$18))</f>
        <v>189</v>
      </c>
      <c r="L67" s="448"/>
      <c r="M67" s="492"/>
      <c r="N67" s="507"/>
      <c r="O67" s="499"/>
      <c r="P67" s="527"/>
      <c r="Q67" s="527"/>
      <c r="R67" s="527"/>
      <c r="S67" s="527"/>
      <c r="T67" s="527"/>
      <c r="U67" s="527"/>
      <c r="V67" s="527"/>
      <c r="W67" s="527"/>
      <c r="X67" s="527"/>
      <c r="Y67" s="527"/>
      <c r="Z67" s="527"/>
      <c r="AA67" s="527"/>
      <c r="AB67" s="527"/>
      <c r="AC67" s="527"/>
      <c r="AD67" s="527"/>
      <c r="AE67" s="527"/>
      <c r="AF67" s="527"/>
      <c r="AG67" s="527"/>
      <c r="AH67" s="527"/>
      <c r="AI67" s="527"/>
      <c r="AJ67" s="527"/>
      <c r="AK67" s="527"/>
      <c r="AL67" s="527"/>
      <c r="AM67" s="528" t="s">
        <v>2482</v>
      </c>
      <c r="AN67" s="500"/>
    </row>
    <row r="68" spans="1:40" ht="29.25" customHeight="1">
      <c r="A68" s="541" t="s">
        <v>2230</v>
      </c>
      <c r="B68" s="502" t="s">
        <v>2337</v>
      </c>
      <c r="C68" s="485" t="s">
        <v>2483</v>
      </c>
      <c r="D68" s="495" t="s">
        <v>76</v>
      </c>
      <c r="E68" s="460">
        <v>100</v>
      </c>
      <c r="F68" s="542"/>
      <c r="G68" s="492">
        <v>45825</v>
      </c>
      <c r="H68" s="493">
        <v>45825</v>
      </c>
      <c r="I68" s="493"/>
      <c r="J68" s="493">
        <v>45825</v>
      </c>
      <c r="K68" s="451">
        <f ca="1">IF(ISBLANK(J68), NETWORKDAYS(H68, TODAY(),fESTIVOS!$A$1:$A$18), NETWORKDAYS(H68, J68, fESTIVOS!$A$1:$A$18))</f>
        <v>1</v>
      </c>
      <c r="L68" s="448"/>
      <c r="M68" s="492"/>
      <c r="N68" s="507"/>
      <c r="O68" s="499">
        <v>45825</v>
      </c>
      <c r="P68" s="527"/>
      <c r="Q68" s="527"/>
      <c r="R68" s="527"/>
      <c r="S68" s="527"/>
      <c r="T68" s="527"/>
      <c r="U68" s="527"/>
      <c r="V68" s="527"/>
      <c r="W68" s="527"/>
      <c r="X68" s="527"/>
      <c r="Y68" s="527"/>
      <c r="Z68" s="527"/>
      <c r="AA68" s="527"/>
      <c r="AB68" s="527"/>
      <c r="AC68" s="527"/>
      <c r="AD68" s="527"/>
      <c r="AE68" s="527"/>
      <c r="AF68" s="527"/>
      <c r="AG68" s="527"/>
      <c r="AH68" s="527"/>
      <c r="AI68" s="527"/>
      <c r="AJ68" s="527"/>
      <c r="AK68" s="527"/>
      <c r="AL68" s="527"/>
      <c r="AM68" s="528" t="s">
        <v>2484</v>
      </c>
      <c r="AN68" s="500"/>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43" t="s">
        <v>2226</v>
      </c>
      <c r="B1" s="543" t="s">
        <v>2</v>
      </c>
      <c r="C1" s="543" t="s">
        <v>4</v>
      </c>
      <c r="D1" s="543" t="s">
        <v>5</v>
      </c>
      <c r="E1" s="544" t="s">
        <v>8</v>
      </c>
      <c r="F1" s="544" t="s">
        <v>9</v>
      </c>
      <c r="G1" s="545" t="s">
        <v>2485</v>
      </c>
      <c r="H1" s="544" t="s">
        <v>11</v>
      </c>
      <c r="I1" s="544" t="s">
        <v>2228</v>
      </c>
      <c r="J1" s="546" t="s">
        <v>14</v>
      </c>
      <c r="K1" s="547" t="s">
        <v>15</v>
      </c>
      <c r="L1" s="548" t="s">
        <v>2229</v>
      </c>
      <c r="M1" s="465"/>
      <c r="N1" s="465"/>
      <c r="O1" s="465"/>
      <c r="P1" s="465"/>
      <c r="Q1" s="465"/>
      <c r="R1" s="465"/>
      <c r="S1" s="465"/>
      <c r="T1" s="465"/>
      <c r="U1" s="465"/>
      <c r="V1" s="465"/>
      <c r="W1" s="465"/>
      <c r="X1" s="465"/>
      <c r="Y1" s="465"/>
      <c r="Z1" s="465"/>
    </row>
    <row r="2" spans="1:26" ht="15" customHeight="1">
      <c r="A2" s="549" t="s">
        <v>2245</v>
      </c>
      <c r="B2" s="550" t="s">
        <v>2486</v>
      </c>
      <c r="C2" s="551" t="s">
        <v>2487</v>
      </c>
      <c r="D2" s="552"/>
      <c r="E2" s="553">
        <v>45561</v>
      </c>
      <c r="F2" s="553">
        <v>45561</v>
      </c>
      <c r="G2" s="552"/>
      <c r="H2" s="554">
        <v>45565</v>
      </c>
      <c r="I2" s="555">
        <f ca="1">IF(ISBLANK(H2), NETWORKDAYS(F2, TODAY(),fESTIVOS!$A$1:$A$18), NETWORKDAYS(F2, H2, fESTIVOS!$A$1:$A$18))</f>
        <v>3</v>
      </c>
      <c r="J2" s="553">
        <v>45565</v>
      </c>
      <c r="K2" s="553">
        <v>45566</v>
      </c>
      <c r="L2" s="556" t="s">
        <v>2488</v>
      </c>
      <c r="M2" s="465"/>
      <c r="N2" s="465"/>
      <c r="O2" s="465"/>
      <c r="P2" s="465"/>
      <c r="Q2" s="465"/>
      <c r="R2" s="465"/>
      <c r="S2" s="465"/>
      <c r="T2" s="465"/>
      <c r="U2" s="465"/>
      <c r="V2" s="465"/>
      <c r="W2" s="465"/>
      <c r="X2" s="465"/>
      <c r="Y2" s="465"/>
      <c r="Z2" s="465"/>
    </row>
    <row r="3" spans="1:26" ht="15" customHeight="1">
      <c r="A3" s="549" t="s">
        <v>2245</v>
      </c>
      <c r="B3" s="557"/>
      <c r="C3" s="551" t="s">
        <v>2489</v>
      </c>
      <c r="D3" s="552"/>
      <c r="E3" s="553">
        <v>45561</v>
      </c>
      <c r="F3" s="553">
        <v>45562</v>
      </c>
      <c r="G3" s="552"/>
      <c r="H3" s="553">
        <v>45565</v>
      </c>
      <c r="I3" s="555">
        <f ca="1">IF(ISBLANK(H3), NETWORKDAYS(F3, TODAY(),fESTIVOS!$A$1:$A$18), NETWORKDAYS(F3, H3, fESTIVOS!$A$1:$A$18))</f>
        <v>2</v>
      </c>
      <c r="J3" s="553">
        <v>45565</v>
      </c>
      <c r="K3" s="553">
        <v>45566</v>
      </c>
      <c r="L3" s="556" t="s">
        <v>2490</v>
      </c>
      <c r="M3" s="465"/>
      <c r="N3" s="465"/>
      <c r="O3" s="465"/>
      <c r="P3" s="465"/>
      <c r="Q3" s="465"/>
      <c r="R3" s="465"/>
      <c r="S3" s="465"/>
      <c r="T3" s="465"/>
      <c r="U3" s="465"/>
      <c r="V3" s="465"/>
      <c r="W3" s="465"/>
      <c r="X3" s="465"/>
      <c r="Y3" s="465"/>
      <c r="Z3" s="465"/>
    </row>
    <row r="4" spans="1:26" ht="15" customHeight="1">
      <c r="A4" s="549" t="s">
        <v>2245</v>
      </c>
      <c r="B4" s="558" t="s">
        <v>2491</v>
      </c>
      <c r="C4" s="551" t="s">
        <v>2492</v>
      </c>
      <c r="D4" s="552"/>
      <c r="E4" s="553">
        <v>45566</v>
      </c>
      <c r="F4" s="553">
        <v>45566</v>
      </c>
      <c r="G4" s="552"/>
      <c r="H4" s="553">
        <v>45566</v>
      </c>
      <c r="I4" s="555">
        <f ca="1">IF(ISBLANK(H4), NETWORKDAYS(F4, TODAY(),fESTIVOS!$A$1:$A$18), NETWORKDAYS(F4, H4, fESTIVOS!$A$1:$A$18))</f>
        <v>1</v>
      </c>
      <c r="J4" s="553">
        <v>45566</v>
      </c>
      <c r="K4" s="553">
        <v>45566</v>
      </c>
      <c r="L4" s="556" t="s">
        <v>2493</v>
      </c>
      <c r="M4" s="465"/>
      <c r="N4" s="465"/>
      <c r="O4" s="465"/>
      <c r="P4" s="465"/>
      <c r="Q4" s="465"/>
      <c r="R4" s="465"/>
      <c r="S4" s="465"/>
      <c r="T4" s="465"/>
      <c r="U4" s="465"/>
      <c r="V4" s="465"/>
      <c r="W4" s="465"/>
      <c r="X4" s="465"/>
      <c r="Y4" s="465"/>
      <c r="Z4" s="465"/>
    </row>
    <row r="5" spans="1:26" ht="15" customHeight="1">
      <c r="A5" s="549" t="s">
        <v>2245</v>
      </c>
      <c r="B5" s="559"/>
      <c r="C5" s="551" t="s">
        <v>2494</v>
      </c>
      <c r="D5" s="552"/>
      <c r="E5" s="553">
        <v>45566</v>
      </c>
      <c r="F5" s="553">
        <v>45566</v>
      </c>
      <c r="G5" s="552"/>
      <c r="H5" s="553">
        <v>45566</v>
      </c>
      <c r="I5" s="555">
        <f ca="1">IF(ISBLANK(H5), NETWORKDAYS(F5, TODAY(),fESTIVOS!$A$1:$A$18), NETWORKDAYS(F5, H5, fESTIVOS!$A$1:$A$18))</f>
        <v>1</v>
      </c>
      <c r="J5" s="553">
        <v>45566</v>
      </c>
      <c r="K5" s="553">
        <v>45566</v>
      </c>
      <c r="L5" s="556" t="s">
        <v>2493</v>
      </c>
      <c r="M5" s="465"/>
      <c r="N5" s="465"/>
      <c r="O5" s="465"/>
      <c r="P5" s="465"/>
      <c r="Q5" s="465"/>
      <c r="R5" s="465"/>
      <c r="S5" s="465"/>
      <c r="T5" s="465"/>
      <c r="U5" s="465"/>
      <c r="V5" s="465"/>
      <c r="W5" s="465"/>
      <c r="X5" s="465"/>
      <c r="Y5" s="465"/>
      <c r="Z5" s="465"/>
    </row>
    <row r="6" spans="1:26" ht="15" customHeight="1">
      <c r="A6" s="549" t="s">
        <v>2245</v>
      </c>
      <c r="B6" s="559"/>
      <c r="C6" s="551" t="s">
        <v>2495</v>
      </c>
      <c r="D6" s="552"/>
      <c r="E6" s="553">
        <v>45566</v>
      </c>
      <c r="F6" s="553">
        <v>45566</v>
      </c>
      <c r="G6" s="552"/>
      <c r="H6" s="553">
        <v>45566</v>
      </c>
      <c r="I6" s="555">
        <f ca="1">IF(ISBLANK(H6), NETWORKDAYS(F6, TODAY(),fESTIVOS!$A$1:$A$18), NETWORKDAYS(F6, H6, fESTIVOS!$A$1:$A$18))</f>
        <v>1</v>
      </c>
      <c r="J6" s="553">
        <v>45566</v>
      </c>
      <c r="K6" s="553">
        <v>45566</v>
      </c>
      <c r="L6" s="556" t="s">
        <v>2493</v>
      </c>
      <c r="M6" s="465"/>
      <c r="N6" s="465"/>
      <c r="O6" s="465"/>
      <c r="P6" s="465"/>
      <c r="Q6" s="465"/>
      <c r="R6" s="465"/>
      <c r="S6" s="465"/>
      <c r="T6" s="465"/>
      <c r="U6" s="465"/>
      <c r="V6" s="465"/>
      <c r="W6" s="465"/>
      <c r="X6" s="465"/>
      <c r="Y6" s="465"/>
      <c r="Z6" s="465"/>
    </row>
    <row r="7" spans="1:26" ht="15" customHeight="1">
      <c r="A7" s="551" t="s">
        <v>2230</v>
      </c>
      <c r="B7" s="560" t="s">
        <v>2496</v>
      </c>
      <c r="C7" s="551"/>
      <c r="D7" s="552" t="s">
        <v>76</v>
      </c>
      <c r="E7" s="553">
        <v>45566</v>
      </c>
      <c r="F7" s="553">
        <v>45566</v>
      </c>
      <c r="G7" s="552"/>
      <c r="H7" s="553">
        <v>45567</v>
      </c>
      <c r="I7" s="555">
        <f ca="1">IF(ISBLANK(H7), NETWORKDAYS(F7, TODAY(),fESTIVOS!$A$1:$A$18), NETWORKDAYS(F7, H7, fESTIVOS!$A$1:$A$18))</f>
        <v>2</v>
      </c>
      <c r="J7" s="552"/>
      <c r="K7" s="552"/>
      <c r="L7" s="556" t="s">
        <v>2497</v>
      </c>
      <c r="M7" s="455"/>
      <c r="N7" s="455"/>
      <c r="O7" s="455"/>
      <c r="P7" s="455"/>
      <c r="Q7" s="455"/>
      <c r="R7" s="455"/>
      <c r="S7" s="455"/>
      <c r="T7" s="455"/>
      <c r="U7" s="455"/>
      <c r="V7" s="455"/>
      <c r="W7" s="455"/>
      <c r="X7" s="455"/>
      <c r="Y7" s="455"/>
      <c r="Z7" s="455"/>
    </row>
    <row r="8" spans="1:26" ht="15" customHeight="1">
      <c r="A8" s="552" t="s">
        <v>2237</v>
      </c>
      <c r="B8" s="561" t="s">
        <v>2498</v>
      </c>
      <c r="C8" s="551"/>
      <c r="D8" s="552" t="s">
        <v>76</v>
      </c>
      <c r="E8" s="553">
        <v>45566</v>
      </c>
      <c r="F8" s="553">
        <v>45566</v>
      </c>
      <c r="G8" s="552"/>
      <c r="H8" s="553">
        <v>45566</v>
      </c>
      <c r="I8" s="555">
        <f ca="1">IF(ISBLANK(H8), NETWORKDAYS(F8, TODAY(),fESTIVOS!$A$1:$A$18), NETWORKDAYS(F8, H8, fESTIVOS!$A$1:$A$18))</f>
        <v>1</v>
      </c>
      <c r="J8" s="552"/>
      <c r="K8" s="553">
        <v>45566</v>
      </c>
      <c r="L8" s="556" t="s">
        <v>2499</v>
      </c>
      <c r="M8" s="455"/>
      <c r="N8" s="455"/>
      <c r="O8" s="455"/>
      <c r="P8" s="455"/>
      <c r="Q8" s="455"/>
      <c r="R8" s="455"/>
      <c r="S8" s="455"/>
      <c r="T8" s="455"/>
      <c r="U8" s="455"/>
      <c r="V8" s="455"/>
      <c r="W8" s="455"/>
      <c r="X8" s="455"/>
      <c r="Y8" s="455"/>
      <c r="Z8" s="455"/>
    </row>
    <row r="9" spans="1:26" ht="15" customHeight="1">
      <c r="A9" s="552" t="s">
        <v>2237</v>
      </c>
      <c r="B9" s="561" t="s">
        <v>2500</v>
      </c>
      <c r="C9" s="551"/>
      <c r="D9" s="552" t="s">
        <v>2501</v>
      </c>
      <c r="E9" s="553">
        <v>45566</v>
      </c>
      <c r="F9" s="553">
        <v>45566</v>
      </c>
      <c r="G9" s="553">
        <v>45567</v>
      </c>
      <c r="H9" s="553">
        <v>45566</v>
      </c>
      <c r="I9" s="555">
        <f ca="1">IF(ISBLANK(H9), NETWORKDAYS(F9, TODAY(),fESTIVOS!$A$1:$A$18), NETWORKDAYS(F9, H9, fESTIVOS!$A$1:$A$18))</f>
        <v>1</v>
      </c>
      <c r="J9" s="553">
        <v>45568</v>
      </c>
      <c r="K9" s="552"/>
      <c r="L9" s="556" t="s">
        <v>2502</v>
      </c>
      <c r="M9" s="455"/>
      <c r="N9" s="455"/>
      <c r="O9" s="455"/>
      <c r="P9" s="455"/>
      <c r="Q9" s="455"/>
      <c r="R9" s="455"/>
      <c r="S9" s="455"/>
      <c r="T9" s="455"/>
      <c r="U9" s="455"/>
      <c r="V9" s="455"/>
      <c r="W9" s="455"/>
      <c r="X9" s="455"/>
      <c r="Y9" s="455"/>
      <c r="Z9" s="455"/>
    </row>
    <row r="10" spans="1:26" ht="15" customHeight="1">
      <c r="A10" s="562" t="s">
        <v>2503</v>
      </c>
      <c r="B10" s="561" t="s">
        <v>2504</v>
      </c>
      <c r="C10" s="551"/>
      <c r="D10" s="552" t="s">
        <v>76</v>
      </c>
      <c r="E10" s="553">
        <v>45567</v>
      </c>
      <c r="F10" s="553">
        <v>45567</v>
      </c>
      <c r="G10" s="552"/>
      <c r="H10" s="553">
        <v>45567</v>
      </c>
      <c r="I10" s="555">
        <f ca="1">IF(ISBLANK(H10), NETWORKDAYS(F10, TODAY(),fESTIVOS!$A$1:$A$18), NETWORKDAYS(F10, H10, fESTIVOS!$A$1:$A$18))</f>
        <v>1</v>
      </c>
      <c r="J10" s="552"/>
      <c r="K10" s="553">
        <v>45568</v>
      </c>
      <c r="L10" s="556" t="s">
        <v>2505</v>
      </c>
      <c r="M10" s="455"/>
      <c r="N10" s="455"/>
      <c r="O10" s="455"/>
      <c r="P10" s="455"/>
      <c r="Q10" s="455"/>
      <c r="R10" s="455"/>
      <c r="S10" s="455"/>
      <c r="T10" s="455"/>
      <c r="U10" s="455"/>
      <c r="V10" s="455"/>
      <c r="W10" s="455"/>
      <c r="X10" s="455"/>
      <c r="Y10" s="455"/>
      <c r="Z10" s="455"/>
    </row>
    <row r="11" spans="1:26" ht="15" customHeight="1">
      <c r="A11" s="552" t="s">
        <v>2255</v>
      </c>
      <c r="B11" s="563" t="s">
        <v>2491</v>
      </c>
      <c r="C11" s="551" t="s">
        <v>2506</v>
      </c>
      <c r="D11" s="552" t="s">
        <v>76</v>
      </c>
      <c r="E11" s="553">
        <v>45566</v>
      </c>
      <c r="F11" s="553">
        <v>45566</v>
      </c>
      <c r="G11" s="553">
        <v>45567</v>
      </c>
      <c r="H11" s="553">
        <v>45567</v>
      </c>
      <c r="I11" s="555">
        <f ca="1">IF(ISBLANK(H11), NETWORKDAYS(F11, TODAY(),fESTIVOS!$A$1:$A$18), NETWORKDAYS(F11, H11, fESTIVOS!$A$1:$A$18))</f>
        <v>2</v>
      </c>
      <c r="J11" s="553">
        <v>45567</v>
      </c>
      <c r="K11" s="553">
        <v>45568</v>
      </c>
      <c r="L11" s="556" t="s">
        <v>2507</v>
      </c>
      <c r="M11" s="455"/>
      <c r="N11" s="455"/>
      <c r="O11" s="455"/>
      <c r="P11" s="455"/>
      <c r="Q11" s="455"/>
      <c r="R11" s="455"/>
      <c r="S11" s="455"/>
      <c r="T11" s="455"/>
      <c r="U11" s="455"/>
      <c r="V11" s="455"/>
      <c r="W11" s="455"/>
      <c r="X11" s="455"/>
      <c r="Y11" s="455"/>
      <c r="Z11" s="455"/>
    </row>
    <row r="12" spans="1:26" ht="15" customHeight="1">
      <c r="A12" s="552" t="s">
        <v>2255</v>
      </c>
      <c r="B12" s="564" t="s">
        <v>2486</v>
      </c>
      <c r="C12" s="551" t="s">
        <v>2508</v>
      </c>
      <c r="D12" s="552" t="s">
        <v>76</v>
      </c>
      <c r="E12" s="553">
        <v>45566</v>
      </c>
      <c r="F12" s="553">
        <v>45566</v>
      </c>
      <c r="G12" s="553">
        <v>45567</v>
      </c>
      <c r="H12" s="553">
        <v>45567</v>
      </c>
      <c r="I12" s="555">
        <f ca="1">IF(ISBLANK(H12), NETWORKDAYS(F12, TODAY(),fESTIVOS!$A$1:$A$18), NETWORKDAYS(F12, H12, fESTIVOS!$A$1:$A$18))</f>
        <v>2</v>
      </c>
      <c r="J12" s="553">
        <v>45567</v>
      </c>
      <c r="K12" s="553">
        <v>45568</v>
      </c>
      <c r="L12" s="556" t="s">
        <v>2507</v>
      </c>
      <c r="M12" s="455"/>
      <c r="N12" s="455"/>
      <c r="O12" s="455"/>
      <c r="P12" s="455"/>
      <c r="Q12" s="455"/>
      <c r="R12" s="455"/>
      <c r="S12" s="455"/>
      <c r="T12" s="455"/>
      <c r="U12" s="455"/>
      <c r="V12" s="455"/>
      <c r="W12" s="455"/>
      <c r="X12" s="455"/>
      <c r="Y12" s="455"/>
      <c r="Z12" s="455"/>
    </row>
    <row r="13" spans="1:26" ht="15" customHeight="1">
      <c r="A13" s="565" t="s">
        <v>2503</v>
      </c>
      <c r="B13" s="566" t="s">
        <v>2509</v>
      </c>
      <c r="C13" s="551"/>
      <c r="D13" s="552" t="s">
        <v>250</v>
      </c>
      <c r="E13" s="553">
        <v>45567</v>
      </c>
      <c r="F13" s="553"/>
      <c r="G13" s="552"/>
      <c r="H13" s="553">
        <v>45569</v>
      </c>
      <c r="I13" s="555">
        <f ca="1">IF(ISBLANK(H13), NETWORKDAYS(F13, TODAY(),fESTIVOS!$A$1:$A$18), NETWORKDAYS(F13, H13, fESTIVOS!$A$1:$A$18))</f>
        <v>32538</v>
      </c>
      <c r="J13" s="552"/>
      <c r="K13" s="552"/>
      <c r="L13" s="567" t="s">
        <v>2510</v>
      </c>
      <c r="M13" s="455"/>
      <c r="N13" s="455"/>
      <c r="O13" s="455"/>
      <c r="P13" s="455"/>
      <c r="Q13" s="455"/>
      <c r="R13" s="455"/>
      <c r="S13" s="455"/>
      <c r="T13" s="455"/>
      <c r="U13" s="455"/>
      <c r="V13" s="455"/>
      <c r="W13" s="455"/>
      <c r="X13" s="455"/>
      <c r="Y13" s="455"/>
      <c r="Z13" s="455"/>
    </row>
    <row r="14" spans="1:26" ht="15" customHeight="1">
      <c r="A14" s="549" t="s">
        <v>2255</v>
      </c>
      <c r="B14" s="568" t="s">
        <v>2511</v>
      </c>
      <c r="C14" s="569"/>
      <c r="D14" s="562" t="s">
        <v>2232</v>
      </c>
      <c r="E14" s="570">
        <v>45561</v>
      </c>
      <c r="F14" s="570">
        <v>45561</v>
      </c>
      <c r="G14" s="569"/>
      <c r="H14" s="570">
        <v>45562</v>
      </c>
      <c r="I14" s="555">
        <f ca="1">IF(ISBLANK(H14), NETWORKDAYS(F14, TODAY(),fESTIVOS!$A$1:$A$18), NETWORKDAYS(F14, H14, fESTIVOS!$A$1:$A$18))</f>
        <v>2</v>
      </c>
      <c r="J14" s="570">
        <v>45562</v>
      </c>
      <c r="K14" s="570">
        <v>45569</v>
      </c>
      <c r="L14" s="571" t="s">
        <v>2512</v>
      </c>
      <c r="M14" s="572" t="s">
        <v>2513</v>
      </c>
      <c r="N14" s="465"/>
      <c r="O14" s="465"/>
      <c r="P14" s="465"/>
      <c r="Q14" s="465"/>
      <c r="R14" s="465"/>
      <c r="S14" s="465"/>
      <c r="T14" s="465"/>
      <c r="U14" s="465"/>
      <c r="V14" s="465"/>
      <c r="W14" s="465"/>
      <c r="X14" s="465"/>
      <c r="Y14" s="465"/>
      <c r="Z14" s="465"/>
    </row>
    <row r="15" spans="1:26" ht="15" customHeight="1">
      <c r="A15" s="562" t="s">
        <v>2352</v>
      </c>
      <c r="B15" s="561" t="s">
        <v>2504</v>
      </c>
      <c r="C15" s="564" t="s">
        <v>2514</v>
      </c>
      <c r="D15" s="552" t="s">
        <v>76</v>
      </c>
      <c r="E15" s="553">
        <v>45568</v>
      </c>
      <c r="F15" s="553">
        <v>45568</v>
      </c>
      <c r="G15" s="553">
        <v>45568</v>
      </c>
      <c r="H15" s="553">
        <v>45568</v>
      </c>
      <c r="I15" s="555">
        <f ca="1">IF(ISBLANK(H15), NETWORKDAYS(F15, TODAY(),fESTIVOS!$A$1:$A$18), NETWORKDAYS(F15, H15, fESTIVOS!$A$1:$A$18))</f>
        <v>1</v>
      </c>
      <c r="J15" s="552"/>
      <c r="K15" s="553"/>
      <c r="L15" s="556" t="s">
        <v>2515</v>
      </c>
      <c r="M15" s="455"/>
      <c r="N15" s="455"/>
      <c r="O15" s="455"/>
      <c r="P15" s="455"/>
      <c r="Q15" s="455"/>
      <c r="R15" s="455"/>
      <c r="S15" s="455"/>
      <c r="T15" s="455"/>
      <c r="U15" s="455"/>
      <c r="V15" s="455"/>
      <c r="W15" s="455"/>
      <c r="X15" s="455"/>
      <c r="Y15" s="455"/>
      <c r="Z15" s="455"/>
    </row>
    <row r="16" spans="1:26" ht="15" customHeight="1">
      <c r="A16" s="573" t="s">
        <v>2245</v>
      </c>
      <c r="B16" s="574" t="s">
        <v>2516</v>
      </c>
      <c r="C16" s="561" t="s">
        <v>2517</v>
      </c>
      <c r="D16" s="562" t="s">
        <v>76</v>
      </c>
      <c r="E16" s="553">
        <v>45569</v>
      </c>
      <c r="F16" s="553">
        <v>45569</v>
      </c>
      <c r="G16" s="553"/>
      <c r="H16" s="553">
        <v>45569</v>
      </c>
      <c r="I16" s="555">
        <f ca="1">IF(ISBLANK(H16), NETWORKDAYS(F16, TODAY(),fESTIVOS!$A$1:$A$18), NETWORKDAYS(F16, H16, fESTIVOS!$A$1:$A$18))</f>
        <v>1</v>
      </c>
      <c r="J16" s="553"/>
      <c r="K16" s="553">
        <v>45569</v>
      </c>
      <c r="L16" s="556" t="s">
        <v>2518</v>
      </c>
      <c r="M16" s="455"/>
      <c r="N16" s="455"/>
      <c r="O16" s="455"/>
      <c r="P16" s="455"/>
      <c r="Q16" s="455"/>
      <c r="R16" s="455"/>
      <c r="S16" s="455"/>
      <c r="T16" s="455"/>
      <c r="U16" s="455"/>
      <c r="V16" s="455"/>
      <c r="W16" s="455"/>
      <c r="X16" s="455"/>
      <c r="Y16" s="455"/>
      <c r="Z16" s="455"/>
    </row>
    <row r="17" spans="1:26" ht="15" customHeight="1">
      <c r="A17" s="573" t="s">
        <v>2245</v>
      </c>
      <c r="B17" s="557"/>
      <c r="C17" s="561" t="s">
        <v>2519</v>
      </c>
      <c r="D17" s="562" t="s">
        <v>76</v>
      </c>
      <c r="E17" s="553">
        <v>45569</v>
      </c>
      <c r="F17" s="553">
        <v>45569</v>
      </c>
      <c r="G17" s="553"/>
      <c r="H17" s="553">
        <v>45569</v>
      </c>
      <c r="I17" s="555">
        <f ca="1">IF(ISBLANK(H17), NETWORKDAYS(F17, TODAY(),fESTIVOS!$A$1:$A$18), NETWORKDAYS(F17, H17, fESTIVOS!$A$1:$A$18))</f>
        <v>1</v>
      </c>
      <c r="J17" s="553"/>
      <c r="K17" s="552"/>
      <c r="L17" s="556"/>
      <c r="M17" s="455"/>
      <c r="N17" s="455"/>
      <c r="O17" s="455"/>
      <c r="P17" s="455"/>
      <c r="Q17" s="455"/>
      <c r="R17" s="455"/>
      <c r="S17" s="455"/>
      <c r="T17" s="455"/>
      <c r="U17" s="455"/>
      <c r="V17" s="455"/>
      <c r="W17" s="455"/>
      <c r="X17" s="455"/>
      <c r="Y17" s="455"/>
      <c r="Z17" s="455"/>
    </row>
    <row r="18" spans="1:26" ht="15" customHeight="1">
      <c r="A18" s="573" t="s">
        <v>2245</v>
      </c>
      <c r="B18" s="575" t="s">
        <v>2520</v>
      </c>
      <c r="C18" s="575" t="s">
        <v>2521</v>
      </c>
      <c r="D18" s="576" t="s">
        <v>504</v>
      </c>
      <c r="E18" s="577">
        <v>45567</v>
      </c>
      <c r="F18" s="577">
        <v>45567</v>
      </c>
      <c r="G18" s="577">
        <v>45568</v>
      </c>
      <c r="H18" s="577">
        <v>45568</v>
      </c>
      <c r="I18" s="578">
        <f ca="1">IF(ISBLANK(H18), NETWORKDAYS(F18, TODAY(),fESTIVOS!$A$1:$A$18), NETWORKDAYS(F18, H18, fESTIVOS!$A$1:$A$18))</f>
        <v>2</v>
      </c>
      <c r="J18" s="577">
        <v>45568</v>
      </c>
      <c r="K18" s="579"/>
      <c r="L18" s="580" t="s">
        <v>2522</v>
      </c>
      <c r="M18" s="455"/>
      <c r="N18" s="455"/>
      <c r="O18" s="455"/>
      <c r="P18" s="455"/>
      <c r="Q18" s="455"/>
      <c r="R18" s="455"/>
      <c r="S18" s="455"/>
      <c r="T18" s="455"/>
      <c r="U18" s="455"/>
      <c r="V18" s="455"/>
      <c r="W18" s="455"/>
      <c r="X18" s="455"/>
      <c r="Y18" s="455"/>
      <c r="Z18" s="455"/>
    </row>
    <row r="19" spans="1:26" ht="15" customHeight="1">
      <c r="A19" s="565" t="s">
        <v>2503</v>
      </c>
      <c r="B19" s="581" t="s">
        <v>2523</v>
      </c>
      <c r="C19" s="567" t="s">
        <v>2524</v>
      </c>
      <c r="D19" s="562" t="s">
        <v>2525</v>
      </c>
      <c r="E19" s="553">
        <v>45566</v>
      </c>
      <c r="F19" s="553">
        <v>45566</v>
      </c>
      <c r="G19" s="553">
        <v>45567</v>
      </c>
      <c r="H19" s="553">
        <v>45567</v>
      </c>
      <c r="I19" s="555">
        <f ca="1">IF(ISBLANK(H19), NETWORKDAYS(F19, TODAY(),fESTIVOS!$A$1:$A$18), NETWORKDAYS(F19, H19, fESTIVOS!$A$1:$A$18))</f>
        <v>2</v>
      </c>
      <c r="J19" s="553">
        <v>45568</v>
      </c>
      <c r="K19" s="552"/>
      <c r="L19" s="556" t="s">
        <v>2526</v>
      </c>
      <c r="M19" s="455"/>
      <c r="N19" s="455"/>
      <c r="O19" s="455"/>
      <c r="P19" s="455"/>
      <c r="Q19" s="455"/>
      <c r="R19" s="455"/>
      <c r="S19" s="455"/>
      <c r="T19" s="455"/>
      <c r="U19" s="455"/>
      <c r="V19" s="455"/>
      <c r="W19" s="455"/>
      <c r="X19" s="455"/>
      <c r="Y19" s="455"/>
      <c r="Z19" s="455"/>
    </row>
    <row r="20" spans="1:26" ht="15" customHeight="1">
      <c r="A20" s="565" t="s">
        <v>2503</v>
      </c>
      <c r="B20" s="418"/>
      <c r="C20" s="561" t="s">
        <v>2527</v>
      </c>
      <c r="D20" s="562" t="s">
        <v>2525</v>
      </c>
      <c r="E20" s="553">
        <v>45561</v>
      </c>
      <c r="F20" s="553">
        <v>45561</v>
      </c>
      <c r="G20" s="553">
        <v>45567</v>
      </c>
      <c r="H20" s="553">
        <v>45568</v>
      </c>
      <c r="I20" s="555">
        <f ca="1">IF(ISBLANK(H20), NETWORKDAYS(F20, TODAY(),fESTIVOS!$A$1:$A$18), NETWORKDAYS(F20, H20, fESTIVOS!$A$1:$A$18))</f>
        <v>6</v>
      </c>
      <c r="J20" s="553">
        <v>45568</v>
      </c>
      <c r="K20" s="552"/>
      <c r="L20" s="582" t="s">
        <v>2528</v>
      </c>
      <c r="M20" s="455"/>
      <c r="N20" s="455"/>
      <c r="O20" s="455"/>
      <c r="P20" s="455"/>
      <c r="Q20" s="455"/>
      <c r="R20" s="455"/>
      <c r="S20" s="455"/>
      <c r="T20" s="455"/>
      <c r="U20" s="455"/>
      <c r="V20" s="455"/>
      <c r="W20" s="455"/>
      <c r="X20" s="455"/>
      <c r="Y20" s="455"/>
      <c r="Z20" s="455"/>
    </row>
    <row r="21" spans="1:26" ht="15" customHeight="1">
      <c r="A21" s="565" t="s">
        <v>2503</v>
      </c>
      <c r="B21" s="583"/>
      <c r="C21" s="564" t="s">
        <v>2529</v>
      </c>
      <c r="D21" s="552" t="s">
        <v>2525</v>
      </c>
      <c r="E21" s="553">
        <v>45561</v>
      </c>
      <c r="F21" s="553">
        <v>45568</v>
      </c>
      <c r="G21" s="552"/>
      <c r="H21" s="553">
        <v>45568</v>
      </c>
      <c r="I21" s="555">
        <f ca="1">IF(ISBLANK(H21), NETWORKDAYS(F21, TODAY(),fESTIVOS!$A$1:$A$18), NETWORKDAYS(F21, H21, fESTIVOS!$A$1:$A$18))</f>
        <v>1</v>
      </c>
      <c r="J21" s="553">
        <v>45568</v>
      </c>
      <c r="K21" s="552"/>
      <c r="L21" s="556" t="s">
        <v>2530</v>
      </c>
      <c r="M21" s="455"/>
      <c r="N21" s="455"/>
      <c r="O21" s="455"/>
      <c r="P21" s="455"/>
      <c r="Q21" s="455"/>
      <c r="R21" s="455"/>
      <c r="S21" s="455"/>
      <c r="T21" s="455"/>
      <c r="U21" s="455"/>
      <c r="V21" s="455"/>
      <c r="W21" s="455"/>
      <c r="X21" s="455"/>
      <c r="Y21" s="455"/>
      <c r="Z21" s="455"/>
    </row>
    <row r="22" spans="1:26" ht="15" customHeight="1">
      <c r="A22" s="584" t="s">
        <v>2531</v>
      </c>
      <c r="B22" s="561" t="s">
        <v>2498</v>
      </c>
      <c r="C22" s="564" t="s">
        <v>2532</v>
      </c>
      <c r="D22" s="552" t="s">
        <v>76</v>
      </c>
      <c r="E22" s="553">
        <v>45567</v>
      </c>
      <c r="F22" s="553">
        <v>45567</v>
      </c>
      <c r="G22" s="553">
        <v>45567</v>
      </c>
      <c r="H22" s="553">
        <v>45569</v>
      </c>
      <c r="I22" s="555">
        <f ca="1">IF(ISBLANK(H22), NETWORKDAYS(F22, TODAY(),fESTIVOS!$A$1:$A$18), NETWORKDAYS(F22, H22, fESTIVOS!$A$1:$A$18))</f>
        <v>3</v>
      </c>
      <c r="J22" s="552"/>
      <c r="K22" s="552"/>
      <c r="L22" s="567" t="s">
        <v>2533</v>
      </c>
      <c r="M22" s="455"/>
      <c r="N22" s="455"/>
      <c r="O22" s="455"/>
      <c r="P22" s="455"/>
      <c r="Q22" s="455"/>
      <c r="R22" s="455"/>
      <c r="S22" s="455"/>
      <c r="T22" s="455"/>
      <c r="U22" s="455"/>
      <c r="V22" s="455"/>
      <c r="W22" s="455"/>
      <c r="X22" s="455"/>
      <c r="Y22" s="455"/>
      <c r="Z22" s="455"/>
    </row>
    <row r="23" spans="1:26" ht="15" customHeight="1">
      <c r="A23" s="585" t="s">
        <v>2503</v>
      </c>
      <c r="B23" s="586" t="s">
        <v>2523</v>
      </c>
      <c r="C23" s="561" t="s">
        <v>2534</v>
      </c>
      <c r="D23" s="552" t="s">
        <v>76</v>
      </c>
      <c r="E23" s="553">
        <v>45569</v>
      </c>
      <c r="F23" s="553">
        <v>45572</v>
      </c>
      <c r="G23" s="553"/>
      <c r="H23" s="553">
        <v>45572</v>
      </c>
      <c r="I23" s="555">
        <f ca="1">IF(ISBLANK(H23), NETWORKDAYS(F23, TODAY(),fESTIVOS!$A$1:$A$18), NETWORKDAYS(F23, H23, fESTIVOS!$A$1:$A$18))</f>
        <v>1</v>
      </c>
      <c r="J23" s="553">
        <v>45572</v>
      </c>
      <c r="K23" s="553"/>
      <c r="L23" s="556"/>
      <c r="M23" s="465"/>
      <c r="N23" s="465"/>
      <c r="O23" s="465"/>
      <c r="P23" s="465"/>
      <c r="Q23" s="465"/>
      <c r="R23" s="465"/>
      <c r="S23" s="465"/>
      <c r="T23" s="465"/>
      <c r="U23" s="465"/>
      <c r="V23" s="465"/>
      <c r="W23" s="465"/>
      <c r="X23" s="465"/>
      <c r="Y23" s="465"/>
      <c r="Z23" s="465"/>
    </row>
    <row r="24" spans="1:26" ht="15" customHeight="1">
      <c r="A24" s="552" t="s">
        <v>2352</v>
      </c>
      <c r="B24" s="561" t="s">
        <v>2500</v>
      </c>
      <c r="C24" s="564" t="s">
        <v>2535</v>
      </c>
      <c r="D24" s="552" t="s">
        <v>76</v>
      </c>
      <c r="E24" s="553">
        <v>45568</v>
      </c>
      <c r="F24" s="553">
        <v>45568</v>
      </c>
      <c r="G24" s="553">
        <v>45568</v>
      </c>
      <c r="H24" s="553">
        <v>45568</v>
      </c>
      <c r="I24" s="555">
        <f ca="1">IF(ISBLANK(H24), NETWORKDAYS(F24, TODAY(),fESTIVOS!$A$1:$A$18), NETWORKDAYS(F24, H24, fESTIVOS!$A$1:$A$18))</f>
        <v>1</v>
      </c>
      <c r="J24" s="553"/>
      <c r="K24" s="553"/>
      <c r="L24" s="556" t="s">
        <v>2536</v>
      </c>
      <c r="M24" s="455"/>
      <c r="N24" s="455"/>
      <c r="O24" s="455"/>
      <c r="P24" s="455"/>
      <c r="Q24" s="455"/>
      <c r="R24" s="455"/>
      <c r="S24" s="455"/>
      <c r="T24" s="455"/>
      <c r="U24" s="455"/>
      <c r="V24" s="455"/>
      <c r="W24" s="455"/>
      <c r="X24" s="455"/>
      <c r="Y24" s="455"/>
      <c r="Z24" s="455"/>
    </row>
    <row r="25" spans="1:26" ht="15" customHeight="1">
      <c r="A25" s="587" t="s">
        <v>2255</v>
      </c>
      <c r="B25" s="574" t="s">
        <v>2537</v>
      </c>
      <c r="C25" s="588"/>
      <c r="D25" s="579" t="s">
        <v>250</v>
      </c>
      <c r="E25" s="577">
        <v>45572</v>
      </c>
      <c r="F25" s="577">
        <v>45573</v>
      </c>
      <c r="G25" s="579"/>
      <c r="H25" s="577">
        <v>45573</v>
      </c>
      <c r="I25" s="578">
        <f ca="1">IF(ISBLANK(H25), NETWORKDAYS(F25, TODAY(),fESTIVOS!$A$1:$A$18), NETWORKDAYS(F25, H25, fESTIVOS!$A$1:$A$18))</f>
        <v>1</v>
      </c>
      <c r="J25" s="577"/>
      <c r="K25" s="577">
        <v>45573</v>
      </c>
      <c r="L25" s="580" t="s">
        <v>2538</v>
      </c>
      <c r="M25" s="465"/>
      <c r="N25" s="465"/>
      <c r="O25" s="465"/>
      <c r="P25" s="465"/>
      <c r="Q25" s="465"/>
      <c r="R25" s="465"/>
      <c r="S25" s="465"/>
      <c r="T25" s="465"/>
      <c r="U25" s="465"/>
      <c r="V25" s="465"/>
      <c r="W25" s="465"/>
      <c r="X25" s="465"/>
      <c r="Y25" s="465"/>
      <c r="Z25" s="465"/>
    </row>
    <row r="26" spans="1:26" ht="15" customHeight="1">
      <c r="A26" s="584" t="s">
        <v>2230</v>
      </c>
      <c r="B26" s="569"/>
      <c r="C26" s="551" t="s">
        <v>2539</v>
      </c>
      <c r="D26" s="552" t="s">
        <v>76</v>
      </c>
      <c r="E26" s="553">
        <v>45572</v>
      </c>
      <c r="F26" s="553">
        <v>45572</v>
      </c>
      <c r="G26" s="553"/>
      <c r="H26" s="553">
        <v>45572</v>
      </c>
      <c r="I26" s="555">
        <f ca="1">IF(ISBLANK(H26), NETWORKDAYS(F26, TODAY(),fESTIVOS!$A$1:$A$18), NETWORKDAYS(F26, H26, fESTIVOS!$A$1:$A$18))</f>
        <v>1</v>
      </c>
      <c r="J26" s="553">
        <v>45573</v>
      </c>
      <c r="K26" s="553"/>
      <c r="L26" s="567" t="s">
        <v>2540</v>
      </c>
      <c r="M26" s="455"/>
      <c r="N26" s="455"/>
      <c r="O26" s="455"/>
      <c r="P26" s="455"/>
      <c r="Q26" s="455"/>
      <c r="R26" s="455"/>
      <c r="S26" s="455"/>
      <c r="T26" s="455"/>
      <c r="U26" s="455"/>
      <c r="V26" s="455"/>
      <c r="W26" s="455"/>
      <c r="X26" s="455"/>
      <c r="Y26" s="455"/>
      <c r="Z26" s="455"/>
    </row>
    <row r="27" spans="1:26" ht="15" customHeight="1">
      <c r="A27" s="589" t="s">
        <v>2237</v>
      </c>
      <c r="B27" s="590" t="s">
        <v>2541</v>
      </c>
      <c r="C27" s="591" t="s">
        <v>2542</v>
      </c>
      <c r="D27" s="384" t="s">
        <v>76</v>
      </c>
      <c r="E27" s="383">
        <v>45566</v>
      </c>
      <c r="F27" s="383">
        <v>45568</v>
      </c>
      <c r="G27" s="383">
        <v>45568</v>
      </c>
      <c r="H27" s="383">
        <v>45569</v>
      </c>
      <c r="I27" s="385">
        <f ca="1">IF(ISBLANK(H27), NETWORKDAYS(F27, TODAY(),fESTIVOS!$A$1:$A$18), NETWORKDAYS(F27, H27, fESTIVOS!$A$1:$A$18))</f>
        <v>2</v>
      </c>
      <c r="J27" s="383"/>
      <c r="K27" s="383"/>
      <c r="L27" s="386" t="s">
        <v>2543</v>
      </c>
      <c r="M27" s="373"/>
      <c r="N27" s="373"/>
      <c r="O27" s="373"/>
      <c r="P27" s="373"/>
      <c r="Q27" s="373"/>
      <c r="R27" s="373"/>
      <c r="S27" s="373"/>
      <c r="T27" s="373"/>
      <c r="U27" s="373"/>
      <c r="V27" s="373"/>
      <c r="W27" s="373"/>
      <c r="X27" s="373"/>
      <c r="Y27" s="373"/>
      <c r="Z27" s="373"/>
    </row>
    <row r="28" spans="1:26" ht="15" customHeight="1">
      <c r="A28" s="592" t="s">
        <v>2503</v>
      </c>
      <c r="B28" s="593" t="s">
        <v>2544</v>
      </c>
      <c r="C28" s="594"/>
      <c r="D28" s="595" t="s">
        <v>76</v>
      </c>
      <c r="E28" s="596">
        <v>45572</v>
      </c>
      <c r="F28" s="597">
        <v>45573</v>
      </c>
      <c r="G28" s="596"/>
      <c r="H28" s="597">
        <v>45573</v>
      </c>
      <c r="I28" s="598">
        <f ca="1">IF(ISBLANK(H28), NETWORKDAYS(F28, TODAY(),fESTIVOS!$A$1:$A$18), NETWORKDAYS(F28, H28, fESTIVOS!$A$1:$A$18))</f>
        <v>1</v>
      </c>
      <c r="J28" s="596"/>
      <c r="K28" s="596"/>
      <c r="L28" s="599" t="s">
        <v>2545</v>
      </c>
      <c r="M28" s="373"/>
      <c r="N28" s="373"/>
      <c r="O28" s="373"/>
      <c r="P28" s="373"/>
      <c r="Q28" s="373"/>
      <c r="R28" s="373"/>
      <c r="S28" s="373"/>
      <c r="T28" s="373"/>
      <c r="U28" s="373"/>
      <c r="V28" s="373"/>
      <c r="W28" s="373"/>
      <c r="X28" s="373"/>
      <c r="Y28" s="373"/>
      <c r="Z28" s="373"/>
    </row>
    <row r="29" spans="1:26" ht="15" customHeight="1">
      <c r="A29" s="592" t="s">
        <v>2503</v>
      </c>
      <c r="B29" s="600" t="s">
        <v>2523</v>
      </c>
      <c r="C29" s="601" t="s">
        <v>2546</v>
      </c>
      <c r="D29" s="384" t="s">
        <v>504</v>
      </c>
      <c r="E29" s="602">
        <v>45573</v>
      </c>
      <c r="F29" s="602">
        <v>45573</v>
      </c>
      <c r="G29" s="602">
        <v>45573</v>
      </c>
      <c r="H29" s="602">
        <v>45573</v>
      </c>
      <c r="I29" s="385">
        <f ca="1">IF(ISBLANK(H29), NETWORKDAYS(F29, TODAY(),fESTIVOS!$A$1:$A$18), NETWORKDAYS(F29, H29, fESTIVOS!$A$1:$A$18))</f>
        <v>1</v>
      </c>
      <c r="J29" s="602"/>
      <c r="K29" s="602"/>
      <c r="L29" s="603" t="s">
        <v>2547</v>
      </c>
      <c r="M29" s="379"/>
      <c r="N29" s="379"/>
      <c r="O29" s="379"/>
      <c r="P29" s="379"/>
      <c r="Q29" s="379"/>
      <c r="R29" s="379"/>
      <c r="S29" s="379"/>
      <c r="T29" s="379"/>
      <c r="U29" s="379"/>
      <c r="V29" s="379"/>
      <c r="W29" s="379"/>
      <c r="X29" s="379"/>
      <c r="Y29" s="379"/>
      <c r="Z29" s="379"/>
    </row>
    <row r="30" spans="1:26" ht="15.75" customHeight="1">
      <c r="A30" s="604" t="s">
        <v>2245</v>
      </c>
      <c r="B30" s="601"/>
      <c r="C30" s="382" t="s">
        <v>2548</v>
      </c>
      <c r="D30" s="605" t="s">
        <v>2549</v>
      </c>
      <c r="E30" s="383">
        <v>45573</v>
      </c>
      <c r="F30" s="383">
        <v>45573</v>
      </c>
      <c r="G30" s="383"/>
      <c r="H30" s="383"/>
      <c r="I30" s="385"/>
      <c r="J30" s="383"/>
      <c r="K30" s="383"/>
      <c r="L30" s="606" t="s">
        <v>2550</v>
      </c>
      <c r="M30" s="373"/>
      <c r="N30" s="373"/>
      <c r="O30" s="373"/>
      <c r="P30" s="373"/>
      <c r="Q30" s="373"/>
      <c r="R30" s="373"/>
      <c r="S30" s="373"/>
      <c r="T30" s="373"/>
      <c r="U30" s="373"/>
      <c r="V30" s="373"/>
      <c r="W30" s="373"/>
      <c r="X30" s="373"/>
      <c r="Y30" s="373"/>
      <c r="Z30" s="373"/>
    </row>
    <row r="31" spans="1:26" ht="15.75" customHeight="1">
      <c r="A31" s="589" t="s">
        <v>2255</v>
      </c>
      <c r="B31" s="607" t="s">
        <v>2551</v>
      </c>
      <c r="C31" s="591"/>
      <c r="D31" s="384" t="s">
        <v>76</v>
      </c>
      <c r="E31" s="383">
        <v>45574</v>
      </c>
      <c r="F31" s="383">
        <v>45574</v>
      </c>
      <c r="G31" s="383"/>
      <c r="H31" s="383">
        <v>45574</v>
      </c>
      <c r="I31" s="385">
        <f ca="1">IF(ISBLANK(H31), NETWORKDAYS(F31, TODAY(),fESTIVOS!$A$1:$A$18), NETWORKDAYS(F31, H31, fESTIVOS!$A$1:$A$18))</f>
        <v>1</v>
      </c>
      <c r="J31" s="383">
        <v>45574</v>
      </c>
      <c r="K31" s="383">
        <v>45574</v>
      </c>
      <c r="L31" s="386" t="s">
        <v>2552</v>
      </c>
      <c r="M31" s="608"/>
      <c r="N31" s="373"/>
      <c r="O31" s="373"/>
      <c r="P31" s="373"/>
      <c r="Q31" s="373"/>
      <c r="R31" s="373"/>
      <c r="S31" s="373"/>
      <c r="T31" s="373"/>
      <c r="U31" s="373"/>
      <c r="V31" s="373"/>
      <c r="W31" s="373"/>
      <c r="X31" s="373"/>
      <c r="Y31" s="373"/>
      <c r="Z31" s="373"/>
    </row>
    <row r="32" spans="1:26" ht="15.75" customHeight="1">
      <c r="A32" s="589" t="s">
        <v>2255</v>
      </c>
      <c r="B32" s="601" t="s">
        <v>2553</v>
      </c>
      <c r="C32" s="591"/>
      <c r="D32" s="384" t="s">
        <v>76</v>
      </c>
      <c r="E32" s="383">
        <v>45574</v>
      </c>
      <c r="F32" s="383">
        <v>45574</v>
      </c>
      <c r="G32" s="383"/>
      <c r="H32" s="383">
        <v>45574</v>
      </c>
      <c r="I32" s="385">
        <f ca="1">IF(ISBLANK(H32), NETWORKDAYS(F32, TODAY(),fESTIVOS!$A$1:$A$18), NETWORKDAYS(F32, H32, fESTIVOS!$A$1:$A$18))</f>
        <v>1</v>
      </c>
      <c r="J32" s="383">
        <v>45574</v>
      </c>
      <c r="K32" s="383">
        <v>45574</v>
      </c>
      <c r="L32" s="386" t="s">
        <v>2554</v>
      </c>
      <c r="M32" s="609" t="s">
        <v>2555</v>
      </c>
      <c r="N32" s="373"/>
      <c r="O32" s="373"/>
      <c r="P32" s="373"/>
      <c r="Q32" s="373"/>
      <c r="R32" s="373"/>
      <c r="S32" s="373"/>
      <c r="T32" s="373"/>
      <c r="U32" s="373"/>
      <c r="V32" s="373"/>
      <c r="W32" s="373"/>
      <c r="X32" s="373"/>
      <c r="Y32" s="373"/>
      <c r="Z32" s="373"/>
    </row>
    <row r="33" spans="1:26" ht="15.75" customHeight="1">
      <c r="A33" s="589" t="s">
        <v>2255</v>
      </c>
      <c r="B33" s="610" t="s">
        <v>2556</v>
      </c>
      <c r="C33" s="382" t="s">
        <v>2557</v>
      </c>
      <c r="D33" s="384" t="s">
        <v>76</v>
      </c>
      <c r="E33" s="383">
        <v>45572</v>
      </c>
      <c r="F33" s="383">
        <v>45572</v>
      </c>
      <c r="G33" s="383"/>
      <c r="H33" s="383">
        <v>45572</v>
      </c>
      <c r="I33" s="385">
        <f ca="1">IF(ISBLANK(H33), NETWORKDAYS(F33, TODAY(),fESTIVOS!$A$1:$A$18), NETWORKDAYS(F33, H33, fESTIVOS!$A$1:$A$18))</f>
        <v>1</v>
      </c>
      <c r="J33" s="383">
        <v>45574</v>
      </c>
      <c r="K33" s="383">
        <v>45574</v>
      </c>
      <c r="L33" s="386" t="s">
        <v>2558</v>
      </c>
      <c r="M33" s="609" t="s">
        <v>2559</v>
      </c>
      <c r="N33" s="373"/>
      <c r="O33" s="373"/>
      <c r="P33" s="373"/>
      <c r="Q33" s="373"/>
      <c r="R33" s="373"/>
      <c r="S33" s="373"/>
      <c r="T33" s="373"/>
      <c r="U33" s="373"/>
      <c r="V33" s="373"/>
      <c r="W33" s="373"/>
      <c r="X33" s="373"/>
      <c r="Y33" s="373"/>
      <c r="Z33" s="373"/>
    </row>
    <row r="34" spans="1:26" ht="15.75" customHeight="1">
      <c r="A34" s="589" t="s">
        <v>2255</v>
      </c>
      <c r="B34" s="611" t="s">
        <v>2560</v>
      </c>
      <c r="C34" s="382" t="s">
        <v>2561</v>
      </c>
      <c r="D34" s="384" t="s">
        <v>76</v>
      </c>
      <c r="E34" s="383">
        <v>45567</v>
      </c>
      <c r="F34" s="383">
        <v>45567</v>
      </c>
      <c r="G34" s="383">
        <v>45569</v>
      </c>
      <c r="H34" s="383">
        <v>45568</v>
      </c>
      <c r="I34" s="385">
        <f ca="1">IF(ISBLANK(H34), NETWORKDAYS(F34, TODAY(),fESTIVOS!$A$1:$A$18), NETWORKDAYS(F34, H34, fESTIVOS!$A$1:$A$18))</f>
        <v>2</v>
      </c>
      <c r="J34" s="383">
        <v>45569</v>
      </c>
      <c r="K34" s="383"/>
      <c r="L34" s="386" t="s">
        <v>2562</v>
      </c>
      <c r="M34" s="608"/>
      <c r="N34" s="373"/>
      <c r="O34" s="373"/>
      <c r="P34" s="373"/>
      <c r="Q34" s="373"/>
      <c r="R34" s="373"/>
      <c r="S34" s="373"/>
      <c r="T34" s="373"/>
      <c r="U34" s="373"/>
      <c r="V34" s="373"/>
      <c r="W34" s="373"/>
      <c r="X34" s="373"/>
      <c r="Y34" s="373"/>
      <c r="Z34" s="373"/>
    </row>
    <row r="35" spans="1:26" ht="15.75" customHeight="1">
      <c r="A35" s="612" t="s">
        <v>2255</v>
      </c>
      <c r="B35" s="613"/>
      <c r="C35" s="614" t="s">
        <v>2563</v>
      </c>
      <c r="D35" s="615" t="s">
        <v>76</v>
      </c>
      <c r="E35" s="616">
        <v>45567</v>
      </c>
      <c r="F35" s="616">
        <v>45567</v>
      </c>
      <c r="G35" s="616">
        <v>45569</v>
      </c>
      <c r="H35" s="616">
        <v>45568</v>
      </c>
      <c r="I35" s="617">
        <f ca="1">IF(ISBLANK(H35), NETWORKDAYS(F35, TODAY(),fESTIVOS!$A$1:$A$18), NETWORKDAYS(F35, H35, fESTIVOS!$A$1:$A$18))</f>
        <v>2</v>
      </c>
      <c r="J35" s="616">
        <v>45569</v>
      </c>
      <c r="K35" s="616"/>
      <c r="L35" s="618" t="s">
        <v>2564</v>
      </c>
      <c r="M35" s="608"/>
      <c r="N35" s="373"/>
      <c r="O35" s="373"/>
      <c r="P35" s="373"/>
      <c r="Q35" s="373"/>
      <c r="R35" s="373"/>
      <c r="S35" s="373"/>
      <c r="T35" s="373"/>
      <c r="U35" s="373"/>
      <c r="V35" s="373"/>
      <c r="W35" s="373"/>
      <c r="X35" s="373"/>
      <c r="Y35" s="373"/>
      <c r="Z35" s="373"/>
    </row>
    <row r="36" spans="1:26" ht="15.75" customHeight="1">
      <c r="A36" s="589" t="s">
        <v>2255</v>
      </c>
      <c r="B36" s="372" t="s">
        <v>2491</v>
      </c>
      <c r="C36" s="591" t="s">
        <v>2565</v>
      </c>
      <c r="D36" s="384" t="s">
        <v>76</v>
      </c>
      <c r="E36" s="383">
        <v>45567</v>
      </c>
      <c r="F36" s="383">
        <v>45567</v>
      </c>
      <c r="G36" s="383">
        <v>45569</v>
      </c>
      <c r="H36" s="383">
        <v>45569</v>
      </c>
      <c r="I36" s="385">
        <f ca="1">IF(ISBLANK(H36), NETWORKDAYS(F36, TODAY(),fESTIVOS!$A$1:$A$18), NETWORKDAYS(F36, H36, fESTIVOS!$A$1:$A$18))</f>
        <v>3</v>
      </c>
      <c r="J36" s="383">
        <v>45569</v>
      </c>
      <c r="K36" s="383"/>
      <c r="L36" s="386" t="s">
        <v>2564</v>
      </c>
      <c r="M36" s="608"/>
      <c r="N36" s="373"/>
      <c r="O36" s="373"/>
      <c r="P36" s="373"/>
      <c r="Q36" s="373"/>
      <c r="R36" s="373"/>
      <c r="S36" s="373"/>
      <c r="T36" s="373"/>
      <c r="U36" s="373"/>
      <c r="V36" s="373"/>
      <c r="W36" s="373"/>
      <c r="X36" s="373"/>
      <c r="Y36" s="373"/>
      <c r="Z36" s="373"/>
    </row>
    <row r="37" spans="1:26" ht="15.75" customHeight="1">
      <c r="A37" s="592" t="s">
        <v>2503</v>
      </c>
      <c r="B37" s="619" t="s">
        <v>2523</v>
      </c>
      <c r="C37" s="620" t="s">
        <v>2566</v>
      </c>
      <c r="D37" s="621" t="s">
        <v>76</v>
      </c>
      <c r="E37" s="622">
        <v>45572</v>
      </c>
      <c r="F37" s="622">
        <v>45572</v>
      </c>
      <c r="G37" s="597"/>
      <c r="H37" s="622">
        <v>45574</v>
      </c>
      <c r="I37" s="598">
        <f ca="1">IF(ISBLANK(H37), NETWORKDAYS(F37, TODAY(),fESTIVOS!$A$1:$A$18), NETWORKDAYS(F37, H37, fESTIVOS!$A$1:$A$18))</f>
        <v>3</v>
      </c>
      <c r="J37" s="622">
        <v>45574</v>
      </c>
      <c r="K37" s="597"/>
      <c r="L37" s="623" t="s">
        <v>2567</v>
      </c>
      <c r="M37" s="379"/>
      <c r="N37" s="379"/>
      <c r="O37" s="379"/>
      <c r="P37" s="379"/>
      <c r="Q37" s="379"/>
      <c r="R37" s="379"/>
      <c r="S37" s="379"/>
      <c r="T37" s="379"/>
      <c r="U37" s="379"/>
      <c r="V37" s="379"/>
      <c r="W37" s="379"/>
      <c r="X37" s="379"/>
      <c r="Y37" s="379"/>
      <c r="Z37" s="379"/>
    </row>
    <row r="38" spans="1:26" ht="15.75" customHeight="1">
      <c r="A38" s="624" t="s">
        <v>2503</v>
      </c>
      <c r="B38" s="619" t="s">
        <v>2523</v>
      </c>
      <c r="C38" s="594" t="s">
        <v>2568</v>
      </c>
      <c r="D38" s="615" t="s">
        <v>76</v>
      </c>
      <c r="E38" s="378">
        <v>45572</v>
      </c>
      <c r="F38" s="378">
        <v>45572</v>
      </c>
      <c r="G38" s="378">
        <v>45573</v>
      </c>
      <c r="H38" s="378">
        <v>45575</v>
      </c>
      <c r="I38" s="617">
        <f ca="1">IF(ISBLANK(H38), NETWORKDAYS(F38, TODAY(),fESTIVOS!$A$1:$A$18), NETWORKDAYS(F38, H38, fESTIVOS!$A$1:$A$18))</f>
        <v>4</v>
      </c>
      <c r="J38" s="625"/>
      <c r="K38" s="625"/>
      <c r="L38" s="626" t="s">
        <v>2569</v>
      </c>
      <c r="M38" s="379"/>
      <c r="N38" s="379"/>
      <c r="O38" s="379"/>
      <c r="P38" s="379"/>
      <c r="Q38" s="379"/>
      <c r="R38" s="379"/>
      <c r="S38" s="379"/>
      <c r="T38" s="379"/>
      <c r="U38" s="379"/>
      <c r="V38" s="379"/>
      <c r="W38" s="379"/>
      <c r="X38" s="379"/>
      <c r="Y38" s="379"/>
      <c r="Z38" s="379"/>
    </row>
    <row r="39" spans="1:26" ht="15.75" customHeight="1">
      <c r="A39" s="627" t="s">
        <v>2245</v>
      </c>
      <c r="B39" s="381" t="s">
        <v>2570</v>
      </c>
      <c r="C39" s="591" t="s">
        <v>2571</v>
      </c>
      <c r="D39" s="384" t="s">
        <v>76</v>
      </c>
      <c r="E39" s="383">
        <v>45574</v>
      </c>
      <c r="F39" s="383">
        <v>45576</v>
      </c>
      <c r="G39" s="383"/>
      <c r="H39" s="383">
        <v>45576</v>
      </c>
      <c r="I39" s="385">
        <f ca="1">IF(ISBLANK(H39), NETWORKDAYS(F39, TODAY(),fESTIVOS!$A$1:$A$18), NETWORKDAYS(F39, H39, fESTIVOS!$A$1:$A$18))</f>
        <v>1</v>
      </c>
      <c r="J39" s="383"/>
      <c r="K39" s="383"/>
      <c r="L39" s="386" t="s">
        <v>2572</v>
      </c>
      <c r="M39" s="373"/>
      <c r="N39" s="373"/>
      <c r="O39" s="373"/>
      <c r="P39" s="373"/>
      <c r="Q39" s="373"/>
      <c r="R39" s="373"/>
      <c r="S39" s="373"/>
      <c r="T39" s="373"/>
      <c r="U39" s="373"/>
      <c r="V39" s="373"/>
      <c r="W39" s="373"/>
      <c r="X39" s="373"/>
      <c r="Y39" s="373"/>
      <c r="Z39" s="373"/>
    </row>
    <row r="40" spans="1:26" ht="15.75" customHeight="1">
      <c r="A40" s="589" t="s">
        <v>2230</v>
      </c>
      <c r="B40" s="381" t="s">
        <v>2234</v>
      </c>
      <c r="C40" s="591" t="s">
        <v>2573</v>
      </c>
      <c r="D40" s="605" t="s">
        <v>76</v>
      </c>
      <c r="E40" s="383">
        <v>45560</v>
      </c>
      <c r="F40" s="383">
        <v>45572</v>
      </c>
      <c r="G40" s="383"/>
      <c r="H40" s="383">
        <v>45573</v>
      </c>
      <c r="I40" s="385">
        <f ca="1">IF(ISBLANK(H40), NETWORKDAYS(F40, TODAY(),fESTIVOS!$A$1:$A$18), NETWORKDAYS(F40, H40, fESTIVOS!$A$1:$A$18))</f>
        <v>2</v>
      </c>
      <c r="J40" s="383">
        <v>45573</v>
      </c>
      <c r="K40" s="383"/>
      <c r="L40" s="606" t="s">
        <v>2574</v>
      </c>
      <c r="M40" s="373"/>
      <c r="N40" s="373"/>
      <c r="O40" s="373"/>
      <c r="P40" s="373"/>
      <c r="Q40" s="373"/>
      <c r="R40" s="373"/>
      <c r="S40" s="373"/>
      <c r="T40" s="373"/>
      <c r="U40" s="373"/>
      <c r="V40" s="373"/>
      <c r="W40" s="373"/>
      <c r="X40" s="373"/>
      <c r="Y40" s="373"/>
      <c r="Z40" s="373"/>
    </row>
    <row r="41" spans="1:26" ht="15.75" customHeight="1">
      <c r="A41" s="589" t="s">
        <v>2230</v>
      </c>
      <c r="B41" s="628" t="s">
        <v>2575</v>
      </c>
      <c r="C41" s="382" t="s">
        <v>2576</v>
      </c>
      <c r="D41" s="629" t="s">
        <v>76</v>
      </c>
      <c r="E41" s="383">
        <v>45575</v>
      </c>
      <c r="F41" s="383">
        <v>45576</v>
      </c>
      <c r="G41" s="383">
        <v>45581</v>
      </c>
      <c r="H41" s="383">
        <v>45576</v>
      </c>
      <c r="I41" s="385">
        <f ca="1">IF(ISBLANK(H41), NETWORKDAYS(F41, TODAY(),fESTIVOS!$A$1:$A$18), NETWORKDAYS(F41, H41, fESTIVOS!$A$1:$A$18))</f>
        <v>1</v>
      </c>
      <c r="J41" s="383">
        <v>45576</v>
      </c>
      <c r="K41" s="383">
        <v>45576</v>
      </c>
      <c r="L41" s="386" t="s">
        <v>2577</v>
      </c>
      <c r="M41" s="373"/>
      <c r="N41" s="373"/>
      <c r="O41" s="373"/>
      <c r="P41" s="373"/>
      <c r="Q41" s="373"/>
      <c r="R41" s="373"/>
      <c r="S41" s="373"/>
      <c r="T41" s="373"/>
      <c r="U41" s="373"/>
      <c r="V41" s="373"/>
      <c r="W41" s="373"/>
      <c r="X41" s="373"/>
      <c r="Y41" s="373"/>
      <c r="Z41" s="373"/>
    </row>
    <row r="42" spans="1:26" ht="15.75" customHeight="1">
      <c r="A42" s="592" t="s">
        <v>2503</v>
      </c>
      <c r="B42" s="630" t="s">
        <v>2578</v>
      </c>
      <c r="C42" s="631"/>
      <c r="D42" s="632" t="s">
        <v>2579</v>
      </c>
      <c r="E42" s="597">
        <v>45573</v>
      </c>
      <c r="F42" s="597">
        <v>45574</v>
      </c>
      <c r="G42" s="631"/>
      <c r="H42" s="597">
        <v>45574</v>
      </c>
      <c r="I42" s="598">
        <f ca="1">IF(ISBLANK(H42), NETWORKDAYS(F42, TODAY(),fESTIVOS!$A$1:$A$18), NETWORKDAYS(F42, H42, fESTIVOS!$A$1:$A$18))</f>
        <v>1</v>
      </c>
      <c r="J42" s="597">
        <v>45574</v>
      </c>
      <c r="K42" s="597">
        <v>45575</v>
      </c>
      <c r="L42" s="633" t="s">
        <v>2580</v>
      </c>
      <c r="M42" s="379"/>
      <c r="N42" s="379"/>
      <c r="O42" s="379"/>
      <c r="P42" s="379"/>
      <c r="Q42" s="379"/>
      <c r="R42" s="379"/>
      <c r="S42" s="379"/>
      <c r="T42" s="379"/>
      <c r="U42" s="379"/>
      <c r="V42" s="379"/>
      <c r="W42" s="379"/>
      <c r="X42" s="379"/>
      <c r="Y42" s="379"/>
      <c r="Z42" s="379"/>
    </row>
    <row r="43" spans="1:26" ht="15.75" customHeight="1">
      <c r="A43" s="634" t="s">
        <v>2245</v>
      </c>
      <c r="B43" s="635" t="s">
        <v>2570</v>
      </c>
      <c r="C43" s="636" t="s">
        <v>2581</v>
      </c>
      <c r="D43" s="637" t="s">
        <v>76</v>
      </c>
      <c r="E43" s="415">
        <v>45576</v>
      </c>
      <c r="F43" s="415">
        <v>45576</v>
      </c>
      <c r="G43" s="415"/>
      <c r="H43" s="415">
        <v>45576</v>
      </c>
      <c r="I43" s="393">
        <f ca="1">IF(ISBLANK(H43), NETWORKDAYS(F43, TODAY(),fESTIVOS!$A$1:$A$18), NETWORKDAYS(F43, H43, fESTIVOS!$A$1:$A$18))</f>
        <v>1</v>
      </c>
      <c r="J43" s="415">
        <v>45580</v>
      </c>
      <c r="K43" s="415"/>
      <c r="L43" s="638" t="s">
        <v>2582</v>
      </c>
      <c r="M43" s="373"/>
      <c r="N43" s="373"/>
      <c r="O43" s="373"/>
      <c r="P43" s="373"/>
      <c r="Q43" s="373"/>
      <c r="R43" s="373"/>
      <c r="S43" s="373"/>
      <c r="T43" s="373"/>
      <c r="U43" s="373"/>
      <c r="V43" s="373"/>
      <c r="W43" s="373"/>
      <c r="X43" s="373"/>
      <c r="Y43" s="373"/>
      <c r="Z43" s="373"/>
    </row>
    <row r="44" spans="1:26" ht="15.75" customHeight="1">
      <c r="A44" s="634" t="s">
        <v>2245</v>
      </c>
      <c r="B44" s="639" t="s">
        <v>2583</v>
      </c>
      <c r="C44" s="637" t="s">
        <v>2584</v>
      </c>
      <c r="D44" s="390" t="s">
        <v>76</v>
      </c>
      <c r="E44" s="415">
        <v>45561</v>
      </c>
      <c r="F44" s="415">
        <v>45569</v>
      </c>
      <c r="G44" s="415">
        <v>45572</v>
      </c>
      <c r="H44" s="415">
        <v>45572</v>
      </c>
      <c r="I44" s="393">
        <f ca="1">IF(ISBLANK(H44), NETWORKDAYS(F44, TODAY(),fESTIVOS!$A$1:$A$18), NETWORKDAYS(F44, H44, fESTIVOS!$A$1:$A$18))</f>
        <v>2</v>
      </c>
      <c r="J44" s="415">
        <v>45580</v>
      </c>
      <c r="K44" s="415"/>
      <c r="L44" s="638" t="s">
        <v>2585</v>
      </c>
      <c r="M44" s="373"/>
      <c r="N44" s="373"/>
      <c r="O44" s="373"/>
      <c r="P44" s="373"/>
      <c r="Q44" s="373"/>
      <c r="R44" s="373"/>
      <c r="S44" s="373"/>
      <c r="T44" s="373"/>
      <c r="U44" s="373"/>
      <c r="V44" s="373"/>
      <c r="W44" s="373"/>
      <c r="X44" s="373"/>
      <c r="Y44" s="373"/>
      <c r="Z44" s="373"/>
    </row>
    <row r="45" spans="1:26" ht="15.75" customHeight="1">
      <c r="A45" s="627" t="s">
        <v>2503</v>
      </c>
      <c r="B45" s="640" t="s">
        <v>2523</v>
      </c>
      <c r="C45" s="382" t="s">
        <v>2586</v>
      </c>
      <c r="D45" s="384" t="s">
        <v>76</v>
      </c>
      <c r="E45" s="383">
        <v>45576</v>
      </c>
      <c r="F45" s="383">
        <v>45576</v>
      </c>
      <c r="G45" s="383">
        <v>45580</v>
      </c>
      <c r="H45" s="383">
        <v>45576</v>
      </c>
      <c r="I45" s="385">
        <f ca="1">IF(ISBLANK(H45), NETWORKDAYS(F45, TODAY(),fESTIVOS!$A$1:$A$18), NETWORKDAYS(F45, H45, fESTIVOS!$A$1:$A$18))</f>
        <v>1</v>
      </c>
      <c r="J45" s="383">
        <v>45580</v>
      </c>
      <c r="K45" s="383"/>
      <c r="L45" s="386"/>
      <c r="M45" s="608"/>
      <c r="N45" s="373"/>
      <c r="O45" s="373"/>
      <c r="P45" s="373"/>
      <c r="Q45" s="373"/>
      <c r="R45" s="373"/>
      <c r="S45" s="373"/>
      <c r="T45" s="373"/>
      <c r="U45" s="373"/>
      <c r="V45" s="373"/>
      <c r="W45" s="373"/>
      <c r="X45" s="373"/>
      <c r="Y45" s="373"/>
      <c r="Z45" s="373"/>
    </row>
    <row r="46" spans="1:26" ht="15.75" customHeight="1">
      <c r="A46" s="627" t="s">
        <v>2503</v>
      </c>
      <c r="B46" s="640" t="s">
        <v>2523</v>
      </c>
      <c r="C46" s="641" t="s">
        <v>2587</v>
      </c>
      <c r="D46" s="384" t="s">
        <v>76</v>
      </c>
      <c r="E46" s="383">
        <v>45576</v>
      </c>
      <c r="F46" s="383">
        <v>45576</v>
      </c>
      <c r="G46" s="383">
        <v>45580</v>
      </c>
      <c r="H46" s="383">
        <v>45576</v>
      </c>
      <c r="I46" s="385">
        <f ca="1">IF(ISBLANK(H46), NETWORKDAYS(F46, TODAY(),fESTIVOS!$A$1:$A$18), NETWORKDAYS(F46, H46, fESTIVOS!$A$1:$A$18))</f>
        <v>1</v>
      </c>
      <c r="J46" s="602">
        <v>45580</v>
      </c>
      <c r="K46" s="642"/>
      <c r="L46" s="642" t="s">
        <v>2588</v>
      </c>
      <c r="M46" s="643"/>
      <c r="N46" s="379"/>
      <c r="O46" s="379"/>
      <c r="P46" s="379"/>
      <c r="Q46" s="379"/>
      <c r="R46" s="379"/>
      <c r="S46" s="379"/>
      <c r="T46" s="379"/>
      <c r="U46" s="379"/>
      <c r="V46" s="379"/>
      <c r="W46" s="379"/>
      <c r="X46" s="379"/>
      <c r="Y46" s="379"/>
      <c r="Z46" s="379"/>
    </row>
    <row r="47" spans="1:26" ht="15.75" customHeight="1">
      <c r="A47" s="634" t="s">
        <v>2245</v>
      </c>
      <c r="B47" s="635" t="s">
        <v>2589</v>
      </c>
      <c r="C47" s="636" t="s">
        <v>2590</v>
      </c>
      <c r="D47" s="637" t="s">
        <v>76</v>
      </c>
      <c r="E47" s="415">
        <v>45580</v>
      </c>
      <c r="F47" s="415">
        <v>45580</v>
      </c>
      <c r="G47" s="415"/>
      <c r="H47" s="415">
        <v>45580</v>
      </c>
      <c r="I47" s="393">
        <f ca="1">IF(ISBLANK(H47), NETWORKDAYS(F47, TODAY(),fESTIVOS!$A$1:$A$18), NETWORKDAYS(F47, H47, fESTIVOS!$A$1:$A$18))</f>
        <v>1</v>
      </c>
      <c r="J47" s="415">
        <v>45580</v>
      </c>
      <c r="K47" s="415"/>
      <c r="L47" s="638" t="s">
        <v>2591</v>
      </c>
      <c r="M47" s="373"/>
      <c r="N47" s="373"/>
      <c r="O47" s="373"/>
      <c r="P47" s="373"/>
      <c r="Q47" s="373"/>
      <c r="R47" s="373"/>
      <c r="S47" s="373"/>
      <c r="T47" s="373"/>
      <c r="U47" s="373"/>
      <c r="V47" s="373"/>
      <c r="W47" s="373"/>
      <c r="X47" s="373"/>
      <c r="Y47" s="373"/>
      <c r="Z47" s="373"/>
    </row>
    <row r="48" spans="1:26" ht="15.75" customHeight="1">
      <c r="A48" s="627" t="s">
        <v>2503</v>
      </c>
      <c r="B48" s="640" t="s">
        <v>2523</v>
      </c>
      <c r="C48" s="641" t="s">
        <v>2592</v>
      </c>
      <c r="D48" s="384" t="s">
        <v>76</v>
      </c>
      <c r="E48" s="616">
        <v>45576</v>
      </c>
      <c r="F48" s="616">
        <v>45576</v>
      </c>
      <c r="G48" s="616">
        <v>45580</v>
      </c>
      <c r="H48" s="616">
        <v>45576</v>
      </c>
      <c r="I48" s="617">
        <f ca="1">IF(ISBLANK(H48), NETWORKDAYS(F48, TODAY(),fESTIVOS!$A$1:$A$18), NETWORKDAYS(F48, H48, fESTIVOS!$A$1:$A$18))</f>
        <v>1</v>
      </c>
      <c r="J48" s="376"/>
      <c r="K48" s="376"/>
      <c r="L48" s="644" t="s">
        <v>2593</v>
      </c>
      <c r="M48" s="643"/>
      <c r="N48" s="379"/>
      <c r="O48" s="379"/>
      <c r="P48" s="379"/>
      <c r="Q48" s="379"/>
      <c r="R48" s="379"/>
      <c r="S48" s="379"/>
      <c r="T48" s="379"/>
      <c r="U48" s="379"/>
      <c r="V48" s="379"/>
      <c r="W48" s="379"/>
      <c r="X48" s="379"/>
      <c r="Y48" s="379"/>
      <c r="Z48" s="379"/>
    </row>
    <row r="49" spans="1:33" ht="15.75" customHeight="1">
      <c r="A49" s="627" t="s">
        <v>2503</v>
      </c>
      <c r="B49" s="640" t="s">
        <v>2523</v>
      </c>
      <c r="C49" s="645" t="s">
        <v>2594</v>
      </c>
      <c r="D49" s="646" t="s">
        <v>76</v>
      </c>
      <c r="E49" s="383">
        <v>45580</v>
      </c>
      <c r="F49" s="383">
        <v>45580</v>
      </c>
      <c r="G49" s="383"/>
      <c r="H49" s="383">
        <v>45581</v>
      </c>
      <c r="I49" s="385">
        <f ca="1">IF(ISBLANK(H49), NETWORKDAYS(F49, TODAY(),fESTIVOS!$A$1:$A$18), NETWORKDAYS(F49, H49, fESTIVOS!$A$1:$A$18))</f>
        <v>2</v>
      </c>
      <c r="J49" s="642"/>
      <c r="K49" s="642"/>
      <c r="L49" s="642"/>
      <c r="M49" s="643"/>
      <c r="N49" s="379"/>
      <c r="O49" s="379"/>
      <c r="P49" s="379"/>
      <c r="Q49" s="379"/>
      <c r="R49" s="379"/>
      <c r="S49" s="379"/>
      <c r="T49" s="379"/>
      <c r="U49" s="379"/>
      <c r="V49" s="379"/>
      <c r="W49" s="379"/>
      <c r="X49" s="379"/>
      <c r="Y49" s="379"/>
      <c r="Z49" s="379"/>
    </row>
    <row r="50" spans="1:33" ht="15.75" customHeight="1">
      <c r="A50" s="604" t="s">
        <v>2503</v>
      </c>
      <c r="B50" s="600" t="s">
        <v>2523</v>
      </c>
      <c r="C50" s="644" t="s">
        <v>2595</v>
      </c>
      <c r="D50" s="377" t="s">
        <v>76</v>
      </c>
      <c r="E50" s="616">
        <v>45576</v>
      </c>
      <c r="F50" s="616">
        <v>45581</v>
      </c>
      <c r="G50" s="616"/>
      <c r="H50" s="616">
        <v>45582</v>
      </c>
      <c r="I50" s="617">
        <f ca="1">IF(ISBLANK(H50), NETWORKDAYS(F50, TODAY(),fESTIVOS!$A$1:$A$18), NETWORKDAYS(F50, H50, fESTIVOS!$A$1:$A$18))</f>
        <v>2</v>
      </c>
      <c r="J50" s="616">
        <v>45582</v>
      </c>
      <c r="K50" s="376"/>
      <c r="L50" s="376" t="s">
        <v>2596</v>
      </c>
      <c r="M50" s="643"/>
      <c r="N50" s="379"/>
      <c r="O50" s="379"/>
      <c r="P50" s="379"/>
      <c r="Q50" s="379"/>
      <c r="R50" s="379"/>
      <c r="S50" s="379"/>
      <c r="T50" s="379"/>
      <c r="U50" s="379"/>
      <c r="V50" s="379"/>
      <c r="W50" s="379"/>
      <c r="X50" s="379"/>
      <c r="Y50" s="379"/>
      <c r="Z50" s="379"/>
      <c r="AA50" s="418"/>
      <c r="AB50" s="418"/>
      <c r="AC50" s="418"/>
      <c r="AD50" s="418"/>
      <c r="AE50" s="418"/>
      <c r="AF50" s="418"/>
      <c r="AG50" s="418"/>
    </row>
    <row r="51" spans="1:33" ht="15.75" customHeight="1">
      <c r="A51" s="411" t="s">
        <v>2237</v>
      </c>
      <c r="B51" s="639" t="s">
        <v>2570</v>
      </c>
      <c r="C51" s="636" t="s">
        <v>2597</v>
      </c>
      <c r="D51" s="637" t="s">
        <v>76</v>
      </c>
      <c r="E51" s="415">
        <v>45581</v>
      </c>
      <c r="F51" s="415">
        <v>45582</v>
      </c>
      <c r="G51" s="415"/>
      <c r="H51" s="415">
        <v>45583</v>
      </c>
      <c r="I51" s="393">
        <f ca="1">IF(ISBLANK(H51), NETWORKDAYS(F51, TODAY(),fESTIVOS!$A$1:$A$18), NETWORKDAYS(F51, H51, fESTIVOS!$A$1:$A$18))</f>
        <v>2</v>
      </c>
      <c r="J51" s="415"/>
      <c r="K51" s="415"/>
      <c r="L51" s="638" t="s">
        <v>2598</v>
      </c>
      <c r="M51" s="608"/>
      <c r="N51" s="373"/>
      <c r="O51" s="373"/>
      <c r="P51" s="373"/>
      <c r="Q51" s="373"/>
      <c r="R51" s="373"/>
      <c r="S51" s="373"/>
      <c r="T51" s="373"/>
      <c r="U51" s="373"/>
      <c r="V51" s="373"/>
      <c r="W51" s="373"/>
      <c r="X51" s="373"/>
      <c r="Y51" s="373"/>
      <c r="Z51" s="373"/>
    </row>
    <row r="52" spans="1:33" ht="15.75" customHeight="1">
      <c r="A52" s="372" t="s">
        <v>2230</v>
      </c>
      <c r="B52" s="590" t="s">
        <v>2234</v>
      </c>
      <c r="C52" s="647" t="s">
        <v>2599</v>
      </c>
      <c r="D52" s="648" t="s">
        <v>504</v>
      </c>
      <c r="E52" s="649">
        <v>45582</v>
      </c>
      <c r="F52" s="650">
        <v>45582</v>
      </c>
      <c r="G52" s="650"/>
      <c r="H52" s="650">
        <v>45582</v>
      </c>
      <c r="I52" s="598">
        <f ca="1">IF(ISBLANK(H52), NETWORKDAYS(F52, TODAY(),fESTIVOS!$A$1:$A$18), NETWORKDAYS(F52, H52, fESTIVOS!$A$1:$A$18))</f>
        <v>1</v>
      </c>
      <c r="J52" s="650">
        <v>45582</v>
      </c>
      <c r="K52" s="650"/>
      <c r="L52" s="651" t="s">
        <v>2600</v>
      </c>
      <c r="M52" s="373"/>
      <c r="N52" s="373"/>
      <c r="O52" s="373"/>
      <c r="P52" s="373"/>
      <c r="Q52" s="373"/>
      <c r="R52" s="373"/>
      <c r="S52" s="373"/>
      <c r="T52" s="373"/>
      <c r="U52" s="373"/>
      <c r="V52" s="373"/>
      <c r="W52" s="373"/>
      <c r="X52" s="373"/>
      <c r="Y52" s="373"/>
      <c r="Z52" s="373"/>
      <c r="AA52" s="418"/>
      <c r="AB52" s="418"/>
      <c r="AC52" s="418"/>
      <c r="AD52" s="418"/>
      <c r="AE52" s="418"/>
      <c r="AF52" s="418"/>
      <c r="AG52" s="418"/>
    </row>
    <row r="53" spans="1:33" ht="15.75" customHeight="1">
      <c r="A53" s="372" t="s">
        <v>2230</v>
      </c>
      <c r="B53" s="590" t="s">
        <v>2234</v>
      </c>
      <c r="C53" s="647" t="s">
        <v>2601</v>
      </c>
      <c r="D53" s="621" t="s">
        <v>76</v>
      </c>
      <c r="E53" s="652">
        <v>45560</v>
      </c>
      <c r="F53" s="653">
        <v>45572</v>
      </c>
      <c r="G53" s="653"/>
      <c r="H53" s="653">
        <v>45574</v>
      </c>
      <c r="I53" s="598">
        <f ca="1">IF(ISBLANK(H53), NETWORKDAYS(F53, TODAY(),fESTIVOS!$A$1:$A$18), NETWORKDAYS(F53, H53, fESTIVOS!$A$1:$A$18))</f>
        <v>3</v>
      </c>
      <c r="J53" s="650">
        <v>45582</v>
      </c>
      <c r="K53" s="653"/>
      <c r="L53" s="654" t="s">
        <v>2602</v>
      </c>
      <c r="M53" s="373"/>
      <c r="N53" s="373"/>
      <c r="O53" s="373"/>
      <c r="P53" s="373"/>
      <c r="Q53" s="373"/>
      <c r="R53" s="373"/>
      <c r="S53" s="373"/>
      <c r="T53" s="373"/>
      <c r="U53" s="373"/>
      <c r="V53" s="373"/>
      <c r="W53" s="373"/>
      <c r="X53" s="373"/>
      <c r="Y53" s="373"/>
      <c r="Z53" s="373"/>
    </row>
    <row r="54" spans="1:33" ht="15.75" customHeight="1">
      <c r="A54" s="607" t="s">
        <v>2503</v>
      </c>
      <c r="B54" s="381" t="s">
        <v>2523</v>
      </c>
      <c r="C54" s="633" t="s">
        <v>2603</v>
      </c>
      <c r="D54" s="605" t="s">
        <v>76</v>
      </c>
      <c r="E54" s="383">
        <v>45583</v>
      </c>
      <c r="F54" s="655">
        <v>45583</v>
      </c>
      <c r="G54" s="383"/>
      <c r="H54" s="383">
        <v>45586</v>
      </c>
      <c r="I54" s="385">
        <f ca="1">IF(ISBLANK(H54), NETWORKDAYS(F54, TODAY(),fESTIVOS!$A$1:$A$18), NETWORKDAYS(F54, H54, fESTIVOS!$A$1:$A$18))</f>
        <v>2</v>
      </c>
      <c r="J54" s="383">
        <v>45586</v>
      </c>
      <c r="K54" s="642"/>
      <c r="L54" s="642" t="s">
        <v>2604</v>
      </c>
      <c r="M54" s="643"/>
      <c r="N54" s="379"/>
      <c r="O54" s="379"/>
      <c r="P54" s="379"/>
      <c r="Q54" s="379"/>
      <c r="R54" s="379"/>
      <c r="S54" s="379"/>
      <c r="T54" s="379"/>
      <c r="U54" s="379"/>
      <c r="V54" s="379"/>
      <c r="W54" s="379"/>
      <c r="X54" s="379"/>
      <c r="Y54" s="379"/>
      <c r="Z54" s="379"/>
    </row>
    <row r="55" spans="1:33" ht="15.75" customHeight="1">
      <c r="A55" s="610" t="s">
        <v>2503</v>
      </c>
      <c r="B55" s="640" t="s">
        <v>2523</v>
      </c>
      <c r="C55" s="656" t="s">
        <v>2605</v>
      </c>
      <c r="D55" s="377" t="s">
        <v>76</v>
      </c>
      <c r="E55" s="652">
        <v>45583</v>
      </c>
      <c r="F55" s="653">
        <v>45583</v>
      </c>
      <c r="G55" s="653"/>
      <c r="H55" s="653">
        <v>45583</v>
      </c>
      <c r="I55" s="598">
        <f ca="1">IF(ISBLANK(H55), NETWORKDAYS(F55, TODAY(),fESTIVOS!$A$1:$A$18), NETWORKDAYS(F55, H55, fESTIVOS!$A$1:$A$18))</f>
        <v>1</v>
      </c>
      <c r="J55" s="653">
        <v>45583</v>
      </c>
      <c r="K55" s="631"/>
      <c r="L55" s="631"/>
      <c r="M55" s="643"/>
      <c r="N55" s="379"/>
      <c r="O55" s="379"/>
      <c r="P55" s="379"/>
      <c r="Q55" s="379"/>
      <c r="R55" s="379"/>
      <c r="S55" s="379"/>
      <c r="T55" s="379"/>
      <c r="U55" s="379"/>
      <c r="V55" s="379"/>
      <c r="W55" s="379"/>
      <c r="X55" s="379"/>
      <c r="Y55" s="379"/>
      <c r="Z55" s="379"/>
      <c r="AA55" s="418"/>
      <c r="AB55" s="418"/>
      <c r="AC55" s="418"/>
      <c r="AD55" s="418"/>
      <c r="AE55" s="418"/>
      <c r="AF55" s="418"/>
      <c r="AG55" s="418"/>
    </row>
    <row r="56" spans="1:33" ht="15.75" customHeight="1">
      <c r="A56" s="607" t="s">
        <v>2503</v>
      </c>
      <c r="B56" s="381" t="s">
        <v>2523</v>
      </c>
      <c r="C56" s="403" t="s">
        <v>2606</v>
      </c>
      <c r="D56" s="605" t="s">
        <v>76</v>
      </c>
      <c r="E56" s="652">
        <v>45586</v>
      </c>
      <c r="F56" s="652">
        <v>45586</v>
      </c>
      <c r="G56" s="653"/>
      <c r="H56" s="653">
        <v>45587</v>
      </c>
      <c r="I56" s="598">
        <f ca="1">IF(ISBLANK(H56), NETWORKDAYS(F56, TODAY(),fESTIVOS!$A$1:$A$18), NETWORKDAYS(F56, H56, fESTIVOS!$A$1:$A$18))</f>
        <v>2</v>
      </c>
      <c r="J56" s="653">
        <v>45587</v>
      </c>
      <c r="K56" s="631"/>
      <c r="L56" s="633" t="s">
        <v>2607</v>
      </c>
      <c r="M56" s="643"/>
      <c r="N56" s="379"/>
      <c r="O56" s="379"/>
      <c r="P56" s="379"/>
      <c r="Q56" s="379"/>
      <c r="R56" s="379"/>
      <c r="S56" s="379"/>
      <c r="T56" s="379"/>
      <c r="U56" s="379"/>
      <c r="V56" s="379"/>
      <c r="W56" s="379"/>
      <c r="X56" s="379"/>
      <c r="Y56" s="379"/>
      <c r="Z56" s="379"/>
      <c r="AA56" s="418"/>
      <c r="AB56" s="418"/>
      <c r="AC56" s="418"/>
      <c r="AD56" s="418"/>
      <c r="AE56" s="418"/>
      <c r="AF56" s="418"/>
      <c r="AG56" s="418"/>
    </row>
    <row r="57" spans="1:33" ht="15.75" customHeight="1">
      <c r="A57" s="607" t="s">
        <v>2503</v>
      </c>
      <c r="B57" s="640" t="s">
        <v>2523</v>
      </c>
      <c r="C57" s="657" t="s">
        <v>2608</v>
      </c>
      <c r="D57" s="605" t="s">
        <v>76</v>
      </c>
      <c r="E57" s="652">
        <v>45586</v>
      </c>
      <c r="F57" s="652">
        <v>45587</v>
      </c>
      <c r="G57" s="653"/>
      <c r="H57" s="653">
        <v>45587</v>
      </c>
      <c r="I57" s="598">
        <f ca="1">IF(ISBLANK(H57), NETWORKDAYS(F57, TODAY(),fESTIVOS!$A$1:$A$18), NETWORKDAYS(F57, H57, fESTIVOS!$A$1:$A$18))</f>
        <v>1</v>
      </c>
      <c r="J57" s="653">
        <v>45587</v>
      </c>
      <c r="K57" s="631"/>
      <c r="L57" s="631" t="s">
        <v>2609</v>
      </c>
      <c r="M57" s="643"/>
      <c r="N57" s="379"/>
      <c r="O57" s="379"/>
      <c r="P57" s="379"/>
      <c r="Q57" s="379"/>
      <c r="R57" s="379"/>
      <c r="S57" s="379"/>
      <c r="T57" s="379"/>
      <c r="U57" s="379"/>
      <c r="V57" s="379"/>
      <c r="W57" s="379"/>
      <c r="X57" s="379"/>
      <c r="Y57" s="379"/>
      <c r="Z57" s="379"/>
      <c r="AA57" s="418"/>
      <c r="AB57" s="418"/>
      <c r="AC57" s="418"/>
      <c r="AD57" s="418"/>
      <c r="AE57" s="418"/>
      <c r="AF57" s="418"/>
      <c r="AG57" s="418"/>
    </row>
    <row r="58" spans="1:33" ht="15.75" customHeight="1">
      <c r="A58" s="634" t="s">
        <v>2245</v>
      </c>
      <c r="B58" s="635" t="s">
        <v>2570</v>
      </c>
      <c r="C58" s="636" t="s">
        <v>2610</v>
      </c>
      <c r="D58" s="637" t="s">
        <v>76</v>
      </c>
      <c r="E58" s="415">
        <v>45561</v>
      </c>
      <c r="F58" s="415">
        <v>45572</v>
      </c>
      <c r="G58" s="415"/>
      <c r="H58" s="415">
        <v>45587</v>
      </c>
      <c r="I58" s="393">
        <f ca="1">IF(ISBLANK(H58), NETWORKDAYS(F58, TODAY(),fESTIVOS!$A$1:$A$18), NETWORKDAYS(F58, H58, fESTIVOS!$A$1:$A$18))</f>
        <v>11</v>
      </c>
      <c r="J58" s="415">
        <v>45587</v>
      </c>
      <c r="K58" s="415"/>
      <c r="L58" s="638" t="s">
        <v>2611</v>
      </c>
      <c r="M58" s="373"/>
      <c r="N58" s="373"/>
      <c r="O58" s="373"/>
      <c r="P58" s="373"/>
      <c r="Q58" s="373"/>
      <c r="R58" s="373"/>
      <c r="S58" s="373"/>
      <c r="T58" s="373"/>
      <c r="U58" s="373"/>
      <c r="V58" s="373"/>
      <c r="W58" s="373"/>
      <c r="X58" s="373"/>
      <c r="Y58" s="373"/>
      <c r="Z58" s="373"/>
    </row>
    <row r="59" spans="1:33" ht="15.75" customHeight="1">
      <c r="A59" s="604" t="s">
        <v>2230</v>
      </c>
      <c r="B59" s="594" t="s">
        <v>2612</v>
      </c>
      <c r="C59" s="658" t="s">
        <v>2613</v>
      </c>
      <c r="D59" s="595" t="s">
        <v>76</v>
      </c>
      <c r="E59" s="596">
        <v>45576</v>
      </c>
      <c r="F59" s="596">
        <v>45576</v>
      </c>
      <c r="G59" s="596"/>
      <c r="H59" s="596">
        <v>45576</v>
      </c>
      <c r="I59" s="659">
        <f ca="1">IF(ISBLANK(H59), NETWORKDAYS(F59, TODAY(),fESTIVOS!$A$1:$A$18), NETWORKDAYS(F59, H59, fESTIVOS!$A$1:$A$18))</f>
        <v>1</v>
      </c>
      <c r="J59" s="596">
        <v>45576</v>
      </c>
      <c r="K59" s="596">
        <v>45587</v>
      </c>
      <c r="L59" s="660" t="s">
        <v>2614</v>
      </c>
      <c r="M59" s="373"/>
      <c r="N59" s="373"/>
      <c r="O59" s="373"/>
      <c r="P59" s="373"/>
      <c r="Q59" s="373"/>
      <c r="R59" s="373"/>
      <c r="S59" s="373"/>
      <c r="T59" s="373"/>
      <c r="U59" s="373"/>
      <c r="V59" s="373"/>
      <c r="W59" s="373"/>
      <c r="X59" s="373"/>
      <c r="Y59" s="373"/>
      <c r="Z59" s="373"/>
    </row>
    <row r="60" spans="1:33" ht="15.75" customHeight="1">
      <c r="A60" s="634" t="s">
        <v>2245</v>
      </c>
      <c r="B60" s="634" t="s">
        <v>2615</v>
      </c>
      <c r="C60" s="634" t="s">
        <v>2616</v>
      </c>
      <c r="D60" s="634" t="s">
        <v>76</v>
      </c>
      <c r="E60" s="661">
        <v>45587</v>
      </c>
      <c r="F60" s="661">
        <v>45588</v>
      </c>
      <c r="G60" s="634"/>
      <c r="H60" s="661">
        <v>45588</v>
      </c>
      <c r="I60" s="393">
        <f ca="1">IF(ISBLANK(H60), NETWORKDAYS(F60, TODAY(),fESTIVOS!$A$1:$A$18), NETWORKDAYS(F60, H60, fESTIVOS!$A$1:$A$18))</f>
        <v>1</v>
      </c>
      <c r="J60" s="634"/>
      <c r="K60" s="634"/>
      <c r="L60" s="662" t="s">
        <v>2617</v>
      </c>
      <c r="M60" s="663"/>
      <c r="N60" s="663"/>
      <c r="O60" s="663"/>
      <c r="P60" s="663"/>
      <c r="Q60" s="663"/>
      <c r="R60" s="663"/>
      <c r="S60" s="663"/>
      <c r="T60" s="663"/>
      <c r="U60" s="663"/>
      <c r="V60" s="663"/>
      <c r="W60" s="663"/>
      <c r="X60" s="663"/>
      <c r="Y60" s="663"/>
      <c r="Z60" s="663"/>
      <c r="AA60" s="663"/>
      <c r="AB60" s="663"/>
      <c r="AC60" s="663"/>
      <c r="AD60" s="663"/>
      <c r="AE60" s="663"/>
      <c r="AF60" s="663"/>
      <c r="AG60" s="663"/>
    </row>
    <row r="61" spans="1:33" ht="15.75" customHeight="1">
      <c r="A61" s="634" t="s">
        <v>2245</v>
      </c>
      <c r="B61" s="634" t="s">
        <v>2615</v>
      </c>
      <c r="C61" s="634" t="s">
        <v>2618</v>
      </c>
      <c r="D61" s="634" t="s">
        <v>76</v>
      </c>
      <c r="E61" s="661">
        <v>45587</v>
      </c>
      <c r="F61" s="661">
        <v>45588</v>
      </c>
      <c r="G61" s="634"/>
      <c r="H61" s="661">
        <v>45588</v>
      </c>
      <c r="I61" s="393">
        <f ca="1">IF(ISBLANK(H61), NETWORKDAYS(F61, TODAY(),fESTIVOS!$A$1:$A$18), NETWORKDAYS(F61, H61, fESTIVOS!$A$1:$A$18))</f>
        <v>1</v>
      </c>
      <c r="J61" s="634"/>
      <c r="K61" s="634"/>
      <c r="L61" s="662" t="s">
        <v>2619</v>
      </c>
      <c r="M61" s="663"/>
      <c r="N61" s="663"/>
      <c r="O61" s="663"/>
      <c r="P61" s="663"/>
      <c r="Q61" s="663"/>
      <c r="R61" s="663"/>
      <c r="S61" s="663"/>
      <c r="T61" s="663"/>
      <c r="U61" s="663"/>
      <c r="V61" s="663"/>
      <c r="W61" s="663"/>
      <c r="X61" s="663"/>
      <c r="Y61" s="663"/>
      <c r="Z61" s="663"/>
      <c r="AA61" s="663"/>
      <c r="AB61" s="663"/>
      <c r="AC61" s="663"/>
      <c r="AD61" s="663"/>
      <c r="AE61" s="663"/>
      <c r="AF61" s="663"/>
      <c r="AG61" s="663"/>
    </row>
    <row r="62" spans="1:33" ht="15.75" customHeight="1">
      <c r="A62" s="634" t="s">
        <v>2245</v>
      </c>
      <c r="B62" s="634" t="s">
        <v>2615</v>
      </c>
      <c r="C62" s="634" t="s">
        <v>2620</v>
      </c>
      <c r="D62" s="634" t="s">
        <v>76</v>
      </c>
      <c r="E62" s="661">
        <v>45587</v>
      </c>
      <c r="F62" s="661">
        <v>45588</v>
      </c>
      <c r="G62" s="634"/>
      <c r="H62" s="661">
        <v>45588</v>
      </c>
      <c r="I62" s="393">
        <f ca="1">IF(ISBLANK(H62), NETWORKDAYS(F62, TODAY(),fESTIVOS!$A$1:$A$18), NETWORKDAYS(F62, H62, fESTIVOS!$A$1:$A$18))</f>
        <v>1</v>
      </c>
      <c r="J62" s="634"/>
      <c r="K62" s="634"/>
      <c r="L62" s="662" t="s">
        <v>2621</v>
      </c>
      <c r="M62" s="663"/>
      <c r="N62" s="663"/>
      <c r="O62" s="663"/>
      <c r="P62" s="663"/>
      <c r="Q62" s="663"/>
      <c r="R62" s="663"/>
      <c r="S62" s="663"/>
      <c r="T62" s="663"/>
      <c r="U62" s="663"/>
      <c r="V62" s="663"/>
      <c r="W62" s="663"/>
      <c r="X62" s="663"/>
      <c r="Y62" s="663"/>
      <c r="Z62" s="663"/>
      <c r="AA62" s="663"/>
      <c r="AB62" s="663"/>
      <c r="AC62" s="663"/>
      <c r="AD62" s="663"/>
      <c r="AE62" s="663"/>
      <c r="AF62" s="663"/>
      <c r="AG62" s="663"/>
    </row>
    <row r="63" spans="1:33" ht="15.75" customHeight="1">
      <c r="A63" s="664" t="s">
        <v>2237</v>
      </c>
      <c r="B63" s="665" t="s">
        <v>2622</v>
      </c>
      <c r="C63" s="666" t="s">
        <v>2623</v>
      </c>
      <c r="D63" s="667" t="s">
        <v>2624</v>
      </c>
      <c r="E63" s="668">
        <v>45559</v>
      </c>
      <c r="F63" s="668">
        <v>45576</v>
      </c>
      <c r="G63" s="669"/>
      <c r="H63" s="670">
        <v>45581</v>
      </c>
      <c r="I63" s="671">
        <f ca="1">IF(ISBLANK(H63), NETWORKDAYS(F63, TODAY(),fESTIVOS!$A$1:$A$18), NETWORKDAYS(F63, H63, fESTIVOS!$A$1:$A$18))</f>
        <v>3</v>
      </c>
      <c r="J63" s="670">
        <v>45581</v>
      </c>
      <c r="K63" s="672">
        <v>45583</v>
      </c>
      <c r="L63" s="673" t="s">
        <v>2625</v>
      </c>
      <c r="M63" s="379"/>
      <c r="N63" s="379"/>
      <c r="O63" s="379"/>
      <c r="P63" s="379"/>
      <c r="Q63" s="379"/>
      <c r="R63" s="379"/>
      <c r="S63" s="379"/>
      <c r="T63" s="379"/>
      <c r="U63" s="379"/>
      <c r="V63" s="379"/>
      <c r="W63" s="379"/>
      <c r="X63" s="379"/>
      <c r="Y63" s="379"/>
      <c r="Z63" s="379"/>
    </row>
    <row r="64" spans="1:33" ht="15.75" customHeight="1">
      <c r="A64" s="384" t="s">
        <v>2255</v>
      </c>
      <c r="B64" s="601" t="s">
        <v>2626</v>
      </c>
      <c r="C64" s="591"/>
      <c r="D64" s="562" t="s">
        <v>2627</v>
      </c>
      <c r="E64" s="383">
        <v>45562</v>
      </c>
      <c r="F64" s="383">
        <v>45562</v>
      </c>
      <c r="G64" s="384"/>
      <c r="H64" s="383">
        <v>45566</v>
      </c>
      <c r="I64" s="385">
        <f ca="1">IF(ISBLANK(H64), NETWORKDAYS(F64, TODAY(),fESTIVOS!$A$1:$A$18), NETWORKDAYS(F64, H64, fESTIVOS!$A$1:$A$18))</f>
        <v>3</v>
      </c>
      <c r="J64" s="383">
        <v>45566</v>
      </c>
      <c r="K64" s="383">
        <v>45590</v>
      </c>
      <c r="L64" s="386" t="s">
        <v>2628</v>
      </c>
      <c r="M64" s="373"/>
      <c r="N64" s="373"/>
      <c r="O64" s="373"/>
      <c r="P64" s="373"/>
      <c r="Q64" s="373"/>
      <c r="R64" s="373"/>
      <c r="S64" s="373"/>
      <c r="T64" s="373"/>
      <c r="U64" s="373"/>
      <c r="V64" s="373"/>
      <c r="W64" s="373"/>
      <c r="X64" s="373"/>
      <c r="Y64" s="373"/>
      <c r="Z64" s="373"/>
    </row>
    <row r="65" spans="1:33" ht="15.75" customHeight="1">
      <c r="A65" s="611" t="s">
        <v>2230</v>
      </c>
      <c r="B65" s="590" t="s">
        <v>2234</v>
      </c>
      <c r="C65" s="674" t="s">
        <v>2629</v>
      </c>
      <c r="D65" s="595" t="s">
        <v>76</v>
      </c>
      <c r="E65" s="675">
        <v>45587</v>
      </c>
      <c r="F65" s="596">
        <v>45587</v>
      </c>
      <c r="G65" s="596"/>
      <c r="H65" s="596">
        <v>45589</v>
      </c>
      <c r="I65" s="659">
        <f ca="1">IF(ISBLANK(H65), NETWORKDAYS(F65, TODAY(),fESTIVOS!$A$1:$A$18), NETWORKDAYS(F65, H65, fESTIVOS!$A$1:$A$18))</f>
        <v>3</v>
      </c>
      <c r="J65" s="596">
        <v>45589</v>
      </c>
      <c r="K65" s="596"/>
      <c r="L65" s="599" t="s">
        <v>2630</v>
      </c>
      <c r="M65" s="373"/>
      <c r="N65" s="373"/>
      <c r="O65" s="373"/>
      <c r="P65" s="373"/>
      <c r="Q65" s="373"/>
      <c r="R65" s="373"/>
      <c r="S65" s="373"/>
      <c r="T65" s="373"/>
      <c r="U65" s="373"/>
      <c r="V65" s="373"/>
      <c r="W65" s="373"/>
      <c r="X65" s="373"/>
      <c r="Y65" s="373"/>
      <c r="Z65" s="373"/>
      <c r="AA65" s="418"/>
      <c r="AB65" s="418"/>
      <c r="AC65" s="418"/>
      <c r="AD65" s="418"/>
      <c r="AE65" s="418"/>
      <c r="AF65" s="418"/>
      <c r="AG65" s="418"/>
    </row>
    <row r="66" spans="1:33" ht="15.75" customHeight="1">
      <c r="A66" s="372" t="s">
        <v>2230</v>
      </c>
      <c r="B66" s="381" t="s">
        <v>2242</v>
      </c>
      <c r="C66" s="382" t="s">
        <v>2631</v>
      </c>
      <c r="D66" s="605" t="s">
        <v>2632</v>
      </c>
      <c r="E66" s="383">
        <v>45572</v>
      </c>
      <c r="F66" s="383">
        <v>45574</v>
      </c>
      <c r="G66" s="383"/>
      <c r="H66" s="383">
        <v>45574</v>
      </c>
      <c r="I66" s="385">
        <f ca="1">IF(ISBLANK(H66), NETWORKDAYS(F66, TODAY(),fESTIVOS!$A$1:$A$18), NETWORKDAYS(F66, H66, fESTIVOS!$A$1:$A$18))</f>
        <v>1</v>
      </c>
      <c r="J66" s="383">
        <v>45574</v>
      </c>
      <c r="K66" s="383"/>
      <c r="L66" s="386" t="s">
        <v>2633</v>
      </c>
      <c r="M66" s="373"/>
      <c r="N66" s="373"/>
      <c r="O66" s="373"/>
      <c r="P66" s="373"/>
      <c r="Q66" s="373"/>
      <c r="R66" s="373"/>
      <c r="S66" s="373"/>
      <c r="T66" s="373"/>
      <c r="U66" s="373"/>
      <c r="V66" s="373"/>
      <c r="W66" s="373"/>
      <c r="X66" s="373"/>
      <c r="Y66" s="373"/>
      <c r="Z66" s="373"/>
    </row>
    <row r="67" spans="1:33" ht="15.75" customHeight="1">
      <c r="A67" s="607" t="s">
        <v>2503</v>
      </c>
      <c r="B67" s="381" t="s">
        <v>2634</v>
      </c>
      <c r="C67" s="421" t="s">
        <v>2635</v>
      </c>
      <c r="D67" s="384" t="s">
        <v>76</v>
      </c>
      <c r="E67" s="383">
        <v>45588</v>
      </c>
      <c r="F67" s="655">
        <v>45589</v>
      </c>
      <c r="G67" s="383"/>
      <c r="H67" s="383">
        <v>45589</v>
      </c>
      <c r="I67" s="385">
        <f ca="1">IF(ISBLANK(H67), NETWORKDAYS(F67, TODAY(),fESTIVOS!$A$1:$A$18), NETWORKDAYS(F67, H67, fESTIVOS!$A$1:$A$18))</f>
        <v>1</v>
      </c>
      <c r="J67" s="642"/>
      <c r="K67" s="642"/>
      <c r="L67" s="676" t="s">
        <v>2636</v>
      </c>
      <c r="M67" s="643"/>
      <c r="N67" s="379"/>
      <c r="O67" s="379"/>
      <c r="P67" s="379"/>
      <c r="Q67" s="379"/>
      <c r="R67" s="379"/>
      <c r="S67" s="379"/>
      <c r="T67" s="379"/>
      <c r="U67" s="379"/>
      <c r="V67" s="379"/>
      <c r="W67" s="379"/>
      <c r="X67" s="379"/>
      <c r="Y67" s="379"/>
      <c r="Z67" s="379"/>
      <c r="AA67" s="418"/>
      <c r="AB67" s="418"/>
      <c r="AC67" s="418"/>
      <c r="AD67" s="418"/>
      <c r="AE67" s="418"/>
      <c r="AF67" s="418"/>
      <c r="AG67" s="418"/>
    </row>
    <row r="68" spans="1:33" ht="15.75" customHeight="1">
      <c r="A68" s="612" t="s">
        <v>2637</v>
      </c>
      <c r="B68" s="677" t="s">
        <v>2638</v>
      </c>
      <c r="C68" s="677" t="s">
        <v>2639</v>
      </c>
      <c r="D68" s="615" t="s">
        <v>76</v>
      </c>
      <c r="E68" s="616">
        <v>45568</v>
      </c>
      <c r="F68" s="616">
        <v>45568</v>
      </c>
      <c r="H68" s="616">
        <v>45589</v>
      </c>
      <c r="I68" s="385">
        <f ca="1">IF(ISBLANK(H68), NETWORKDAYS(F68, TODAY(),fESTIVOS!$A$1:$A$18), NETWORKDAYS(F68, H68, fESTIVOS!$A$1:$A$18))</f>
        <v>15</v>
      </c>
      <c r="J68" s="616">
        <v>45589</v>
      </c>
      <c r="K68" s="616"/>
      <c r="L68" s="618" t="s">
        <v>2640</v>
      </c>
      <c r="M68" s="373"/>
      <c r="N68" s="373"/>
      <c r="O68" s="373"/>
      <c r="P68" s="373"/>
      <c r="Q68" s="373"/>
      <c r="R68" s="373"/>
      <c r="S68" s="373"/>
      <c r="T68" s="373"/>
      <c r="U68" s="373"/>
      <c r="V68" s="373"/>
      <c r="W68" s="373"/>
      <c r="X68" s="373"/>
      <c r="Y68" s="373"/>
      <c r="Z68" s="373"/>
    </row>
    <row r="69" spans="1:33" ht="15.75" customHeight="1">
      <c r="A69" s="387" t="s">
        <v>2237</v>
      </c>
      <c r="B69" s="678" t="s">
        <v>2641</v>
      </c>
      <c r="C69" s="390" t="s">
        <v>2642</v>
      </c>
      <c r="D69" s="390" t="s">
        <v>76</v>
      </c>
      <c r="E69" s="415">
        <v>45588</v>
      </c>
      <c r="F69" s="415">
        <v>45588</v>
      </c>
      <c r="G69" s="415">
        <v>45590</v>
      </c>
      <c r="H69" s="415">
        <v>45590</v>
      </c>
      <c r="I69" s="393">
        <f ca="1">IF(ISBLANK(H69), NETWORKDAYS(F69, TODAY(),fESTIVOS!$A$1:$A$18), NETWORKDAYS(F69, H69, fESTIVOS!$A$1:$A$18))</f>
        <v>3</v>
      </c>
      <c r="J69" s="415">
        <v>45590</v>
      </c>
      <c r="K69" s="415"/>
      <c r="L69" s="638" t="s">
        <v>2643</v>
      </c>
      <c r="M69" s="608"/>
      <c r="N69" s="373"/>
      <c r="O69" s="373"/>
      <c r="P69" s="373"/>
      <c r="Q69" s="373"/>
      <c r="R69" s="373"/>
      <c r="S69" s="373"/>
      <c r="T69" s="373"/>
      <c r="U69" s="373"/>
      <c r="V69" s="373"/>
      <c r="W69" s="373"/>
      <c r="X69" s="373"/>
      <c r="Y69" s="373"/>
      <c r="Z69" s="373"/>
      <c r="AA69" s="418"/>
      <c r="AB69" s="418"/>
      <c r="AC69" s="418"/>
      <c r="AD69" s="418"/>
      <c r="AE69" s="418"/>
      <c r="AF69" s="418"/>
      <c r="AG69" s="418"/>
    </row>
    <row r="70" spans="1:33" ht="15.75" customHeight="1">
      <c r="A70" s="387" t="s">
        <v>2237</v>
      </c>
      <c r="B70" s="678" t="s">
        <v>2641</v>
      </c>
      <c r="C70" s="390" t="s">
        <v>2644</v>
      </c>
      <c r="D70" s="390" t="s">
        <v>76</v>
      </c>
      <c r="E70" s="415">
        <v>45588</v>
      </c>
      <c r="F70" s="415">
        <v>45588</v>
      </c>
      <c r="G70" s="415">
        <v>45590</v>
      </c>
      <c r="H70" s="415">
        <v>45590</v>
      </c>
      <c r="I70" s="393">
        <f ca="1">IF(ISBLANK(H70), NETWORKDAYS(F70, TODAY(),fESTIVOS!$A$1:$A$18), NETWORKDAYS(F70, H70, fESTIVOS!$A$1:$A$18))</f>
        <v>3</v>
      </c>
      <c r="J70" s="415">
        <v>45593</v>
      </c>
      <c r="K70" s="415"/>
      <c r="L70" s="638" t="s">
        <v>2645</v>
      </c>
      <c r="M70" s="608"/>
      <c r="N70" s="373"/>
      <c r="O70" s="373"/>
      <c r="P70" s="373"/>
      <c r="Q70" s="373"/>
      <c r="R70" s="373"/>
      <c r="S70" s="373"/>
      <c r="T70" s="373"/>
      <c r="U70" s="373"/>
      <c r="V70" s="373"/>
      <c r="W70" s="373"/>
      <c r="X70" s="373"/>
      <c r="Y70" s="373"/>
      <c r="Z70" s="373"/>
      <c r="AA70" s="418"/>
      <c r="AB70" s="418"/>
      <c r="AC70" s="418"/>
      <c r="AD70" s="418"/>
      <c r="AE70" s="418"/>
      <c r="AF70" s="418"/>
      <c r="AG70" s="418"/>
    </row>
    <row r="71" spans="1:33" ht="15.75" customHeight="1">
      <c r="A71" s="372" t="s">
        <v>2230</v>
      </c>
      <c r="B71" s="590" t="s">
        <v>2234</v>
      </c>
      <c r="C71" s="647" t="s">
        <v>2646</v>
      </c>
      <c r="D71" s="621" t="s">
        <v>76</v>
      </c>
      <c r="E71" s="652">
        <v>45588</v>
      </c>
      <c r="F71" s="652">
        <v>45588</v>
      </c>
      <c r="G71" s="653"/>
      <c r="H71" s="653">
        <v>45589</v>
      </c>
      <c r="I71" s="598">
        <f ca="1">IF(ISBLANK(H71), NETWORKDAYS(F71, TODAY(),fESTIVOS!$A$1:$A$18), NETWORKDAYS(F71, H71, fESTIVOS!$A$1:$A$18))</f>
        <v>2</v>
      </c>
      <c r="J71" s="653">
        <v>45589</v>
      </c>
      <c r="K71" s="653"/>
      <c r="L71" s="654" t="s">
        <v>2647</v>
      </c>
      <c r="M71" s="373"/>
      <c r="N71" s="373"/>
      <c r="O71" s="373"/>
      <c r="P71" s="373"/>
      <c r="Q71" s="373"/>
      <c r="R71" s="373"/>
      <c r="S71" s="373"/>
      <c r="T71" s="373"/>
      <c r="U71" s="373"/>
      <c r="V71" s="373"/>
      <c r="W71" s="373"/>
      <c r="X71" s="373"/>
      <c r="Y71" s="373"/>
      <c r="Z71" s="373"/>
      <c r="AA71" s="418"/>
      <c r="AB71" s="418"/>
      <c r="AC71" s="418"/>
      <c r="AD71" s="418"/>
      <c r="AE71" s="418"/>
      <c r="AF71" s="418"/>
      <c r="AG71" s="418"/>
    </row>
    <row r="72" spans="1:33" ht="15.75" customHeight="1">
      <c r="A72" s="372" t="s">
        <v>2230</v>
      </c>
      <c r="B72" s="590" t="s">
        <v>2234</v>
      </c>
      <c r="C72" s="679" t="s">
        <v>2648</v>
      </c>
      <c r="D72" s="621" t="s">
        <v>76</v>
      </c>
      <c r="E72" s="652">
        <v>45589</v>
      </c>
      <c r="F72" s="653">
        <v>45589</v>
      </c>
      <c r="G72" s="653"/>
      <c r="H72" s="653">
        <v>45590</v>
      </c>
      <c r="I72" s="598">
        <f ca="1">IF(ISBLANK(H72), NETWORKDAYS(F72, TODAY(),fESTIVOS!$A$1:$A$18), NETWORKDAYS(F72, H72, fESTIVOS!$A$1:$A$18))</f>
        <v>2</v>
      </c>
      <c r="J72" s="653">
        <v>45590</v>
      </c>
      <c r="K72" s="653"/>
      <c r="L72" s="654" t="s">
        <v>2649</v>
      </c>
      <c r="M72" s="373"/>
      <c r="N72" s="373"/>
      <c r="O72" s="373"/>
      <c r="P72" s="373"/>
      <c r="Q72" s="373"/>
      <c r="R72" s="373"/>
      <c r="S72" s="373"/>
      <c r="T72" s="373"/>
      <c r="U72" s="373"/>
      <c r="V72" s="373"/>
      <c r="W72" s="373"/>
      <c r="X72" s="373"/>
      <c r="Y72" s="373"/>
      <c r="Z72" s="373"/>
      <c r="AA72" s="418"/>
      <c r="AB72" s="418"/>
      <c r="AC72" s="418"/>
      <c r="AD72" s="418"/>
      <c r="AE72" s="418"/>
      <c r="AF72" s="418"/>
      <c r="AG72" s="418"/>
    </row>
    <row r="73" spans="1:33" ht="15.75" customHeight="1">
      <c r="A73" s="372" t="s">
        <v>2230</v>
      </c>
      <c r="B73" s="590" t="s">
        <v>2242</v>
      </c>
      <c r="C73" s="680" t="s">
        <v>2650</v>
      </c>
      <c r="D73" s="605" t="s">
        <v>76</v>
      </c>
      <c r="E73" s="383">
        <v>45572</v>
      </c>
      <c r="F73" s="383">
        <v>45574</v>
      </c>
      <c r="G73" s="681"/>
      <c r="H73" s="383">
        <v>45574</v>
      </c>
      <c r="I73" s="385">
        <f ca="1">IF(ISBLANK(H73), NETWORKDAYS(F73, TODAY(),fESTIVOS!$A$1:$A$18), NETWORKDAYS(F73, H73, fESTIVOS!$A$1:$A$18))</f>
        <v>1</v>
      </c>
      <c r="J73" s="383"/>
      <c r="K73" s="383"/>
      <c r="L73" s="386" t="s">
        <v>2651</v>
      </c>
      <c r="M73" s="373"/>
      <c r="N73" s="373"/>
      <c r="O73" s="373"/>
      <c r="P73" s="373"/>
      <c r="Q73" s="373"/>
      <c r="R73" s="373"/>
      <c r="S73" s="373"/>
      <c r="T73" s="373"/>
      <c r="U73" s="373"/>
      <c r="V73" s="373"/>
      <c r="W73" s="373"/>
      <c r="X73" s="373"/>
      <c r="Y73" s="373"/>
      <c r="Z73" s="373"/>
    </row>
    <row r="74" spans="1:33" ht="15.75" customHeight="1">
      <c r="A74" s="634" t="s">
        <v>2245</v>
      </c>
      <c r="B74" s="635" t="s">
        <v>2570</v>
      </c>
      <c r="C74" s="414" t="s">
        <v>2652</v>
      </c>
      <c r="D74" s="390" t="s">
        <v>76</v>
      </c>
      <c r="E74" s="415">
        <v>45576</v>
      </c>
      <c r="F74" s="415">
        <v>45579</v>
      </c>
      <c r="G74" s="415"/>
      <c r="H74" s="415">
        <v>45590</v>
      </c>
      <c r="I74" s="393">
        <f ca="1">IF(ISBLANK(H74), NETWORKDAYS(F74, TODAY(),fESTIVOS!$A$1:$A$18), NETWORKDAYS(F74, H74, fESTIVOS!$A$1:$A$18))</f>
        <v>9</v>
      </c>
      <c r="J74" s="415">
        <v>45590</v>
      </c>
      <c r="K74" s="415"/>
      <c r="L74" s="638" t="s">
        <v>2653</v>
      </c>
      <c r="M74" s="373"/>
      <c r="N74" s="373"/>
      <c r="O74" s="373"/>
      <c r="P74" s="373"/>
      <c r="Q74" s="373"/>
      <c r="R74" s="373"/>
      <c r="S74" s="373"/>
      <c r="T74" s="373"/>
      <c r="U74" s="373"/>
      <c r="V74" s="373"/>
      <c r="W74" s="373"/>
      <c r="X74" s="373"/>
      <c r="Y74" s="373"/>
      <c r="Z74" s="373"/>
      <c r="AA74" s="418"/>
      <c r="AB74" s="418"/>
      <c r="AC74" s="418"/>
      <c r="AD74" s="418"/>
      <c r="AE74" s="418"/>
      <c r="AF74" s="418"/>
      <c r="AG74" s="418"/>
    </row>
    <row r="75" spans="1:33" ht="15.75" customHeight="1">
      <c r="A75" s="634" t="s">
        <v>2245</v>
      </c>
      <c r="B75" s="635" t="s">
        <v>2641</v>
      </c>
      <c r="C75" s="414" t="s">
        <v>2654</v>
      </c>
      <c r="D75" s="637" t="s">
        <v>76</v>
      </c>
      <c r="E75" s="415">
        <v>45587</v>
      </c>
      <c r="F75" s="415">
        <v>45589</v>
      </c>
      <c r="G75" s="415"/>
      <c r="H75" s="415">
        <v>45593</v>
      </c>
      <c r="I75" s="393">
        <f ca="1">IF(ISBLANK(H75), NETWORKDAYS(F75, TODAY(),fESTIVOS!$A$1:$A$18), NETWORKDAYS(F75, H75, fESTIVOS!$A$1:$A$18))</f>
        <v>3</v>
      </c>
      <c r="J75" s="415">
        <v>45593</v>
      </c>
      <c r="K75" s="415"/>
      <c r="L75" s="638" t="s">
        <v>2655</v>
      </c>
      <c r="M75" s="373"/>
      <c r="N75" s="373"/>
      <c r="O75" s="373"/>
      <c r="P75" s="373"/>
      <c r="Q75" s="373"/>
      <c r="R75" s="373"/>
      <c r="S75" s="373"/>
      <c r="T75" s="373"/>
      <c r="U75" s="373"/>
      <c r="V75" s="373"/>
      <c r="W75" s="373"/>
      <c r="X75" s="373"/>
      <c r="Y75" s="373"/>
      <c r="Z75" s="373"/>
    </row>
    <row r="76" spans="1:33" ht="15.75" customHeight="1">
      <c r="A76" s="411" t="s">
        <v>2255</v>
      </c>
      <c r="B76" s="636" t="s">
        <v>2641</v>
      </c>
      <c r="C76" s="390" t="s">
        <v>2656</v>
      </c>
      <c r="D76" s="390" t="s">
        <v>76</v>
      </c>
      <c r="E76" s="415">
        <v>45582</v>
      </c>
      <c r="F76" s="415">
        <v>45582</v>
      </c>
      <c r="G76" s="415"/>
      <c r="H76" s="415">
        <v>45582</v>
      </c>
      <c r="I76" s="393">
        <f ca="1">IF(ISBLANK(H76), NETWORKDAYS(F76, TODAY(),fESTIVOS!$A$1:$A$18), NETWORKDAYS(F76, H76, fESTIVOS!$A$1:$A$18))</f>
        <v>1</v>
      </c>
      <c r="J76" s="415">
        <v>45582</v>
      </c>
      <c r="K76" s="415"/>
      <c r="L76" s="638" t="s">
        <v>2657</v>
      </c>
      <c r="M76" s="608"/>
      <c r="N76" s="373"/>
      <c r="O76" s="373"/>
      <c r="P76" s="373"/>
      <c r="Q76" s="373"/>
      <c r="R76" s="373"/>
      <c r="S76" s="373"/>
      <c r="T76" s="373"/>
      <c r="U76" s="373"/>
      <c r="V76" s="373"/>
      <c r="W76" s="373"/>
      <c r="X76" s="373"/>
      <c r="Y76" s="373"/>
      <c r="Z76" s="373"/>
    </row>
    <row r="77" spans="1:33" ht="15.75" customHeight="1">
      <c r="A77" s="634" t="s">
        <v>2245</v>
      </c>
      <c r="B77" s="635" t="s">
        <v>2658</v>
      </c>
      <c r="C77" s="414" t="s">
        <v>2659</v>
      </c>
      <c r="D77" s="390" t="s">
        <v>76</v>
      </c>
      <c r="E77" s="415">
        <v>45587</v>
      </c>
      <c r="F77" s="415">
        <v>45590</v>
      </c>
      <c r="G77" s="415"/>
      <c r="H77" s="415">
        <v>45593</v>
      </c>
      <c r="I77" s="393">
        <f ca="1">IF(ISBLANK(H77), NETWORKDAYS(F77, TODAY(),fESTIVOS!$A$1:$A$18), NETWORKDAYS(F77, H77, fESTIVOS!$A$1:$A$18))</f>
        <v>2</v>
      </c>
      <c r="J77" s="415"/>
      <c r="K77" s="415"/>
      <c r="L77" s="638"/>
      <c r="M77" s="373"/>
      <c r="N77" s="373"/>
      <c r="O77" s="373"/>
      <c r="P77" s="373"/>
      <c r="Q77" s="373"/>
      <c r="R77" s="373"/>
      <c r="S77" s="373"/>
      <c r="T77" s="373"/>
      <c r="U77" s="373"/>
      <c r="V77" s="373"/>
      <c r="W77" s="373"/>
      <c r="X77" s="373"/>
      <c r="Y77" s="373"/>
      <c r="Z77" s="373"/>
      <c r="AA77" s="418"/>
      <c r="AB77" s="418"/>
      <c r="AC77" s="418"/>
      <c r="AD77" s="418"/>
      <c r="AE77" s="418"/>
      <c r="AF77" s="418"/>
      <c r="AG77" s="418"/>
    </row>
    <row r="78" spans="1:33" ht="15.75" customHeight="1">
      <c r="A78" s="372" t="s">
        <v>2230</v>
      </c>
      <c r="B78" s="601" t="s">
        <v>2660</v>
      </c>
      <c r="C78" s="591" t="s">
        <v>2661</v>
      </c>
      <c r="D78" s="384" t="s">
        <v>76</v>
      </c>
      <c r="E78" s="383">
        <v>45590</v>
      </c>
      <c r="F78" s="383">
        <v>45593</v>
      </c>
      <c r="G78" s="383"/>
      <c r="H78" s="383">
        <v>45593</v>
      </c>
      <c r="I78" s="385">
        <f ca="1">IF(ISBLANK(H78), NETWORKDAYS(F78, TODAY(),fESTIVOS!$A$1:$A$18), NETWORKDAYS(F78, H78, fESTIVOS!$A$1:$A$18))</f>
        <v>1</v>
      </c>
      <c r="J78" s="383"/>
      <c r="K78" s="383"/>
      <c r="L78" s="386"/>
      <c r="M78" s="373"/>
      <c r="N78" s="373"/>
      <c r="O78" s="373"/>
      <c r="P78" s="373"/>
      <c r="Q78" s="373"/>
      <c r="R78" s="373"/>
      <c r="S78" s="373"/>
      <c r="T78" s="373"/>
      <c r="U78" s="373"/>
      <c r="V78" s="373"/>
      <c r="W78" s="373"/>
      <c r="X78" s="373"/>
      <c r="Y78" s="373"/>
      <c r="Z78" s="373"/>
      <c r="AA78" s="418"/>
      <c r="AB78" s="418"/>
      <c r="AC78" s="418"/>
      <c r="AD78" s="418"/>
      <c r="AE78" s="418"/>
      <c r="AF78" s="418"/>
      <c r="AG78" s="418"/>
    </row>
    <row r="79" spans="1:33" ht="15.75" customHeight="1">
      <c r="A79" s="607" t="s">
        <v>2503</v>
      </c>
      <c r="B79" s="381" t="s">
        <v>2523</v>
      </c>
      <c r="C79" s="605" t="s">
        <v>2662</v>
      </c>
      <c r="D79" s="605" t="s">
        <v>76</v>
      </c>
      <c r="E79" s="383">
        <v>45589</v>
      </c>
      <c r="F79" s="383">
        <v>45593</v>
      </c>
      <c r="G79" s="383"/>
      <c r="H79" s="383">
        <v>45593</v>
      </c>
      <c r="I79" s="385">
        <f ca="1">IF(ISBLANK(H79), NETWORKDAYS(F79, TODAY(),fESTIVOS!$A$1:$A$18), NETWORKDAYS(F79, H79, fESTIVOS!$A$1:$A$18))</f>
        <v>1</v>
      </c>
      <c r="J79" s="383">
        <v>45593</v>
      </c>
      <c r="K79" s="383"/>
      <c r="L79" s="386" t="s">
        <v>2663</v>
      </c>
      <c r="M79" s="608"/>
      <c r="N79" s="373"/>
      <c r="O79" s="373"/>
      <c r="P79" s="373"/>
      <c r="Q79" s="373"/>
      <c r="R79" s="373"/>
      <c r="S79" s="373"/>
      <c r="T79" s="373"/>
      <c r="U79" s="373"/>
      <c r="V79" s="373"/>
      <c r="W79" s="373"/>
      <c r="X79" s="373"/>
      <c r="Y79" s="373"/>
      <c r="Z79" s="373"/>
      <c r="AA79" s="418"/>
      <c r="AB79" s="418"/>
      <c r="AC79" s="418"/>
      <c r="AD79" s="418"/>
      <c r="AE79" s="418"/>
      <c r="AF79" s="418"/>
      <c r="AG79" s="418"/>
    </row>
    <row r="80" spans="1:33" ht="15.75" customHeight="1">
      <c r="A80" s="372" t="s">
        <v>2230</v>
      </c>
      <c r="B80" s="381" t="s">
        <v>2234</v>
      </c>
      <c r="C80" s="591" t="s">
        <v>2664</v>
      </c>
      <c r="D80" s="384" t="s">
        <v>76</v>
      </c>
      <c r="E80" s="383">
        <v>45594</v>
      </c>
      <c r="F80" s="383">
        <v>45594</v>
      </c>
      <c r="G80" s="383">
        <v>45596</v>
      </c>
      <c r="H80" s="384"/>
      <c r="I80" s="385">
        <f ca="1">IF(ISBLANK(H80), NETWORKDAYS(F80, TODAY(),fESTIVOS!$A$1:$A$18), NETWORKDAYS(F80, H80, fESTIVOS!$A$1:$A$18))</f>
        <v>351</v>
      </c>
      <c r="J80" s="383">
        <v>45596</v>
      </c>
      <c r="K80" s="383"/>
      <c r="L80" s="386" t="s">
        <v>2665</v>
      </c>
      <c r="M80" s="373"/>
      <c r="N80" s="373"/>
      <c r="O80" s="373"/>
      <c r="P80" s="373"/>
      <c r="Q80" s="373"/>
      <c r="R80" s="373"/>
      <c r="S80" s="373"/>
      <c r="T80" s="373"/>
      <c r="U80" s="373"/>
      <c r="V80" s="373"/>
      <c r="W80" s="373"/>
      <c r="X80" s="373"/>
      <c r="Y80" s="373"/>
      <c r="Z80" s="373"/>
      <c r="AA80" s="418"/>
      <c r="AB80" s="418"/>
      <c r="AC80" s="418"/>
      <c r="AD80" s="418"/>
      <c r="AE80" s="418"/>
      <c r="AF80" s="418"/>
      <c r="AG80" s="418"/>
    </row>
    <row r="81" spans="1:33" ht="15.75" customHeight="1">
      <c r="A81" s="610" t="s">
        <v>2503</v>
      </c>
      <c r="B81" s="590" t="s">
        <v>2634</v>
      </c>
      <c r="C81" s="682" t="s">
        <v>2666</v>
      </c>
      <c r="D81" s="683" t="s">
        <v>76</v>
      </c>
      <c r="E81" s="684">
        <v>45601</v>
      </c>
      <c r="F81" s="684">
        <v>45601</v>
      </c>
      <c r="G81" s="616"/>
      <c r="H81" s="616">
        <v>45602</v>
      </c>
      <c r="I81" s="617">
        <f ca="1">IF(ISBLANK(H81), NETWORKDAYS(F81, TODAY(),fESTIVOS!$A$1:$A$18), NETWORKDAYS(F81, H81, fESTIVOS!$A$1:$A$18))</f>
        <v>2</v>
      </c>
      <c r="J81" s="376"/>
      <c r="K81" s="376"/>
      <c r="L81" s="644"/>
      <c r="M81" s="643"/>
      <c r="N81" s="379"/>
      <c r="O81" s="379"/>
      <c r="P81" s="379"/>
      <c r="Q81" s="379"/>
      <c r="R81" s="379"/>
      <c r="S81" s="379"/>
      <c r="T81" s="379"/>
      <c r="U81" s="379"/>
      <c r="V81" s="379"/>
      <c r="W81" s="379"/>
      <c r="X81" s="379"/>
      <c r="Y81" s="379"/>
      <c r="Z81" s="379"/>
      <c r="AA81" s="418"/>
      <c r="AB81" s="418"/>
      <c r="AC81" s="418"/>
      <c r="AD81" s="418"/>
      <c r="AE81" s="418"/>
      <c r="AF81" s="418"/>
      <c r="AG81" s="418"/>
    </row>
    <row r="82" spans="1:33" ht="15.75" customHeight="1">
      <c r="A82" s="411" t="s">
        <v>2255</v>
      </c>
      <c r="B82" s="601" t="s">
        <v>2667</v>
      </c>
      <c r="C82" s="685" t="s">
        <v>2668</v>
      </c>
      <c r="D82" s="605" t="s">
        <v>76</v>
      </c>
      <c r="E82" s="383">
        <v>45602</v>
      </c>
      <c r="F82" s="383">
        <v>45602</v>
      </c>
      <c r="G82" s="383"/>
      <c r="H82" s="383">
        <v>45603</v>
      </c>
      <c r="I82" s="393">
        <f ca="1">IF(ISBLANK(H82), NETWORKDAYS(F82, TODAY(),fESTIVOS!$A$1:$A$18), NETWORKDAYS(F82, H82, fESTIVOS!$A$1:$A$18))</f>
        <v>2</v>
      </c>
      <c r="J82" s="383">
        <v>45603</v>
      </c>
      <c r="K82" s="383">
        <v>45603</v>
      </c>
      <c r="L82" s="386" t="s">
        <v>2669</v>
      </c>
      <c r="M82" s="373"/>
      <c r="N82" s="373"/>
      <c r="O82" s="373"/>
      <c r="P82" s="373"/>
      <c r="Q82" s="373"/>
      <c r="R82" s="373"/>
      <c r="S82" s="373"/>
      <c r="T82" s="373"/>
      <c r="U82" s="373"/>
      <c r="V82" s="373"/>
      <c r="W82" s="373"/>
      <c r="X82" s="373"/>
      <c r="Y82" s="373"/>
      <c r="Z82" s="373"/>
      <c r="AA82" s="418"/>
      <c r="AB82" s="418"/>
      <c r="AC82" s="418"/>
      <c r="AD82" s="418"/>
      <c r="AE82" s="418"/>
      <c r="AF82" s="418"/>
      <c r="AG82" s="418"/>
    </row>
    <row r="83" spans="1:33" ht="15.75" customHeight="1">
      <c r="A83" s="686" t="s">
        <v>2523</v>
      </c>
      <c r="B83" s="686" t="s">
        <v>2523</v>
      </c>
      <c r="C83" s="380" t="s">
        <v>2670</v>
      </c>
      <c r="D83" s="384" t="s">
        <v>76</v>
      </c>
      <c r="E83" s="383">
        <v>45576</v>
      </c>
      <c r="F83" s="383">
        <v>45576</v>
      </c>
      <c r="G83" s="380"/>
      <c r="H83" s="655">
        <v>45604</v>
      </c>
      <c r="I83" s="385">
        <f ca="1">IF(ISBLANK(H83), NETWORKDAYS(F83, TODAY(),fESTIVOS!$A$1:$A$18), NETWORKDAYS(F83, H83, fESTIVOS!$A$1:$A$18))</f>
        <v>19</v>
      </c>
      <c r="J83" s="380"/>
      <c r="K83" s="380"/>
      <c r="L83" s="380" t="s">
        <v>2671</v>
      </c>
      <c r="M83" s="394"/>
      <c r="N83" s="394"/>
      <c r="O83" s="394"/>
      <c r="P83" s="394"/>
      <c r="Q83" s="394"/>
      <c r="R83" s="394"/>
      <c r="S83" s="394"/>
      <c r="T83" s="394"/>
      <c r="U83" s="394"/>
      <c r="V83" s="394"/>
      <c r="W83" s="394"/>
      <c r="X83" s="394"/>
      <c r="Y83" s="394"/>
      <c r="Z83" s="394"/>
    </row>
    <row r="84" spans="1:33" ht="15.75" customHeight="1">
      <c r="A84" s="634" t="s">
        <v>2245</v>
      </c>
      <c r="B84" s="611" t="s">
        <v>2672</v>
      </c>
      <c r="C84" s="610" t="s">
        <v>2673</v>
      </c>
      <c r="D84" s="611" t="s">
        <v>76</v>
      </c>
      <c r="E84" s="687">
        <v>45602</v>
      </c>
      <c r="F84" s="687">
        <v>45602</v>
      </c>
      <c r="G84" s="688">
        <v>45603</v>
      </c>
      <c r="H84" s="687">
        <v>45603</v>
      </c>
      <c r="I84" s="393">
        <f ca="1">IF(ISBLANK(H84), NETWORKDAYS(F84, TODAY(),fESTIVOS!$A$1:$A$18), NETWORKDAYS(F84, H84, fESTIVOS!$A$1:$A$18))</f>
        <v>2</v>
      </c>
      <c r="J84" s="611"/>
      <c r="K84" s="611"/>
      <c r="L84" s="689"/>
      <c r="M84" s="608"/>
      <c r="N84" s="373"/>
      <c r="O84" s="373"/>
      <c r="P84" s="373"/>
      <c r="Q84" s="373"/>
      <c r="R84" s="373"/>
      <c r="S84" s="373"/>
      <c r="T84" s="373"/>
      <c r="U84" s="373"/>
      <c r="V84" s="373"/>
      <c r="W84" s="373"/>
      <c r="X84" s="373"/>
      <c r="Y84" s="373"/>
      <c r="Z84" s="373"/>
      <c r="AA84" s="418"/>
      <c r="AB84" s="418"/>
      <c r="AC84" s="418"/>
      <c r="AD84" s="418"/>
      <c r="AE84" s="418"/>
      <c r="AF84" s="418"/>
      <c r="AG84" s="418"/>
    </row>
    <row r="85" spans="1:33" ht="15.75" customHeight="1">
      <c r="A85" s="634" t="s">
        <v>2245</v>
      </c>
      <c r="B85" s="412" t="s">
        <v>2641</v>
      </c>
      <c r="C85" s="390" t="s">
        <v>2674</v>
      </c>
      <c r="D85" s="637" t="s">
        <v>504</v>
      </c>
      <c r="E85" s="415">
        <v>45587</v>
      </c>
      <c r="F85" s="415">
        <v>45587</v>
      </c>
      <c r="G85" s="415"/>
      <c r="H85" s="415">
        <v>45603</v>
      </c>
      <c r="I85" s="393">
        <f ca="1">IF(ISBLANK(H85), NETWORKDAYS(F85, TODAY(),fESTIVOS!$A$1:$A$18), NETWORKDAYS(F85, H85, fESTIVOS!$A$1:$A$18))</f>
        <v>12</v>
      </c>
      <c r="J85" s="415"/>
      <c r="K85" s="415"/>
      <c r="L85" s="638" t="s">
        <v>2675</v>
      </c>
      <c r="M85" s="373"/>
      <c r="N85" s="373"/>
      <c r="O85" s="373"/>
      <c r="P85" s="373"/>
      <c r="Q85" s="373"/>
      <c r="R85" s="373"/>
      <c r="S85" s="373"/>
      <c r="T85" s="373"/>
      <c r="U85" s="373"/>
      <c r="V85" s="373"/>
      <c r="W85" s="373"/>
      <c r="X85" s="373"/>
      <c r="Y85" s="373"/>
      <c r="Z85" s="373"/>
      <c r="AA85" s="418"/>
      <c r="AB85" s="418"/>
      <c r="AC85" s="418"/>
      <c r="AD85" s="418"/>
      <c r="AE85" s="418"/>
      <c r="AF85" s="418"/>
      <c r="AG85" s="418"/>
    </row>
    <row r="86" spans="1:33" ht="15.75" customHeight="1">
      <c r="A86" s="690" t="s">
        <v>2237</v>
      </c>
      <c r="B86" s="691" t="s">
        <v>2676</v>
      </c>
      <c r="C86" s="692" t="s">
        <v>2677</v>
      </c>
      <c r="D86" s="667" t="s">
        <v>2624</v>
      </c>
      <c r="E86" s="693">
        <v>45569</v>
      </c>
      <c r="F86" s="693">
        <v>45572</v>
      </c>
      <c r="G86" s="693">
        <v>0</v>
      </c>
      <c r="H86" s="693">
        <v>45581</v>
      </c>
      <c r="I86" s="694">
        <f ca="1">IF(ISBLANK(H86), NETWORKDAYS(F86, TODAY(),fESTIVOS!$A$1:$A$18), NETWORKDAYS(F86, H86, fESTIVOS!$A$1:$A$18))</f>
        <v>7</v>
      </c>
      <c r="J86" s="693">
        <v>45587</v>
      </c>
      <c r="K86" s="693">
        <v>45609</v>
      </c>
      <c r="L86" s="695" t="s">
        <v>2678</v>
      </c>
      <c r="M86" s="373"/>
      <c r="N86" s="373"/>
      <c r="O86" s="373"/>
      <c r="P86" s="373"/>
      <c r="Q86" s="373"/>
      <c r="R86" s="373"/>
      <c r="S86" s="373"/>
      <c r="T86" s="373"/>
      <c r="U86" s="373"/>
      <c r="V86" s="373"/>
      <c r="W86" s="373"/>
      <c r="X86" s="373"/>
      <c r="Y86" s="373"/>
      <c r="Z86" s="373"/>
    </row>
    <row r="87" spans="1:33" ht="15.75" customHeight="1">
      <c r="A87" s="396" t="s">
        <v>2245</v>
      </c>
      <c r="B87" s="396" t="s">
        <v>2679</v>
      </c>
      <c r="C87" s="411"/>
      <c r="D87" s="411" t="s">
        <v>76</v>
      </c>
      <c r="E87" s="397">
        <v>45596</v>
      </c>
      <c r="F87" s="397">
        <v>45596</v>
      </c>
      <c r="G87" s="396"/>
      <c r="H87" s="397">
        <v>45608</v>
      </c>
      <c r="I87" s="393">
        <f ca="1">IF(ISBLANK(H87), NETWORKDAYS(F87, TODAY(),fESTIVOS!$A$1:$A$18), NETWORKDAYS(F87, H87, fESTIVOS!$A$1:$A$18))</f>
        <v>7</v>
      </c>
      <c r="J87" s="411"/>
      <c r="K87" s="411"/>
      <c r="L87" s="696" t="s">
        <v>2680</v>
      </c>
      <c r="M87" s="608"/>
      <c r="N87" s="373"/>
      <c r="O87" s="373"/>
      <c r="P87" s="373"/>
      <c r="Q87" s="373"/>
      <c r="R87" s="373"/>
      <c r="S87" s="373"/>
      <c r="T87" s="373"/>
      <c r="U87" s="373"/>
      <c r="V87" s="373"/>
      <c r="W87" s="373"/>
      <c r="X87" s="373"/>
      <c r="Y87" s="373"/>
      <c r="Z87" s="373"/>
      <c r="AA87" s="418"/>
      <c r="AB87" s="418"/>
      <c r="AC87" s="418"/>
      <c r="AD87" s="418"/>
      <c r="AE87" s="418"/>
      <c r="AF87" s="418"/>
      <c r="AG87" s="418"/>
    </row>
    <row r="88" spans="1:33" ht="15.75" customHeight="1">
      <c r="A88" s="634" t="s">
        <v>2245</v>
      </c>
      <c r="B88" s="690" t="s">
        <v>2681</v>
      </c>
      <c r="C88" s="697" t="s">
        <v>2682</v>
      </c>
      <c r="D88" s="690" t="s">
        <v>76</v>
      </c>
      <c r="E88" s="698">
        <v>45601</v>
      </c>
      <c r="F88" s="698">
        <v>45601</v>
      </c>
      <c r="G88" s="412"/>
      <c r="H88" s="698">
        <v>45608</v>
      </c>
      <c r="I88" s="393">
        <f ca="1">IF(ISBLANK(H88), NETWORKDAYS(F88, TODAY(),fESTIVOS!$A$1:$A$18), NETWORKDAYS(F88, H88, fESTIVOS!$A$1:$A$18))</f>
        <v>5</v>
      </c>
      <c r="J88" s="690"/>
      <c r="K88" s="690"/>
      <c r="L88" s="699" t="s">
        <v>2683</v>
      </c>
      <c r="M88" s="608"/>
      <c r="N88" s="373"/>
      <c r="O88" s="373"/>
      <c r="P88" s="373"/>
      <c r="Q88" s="373"/>
      <c r="R88" s="373"/>
      <c r="S88" s="373"/>
      <c r="T88" s="373"/>
      <c r="U88" s="373"/>
      <c r="V88" s="373"/>
      <c r="W88" s="373"/>
      <c r="X88" s="373"/>
      <c r="Y88" s="373"/>
      <c r="Z88" s="373"/>
      <c r="AA88" s="418"/>
      <c r="AB88" s="418"/>
      <c r="AC88" s="418"/>
      <c r="AD88" s="418"/>
      <c r="AE88" s="418"/>
      <c r="AF88" s="418"/>
      <c r="AG88" s="418"/>
    </row>
    <row r="89" spans="1:33" ht="15" customHeight="1">
      <c r="A89" s="607" t="s">
        <v>2503</v>
      </c>
      <c r="B89" s="382" t="s">
        <v>2684</v>
      </c>
      <c r="C89" s="382" t="s">
        <v>2685</v>
      </c>
      <c r="D89" s="605" t="s">
        <v>76</v>
      </c>
      <c r="E89" s="383">
        <v>45608</v>
      </c>
      <c r="F89" s="383">
        <v>45608</v>
      </c>
      <c r="G89" s="383"/>
      <c r="H89" s="383">
        <v>45609</v>
      </c>
      <c r="I89" s="385">
        <f ca="1">IF(ISBLANK(H89), NETWORKDAYS(F89, TODAY(),fESTIVOS!$A$1:$A$18), NETWORKDAYS(F89, H89, fESTIVOS!$A$1:$A$18))</f>
        <v>2</v>
      </c>
      <c r="J89" s="383"/>
      <c r="K89" s="383">
        <v>45609</v>
      </c>
      <c r="L89" s="386"/>
    </row>
    <row r="90" spans="1:33" ht="15.75" customHeight="1">
      <c r="A90" s="607" t="s">
        <v>2503</v>
      </c>
      <c r="B90" s="590" t="s">
        <v>2634</v>
      </c>
      <c r="C90" s="421" t="s">
        <v>2686</v>
      </c>
      <c r="D90" s="384" t="s">
        <v>76</v>
      </c>
      <c r="E90" s="383">
        <v>45602</v>
      </c>
      <c r="F90" s="700">
        <v>45602</v>
      </c>
      <c r="G90" s="701"/>
      <c r="H90" s="702">
        <v>45603</v>
      </c>
      <c r="I90" s="385">
        <f ca="1">IF(ISBLANK(H90), NETWORKDAYS(F90, TODAY(),fESTIVOS!$A$1:$A$18), NETWORKDAYS(F90, H90, fESTIVOS!$A$1:$A$18))</f>
        <v>2</v>
      </c>
      <c r="J90" s="701"/>
      <c r="K90" s="701"/>
      <c r="L90" s="603" t="s">
        <v>2687</v>
      </c>
    </row>
    <row r="91" spans="1:33" ht="15.75" customHeight="1">
      <c r="A91" s="372" t="s">
        <v>2230</v>
      </c>
      <c r="B91" s="703" t="s">
        <v>2688</v>
      </c>
      <c r="C91" s="591"/>
      <c r="D91" s="605" t="s">
        <v>2624</v>
      </c>
      <c r="E91" s="383">
        <v>45336</v>
      </c>
      <c r="F91" s="383">
        <v>45336</v>
      </c>
      <c r="G91" s="383"/>
      <c r="H91" s="383">
        <v>45470</v>
      </c>
      <c r="I91" s="385">
        <f ca="1">IF(ISBLANK(H91), NETWORKDAYS(F91, TODAY(),fESTIVOS!$A$1:$A$18), NETWORKDAYS(F91, H91, fESTIVOS!$A$1:$A$18))</f>
        <v>90</v>
      </c>
      <c r="J91" s="383">
        <v>45470</v>
      </c>
      <c r="K91" s="383">
        <v>45610</v>
      </c>
      <c r="L91" s="606" t="s">
        <v>2689</v>
      </c>
      <c r="M91" s="373"/>
      <c r="N91" s="373"/>
      <c r="O91" s="373"/>
      <c r="P91" s="373"/>
      <c r="Q91" s="373"/>
      <c r="R91" s="373"/>
      <c r="S91" s="373"/>
      <c r="T91" s="373"/>
      <c r="U91" s="373"/>
      <c r="V91" s="373"/>
      <c r="W91" s="373"/>
      <c r="X91" s="373"/>
      <c r="Y91" s="373"/>
      <c r="Z91" s="373"/>
    </row>
    <row r="92" spans="1:33" ht="15.75" customHeight="1">
      <c r="A92" s="396" t="s">
        <v>2245</v>
      </c>
      <c r="B92" s="639" t="s">
        <v>2690</v>
      </c>
      <c r="C92" s="636" t="s">
        <v>2691</v>
      </c>
      <c r="D92" s="390" t="s">
        <v>2627</v>
      </c>
      <c r="E92" s="415">
        <v>45545</v>
      </c>
      <c r="F92" s="415">
        <v>45546</v>
      </c>
      <c r="G92" s="415"/>
      <c r="H92" s="415">
        <v>45609</v>
      </c>
      <c r="I92" s="393">
        <f ca="1">IF(ISBLANK(H92), NETWORKDAYS(F92, TODAY(),fESTIVOS!$A$1:$A$18), NETWORKDAYS(F92, H92, fESTIVOS!$A$1:$A$18))</f>
        <v>43</v>
      </c>
      <c r="J92" s="415">
        <v>45609</v>
      </c>
      <c r="K92" s="415">
        <v>45610</v>
      </c>
      <c r="L92" s="638" t="s">
        <v>2692</v>
      </c>
      <c r="M92" s="373"/>
      <c r="N92" s="373"/>
      <c r="O92" s="373"/>
      <c r="P92" s="373"/>
      <c r="Q92" s="373"/>
      <c r="R92" s="373"/>
      <c r="S92" s="373"/>
      <c r="T92" s="373"/>
      <c r="U92" s="373"/>
      <c r="V92" s="373"/>
      <c r="W92" s="373"/>
      <c r="X92" s="373"/>
      <c r="Y92" s="373"/>
      <c r="Z92" s="373"/>
    </row>
    <row r="93" spans="1:33" ht="15.75" customHeight="1">
      <c r="A93" s="607" t="s">
        <v>2503</v>
      </c>
      <c r="B93" s="382" t="s">
        <v>2684</v>
      </c>
      <c r="C93" s="382" t="s">
        <v>2693</v>
      </c>
      <c r="D93" s="605" t="s">
        <v>2627</v>
      </c>
      <c r="E93" s="383">
        <v>45610</v>
      </c>
      <c r="F93" s="383">
        <v>45610</v>
      </c>
      <c r="G93" s="383"/>
      <c r="H93" s="384"/>
      <c r="I93" s="617">
        <f ca="1">IF(ISBLANK(H93), NETWORKDAYS(F93, TODAY(),fESTIVOS!$A$1:$A$18), NETWORKDAYS(F93, H93, fESTIVOS!$A$1:$A$18))</f>
        <v>341</v>
      </c>
      <c r="J93" s="383"/>
      <c r="K93" s="383">
        <v>45611</v>
      </c>
      <c r="L93" s="386" t="s">
        <v>2694</v>
      </c>
      <c r="M93" s="608"/>
      <c r="N93" s="373"/>
      <c r="O93" s="373"/>
      <c r="P93" s="373"/>
      <c r="Q93" s="373"/>
      <c r="R93" s="373"/>
      <c r="S93" s="373"/>
      <c r="T93" s="373"/>
      <c r="U93" s="373"/>
      <c r="V93" s="373"/>
      <c r="W93" s="373"/>
      <c r="X93" s="373"/>
      <c r="Y93" s="373"/>
      <c r="Z93" s="373"/>
      <c r="AA93" s="418"/>
      <c r="AB93" s="418"/>
      <c r="AC93" s="418"/>
      <c r="AD93" s="418"/>
      <c r="AE93" s="418"/>
      <c r="AF93" s="418"/>
      <c r="AG93" s="418"/>
    </row>
    <row r="94" spans="1:33" ht="15.75" customHeight="1">
      <c r="A94" s="396" t="s">
        <v>2245</v>
      </c>
      <c r="B94" s="704" t="s">
        <v>2695</v>
      </c>
      <c r="C94" s="405"/>
      <c r="D94" s="405" t="s">
        <v>76</v>
      </c>
      <c r="E94" s="705">
        <v>45615</v>
      </c>
      <c r="F94" s="705">
        <v>45615</v>
      </c>
      <c r="G94" s="704"/>
      <c r="H94" s="705">
        <v>45615</v>
      </c>
      <c r="I94" s="393">
        <f ca="1">IF(ISBLANK(H94), NETWORKDAYS(F94, TODAY(),fESTIVOS!$A$1:$A$18), NETWORKDAYS(F94, H94, fESTIVOS!$A$1:$A$18))</f>
        <v>1</v>
      </c>
      <c r="J94" s="405"/>
      <c r="K94" s="405"/>
      <c r="L94" s="706" t="s">
        <v>2696</v>
      </c>
      <c r="M94" s="707"/>
      <c r="N94" s="708"/>
      <c r="O94" s="708"/>
      <c r="P94" s="708"/>
      <c r="Q94" s="708"/>
      <c r="R94" s="708"/>
      <c r="S94" s="708"/>
      <c r="T94" s="708"/>
      <c r="U94" s="708"/>
      <c r="V94" s="708"/>
      <c r="W94" s="708"/>
      <c r="X94" s="708"/>
      <c r="Y94" s="708"/>
      <c r="Z94" s="708"/>
      <c r="AA94" s="709"/>
      <c r="AB94" s="709"/>
      <c r="AC94" s="709"/>
      <c r="AD94" s="709"/>
      <c r="AE94" s="709"/>
      <c r="AF94" s="709"/>
      <c r="AG94" s="709"/>
    </row>
    <row r="95" spans="1:33" ht="15.75" customHeight="1">
      <c r="A95" s="607" t="s">
        <v>2503</v>
      </c>
      <c r="B95" s="382" t="s">
        <v>2684</v>
      </c>
      <c r="C95" s="421" t="s">
        <v>2697</v>
      </c>
      <c r="D95" s="605" t="s">
        <v>76</v>
      </c>
      <c r="E95" s="383">
        <v>45610</v>
      </c>
      <c r="F95" s="383">
        <v>45610</v>
      </c>
      <c r="G95" s="383"/>
      <c r="H95" s="383">
        <v>45610</v>
      </c>
      <c r="I95" s="617">
        <f ca="1">IF(ISBLANK(H95), NETWORKDAYS(F95, TODAY(),fESTIVOS!$A$1:$A$18), NETWORKDAYS(F95, H95, fESTIVOS!$A$1:$A$18))</f>
        <v>1</v>
      </c>
      <c r="J95" s="383"/>
      <c r="K95" s="383"/>
      <c r="L95" s="386"/>
      <c r="M95" s="608"/>
      <c r="N95" s="373"/>
      <c r="O95" s="373"/>
      <c r="P95" s="373"/>
      <c r="Q95" s="373"/>
      <c r="R95" s="373"/>
      <c r="S95" s="373"/>
      <c r="T95" s="373"/>
      <c r="U95" s="373"/>
      <c r="V95" s="373"/>
      <c r="W95" s="373"/>
      <c r="X95" s="373"/>
      <c r="Y95" s="373"/>
      <c r="Z95" s="373"/>
      <c r="AA95" s="418"/>
      <c r="AB95" s="418"/>
      <c r="AC95" s="418"/>
      <c r="AD95" s="418"/>
      <c r="AE95" s="418"/>
      <c r="AF95" s="418"/>
      <c r="AG95" s="418"/>
    </row>
    <row r="96" spans="1:33" ht="15.75" customHeight="1">
      <c r="A96" s="607" t="s">
        <v>2503</v>
      </c>
      <c r="B96" s="382" t="s">
        <v>2684</v>
      </c>
      <c r="C96" s="382" t="s">
        <v>2698</v>
      </c>
      <c r="D96" s="605" t="s">
        <v>76</v>
      </c>
      <c r="E96" s="383">
        <v>45609</v>
      </c>
      <c r="F96" s="383">
        <v>45609</v>
      </c>
      <c r="G96" s="383"/>
      <c r="H96" s="383">
        <v>45610</v>
      </c>
      <c r="I96" s="385">
        <f ca="1">IF(ISBLANK(H96), NETWORKDAYS(F96, TODAY(),fESTIVOS!$A$1:$A$18), NETWORKDAYS(F96, H96, fESTIVOS!$A$1:$A$18))</f>
        <v>2</v>
      </c>
      <c r="J96" s="383"/>
      <c r="K96" s="383"/>
      <c r="L96" s="386" t="s">
        <v>2699</v>
      </c>
      <c r="M96" s="608"/>
      <c r="N96" s="373"/>
      <c r="O96" s="373"/>
      <c r="P96" s="373"/>
      <c r="Q96" s="373"/>
      <c r="R96" s="373"/>
      <c r="S96" s="373"/>
      <c r="T96" s="373"/>
      <c r="U96" s="373"/>
      <c r="V96" s="373"/>
      <c r="W96" s="373"/>
      <c r="X96" s="373"/>
      <c r="Y96" s="373"/>
      <c r="Z96" s="373"/>
      <c r="AA96" s="418"/>
      <c r="AB96" s="418"/>
      <c r="AC96" s="418"/>
      <c r="AD96" s="418"/>
      <c r="AE96" s="418"/>
      <c r="AF96" s="418"/>
      <c r="AG96" s="418"/>
    </row>
    <row r="97" spans="1:33" ht="15.75" customHeight="1">
      <c r="A97" s="607" t="s">
        <v>2503</v>
      </c>
      <c r="B97" s="607" t="s">
        <v>2700</v>
      </c>
      <c r="C97" s="382"/>
      <c r="D97" s="605" t="s">
        <v>76</v>
      </c>
      <c r="E97" s="383">
        <v>45615</v>
      </c>
      <c r="F97" s="383">
        <v>45615</v>
      </c>
      <c r="G97" s="383"/>
      <c r="H97" s="383">
        <v>45615</v>
      </c>
      <c r="I97" s="385">
        <f ca="1">IF(ISBLANK(H97), NETWORKDAYS(F97, TODAY(),fESTIVOS!$A$1:$A$18), NETWORKDAYS(F97, H97, fESTIVOS!$A$1:$A$18))</f>
        <v>1</v>
      </c>
      <c r="J97" s="383"/>
      <c r="K97" s="383"/>
      <c r="L97" s="386" t="s">
        <v>2701</v>
      </c>
      <c r="M97" s="608"/>
      <c r="N97" s="373"/>
      <c r="O97" s="373"/>
      <c r="P97" s="373"/>
      <c r="Q97" s="373"/>
      <c r="R97" s="373"/>
      <c r="S97" s="373"/>
      <c r="T97" s="373"/>
      <c r="U97" s="373"/>
      <c r="V97" s="373"/>
      <c r="W97" s="373"/>
      <c r="X97" s="373"/>
      <c r="Y97" s="373"/>
      <c r="Z97" s="373"/>
      <c r="AA97" s="418"/>
      <c r="AB97" s="418"/>
      <c r="AC97" s="418"/>
      <c r="AD97" s="418"/>
      <c r="AE97" s="418"/>
      <c r="AF97" s="418"/>
      <c r="AG97" s="418"/>
    </row>
    <row r="98" spans="1:33" ht="15.75" customHeight="1">
      <c r="A98" s="396" t="s">
        <v>2245</v>
      </c>
      <c r="B98" s="411" t="s">
        <v>2684</v>
      </c>
      <c r="C98" s="639" t="s">
        <v>2702</v>
      </c>
      <c r="D98" s="411" t="s">
        <v>76</v>
      </c>
      <c r="E98" s="397">
        <v>45610</v>
      </c>
      <c r="F98" s="397">
        <v>45610</v>
      </c>
      <c r="G98" s="396"/>
      <c r="H98" s="397">
        <v>45610</v>
      </c>
      <c r="I98" s="393">
        <f ca="1">IF(ISBLANK(H98), NETWORKDAYS(F98, TODAY(),fESTIVOS!$A$1:$A$18), NETWORKDAYS(F98, H98, fESTIVOS!$A$1:$A$18))</f>
        <v>1</v>
      </c>
      <c r="J98" s="411"/>
      <c r="K98" s="411"/>
      <c r="L98" s="696" t="s">
        <v>2703</v>
      </c>
      <c r="M98" s="608"/>
      <c r="N98" s="373"/>
      <c r="O98" s="373"/>
      <c r="P98" s="373"/>
      <c r="Q98" s="373"/>
      <c r="R98" s="373"/>
      <c r="S98" s="373"/>
      <c r="T98" s="373"/>
      <c r="U98" s="373"/>
      <c r="V98" s="373"/>
      <c r="W98" s="373"/>
      <c r="X98" s="373"/>
      <c r="Y98" s="373"/>
      <c r="Z98" s="373"/>
    </row>
    <row r="99" spans="1:33" ht="15.75" customHeight="1">
      <c r="A99" s="396" t="s">
        <v>2245</v>
      </c>
      <c r="B99" s="690" t="s">
        <v>2704</v>
      </c>
      <c r="C99" s="667" t="s">
        <v>2705</v>
      </c>
      <c r="D99" s="411" t="s">
        <v>76</v>
      </c>
      <c r="E99" s="397">
        <v>45614</v>
      </c>
      <c r="F99" s="397">
        <v>45614</v>
      </c>
      <c r="G99" s="396"/>
      <c r="H99" s="397">
        <v>45618</v>
      </c>
      <c r="I99" s="393">
        <f ca="1">IF(ISBLANK(H99), NETWORKDAYS(F99, TODAY(),fESTIVOS!$A$1:$A$18), NETWORKDAYS(F99, H99, fESTIVOS!$A$1:$A$18))</f>
        <v>5</v>
      </c>
      <c r="J99" s="411"/>
      <c r="K99" s="411"/>
      <c r="L99" s="696" t="s">
        <v>2706</v>
      </c>
      <c r="M99" s="608"/>
      <c r="N99" s="373"/>
      <c r="O99" s="373"/>
      <c r="P99" s="373"/>
      <c r="Q99" s="373"/>
      <c r="R99" s="373"/>
      <c r="S99" s="373"/>
      <c r="T99" s="373"/>
      <c r="U99" s="373"/>
      <c r="V99" s="373"/>
      <c r="W99" s="373"/>
      <c r="X99" s="373"/>
      <c r="Y99" s="373"/>
      <c r="Z99" s="373"/>
    </row>
    <row r="100" spans="1:33" ht="15.75" customHeight="1">
      <c r="A100" s="710" t="s">
        <v>2230</v>
      </c>
      <c r="B100" s="610" t="s">
        <v>2707</v>
      </c>
      <c r="C100" s="372"/>
      <c r="D100" s="605" t="s">
        <v>2624</v>
      </c>
      <c r="E100" s="383">
        <v>45621</v>
      </c>
      <c r="F100" s="383">
        <v>45621</v>
      </c>
      <c r="G100" s="711"/>
      <c r="H100" s="383">
        <v>45621</v>
      </c>
      <c r="I100" s="712">
        <f ca="1">IF(ISBLANK(H100), NETWORKDAYS(F100, TODAY(),fESTIVOS!$A$1:$A$18), NETWORKDAYS(F100, H100, fESTIVOS!$A$1:$A$18))</f>
        <v>1</v>
      </c>
      <c r="J100" s="383">
        <v>45621</v>
      </c>
      <c r="K100" s="713">
        <v>45621</v>
      </c>
      <c r="L100" s="606" t="s">
        <v>2708</v>
      </c>
      <c r="M100" s="373"/>
      <c r="N100" s="373"/>
      <c r="O100" s="373"/>
      <c r="P100" s="373"/>
      <c r="Q100" s="373"/>
      <c r="R100" s="373"/>
      <c r="S100" s="373"/>
      <c r="T100" s="373"/>
      <c r="U100" s="373"/>
      <c r="V100" s="373"/>
      <c r="W100" s="373"/>
      <c r="X100" s="373"/>
      <c r="Y100" s="373"/>
      <c r="Z100" s="373"/>
    </row>
    <row r="101" spans="1:33" ht="15.75" customHeight="1">
      <c r="A101" s="710" t="s">
        <v>2230</v>
      </c>
      <c r="B101" s="714" t="s">
        <v>2709</v>
      </c>
      <c r="C101" s="715" t="s">
        <v>2710</v>
      </c>
      <c r="D101" s="716" t="s">
        <v>76</v>
      </c>
      <c r="E101" s="717">
        <v>45610</v>
      </c>
      <c r="F101" s="717">
        <v>45610</v>
      </c>
      <c r="G101" s="718"/>
      <c r="H101" s="719">
        <v>45622</v>
      </c>
      <c r="I101" s="712">
        <f ca="1">IF(ISBLANK(H101), NETWORKDAYS(F101, TODAY(),fESTIVOS!$A$1:$A$18), NETWORKDAYS(F101, H101, fESTIVOS!$A$1:$A$18))</f>
        <v>9</v>
      </c>
      <c r="J101" s="719"/>
      <c r="K101" s="719"/>
      <c r="L101" s="720" t="s">
        <v>2711</v>
      </c>
      <c r="M101" s="373"/>
      <c r="N101" s="373"/>
      <c r="O101" s="373"/>
      <c r="P101" s="373"/>
      <c r="Q101" s="373"/>
      <c r="R101" s="373"/>
      <c r="S101" s="373"/>
      <c r="T101" s="373"/>
      <c r="U101" s="373"/>
      <c r="V101" s="373"/>
      <c r="W101" s="373"/>
      <c r="X101" s="373"/>
      <c r="Y101" s="373"/>
      <c r="Z101" s="373"/>
    </row>
    <row r="102" spans="1:33" ht="15.75" customHeight="1">
      <c r="A102" s="710" t="s">
        <v>2230</v>
      </c>
      <c r="B102" s="714" t="s">
        <v>2709</v>
      </c>
      <c r="C102" s="715" t="s">
        <v>2712</v>
      </c>
      <c r="D102" s="716" t="s">
        <v>2713</v>
      </c>
      <c r="E102" s="717">
        <v>45610</v>
      </c>
      <c r="F102" s="717"/>
      <c r="G102" s="718"/>
      <c r="H102" s="710">
        <v>0</v>
      </c>
      <c r="I102" s="712">
        <f ca="1">IF(ISBLANK(H102), NETWORKDAYS(F102, TODAY(),fESTIVOS!$A$1:$A$18), NETWORKDAYS(F102, H102, fESTIVOS!$A$1:$A$18))</f>
        <v>0</v>
      </c>
      <c r="J102" s="719"/>
      <c r="K102" s="719"/>
      <c r="L102" s="720" t="s">
        <v>2714</v>
      </c>
      <c r="M102" s="373"/>
      <c r="N102" s="373"/>
      <c r="O102" s="373"/>
      <c r="P102" s="373"/>
      <c r="Q102" s="373"/>
      <c r="R102" s="373"/>
      <c r="S102" s="373"/>
      <c r="T102" s="373"/>
      <c r="U102" s="373"/>
      <c r="V102" s="373"/>
      <c r="W102" s="373"/>
      <c r="X102" s="373"/>
      <c r="Y102" s="373"/>
      <c r="Z102" s="373"/>
    </row>
    <row r="103" spans="1:33" ht="15.75" customHeight="1">
      <c r="A103" s="372" t="s">
        <v>2715</v>
      </c>
      <c r="B103" s="601" t="s">
        <v>2716</v>
      </c>
      <c r="C103" s="591"/>
      <c r="D103" s="384" t="s">
        <v>76</v>
      </c>
      <c r="E103" s="383">
        <v>45611</v>
      </c>
      <c r="F103" s="383">
        <v>45616</v>
      </c>
      <c r="G103" s="383"/>
      <c r="H103" s="383">
        <v>45616</v>
      </c>
      <c r="I103" s="385">
        <f ca="1">IF(ISBLANK(H103), NETWORKDAYS(F103, TODAY(),fESTIVOS!$A$1:$A$18), NETWORKDAYS(F103, H103, fESTIVOS!$A$1:$A$18))</f>
        <v>1</v>
      </c>
      <c r="J103" s="383"/>
      <c r="K103" s="383"/>
      <c r="L103" s="386" t="s">
        <v>2717</v>
      </c>
      <c r="M103" s="608"/>
      <c r="N103" s="373"/>
      <c r="O103" s="373"/>
      <c r="P103" s="373"/>
      <c r="Q103" s="373"/>
      <c r="R103" s="373"/>
      <c r="S103" s="373"/>
      <c r="T103" s="373"/>
      <c r="U103" s="373"/>
      <c r="V103" s="373"/>
      <c r="W103" s="373"/>
      <c r="X103" s="373"/>
      <c r="Y103" s="373"/>
      <c r="Z103" s="373"/>
    </row>
    <row r="104" spans="1:33" ht="15.75" customHeight="1">
      <c r="A104" s="412" t="s">
        <v>2237</v>
      </c>
      <c r="B104" s="635" t="s">
        <v>2718</v>
      </c>
      <c r="C104" s="721" t="s">
        <v>2719</v>
      </c>
      <c r="D104" s="667" t="s">
        <v>2624</v>
      </c>
      <c r="E104" s="693">
        <v>45603</v>
      </c>
      <c r="F104" s="693">
        <v>45603</v>
      </c>
      <c r="G104" s="693">
        <v>45603</v>
      </c>
      <c r="H104" s="693">
        <v>45621</v>
      </c>
      <c r="I104" s="694">
        <f ca="1">IF(ISBLANK(H104), NETWORKDAYS(F104, TODAY(),fESTIVOS!$A$1:$A$18), NETWORKDAYS(F104, H104, fESTIVOS!$A$1:$A$18))</f>
        <v>12</v>
      </c>
      <c r="J104" s="693">
        <v>45621</v>
      </c>
      <c r="K104" s="693">
        <v>45622</v>
      </c>
      <c r="L104" s="695" t="s">
        <v>2720</v>
      </c>
      <c r="M104" s="373"/>
      <c r="N104" s="373"/>
      <c r="O104" s="373"/>
      <c r="P104" s="373"/>
      <c r="Q104" s="373"/>
      <c r="R104" s="373"/>
      <c r="S104" s="373"/>
      <c r="T104" s="373"/>
      <c r="U104" s="373"/>
      <c r="V104" s="373"/>
      <c r="W104" s="373"/>
      <c r="X104" s="373"/>
      <c r="Y104" s="373"/>
      <c r="Z104" s="373"/>
    </row>
    <row r="105" spans="1:33" ht="15.75" customHeight="1">
      <c r="A105" s="710" t="s">
        <v>2230</v>
      </c>
      <c r="B105" s="722" t="s">
        <v>2709</v>
      </c>
      <c r="C105" s="715" t="s">
        <v>2721</v>
      </c>
      <c r="D105" s="723" t="s">
        <v>2624</v>
      </c>
      <c r="E105" s="717">
        <v>45610</v>
      </c>
      <c r="F105" s="717">
        <v>45610</v>
      </c>
      <c r="G105" s="718">
        <v>45611</v>
      </c>
      <c r="H105" s="724">
        <v>45621</v>
      </c>
      <c r="I105" s="712">
        <f ca="1">IF(ISBLANK(H105), NETWORKDAYS(F105, TODAY(),fESTIVOS!$A$1:$A$18), NETWORKDAYS(F105, H105, fESTIVOS!$A$1:$A$18))</f>
        <v>8</v>
      </c>
      <c r="J105" s="719">
        <v>45621</v>
      </c>
      <c r="K105" s="719">
        <v>45624</v>
      </c>
      <c r="L105" s="720" t="s">
        <v>2722</v>
      </c>
      <c r="M105" s="373"/>
      <c r="N105" s="373"/>
      <c r="O105" s="373"/>
      <c r="P105" s="373"/>
      <c r="Q105" s="373"/>
      <c r="R105" s="373"/>
      <c r="S105" s="373"/>
      <c r="T105" s="373"/>
      <c r="U105" s="373"/>
      <c r="V105" s="373"/>
      <c r="W105" s="373"/>
      <c r="X105" s="373"/>
      <c r="Y105" s="373"/>
      <c r="Z105" s="373"/>
    </row>
    <row r="106" spans="1:33" ht="15.75" customHeight="1">
      <c r="A106" s="607" t="s">
        <v>2503</v>
      </c>
      <c r="B106" s="725" t="s">
        <v>2523</v>
      </c>
      <c r="C106" s="605" t="s">
        <v>2723</v>
      </c>
      <c r="D106" s="605" t="s">
        <v>2724</v>
      </c>
      <c r="E106" s="383">
        <v>45593</v>
      </c>
      <c r="F106" s="383">
        <v>45593</v>
      </c>
      <c r="G106" s="383"/>
      <c r="H106" s="383"/>
      <c r="I106" s="385">
        <f ca="1">IF(ISBLANK(H106), NETWORKDAYS(F106, TODAY(),fESTIVOS!$A$1:$A$18), NETWORKDAYS(F106, H106, fESTIVOS!$A$1:$A$18))</f>
        <v>352</v>
      </c>
      <c r="J106" s="383">
        <v>45611</v>
      </c>
      <c r="K106" s="383">
        <v>45611</v>
      </c>
      <c r="L106" s="386" t="s">
        <v>2725</v>
      </c>
      <c r="M106" s="608"/>
      <c r="N106" s="373"/>
      <c r="O106" s="373"/>
      <c r="P106" s="373"/>
      <c r="Q106" s="373"/>
      <c r="R106" s="373"/>
      <c r="S106" s="373"/>
      <c r="T106" s="373"/>
      <c r="U106" s="373"/>
      <c r="V106" s="373"/>
      <c r="W106" s="373"/>
      <c r="X106" s="373"/>
      <c r="Y106" s="373"/>
      <c r="Z106" s="373"/>
    </row>
    <row r="107" spans="1:33" ht="15.75" customHeight="1">
      <c r="A107" s="396" t="s">
        <v>2245</v>
      </c>
      <c r="B107" s="634" t="s">
        <v>2726</v>
      </c>
      <c r="C107" s="411"/>
      <c r="D107" s="726" t="s">
        <v>76</v>
      </c>
      <c r="E107" s="415">
        <v>45623</v>
      </c>
      <c r="F107" s="397">
        <v>45623</v>
      </c>
      <c r="G107" s="396"/>
      <c r="H107" s="397">
        <v>45625</v>
      </c>
      <c r="I107" s="393">
        <f ca="1">IF(ISBLANK(H107), NETWORKDAYS(F107, TODAY(),fESTIVOS!$A$1:$A$18), NETWORKDAYS(F107, H107, fESTIVOS!$A$1:$A$18))</f>
        <v>3</v>
      </c>
      <c r="J107" s="397">
        <v>45625</v>
      </c>
      <c r="K107" s="411"/>
      <c r="L107" s="696" t="s">
        <v>2727</v>
      </c>
      <c r="M107" s="608"/>
      <c r="N107" s="373"/>
      <c r="O107" s="373"/>
      <c r="P107" s="373"/>
      <c r="Q107" s="373"/>
      <c r="R107" s="373"/>
      <c r="S107" s="373"/>
      <c r="T107" s="373"/>
      <c r="U107" s="373"/>
      <c r="V107" s="373"/>
      <c r="W107" s="373"/>
      <c r="X107" s="373"/>
      <c r="Y107" s="373"/>
      <c r="Z107" s="373"/>
    </row>
    <row r="108" spans="1:33" ht="15.75" customHeight="1">
      <c r="A108" s="727" t="s">
        <v>2230</v>
      </c>
      <c r="B108" s="714" t="s">
        <v>2728</v>
      </c>
      <c r="C108" s="728"/>
      <c r="D108" s="729" t="s">
        <v>2624</v>
      </c>
      <c r="E108" s="730">
        <v>45624</v>
      </c>
      <c r="F108" s="730">
        <v>45625</v>
      </c>
      <c r="G108" s="718"/>
      <c r="H108" s="717">
        <v>45625</v>
      </c>
      <c r="I108" s="712">
        <f ca="1">IF(ISBLANK(H108), NETWORKDAYS(F108, TODAY(),fESTIVOS!$A$1:$A$18), NETWORKDAYS(F108, H108, fESTIVOS!$A$1:$A$18))</f>
        <v>1</v>
      </c>
      <c r="J108" s="717">
        <v>45625</v>
      </c>
      <c r="K108" s="717">
        <v>45625</v>
      </c>
      <c r="L108" s="720" t="s">
        <v>2729</v>
      </c>
      <c r="M108" s="373"/>
      <c r="N108" s="373"/>
      <c r="O108" s="373"/>
      <c r="P108" s="373"/>
      <c r="Q108" s="373"/>
      <c r="R108" s="373"/>
      <c r="S108" s="373"/>
      <c r="T108" s="373"/>
      <c r="U108" s="373"/>
      <c r="V108" s="373"/>
      <c r="W108" s="373"/>
      <c r="X108" s="373"/>
      <c r="Y108" s="373"/>
      <c r="Z108" s="373"/>
    </row>
    <row r="109" spans="1:33" ht="15.75" customHeight="1">
      <c r="A109" s="411" t="s">
        <v>2237</v>
      </c>
      <c r="B109" s="731" t="s">
        <v>2730</v>
      </c>
      <c r="C109" s="636" t="s">
        <v>2731</v>
      </c>
      <c r="D109" s="390" t="s">
        <v>2579</v>
      </c>
      <c r="E109" s="415">
        <v>45618</v>
      </c>
      <c r="F109" s="415">
        <v>45618</v>
      </c>
      <c r="G109" s="732"/>
      <c r="H109" s="415">
        <v>45625</v>
      </c>
      <c r="I109" s="393">
        <f ca="1">IF(ISBLANK(H109), NETWORKDAYS(F109, TODAY(),fESTIVOS!$A$1:$A$18), NETWORKDAYS(F109, H109, fESTIVOS!$A$1:$A$18))</f>
        <v>6</v>
      </c>
      <c r="J109" s="415">
        <v>45625</v>
      </c>
      <c r="K109" s="415">
        <v>45625</v>
      </c>
      <c r="L109" s="733" t="s">
        <v>2732</v>
      </c>
      <c r="M109" s="373"/>
      <c r="N109" s="373"/>
      <c r="O109" s="373"/>
      <c r="P109" s="373"/>
      <c r="Q109" s="373"/>
      <c r="R109" s="373"/>
      <c r="S109" s="373"/>
      <c r="T109" s="373"/>
      <c r="U109" s="373"/>
      <c r="V109" s="373"/>
      <c r="W109" s="373"/>
      <c r="X109" s="373"/>
      <c r="Y109" s="373"/>
      <c r="Z109" s="373"/>
    </row>
    <row r="110" spans="1:33" ht="15.75" customHeight="1">
      <c r="A110" s="734" t="s">
        <v>2503</v>
      </c>
      <c r="B110" s="592" t="s">
        <v>2733</v>
      </c>
      <c r="C110" s="679" t="s">
        <v>2734</v>
      </c>
      <c r="D110" s="629" t="s">
        <v>2735</v>
      </c>
      <c r="E110" s="653">
        <v>45616</v>
      </c>
      <c r="F110" s="653">
        <v>45616</v>
      </c>
      <c r="G110" s="653"/>
      <c r="H110" s="621"/>
      <c r="I110" s="598">
        <f ca="1">IF(ISBLANK(H110), NETWORKDAYS(F110, TODAY(),fESTIVOS!$A$1:$A$18), NETWORKDAYS(F110, H110, fESTIVOS!$A$1:$A$18))</f>
        <v>337</v>
      </c>
      <c r="J110" s="653"/>
      <c r="K110" s="653"/>
      <c r="L110" s="654" t="s">
        <v>2736</v>
      </c>
      <c r="M110" s="608"/>
      <c r="N110" s="373"/>
      <c r="O110" s="373"/>
      <c r="P110" s="373"/>
      <c r="Q110" s="373"/>
      <c r="R110" s="373"/>
      <c r="S110" s="373"/>
      <c r="T110" s="373"/>
      <c r="U110" s="373"/>
      <c r="V110" s="373"/>
      <c r="W110" s="373"/>
      <c r="X110" s="373"/>
      <c r="Y110" s="373"/>
      <c r="Z110" s="373"/>
    </row>
    <row r="111" spans="1:33" ht="15.75" customHeight="1">
      <c r="A111" s="607" t="s">
        <v>2503</v>
      </c>
      <c r="B111" s="382" t="s">
        <v>2684</v>
      </c>
      <c r="C111" s="735" t="s">
        <v>2737</v>
      </c>
      <c r="D111" s="605" t="s">
        <v>2624</v>
      </c>
      <c r="E111" s="702">
        <v>45616</v>
      </c>
      <c r="F111" s="736">
        <v>45617</v>
      </c>
      <c r="G111" s="701"/>
      <c r="H111" s="383">
        <v>45618</v>
      </c>
      <c r="I111" s="385">
        <f ca="1">IF(ISBLANK(H111), NETWORKDAYS(F111, TODAY(),fESTIVOS!$A$1:$A$18), NETWORKDAYS(F111, H111, fESTIVOS!$A$1:$A$18))</f>
        <v>2</v>
      </c>
      <c r="J111" s="383">
        <v>45618</v>
      </c>
      <c r="K111" s="702">
        <v>45630</v>
      </c>
      <c r="L111" s="737" t="s">
        <v>2738</v>
      </c>
    </row>
    <row r="112" spans="1:33" ht="15.75" customHeight="1">
      <c r="A112" s="607" t="s">
        <v>2503</v>
      </c>
      <c r="B112" s="382" t="s">
        <v>2684</v>
      </c>
      <c r="C112" s="735" t="s">
        <v>2739</v>
      </c>
      <c r="D112" s="605" t="s">
        <v>2624</v>
      </c>
      <c r="E112" s="702">
        <v>45618</v>
      </c>
      <c r="F112" s="736">
        <v>45618</v>
      </c>
      <c r="G112" s="701"/>
      <c r="H112" s="736">
        <v>45618</v>
      </c>
      <c r="I112" s="385">
        <f ca="1">IF(ISBLANK(H112), NETWORKDAYS(F112, TODAY(),fESTIVOS!$A$1:$A$18), NETWORKDAYS(F112, H112, fESTIVOS!$A$1:$A$18))</f>
        <v>1</v>
      </c>
      <c r="J112" s="736">
        <v>45618</v>
      </c>
      <c r="K112" s="702">
        <v>45630</v>
      </c>
      <c r="L112" s="737" t="s">
        <v>2740</v>
      </c>
    </row>
    <row r="113" spans="1:33" ht="15.75" customHeight="1">
      <c r="A113" s="607" t="s">
        <v>2503</v>
      </c>
      <c r="B113" s="382" t="s">
        <v>2684</v>
      </c>
      <c r="C113" s="685" t="s">
        <v>2741</v>
      </c>
      <c r="D113" s="605" t="s">
        <v>2624</v>
      </c>
      <c r="E113" s="702">
        <v>45616</v>
      </c>
      <c r="F113" s="736">
        <v>45616</v>
      </c>
      <c r="G113" s="701"/>
      <c r="H113" s="383">
        <v>45618</v>
      </c>
      <c r="I113" s="385">
        <f ca="1">IF(ISBLANK(H113), NETWORKDAYS(F113, TODAY(),fESTIVOS!$A$1:$A$18), NETWORKDAYS(F113, H113, fESTIVOS!$A$1:$A$18))</f>
        <v>3</v>
      </c>
      <c r="J113" s="383">
        <v>45618</v>
      </c>
      <c r="K113" s="702">
        <v>45630</v>
      </c>
      <c r="L113" s="641" t="s">
        <v>2742</v>
      </c>
    </row>
    <row r="114" spans="1:33" ht="15.75" customHeight="1">
      <c r="A114" s="396" t="s">
        <v>2245</v>
      </c>
      <c r="B114" s="738" t="s">
        <v>2743</v>
      </c>
      <c r="C114" s="690"/>
      <c r="D114" s="690" t="s">
        <v>76</v>
      </c>
      <c r="E114" s="698">
        <v>45629</v>
      </c>
      <c r="F114" s="698">
        <v>45629</v>
      </c>
      <c r="G114" s="412"/>
      <c r="H114" s="698">
        <v>45629</v>
      </c>
      <c r="I114" s="393">
        <f ca="1">IF(ISBLANK(H114), NETWORKDAYS(F114, TODAY(),fESTIVOS!$A$1:$A$18), NETWORKDAYS(F114, H114, fESTIVOS!$A$1:$A$18))</f>
        <v>1</v>
      </c>
      <c r="J114" s="690"/>
      <c r="K114" s="698">
        <v>45630</v>
      </c>
      <c r="L114" s="739" t="s">
        <v>2744</v>
      </c>
      <c r="M114" s="608"/>
      <c r="N114" s="373"/>
      <c r="O114" s="373"/>
      <c r="P114" s="373"/>
      <c r="Q114" s="373"/>
      <c r="R114" s="373"/>
      <c r="S114" s="373"/>
      <c r="T114" s="373"/>
      <c r="U114" s="373"/>
      <c r="V114" s="373"/>
      <c r="W114" s="373"/>
      <c r="X114" s="373"/>
      <c r="Y114" s="373"/>
      <c r="Z114" s="373"/>
      <c r="AA114" s="418"/>
      <c r="AB114" s="418"/>
      <c r="AC114" s="418"/>
      <c r="AD114" s="418"/>
      <c r="AE114" s="418"/>
      <c r="AF114" s="418"/>
      <c r="AG114" s="418"/>
    </row>
    <row r="115" spans="1:33" ht="15.75" customHeight="1">
      <c r="A115" s="607" t="s">
        <v>2503</v>
      </c>
      <c r="B115" s="607" t="s">
        <v>2745</v>
      </c>
      <c r="C115" s="382"/>
      <c r="D115" s="605" t="s">
        <v>2624</v>
      </c>
      <c r="E115" s="383">
        <v>45628</v>
      </c>
      <c r="F115" s="383">
        <v>45630</v>
      </c>
      <c r="G115" s="383"/>
      <c r="H115" s="383">
        <v>45631</v>
      </c>
      <c r="I115" s="385">
        <f ca="1">IF(ISBLANK(H115), NETWORKDAYS(F115, TODAY(),fESTIVOS!$A$1:$A$18), NETWORKDAYS(F115, H115, fESTIVOS!$A$1:$A$18))</f>
        <v>2</v>
      </c>
      <c r="J115" s="383"/>
      <c r="K115" s="383">
        <v>45631</v>
      </c>
      <c r="L115" s="386" t="s">
        <v>2746</v>
      </c>
      <c r="M115" s="608"/>
      <c r="N115" s="373"/>
      <c r="O115" s="373"/>
      <c r="P115" s="373"/>
      <c r="Q115" s="373"/>
      <c r="R115" s="373"/>
      <c r="S115" s="373"/>
      <c r="T115" s="373"/>
      <c r="U115" s="373"/>
      <c r="V115" s="373"/>
      <c r="W115" s="373"/>
      <c r="X115" s="373"/>
      <c r="Y115" s="373"/>
      <c r="Z115" s="373"/>
    </row>
    <row r="116" spans="1:33" ht="15.75" customHeight="1">
      <c r="A116" s="396" t="s">
        <v>2245</v>
      </c>
      <c r="B116" s="740" t="s">
        <v>2747</v>
      </c>
      <c r="C116" s="690"/>
      <c r="D116" s="690" t="s">
        <v>76</v>
      </c>
      <c r="E116" s="698">
        <v>45628</v>
      </c>
      <c r="F116" s="698">
        <v>45630</v>
      </c>
      <c r="G116" s="412"/>
      <c r="H116" s="698">
        <v>45632</v>
      </c>
      <c r="I116" s="393">
        <f ca="1">IF(ISBLANK(H116), NETWORKDAYS(F116, TODAY(),fESTIVOS!$A$1:$A$18), NETWORKDAYS(F116, H116, fESTIVOS!$A$1:$A$18))</f>
        <v>3</v>
      </c>
      <c r="J116" s="690"/>
      <c r="K116" s="690"/>
      <c r="L116" s="699" t="s">
        <v>2748</v>
      </c>
      <c r="M116" s="608"/>
      <c r="N116" s="373"/>
      <c r="O116" s="373"/>
      <c r="P116" s="373"/>
      <c r="Q116" s="373"/>
      <c r="R116" s="373"/>
      <c r="S116" s="373"/>
      <c r="T116" s="373"/>
      <c r="U116" s="373"/>
      <c r="V116" s="373"/>
      <c r="W116" s="373"/>
      <c r="X116" s="373"/>
      <c r="Y116" s="373"/>
      <c r="Z116" s="373"/>
      <c r="AA116" s="418"/>
      <c r="AB116" s="418"/>
      <c r="AC116" s="418"/>
      <c r="AD116" s="418"/>
      <c r="AE116" s="418"/>
      <c r="AF116" s="418"/>
      <c r="AG116" s="418"/>
    </row>
    <row r="117" spans="1:33" ht="15.75" customHeight="1">
      <c r="A117" s="396" t="s">
        <v>2245</v>
      </c>
      <c r="B117" s="740" t="s">
        <v>2749</v>
      </c>
      <c r="C117" s="690"/>
      <c r="D117" s="690" t="s">
        <v>76</v>
      </c>
      <c r="E117" s="698">
        <v>45635</v>
      </c>
      <c r="F117" s="698">
        <v>45635</v>
      </c>
      <c r="G117" s="412"/>
      <c r="H117" s="698">
        <v>45635</v>
      </c>
      <c r="I117" s="393">
        <f ca="1">IF(ISBLANK(H117), NETWORKDAYS(F117, TODAY(),fESTIVOS!$A$1:$A$18), NETWORKDAYS(F117, H117, fESTIVOS!$A$1:$A$18))</f>
        <v>1</v>
      </c>
      <c r="J117" s="698">
        <v>45635</v>
      </c>
      <c r="K117" s="690"/>
      <c r="L117" s="699"/>
      <c r="M117" s="608"/>
      <c r="N117" s="373"/>
      <c r="O117" s="373"/>
      <c r="P117" s="373"/>
      <c r="Q117" s="373"/>
      <c r="R117" s="373"/>
      <c r="S117" s="373"/>
      <c r="T117" s="373"/>
      <c r="U117" s="373"/>
      <c r="V117" s="373"/>
      <c r="W117" s="373"/>
      <c r="X117" s="373"/>
      <c r="Y117" s="373"/>
      <c r="Z117" s="373"/>
      <c r="AA117" s="418"/>
      <c r="AB117" s="418"/>
      <c r="AC117" s="418"/>
      <c r="AD117" s="418"/>
      <c r="AE117" s="418"/>
      <c r="AF117" s="418"/>
      <c r="AG117" s="418"/>
    </row>
    <row r="118" spans="1:33" ht="15.75" customHeight="1">
      <c r="A118" s="411" t="s">
        <v>2255</v>
      </c>
      <c r="B118" s="388" t="s">
        <v>2750</v>
      </c>
      <c r="C118" s="741"/>
      <c r="D118" s="637" t="s">
        <v>76</v>
      </c>
      <c r="E118" s="415">
        <v>45630</v>
      </c>
      <c r="F118" s="415">
        <v>45631</v>
      </c>
      <c r="G118" s="649"/>
      <c r="H118" s="650">
        <v>45635</v>
      </c>
      <c r="I118" s="742">
        <f ca="1">IF(ISBLANK(H118), NETWORKDAYS(F118, TODAY(),fESTIVOS!$A$1:$A$18), NETWORKDAYS(F118, H118, fESTIVOS!$A$1:$A$18))</f>
        <v>3</v>
      </c>
      <c r="J118" s="650"/>
      <c r="K118" s="650"/>
      <c r="L118" s="743" t="s">
        <v>2751</v>
      </c>
      <c r="M118" s="608"/>
      <c r="N118" s="373"/>
      <c r="O118" s="373"/>
      <c r="P118" s="373"/>
      <c r="Q118" s="373"/>
      <c r="R118" s="373"/>
      <c r="S118" s="373"/>
      <c r="T118" s="373"/>
      <c r="U118" s="373"/>
      <c r="V118" s="373"/>
      <c r="W118" s="373"/>
      <c r="X118" s="373"/>
      <c r="Y118" s="373"/>
      <c r="Z118" s="373"/>
    </row>
    <row r="119" spans="1:33" ht="15.75" customHeight="1">
      <c r="A119" s="396" t="s">
        <v>2245</v>
      </c>
      <c r="B119" s="396" t="s">
        <v>2752</v>
      </c>
      <c r="C119" s="411"/>
      <c r="D119" s="411" t="s">
        <v>76</v>
      </c>
      <c r="E119" s="397">
        <v>45635</v>
      </c>
      <c r="F119" s="397">
        <v>45636</v>
      </c>
      <c r="G119" s="396"/>
      <c r="H119" s="397">
        <v>45636</v>
      </c>
      <c r="I119" s="393">
        <f ca="1">IF(ISBLANK(H119), NETWORKDAYS(F119, TODAY(),fESTIVOS!$A$1:$A$18), NETWORKDAYS(F119, H119, fESTIVOS!$A$1:$A$18))</f>
        <v>1</v>
      </c>
      <c r="J119" s="411"/>
      <c r="K119" s="397">
        <v>45636</v>
      </c>
      <c r="L119" s="696" t="s">
        <v>2753</v>
      </c>
      <c r="M119" s="608"/>
      <c r="N119" s="373"/>
      <c r="O119" s="373"/>
      <c r="P119" s="373"/>
      <c r="Q119" s="373"/>
      <c r="R119" s="373"/>
      <c r="S119" s="373"/>
      <c r="T119" s="373"/>
      <c r="U119" s="373"/>
      <c r="V119" s="373"/>
      <c r="W119" s="373"/>
      <c r="X119" s="373"/>
      <c r="Y119" s="373"/>
      <c r="Z119" s="373"/>
      <c r="AA119" s="418"/>
      <c r="AB119" s="418"/>
      <c r="AC119" s="418"/>
      <c r="AD119" s="418"/>
      <c r="AE119" s="418"/>
      <c r="AF119" s="418"/>
      <c r="AG119" s="418"/>
    </row>
    <row r="120" spans="1:33" ht="15.75" customHeight="1">
      <c r="A120" s="411" t="s">
        <v>2255</v>
      </c>
      <c r="B120" s="744" t="s">
        <v>2754</v>
      </c>
      <c r="C120" s="741"/>
      <c r="D120" s="390" t="s">
        <v>2624</v>
      </c>
      <c r="E120" s="415">
        <v>45631</v>
      </c>
      <c r="F120" s="415">
        <v>45635</v>
      </c>
      <c r="G120" s="415"/>
      <c r="H120" s="415">
        <v>45636</v>
      </c>
      <c r="I120" s="393">
        <f ca="1">IF(ISBLANK(H120), NETWORKDAYS(F120, TODAY(),fESTIVOS!$A$1:$A$18), NETWORKDAYS(F120, H120, fESTIVOS!$A$1:$A$18))</f>
        <v>2</v>
      </c>
      <c r="J120" s="415"/>
      <c r="K120" s="415"/>
      <c r="L120" s="733" t="s">
        <v>2755</v>
      </c>
      <c r="M120" s="608"/>
      <c r="N120" s="373"/>
      <c r="O120" s="373"/>
      <c r="P120" s="373"/>
      <c r="Q120" s="373"/>
      <c r="R120" s="373"/>
      <c r="S120" s="373"/>
      <c r="T120" s="373"/>
      <c r="U120" s="373"/>
      <c r="V120" s="373"/>
      <c r="W120" s="373"/>
      <c r="X120" s="373"/>
      <c r="Y120" s="373"/>
      <c r="Z120" s="373"/>
    </row>
    <row r="121" spans="1:33" ht="15.75" customHeight="1">
      <c r="A121" s="372" t="s">
        <v>2230</v>
      </c>
      <c r="B121" s="610" t="s">
        <v>2756</v>
      </c>
      <c r="C121" s="710"/>
      <c r="D121" s="716" t="s">
        <v>76</v>
      </c>
      <c r="E121" s="717">
        <v>45632</v>
      </c>
      <c r="F121" s="717">
        <v>45632</v>
      </c>
      <c r="G121" s="718"/>
      <c r="H121" s="719">
        <v>45637</v>
      </c>
      <c r="I121" s="385">
        <f ca="1">IF(ISBLANK(H121), NETWORKDAYS(F121, TODAY(),fESTIVOS!$A$1:$A$18), NETWORKDAYS(F121, H121, fESTIVOS!$A$1:$A$18))</f>
        <v>4</v>
      </c>
      <c r="J121" s="719"/>
      <c r="K121" s="719">
        <v>45636</v>
      </c>
      <c r="L121" s="720" t="s">
        <v>2757</v>
      </c>
      <c r="M121" s="745"/>
      <c r="N121" s="745"/>
      <c r="O121" s="745"/>
      <c r="P121" s="745"/>
      <c r="Q121" s="745"/>
      <c r="R121" s="745"/>
      <c r="S121" s="745"/>
      <c r="T121" s="745"/>
      <c r="U121" s="745"/>
      <c r="V121" s="745"/>
      <c r="W121" s="745"/>
      <c r="X121" s="745"/>
      <c r="Y121" s="745"/>
      <c r="Z121" s="745"/>
      <c r="AA121" s="746"/>
      <c r="AB121" s="746"/>
      <c r="AC121" s="746"/>
      <c r="AD121" s="746"/>
      <c r="AE121" s="746"/>
      <c r="AF121" s="746"/>
      <c r="AG121" s="746"/>
    </row>
    <row r="122" spans="1:33" ht="15.75" customHeight="1">
      <c r="A122" s="372" t="s">
        <v>2230</v>
      </c>
      <c r="B122" s="557"/>
      <c r="C122" s="589" t="s">
        <v>2758</v>
      </c>
      <c r="D122" s="716" t="s">
        <v>76</v>
      </c>
      <c r="E122" s="717">
        <v>45637</v>
      </c>
      <c r="F122" s="717">
        <v>45638</v>
      </c>
      <c r="G122" s="718"/>
      <c r="H122" s="713">
        <v>45639</v>
      </c>
      <c r="I122" s="385">
        <f ca="1">IF(ISBLANK(H122), NETWORKDAYS(F122, TODAY(),fESTIVOS!$A$1:$A$18), NETWORKDAYS(F122, H122, fESTIVOS!$A$1:$A$18))</f>
        <v>2</v>
      </c>
      <c r="J122" s="719"/>
      <c r="K122" s="719"/>
      <c r="L122" s="720" t="s">
        <v>2759</v>
      </c>
      <c r="M122" s="745"/>
      <c r="N122" s="745"/>
      <c r="O122" s="745"/>
      <c r="P122" s="745"/>
      <c r="Q122" s="745"/>
      <c r="R122" s="745"/>
      <c r="S122" s="745"/>
      <c r="T122" s="745"/>
      <c r="U122" s="745"/>
      <c r="V122" s="745"/>
      <c r="W122" s="745"/>
      <c r="X122" s="745"/>
      <c r="Y122" s="745"/>
      <c r="Z122" s="745"/>
      <c r="AA122" s="746"/>
      <c r="AB122" s="746"/>
      <c r="AC122" s="746"/>
      <c r="AD122" s="746"/>
      <c r="AE122" s="746"/>
      <c r="AF122" s="746"/>
      <c r="AG122" s="746"/>
    </row>
    <row r="123" spans="1:33" ht="15.75" customHeight="1">
      <c r="A123" s="412" t="s">
        <v>2237</v>
      </c>
      <c r="B123" s="747" t="s">
        <v>2760</v>
      </c>
      <c r="C123" s="748" t="s">
        <v>2761</v>
      </c>
      <c r="D123" s="637" t="s">
        <v>2624</v>
      </c>
      <c r="E123" s="693">
        <v>45636</v>
      </c>
      <c r="F123" s="693">
        <v>45636</v>
      </c>
      <c r="G123" s="693"/>
      <c r="H123" s="693"/>
      <c r="I123" s="694">
        <f ca="1">IF(ISBLANK(H123), NETWORKDAYS(F123, TODAY(),fESTIVOS!$A$1:$A$18), NETWORKDAYS(F123, H123, fESTIVOS!$A$1:$A$18))</f>
        <v>323</v>
      </c>
      <c r="J123" s="749">
        <v>45637</v>
      </c>
      <c r="K123" s="693">
        <v>45638</v>
      </c>
      <c r="L123" s="695" t="s">
        <v>2762</v>
      </c>
      <c r="M123" s="373"/>
      <c r="N123" s="373"/>
      <c r="O123" s="373"/>
      <c r="P123" s="373"/>
      <c r="Q123" s="373"/>
      <c r="R123" s="373"/>
      <c r="S123" s="373"/>
      <c r="T123" s="373"/>
      <c r="U123" s="373"/>
      <c r="V123" s="373"/>
      <c r="W123" s="373"/>
      <c r="X123" s="373"/>
      <c r="Y123" s="373"/>
      <c r="Z123" s="373"/>
    </row>
    <row r="124" spans="1:33" ht="15.75" customHeight="1">
      <c r="A124" s="396" t="s">
        <v>2237</v>
      </c>
      <c r="B124" s="406" t="s">
        <v>2763</v>
      </c>
      <c r="C124" s="414" t="s">
        <v>2764</v>
      </c>
      <c r="D124" s="637" t="s">
        <v>76</v>
      </c>
      <c r="E124" s="415">
        <v>45636</v>
      </c>
      <c r="F124" s="415">
        <v>45636</v>
      </c>
      <c r="G124" s="415"/>
      <c r="H124" s="415">
        <v>45638</v>
      </c>
      <c r="I124" s="393">
        <f ca="1">IF(ISBLANK(H124), NETWORKDAYS(F124, TODAY(),fESTIVOS!$A$1:$A$18), NETWORKDAYS(F124, H124, fESTIVOS!$A$1:$A$18))</f>
        <v>3</v>
      </c>
      <c r="J124" s="415">
        <v>45638</v>
      </c>
      <c r="K124" s="415">
        <v>45638</v>
      </c>
      <c r="L124" s="638" t="s">
        <v>2765</v>
      </c>
      <c r="M124" s="373"/>
      <c r="N124" s="373"/>
      <c r="O124" s="373"/>
      <c r="P124" s="373"/>
      <c r="Q124" s="373"/>
      <c r="R124" s="373"/>
      <c r="S124" s="373"/>
      <c r="T124" s="373"/>
      <c r="U124" s="373"/>
      <c r="V124" s="373"/>
      <c r="W124" s="373"/>
      <c r="X124" s="373"/>
      <c r="Y124" s="373"/>
      <c r="Z124" s="373"/>
    </row>
    <row r="125" spans="1:33" ht="15.75" customHeight="1">
      <c r="A125" s="610" t="s">
        <v>2503</v>
      </c>
      <c r="B125" s="590" t="s">
        <v>2634</v>
      </c>
      <c r="C125" s="750" t="s">
        <v>2766</v>
      </c>
      <c r="D125" s="615" t="s">
        <v>76</v>
      </c>
      <c r="E125" s="684">
        <v>45630</v>
      </c>
      <c r="F125" s="684">
        <v>45631</v>
      </c>
      <c r="G125" s="616"/>
      <c r="H125" s="616">
        <v>45632</v>
      </c>
      <c r="I125" s="617">
        <f ca="1">IF(ISBLANK(H125), NETWORKDAYS(F125, TODAY(),fESTIVOS!$A$1:$A$18), NETWORKDAYS(F125, H125, fESTIVOS!$A$1:$A$18))</f>
        <v>2</v>
      </c>
      <c r="J125" s="376"/>
      <c r="K125" s="616">
        <v>45632</v>
      </c>
      <c r="L125" s="644"/>
      <c r="M125" s="643"/>
      <c r="N125" s="379"/>
      <c r="O125" s="379"/>
      <c r="P125" s="379"/>
      <c r="Q125" s="379"/>
      <c r="R125" s="379"/>
      <c r="S125" s="379"/>
      <c r="T125" s="379"/>
      <c r="U125" s="379"/>
      <c r="V125" s="379"/>
      <c r="W125" s="379"/>
      <c r="X125" s="379"/>
      <c r="Y125" s="379"/>
      <c r="Z125" s="379"/>
    </row>
    <row r="126" spans="1:33" ht="15.75" customHeight="1">
      <c r="A126" s="607" t="s">
        <v>2503</v>
      </c>
      <c r="B126" s="590" t="s">
        <v>2634</v>
      </c>
      <c r="C126" s="751" t="s">
        <v>2767</v>
      </c>
      <c r="D126" s="683" t="s">
        <v>504</v>
      </c>
      <c r="E126" s="684">
        <v>45631</v>
      </c>
      <c r="F126" s="616">
        <v>45631</v>
      </c>
      <c r="G126" s="616"/>
      <c r="H126" s="615"/>
      <c r="I126" s="385">
        <f ca="1">IF(ISBLANK(H126), NETWORKDAYS(F126, TODAY(),fESTIVOS!$A$1:$A$18), NETWORKDAYS(F126, H126, fESTIVOS!$A$1:$A$18))</f>
        <v>326</v>
      </c>
      <c r="J126" s="376"/>
      <c r="K126" s="376"/>
      <c r="L126" s="752"/>
      <c r="M126" s="643"/>
      <c r="N126" s="379"/>
      <c r="O126" s="379"/>
      <c r="P126" s="379"/>
      <c r="Q126" s="379"/>
      <c r="R126" s="379"/>
      <c r="S126" s="379"/>
      <c r="T126" s="379"/>
      <c r="U126" s="379"/>
      <c r="V126" s="379"/>
      <c r="W126" s="379"/>
      <c r="X126" s="379"/>
      <c r="Y126" s="379"/>
      <c r="Z126" s="379"/>
    </row>
    <row r="127" spans="1:33" ht="15.75" customHeight="1">
      <c r="A127" s="710" t="s">
        <v>2230</v>
      </c>
      <c r="B127" s="728" t="s">
        <v>2768</v>
      </c>
      <c r="C127" s="715" t="s">
        <v>2769</v>
      </c>
      <c r="D127" s="716" t="s">
        <v>76</v>
      </c>
      <c r="E127" s="717">
        <v>45642</v>
      </c>
      <c r="F127" s="717">
        <v>45642</v>
      </c>
      <c r="G127" s="718"/>
      <c r="H127" s="719">
        <v>45643</v>
      </c>
      <c r="I127" s="712">
        <f ca="1">IF(ISBLANK(H127), NETWORKDAYS(F127, TODAY(),fESTIVOS!$A$1:$A$18), NETWORKDAYS(F127, H127, fESTIVOS!$A$1:$A$18))</f>
        <v>2</v>
      </c>
      <c r="J127" s="719"/>
      <c r="K127" s="719">
        <v>45643</v>
      </c>
      <c r="L127" s="720"/>
      <c r="M127" s="745"/>
      <c r="N127" s="745"/>
      <c r="O127" s="745"/>
      <c r="P127" s="745"/>
      <c r="Q127" s="745"/>
      <c r="R127" s="745"/>
      <c r="S127" s="745"/>
      <c r="T127" s="745"/>
      <c r="U127" s="745"/>
      <c r="V127" s="745"/>
      <c r="W127" s="745"/>
      <c r="X127" s="745"/>
      <c r="Y127" s="745"/>
      <c r="Z127" s="745"/>
      <c r="AA127" s="746"/>
      <c r="AB127" s="746"/>
      <c r="AC127" s="746"/>
      <c r="AD127" s="746"/>
      <c r="AE127" s="746"/>
      <c r="AF127" s="746"/>
      <c r="AG127" s="746"/>
    </row>
    <row r="128" spans="1:33" ht="15.75" customHeight="1">
      <c r="A128" s="710" t="s">
        <v>2230</v>
      </c>
      <c r="B128" s="728" t="s">
        <v>2770</v>
      </c>
      <c r="C128" s="715"/>
      <c r="D128" s="716" t="s">
        <v>76</v>
      </c>
      <c r="E128" s="717">
        <v>45642</v>
      </c>
      <c r="F128" s="717">
        <v>45642</v>
      </c>
      <c r="G128" s="718"/>
      <c r="H128" s="719">
        <v>45643</v>
      </c>
      <c r="I128" s="712">
        <f ca="1">IF(ISBLANK(H128), NETWORKDAYS(F128, TODAY(),fESTIVOS!$A$1:$A$18), NETWORKDAYS(F128, H128, fESTIVOS!$A$1:$A$18))</f>
        <v>2</v>
      </c>
      <c r="J128" s="719"/>
      <c r="K128" s="719">
        <v>45643</v>
      </c>
      <c r="L128" s="720"/>
      <c r="M128" s="745"/>
      <c r="N128" s="745"/>
      <c r="O128" s="745"/>
      <c r="P128" s="745"/>
      <c r="Q128" s="745"/>
      <c r="R128" s="745"/>
      <c r="S128" s="745"/>
      <c r="T128" s="745"/>
      <c r="U128" s="745"/>
      <c r="V128" s="745"/>
      <c r="W128" s="745"/>
      <c r="X128" s="745"/>
      <c r="Y128" s="745"/>
      <c r="Z128" s="745"/>
      <c r="AA128" s="746"/>
      <c r="AB128" s="746"/>
      <c r="AC128" s="746"/>
      <c r="AD128" s="746"/>
      <c r="AE128" s="746"/>
      <c r="AF128" s="746"/>
      <c r="AG128" s="746"/>
    </row>
    <row r="129" spans="1:33" ht="15.75" customHeight="1">
      <c r="A129" s="610" t="s">
        <v>2503</v>
      </c>
      <c r="B129" s="590"/>
      <c r="C129" s="752" t="s">
        <v>2771</v>
      </c>
      <c r="D129" s="615" t="s">
        <v>76</v>
      </c>
      <c r="E129" s="684">
        <v>45643</v>
      </c>
      <c r="F129" s="684">
        <v>45643</v>
      </c>
      <c r="G129" s="616"/>
      <c r="H129" s="684">
        <v>45643</v>
      </c>
      <c r="I129" s="617">
        <f ca="1">IF(ISBLANK(H129), NETWORKDAYS(F129, TODAY(),fESTIVOS!$A$1:$A$18), NETWORKDAYS(F129, H129, fESTIVOS!$A$1:$A$18))</f>
        <v>1</v>
      </c>
      <c r="J129" s="616"/>
      <c r="K129" s="616"/>
      <c r="L129" s="644"/>
      <c r="M129" s="643"/>
      <c r="N129" s="379"/>
      <c r="O129" s="379"/>
      <c r="P129" s="379"/>
      <c r="Q129" s="379"/>
      <c r="R129" s="379"/>
      <c r="S129" s="379"/>
      <c r="T129" s="379"/>
      <c r="U129" s="379"/>
      <c r="V129" s="379"/>
      <c r="W129" s="379"/>
      <c r="X129" s="379"/>
      <c r="Y129" s="379"/>
      <c r="Z129" s="379"/>
    </row>
    <row r="130" spans="1:33" ht="15.75" customHeight="1">
      <c r="A130" s="396" t="s">
        <v>2245</v>
      </c>
      <c r="B130" s="396" t="s">
        <v>2772</v>
      </c>
      <c r="C130" s="411"/>
      <c r="D130" s="411" t="s">
        <v>76</v>
      </c>
      <c r="E130" s="397">
        <v>45643</v>
      </c>
      <c r="F130" s="397">
        <v>45644</v>
      </c>
      <c r="G130" s="396"/>
      <c r="H130" s="397">
        <v>45644</v>
      </c>
      <c r="I130" s="393">
        <f ca="1">IF(ISBLANK(H130), NETWORKDAYS(F130, TODAY(),fESTIVOS!$A$1:$A$18), NETWORKDAYS(F130, H130, fESTIVOS!$A$1:$A$18))</f>
        <v>1</v>
      </c>
      <c r="J130" s="397">
        <v>45644</v>
      </c>
      <c r="K130" s="411"/>
      <c r="L130" s="696"/>
      <c r="M130" s="608"/>
      <c r="N130" s="373"/>
      <c r="O130" s="373"/>
      <c r="P130" s="373"/>
      <c r="Q130" s="373"/>
      <c r="R130" s="373"/>
      <c r="S130" s="373"/>
      <c r="T130" s="373"/>
      <c r="U130" s="373"/>
      <c r="V130" s="373"/>
      <c r="W130" s="373"/>
      <c r="X130" s="373"/>
      <c r="Y130" s="373"/>
      <c r="Z130" s="373"/>
      <c r="AA130" s="418"/>
      <c r="AB130" s="418"/>
      <c r="AC130" s="418"/>
      <c r="AD130" s="418"/>
      <c r="AE130" s="418"/>
      <c r="AF130" s="418"/>
      <c r="AG130" s="418"/>
    </row>
    <row r="131" spans="1:33" ht="15.75" customHeight="1">
      <c r="A131" s="753" t="s">
        <v>2245</v>
      </c>
      <c r="B131" s="419" t="s">
        <v>2773</v>
      </c>
      <c r="C131" s="754" t="s">
        <v>2774</v>
      </c>
      <c r="D131" s="755" t="s">
        <v>76</v>
      </c>
      <c r="E131" s="650">
        <v>45631</v>
      </c>
      <c r="F131" s="650">
        <v>45631</v>
      </c>
      <c r="G131" s="650"/>
      <c r="H131" s="650">
        <v>45632</v>
      </c>
      <c r="I131" s="742">
        <f ca="1">IF(ISBLANK(H131), NETWORKDAYS(F131, TODAY(),fESTIVOS!$A$1:$A$18), NETWORKDAYS(F131, H131, fESTIVOS!$A$1:$A$18))</f>
        <v>2</v>
      </c>
      <c r="J131" s="650"/>
      <c r="K131" s="650">
        <v>45632</v>
      </c>
      <c r="L131" s="651" t="s">
        <v>2775</v>
      </c>
      <c r="M131" s="373"/>
      <c r="N131" s="373"/>
      <c r="O131" s="373"/>
      <c r="P131" s="373"/>
      <c r="Q131" s="373"/>
      <c r="R131" s="373"/>
      <c r="S131" s="373"/>
      <c r="T131" s="373"/>
      <c r="U131" s="373"/>
      <c r="V131" s="373"/>
      <c r="W131" s="373"/>
      <c r="X131" s="373"/>
      <c r="Y131" s="373"/>
      <c r="Z131" s="373"/>
    </row>
    <row r="132" spans="1:33" ht="15.75" customHeight="1">
      <c r="A132" s="634" t="s">
        <v>2245</v>
      </c>
      <c r="B132" s="412" t="s">
        <v>2776</v>
      </c>
      <c r="C132" s="414" t="s">
        <v>2777</v>
      </c>
      <c r="D132" s="411" t="s">
        <v>76</v>
      </c>
      <c r="E132" s="415">
        <v>45631</v>
      </c>
      <c r="F132" s="415">
        <v>45631</v>
      </c>
      <c r="G132" s="415"/>
      <c r="H132" s="415">
        <v>45632</v>
      </c>
      <c r="I132" s="742">
        <f ca="1">IF(ISBLANK(H132), NETWORKDAYS(F132, TODAY(),fESTIVOS!$A$1:$A$18), NETWORKDAYS(F132, H132, fESTIVOS!$A$1:$A$18))</f>
        <v>2</v>
      </c>
      <c r="J132" s="415"/>
      <c r="K132" s="415">
        <v>45632</v>
      </c>
      <c r="L132" s="638" t="s">
        <v>2775</v>
      </c>
      <c r="M132" s="373"/>
      <c r="N132" s="373"/>
      <c r="O132" s="373"/>
      <c r="P132" s="373"/>
      <c r="Q132" s="373"/>
      <c r="R132" s="373"/>
      <c r="S132" s="373"/>
      <c r="T132" s="373"/>
      <c r="U132" s="373"/>
      <c r="V132" s="373"/>
      <c r="W132" s="373"/>
      <c r="X132" s="373"/>
      <c r="Y132" s="373"/>
      <c r="Z132" s="373"/>
    </row>
    <row r="133" spans="1:33" ht="15.75" customHeight="1">
      <c r="A133" s="756" t="s">
        <v>2245</v>
      </c>
      <c r="B133" s="412" t="s">
        <v>2776</v>
      </c>
      <c r="C133" s="721" t="s">
        <v>2778</v>
      </c>
      <c r="D133" s="411" t="s">
        <v>76</v>
      </c>
      <c r="E133" s="415">
        <v>45631</v>
      </c>
      <c r="F133" s="415">
        <v>45631</v>
      </c>
      <c r="G133" s="693"/>
      <c r="H133" s="415">
        <v>45632</v>
      </c>
      <c r="I133" s="742">
        <f ca="1">IF(ISBLANK(H133), NETWORKDAYS(F133, TODAY(),fESTIVOS!$A$1:$A$18), NETWORKDAYS(F133, H133, fESTIVOS!$A$1:$A$18))</f>
        <v>2</v>
      </c>
      <c r="J133" s="693"/>
      <c r="K133" s="415">
        <v>45632</v>
      </c>
      <c r="L133" s="638" t="s">
        <v>2775</v>
      </c>
      <c r="M133" s="373"/>
      <c r="N133" s="373"/>
      <c r="O133" s="373"/>
      <c r="P133" s="373"/>
      <c r="Q133" s="373"/>
      <c r="R133" s="373"/>
      <c r="S133" s="373"/>
      <c r="T133" s="373"/>
      <c r="U133" s="373"/>
      <c r="V133" s="373"/>
      <c r="W133" s="373"/>
      <c r="X133" s="373"/>
      <c r="Y133" s="373"/>
      <c r="Z133" s="373"/>
    </row>
    <row r="134" spans="1:33" ht="15.75" customHeight="1">
      <c r="A134" s="396" t="s">
        <v>2245</v>
      </c>
      <c r="B134" s="396" t="s">
        <v>2779</v>
      </c>
      <c r="C134" s="390" t="s">
        <v>2780</v>
      </c>
      <c r="D134" s="390" t="s">
        <v>76</v>
      </c>
      <c r="E134" s="415">
        <v>45637</v>
      </c>
      <c r="F134" s="415">
        <v>45637</v>
      </c>
      <c r="G134" s="415">
        <v>45642</v>
      </c>
      <c r="H134" s="415">
        <v>45642</v>
      </c>
      <c r="I134" s="393">
        <f ca="1">IF(ISBLANK(H134), NETWORKDAYS(F134, TODAY(),fESTIVOS!$A$1:$A$18), NETWORKDAYS(F134, H134, fESTIVOS!$A$1:$A$18))</f>
        <v>4</v>
      </c>
      <c r="J134" s="415">
        <v>45642</v>
      </c>
      <c r="K134" s="415">
        <v>45644</v>
      </c>
      <c r="L134" s="414" t="s">
        <v>2781</v>
      </c>
      <c r="M134" s="373"/>
      <c r="N134" s="373"/>
      <c r="O134" s="373"/>
      <c r="P134" s="373"/>
      <c r="Q134" s="373"/>
      <c r="R134" s="373"/>
      <c r="S134" s="373"/>
      <c r="T134" s="373"/>
      <c r="U134" s="373"/>
      <c r="V134" s="373"/>
      <c r="W134" s="373"/>
      <c r="X134" s="373"/>
      <c r="Y134" s="373"/>
      <c r="Z134" s="373"/>
      <c r="AA134" s="373"/>
      <c r="AB134" s="373"/>
      <c r="AC134" s="373"/>
      <c r="AD134" s="373"/>
      <c r="AE134" s="373"/>
      <c r="AF134" s="373"/>
      <c r="AG134" s="373"/>
    </row>
    <row r="135" spans="1:33" ht="15.75" customHeight="1">
      <c r="A135" s="396" t="s">
        <v>2245</v>
      </c>
      <c r="B135" s="396" t="s">
        <v>2779</v>
      </c>
      <c r="C135" s="390" t="s">
        <v>2782</v>
      </c>
      <c r="D135" s="390" t="s">
        <v>76</v>
      </c>
      <c r="E135" s="415">
        <v>45637</v>
      </c>
      <c r="F135" s="415">
        <v>45638</v>
      </c>
      <c r="G135" s="415">
        <v>45642</v>
      </c>
      <c r="H135" s="415">
        <v>45642</v>
      </c>
      <c r="I135" s="393">
        <f ca="1">IF(ISBLANK(H135), NETWORKDAYS(F135, TODAY(),fESTIVOS!$A$1:$A$18), NETWORKDAYS(F135, H135, fESTIVOS!$A$1:$A$18))</f>
        <v>3</v>
      </c>
      <c r="J135" s="415">
        <v>45642</v>
      </c>
      <c r="K135" s="415">
        <v>45644</v>
      </c>
      <c r="L135" s="414" t="s">
        <v>2783</v>
      </c>
      <c r="M135" s="373"/>
      <c r="N135" s="373"/>
      <c r="O135" s="373"/>
      <c r="P135" s="373"/>
      <c r="Q135" s="373"/>
      <c r="R135" s="373"/>
      <c r="S135" s="373"/>
      <c r="T135" s="373"/>
      <c r="U135" s="373"/>
      <c r="V135" s="373"/>
      <c r="W135" s="373"/>
      <c r="X135" s="373"/>
      <c r="Y135" s="373"/>
      <c r="Z135" s="373"/>
      <c r="AA135" s="373"/>
      <c r="AB135" s="373"/>
      <c r="AC135" s="373"/>
      <c r="AD135" s="373"/>
      <c r="AE135" s="373"/>
      <c r="AF135" s="373"/>
      <c r="AG135" s="373"/>
    </row>
    <row r="136" spans="1:33" ht="15.75" customHeight="1">
      <c r="A136" s="607" t="s">
        <v>2503</v>
      </c>
      <c r="B136" s="388" t="s">
        <v>2784</v>
      </c>
      <c r="C136" s="382"/>
      <c r="D136" s="384" t="s">
        <v>76</v>
      </c>
      <c r="E136" s="383">
        <v>45644</v>
      </c>
      <c r="F136" s="383">
        <v>45644</v>
      </c>
      <c r="G136" s="383"/>
      <c r="H136" s="383">
        <v>45644</v>
      </c>
      <c r="I136" s="385">
        <f ca="1">IF(ISBLANK(H136), NETWORKDAYS(F136, TODAY(),fESTIVOS!$A$1:$A$18), NETWORKDAYS(F136, H136, fESTIVOS!$A$1:$A$18))</f>
        <v>1</v>
      </c>
      <c r="J136" s="383"/>
      <c r="K136" s="383"/>
      <c r="L136" s="386"/>
      <c r="M136" s="608"/>
      <c r="N136" s="373"/>
      <c r="O136" s="373"/>
      <c r="P136" s="373"/>
      <c r="Q136" s="373"/>
      <c r="R136" s="373"/>
      <c r="S136" s="373"/>
      <c r="T136" s="373"/>
      <c r="U136" s="373"/>
      <c r="V136" s="373"/>
      <c r="W136" s="373"/>
      <c r="X136" s="373"/>
      <c r="Y136" s="373"/>
      <c r="Z136" s="373"/>
      <c r="AA136" s="418"/>
      <c r="AB136" s="418"/>
      <c r="AC136" s="418"/>
      <c r="AD136" s="418"/>
      <c r="AE136" s="418"/>
      <c r="AF136" s="418"/>
      <c r="AG136" s="418"/>
    </row>
    <row r="137" spans="1:33" ht="15.75" customHeight="1">
      <c r="A137" s="610" t="s">
        <v>2503</v>
      </c>
      <c r="B137" s="610" t="s">
        <v>2634</v>
      </c>
      <c r="C137" s="752" t="s">
        <v>2785</v>
      </c>
      <c r="D137" s="615" t="s">
        <v>2624</v>
      </c>
      <c r="E137" s="684">
        <v>45643</v>
      </c>
      <c r="F137" s="684">
        <v>45643</v>
      </c>
      <c r="G137" s="616"/>
      <c r="H137" s="616"/>
      <c r="I137" s="617">
        <f ca="1">IF(ISBLANK(H137), NETWORKDAYS(F137, TODAY(),fESTIVOS!$A$1:$A$18), NETWORKDAYS(F137, H137, fESTIVOS!$A$1:$A$18))</f>
        <v>318</v>
      </c>
      <c r="J137" s="684">
        <v>45643</v>
      </c>
      <c r="K137" s="616">
        <v>45644</v>
      </c>
      <c r="L137" s="757" t="s">
        <v>2786</v>
      </c>
      <c r="M137" s="643"/>
      <c r="N137" s="379"/>
      <c r="O137" s="379"/>
      <c r="P137" s="379"/>
      <c r="Q137" s="379"/>
      <c r="R137" s="379"/>
      <c r="S137" s="379"/>
      <c r="T137" s="379"/>
      <c r="U137" s="379"/>
      <c r="V137" s="379"/>
      <c r="W137" s="379"/>
      <c r="X137" s="379"/>
      <c r="Y137" s="379"/>
      <c r="Z137" s="379"/>
    </row>
    <row r="138" spans="1:33" ht="15.75" customHeight="1">
      <c r="A138" s="610" t="s">
        <v>2503</v>
      </c>
      <c r="B138" s="613"/>
      <c r="C138" s="752" t="s">
        <v>2787</v>
      </c>
      <c r="D138" s="615" t="s">
        <v>2624</v>
      </c>
      <c r="E138" s="684">
        <v>45643</v>
      </c>
      <c r="F138" s="684">
        <v>45643</v>
      </c>
      <c r="G138" s="616"/>
      <c r="H138" s="616"/>
      <c r="I138" s="617">
        <f ca="1">IF(ISBLANK(H138), NETWORKDAYS(F138, TODAY(),fESTIVOS!$A$1:$A$18), NETWORKDAYS(F138, H138, fESTIVOS!$A$1:$A$18))</f>
        <v>318</v>
      </c>
      <c r="J138" s="684">
        <v>45643</v>
      </c>
      <c r="K138" s="616">
        <v>45644</v>
      </c>
      <c r="L138" s="644" t="s">
        <v>2786</v>
      </c>
      <c r="M138" s="643"/>
      <c r="N138" s="379"/>
      <c r="O138" s="379"/>
      <c r="P138" s="379"/>
      <c r="Q138" s="379"/>
      <c r="R138" s="379"/>
      <c r="S138" s="379"/>
      <c r="T138" s="379"/>
      <c r="U138" s="379"/>
      <c r="V138" s="379"/>
      <c r="W138" s="379"/>
      <c r="X138" s="379"/>
      <c r="Y138" s="379"/>
      <c r="Z138" s="379"/>
    </row>
    <row r="139" spans="1:33" ht="15.75" customHeight="1">
      <c r="A139" s="710" t="s">
        <v>2230</v>
      </c>
      <c r="B139" s="715" t="s">
        <v>2788</v>
      </c>
      <c r="C139" s="710"/>
      <c r="D139" s="723" t="s">
        <v>2624</v>
      </c>
      <c r="E139" s="717">
        <v>45644</v>
      </c>
      <c r="F139" s="717">
        <v>45645</v>
      </c>
      <c r="G139" s="718"/>
      <c r="H139" s="719">
        <v>45645</v>
      </c>
      <c r="I139" s="385">
        <f ca="1">IF(ISBLANK(H139), NETWORKDAYS(F139, TODAY(),fESTIVOS!$A$1:$A$18), NETWORKDAYS(F139, H139, fESTIVOS!$A$1:$A$18))</f>
        <v>1</v>
      </c>
      <c r="J139" s="719">
        <v>45645</v>
      </c>
      <c r="K139" s="719">
        <v>45645</v>
      </c>
      <c r="L139" s="720"/>
      <c r="M139" s="745"/>
      <c r="N139" s="745"/>
      <c r="O139" s="745"/>
      <c r="P139" s="745"/>
      <c r="Q139" s="745"/>
      <c r="R139" s="745"/>
      <c r="S139" s="745"/>
      <c r="T139" s="745"/>
      <c r="U139" s="745"/>
      <c r="V139" s="745"/>
      <c r="W139" s="745"/>
      <c r="X139" s="745"/>
      <c r="Y139" s="745"/>
      <c r="Z139" s="745"/>
      <c r="AA139" s="746"/>
      <c r="AB139" s="746"/>
      <c r="AC139" s="746"/>
      <c r="AD139" s="746"/>
      <c r="AE139" s="746"/>
      <c r="AF139" s="746"/>
      <c r="AG139" s="746"/>
    </row>
    <row r="140" spans="1:33" ht="15.75" customHeight="1">
      <c r="A140" s="372" t="s">
        <v>2230</v>
      </c>
      <c r="B140" s="610" t="s">
        <v>2789</v>
      </c>
      <c r="C140" s="372" t="s">
        <v>2790</v>
      </c>
      <c r="D140" s="605" t="s">
        <v>2624</v>
      </c>
      <c r="E140" s="383">
        <v>45635</v>
      </c>
      <c r="F140" s="383">
        <v>45636</v>
      </c>
      <c r="G140" s="383">
        <v>45637</v>
      </c>
      <c r="H140" s="713">
        <v>45639</v>
      </c>
      <c r="I140" s="385">
        <f ca="1">IF(ISBLANK(H140), NETWORKDAYS(F140, TODAY(),fESTIVOS!$A$1:$A$18), NETWORKDAYS(F140, H140, fESTIVOS!$A$1:$A$18))</f>
        <v>4</v>
      </c>
      <c r="J140" s="713"/>
      <c r="K140" s="713"/>
      <c r="L140" s="606" t="s">
        <v>2791</v>
      </c>
      <c r="M140" s="373"/>
      <c r="N140" s="373"/>
      <c r="O140" s="373"/>
      <c r="P140" s="373"/>
      <c r="Q140" s="373"/>
      <c r="R140" s="373"/>
      <c r="S140" s="373"/>
      <c r="T140" s="373"/>
      <c r="U140" s="373"/>
      <c r="V140" s="373"/>
      <c r="W140" s="373"/>
      <c r="X140" s="373"/>
      <c r="Y140" s="373"/>
      <c r="Z140" s="373"/>
    </row>
    <row r="141" spans="1:33" ht="15.75" customHeight="1">
      <c r="A141" s="372" t="s">
        <v>2230</v>
      </c>
      <c r="B141" s="613"/>
      <c r="C141" s="607" t="s">
        <v>2792</v>
      </c>
      <c r="D141" s="607" t="s">
        <v>2624</v>
      </c>
      <c r="E141" s="383">
        <v>45636</v>
      </c>
      <c r="F141" s="383">
        <v>45636</v>
      </c>
      <c r="G141" s="383"/>
      <c r="H141" s="383">
        <v>45636</v>
      </c>
      <c r="I141" s="385">
        <f ca="1">IF(ISBLANK(H141), NETWORKDAYS(F141, TODAY(),fESTIVOS!$A$1:$A$18), NETWORKDAYS(F141, H141, fESTIVOS!$A$1:$A$18))</f>
        <v>1</v>
      </c>
      <c r="J141" s="713"/>
      <c r="K141" s="383">
        <v>45636</v>
      </c>
      <c r="L141" s="758" t="s">
        <v>2793</v>
      </c>
      <c r="M141" s="373"/>
      <c r="N141" s="373"/>
      <c r="O141" s="373"/>
      <c r="P141" s="373"/>
      <c r="Q141" s="373"/>
      <c r="R141" s="373"/>
      <c r="S141" s="373"/>
      <c r="T141" s="373"/>
      <c r="U141" s="373"/>
      <c r="V141" s="373"/>
      <c r="W141" s="373"/>
      <c r="X141" s="373"/>
      <c r="Y141" s="373"/>
      <c r="Z141" s="373"/>
    </row>
    <row r="142" spans="1:33" ht="15.75" customHeight="1">
      <c r="A142" s="372" t="s">
        <v>2230</v>
      </c>
      <c r="B142" s="613"/>
      <c r="C142" s="372" t="s">
        <v>2794</v>
      </c>
      <c r="D142" s="607" t="s">
        <v>2624</v>
      </c>
      <c r="E142" s="383">
        <v>45637</v>
      </c>
      <c r="F142" s="383">
        <v>45636</v>
      </c>
      <c r="G142" s="383"/>
      <c r="H142" s="713"/>
      <c r="I142" s="385">
        <f ca="1">IF(ISBLANK(H142), NETWORKDAYS(F142, TODAY(),fESTIVOS!$A$1:$A$18), NETWORKDAYS(F142, H142, fESTIVOS!$A$1:$A$18))</f>
        <v>323</v>
      </c>
      <c r="J142" s="713"/>
      <c r="K142" s="713"/>
      <c r="L142" s="606" t="s">
        <v>2795</v>
      </c>
      <c r="M142" s="373"/>
      <c r="N142" s="373"/>
      <c r="O142" s="373"/>
      <c r="P142" s="373"/>
      <c r="Q142" s="373"/>
      <c r="R142" s="373"/>
      <c r="S142" s="373"/>
      <c r="T142" s="373"/>
      <c r="U142" s="373"/>
      <c r="V142" s="373"/>
      <c r="W142" s="373"/>
      <c r="X142" s="373"/>
      <c r="Y142" s="373"/>
      <c r="Z142" s="373"/>
    </row>
    <row r="143" spans="1:33" ht="15.75" customHeight="1">
      <c r="A143" s="372" t="s">
        <v>2230</v>
      </c>
      <c r="B143" s="557"/>
      <c r="C143" s="589" t="s">
        <v>2796</v>
      </c>
      <c r="D143" s="607" t="s">
        <v>2624</v>
      </c>
      <c r="E143" s="383">
        <v>45637</v>
      </c>
      <c r="F143" s="383">
        <v>45636</v>
      </c>
      <c r="G143" s="383"/>
      <c r="H143" s="713">
        <v>45639</v>
      </c>
      <c r="I143" s="385">
        <f ca="1">IF(ISBLANK(H143), NETWORKDAYS(F143, TODAY(),fESTIVOS!$A$1:$A$18), NETWORKDAYS(F143, H143, fESTIVOS!$A$1:$A$18))</f>
        <v>4</v>
      </c>
      <c r="J143" s="713"/>
      <c r="K143" s="713">
        <v>45639</v>
      </c>
      <c r="L143" s="606" t="s">
        <v>2797</v>
      </c>
      <c r="M143" s="373"/>
      <c r="N143" s="373"/>
      <c r="O143" s="373"/>
      <c r="P143" s="373"/>
      <c r="Q143" s="373"/>
      <c r="R143" s="373"/>
      <c r="S143" s="373"/>
      <c r="T143" s="373"/>
      <c r="U143" s="373"/>
      <c r="V143" s="373"/>
      <c r="W143" s="373"/>
      <c r="X143" s="373"/>
      <c r="Y143" s="373"/>
      <c r="Z143" s="373"/>
    </row>
    <row r="144" spans="1:33" ht="15.75" customHeight="1">
      <c r="A144" s="396" t="s">
        <v>2245</v>
      </c>
      <c r="B144" s="396" t="s">
        <v>2798</v>
      </c>
      <c r="C144" s="411"/>
      <c r="D144" s="411" t="s">
        <v>11</v>
      </c>
      <c r="E144" s="397">
        <v>45644</v>
      </c>
      <c r="F144" s="397">
        <v>45644</v>
      </c>
      <c r="G144" s="396"/>
      <c r="H144" s="411"/>
      <c r="I144" s="393">
        <f ca="1">IF(ISBLANK(H144), NETWORKDAYS(F144, TODAY(),fESTIVOS!$A$1:$A$18), NETWORKDAYS(F144, H144, fESTIVOS!$A$1:$A$18))</f>
        <v>317</v>
      </c>
      <c r="J144" s="411"/>
      <c r="K144" s="411"/>
      <c r="L144" s="696" t="s">
        <v>2799</v>
      </c>
      <c r="M144" s="608"/>
      <c r="N144" s="373"/>
      <c r="O144" s="373"/>
      <c r="P144" s="373"/>
      <c r="Q144" s="373"/>
      <c r="R144" s="373"/>
      <c r="S144" s="373"/>
      <c r="T144" s="373"/>
      <c r="U144" s="373"/>
      <c r="V144" s="373"/>
      <c r="W144" s="373"/>
      <c r="X144" s="373"/>
      <c r="Y144" s="373"/>
      <c r="Z144" s="373"/>
      <c r="AA144" s="418"/>
      <c r="AB144" s="418"/>
      <c r="AC144" s="418"/>
      <c r="AD144" s="418"/>
      <c r="AE144" s="418"/>
      <c r="AF144" s="418"/>
      <c r="AG144" s="418"/>
    </row>
    <row r="145" spans="1:33" ht="15.75" customHeight="1">
      <c r="A145" s="405" t="s">
        <v>2230</v>
      </c>
      <c r="B145" s="396" t="s">
        <v>2800</v>
      </c>
      <c r="C145" s="636"/>
      <c r="D145" s="637" t="s">
        <v>76</v>
      </c>
      <c r="E145" s="415">
        <v>45653</v>
      </c>
      <c r="F145" s="415">
        <v>45653</v>
      </c>
      <c r="G145" s="415"/>
      <c r="H145" s="415">
        <v>45653</v>
      </c>
      <c r="I145" s="409">
        <f ca="1">IF(ISBLANK(H145), NETWORKDAYS(F145, TODAY(),fESTIVOS!$A$1:$A$18), NETWORKDAYS(F145, H145, fESTIVOS!$A$1:$A$18))</f>
        <v>1</v>
      </c>
      <c r="J145" s="415"/>
      <c r="K145" s="415"/>
      <c r="L145" s="638"/>
      <c r="M145" s="373"/>
      <c r="N145" s="373"/>
      <c r="O145" s="373"/>
      <c r="P145" s="373"/>
      <c r="Q145" s="373"/>
      <c r="R145" s="373"/>
      <c r="S145" s="373"/>
      <c r="T145" s="373"/>
      <c r="U145" s="373"/>
      <c r="V145" s="373"/>
      <c r="W145" s="373"/>
      <c r="X145" s="373"/>
      <c r="Y145" s="373"/>
      <c r="Z145" s="373"/>
    </row>
    <row r="146" spans="1:33" ht="15.75" customHeight="1">
      <c r="A146" s="405" t="s">
        <v>2230</v>
      </c>
      <c r="B146" s="396" t="s">
        <v>2801</v>
      </c>
      <c r="C146" s="636"/>
      <c r="D146" s="390" t="s">
        <v>2624</v>
      </c>
      <c r="E146" s="415">
        <v>45653</v>
      </c>
      <c r="F146" s="415">
        <v>45653</v>
      </c>
      <c r="G146" s="415"/>
      <c r="H146" s="415">
        <v>45653</v>
      </c>
      <c r="I146" s="409">
        <f ca="1">IF(ISBLANK(H146), NETWORKDAYS(F146, TODAY(),fESTIVOS!$A$1:$A$18), NETWORKDAYS(F146, H146, fESTIVOS!$A$1:$A$18))</f>
        <v>1</v>
      </c>
      <c r="J146" s="415"/>
      <c r="K146" s="415">
        <v>45653</v>
      </c>
      <c r="L146" s="638" t="s">
        <v>2802</v>
      </c>
      <c r="M146" s="373"/>
      <c r="N146" s="373"/>
      <c r="O146" s="373"/>
      <c r="P146" s="373"/>
      <c r="Q146" s="373"/>
      <c r="R146" s="373"/>
      <c r="S146" s="373"/>
      <c r="T146" s="373"/>
      <c r="U146" s="373"/>
      <c r="V146" s="373"/>
      <c r="W146" s="373"/>
      <c r="X146" s="373"/>
      <c r="Y146" s="373"/>
      <c r="Z146" s="373"/>
    </row>
    <row r="147" spans="1:33" ht="15.75" customHeight="1">
      <c r="A147" s="396" t="s">
        <v>2245</v>
      </c>
      <c r="B147" s="396" t="s">
        <v>2803</v>
      </c>
      <c r="C147" s="390"/>
      <c r="D147" s="390" t="s">
        <v>76</v>
      </c>
      <c r="E147" s="415">
        <v>45660</v>
      </c>
      <c r="F147" s="415">
        <v>45660</v>
      </c>
      <c r="G147" s="637"/>
      <c r="H147" s="415">
        <v>45660</v>
      </c>
      <c r="I147" s="393">
        <f ca="1">IF(ISBLANK(H147), NETWORKDAYS(F147, TODAY(),fESTIVOS!$A$1:$A$18), NETWORKDAYS(F147, H147, fESTIVOS!$A$1:$A$18))</f>
        <v>1</v>
      </c>
      <c r="J147" s="637"/>
      <c r="K147" s="637"/>
      <c r="L147" s="414"/>
      <c r="M147" s="373"/>
      <c r="N147" s="373"/>
      <c r="O147" s="373"/>
      <c r="P147" s="373"/>
      <c r="Q147" s="373"/>
      <c r="R147" s="373"/>
      <c r="S147" s="373"/>
      <c r="T147" s="373"/>
      <c r="U147" s="373"/>
      <c r="V147" s="373"/>
      <c r="W147" s="373"/>
      <c r="X147" s="373"/>
      <c r="Y147" s="373"/>
      <c r="Z147" s="373"/>
      <c r="AA147" s="373"/>
      <c r="AB147" s="373"/>
      <c r="AC147" s="373"/>
      <c r="AD147" s="373"/>
      <c r="AE147" s="373"/>
      <c r="AF147" s="373"/>
      <c r="AG147" s="373"/>
    </row>
    <row r="148" spans="1:33" ht="15.75" customHeight="1">
      <c r="A148" s="396" t="s">
        <v>2245</v>
      </c>
      <c r="B148" s="396" t="s">
        <v>2804</v>
      </c>
      <c r="C148" s="390"/>
      <c r="D148" s="390" t="s">
        <v>76</v>
      </c>
      <c r="E148" s="415">
        <v>45650</v>
      </c>
      <c r="F148" s="415">
        <v>45650</v>
      </c>
      <c r="G148" s="637"/>
      <c r="H148" s="415">
        <v>45656</v>
      </c>
      <c r="I148" s="393">
        <f ca="1">IF(ISBLANK(H148), NETWORKDAYS(F148, TODAY(),fESTIVOS!$A$1:$A$18), NETWORKDAYS(F148, H148, fESTIVOS!$A$1:$A$18))</f>
        <v>4</v>
      </c>
      <c r="J148" s="637"/>
      <c r="K148" s="637"/>
      <c r="L148" s="414"/>
      <c r="M148" s="373"/>
      <c r="N148" s="373"/>
      <c r="O148" s="373"/>
      <c r="P148" s="373"/>
      <c r="Q148" s="373"/>
      <c r="R148" s="373"/>
      <c r="S148" s="373"/>
      <c r="T148" s="373"/>
      <c r="U148" s="373"/>
      <c r="V148" s="373"/>
      <c r="W148" s="373"/>
      <c r="X148" s="373"/>
      <c r="Y148" s="373"/>
      <c r="Z148" s="373"/>
      <c r="AA148" s="373"/>
      <c r="AB148" s="373"/>
      <c r="AC148" s="373"/>
      <c r="AD148" s="373"/>
      <c r="AE148" s="373"/>
      <c r="AF148" s="373"/>
      <c r="AG148" s="373"/>
    </row>
    <row r="149" spans="1:33" ht="15.75" customHeight="1">
      <c r="A149" s="396" t="s">
        <v>2245</v>
      </c>
      <c r="B149" s="396" t="s">
        <v>2805</v>
      </c>
      <c r="C149" s="390"/>
      <c r="D149" s="390" t="s">
        <v>76</v>
      </c>
      <c r="E149" s="415">
        <v>45656</v>
      </c>
      <c r="F149" s="415">
        <v>45659</v>
      </c>
      <c r="G149" s="637"/>
      <c r="H149" s="415">
        <v>45659</v>
      </c>
      <c r="I149" s="393">
        <f ca="1">IF(ISBLANK(H149), NETWORKDAYS(F149, TODAY(),fESTIVOS!$A$1:$A$18), NETWORKDAYS(F149, H149, fESTIVOS!$A$1:$A$18))</f>
        <v>1</v>
      </c>
      <c r="J149" s="637"/>
      <c r="K149" s="637"/>
      <c r="L149" s="414" t="s">
        <v>2806</v>
      </c>
      <c r="M149" s="373"/>
      <c r="N149" s="373"/>
      <c r="O149" s="373"/>
      <c r="P149" s="373"/>
      <c r="Q149" s="373"/>
      <c r="R149" s="373"/>
      <c r="S149" s="373"/>
      <c r="T149" s="373"/>
      <c r="U149" s="373"/>
      <c r="V149" s="373"/>
      <c r="W149" s="373"/>
      <c r="X149" s="373"/>
      <c r="Y149" s="373"/>
      <c r="Z149" s="373"/>
      <c r="AA149" s="373"/>
      <c r="AB149" s="373"/>
      <c r="AC149" s="373"/>
      <c r="AD149" s="373"/>
      <c r="AE149" s="373"/>
      <c r="AF149" s="373"/>
      <c r="AG149" s="373"/>
    </row>
    <row r="150" spans="1:33" ht="15.75" customHeight="1">
      <c r="A150" s="396" t="s">
        <v>2237</v>
      </c>
      <c r="B150" s="759" t="s">
        <v>2807</v>
      </c>
      <c r="C150" s="760"/>
      <c r="D150" s="761" t="s">
        <v>76</v>
      </c>
      <c r="E150" s="762">
        <v>45639</v>
      </c>
      <c r="F150" s="762">
        <v>45642</v>
      </c>
      <c r="G150" s="760"/>
      <c r="H150" s="762">
        <v>45653</v>
      </c>
      <c r="I150" s="694">
        <f ca="1">IF(ISBLANK(H150), NETWORKDAYS(F150, TODAY(),fESTIVOS!$A$1:$A$18), NETWORKDAYS(F150, H150, fESTIVOS!$A$1:$A$18))</f>
        <v>9</v>
      </c>
      <c r="J150" s="760"/>
      <c r="K150" s="760"/>
      <c r="L150" s="763" t="s">
        <v>2808</v>
      </c>
      <c r="M150" s="404"/>
      <c r="N150" s="404"/>
      <c r="O150" s="404"/>
      <c r="P150" s="404"/>
      <c r="Q150" s="404"/>
      <c r="R150" s="404"/>
      <c r="S150" s="404"/>
      <c r="T150" s="404"/>
      <c r="U150" s="404"/>
      <c r="V150" s="404"/>
      <c r="W150" s="404"/>
      <c r="X150" s="404"/>
      <c r="Y150" s="404"/>
      <c r="Z150" s="404"/>
      <c r="AA150" s="404"/>
      <c r="AB150" s="404"/>
      <c r="AC150" s="404"/>
      <c r="AD150" s="404"/>
      <c r="AE150" s="404"/>
      <c r="AF150" s="404"/>
      <c r="AG150" s="404"/>
    </row>
    <row r="151" spans="1:33" ht="15.75" customHeight="1">
      <c r="A151" s="411" t="s">
        <v>2255</v>
      </c>
      <c r="B151" s="764" t="s">
        <v>2809</v>
      </c>
      <c r="C151" s="413"/>
      <c r="D151" s="637" t="s">
        <v>76</v>
      </c>
      <c r="E151" s="415">
        <v>45656</v>
      </c>
      <c r="F151" s="415">
        <v>45656</v>
      </c>
      <c r="G151" s="413"/>
      <c r="H151" s="415">
        <v>45656</v>
      </c>
      <c r="I151" s="393">
        <f ca="1">IF(ISBLANK(H151), NETWORKDAYS(F151, TODAY(),fESTIVOS!$A$1:$A$18), NETWORKDAYS(F151, H151, fESTIVOS!$A$1:$A$18))</f>
        <v>1</v>
      </c>
      <c r="J151" s="413"/>
      <c r="K151" s="415">
        <v>45656</v>
      </c>
      <c r="L151" s="413"/>
      <c r="M151" s="418"/>
      <c r="N151" s="418"/>
      <c r="O151" s="418"/>
      <c r="P151" s="418"/>
      <c r="Q151" s="418"/>
      <c r="R151" s="418"/>
      <c r="S151" s="418"/>
      <c r="T151" s="418"/>
      <c r="U151" s="418"/>
      <c r="V151" s="418"/>
      <c r="W151" s="418"/>
      <c r="X151" s="418"/>
      <c r="Y151" s="418"/>
      <c r="Z151" s="418"/>
    </row>
    <row r="152" spans="1:33" ht="15.75" customHeight="1">
      <c r="A152" s="396" t="s">
        <v>2245</v>
      </c>
      <c r="B152" s="396" t="s">
        <v>2810</v>
      </c>
      <c r="C152" s="390" t="s">
        <v>2811</v>
      </c>
      <c r="D152" s="390" t="s">
        <v>76</v>
      </c>
      <c r="E152" s="415">
        <v>45664</v>
      </c>
      <c r="F152" s="415">
        <v>45664</v>
      </c>
      <c r="G152" s="637"/>
      <c r="H152" s="415">
        <v>45664</v>
      </c>
      <c r="I152" s="393">
        <f ca="1">IF(ISBLANK(H152), NETWORKDAYS(F152, TODAY(),fESTIVOS!$A$1:$A$18), NETWORKDAYS(F152, H152, fESTIVOS!$A$1:$A$18))</f>
        <v>1</v>
      </c>
      <c r="J152" s="637"/>
      <c r="K152" s="637"/>
      <c r="L152" s="414" t="s">
        <v>2812</v>
      </c>
    </row>
    <row r="153" spans="1:33" ht="15.75" customHeight="1">
      <c r="A153" s="396" t="s">
        <v>2245</v>
      </c>
      <c r="B153" s="412" t="s">
        <v>2813</v>
      </c>
      <c r="C153" s="390" t="s">
        <v>2814</v>
      </c>
      <c r="D153" s="390" t="s">
        <v>76</v>
      </c>
      <c r="E153" s="415">
        <v>45656</v>
      </c>
      <c r="F153" s="415">
        <v>45665</v>
      </c>
      <c r="G153" s="637"/>
      <c r="H153" s="415">
        <v>45665</v>
      </c>
      <c r="I153" s="393">
        <f ca="1">IF(ISBLANK(H153), NETWORKDAYS(F153, TODAY(),fESTIVOS!$A$1:$A$18), NETWORKDAYS(F153, H153, fESTIVOS!$A$1:$A$18))</f>
        <v>1</v>
      </c>
      <c r="J153" s="415">
        <v>45665</v>
      </c>
      <c r="K153" s="637"/>
      <c r="L153" s="414"/>
      <c r="M153" s="373"/>
      <c r="N153" s="373"/>
      <c r="O153" s="373"/>
      <c r="P153" s="373"/>
      <c r="Q153" s="373"/>
      <c r="R153" s="373"/>
      <c r="S153" s="373"/>
      <c r="T153" s="373"/>
      <c r="U153" s="373"/>
      <c r="V153" s="373"/>
      <c r="W153" s="373"/>
      <c r="X153" s="373"/>
      <c r="Y153" s="373"/>
      <c r="Z153" s="373"/>
      <c r="AA153" s="373"/>
      <c r="AB153" s="373"/>
      <c r="AC153" s="373"/>
      <c r="AD153" s="373"/>
      <c r="AE153" s="373"/>
      <c r="AF153" s="373"/>
      <c r="AG153" s="373"/>
    </row>
    <row r="154" spans="1:33" ht="15.75" customHeight="1">
      <c r="A154" s="396" t="s">
        <v>2245</v>
      </c>
      <c r="B154" s="557"/>
      <c r="C154" s="390" t="s">
        <v>2815</v>
      </c>
      <c r="D154" s="390" t="s">
        <v>76</v>
      </c>
      <c r="E154" s="415">
        <v>45656</v>
      </c>
      <c r="F154" s="415">
        <v>45665</v>
      </c>
      <c r="G154" s="637"/>
      <c r="H154" s="415">
        <v>45665</v>
      </c>
      <c r="I154" s="393">
        <f ca="1">IF(ISBLANK(H154), NETWORKDAYS(F154, TODAY(),fESTIVOS!$A$1:$A$18), NETWORKDAYS(F154, H154, fESTIVOS!$A$1:$A$18))</f>
        <v>1</v>
      </c>
      <c r="J154" s="415">
        <v>45665</v>
      </c>
      <c r="K154" s="637"/>
      <c r="L154" s="414"/>
      <c r="M154" s="373"/>
      <c r="N154" s="373"/>
      <c r="O154" s="373"/>
      <c r="P154" s="373"/>
      <c r="Q154" s="373"/>
      <c r="R154" s="373"/>
      <c r="S154" s="373"/>
      <c r="T154" s="373"/>
      <c r="U154" s="373"/>
      <c r="V154" s="373"/>
      <c r="W154" s="373"/>
      <c r="X154" s="373"/>
      <c r="Y154" s="373"/>
      <c r="Z154" s="373"/>
      <c r="AA154" s="373"/>
      <c r="AB154" s="373"/>
      <c r="AC154" s="373"/>
      <c r="AD154" s="373"/>
      <c r="AE154" s="373"/>
      <c r="AF154" s="373"/>
      <c r="AG154" s="373"/>
    </row>
    <row r="155" spans="1:33" ht="15.75" customHeight="1">
      <c r="A155" s="396" t="s">
        <v>2503</v>
      </c>
      <c r="B155" s="389" t="s">
        <v>2816</v>
      </c>
      <c r="C155" s="414"/>
      <c r="D155" s="637" t="s">
        <v>76</v>
      </c>
      <c r="E155" s="415">
        <v>45666</v>
      </c>
      <c r="F155" s="415">
        <v>45666</v>
      </c>
      <c r="G155" s="415"/>
      <c r="H155" s="415">
        <v>45666</v>
      </c>
      <c r="I155" s="393">
        <f ca="1">IF(ISBLANK(H155), NETWORKDAYS(F155, TODAY(),fESTIVOS!$A$1:$A$18), NETWORKDAYS(F155, H155, fESTIVOS!$A$1:$A$18))</f>
        <v>1</v>
      </c>
      <c r="J155" s="415"/>
      <c r="K155" s="415"/>
      <c r="L155" s="638"/>
      <c r="M155" s="765"/>
      <c r="N155" s="570"/>
      <c r="O155" s="571"/>
      <c r="P155" s="570"/>
      <c r="Q155" s="571"/>
      <c r="R155" s="570"/>
      <c r="S155" s="571"/>
      <c r="T155" s="570"/>
      <c r="U155" s="571"/>
      <c r="V155" s="570"/>
      <c r="W155" s="571"/>
      <c r="X155" s="570"/>
      <c r="Y155" s="571"/>
      <c r="Z155" s="570"/>
      <c r="AA155" s="571"/>
      <c r="AB155" s="570"/>
      <c r="AC155" s="571"/>
      <c r="AD155" s="570"/>
      <c r="AE155" s="571"/>
      <c r="AF155" s="570"/>
      <c r="AG155" s="571"/>
    </row>
    <row r="156" spans="1:33" ht="15.75" customHeight="1">
      <c r="A156" s="396" t="s">
        <v>2503</v>
      </c>
      <c r="B156" s="766" t="s">
        <v>2817</v>
      </c>
      <c r="C156" s="414" t="s">
        <v>2818</v>
      </c>
      <c r="D156" s="390" t="s">
        <v>76</v>
      </c>
      <c r="E156" s="415">
        <v>45664</v>
      </c>
      <c r="F156" s="415">
        <v>45664</v>
      </c>
      <c r="G156" s="415"/>
      <c r="H156" s="415">
        <v>45667</v>
      </c>
      <c r="I156" s="393">
        <f ca="1">IF(ISBLANK(H156), NETWORKDAYS(F156, TODAY(),fESTIVOS!$A$1:$A$18), NETWORKDAYS(F156, H156, fESTIVOS!$A$1:$A$18))</f>
        <v>4</v>
      </c>
      <c r="J156" s="415"/>
      <c r="K156" s="415"/>
      <c r="L156" s="638" t="s">
        <v>2819</v>
      </c>
      <c r="M156" s="608"/>
      <c r="N156" s="373"/>
      <c r="O156" s="373"/>
      <c r="P156" s="373"/>
      <c r="Q156" s="373"/>
      <c r="R156" s="373"/>
      <c r="S156" s="373"/>
      <c r="T156" s="373"/>
      <c r="U156" s="373"/>
      <c r="V156" s="373"/>
      <c r="W156" s="373"/>
      <c r="X156" s="373"/>
      <c r="Y156" s="373"/>
      <c r="Z156" s="373"/>
    </row>
    <row r="157" spans="1:33" ht="15.75" customHeight="1">
      <c r="A157" s="396" t="s">
        <v>2245</v>
      </c>
      <c r="B157" s="738" t="s">
        <v>2820</v>
      </c>
      <c r="C157" s="767"/>
      <c r="D157" s="390" t="s">
        <v>2232</v>
      </c>
      <c r="E157" s="415">
        <v>45609</v>
      </c>
      <c r="F157" s="415">
        <v>45610</v>
      </c>
      <c r="G157" s="391">
        <v>45622</v>
      </c>
      <c r="H157" s="391">
        <v>45623</v>
      </c>
      <c r="I157" s="393">
        <f ca="1">IF(ISBLANK(H157), NETWORKDAYS(F157, TODAY(),fESTIVOS!$A$1:$A$18), NETWORKDAYS(F157, H157, fESTIVOS!$A$1:$A$18))</f>
        <v>10</v>
      </c>
      <c r="J157" s="391">
        <v>45623</v>
      </c>
      <c r="K157" s="391">
        <v>45667</v>
      </c>
      <c r="L157" s="768" t="s">
        <v>2821</v>
      </c>
      <c r="M157" s="394"/>
      <c r="N157" s="394"/>
      <c r="O157" s="394"/>
      <c r="P157" s="394"/>
      <c r="Q157" s="394"/>
      <c r="R157" s="394"/>
      <c r="S157" s="394"/>
      <c r="T157" s="394"/>
      <c r="U157" s="394"/>
      <c r="V157" s="394"/>
      <c r="W157" s="394"/>
      <c r="X157" s="394"/>
      <c r="Y157" s="394"/>
      <c r="Z157" s="394"/>
    </row>
    <row r="158" spans="1:33" ht="15.75" customHeight="1">
      <c r="A158" s="396" t="s">
        <v>2245</v>
      </c>
      <c r="B158" s="418"/>
      <c r="C158" s="387" t="s">
        <v>2822</v>
      </c>
      <c r="D158" s="390" t="s">
        <v>2232</v>
      </c>
      <c r="E158" s="693">
        <v>45610</v>
      </c>
      <c r="F158" s="769">
        <v>45611</v>
      </c>
      <c r="G158" s="668"/>
      <c r="H158" s="668">
        <v>45617</v>
      </c>
      <c r="I158" s="694">
        <f ca="1">IF(ISBLANK(H158), NETWORKDAYS(F158, TODAY(),fESTIVOS!$A$1:$A$18), NETWORKDAYS(F158, H158, fESTIVOS!$A$1:$A$18))</f>
        <v>5</v>
      </c>
      <c r="J158" s="668">
        <v>45622</v>
      </c>
      <c r="K158" s="391">
        <v>45667</v>
      </c>
      <c r="L158" s="770" t="s">
        <v>2823</v>
      </c>
      <c r="M158" s="394"/>
      <c r="N158" s="394"/>
      <c r="O158" s="394"/>
      <c r="P158" s="394"/>
      <c r="Q158" s="394"/>
      <c r="R158" s="394"/>
      <c r="S158" s="394"/>
      <c r="T158" s="394"/>
      <c r="U158" s="394"/>
      <c r="V158" s="394"/>
      <c r="W158" s="394"/>
      <c r="X158" s="394"/>
      <c r="Y158" s="394"/>
      <c r="Z158" s="394"/>
    </row>
    <row r="159" spans="1:33" ht="15.75" customHeight="1">
      <c r="A159" s="396" t="s">
        <v>2245</v>
      </c>
      <c r="B159" s="418"/>
      <c r="C159" s="387" t="s">
        <v>2824</v>
      </c>
      <c r="D159" s="390" t="s">
        <v>2232</v>
      </c>
      <c r="E159" s="415">
        <v>45610</v>
      </c>
      <c r="F159" s="693">
        <v>45621</v>
      </c>
      <c r="G159" s="668">
        <v>45621</v>
      </c>
      <c r="H159" s="668">
        <v>45621</v>
      </c>
      <c r="I159" s="694">
        <f ca="1">IF(ISBLANK(H159), NETWORKDAYS(F159, TODAY(),fESTIVOS!$A$1:$A$18), NETWORKDAYS(F159, H159, fESTIVOS!$A$1:$A$18))</f>
        <v>1</v>
      </c>
      <c r="J159" s="668">
        <v>45622</v>
      </c>
      <c r="K159" s="391">
        <v>45667</v>
      </c>
      <c r="L159" s="771" t="s">
        <v>2825</v>
      </c>
      <c r="M159" s="394"/>
      <c r="N159" s="394"/>
      <c r="O159" s="394"/>
      <c r="P159" s="394"/>
      <c r="Q159" s="394"/>
      <c r="R159" s="394"/>
      <c r="S159" s="394"/>
      <c r="T159" s="394"/>
      <c r="U159" s="394"/>
      <c r="V159" s="394"/>
      <c r="W159" s="394"/>
      <c r="X159" s="394"/>
      <c r="Y159" s="394"/>
      <c r="Z159" s="394"/>
    </row>
    <row r="160" spans="1:33" ht="15.75" customHeight="1">
      <c r="A160" s="412" t="s">
        <v>2245</v>
      </c>
      <c r="B160" s="418"/>
      <c r="C160" s="664" t="s">
        <v>2826</v>
      </c>
      <c r="D160" s="390" t="s">
        <v>2232</v>
      </c>
      <c r="E160" s="693">
        <v>45610</v>
      </c>
      <c r="F160" s="693">
        <v>45621</v>
      </c>
      <c r="G160" s="668"/>
      <c r="H160" s="668">
        <v>45622</v>
      </c>
      <c r="I160" s="694">
        <f ca="1">IF(ISBLANK(H160), NETWORKDAYS(F160, TODAY(),fESTIVOS!$A$1:$A$18), NETWORKDAYS(F160, H160, fESTIVOS!$A$1:$A$18))</f>
        <v>2</v>
      </c>
      <c r="J160" s="668">
        <v>45622</v>
      </c>
      <c r="K160" s="391">
        <v>45667</v>
      </c>
      <c r="L160" s="768" t="s">
        <v>2827</v>
      </c>
      <c r="M160" s="394"/>
      <c r="N160" s="394"/>
      <c r="O160" s="394"/>
      <c r="P160" s="394"/>
      <c r="Q160" s="394"/>
      <c r="R160" s="394"/>
      <c r="S160" s="394"/>
      <c r="T160" s="394"/>
      <c r="U160" s="394"/>
      <c r="V160" s="394"/>
      <c r="W160" s="394"/>
      <c r="X160" s="394"/>
      <c r="Y160" s="394"/>
      <c r="Z160" s="394"/>
    </row>
    <row r="161" spans="1:26" ht="15.75" customHeight="1">
      <c r="A161" s="396" t="s">
        <v>2245</v>
      </c>
      <c r="B161" s="583"/>
      <c r="C161" s="389" t="s">
        <v>2828</v>
      </c>
      <c r="D161" s="390" t="s">
        <v>2232</v>
      </c>
      <c r="E161" s="415">
        <v>45624</v>
      </c>
      <c r="F161" s="415">
        <v>45628</v>
      </c>
      <c r="G161" s="391"/>
      <c r="H161" s="391">
        <v>45629</v>
      </c>
      <c r="I161" s="393">
        <f ca="1">IF(ISBLANK(H161), NETWORKDAYS(F161, TODAY(),fESTIVOS!$A$1:$A$18), NETWORKDAYS(F161, H161, fESTIVOS!$A$1:$A$18))</f>
        <v>2</v>
      </c>
      <c r="J161" s="391">
        <v>45629</v>
      </c>
      <c r="K161" s="391">
        <v>45667</v>
      </c>
      <c r="L161" s="770" t="s">
        <v>2829</v>
      </c>
      <c r="M161" s="394"/>
      <c r="N161" s="394"/>
      <c r="O161" s="394"/>
      <c r="P161" s="394"/>
      <c r="Q161" s="394"/>
      <c r="R161" s="394"/>
      <c r="S161" s="394"/>
      <c r="T161" s="394"/>
      <c r="U161" s="394"/>
      <c r="V161" s="394"/>
      <c r="W161" s="394"/>
      <c r="X161" s="394"/>
      <c r="Y161" s="394"/>
      <c r="Z161" s="394"/>
    </row>
    <row r="162" spans="1:26" ht="15.75" customHeight="1">
      <c r="A162" s="753" t="s">
        <v>2245</v>
      </c>
      <c r="B162" s="396" t="s">
        <v>2776</v>
      </c>
      <c r="C162" s="685" t="s">
        <v>2830</v>
      </c>
      <c r="D162" s="772" t="s">
        <v>2624</v>
      </c>
      <c r="E162" s="415">
        <v>45631</v>
      </c>
      <c r="F162" s="415">
        <v>45635</v>
      </c>
      <c r="G162" s="415">
        <v>45649</v>
      </c>
      <c r="H162" s="415">
        <v>45645</v>
      </c>
      <c r="I162" s="393">
        <f ca="1">IF(ISBLANK(H162), NETWORKDAYS(F162, TODAY(),fESTIVOS!$A$1:$A$18), NETWORKDAYS(F162, H162, fESTIVOS!$A$1:$A$18))</f>
        <v>9</v>
      </c>
      <c r="J162" s="415">
        <v>45645</v>
      </c>
      <c r="K162" s="415">
        <v>45667</v>
      </c>
      <c r="L162" s="638" t="s">
        <v>2831</v>
      </c>
      <c r="M162" s="373"/>
      <c r="N162" s="373"/>
      <c r="O162" s="373"/>
      <c r="P162" s="373"/>
      <c r="Q162" s="373"/>
      <c r="R162" s="373"/>
      <c r="S162" s="373"/>
      <c r="T162" s="373"/>
      <c r="U162" s="373"/>
      <c r="V162" s="373"/>
      <c r="W162" s="373"/>
      <c r="X162" s="373"/>
      <c r="Y162" s="373"/>
      <c r="Z162" s="373"/>
    </row>
    <row r="163" spans="1:26" ht="15.75" customHeight="1">
      <c r="A163" s="756" t="s">
        <v>2245</v>
      </c>
      <c r="B163" s="419" t="s">
        <v>2776</v>
      </c>
      <c r="C163" s="773" t="s">
        <v>2832</v>
      </c>
      <c r="D163" s="772" t="s">
        <v>2624</v>
      </c>
      <c r="E163" s="650">
        <v>45631</v>
      </c>
      <c r="F163" s="650">
        <v>45644</v>
      </c>
      <c r="G163" s="650">
        <v>45649</v>
      </c>
      <c r="H163" s="650">
        <v>45645</v>
      </c>
      <c r="I163" s="742">
        <f ca="1">IF(ISBLANK(H163), NETWORKDAYS(F163, TODAY(),fESTIVOS!$A$1:$A$18), NETWORKDAYS(F163, H163, fESTIVOS!$A$1:$A$18))</f>
        <v>2</v>
      </c>
      <c r="J163" s="650">
        <v>45645</v>
      </c>
      <c r="K163" s="650">
        <v>45667</v>
      </c>
      <c r="L163" s="651" t="s">
        <v>2833</v>
      </c>
      <c r="M163" s="373"/>
      <c r="N163" s="373"/>
      <c r="O163" s="373"/>
      <c r="P163" s="373"/>
      <c r="Q163" s="373"/>
      <c r="R163" s="373"/>
      <c r="S163" s="373"/>
      <c r="T163" s="373"/>
      <c r="U163" s="373"/>
      <c r="V163" s="373"/>
      <c r="W163" s="373"/>
      <c r="X163" s="373"/>
      <c r="Y163" s="373"/>
      <c r="Z163" s="373"/>
    </row>
    <row r="164" spans="1:26" ht="15.75" customHeight="1">
      <c r="A164" s="756" t="s">
        <v>2245</v>
      </c>
      <c r="B164" s="412" t="s">
        <v>2776</v>
      </c>
      <c r="C164" s="774" t="s">
        <v>2834</v>
      </c>
      <c r="D164" s="772" t="s">
        <v>2624</v>
      </c>
      <c r="E164" s="415">
        <v>45631</v>
      </c>
      <c r="F164" s="415">
        <v>45644</v>
      </c>
      <c r="G164" s="415">
        <v>45649</v>
      </c>
      <c r="H164" s="693">
        <v>45650</v>
      </c>
      <c r="I164" s="742">
        <f ca="1">IF(ISBLANK(H164), NETWORKDAYS(F164, TODAY(),fESTIVOS!$A$1:$A$18), NETWORKDAYS(F164, H164, fESTIVOS!$A$1:$A$18))</f>
        <v>5</v>
      </c>
      <c r="J164" s="693">
        <v>45650</v>
      </c>
      <c r="K164" s="693">
        <v>45667</v>
      </c>
      <c r="L164" s="638" t="s">
        <v>2835</v>
      </c>
      <c r="M164" s="373"/>
      <c r="N164" s="373"/>
      <c r="O164" s="373"/>
      <c r="P164" s="373"/>
      <c r="Q164" s="373"/>
      <c r="R164" s="373"/>
      <c r="S164" s="373"/>
      <c r="T164" s="373"/>
      <c r="U164" s="373"/>
      <c r="V164" s="373"/>
      <c r="W164" s="373"/>
      <c r="X164" s="373"/>
      <c r="Y164" s="373"/>
      <c r="Z164" s="373"/>
    </row>
    <row r="165" spans="1:26" ht="15.75" customHeight="1">
      <c r="A165" s="756" t="s">
        <v>2245</v>
      </c>
      <c r="B165" s="412" t="s">
        <v>2776</v>
      </c>
      <c r="C165" s="774" t="s">
        <v>2836</v>
      </c>
      <c r="D165" s="772" t="s">
        <v>2624</v>
      </c>
      <c r="E165" s="693">
        <v>45631</v>
      </c>
      <c r="F165" s="693">
        <v>45644</v>
      </c>
      <c r="G165" s="693">
        <v>45649</v>
      </c>
      <c r="H165" s="693">
        <v>45650</v>
      </c>
      <c r="I165" s="671">
        <f ca="1">IF(ISBLANK(H165), NETWORKDAYS(F165, TODAY(),fESTIVOS!$A$1:$A$18), NETWORKDAYS(F165, H165, fESTIVOS!$A$1:$A$18))</f>
        <v>5</v>
      </c>
      <c r="J165" s="693">
        <v>45650</v>
      </c>
      <c r="K165" s="693">
        <v>45667</v>
      </c>
      <c r="L165" s="695" t="s">
        <v>2837</v>
      </c>
      <c r="M165" s="373"/>
      <c r="N165" s="373"/>
      <c r="O165" s="373"/>
      <c r="P165" s="373"/>
      <c r="Q165" s="373"/>
      <c r="R165" s="373"/>
      <c r="S165" s="373"/>
      <c r="T165" s="373"/>
      <c r="U165" s="373"/>
      <c r="V165" s="373"/>
      <c r="W165" s="373"/>
      <c r="X165" s="373"/>
      <c r="Y165" s="373"/>
      <c r="Z165" s="373"/>
    </row>
    <row r="166" spans="1:26" ht="15.75" customHeight="1">
      <c r="A166" s="411" t="s">
        <v>2255</v>
      </c>
      <c r="B166" s="396" t="s">
        <v>2838</v>
      </c>
      <c r="C166" s="406"/>
      <c r="D166" s="390" t="s">
        <v>76</v>
      </c>
      <c r="E166" s="415">
        <v>45667</v>
      </c>
      <c r="F166" s="415">
        <v>45667</v>
      </c>
      <c r="G166" s="415">
        <v>45670</v>
      </c>
      <c r="H166" s="415">
        <v>45667</v>
      </c>
      <c r="I166" s="393">
        <f ca="1">IF(ISBLANK(H166), NETWORKDAYS(F166, TODAY(),fESTIVOS!$A$1:$A$18), NETWORKDAYS(F166, H166, fESTIVOS!$A$1:$A$18))</f>
        <v>1</v>
      </c>
      <c r="J166" s="415"/>
      <c r="K166" s="415"/>
      <c r="L166" s="733"/>
      <c r="M166" s="608"/>
      <c r="N166" s="373"/>
      <c r="O166" s="373"/>
      <c r="P166" s="373"/>
      <c r="Q166" s="373"/>
      <c r="R166" s="373"/>
      <c r="S166" s="373"/>
      <c r="T166" s="373"/>
      <c r="U166" s="373"/>
      <c r="V166" s="373"/>
      <c r="W166" s="373"/>
      <c r="X166" s="373"/>
      <c r="Y166" s="373"/>
      <c r="Z166" s="373"/>
    </row>
    <row r="167" spans="1:26" ht="15.75" customHeight="1">
      <c r="A167" s="396" t="s">
        <v>2503</v>
      </c>
      <c r="B167" s="389" t="s">
        <v>2839</v>
      </c>
      <c r="C167" s="414"/>
      <c r="D167" s="637" t="s">
        <v>76</v>
      </c>
      <c r="E167" s="415">
        <v>45667</v>
      </c>
      <c r="F167" s="415">
        <v>45667</v>
      </c>
      <c r="G167" s="415"/>
      <c r="H167" s="415">
        <v>45667</v>
      </c>
      <c r="I167" s="393">
        <f ca="1">IF(ISBLANK(H167), NETWORKDAYS(F167, TODAY(),fESTIVOS!$A$1:$A$18), NETWORKDAYS(F167, H167, fESTIVOS!$A$1:$A$18))</f>
        <v>1</v>
      </c>
      <c r="J167" s="415"/>
      <c r="K167" s="415"/>
      <c r="L167" s="638"/>
      <c r="M167" s="608"/>
      <c r="N167" s="373"/>
      <c r="O167" s="373"/>
      <c r="P167" s="373"/>
      <c r="Q167" s="373"/>
      <c r="R167" s="373"/>
      <c r="S167" s="373"/>
      <c r="T167" s="373"/>
      <c r="U167" s="373"/>
      <c r="V167" s="373"/>
      <c r="W167" s="373"/>
      <c r="X167" s="373"/>
      <c r="Y167" s="373"/>
      <c r="Z167" s="373"/>
    </row>
    <row r="168" spans="1:26" ht="15.75" customHeight="1">
      <c r="A168" s="411" t="s">
        <v>2255</v>
      </c>
      <c r="B168" s="764" t="s">
        <v>2840</v>
      </c>
      <c r="C168" s="413"/>
      <c r="D168" s="637" t="s">
        <v>76</v>
      </c>
      <c r="E168" s="415">
        <v>45667</v>
      </c>
      <c r="F168" s="416">
        <v>45667</v>
      </c>
      <c r="G168" s="413"/>
      <c r="H168" s="415">
        <v>45671</v>
      </c>
      <c r="I168" s="393">
        <f ca="1">IF(ISBLANK(H168), NETWORKDAYS(F168, TODAY(),fESTIVOS!$A$1:$A$18), NETWORKDAYS(F168, H168, fESTIVOS!$A$1:$A$18))</f>
        <v>3</v>
      </c>
      <c r="J168" s="415">
        <v>45671</v>
      </c>
      <c r="K168" s="415">
        <v>45671</v>
      </c>
      <c r="L168" s="417" t="s">
        <v>2841</v>
      </c>
      <c r="M168" s="418"/>
      <c r="N168" s="418"/>
      <c r="O168" s="418"/>
      <c r="P168" s="418"/>
      <c r="Q168" s="418"/>
      <c r="R168" s="418"/>
      <c r="S168" s="418"/>
      <c r="T168" s="418"/>
      <c r="U168" s="418"/>
      <c r="V168" s="418"/>
      <c r="W168" s="418"/>
      <c r="X168" s="418"/>
      <c r="Y168" s="418"/>
      <c r="Z168" s="418"/>
    </row>
    <row r="169" spans="1:26" ht="15.75" customHeight="1">
      <c r="A169" s="396" t="s">
        <v>2503</v>
      </c>
      <c r="B169" s="389" t="s">
        <v>2842</v>
      </c>
      <c r="C169" s="414"/>
      <c r="D169" s="637" t="s">
        <v>76</v>
      </c>
      <c r="E169" s="415">
        <v>45667</v>
      </c>
      <c r="F169" s="415">
        <v>45670</v>
      </c>
      <c r="G169" s="415"/>
      <c r="H169" s="415">
        <v>45670</v>
      </c>
      <c r="I169" s="393">
        <f ca="1">IF(ISBLANK(H169), NETWORKDAYS(F169, TODAY(),fESTIVOS!$A$1:$A$18), NETWORKDAYS(F169, H169, fESTIVOS!$A$1:$A$18))</f>
        <v>1</v>
      </c>
      <c r="J169" s="415">
        <v>45670</v>
      </c>
      <c r="K169" s="415">
        <v>45672</v>
      </c>
      <c r="L169" s="638"/>
      <c r="M169" s="608"/>
      <c r="N169" s="373"/>
      <c r="O169" s="373"/>
      <c r="P169" s="373"/>
      <c r="Q169" s="373"/>
      <c r="R169" s="373"/>
      <c r="S169" s="373"/>
      <c r="T169" s="373"/>
      <c r="U169" s="373"/>
      <c r="V169" s="373"/>
      <c r="W169" s="373"/>
      <c r="X169" s="373"/>
      <c r="Y169" s="373"/>
      <c r="Z169" s="373"/>
    </row>
    <row r="170" spans="1:26" ht="15.75" customHeight="1">
      <c r="A170" s="396" t="s">
        <v>2503</v>
      </c>
      <c r="B170" s="766" t="s">
        <v>2843</v>
      </c>
      <c r="C170" s="414" t="s">
        <v>2844</v>
      </c>
      <c r="D170" s="637" t="s">
        <v>2624</v>
      </c>
      <c r="E170" s="415">
        <v>45672</v>
      </c>
      <c r="F170" s="415"/>
      <c r="G170" s="415"/>
      <c r="H170" s="637"/>
      <c r="I170" s="393"/>
      <c r="J170" s="415"/>
      <c r="K170" s="733">
        <v>45692</v>
      </c>
      <c r="L170" s="638" t="s">
        <v>2845</v>
      </c>
      <c r="M170" s="608"/>
      <c r="N170" s="373"/>
      <c r="O170" s="373"/>
      <c r="P170" s="373"/>
      <c r="Q170" s="373"/>
      <c r="R170" s="373"/>
      <c r="S170" s="373"/>
      <c r="T170" s="373"/>
      <c r="U170" s="373"/>
      <c r="V170" s="373"/>
      <c r="W170" s="373"/>
      <c r="X170" s="373"/>
      <c r="Y170" s="373"/>
      <c r="Z170" s="373"/>
    </row>
    <row r="171" spans="1:26" ht="15.75" customHeight="1">
      <c r="A171" s="396" t="s">
        <v>2503</v>
      </c>
      <c r="B171" s="766" t="s">
        <v>2843</v>
      </c>
      <c r="C171" s="414" t="s">
        <v>2846</v>
      </c>
      <c r="D171" s="637" t="s">
        <v>2624</v>
      </c>
      <c r="E171" s="415">
        <v>45672</v>
      </c>
      <c r="F171" s="415">
        <v>45673</v>
      </c>
      <c r="G171" s="415"/>
      <c r="H171" s="415">
        <v>45673</v>
      </c>
      <c r="I171" s="393">
        <f ca="1">IF(ISBLANK(H171), NETWORKDAYS(F171, TODAY(),fESTIVOS!$A$1:$A$18), NETWORKDAYS(F171, H171, fESTIVOS!$A$1:$A$18))</f>
        <v>1</v>
      </c>
      <c r="J171" s="391">
        <v>45678</v>
      </c>
      <c r="K171" s="733">
        <v>45692</v>
      </c>
      <c r="L171" s="638"/>
      <c r="M171" s="608"/>
      <c r="N171" s="373"/>
      <c r="O171" s="373"/>
      <c r="P171" s="373"/>
      <c r="Q171" s="373"/>
      <c r="R171" s="373"/>
      <c r="S171" s="373"/>
      <c r="T171" s="373"/>
      <c r="U171" s="373"/>
      <c r="V171" s="373"/>
      <c r="W171" s="373"/>
      <c r="X171" s="373"/>
      <c r="Y171" s="373"/>
      <c r="Z171" s="373"/>
    </row>
    <row r="172" spans="1:26" ht="15.75" customHeight="1">
      <c r="A172" s="396" t="s">
        <v>2503</v>
      </c>
      <c r="B172" s="389" t="s">
        <v>2847</v>
      </c>
      <c r="C172" s="414"/>
      <c r="D172" s="637" t="s">
        <v>76</v>
      </c>
      <c r="E172" s="415">
        <v>45673</v>
      </c>
      <c r="F172" s="415">
        <v>45673</v>
      </c>
      <c r="G172" s="415"/>
      <c r="H172" s="415">
        <v>45673</v>
      </c>
      <c r="I172" s="393">
        <f ca="1">IF(ISBLANK(H172), NETWORKDAYS(F172, TODAY(),fESTIVOS!$A$1:$A$18), NETWORKDAYS(F172, H172, fESTIVOS!$A$1:$A$18))</f>
        <v>1</v>
      </c>
      <c r="J172" s="415"/>
      <c r="K172" s="415"/>
      <c r="L172" s="733" t="s">
        <v>2848</v>
      </c>
      <c r="M172" s="608"/>
      <c r="N172" s="373"/>
      <c r="O172" s="373"/>
      <c r="P172" s="373"/>
      <c r="Q172" s="373"/>
      <c r="R172" s="373"/>
      <c r="S172" s="373"/>
      <c r="T172" s="373"/>
      <c r="U172" s="373"/>
      <c r="V172" s="373"/>
      <c r="W172" s="373"/>
      <c r="X172" s="373"/>
      <c r="Y172" s="373"/>
      <c r="Z172" s="373"/>
    </row>
    <row r="173" spans="1:26" ht="15.75" customHeight="1">
      <c r="A173" s="396" t="s">
        <v>2503</v>
      </c>
      <c r="B173" s="389" t="s">
        <v>2849</v>
      </c>
      <c r="C173" s="414"/>
      <c r="D173" s="637" t="s">
        <v>76</v>
      </c>
      <c r="E173" s="415">
        <v>45671</v>
      </c>
      <c r="F173" s="415">
        <v>45671</v>
      </c>
      <c r="G173" s="415"/>
      <c r="H173" s="415">
        <v>45672</v>
      </c>
      <c r="I173" s="393">
        <f ca="1">IF(ISBLANK(H173), NETWORKDAYS(F173, TODAY(),fESTIVOS!$A$1:$A$18), NETWORKDAYS(F173, H173, fESTIVOS!$A$1:$A$18))</f>
        <v>2</v>
      </c>
      <c r="J173" s="415">
        <v>45672</v>
      </c>
      <c r="K173" s="415">
        <v>45674</v>
      </c>
      <c r="L173" s="638" t="s">
        <v>2850</v>
      </c>
      <c r="M173" s="608"/>
      <c r="N173" s="373"/>
      <c r="O173" s="373"/>
      <c r="P173" s="373"/>
      <c r="Q173" s="373"/>
      <c r="R173" s="373"/>
      <c r="S173" s="373"/>
      <c r="T173" s="373"/>
      <c r="U173" s="373"/>
      <c r="V173" s="373"/>
      <c r="W173" s="373"/>
      <c r="X173" s="373"/>
      <c r="Y173" s="373"/>
      <c r="Z173" s="373"/>
    </row>
    <row r="174" spans="1:26" ht="15.75" customHeight="1">
      <c r="A174" s="396" t="s">
        <v>2503</v>
      </c>
      <c r="B174" s="389" t="s">
        <v>2851</v>
      </c>
      <c r="C174" s="414"/>
      <c r="D174" s="637" t="s">
        <v>11</v>
      </c>
      <c r="E174" s="415">
        <v>45667</v>
      </c>
      <c r="F174" s="415">
        <v>45667</v>
      </c>
      <c r="G174" s="415"/>
      <c r="H174" s="415">
        <v>45673</v>
      </c>
      <c r="I174" s="393">
        <f ca="1">IF(ISBLANK(H174), NETWORKDAYS(F174, TODAY(),fESTIVOS!$A$1:$A$18), NETWORKDAYS(F174, H174, fESTIVOS!$A$1:$A$18))</f>
        <v>5</v>
      </c>
      <c r="J174" s="415"/>
      <c r="K174" s="415"/>
      <c r="L174" s="638" t="s">
        <v>2852</v>
      </c>
      <c r="M174" s="608"/>
      <c r="N174" s="373"/>
      <c r="O174" s="373"/>
      <c r="P174" s="373"/>
      <c r="Q174" s="373"/>
      <c r="R174" s="373"/>
      <c r="S174" s="373"/>
      <c r="T174" s="373"/>
      <c r="U174" s="373"/>
      <c r="V174" s="373"/>
      <c r="W174" s="373"/>
      <c r="X174" s="373"/>
      <c r="Y174" s="373"/>
      <c r="Z174" s="373"/>
    </row>
    <row r="175" spans="1:26" ht="15.75" customHeight="1">
      <c r="A175" s="396" t="s">
        <v>2503</v>
      </c>
      <c r="B175" s="766" t="s">
        <v>2853</v>
      </c>
      <c r="C175" s="414"/>
      <c r="D175" s="637" t="s">
        <v>11</v>
      </c>
      <c r="E175" s="415">
        <v>45677</v>
      </c>
      <c r="F175" s="415">
        <v>45677</v>
      </c>
      <c r="G175" s="415"/>
      <c r="H175" s="415">
        <v>45677</v>
      </c>
      <c r="I175" s="393">
        <f ca="1">IF(ISBLANK(H175), NETWORKDAYS(F175, TODAY(),fESTIVOS!$A$1:$A$18), NETWORKDAYS(F175, H175, fESTIVOS!$A$1:$A$18))</f>
        <v>1</v>
      </c>
      <c r="J175" s="415"/>
      <c r="K175" s="415">
        <v>45677</v>
      </c>
      <c r="L175" s="638"/>
      <c r="M175" s="608"/>
      <c r="N175" s="373"/>
      <c r="O175" s="373"/>
      <c r="P175" s="373"/>
      <c r="Q175" s="373"/>
      <c r="R175" s="373"/>
      <c r="S175" s="373"/>
      <c r="T175" s="373"/>
      <c r="U175" s="373"/>
      <c r="V175" s="373"/>
      <c r="W175" s="373"/>
      <c r="X175" s="373"/>
      <c r="Y175" s="373"/>
      <c r="Z175" s="373"/>
    </row>
    <row r="176" spans="1:26" ht="45" customHeight="1">
      <c r="A176" s="372" t="s">
        <v>2230</v>
      </c>
      <c r="B176" s="610" t="s">
        <v>2854</v>
      </c>
      <c r="C176" s="642"/>
      <c r="D176" s="384" t="s">
        <v>504</v>
      </c>
      <c r="E176" s="383">
        <v>45611</v>
      </c>
      <c r="F176" s="383">
        <v>45622</v>
      </c>
      <c r="G176" s="383">
        <v>45624</v>
      </c>
      <c r="H176" s="384"/>
      <c r="I176" s="385">
        <f ca="1">IF(ISBLANK(H176), NETWORKDAYS(F176, TODAY(),fESTIVOS!$A$1:$A$18), NETWORKDAYS(F176, H176, fESTIVOS!$A$1:$A$18))</f>
        <v>333</v>
      </c>
      <c r="J176" s="642"/>
      <c r="K176" s="642"/>
      <c r="L176" s="403" t="s">
        <v>2855</v>
      </c>
    </row>
    <row r="177" spans="1:33" ht="15.75" customHeight="1">
      <c r="A177" s="372" t="s">
        <v>2230</v>
      </c>
      <c r="B177" s="613"/>
      <c r="C177" s="380" t="s">
        <v>2856</v>
      </c>
      <c r="D177" s="384" t="s">
        <v>2624</v>
      </c>
      <c r="E177" s="383">
        <v>45611</v>
      </c>
      <c r="F177" s="383">
        <v>45624</v>
      </c>
      <c r="G177" s="383">
        <v>45624</v>
      </c>
      <c r="H177" s="383">
        <v>45628</v>
      </c>
      <c r="I177" s="385">
        <f ca="1">IF(ISBLANK(H177), NETWORKDAYS(F177, TODAY(),fESTIVOS!$A$1:$A$18), NETWORKDAYS(F177, H177, fESTIVOS!$A$1:$A$18))</f>
        <v>3</v>
      </c>
      <c r="J177" s="642"/>
      <c r="K177" s="602">
        <v>45631</v>
      </c>
      <c r="L177" s="775" t="s">
        <v>2857</v>
      </c>
    </row>
    <row r="178" spans="1:33" ht="15.75" customHeight="1">
      <c r="A178" s="372" t="s">
        <v>2230</v>
      </c>
      <c r="B178" s="557"/>
      <c r="C178" s="776" t="s">
        <v>2858</v>
      </c>
      <c r="D178" s="384" t="s">
        <v>2624</v>
      </c>
      <c r="E178" s="383">
        <v>45611</v>
      </c>
      <c r="F178" s="383">
        <v>45629</v>
      </c>
      <c r="G178" s="383">
        <v>45631</v>
      </c>
      <c r="H178" s="383"/>
      <c r="I178" s="385">
        <f ca="1">IF(ISBLANK(H178), NETWORKDAYS(F178, TODAY(),fESTIVOS!$A$1:$A$18), NETWORKDAYS(F178, H178, fESTIVOS!$A$1:$A$18))</f>
        <v>328</v>
      </c>
      <c r="J178" s="642"/>
      <c r="K178" s="602">
        <v>45658</v>
      </c>
      <c r="L178" s="775" t="s">
        <v>2859</v>
      </c>
    </row>
    <row r="179" spans="1:33" ht="15.75" customHeight="1">
      <c r="A179" s="710" t="s">
        <v>2230</v>
      </c>
      <c r="B179" s="728" t="s">
        <v>2860</v>
      </c>
      <c r="C179" s="710"/>
      <c r="D179" s="716" t="s">
        <v>76</v>
      </c>
      <c r="E179" s="717">
        <v>45644</v>
      </c>
      <c r="F179" s="717">
        <v>45644</v>
      </c>
      <c r="G179" s="718"/>
      <c r="H179" s="719">
        <v>45658</v>
      </c>
      <c r="I179" s="385">
        <f ca="1">IF(ISBLANK(H179), NETWORKDAYS(F179, TODAY(),fESTIVOS!$A$1:$A$18), NETWORKDAYS(F179, H179, fESTIVOS!$A$1:$A$18))</f>
        <v>10</v>
      </c>
      <c r="J179" s="719"/>
      <c r="K179" s="719"/>
      <c r="L179" s="720" t="s">
        <v>2861</v>
      </c>
      <c r="M179" s="745"/>
      <c r="N179" s="745"/>
      <c r="O179" s="745"/>
      <c r="P179" s="745"/>
      <c r="Q179" s="745"/>
      <c r="R179" s="745"/>
      <c r="S179" s="745"/>
      <c r="T179" s="745"/>
      <c r="U179" s="745"/>
      <c r="V179" s="745"/>
      <c r="W179" s="745"/>
      <c r="X179" s="745"/>
      <c r="Y179" s="745"/>
      <c r="Z179" s="745"/>
      <c r="AA179" s="746"/>
      <c r="AB179" s="746"/>
      <c r="AC179" s="746"/>
      <c r="AD179" s="746"/>
      <c r="AE179" s="746"/>
      <c r="AF179" s="746"/>
      <c r="AG179" s="746"/>
    </row>
    <row r="180" spans="1:33" ht="15.75" customHeight="1">
      <c r="A180" s="411" t="s">
        <v>2255</v>
      </c>
      <c r="B180" s="396" t="s">
        <v>2862</v>
      </c>
      <c r="C180" s="406" t="s">
        <v>2863</v>
      </c>
      <c r="D180" s="390" t="s">
        <v>2624</v>
      </c>
      <c r="E180" s="415">
        <v>45667</v>
      </c>
      <c r="F180" s="415">
        <v>45667</v>
      </c>
      <c r="G180" s="415">
        <v>45670</v>
      </c>
      <c r="H180" s="415">
        <v>45672</v>
      </c>
      <c r="I180" s="393">
        <f ca="1">IF(ISBLANK(H180), NETWORKDAYS(F180, TODAY(),fESTIVOS!$A$1:$A$18), NETWORKDAYS(F180, H180, fESTIVOS!$A$1:$A$18))</f>
        <v>4</v>
      </c>
      <c r="J180" s="415">
        <v>45672</v>
      </c>
      <c r="K180" s="415">
        <v>45678</v>
      </c>
      <c r="L180" s="733" t="s">
        <v>2864</v>
      </c>
      <c r="M180" s="608"/>
      <c r="N180" s="373"/>
      <c r="O180" s="373"/>
      <c r="P180" s="373"/>
      <c r="Q180" s="373"/>
      <c r="R180" s="373"/>
      <c r="S180" s="373"/>
      <c r="T180" s="373"/>
      <c r="U180" s="373"/>
      <c r="V180" s="373"/>
      <c r="W180" s="373"/>
      <c r="X180" s="373"/>
      <c r="Y180" s="373"/>
      <c r="Z180" s="373"/>
    </row>
    <row r="181" spans="1:33" ht="15.75" customHeight="1">
      <c r="A181" s="396" t="s">
        <v>2503</v>
      </c>
      <c r="B181" s="389" t="s">
        <v>2865</v>
      </c>
      <c r="C181" s="414"/>
      <c r="D181" s="637" t="s">
        <v>76</v>
      </c>
      <c r="E181" s="415">
        <v>45678</v>
      </c>
      <c r="F181" s="415">
        <v>45678</v>
      </c>
      <c r="G181" s="415"/>
      <c r="H181" s="415">
        <v>45679</v>
      </c>
      <c r="I181" s="393">
        <f ca="1">IF(ISBLANK(H181), NETWORKDAYS(F181, TODAY(),fESTIVOS!$A$1:$A$18), NETWORKDAYS(F181, H181, fESTIVOS!$A$1:$A$18))</f>
        <v>2</v>
      </c>
      <c r="J181" s="415"/>
      <c r="K181" s="415"/>
      <c r="L181" s="638" t="s">
        <v>2866</v>
      </c>
      <c r="M181" s="608"/>
      <c r="N181" s="373"/>
      <c r="O181" s="373"/>
      <c r="P181" s="373"/>
      <c r="Q181" s="373"/>
      <c r="R181" s="373"/>
      <c r="S181" s="373"/>
      <c r="T181" s="373"/>
      <c r="U181" s="373"/>
      <c r="V181" s="373"/>
      <c r="W181" s="373"/>
      <c r="X181" s="373"/>
      <c r="Y181" s="373"/>
      <c r="Z181" s="373"/>
    </row>
    <row r="182" spans="1:33" ht="15.75" customHeight="1">
      <c r="A182" s="396" t="s">
        <v>2503</v>
      </c>
      <c r="B182" s="389" t="s">
        <v>2867</v>
      </c>
      <c r="C182" s="414"/>
      <c r="D182" s="637" t="s">
        <v>2868</v>
      </c>
      <c r="E182" s="415">
        <v>45671</v>
      </c>
      <c r="F182" s="415">
        <v>45671</v>
      </c>
      <c r="G182" s="415"/>
      <c r="H182" s="415">
        <v>45680</v>
      </c>
      <c r="I182" s="393">
        <f ca="1">IF(ISBLANK(H182), NETWORKDAYS(F182, TODAY(),fESTIVOS!$A$1:$A$18), NETWORKDAYS(F182, H182, fESTIVOS!$A$1:$A$18))</f>
        <v>8</v>
      </c>
      <c r="J182" s="415"/>
      <c r="K182" s="415">
        <v>45680</v>
      </c>
      <c r="L182" s="638" t="s">
        <v>2869</v>
      </c>
      <c r="M182" s="608"/>
      <c r="N182" s="373"/>
      <c r="O182" s="373"/>
      <c r="P182" s="373"/>
      <c r="Q182" s="373"/>
      <c r="R182" s="373"/>
      <c r="S182" s="373"/>
      <c r="T182" s="373"/>
      <c r="U182" s="373"/>
      <c r="V182" s="373"/>
      <c r="W182" s="373"/>
      <c r="X182" s="373"/>
      <c r="Y182" s="373"/>
      <c r="Z182" s="373"/>
    </row>
    <row r="183" spans="1:33" ht="15.75" customHeight="1">
      <c r="A183" s="387" t="s">
        <v>2237</v>
      </c>
      <c r="B183" s="731" t="s">
        <v>2870</v>
      </c>
      <c r="C183" s="636"/>
      <c r="D183" s="390" t="s">
        <v>2624</v>
      </c>
      <c r="E183" s="415">
        <v>45664</v>
      </c>
      <c r="F183" s="415">
        <v>45664</v>
      </c>
      <c r="G183" s="415">
        <v>45665</v>
      </c>
      <c r="H183" s="415">
        <v>45666</v>
      </c>
      <c r="I183" s="393">
        <f ca="1">IF(ISBLANK(H183), NETWORKDAYS(F183, TODAY(),fESTIVOS!$A$1:$A$18), NETWORKDAYS(F183, H183, fESTIVOS!$A$1:$A$18))</f>
        <v>3</v>
      </c>
      <c r="J183" s="415">
        <v>45666</v>
      </c>
      <c r="K183" s="415">
        <v>45674</v>
      </c>
      <c r="L183" s="638" t="s">
        <v>2871</v>
      </c>
      <c r="M183" s="608"/>
      <c r="N183" s="373"/>
      <c r="O183" s="373"/>
      <c r="P183" s="373"/>
      <c r="Q183" s="373"/>
      <c r="R183" s="373"/>
      <c r="S183" s="373"/>
      <c r="T183" s="373"/>
      <c r="U183" s="373"/>
      <c r="V183" s="373"/>
      <c r="W183" s="373"/>
      <c r="X183" s="373"/>
      <c r="Y183" s="373"/>
      <c r="Z183" s="373"/>
    </row>
    <row r="184" spans="1:33" ht="15.75" customHeight="1">
      <c r="A184" s="589" t="s">
        <v>2230</v>
      </c>
      <c r="B184" s="777" t="s">
        <v>1531</v>
      </c>
      <c r="C184" s="591"/>
      <c r="D184" s="605" t="s">
        <v>2624</v>
      </c>
      <c r="E184" s="383">
        <v>45307</v>
      </c>
      <c r="F184" s="383">
        <v>45677</v>
      </c>
      <c r="G184" s="383"/>
      <c r="H184" s="383">
        <v>45678</v>
      </c>
      <c r="I184" s="385">
        <f ca="1">IF(ISBLANK(H184), NETWORKDAYS(F184, TODAY(),fESTIVOS!$A$1:$A$18), NETWORKDAYS(F184, H184, fESTIVOS!$A$1:$A$18))</f>
        <v>2</v>
      </c>
      <c r="J184" s="383"/>
      <c r="K184" s="383">
        <v>45680</v>
      </c>
      <c r="L184" s="386"/>
      <c r="M184" s="373"/>
      <c r="N184" s="373"/>
      <c r="O184" s="373"/>
      <c r="P184" s="373"/>
      <c r="Q184" s="373"/>
      <c r="R184" s="373"/>
      <c r="S184" s="373"/>
      <c r="T184" s="373"/>
      <c r="U184" s="373"/>
      <c r="V184" s="373"/>
      <c r="W184" s="373"/>
      <c r="X184" s="373"/>
      <c r="Y184" s="373"/>
      <c r="Z184" s="373"/>
    </row>
    <row r="185" spans="1:33" ht="15.75" customHeight="1">
      <c r="A185" s="372" t="s">
        <v>2230</v>
      </c>
      <c r="B185" s="778" t="s">
        <v>2872</v>
      </c>
      <c r="C185" s="591"/>
      <c r="D185" s="605" t="s">
        <v>2624</v>
      </c>
      <c r="E185" s="383">
        <v>45678</v>
      </c>
      <c r="F185" s="383">
        <v>45677</v>
      </c>
      <c r="G185" s="383"/>
      <c r="H185" s="383">
        <v>45680</v>
      </c>
      <c r="I185" s="385">
        <f ca="1">IF(ISBLANK(H185), NETWORKDAYS(F185, TODAY(),fESTIVOS!$A$1:$A$18), NETWORKDAYS(F185, H185, fESTIVOS!$A$1:$A$18))</f>
        <v>4</v>
      </c>
      <c r="J185" s="383"/>
      <c r="K185" s="383">
        <v>45680</v>
      </c>
      <c r="L185" s="386"/>
      <c r="M185" s="373"/>
      <c r="N185" s="373"/>
      <c r="O185" s="373"/>
      <c r="P185" s="373"/>
      <c r="Q185" s="373"/>
      <c r="R185" s="373"/>
      <c r="S185" s="373"/>
      <c r="T185" s="373"/>
      <c r="U185" s="373"/>
      <c r="V185" s="373"/>
      <c r="W185" s="373"/>
      <c r="X185" s="373"/>
      <c r="Y185" s="373"/>
      <c r="Z185" s="373"/>
    </row>
    <row r="186" spans="1:33" ht="15.75" customHeight="1">
      <c r="A186" s="372" t="s">
        <v>2230</v>
      </c>
      <c r="B186" s="779" t="s">
        <v>2873</v>
      </c>
      <c r="C186" s="591" t="s">
        <v>2874</v>
      </c>
      <c r="D186" s="605" t="s">
        <v>2624</v>
      </c>
      <c r="E186" s="383">
        <v>45678</v>
      </c>
      <c r="F186" s="383">
        <v>45680</v>
      </c>
      <c r="G186" s="383"/>
      <c r="H186" s="383">
        <v>45680</v>
      </c>
      <c r="I186" s="385">
        <f ca="1">IF(ISBLANK(H186), NETWORKDAYS(F186, TODAY(),fESTIVOS!$A$1:$A$18), NETWORKDAYS(F186, H186, fESTIVOS!$A$1:$A$18))</f>
        <v>1</v>
      </c>
      <c r="J186" s="383"/>
      <c r="K186" s="383">
        <v>45680</v>
      </c>
      <c r="L186" s="386"/>
      <c r="M186" s="373"/>
      <c r="N186" s="373"/>
      <c r="O186" s="373"/>
      <c r="P186" s="373"/>
      <c r="Q186" s="373"/>
      <c r="R186" s="373"/>
      <c r="S186" s="373"/>
      <c r="T186" s="373"/>
      <c r="U186" s="373"/>
      <c r="V186" s="373"/>
      <c r="W186" s="373"/>
      <c r="X186" s="373"/>
      <c r="Y186" s="373"/>
      <c r="Z186" s="373"/>
    </row>
    <row r="187" spans="1:33" ht="15.75" customHeight="1">
      <c r="A187" s="372" t="s">
        <v>2230</v>
      </c>
      <c r="B187" s="778" t="s">
        <v>2875</v>
      </c>
      <c r="C187" s="591"/>
      <c r="D187" s="605" t="s">
        <v>2624</v>
      </c>
      <c r="E187" s="383">
        <v>45678</v>
      </c>
      <c r="F187" s="383">
        <v>45680</v>
      </c>
      <c r="G187" s="383"/>
      <c r="H187" s="383">
        <v>45680</v>
      </c>
      <c r="I187" s="385">
        <f ca="1">IF(ISBLANK(H187), NETWORKDAYS(F187, TODAY(),fESTIVOS!$A$1:$A$18), NETWORKDAYS(F187, H187, fESTIVOS!$A$1:$A$18))</f>
        <v>1</v>
      </c>
      <c r="J187" s="383"/>
      <c r="K187" s="383">
        <v>45680</v>
      </c>
      <c r="L187" s="386"/>
      <c r="M187" s="373"/>
      <c r="N187" s="373"/>
      <c r="O187" s="373"/>
      <c r="P187" s="373"/>
      <c r="Q187" s="373"/>
      <c r="R187" s="373"/>
      <c r="S187" s="373"/>
      <c r="T187" s="373"/>
      <c r="U187" s="373"/>
      <c r="V187" s="373"/>
      <c r="W187" s="373"/>
      <c r="X187" s="373"/>
      <c r="Y187" s="373"/>
      <c r="Z187" s="373"/>
    </row>
    <row r="188" spans="1:33" ht="15.75" customHeight="1">
      <c r="A188" s="372" t="s">
        <v>2230</v>
      </c>
      <c r="B188" s="778" t="s">
        <v>2876</v>
      </c>
      <c r="C188" s="591"/>
      <c r="D188" s="605" t="s">
        <v>2624</v>
      </c>
      <c r="E188" s="383">
        <v>45678</v>
      </c>
      <c r="F188" s="383">
        <v>45680</v>
      </c>
      <c r="G188" s="383"/>
      <c r="H188" s="383">
        <v>45680</v>
      </c>
      <c r="I188" s="385">
        <f ca="1">IF(ISBLANK(H188), NETWORKDAYS(F188, TODAY(),fESTIVOS!$A$1:$A$18), NETWORKDAYS(F188, H188, fESTIVOS!$A$1:$A$18))</f>
        <v>1</v>
      </c>
      <c r="J188" s="383"/>
      <c r="K188" s="383">
        <v>45680</v>
      </c>
      <c r="L188" s="386"/>
      <c r="M188" s="373"/>
      <c r="N188" s="373"/>
      <c r="O188" s="373"/>
      <c r="P188" s="373"/>
      <c r="Q188" s="373"/>
      <c r="R188" s="373"/>
      <c r="S188" s="373"/>
      <c r="T188" s="373"/>
      <c r="U188" s="373"/>
      <c r="V188" s="373"/>
      <c r="W188" s="373"/>
      <c r="X188" s="373"/>
      <c r="Y188" s="373"/>
      <c r="Z188" s="373"/>
    </row>
    <row r="189" spans="1:33" ht="15.75" customHeight="1">
      <c r="A189" s="411" t="s">
        <v>2255</v>
      </c>
      <c r="B189" s="766" t="s">
        <v>2877</v>
      </c>
      <c r="C189" s="780" t="s">
        <v>2878</v>
      </c>
      <c r="D189" s="390" t="s">
        <v>2879</v>
      </c>
      <c r="E189" s="415">
        <v>45667</v>
      </c>
      <c r="F189" s="781">
        <v>45670</v>
      </c>
      <c r="G189" s="414"/>
      <c r="H189" s="781">
        <v>45674</v>
      </c>
      <c r="I189" s="393">
        <f ca="1">IF(ISBLANK(H189), NETWORKDAYS(F189, TODAY(),fESTIVOS!$A$1:$A$18), NETWORKDAYS(F189, H189, fESTIVOS!$A$1:$A$18))</f>
        <v>5</v>
      </c>
      <c r="J189" s="414"/>
      <c r="K189" s="414"/>
      <c r="L189" s="414" t="s">
        <v>2880</v>
      </c>
    </row>
    <row r="190" spans="1:33" ht="15.75" customHeight="1">
      <c r="A190" s="372" t="s">
        <v>2230</v>
      </c>
      <c r="B190" s="778" t="s">
        <v>2881</v>
      </c>
      <c r="C190" s="591"/>
      <c r="D190" s="605" t="s">
        <v>2624</v>
      </c>
      <c r="E190" s="383">
        <v>45678</v>
      </c>
      <c r="F190" s="383">
        <v>45681</v>
      </c>
      <c r="G190" s="383"/>
      <c r="H190" s="383">
        <v>45681</v>
      </c>
      <c r="I190" s="385">
        <f ca="1">IF(ISBLANK(H190), NETWORKDAYS(F190, TODAY(),fESTIVOS!$A$1:$A$18), NETWORKDAYS(F190, H190, fESTIVOS!$A$1:$A$18))</f>
        <v>1</v>
      </c>
      <c r="J190" s="383">
        <v>45686</v>
      </c>
      <c r="K190" s="383">
        <v>45686</v>
      </c>
      <c r="L190" s="386" t="s">
        <v>2882</v>
      </c>
      <c r="M190" s="373"/>
      <c r="N190" s="373"/>
      <c r="O190" s="373"/>
      <c r="P190" s="373"/>
      <c r="Q190" s="373"/>
      <c r="R190" s="373"/>
      <c r="S190" s="373"/>
      <c r="T190" s="373"/>
      <c r="U190" s="373"/>
      <c r="V190" s="373"/>
      <c r="W190" s="373"/>
      <c r="X190" s="373"/>
      <c r="Y190" s="373"/>
      <c r="Z190" s="373"/>
    </row>
    <row r="191" spans="1:33" ht="15.75" customHeight="1">
      <c r="A191" s="396" t="s">
        <v>2245</v>
      </c>
      <c r="B191" s="411" t="s">
        <v>2883</v>
      </c>
      <c r="C191" s="411"/>
      <c r="D191" s="390" t="s">
        <v>2624</v>
      </c>
      <c r="E191" s="415">
        <v>45666</v>
      </c>
      <c r="F191" s="397">
        <v>45685</v>
      </c>
      <c r="G191" s="390" t="s">
        <v>2884</v>
      </c>
      <c r="H191" s="397">
        <v>45686</v>
      </c>
      <c r="I191" s="393">
        <f ca="1">IF(ISBLANK(H191), NETWORKDAYS(F191, TODAY(),fESTIVOS!$A$1:$A$18), NETWORKDAYS(F191, H191, fESTIVOS!$A$1:$A$18))</f>
        <v>2</v>
      </c>
      <c r="J191" s="397">
        <v>45686</v>
      </c>
      <c r="K191" s="397">
        <v>45688</v>
      </c>
      <c r="L191" s="696" t="s">
        <v>2885</v>
      </c>
      <c r="M191" s="608"/>
      <c r="N191" s="373"/>
      <c r="O191" s="373"/>
      <c r="P191" s="373"/>
      <c r="Q191" s="373"/>
      <c r="R191" s="373"/>
      <c r="S191" s="373"/>
      <c r="T191" s="373"/>
      <c r="U191" s="373"/>
      <c r="V191" s="373"/>
      <c r="W191" s="373"/>
      <c r="X191" s="373"/>
      <c r="Y191" s="373"/>
      <c r="Z191" s="373"/>
    </row>
    <row r="192" spans="1:33" ht="15.75" customHeight="1">
      <c r="A192" s="396" t="s">
        <v>2503</v>
      </c>
      <c r="B192" s="389" t="s">
        <v>2886</v>
      </c>
      <c r="C192" s="414"/>
      <c r="D192" s="637" t="s">
        <v>76</v>
      </c>
      <c r="E192" s="415">
        <v>45687</v>
      </c>
      <c r="F192" s="415">
        <v>45687</v>
      </c>
      <c r="G192" s="415"/>
      <c r="H192" s="415">
        <v>45687</v>
      </c>
      <c r="I192" s="393">
        <f ca="1">IF(ISBLANK(H192), NETWORKDAYS(F192, TODAY(),fESTIVOS!$A$1:$A$18), NETWORKDAYS(F192, H192, fESTIVOS!$A$1:$A$18))</f>
        <v>1</v>
      </c>
      <c r="J192" s="415"/>
      <c r="K192" s="415"/>
      <c r="L192" s="638" t="s">
        <v>2887</v>
      </c>
      <c r="M192" s="608"/>
      <c r="N192" s="373"/>
      <c r="O192" s="373"/>
      <c r="P192" s="373"/>
      <c r="Q192" s="373"/>
      <c r="R192" s="373"/>
      <c r="S192" s="373"/>
      <c r="T192" s="373"/>
      <c r="U192" s="373"/>
      <c r="V192" s="373"/>
      <c r="W192" s="373"/>
      <c r="X192" s="373"/>
      <c r="Y192" s="373"/>
      <c r="Z192" s="373"/>
    </row>
    <row r="193" spans="1:26" ht="15.75" customHeight="1">
      <c r="A193" s="411" t="s">
        <v>2255</v>
      </c>
      <c r="B193" s="411" t="s">
        <v>2888</v>
      </c>
      <c r="C193" s="413"/>
      <c r="D193" s="637" t="s">
        <v>2624</v>
      </c>
      <c r="E193" s="415">
        <v>45685</v>
      </c>
      <c r="F193" s="416">
        <v>45685</v>
      </c>
      <c r="G193" s="413"/>
      <c r="H193" s="782">
        <v>45687</v>
      </c>
      <c r="I193" s="393">
        <f ca="1">IF(ISBLANK(H193), NETWORKDAYS(F193, TODAY(),fESTIVOS!$A$1:$A$18), NETWORKDAYS(F193, H193, fESTIVOS!$A$1:$A$18))</f>
        <v>3</v>
      </c>
      <c r="J193" s="782">
        <v>45687</v>
      </c>
      <c r="K193" s="782">
        <v>45687</v>
      </c>
      <c r="L193" s="417" t="s">
        <v>2889</v>
      </c>
      <c r="M193" s="418"/>
      <c r="N193" s="418"/>
      <c r="O193" s="418"/>
      <c r="P193" s="418"/>
      <c r="Q193" s="418"/>
      <c r="R193" s="418"/>
      <c r="S193" s="418"/>
      <c r="T193" s="418"/>
      <c r="U193" s="418"/>
      <c r="V193" s="418"/>
      <c r="W193" s="418"/>
      <c r="X193" s="418"/>
      <c r="Y193" s="418"/>
      <c r="Z193" s="418"/>
    </row>
    <row r="194" spans="1:26" ht="15" customHeight="1">
      <c r="A194" s="411" t="s">
        <v>2255</v>
      </c>
      <c r="B194" s="766" t="s">
        <v>2877</v>
      </c>
      <c r="C194" s="685" t="s">
        <v>2890</v>
      </c>
      <c r="D194" s="390" t="s">
        <v>2879</v>
      </c>
      <c r="E194" s="415">
        <v>45681</v>
      </c>
      <c r="F194" s="415">
        <v>45681</v>
      </c>
      <c r="G194" s="415"/>
      <c r="H194" s="415">
        <v>45681</v>
      </c>
      <c r="I194" s="393">
        <f ca="1">IF(ISBLANK(H194), NETWORKDAYS(F194, TODAY(),fESTIVOS!$A$1:$A$18), NETWORKDAYS(F194, H194, fESTIVOS!$A$1:$A$18))</f>
        <v>1</v>
      </c>
      <c r="J194" s="415">
        <v>45681</v>
      </c>
      <c r="K194" s="415"/>
      <c r="L194" s="638"/>
    </row>
    <row r="195" spans="1:26" ht="15.75" customHeight="1">
      <c r="A195" s="396" t="s">
        <v>2245</v>
      </c>
      <c r="B195" s="396" t="s">
        <v>2891</v>
      </c>
      <c r="C195" s="411"/>
      <c r="D195" s="390" t="s">
        <v>76</v>
      </c>
      <c r="E195" s="415">
        <v>45685</v>
      </c>
      <c r="F195" s="397">
        <v>45685</v>
      </c>
      <c r="G195" s="390"/>
      <c r="H195" s="397">
        <v>45688</v>
      </c>
      <c r="I195" s="393">
        <f ca="1">IF(ISBLANK(H195), NETWORKDAYS(F195, TODAY(),fESTIVOS!$A$1:$A$18), NETWORKDAYS(F195, H195, fESTIVOS!$A$1:$A$18))</f>
        <v>4</v>
      </c>
      <c r="J195" s="397">
        <v>45688</v>
      </c>
      <c r="K195" s="397">
        <v>45688</v>
      </c>
      <c r="L195" s="696" t="s">
        <v>2892</v>
      </c>
      <c r="M195" s="608"/>
      <c r="N195" s="373"/>
      <c r="O195" s="373"/>
      <c r="P195" s="373"/>
      <c r="Q195" s="373"/>
      <c r="R195" s="373"/>
      <c r="S195" s="373"/>
      <c r="T195" s="373"/>
      <c r="U195" s="373"/>
      <c r="V195" s="373"/>
      <c r="W195" s="373"/>
      <c r="X195" s="373"/>
      <c r="Y195" s="373"/>
      <c r="Z195" s="373"/>
    </row>
    <row r="196" spans="1:26" ht="15.75" customHeight="1">
      <c r="A196" s="783" t="s">
        <v>2230</v>
      </c>
      <c r="B196" s="784" t="s">
        <v>2893</v>
      </c>
      <c r="C196" s="785"/>
      <c r="D196" s="786" t="s">
        <v>2624</v>
      </c>
      <c r="E196" s="787">
        <v>45610</v>
      </c>
      <c r="F196" s="787">
        <v>45629</v>
      </c>
      <c r="G196" s="787"/>
      <c r="H196" s="787">
        <v>45636</v>
      </c>
      <c r="I196" s="788">
        <f ca="1">IF(ISBLANK(H196), NETWORKDAYS(F196, TODAY(),fESTIVOS!$A$1:$A$18), NETWORKDAYS(F196, H196, fESTIVOS!$A$1:$A$18))</f>
        <v>6</v>
      </c>
      <c r="J196" s="787">
        <v>45636</v>
      </c>
      <c r="K196" s="787">
        <v>45691</v>
      </c>
      <c r="L196" s="789" t="s">
        <v>2894</v>
      </c>
      <c r="M196" s="373"/>
      <c r="N196" s="373"/>
      <c r="O196" s="373"/>
      <c r="P196" s="373"/>
      <c r="Q196" s="373"/>
      <c r="R196" s="373"/>
      <c r="S196" s="373"/>
      <c r="T196" s="373"/>
      <c r="U196" s="373"/>
      <c r="V196" s="373"/>
      <c r="W196" s="373"/>
      <c r="X196" s="373"/>
      <c r="Y196" s="373"/>
      <c r="Z196" s="373"/>
    </row>
    <row r="197" spans="1:26" ht="15.75" customHeight="1">
      <c r="A197" s="790" t="s">
        <v>2230</v>
      </c>
      <c r="B197" s="610" t="s">
        <v>2895</v>
      </c>
      <c r="C197" s="620" t="s">
        <v>2896</v>
      </c>
      <c r="D197" s="621" t="s">
        <v>2624</v>
      </c>
      <c r="E197" s="653">
        <v>45688</v>
      </c>
      <c r="F197" s="653">
        <v>45688</v>
      </c>
      <c r="G197" s="653"/>
      <c r="H197" s="653">
        <v>45688</v>
      </c>
      <c r="I197" s="598">
        <f ca="1">IF(ISBLANK(H197), NETWORKDAYS(F197, TODAY(),fESTIVOS!$A$1:$A$18), NETWORKDAYS(F197, H197, fESTIVOS!$A$1:$A$18))</f>
        <v>1</v>
      </c>
      <c r="J197" s="653"/>
      <c r="K197" s="653">
        <v>45688</v>
      </c>
      <c r="L197" s="791" t="s">
        <v>2897</v>
      </c>
      <c r="M197" s="373"/>
      <c r="N197" s="373"/>
      <c r="O197" s="373"/>
      <c r="P197" s="373"/>
      <c r="Q197" s="373"/>
      <c r="R197" s="373"/>
      <c r="S197" s="373"/>
      <c r="T197" s="373"/>
      <c r="U197" s="373"/>
      <c r="V197" s="373"/>
      <c r="W197" s="373"/>
      <c r="X197" s="373"/>
      <c r="Y197" s="373"/>
      <c r="Z197" s="373"/>
    </row>
    <row r="198" spans="1:26" ht="15.75" customHeight="1">
      <c r="A198" s="790" t="s">
        <v>2230</v>
      </c>
      <c r="B198" s="619"/>
      <c r="C198" s="792" t="s">
        <v>2898</v>
      </c>
      <c r="D198" s="621" t="s">
        <v>2624</v>
      </c>
      <c r="E198" s="653">
        <v>45555</v>
      </c>
      <c r="F198" s="653">
        <v>45555</v>
      </c>
      <c r="G198" s="653"/>
      <c r="H198" s="653">
        <v>45688</v>
      </c>
      <c r="I198" s="598">
        <f ca="1">IF(ISBLANK(H198), NETWORKDAYS(F198, TODAY(),fESTIVOS!$A$1:$A$18), NETWORKDAYS(F198, H198, fESTIVOS!$A$1:$A$18))</f>
        <v>92</v>
      </c>
      <c r="J198" s="653"/>
      <c r="K198" s="653">
        <v>45688</v>
      </c>
      <c r="L198" s="654" t="s">
        <v>2899</v>
      </c>
      <c r="M198" s="373"/>
      <c r="N198" s="373"/>
      <c r="O198" s="373"/>
      <c r="P198" s="373"/>
      <c r="Q198" s="373"/>
      <c r="R198" s="373"/>
      <c r="S198" s="373"/>
      <c r="T198" s="373"/>
      <c r="U198" s="373"/>
      <c r="V198" s="373"/>
      <c r="W198" s="373"/>
      <c r="X198" s="373"/>
      <c r="Y198" s="373"/>
      <c r="Z198" s="373"/>
    </row>
    <row r="199" spans="1:26" ht="15.75" customHeight="1">
      <c r="A199" s="372" t="s">
        <v>2230</v>
      </c>
      <c r="B199" s="619"/>
      <c r="C199" s="793" t="s">
        <v>2900</v>
      </c>
      <c r="D199" s="621" t="s">
        <v>2624</v>
      </c>
      <c r="E199" s="383">
        <v>45566</v>
      </c>
      <c r="F199" s="383">
        <v>45568</v>
      </c>
      <c r="G199" s="383"/>
      <c r="H199" s="653">
        <v>45688</v>
      </c>
      <c r="I199" s="385">
        <f ca="1">IF(ISBLANK(H199), NETWORKDAYS(F199, TODAY(),fESTIVOS!$A$1:$A$18), NETWORKDAYS(F199, H199, fESTIVOS!$A$1:$A$18))</f>
        <v>83</v>
      </c>
      <c r="J199" s="383"/>
      <c r="K199" s="653">
        <v>45688</v>
      </c>
      <c r="L199" s="386" t="s">
        <v>2901</v>
      </c>
      <c r="M199" s="373"/>
      <c r="N199" s="373"/>
      <c r="O199" s="373"/>
      <c r="P199" s="373"/>
      <c r="Q199" s="373"/>
      <c r="R199" s="373"/>
      <c r="S199" s="373"/>
      <c r="T199" s="373"/>
      <c r="U199" s="373"/>
      <c r="V199" s="373"/>
      <c r="W199" s="373"/>
      <c r="X199" s="373"/>
      <c r="Y199" s="373"/>
      <c r="Z199" s="373"/>
    </row>
    <row r="200" spans="1:26" ht="15.75" customHeight="1">
      <c r="A200" s="372" t="s">
        <v>2230</v>
      </c>
      <c r="B200" s="734"/>
      <c r="C200" s="793" t="s">
        <v>2902</v>
      </c>
      <c r="D200" s="621" t="s">
        <v>2624</v>
      </c>
      <c r="E200" s="383">
        <v>45566</v>
      </c>
      <c r="F200" s="383">
        <v>45566</v>
      </c>
      <c r="G200" s="383"/>
      <c r="H200" s="653">
        <v>45688</v>
      </c>
      <c r="I200" s="385">
        <f ca="1">IF(ISBLANK(H200), NETWORKDAYS(F200, TODAY(),fESTIVOS!$A$1:$A$18), NETWORKDAYS(F200, H200, fESTIVOS!$A$1:$A$18))</f>
        <v>85</v>
      </c>
      <c r="J200" s="383"/>
      <c r="K200" s="653">
        <v>45688</v>
      </c>
      <c r="L200" s="606" t="s">
        <v>2903</v>
      </c>
      <c r="M200" s="373"/>
      <c r="N200" s="373"/>
      <c r="O200" s="373"/>
      <c r="P200" s="373"/>
      <c r="Q200" s="373"/>
      <c r="R200" s="373"/>
      <c r="S200" s="373"/>
      <c r="T200" s="373"/>
      <c r="U200" s="373"/>
      <c r="V200" s="373"/>
      <c r="W200" s="373"/>
      <c r="X200" s="373"/>
      <c r="Y200" s="373"/>
      <c r="Z200" s="373"/>
    </row>
    <row r="201" spans="1:26" ht="15.75" customHeight="1">
      <c r="A201" s="372" t="s">
        <v>2230</v>
      </c>
      <c r="B201" s="406" t="s">
        <v>2904</v>
      </c>
      <c r="C201" s="591"/>
      <c r="D201" s="605" t="s">
        <v>2624</v>
      </c>
      <c r="E201" s="383">
        <v>45386</v>
      </c>
      <c r="F201" s="383">
        <v>45386</v>
      </c>
      <c r="G201" s="383"/>
      <c r="H201" s="383">
        <v>45688</v>
      </c>
      <c r="I201" s="385">
        <f ca="1">IF(ISBLANK(H201), NETWORKDAYS(F201, TODAY(),fESTIVOS!$A$1:$A$18), NETWORKDAYS(F201, H201, fESTIVOS!$A$1:$A$18))</f>
        <v>206</v>
      </c>
      <c r="J201" s="383"/>
      <c r="K201" s="383">
        <v>45688</v>
      </c>
      <c r="L201" s="386" t="s">
        <v>2905</v>
      </c>
      <c r="M201" s="373"/>
      <c r="N201" s="373"/>
      <c r="O201" s="373"/>
      <c r="P201" s="373"/>
      <c r="Q201" s="373"/>
      <c r="R201" s="373"/>
      <c r="S201" s="373"/>
      <c r="T201" s="373"/>
      <c r="U201" s="373"/>
      <c r="V201" s="373"/>
      <c r="W201" s="373"/>
      <c r="X201" s="373"/>
      <c r="Y201" s="373"/>
      <c r="Z201" s="373"/>
    </row>
    <row r="202" spans="1:26" ht="15.75" customHeight="1">
      <c r="A202" s="607" t="s">
        <v>2503</v>
      </c>
      <c r="B202" s="610" t="s">
        <v>2843</v>
      </c>
      <c r="C202" s="701"/>
      <c r="D202" s="637" t="s">
        <v>2624</v>
      </c>
      <c r="E202" s="383">
        <v>45602</v>
      </c>
      <c r="F202" s="655">
        <v>45624</v>
      </c>
      <c r="G202" s="383">
        <v>45630</v>
      </c>
      <c r="H202" s="383">
        <v>45646</v>
      </c>
      <c r="I202" s="385">
        <f ca="1">IF(ISBLANK(H202), NETWORKDAYS(F202, TODAY(),fESTIVOS!$A$1:$A$18), NETWORKDAYS(F202, H202, fESTIVOS!$A$1:$A$18))</f>
        <v>17</v>
      </c>
      <c r="J202" s="383">
        <v>45646</v>
      </c>
      <c r="K202" s="655">
        <v>45692</v>
      </c>
      <c r="L202" s="603" t="s">
        <v>2906</v>
      </c>
      <c r="M202" s="643"/>
      <c r="N202" s="379"/>
      <c r="O202" s="379"/>
      <c r="P202" s="379"/>
      <c r="Q202" s="379"/>
      <c r="R202" s="379"/>
      <c r="S202" s="379"/>
      <c r="T202" s="379"/>
      <c r="U202" s="379"/>
      <c r="V202" s="379"/>
      <c r="W202" s="379"/>
      <c r="X202" s="379"/>
      <c r="Y202" s="379"/>
      <c r="Z202" s="379"/>
    </row>
    <row r="203" spans="1:26" ht="15" customHeight="1">
      <c r="A203" s="607" t="s">
        <v>2503</v>
      </c>
      <c r="B203" s="619"/>
      <c r="C203" s="557" t="s">
        <v>2907</v>
      </c>
      <c r="D203" s="621" t="s">
        <v>504</v>
      </c>
      <c r="E203" s="653">
        <v>45602</v>
      </c>
      <c r="F203" s="622">
        <v>45625</v>
      </c>
      <c r="G203" s="653"/>
      <c r="H203" s="621"/>
      <c r="I203" s="659">
        <f ca="1">IF(ISBLANK(H203), NETWORKDAYS(F203, TODAY(),fESTIVOS!$A$1:$A$18), NETWORKDAYS(F203, H203, fESTIVOS!$A$1:$A$18))</f>
        <v>330</v>
      </c>
      <c r="J203" s="631"/>
      <c r="K203" s="631"/>
      <c r="L203" s="623" t="s">
        <v>2908</v>
      </c>
      <c r="M203" s="643"/>
      <c r="N203" s="379"/>
      <c r="O203" s="379"/>
      <c r="P203" s="379"/>
      <c r="Q203" s="379"/>
      <c r="R203" s="379"/>
      <c r="S203" s="379"/>
      <c r="T203" s="379"/>
      <c r="U203" s="379"/>
      <c r="V203" s="379"/>
      <c r="W203" s="379"/>
      <c r="X203" s="379"/>
      <c r="Y203" s="379"/>
      <c r="Z203" s="379"/>
    </row>
    <row r="204" spans="1:26" ht="15.75" customHeight="1">
      <c r="A204" s="607" t="s">
        <v>2503</v>
      </c>
      <c r="B204" s="619"/>
      <c r="C204" s="794" t="s">
        <v>2909</v>
      </c>
      <c r="D204" s="384" t="s">
        <v>76</v>
      </c>
      <c r="E204" s="681">
        <v>45632</v>
      </c>
      <c r="F204" s="655">
        <v>45642</v>
      </c>
      <c r="G204" s="383"/>
      <c r="H204" s="383">
        <v>45642</v>
      </c>
      <c r="I204" s="385">
        <f ca="1">IF(ISBLANK(H204), NETWORKDAYS(F204, TODAY(),fESTIVOS!$A$1:$A$18), NETWORKDAYS(F204, H204, fESTIVOS!$A$1:$A$18))</f>
        <v>1</v>
      </c>
      <c r="J204" s="383">
        <v>45643</v>
      </c>
      <c r="K204" s="642"/>
      <c r="L204" s="603"/>
      <c r="M204" s="643"/>
      <c r="N204" s="379"/>
      <c r="O204" s="379"/>
      <c r="P204" s="379"/>
      <c r="Q204" s="379"/>
      <c r="R204" s="379"/>
      <c r="S204" s="379"/>
      <c r="T204" s="379"/>
      <c r="U204" s="379"/>
      <c r="V204" s="379"/>
      <c r="W204" s="379"/>
      <c r="X204" s="379"/>
      <c r="Y204" s="379"/>
      <c r="Z204" s="379"/>
    </row>
    <row r="205" spans="1:26" ht="15.75" customHeight="1">
      <c r="A205" s="607" t="s">
        <v>2503</v>
      </c>
      <c r="B205" s="619"/>
      <c r="C205" s="794" t="s">
        <v>2910</v>
      </c>
      <c r="D205" s="384" t="s">
        <v>76</v>
      </c>
      <c r="E205" s="681">
        <v>45632</v>
      </c>
      <c r="F205" s="655">
        <v>45642</v>
      </c>
      <c r="G205" s="383"/>
      <c r="H205" s="383">
        <v>45642</v>
      </c>
      <c r="I205" s="385">
        <f ca="1">IF(ISBLANK(H205), NETWORKDAYS(F205, TODAY(),fESTIVOS!$A$1:$A$18), NETWORKDAYS(F205, H205, fESTIVOS!$A$1:$A$18))</f>
        <v>1</v>
      </c>
      <c r="J205" s="383">
        <v>45643</v>
      </c>
      <c r="K205" s="642"/>
      <c r="L205" s="603"/>
      <c r="M205" s="643"/>
      <c r="N205" s="379"/>
      <c r="O205" s="379"/>
      <c r="P205" s="379"/>
      <c r="Q205" s="379"/>
      <c r="R205" s="379"/>
      <c r="S205" s="379"/>
      <c r="T205" s="379"/>
      <c r="U205" s="379"/>
      <c r="V205" s="379"/>
      <c r="W205" s="379"/>
      <c r="X205" s="379"/>
      <c r="Y205" s="379"/>
      <c r="Z205" s="379"/>
    </row>
    <row r="206" spans="1:26" ht="15.75" customHeight="1">
      <c r="A206" s="607" t="s">
        <v>2503</v>
      </c>
      <c r="B206" s="619"/>
      <c r="C206" s="795" t="s">
        <v>2911</v>
      </c>
      <c r="D206" s="605" t="s">
        <v>2624</v>
      </c>
      <c r="E206" s="681">
        <v>45632</v>
      </c>
      <c r="F206" s="655">
        <v>45632</v>
      </c>
      <c r="G206" s="383"/>
      <c r="H206" s="602">
        <v>45635</v>
      </c>
      <c r="I206" s="385">
        <f ca="1">IF(ISBLANK(H206), NETWORKDAYS(F206, TODAY(),fESTIVOS!$A$1:$A$18), NETWORKDAYS(F206, H206, fESTIVOS!$A$1:$A$18))</f>
        <v>2</v>
      </c>
      <c r="J206" s="602">
        <v>45635</v>
      </c>
      <c r="K206" s="602">
        <v>45636</v>
      </c>
      <c r="L206" s="603" t="s">
        <v>2912</v>
      </c>
      <c r="M206" s="643"/>
      <c r="N206" s="379"/>
      <c r="O206" s="379"/>
      <c r="P206" s="379"/>
      <c r="Q206" s="379"/>
      <c r="R206" s="379"/>
      <c r="S206" s="379"/>
      <c r="T206" s="379"/>
      <c r="U206" s="379"/>
      <c r="V206" s="379"/>
      <c r="W206" s="379"/>
      <c r="X206" s="379"/>
      <c r="Y206" s="379"/>
      <c r="Z206" s="379"/>
    </row>
    <row r="207" spans="1:26" ht="15.75" customHeight="1">
      <c r="A207" s="607" t="s">
        <v>2503</v>
      </c>
      <c r="B207" s="619"/>
      <c r="C207" s="421" t="s">
        <v>2913</v>
      </c>
      <c r="D207" s="605" t="s">
        <v>76</v>
      </c>
      <c r="E207" s="383">
        <v>45644</v>
      </c>
      <c r="F207" s="655">
        <v>45644</v>
      </c>
      <c r="G207" s="383"/>
      <c r="H207" s="602">
        <v>45646</v>
      </c>
      <c r="I207" s="385">
        <f ca="1">IF(ISBLANK(H207), NETWORKDAYS(F207, TODAY(),fESTIVOS!$A$1:$A$18), NETWORKDAYS(F207, H207, fESTIVOS!$A$1:$A$18))</f>
        <v>3</v>
      </c>
      <c r="J207" s="602"/>
      <c r="K207" s="602"/>
      <c r="L207" s="603" t="s">
        <v>2914</v>
      </c>
      <c r="M207" s="643"/>
      <c r="N207" s="379"/>
      <c r="O207" s="379"/>
      <c r="P207" s="379"/>
      <c r="Q207" s="379"/>
      <c r="R207" s="379"/>
      <c r="S207" s="379"/>
      <c r="T207" s="379"/>
      <c r="U207" s="379"/>
      <c r="V207" s="379"/>
      <c r="W207" s="379"/>
      <c r="X207" s="379"/>
      <c r="Y207" s="379"/>
      <c r="Z207" s="379"/>
    </row>
    <row r="208" spans="1:26" ht="15.75" customHeight="1">
      <c r="A208" s="396" t="s">
        <v>2503</v>
      </c>
      <c r="B208" s="734"/>
      <c r="C208" s="389" t="s">
        <v>2915</v>
      </c>
      <c r="D208" s="637" t="s">
        <v>654</v>
      </c>
      <c r="E208" s="415">
        <v>45660</v>
      </c>
      <c r="F208" s="415">
        <v>45660</v>
      </c>
      <c r="G208" s="415"/>
      <c r="H208" s="415">
        <v>45664</v>
      </c>
      <c r="I208" s="393">
        <f ca="1">IF(ISBLANK(H208), NETWORKDAYS(F208, TODAY(),fESTIVOS!$A$1:$A$18), NETWORKDAYS(F208, H208, fESTIVOS!$A$1:$A$18))</f>
        <v>3</v>
      </c>
      <c r="J208" s="415">
        <v>45664</v>
      </c>
      <c r="K208" s="415"/>
      <c r="L208" s="638" t="s">
        <v>2916</v>
      </c>
      <c r="M208" s="608"/>
      <c r="N208" s="373"/>
      <c r="O208" s="373"/>
      <c r="P208" s="373"/>
      <c r="Q208" s="373"/>
      <c r="R208" s="373"/>
      <c r="S208" s="373"/>
      <c r="T208" s="373"/>
      <c r="U208" s="373"/>
      <c r="V208" s="373"/>
      <c r="W208" s="373"/>
      <c r="X208" s="373"/>
      <c r="Y208" s="373"/>
      <c r="Z208" s="373"/>
    </row>
    <row r="209" spans="1:26" ht="15.75" customHeight="1">
      <c r="A209" s="755" t="s">
        <v>2255</v>
      </c>
      <c r="B209" s="796" t="s">
        <v>2877</v>
      </c>
      <c r="C209" s="797" t="s">
        <v>2917</v>
      </c>
      <c r="D209" s="390" t="s">
        <v>2879</v>
      </c>
      <c r="E209" s="650">
        <v>45572</v>
      </c>
      <c r="F209" s="650">
        <v>45573</v>
      </c>
      <c r="G209" s="650">
        <v>45572</v>
      </c>
      <c r="H209" s="650">
        <v>45574</v>
      </c>
      <c r="I209" s="742">
        <f ca="1">IF(ISBLANK(H209), NETWORKDAYS(F209, TODAY(),fESTIVOS!$A$1:$A$18), NETWORKDAYS(F209, H209, fESTIVOS!$A$1:$A$18))</f>
        <v>2</v>
      </c>
      <c r="J209" s="650">
        <v>45629</v>
      </c>
      <c r="K209" s="650"/>
      <c r="L209" s="651" t="s">
        <v>2918</v>
      </c>
      <c r="M209" s="608"/>
      <c r="N209" s="373"/>
      <c r="O209" s="373"/>
      <c r="P209" s="373"/>
      <c r="Q209" s="373"/>
      <c r="R209" s="373"/>
      <c r="S209" s="373"/>
      <c r="T209" s="373"/>
      <c r="U209" s="373"/>
      <c r="V209" s="373"/>
      <c r="W209" s="373"/>
      <c r="X209" s="373"/>
      <c r="Y209" s="373"/>
      <c r="Z209" s="373"/>
    </row>
    <row r="210" spans="1:26" ht="15.75" customHeight="1">
      <c r="A210" s="411" t="s">
        <v>2255</v>
      </c>
      <c r="B210" s="796" t="s">
        <v>2877</v>
      </c>
      <c r="C210" s="414" t="s">
        <v>2919</v>
      </c>
      <c r="D210" s="390" t="s">
        <v>2879</v>
      </c>
      <c r="E210" s="415">
        <v>45574</v>
      </c>
      <c r="F210" s="415">
        <v>45574</v>
      </c>
      <c r="G210" s="415">
        <v>45582</v>
      </c>
      <c r="H210" s="693">
        <v>45596</v>
      </c>
      <c r="I210" s="393">
        <f ca="1">IF(ISBLANK(H210), NETWORKDAYS(F210, TODAY(),fESTIVOS!$A$1:$A$18), NETWORKDAYS(F210, H210, fESTIVOS!$A$1:$A$18))</f>
        <v>16</v>
      </c>
      <c r="J210" s="650">
        <v>45629</v>
      </c>
      <c r="K210" s="415"/>
      <c r="L210" s="638" t="s">
        <v>2920</v>
      </c>
      <c r="M210" s="608"/>
      <c r="N210" s="373"/>
      <c r="O210" s="373"/>
      <c r="P210" s="373"/>
      <c r="Q210" s="373"/>
      <c r="R210" s="373"/>
      <c r="S210" s="373"/>
      <c r="T210" s="373"/>
      <c r="U210" s="373"/>
      <c r="V210" s="373"/>
      <c r="W210" s="373"/>
      <c r="X210" s="373"/>
      <c r="Y210" s="373"/>
      <c r="Z210" s="373"/>
    </row>
    <row r="211" spans="1:26" ht="15.75" customHeight="1">
      <c r="A211" s="690" t="s">
        <v>2255</v>
      </c>
      <c r="B211" s="796" t="s">
        <v>2877</v>
      </c>
      <c r="C211" s="721" t="s">
        <v>2921</v>
      </c>
      <c r="D211" s="390" t="s">
        <v>2879</v>
      </c>
      <c r="E211" s="693">
        <v>45574</v>
      </c>
      <c r="F211" s="693">
        <v>45574</v>
      </c>
      <c r="G211" s="693">
        <v>45582</v>
      </c>
      <c r="H211" s="693">
        <v>45596</v>
      </c>
      <c r="I211" s="694">
        <f ca="1">IF(ISBLANK(H211), NETWORKDAYS(F211, TODAY(),fESTIVOS!$A$1:$A$18), NETWORKDAYS(F211, H211, fESTIVOS!$A$1:$A$18))</f>
        <v>16</v>
      </c>
      <c r="J211" s="650">
        <v>45629</v>
      </c>
      <c r="K211" s="693"/>
      <c r="L211" s="695" t="s">
        <v>2922</v>
      </c>
      <c r="M211" s="608"/>
      <c r="N211" s="373"/>
      <c r="O211" s="373"/>
      <c r="P211" s="373"/>
      <c r="Q211" s="373"/>
      <c r="R211" s="373"/>
      <c r="S211" s="373"/>
      <c r="T211" s="373"/>
      <c r="U211" s="373"/>
      <c r="V211" s="373"/>
      <c r="W211" s="373"/>
      <c r="X211" s="373"/>
      <c r="Y211" s="373"/>
      <c r="Z211" s="373"/>
    </row>
    <row r="212" spans="1:26" ht="15.75" customHeight="1">
      <c r="A212" s="690" t="s">
        <v>2255</v>
      </c>
      <c r="B212" s="796" t="s">
        <v>2877</v>
      </c>
      <c r="C212" s="748" t="s">
        <v>2923</v>
      </c>
      <c r="D212" s="390" t="s">
        <v>2879</v>
      </c>
      <c r="E212" s="693">
        <v>45574</v>
      </c>
      <c r="F212" s="693">
        <v>45594</v>
      </c>
      <c r="G212" s="693">
        <v>45595</v>
      </c>
      <c r="H212" s="693">
        <v>45596</v>
      </c>
      <c r="I212" s="694">
        <f ca="1">IF(ISBLANK(H212), NETWORKDAYS(F212, TODAY(),fESTIVOS!$A$1:$A$18), NETWORKDAYS(F212, H212, fESTIVOS!$A$1:$A$18))</f>
        <v>3</v>
      </c>
      <c r="J212" s="650">
        <v>45629</v>
      </c>
      <c r="K212" s="693"/>
      <c r="L212" s="695" t="s">
        <v>2924</v>
      </c>
      <c r="M212" s="608"/>
      <c r="N212" s="373"/>
      <c r="O212" s="373"/>
      <c r="P212" s="373"/>
      <c r="Q212" s="373"/>
      <c r="R212" s="373"/>
      <c r="S212" s="373"/>
      <c r="T212" s="373"/>
      <c r="U212" s="373"/>
      <c r="V212" s="373"/>
      <c r="W212" s="373"/>
      <c r="X212" s="373"/>
      <c r="Y212" s="373"/>
      <c r="Z212" s="373"/>
    </row>
    <row r="213" spans="1:26" ht="15.75" customHeight="1">
      <c r="A213" s="411" t="s">
        <v>2255</v>
      </c>
      <c r="B213" s="796" t="s">
        <v>2877</v>
      </c>
      <c r="C213" s="414" t="s">
        <v>2925</v>
      </c>
      <c r="D213" s="390" t="s">
        <v>2879</v>
      </c>
      <c r="E213" s="415">
        <v>45574</v>
      </c>
      <c r="F213" s="415">
        <v>45597</v>
      </c>
      <c r="G213" s="415">
        <v>45601</v>
      </c>
      <c r="H213" s="415"/>
      <c r="I213" s="393">
        <f ca="1">IF(ISBLANK(H213), NETWORKDAYS(F213, TODAY(),fESTIVOS!$A$1:$A$18), NETWORKDAYS(F213, H213, fESTIVOS!$A$1:$A$18))</f>
        <v>348</v>
      </c>
      <c r="J213" s="650">
        <v>45629</v>
      </c>
      <c r="K213" s="415"/>
      <c r="L213" s="638" t="s">
        <v>2926</v>
      </c>
      <c r="M213" s="608"/>
      <c r="N213" s="373"/>
      <c r="O213" s="373"/>
      <c r="P213" s="373"/>
      <c r="Q213" s="373"/>
      <c r="R213" s="373"/>
      <c r="S213" s="373"/>
      <c r="T213" s="373"/>
      <c r="U213" s="373"/>
      <c r="V213" s="373"/>
      <c r="W213" s="373"/>
      <c r="X213" s="373"/>
      <c r="Y213" s="373"/>
      <c r="Z213" s="373"/>
    </row>
    <row r="214" spans="1:26" ht="15.75" customHeight="1">
      <c r="A214" s="411" t="s">
        <v>2255</v>
      </c>
      <c r="B214" s="796" t="s">
        <v>2877</v>
      </c>
      <c r="C214" s="754" t="s">
        <v>2927</v>
      </c>
      <c r="D214" s="390" t="s">
        <v>2879</v>
      </c>
      <c r="E214" s="415">
        <v>45574</v>
      </c>
      <c r="F214" s="650">
        <v>45602</v>
      </c>
      <c r="G214" s="650">
        <v>45604</v>
      </c>
      <c r="H214" s="650">
        <v>45609</v>
      </c>
      <c r="I214" s="393">
        <f ca="1">IF(ISBLANK(H214), NETWORKDAYS(F214, TODAY(),fESTIVOS!$A$1:$A$18), NETWORKDAYS(F214, H214, fESTIVOS!$A$1:$A$18))</f>
        <v>5</v>
      </c>
      <c r="J214" s="650">
        <v>45629</v>
      </c>
      <c r="K214" s="650"/>
      <c r="L214" s="651" t="s">
        <v>2928</v>
      </c>
      <c r="M214" s="608"/>
      <c r="N214" s="373"/>
      <c r="O214" s="373"/>
      <c r="P214" s="373"/>
      <c r="Q214" s="373"/>
      <c r="R214" s="373"/>
      <c r="S214" s="373"/>
      <c r="T214" s="373"/>
      <c r="U214" s="373"/>
      <c r="V214" s="373"/>
      <c r="W214" s="373"/>
      <c r="X214" s="373"/>
      <c r="Y214" s="373"/>
      <c r="Z214" s="373"/>
    </row>
    <row r="215" spans="1:26" ht="15.75" customHeight="1">
      <c r="A215" s="411" t="s">
        <v>2255</v>
      </c>
      <c r="B215" s="796" t="s">
        <v>2877</v>
      </c>
      <c r="C215" s="754" t="s">
        <v>2929</v>
      </c>
      <c r="D215" s="390" t="s">
        <v>2879</v>
      </c>
      <c r="E215" s="415">
        <v>45574</v>
      </c>
      <c r="F215" s="650">
        <v>45610</v>
      </c>
      <c r="G215" s="650">
        <v>45617</v>
      </c>
      <c r="H215" s="650">
        <v>45617</v>
      </c>
      <c r="I215" s="393">
        <f ca="1">IF(ISBLANK(H215), NETWORKDAYS(F215, TODAY(),fESTIVOS!$A$1:$A$18), NETWORKDAYS(F215, H215, fESTIVOS!$A$1:$A$18))</f>
        <v>6</v>
      </c>
      <c r="J215" s="650">
        <v>45629</v>
      </c>
      <c r="K215" s="650"/>
      <c r="L215" s="651" t="s">
        <v>2930</v>
      </c>
      <c r="M215" s="608"/>
      <c r="N215" s="373"/>
      <c r="O215" s="373"/>
      <c r="P215" s="373"/>
      <c r="Q215" s="373"/>
      <c r="R215" s="373"/>
      <c r="S215" s="373"/>
      <c r="T215" s="373"/>
      <c r="U215" s="373"/>
      <c r="V215" s="373"/>
      <c r="W215" s="373"/>
      <c r="X215" s="373"/>
      <c r="Y215" s="373"/>
      <c r="Z215" s="373"/>
    </row>
    <row r="216" spans="1:26" ht="15.75" customHeight="1">
      <c r="A216" s="411" t="s">
        <v>2255</v>
      </c>
      <c r="B216" s="796" t="s">
        <v>2877</v>
      </c>
      <c r="C216" s="754" t="s">
        <v>2931</v>
      </c>
      <c r="D216" s="390" t="s">
        <v>2879</v>
      </c>
      <c r="E216" s="415">
        <v>45574</v>
      </c>
      <c r="F216" s="650">
        <v>45617</v>
      </c>
      <c r="G216" s="650">
        <v>45617</v>
      </c>
      <c r="H216" s="650">
        <v>45617</v>
      </c>
      <c r="I216" s="393">
        <f ca="1">IF(ISBLANK(H216), NETWORKDAYS(F216, TODAY(),fESTIVOS!$A$1:$A$18), NETWORKDAYS(F216, H216, fESTIVOS!$A$1:$A$18))</f>
        <v>1</v>
      </c>
      <c r="J216" s="650">
        <v>45629</v>
      </c>
      <c r="K216" s="650"/>
      <c r="L216" s="651" t="s">
        <v>2932</v>
      </c>
      <c r="M216" s="608"/>
      <c r="N216" s="373"/>
      <c r="O216" s="373"/>
      <c r="P216" s="373"/>
      <c r="Q216" s="373"/>
      <c r="R216" s="373"/>
      <c r="S216" s="373"/>
      <c r="T216" s="373"/>
      <c r="U216" s="373"/>
      <c r="V216" s="373"/>
      <c r="W216" s="373"/>
      <c r="X216" s="373"/>
      <c r="Y216" s="373"/>
      <c r="Z216" s="373"/>
    </row>
    <row r="217" spans="1:26" ht="15.75" customHeight="1">
      <c r="A217" s="411" t="s">
        <v>2255</v>
      </c>
      <c r="B217" s="796" t="s">
        <v>2877</v>
      </c>
      <c r="C217" s="754" t="s">
        <v>2933</v>
      </c>
      <c r="D217" s="390" t="s">
        <v>2879</v>
      </c>
      <c r="E217" s="415">
        <v>45574</v>
      </c>
      <c r="F217" s="650">
        <v>45618</v>
      </c>
      <c r="G217" s="650">
        <v>45621</v>
      </c>
      <c r="H217" s="650">
        <v>45625</v>
      </c>
      <c r="I217" s="393">
        <f ca="1">IF(ISBLANK(H217), NETWORKDAYS(F217, TODAY(),fESTIVOS!$A$1:$A$18), NETWORKDAYS(F217, H217, fESTIVOS!$A$1:$A$18))</f>
        <v>6</v>
      </c>
      <c r="J217" s="650">
        <v>45629</v>
      </c>
      <c r="K217" s="650"/>
      <c r="L217" s="651" t="s">
        <v>2934</v>
      </c>
      <c r="M217" s="608"/>
      <c r="N217" s="373"/>
      <c r="O217" s="373"/>
      <c r="P217" s="373"/>
      <c r="Q217" s="373"/>
      <c r="R217" s="373"/>
      <c r="S217" s="373"/>
      <c r="T217" s="373"/>
      <c r="U217" s="373"/>
      <c r="V217" s="373"/>
      <c r="W217" s="373"/>
      <c r="X217" s="373"/>
      <c r="Y217" s="373"/>
      <c r="Z217" s="373"/>
    </row>
    <row r="218" spans="1:26" ht="15.75" customHeight="1">
      <c r="A218" s="411" t="s">
        <v>2255</v>
      </c>
      <c r="B218" s="796" t="s">
        <v>2877</v>
      </c>
      <c r="C218" s="754" t="s">
        <v>2935</v>
      </c>
      <c r="D218" s="390" t="s">
        <v>2879</v>
      </c>
      <c r="E218" s="415">
        <v>45574</v>
      </c>
      <c r="F218" s="650">
        <v>45621</v>
      </c>
      <c r="G218" s="650">
        <v>45621</v>
      </c>
      <c r="H218" s="650">
        <v>45625</v>
      </c>
      <c r="I218" s="393">
        <f ca="1">IF(ISBLANK(H218), NETWORKDAYS(F218, TODAY(),fESTIVOS!$A$1:$A$18), NETWORKDAYS(F218, H218, fESTIVOS!$A$1:$A$18))</f>
        <v>5</v>
      </c>
      <c r="J218" s="650">
        <v>45629</v>
      </c>
      <c r="K218" s="650"/>
      <c r="L218" s="651" t="s">
        <v>2936</v>
      </c>
      <c r="M218" s="608"/>
      <c r="N218" s="373"/>
      <c r="O218" s="373"/>
      <c r="P218" s="373"/>
      <c r="Q218" s="373"/>
      <c r="R218" s="373"/>
      <c r="S218" s="373"/>
      <c r="T218" s="373"/>
      <c r="U218" s="373"/>
      <c r="V218" s="373"/>
      <c r="W218" s="373"/>
      <c r="X218" s="373"/>
      <c r="Y218" s="373"/>
      <c r="Z218" s="373"/>
    </row>
    <row r="219" spans="1:26" ht="15.75" customHeight="1">
      <c r="A219" s="411" t="s">
        <v>2255</v>
      </c>
      <c r="B219" s="796" t="s">
        <v>2877</v>
      </c>
      <c r="C219" s="754" t="s">
        <v>2937</v>
      </c>
      <c r="D219" s="390" t="s">
        <v>2879</v>
      </c>
      <c r="E219" s="415">
        <v>45574</v>
      </c>
      <c r="F219" s="650">
        <v>45625</v>
      </c>
      <c r="G219" s="650"/>
      <c r="H219" s="650">
        <v>45629</v>
      </c>
      <c r="I219" s="393">
        <f ca="1">IF(ISBLANK(H219), NETWORKDAYS(F219, TODAY(),fESTIVOS!$A$1:$A$18), NETWORKDAYS(F219, H219, fESTIVOS!$A$1:$A$18))</f>
        <v>3</v>
      </c>
      <c r="J219" s="650">
        <v>45629</v>
      </c>
      <c r="K219" s="650"/>
      <c r="L219" s="651" t="s">
        <v>2938</v>
      </c>
      <c r="M219" s="608"/>
      <c r="N219" s="373"/>
      <c r="O219" s="373"/>
      <c r="P219" s="373"/>
      <c r="Q219" s="373"/>
      <c r="R219" s="373"/>
      <c r="S219" s="373"/>
      <c r="T219" s="373"/>
      <c r="U219" s="373"/>
      <c r="V219" s="373"/>
      <c r="W219" s="373"/>
      <c r="X219" s="373"/>
      <c r="Y219" s="373"/>
      <c r="Z219" s="373"/>
    </row>
    <row r="220" spans="1:26" ht="15" hidden="1" customHeight="1">
      <c r="A220" s="411"/>
      <c r="B220" s="798"/>
      <c r="C220" s="799"/>
      <c r="D220" s="800"/>
      <c r="E220" s="769"/>
      <c r="F220" s="650"/>
      <c r="G220" s="650"/>
      <c r="H220" s="650"/>
      <c r="I220" s="393"/>
      <c r="J220" s="650"/>
      <c r="K220" s="650"/>
      <c r="L220" s="651"/>
      <c r="M220" s="608"/>
      <c r="N220" s="373"/>
      <c r="O220" s="373"/>
      <c r="P220" s="373"/>
      <c r="Q220" s="373"/>
      <c r="R220" s="373"/>
      <c r="S220" s="373"/>
      <c r="T220" s="373"/>
      <c r="U220" s="373"/>
      <c r="V220" s="373"/>
      <c r="W220" s="373"/>
      <c r="X220" s="373"/>
      <c r="Y220" s="373"/>
      <c r="Z220" s="373"/>
    </row>
    <row r="221" spans="1:26" ht="15.75" hidden="1" customHeight="1">
      <c r="A221" s="411" t="s">
        <v>2255</v>
      </c>
      <c r="B221" s="798"/>
      <c r="C221" s="801" t="s">
        <v>2939</v>
      </c>
      <c r="D221" s="802" t="s">
        <v>2258</v>
      </c>
      <c r="E221" s="732">
        <v>45574</v>
      </c>
      <c r="F221" s="650">
        <v>45631</v>
      </c>
      <c r="G221" s="650"/>
      <c r="H221" s="650"/>
      <c r="I221" s="393">
        <f ca="1">IF(ISBLANK(H221), NETWORKDAYS(F221, TODAY(),fESTIVOS!$A$1:$A$18), NETWORKDAYS(F221, H221, fESTIVOS!$A$1:$A$18))</f>
        <v>326</v>
      </c>
      <c r="J221" s="650"/>
      <c r="K221" s="650"/>
      <c r="L221" s="743" t="s">
        <v>2940</v>
      </c>
      <c r="M221" s="608"/>
      <c r="N221" s="373"/>
      <c r="O221" s="373"/>
      <c r="P221" s="373"/>
      <c r="Q221" s="373"/>
      <c r="R221" s="373"/>
      <c r="S221" s="373"/>
      <c r="T221" s="373"/>
      <c r="U221" s="373"/>
      <c r="V221" s="373"/>
      <c r="W221" s="373"/>
      <c r="X221" s="373"/>
      <c r="Y221" s="373"/>
      <c r="Z221" s="373"/>
    </row>
    <row r="222" spans="1:26" ht="15.75" hidden="1" customHeight="1">
      <c r="A222" s="411" t="s">
        <v>2255</v>
      </c>
      <c r="B222" s="798"/>
      <c r="C222" s="801" t="s">
        <v>2941</v>
      </c>
      <c r="D222" s="802" t="s">
        <v>2258</v>
      </c>
      <c r="E222" s="732">
        <v>45574</v>
      </c>
      <c r="F222" s="650">
        <v>45631</v>
      </c>
      <c r="G222" s="650"/>
      <c r="H222" s="650"/>
      <c r="I222" s="393">
        <f ca="1">IF(ISBLANK(H222), NETWORKDAYS(F222, TODAY(),fESTIVOS!$A$1:$A$18), NETWORKDAYS(F222, H222, fESTIVOS!$A$1:$A$18))</f>
        <v>326</v>
      </c>
      <c r="J222" s="650"/>
      <c r="K222" s="650"/>
      <c r="L222" s="743" t="s">
        <v>2940</v>
      </c>
      <c r="M222" s="608"/>
      <c r="N222" s="373"/>
      <c r="O222" s="373"/>
      <c r="P222" s="373"/>
      <c r="Q222" s="373"/>
      <c r="R222" s="373"/>
      <c r="S222" s="373"/>
      <c r="T222" s="373"/>
      <c r="U222" s="373"/>
      <c r="V222" s="373"/>
      <c r="W222" s="373"/>
      <c r="X222" s="373"/>
      <c r="Y222" s="373"/>
      <c r="Z222" s="373"/>
    </row>
    <row r="223" spans="1:26" ht="15.75" hidden="1" customHeight="1">
      <c r="A223" s="411" t="s">
        <v>2255</v>
      </c>
      <c r="B223" s="798"/>
      <c r="C223" s="803" t="s">
        <v>2942</v>
      </c>
      <c r="D223" s="802" t="s">
        <v>2258</v>
      </c>
      <c r="E223" s="732">
        <v>45574</v>
      </c>
      <c r="F223" s="650">
        <v>45631</v>
      </c>
      <c r="G223" s="650"/>
      <c r="H223" s="650"/>
      <c r="I223" s="393">
        <f ca="1">IF(ISBLANK(H223), NETWORKDAYS(F223, TODAY(),fESTIVOS!$A$1:$A$18), NETWORKDAYS(F223, H223, fESTIVOS!$A$1:$A$18))</f>
        <v>326</v>
      </c>
      <c r="J223" s="650"/>
      <c r="K223" s="650"/>
      <c r="L223" s="743" t="s">
        <v>2943</v>
      </c>
      <c r="M223" s="608"/>
      <c r="N223" s="373"/>
      <c r="O223" s="373"/>
      <c r="P223" s="373"/>
      <c r="Q223" s="373"/>
      <c r="R223" s="373"/>
      <c r="S223" s="373"/>
      <c r="T223" s="373"/>
      <c r="U223" s="373"/>
      <c r="V223" s="373"/>
      <c r="W223" s="373"/>
      <c r="X223" s="373"/>
      <c r="Y223" s="373"/>
      <c r="Z223" s="373"/>
    </row>
    <row r="224" spans="1:26" ht="15.75" hidden="1" customHeight="1">
      <c r="A224" s="690" t="s">
        <v>2255</v>
      </c>
      <c r="B224" s="798"/>
      <c r="C224" s="804" t="s">
        <v>2944</v>
      </c>
      <c r="D224" s="802" t="s">
        <v>2258</v>
      </c>
      <c r="E224" s="805">
        <v>45574</v>
      </c>
      <c r="F224" s="670">
        <v>45638</v>
      </c>
      <c r="G224" s="670"/>
      <c r="H224" s="670"/>
      <c r="I224" s="694">
        <f ca="1">IF(ISBLANK(H224), NETWORKDAYS(F224, TODAY(),fESTIVOS!$A$1:$A$18), NETWORKDAYS(F224, H224, fESTIVOS!$A$1:$A$18))</f>
        <v>321</v>
      </c>
      <c r="J224" s="670"/>
      <c r="K224" s="670"/>
      <c r="L224" s="806" t="s">
        <v>2945</v>
      </c>
      <c r="M224" s="608"/>
      <c r="N224" s="373"/>
      <c r="O224" s="373"/>
      <c r="P224" s="373"/>
      <c r="Q224" s="373"/>
      <c r="R224" s="373"/>
      <c r="S224" s="373"/>
      <c r="T224" s="373"/>
      <c r="U224" s="373"/>
      <c r="V224" s="373"/>
      <c r="W224" s="373"/>
      <c r="X224" s="373"/>
      <c r="Y224" s="373"/>
      <c r="Z224" s="373"/>
    </row>
    <row r="225" spans="1:26" ht="15.75" hidden="1" customHeight="1">
      <c r="A225" s="411" t="s">
        <v>2255</v>
      </c>
      <c r="B225" s="798"/>
      <c r="C225" s="406" t="s">
        <v>2946</v>
      </c>
      <c r="D225" s="802" t="s">
        <v>2258</v>
      </c>
      <c r="E225" s="415">
        <v>45636</v>
      </c>
      <c r="F225" s="415">
        <v>45636</v>
      </c>
      <c r="G225" s="415"/>
      <c r="H225" s="415"/>
      <c r="I225" s="393">
        <f ca="1">IF(ISBLANK(H225), NETWORKDAYS(F225, TODAY(),fESTIVOS!$A$1:$A$18), NETWORKDAYS(F225, H225, fESTIVOS!$A$1:$A$18))</f>
        <v>323</v>
      </c>
      <c r="J225" s="415">
        <v>45645</v>
      </c>
      <c r="K225" s="415"/>
      <c r="L225" s="733" t="s">
        <v>2947</v>
      </c>
      <c r="M225" s="608"/>
      <c r="N225" s="373"/>
      <c r="O225" s="373"/>
      <c r="P225" s="373"/>
      <c r="Q225" s="373"/>
      <c r="R225" s="373"/>
      <c r="S225" s="373"/>
      <c r="T225" s="373"/>
      <c r="U225" s="373"/>
      <c r="V225" s="373"/>
      <c r="W225" s="373"/>
      <c r="X225" s="373"/>
      <c r="Y225" s="373"/>
      <c r="Z225" s="373"/>
    </row>
    <row r="226" spans="1:26" ht="15.75" hidden="1" customHeight="1">
      <c r="A226" s="411" t="s">
        <v>2255</v>
      </c>
      <c r="B226" s="798"/>
      <c r="C226" s="406" t="s">
        <v>2948</v>
      </c>
      <c r="D226" s="637" t="s">
        <v>654</v>
      </c>
      <c r="E226" s="415">
        <v>45645</v>
      </c>
      <c r="F226" s="415">
        <v>45646</v>
      </c>
      <c r="G226" s="415"/>
      <c r="H226" s="415"/>
      <c r="I226" s="393">
        <f ca="1">IF(ISBLANK(H226), NETWORKDAYS(F226, TODAY(),fESTIVOS!$A$1:$A$18), NETWORKDAYS(F226, H226, fESTIVOS!$A$1:$A$18))</f>
        <v>315</v>
      </c>
      <c r="J226" s="415">
        <v>45664</v>
      </c>
      <c r="K226" s="415"/>
      <c r="L226" s="733" t="s">
        <v>2949</v>
      </c>
      <c r="M226" s="608"/>
      <c r="N226" s="373"/>
      <c r="O226" s="373"/>
      <c r="P226" s="373"/>
      <c r="Q226" s="373"/>
      <c r="R226" s="373"/>
      <c r="S226" s="373"/>
      <c r="T226" s="373"/>
      <c r="U226" s="373"/>
      <c r="V226" s="373"/>
      <c r="W226" s="373"/>
      <c r="X226" s="373"/>
      <c r="Y226" s="373"/>
      <c r="Z226" s="373"/>
    </row>
    <row r="227" spans="1:26" ht="15.75" hidden="1" customHeight="1">
      <c r="A227" s="411" t="s">
        <v>2255</v>
      </c>
      <c r="B227" s="807"/>
      <c r="C227" s="406" t="s">
        <v>2950</v>
      </c>
      <c r="D227" s="637" t="s">
        <v>654</v>
      </c>
      <c r="E227" s="415">
        <v>45652</v>
      </c>
      <c r="F227" s="415">
        <v>45652</v>
      </c>
      <c r="G227" s="415"/>
      <c r="H227" s="415"/>
      <c r="I227" s="393">
        <f ca="1">IF(ISBLANK(H227), NETWORKDAYS(F227, TODAY(),fESTIVOS!$A$1:$A$18), NETWORKDAYS(F227, H227, fESTIVOS!$A$1:$A$18))</f>
        <v>312</v>
      </c>
      <c r="J227" s="415">
        <v>45664</v>
      </c>
      <c r="K227" s="415"/>
      <c r="L227" s="733" t="s">
        <v>2951</v>
      </c>
      <c r="M227" s="608"/>
      <c r="N227" s="373"/>
      <c r="O227" s="373"/>
      <c r="P227" s="373"/>
      <c r="Q227" s="373"/>
      <c r="R227" s="373"/>
      <c r="S227" s="373"/>
      <c r="T227" s="373"/>
      <c r="U227" s="373"/>
      <c r="V227" s="373"/>
      <c r="W227" s="373"/>
      <c r="X227" s="373"/>
      <c r="Y227" s="373"/>
      <c r="Z227" s="373"/>
    </row>
    <row r="228" spans="1:26" ht="15.75" customHeight="1">
      <c r="A228" s="396" t="s">
        <v>2503</v>
      </c>
      <c r="B228" s="396" t="s">
        <v>2843</v>
      </c>
      <c r="C228" s="417" t="s">
        <v>2952</v>
      </c>
      <c r="D228" s="637" t="s">
        <v>2624</v>
      </c>
      <c r="E228" s="415">
        <v>45678</v>
      </c>
      <c r="F228" s="415">
        <v>45678</v>
      </c>
      <c r="G228" s="415"/>
      <c r="H228" s="415">
        <v>45678</v>
      </c>
      <c r="I228" s="808">
        <f ca="1">IF(ISBLANK(H228), NETWORKDAYS(F228, TODAY(),fESTIVOS!$A$1:$A$18), NETWORKDAYS(F228, H228, fESTIVOS!$A$1:$A$18))</f>
        <v>1</v>
      </c>
      <c r="J228" s="391">
        <v>45678</v>
      </c>
      <c r="K228" s="655">
        <v>45692</v>
      </c>
      <c r="L228" s="770" t="s">
        <v>2953</v>
      </c>
    </row>
    <row r="229" spans="1:26" ht="15.75" customHeight="1">
      <c r="A229" s="396" t="s">
        <v>2503</v>
      </c>
      <c r="B229" s="389" t="s">
        <v>2954</v>
      </c>
      <c r="C229" s="414"/>
      <c r="D229" s="637" t="s">
        <v>11</v>
      </c>
      <c r="E229" s="415">
        <v>45687</v>
      </c>
      <c r="F229" s="415">
        <v>45688</v>
      </c>
      <c r="G229" s="415"/>
      <c r="H229" s="415">
        <v>45688</v>
      </c>
      <c r="I229" s="393">
        <f ca="1">IF(ISBLANK(H229), NETWORKDAYS(F229, TODAY(),fESTIVOS!$A$1:$A$18), NETWORKDAYS(F229, H229, fESTIVOS!$A$1:$A$18))</f>
        <v>1</v>
      </c>
      <c r="J229" s="415"/>
      <c r="K229" s="415"/>
      <c r="L229" s="638" t="s">
        <v>2955</v>
      </c>
      <c r="M229" s="608"/>
      <c r="N229" s="373"/>
      <c r="O229" s="373"/>
      <c r="P229" s="373"/>
      <c r="Q229" s="373"/>
      <c r="R229" s="373"/>
      <c r="S229" s="373"/>
      <c r="T229" s="373"/>
      <c r="U229" s="373"/>
      <c r="V229" s="373"/>
      <c r="W229" s="373"/>
      <c r="X229" s="373"/>
      <c r="Y229" s="373"/>
      <c r="Z229" s="373"/>
    </row>
    <row r="230" spans="1:26" ht="15.75" customHeight="1">
      <c r="A230" s="411" t="s">
        <v>2255</v>
      </c>
      <c r="B230" s="639" t="s">
        <v>2956</v>
      </c>
      <c r="C230" s="413"/>
      <c r="D230" s="637" t="s">
        <v>76</v>
      </c>
      <c r="E230" s="415">
        <v>45692</v>
      </c>
      <c r="F230" s="416">
        <v>45693</v>
      </c>
      <c r="G230" s="782"/>
      <c r="H230" s="416">
        <v>45693</v>
      </c>
      <c r="I230" s="393">
        <f ca="1">IF(ISBLANK(H230), NETWORKDAYS(F230, TODAY(),fESTIVOS!$A$1:$A$18), NETWORKDAYS(F230, H230, fESTIVOS!$A$1:$A$18))</f>
        <v>1</v>
      </c>
      <c r="J230" s="413"/>
      <c r="K230" s="642"/>
      <c r="L230" s="602" t="s">
        <v>2957</v>
      </c>
      <c r="M230" s="418"/>
      <c r="N230" s="418"/>
      <c r="O230" s="418"/>
      <c r="P230" s="418"/>
      <c r="Q230" s="418"/>
      <c r="R230" s="418"/>
      <c r="S230" s="418"/>
      <c r="T230" s="418"/>
      <c r="U230" s="418"/>
      <c r="V230" s="418"/>
      <c r="W230" s="418"/>
      <c r="X230" s="418"/>
      <c r="Y230" s="418"/>
      <c r="Z230" s="418"/>
    </row>
    <row r="231" spans="1:26" ht="15.75" customHeight="1">
      <c r="A231" s="396" t="s">
        <v>2503</v>
      </c>
      <c r="B231" s="389" t="s">
        <v>2958</v>
      </c>
      <c r="C231" s="414"/>
      <c r="D231" s="637" t="s">
        <v>76</v>
      </c>
      <c r="E231" s="415">
        <v>45692</v>
      </c>
      <c r="F231" s="415">
        <v>45693</v>
      </c>
      <c r="G231" s="415"/>
      <c r="H231" s="415">
        <v>45693</v>
      </c>
      <c r="I231" s="393">
        <f ca="1">IF(ISBLANK(H231), NETWORKDAYS(F231, TODAY(),fESTIVOS!$A$1:$A$18), NETWORKDAYS(F231, H231, fESTIVOS!$A$1:$A$18))</f>
        <v>1</v>
      </c>
      <c r="J231" s="415"/>
      <c r="K231" s="415">
        <v>45693</v>
      </c>
      <c r="L231" s="733" t="s">
        <v>2959</v>
      </c>
      <c r="M231" s="608"/>
      <c r="N231" s="373"/>
      <c r="O231" s="373"/>
      <c r="P231" s="373"/>
      <c r="Q231" s="373"/>
      <c r="R231" s="373"/>
      <c r="S231" s="373"/>
      <c r="T231" s="373"/>
      <c r="U231" s="373"/>
      <c r="V231" s="373"/>
      <c r="W231" s="373"/>
      <c r="X231" s="373"/>
      <c r="Y231" s="373"/>
      <c r="Z231" s="373"/>
    </row>
    <row r="232" spans="1:26" ht="15.75" customHeight="1">
      <c r="A232" s="396" t="s">
        <v>2503</v>
      </c>
      <c r="B232" s="389" t="s">
        <v>2960</v>
      </c>
      <c r="C232" s="414"/>
      <c r="D232" s="637" t="s">
        <v>76</v>
      </c>
      <c r="E232" s="415">
        <v>45692</v>
      </c>
      <c r="F232" s="415">
        <v>45693</v>
      </c>
      <c r="G232" s="415"/>
      <c r="H232" s="415">
        <v>45693</v>
      </c>
      <c r="I232" s="393">
        <f ca="1">IF(ISBLANK(H232), NETWORKDAYS(F232, TODAY(),fESTIVOS!$A$1:$A$18), NETWORKDAYS(F232, H232, fESTIVOS!$A$1:$A$18))</f>
        <v>1</v>
      </c>
      <c r="J232" s="415"/>
      <c r="K232" s="415">
        <v>45693</v>
      </c>
      <c r="L232" s="733" t="s">
        <v>2959</v>
      </c>
      <c r="M232" s="608"/>
      <c r="N232" s="373"/>
      <c r="O232" s="373"/>
      <c r="P232" s="373"/>
      <c r="Q232" s="373"/>
      <c r="R232" s="373"/>
      <c r="S232" s="373"/>
      <c r="T232" s="373"/>
      <c r="U232" s="373"/>
      <c r="V232" s="373"/>
      <c r="W232" s="373"/>
      <c r="X232" s="373"/>
      <c r="Y232" s="373"/>
      <c r="Z232" s="373"/>
    </row>
    <row r="233" spans="1:26" ht="15.75" customHeight="1">
      <c r="A233" s="411" t="s">
        <v>2255</v>
      </c>
      <c r="B233" s="639" t="s">
        <v>2961</v>
      </c>
      <c r="C233" s="770" t="s">
        <v>2962</v>
      </c>
      <c r="D233" s="390" t="s">
        <v>76</v>
      </c>
      <c r="E233" s="415">
        <v>45698</v>
      </c>
      <c r="F233" s="415">
        <v>45698</v>
      </c>
      <c r="G233" s="391"/>
      <c r="H233" s="637"/>
      <c r="I233" s="393">
        <f ca="1">IF(ISBLANK(H233), NETWORKDAYS(F233, TODAY(),fESTIVOS!$A$1:$A$18), NETWORKDAYS(F233, H233, fESTIVOS!$A$1:$A$18))</f>
        <v>280</v>
      </c>
      <c r="J233" s="413"/>
      <c r="K233" s="782"/>
      <c r="L233" s="809"/>
      <c r="M233" s="418"/>
      <c r="N233" s="418"/>
      <c r="O233" s="418"/>
      <c r="P233" s="418"/>
      <c r="Q233" s="418"/>
      <c r="R233" s="418"/>
      <c r="S233" s="418"/>
      <c r="T233" s="418"/>
      <c r="U233" s="418"/>
      <c r="V233" s="418"/>
      <c r="W233" s="418"/>
      <c r="X233" s="418"/>
      <c r="Y233" s="418"/>
      <c r="Z233" s="418"/>
    </row>
    <row r="234" spans="1:26" ht="15.75" customHeight="1">
      <c r="A234" s="411" t="s">
        <v>2255</v>
      </c>
      <c r="B234" s="639" t="s">
        <v>2961</v>
      </c>
      <c r="C234" s="810" t="s">
        <v>2963</v>
      </c>
      <c r="D234" s="390" t="s">
        <v>76</v>
      </c>
      <c r="E234" s="415">
        <v>45698</v>
      </c>
      <c r="F234" s="415">
        <v>45698</v>
      </c>
      <c r="G234" s="391"/>
      <c r="H234" s="415">
        <v>45699</v>
      </c>
      <c r="I234" s="393">
        <f ca="1">IF(ISBLANK(H234), NETWORKDAYS(F234, TODAY(),fESTIVOS!$A$1:$A$18), NETWORKDAYS(F234, H234, fESTIVOS!$A$1:$A$18))</f>
        <v>2</v>
      </c>
      <c r="J234" s="413"/>
      <c r="K234" s="782"/>
      <c r="L234" s="809"/>
      <c r="M234" s="418"/>
      <c r="N234" s="418"/>
      <c r="O234" s="418"/>
      <c r="P234" s="418"/>
      <c r="Q234" s="418"/>
      <c r="R234" s="418"/>
      <c r="S234" s="418"/>
      <c r="T234" s="418"/>
      <c r="U234" s="418"/>
      <c r="V234" s="418"/>
      <c r="W234" s="418"/>
      <c r="X234" s="418"/>
      <c r="Y234" s="418"/>
      <c r="Z234" s="418"/>
    </row>
    <row r="235" spans="1:26" ht="15.75" customHeight="1">
      <c r="A235" s="611" t="s">
        <v>2230</v>
      </c>
      <c r="B235" s="811" t="s">
        <v>2964</v>
      </c>
      <c r="C235" s="812" t="s">
        <v>2965</v>
      </c>
      <c r="D235" s="595" t="s">
        <v>2624</v>
      </c>
      <c r="E235" s="596">
        <v>45684</v>
      </c>
      <c r="F235" s="596">
        <v>45684</v>
      </c>
      <c r="G235" s="596"/>
      <c r="H235" s="596">
        <v>45700</v>
      </c>
      <c r="I235" s="617">
        <f ca="1">IF(ISBLANK(H235), NETWORKDAYS(F235, TODAY(),fESTIVOS!$A$1:$A$18), NETWORKDAYS(F235, H235, fESTIVOS!$A$1:$A$18))</f>
        <v>13</v>
      </c>
      <c r="J235" s="596"/>
      <c r="K235" s="596">
        <v>45700</v>
      </c>
      <c r="L235" s="599" t="s">
        <v>2966</v>
      </c>
      <c r="M235" s="373"/>
      <c r="N235" s="373"/>
      <c r="O235" s="373"/>
      <c r="P235" s="373"/>
      <c r="Q235" s="373"/>
      <c r="R235" s="373"/>
      <c r="S235" s="373"/>
      <c r="T235" s="373"/>
      <c r="U235" s="373"/>
      <c r="V235" s="373"/>
      <c r="W235" s="373"/>
      <c r="X235" s="373"/>
      <c r="Y235" s="373"/>
      <c r="Z235" s="373"/>
    </row>
    <row r="236" spans="1:26" ht="15.75" customHeight="1">
      <c r="A236" s="411" t="s">
        <v>2255</v>
      </c>
      <c r="B236" s="639" t="s">
        <v>2967</v>
      </c>
      <c r="C236" s="413"/>
      <c r="D236" s="637" t="s">
        <v>76</v>
      </c>
      <c r="E236" s="415">
        <v>45700</v>
      </c>
      <c r="F236" s="415">
        <v>45700</v>
      </c>
      <c r="G236" s="391"/>
      <c r="H236" s="415">
        <v>45700</v>
      </c>
      <c r="I236" s="393">
        <f ca="1">IF(ISBLANK(H236), NETWORKDAYS(F236, TODAY(),fESTIVOS!$A$1:$A$18), NETWORKDAYS(F236, H236, fESTIVOS!$A$1:$A$18))</f>
        <v>1</v>
      </c>
      <c r="J236" s="413"/>
      <c r="K236" s="413"/>
      <c r="L236" s="733"/>
      <c r="M236" s="418"/>
      <c r="N236" s="418"/>
      <c r="O236" s="418"/>
      <c r="P236" s="418"/>
      <c r="Q236" s="418"/>
      <c r="R236" s="418"/>
      <c r="S236" s="418"/>
      <c r="T236" s="418"/>
      <c r="U236" s="418"/>
      <c r="V236" s="418"/>
      <c r="W236" s="418"/>
      <c r="X236" s="418"/>
      <c r="Y236" s="418"/>
      <c r="Z236" s="418"/>
    </row>
    <row r="237" spans="1:26" ht="15.75" customHeight="1">
      <c r="A237" s="411" t="s">
        <v>2255</v>
      </c>
      <c r="B237" s="909" t="s">
        <v>2968</v>
      </c>
      <c r="C237" s="601" t="s">
        <v>2257</v>
      </c>
      <c r="D237" s="637" t="s">
        <v>2969</v>
      </c>
      <c r="E237" s="415">
        <v>45665</v>
      </c>
      <c r="F237" s="415">
        <v>45665</v>
      </c>
      <c r="G237" s="415">
        <v>45667</v>
      </c>
      <c r="H237" s="415">
        <v>45670</v>
      </c>
      <c r="I237" s="393">
        <f ca="1">IF(ISBLANK(H237), NETWORKDAYS(F237, TODAY(),fESTIVOS!$A$1:$A$18), NETWORKDAYS(F237, H237, fESTIVOS!$A$1:$A$18))</f>
        <v>4</v>
      </c>
      <c r="J237" s="415"/>
      <c r="K237" s="415"/>
      <c r="L237" s="733"/>
      <c r="M237" s="608"/>
      <c r="N237" s="373"/>
      <c r="O237" s="373"/>
      <c r="P237" s="373"/>
      <c r="Q237" s="373"/>
      <c r="R237" s="373"/>
      <c r="S237" s="373"/>
      <c r="T237" s="373"/>
      <c r="U237" s="373"/>
      <c r="V237" s="373"/>
      <c r="W237" s="373"/>
      <c r="X237" s="373"/>
      <c r="Y237" s="373"/>
      <c r="Z237" s="373"/>
    </row>
    <row r="238" spans="1:26" ht="15.75" customHeight="1">
      <c r="A238" s="411" t="s">
        <v>2255</v>
      </c>
      <c r="B238" s="910"/>
      <c r="C238" s="601" t="s">
        <v>2970</v>
      </c>
      <c r="D238" s="390" t="s">
        <v>2624</v>
      </c>
      <c r="E238" s="415">
        <v>45665</v>
      </c>
      <c r="F238" s="415">
        <v>45666</v>
      </c>
      <c r="G238" s="415"/>
      <c r="H238" s="415">
        <v>45670</v>
      </c>
      <c r="I238" s="393">
        <f ca="1">IF(ISBLANK(H238), NETWORKDAYS(F238, TODAY(),fESTIVOS!$A$1:$A$18), NETWORKDAYS(F238, H238, fESTIVOS!$A$1:$A$18))</f>
        <v>3</v>
      </c>
      <c r="J238" s="415">
        <v>45670</v>
      </c>
      <c r="K238" s="415"/>
      <c r="L238" s="733" t="s">
        <v>2971</v>
      </c>
      <c r="M238" s="608"/>
      <c r="N238" s="373"/>
      <c r="O238" s="373"/>
      <c r="P238" s="373"/>
      <c r="Q238" s="373"/>
      <c r="R238" s="373"/>
      <c r="S238" s="373"/>
      <c r="T238" s="373"/>
      <c r="U238" s="373"/>
      <c r="V238" s="373"/>
      <c r="W238" s="373"/>
      <c r="X238" s="373"/>
      <c r="Y238" s="373"/>
      <c r="Z238" s="373"/>
    </row>
    <row r="239" spans="1:26" ht="15.75" customHeight="1">
      <c r="A239" s="396" t="s">
        <v>2245</v>
      </c>
      <c r="B239" s="396" t="s">
        <v>2972</v>
      </c>
      <c r="C239" s="396" t="s">
        <v>2973</v>
      </c>
      <c r="D239" s="390" t="s">
        <v>76</v>
      </c>
      <c r="E239" s="415">
        <v>45692</v>
      </c>
      <c r="F239" s="397">
        <v>45701</v>
      </c>
      <c r="G239" s="390"/>
      <c r="H239" s="397">
        <v>45701</v>
      </c>
      <c r="I239" s="393">
        <f ca="1">IF(ISBLANK(H239), NETWORKDAYS(F239, TODAY(),fESTIVOS!$A$1:$A$18), NETWORKDAYS(F239, H239, fESTIVOS!$A$1:$A$18))</f>
        <v>1</v>
      </c>
      <c r="J239" s="411"/>
      <c r="K239" s="411"/>
      <c r="L239" s="813" t="s">
        <v>2974</v>
      </c>
      <c r="M239" s="608"/>
      <c r="N239" s="373"/>
      <c r="O239" s="373"/>
      <c r="P239" s="373"/>
      <c r="Q239" s="373"/>
      <c r="R239" s="373"/>
      <c r="S239" s="373"/>
      <c r="T239" s="373"/>
      <c r="U239" s="373"/>
      <c r="V239" s="373"/>
      <c r="W239" s="373"/>
      <c r="X239" s="373"/>
      <c r="Y239" s="373"/>
      <c r="Z239" s="373"/>
    </row>
    <row r="240" spans="1:26" ht="15.75" customHeight="1">
      <c r="A240" s="610" t="s">
        <v>2503</v>
      </c>
      <c r="B240" s="619"/>
      <c r="C240" s="752" t="s">
        <v>2975</v>
      </c>
      <c r="D240" s="615" t="s">
        <v>76</v>
      </c>
      <c r="E240" s="684">
        <v>45588</v>
      </c>
      <c r="F240" s="616">
        <v>45631</v>
      </c>
      <c r="G240" s="616"/>
      <c r="H240" s="616">
        <v>45631</v>
      </c>
      <c r="I240" s="617">
        <f ca="1">IF(ISBLANK(H240), NETWORKDAYS(F240, TODAY(),fESTIVOS!$A$1:$A$18), NETWORKDAYS(F240, H240, fESTIVOS!$A$1:$A$18))</f>
        <v>1</v>
      </c>
      <c r="J240" s="616">
        <v>45631</v>
      </c>
      <c r="K240" s="616">
        <v>45631</v>
      </c>
      <c r="L240" s="644" t="s">
        <v>2976</v>
      </c>
      <c r="M240" s="643"/>
      <c r="N240" s="379"/>
      <c r="O240" s="379"/>
      <c r="P240" s="379"/>
      <c r="Q240" s="379"/>
      <c r="R240" s="379"/>
      <c r="S240" s="379"/>
      <c r="T240" s="379"/>
      <c r="U240" s="379"/>
      <c r="V240" s="379"/>
      <c r="W240" s="379"/>
      <c r="X240" s="379"/>
      <c r="Y240" s="379"/>
      <c r="Z240" s="379"/>
    </row>
    <row r="241" spans="1:26" ht="15.75" customHeight="1">
      <c r="A241" s="610" t="s">
        <v>2503</v>
      </c>
      <c r="B241" s="619"/>
      <c r="C241" s="752" t="s">
        <v>2977</v>
      </c>
      <c r="D241" s="615" t="s">
        <v>76</v>
      </c>
      <c r="E241" s="684">
        <v>45643</v>
      </c>
      <c r="F241" s="616"/>
      <c r="G241" s="616"/>
      <c r="H241" s="616"/>
      <c r="I241" s="617">
        <f ca="1">IF(ISBLANK(H241), NETWORKDAYS(F241, TODAY(),fESTIVOS!$A$1:$A$18), NETWORKDAYS(F241, H241, fESTIVOS!$A$1:$A$18))</f>
        <v>32904</v>
      </c>
      <c r="J241" s="616"/>
      <c r="K241" s="616"/>
      <c r="L241" s="757" t="s">
        <v>2978</v>
      </c>
      <c r="M241" s="643"/>
      <c r="N241" s="379"/>
      <c r="O241" s="379"/>
      <c r="P241" s="379"/>
      <c r="Q241" s="379"/>
      <c r="R241" s="379"/>
      <c r="S241" s="379"/>
      <c r="T241" s="379"/>
      <c r="U241" s="379"/>
      <c r="V241" s="379"/>
      <c r="W241" s="379"/>
      <c r="X241" s="379"/>
      <c r="Y241" s="379"/>
      <c r="Z241" s="379"/>
    </row>
    <row r="242" spans="1:26" ht="15.75" hidden="1" customHeight="1">
      <c r="D242" s="814"/>
    </row>
    <row r="243" spans="1:26" ht="15.75" hidden="1" customHeight="1">
      <c r="A243" s="387" t="s">
        <v>2237</v>
      </c>
      <c r="B243" s="731" t="s">
        <v>2979</v>
      </c>
      <c r="C243" s="636"/>
      <c r="D243" s="637" t="s">
        <v>504</v>
      </c>
      <c r="E243" s="415">
        <v>45686</v>
      </c>
      <c r="F243" s="415">
        <v>45686</v>
      </c>
      <c r="G243" s="415"/>
      <c r="H243" s="415"/>
      <c r="I243" s="393">
        <f ca="1">IF(ISBLANK(H243), NETWORKDAYS(F243, TODAY(),fESTIVOS!$A$1:$A$18), NETWORKDAYS(F243, H243, fESTIVOS!$A$1:$A$18))</f>
        <v>288</v>
      </c>
      <c r="J243" s="415"/>
      <c r="K243" s="415"/>
      <c r="L243" s="638" t="s">
        <v>2980</v>
      </c>
    </row>
    <row r="244" spans="1:26" ht="15.75" hidden="1" customHeight="1">
      <c r="A244" s="387" t="s">
        <v>2237</v>
      </c>
      <c r="B244" s="731" t="s">
        <v>2981</v>
      </c>
      <c r="C244" s="636"/>
      <c r="D244" s="637" t="s">
        <v>654</v>
      </c>
      <c r="E244" s="415">
        <v>45593</v>
      </c>
      <c r="F244" s="415">
        <v>45593</v>
      </c>
      <c r="G244" s="415">
        <v>45596</v>
      </c>
      <c r="H244" s="415">
        <v>45601</v>
      </c>
      <c r="I244" s="393">
        <f ca="1">IF(ISBLANK(H244), NETWORKDAYS(F244, TODAY(),fESTIVOS!$A$1:$A$18), NETWORKDAYS(F244, H244, fESTIVOS!$A$1:$A$18))</f>
        <v>6</v>
      </c>
      <c r="J244" s="415">
        <v>45660</v>
      </c>
      <c r="K244" s="415"/>
      <c r="L244" s="638" t="s">
        <v>2982</v>
      </c>
      <c r="M244" s="373"/>
      <c r="N244" s="373"/>
      <c r="O244" s="373"/>
      <c r="P244" s="373"/>
      <c r="Q244" s="373"/>
      <c r="R244" s="373"/>
      <c r="S244" s="373"/>
      <c r="T244" s="373"/>
      <c r="U244" s="373"/>
      <c r="V244" s="373"/>
      <c r="W244" s="373"/>
      <c r="X244" s="373"/>
      <c r="Y244" s="373"/>
      <c r="Z244" s="373"/>
    </row>
    <row r="245" spans="1:26" ht="15.75" hidden="1" customHeight="1">
      <c r="A245" s="396" t="s">
        <v>2237</v>
      </c>
      <c r="B245" s="909" t="s">
        <v>2983</v>
      </c>
      <c r="C245" s="636" t="s">
        <v>2984</v>
      </c>
      <c r="D245" s="637" t="s">
        <v>2985</v>
      </c>
      <c r="E245" s="415">
        <v>45615</v>
      </c>
      <c r="F245" s="415">
        <v>45615</v>
      </c>
      <c r="G245" s="415"/>
      <c r="H245" s="415">
        <v>45632</v>
      </c>
      <c r="I245" s="393">
        <f ca="1">IF(ISBLANK(H245), NETWORKDAYS(F245, TODAY(),fESTIVOS!$A$1:$A$18), NETWORKDAYS(F245, H245, fESTIVOS!$A$1:$A$18))</f>
        <v>14</v>
      </c>
      <c r="J245" s="415"/>
      <c r="K245" s="415"/>
      <c r="L245" s="638" t="s">
        <v>2986</v>
      </c>
      <c r="M245" s="373"/>
      <c r="N245" s="373"/>
      <c r="O245" s="373"/>
      <c r="P245" s="373"/>
      <c r="Q245" s="373"/>
      <c r="R245" s="373"/>
      <c r="S245" s="373"/>
      <c r="T245" s="373"/>
      <c r="U245" s="373"/>
      <c r="V245" s="373"/>
      <c r="W245" s="373"/>
      <c r="X245" s="373"/>
      <c r="Y245" s="373"/>
      <c r="Z245" s="373"/>
    </row>
    <row r="246" spans="1:26" ht="15.75" hidden="1" customHeight="1">
      <c r="A246" s="396" t="s">
        <v>2237</v>
      </c>
      <c r="B246" s="910"/>
      <c r="C246" s="414" t="s">
        <v>2987</v>
      </c>
      <c r="D246" s="637" t="s">
        <v>76</v>
      </c>
      <c r="E246" s="415">
        <v>45636</v>
      </c>
      <c r="F246" s="415">
        <v>45637</v>
      </c>
      <c r="G246" s="415">
        <v>45638</v>
      </c>
      <c r="H246" s="415">
        <v>45642</v>
      </c>
      <c r="I246" s="393">
        <f ca="1">IF(ISBLANK(H246), NETWORKDAYS(F246, TODAY(),fESTIVOS!$A$1:$A$18), NETWORKDAYS(F246, H246, fESTIVOS!$A$1:$A$18))</f>
        <v>4</v>
      </c>
      <c r="J246" s="415"/>
      <c r="K246" s="415"/>
      <c r="L246" s="638" t="s">
        <v>2988</v>
      </c>
      <c r="M246" s="373"/>
      <c r="N246" s="373"/>
      <c r="O246" s="373"/>
      <c r="P246" s="373"/>
      <c r="Q246" s="373"/>
      <c r="R246" s="373"/>
      <c r="S246" s="373"/>
      <c r="T246" s="373"/>
      <c r="U246" s="373"/>
      <c r="V246" s="373"/>
      <c r="W246" s="373"/>
      <c r="X246" s="373"/>
      <c r="Y246" s="373"/>
      <c r="Z246" s="373"/>
    </row>
    <row r="247" spans="1:26" ht="30" hidden="1" customHeight="1">
      <c r="A247" s="396" t="s">
        <v>2237</v>
      </c>
      <c r="B247" s="389" t="s">
        <v>2718</v>
      </c>
      <c r="C247" s="685" t="s">
        <v>2989</v>
      </c>
      <c r="D247" s="390" t="s">
        <v>250</v>
      </c>
      <c r="E247" s="415"/>
      <c r="F247" s="415"/>
      <c r="G247" s="415"/>
      <c r="H247" s="637">
        <v>0</v>
      </c>
      <c r="I247" s="393">
        <f ca="1">IF(ISBLANK(H247), NETWORKDAYS(F247, TODAY(),fESTIVOS!$A$1:$A$18), NETWORKDAYS(F247, H247, fESTIVOS!$A$1:$A$18))</f>
        <v>0</v>
      </c>
      <c r="J247" s="415"/>
      <c r="K247" s="415"/>
      <c r="L247" s="638"/>
      <c r="M247" s="373"/>
      <c r="N247" s="373"/>
      <c r="O247" s="373"/>
      <c r="P247" s="373"/>
      <c r="Q247" s="373"/>
      <c r="R247" s="373"/>
      <c r="S247" s="373"/>
      <c r="T247" s="373"/>
      <c r="U247" s="373"/>
      <c r="V247" s="373"/>
      <c r="W247" s="373"/>
      <c r="X247" s="373"/>
      <c r="Y247" s="373"/>
      <c r="Z247" s="373"/>
    </row>
    <row r="248" spans="1:26" ht="15.75" hidden="1" customHeight="1">
      <c r="A248" s="815" t="s">
        <v>2990</v>
      </c>
      <c r="B248" s="594" t="s">
        <v>2991</v>
      </c>
      <c r="C248" s="674" t="s">
        <v>2992</v>
      </c>
      <c r="D248" s="595" t="s">
        <v>250</v>
      </c>
      <c r="E248" s="596"/>
      <c r="F248" s="596"/>
      <c r="G248" s="596"/>
      <c r="H248" s="595">
        <v>0</v>
      </c>
      <c r="I248" s="659">
        <f ca="1">IF(ISBLANK(H248), NETWORKDAYS(F248, TODAY(),fESTIVOS!$A$1:$A$18), NETWORKDAYS(F248, H248, fESTIVOS!$A$1:$A$18))</f>
        <v>0</v>
      </c>
      <c r="J248" s="596"/>
      <c r="K248" s="596"/>
      <c r="L248" s="599" t="s">
        <v>2993</v>
      </c>
      <c r="M248" s="608"/>
      <c r="N248" s="373"/>
      <c r="O248" s="373"/>
      <c r="P248" s="373"/>
      <c r="Q248" s="373"/>
      <c r="R248" s="373"/>
      <c r="S248" s="373"/>
      <c r="T248" s="373"/>
      <c r="U248" s="373"/>
      <c r="V248" s="373"/>
      <c r="W248" s="373"/>
      <c r="X248" s="373"/>
      <c r="Y248" s="373"/>
      <c r="Z248" s="373"/>
    </row>
    <row r="249" spans="1:26" ht="15.75" customHeight="1">
      <c r="A249" s="607" t="s">
        <v>2503</v>
      </c>
      <c r="B249" s="601" t="s">
        <v>2994</v>
      </c>
      <c r="C249" s="591"/>
      <c r="D249" s="384" t="s">
        <v>76</v>
      </c>
      <c r="E249" s="383">
        <v>45664</v>
      </c>
      <c r="F249" s="383"/>
      <c r="G249" s="383"/>
      <c r="H249" s="383">
        <v>45674</v>
      </c>
      <c r="I249" s="385">
        <f ca="1">IF(ISBLANK(H249), NETWORKDAYS(F249, TODAY(),fESTIVOS!$A$1:$A$18), NETWORKDAYS(F249, H249, fESTIVOS!$A$1:$A$18))</f>
        <v>32609</v>
      </c>
      <c r="J249" s="383"/>
      <c r="K249" s="383"/>
      <c r="L249" s="386"/>
      <c r="M249" s="608"/>
      <c r="N249" s="373"/>
      <c r="O249" s="373"/>
      <c r="P249" s="373"/>
      <c r="Q249" s="373"/>
      <c r="R249" s="373"/>
      <c r="S249" s="373"/>
      <c r="T249" s="373"/>
      <c r="U249" s="373"/>
      <c r="V249" s="373"/>
      <c r="W249" s="373"/>
      <c r="X249" s="373"/>
      <c r="Y249" s="373"/>
      <c r="Z249" s="373"/>
    </row>
    <row r="250" spans="1:26" ht="15.75" customHeight="1">
      <c r="A250" s="396" t="s">
        <v>2245</v>
      </c>
      <c r="B250" s="420" t="s">
        <v>2995</v>
      </c>
      <c r="C250" s="390" t="s">
        <v>2996</v>
      </c>
      <c r="D250" s="396" t="s">
        <v>76</v>
      </c>
      <c r="E250" s="415">
        <v>45664</v>
      </c>
      <c r="F250" s="415">
        <v>45667</v>
      </c>
      <c r="G250" s="415">
        <v>45670</v>
      </c>
      <c r="H250" s="415">
        <v>45670</v>
      </c>
      <c r="I250" s="393">
        <f ca="1">IF(ISBLANK(H250), NETWORKDAYS(F250, TODAY(),fESTIVOS!$A$1:$A$18), NETWORKDAYS(F250, H250, fESTIVOS!$A$1:$A$18))</f>
        <v>2</v>
      </c>
      <c r="J250" s="637"/>
      <c r="K250" s="637"/>
      <c r="L250" s="414" t="s">
        <v>2997</v>
      </c>
      <c r="M250" s="373"/>
      <c r="N250" s="373"/>
      <c r="O250" s="373"/>
      <c r="P250" s="373"/>
      <c r="Q250" s="373"/>
      <c r="R250" s="373"/>
      <c r="S250" s="373"/>
      <c r="T250" s="373"/>
      <c r="U250" s="373"/>
      <c r="V250" s="373"/>
      <c r="W250" s="373"/>
      <c r="X250" s="373"/>
      <c r="Y250" s="373"/>
      <c r="Z250" s="373"/>
    </row>
    <row r="251" spans="1:26" ht="15.75" customHeight="1">
      <c r="A251" s="634" t="s">
        <v>2245</v>
      </c>
      <c r="B251" s="396" t="s">
        <v>2998</v>
      </c>
      <c r="C251" s="411"/>
      <c r="D251" s="738" t="s">
        <v>2624</v>
      </c>
      <c r="E251" s="397">
        <v>45665</v>
      </c>
      <c r="F251" s="397">
        <v>45670</v>
      </c>
      <c r="G251" s="415">
        <v>45325</v>
      </c>
      <c r="H251" s="397">
        <v>45672</v>
      </c>
      <c r="I251" s="393">
        <f ca="1">IF(ISBLANK(H251), NETWORKDAYS(F251, TODAY(),fESTIVOS!$A$1:$A$18), NETWORKDAYS(F251, H251, fESTIVOS!$A$1:$A$18))</f>
        <v>3</v>
      </c>
      <c r="J251" s="397">
        <v>45672</v>
      </c>
      <c r="K251" s="397">
        <v>45673</v>
      </c>
      <c r="L251" s="638" t="s">
        <v>2999</v>
      </c>
      <c r="M251" s="608"/>
      <c r="N251" s="373"/>
      <c r="O251" s="373"/>
      <c r="P251" s="373"/>
      <c r="Q251" s="373"/>
      <c r="R251" s="373"/>
      <c r="S251" s="373"/>
      <c r="T251" s="373"/>
      <c r="U251" s="373"/>
      <c r="V251" s="373"/>
      <c r="W251" s="373"/>
      <c r="X251" s="373"/>
      <c r="Y251" s="373"/>
      <c r="Z251" s="373"/>
    </row>
    <row r="252" spans="1:26" ht="15.75" customHeight="1">
      <c r="A252" s="396" t="s">
        <v>2503</v>
      </c>
      <c r="B252" s="766" t="s">
        <v>2843</v>
      </c>
      <c r="C252" s="414" t="s">
        <v>3000</v>
      </c>
      <c r="D252" s="637" t="s">
        <v>76</v>
      </c>
      <c r="E252" s="415">
        <v>45693</v>
      </c>
      <c r="F252" s="415">
        <v>45693</v>
      </c>
      <c r="G252" s="415"/>
      <c r="H252" s="637"/>
      <c r="I252" s="393">
        <f ca="1">IF(ISBLANK(H252), NETWORKDAYS(F252, TODAY(),fESTIVOS!$A$1:$A$18), NETWORKDAYS(F252, H252, fESTIVOS!$A$1:$A$18))</f>
        <v>283</v>
      </c>
      <c r="J252" s="415"/>
      <c r="K252" s="415"/>
      <c r="L252" s="638" t="s">
        <v>3001</v>
      </c>
      <c r="M252" s="608"/>
      <c r="N252" s="373"/>
      <c r="O252" s="373"/>
      <c r="P252" s="373"/>
      <c r="Q252" s="373"/>
      <c r="R252" s="373"/>
      <c r="S252" s="373"/>
      <c r="T252" s="373"/>
      <c r="U252" s="373"/>
      <c r="V252" s="373"/>
      <c r="W252" s="373"/>
      <c r="X252" s="373"/>
      <c r="Y252" s="373"/>
      <c r="Z252" s="373"/>
    </row>
    <row r="253" spans="1:26" ht="15.75" customHeight="1">
      <c r="A253" s="396" t="s">
        <v>2245</v>
      </c>
      <c r="B253" s="412" t="s">
        <v>3002</v>
      </c>
      <c r="C253" s="390" t="s">
        <v>3003</v>
      </c>
      <c r="D253" s="390" t="s">
        <v>76</v>
      </c>
      <c r="E253" s="415">
        <v>45636</v>
      </c>
      <c r="F253" s="415">
        <v>45637</v>
      </c>
      <c r="G253" s="637"/>
      <c r="H253" s="637"/>
      <c r="I253" s="393">
        <f ca="1">IF(ISBLANK(H253), NETWORKDAYS(F253, TODAY(),fESTIVOS!$A$1:$A$18), NETWORKDAYS(F253, H253, fESTIVOS!$A$1:$A$18))</f>
        <v>322</v>
      </c>
      <c r="J253" s="637"/>
      <c r="K253" s="637"/>
      <c r="L253" s="414" t="s">
        <v>3004</v>
      </c>
      <c r="M253" s="373"/>
      <c r="N253" s="373"/>
      <c r="O253" s="373"/>
      <c r="P253" s="373"/>
      <c r="Q253" s="373"/>
      <c r="R253" s="373"/>
      <c r="S253" s="373"/>
      <c r="T253" s="373"/>
      <c r="U253" s="373"/>
      <c r="V253" s="373"/>
      <c r="W253" s="373"/>
      <c r="X253" s="373"/>
      <c r="Y253" s="373"/>
      <c r="Z253" s="373"/>
    </row>
    <row r="254" spans="1:26" ht="15.75" customHeight="1">
      <c r="A254" s="396" t="s">
        <v>2245</v>
      </c>
      <c r="B254" s="420"/>
      <c r="C254" s="390" t="s">
        <v>3005</v>
      </c>
      <c r="D254" s="396" t="s">
        <v>504</v>
      </c>
      <c r="E254" s="415">
        <v>45660</v>
      </c>
      <c r="F254" s="415">
        <v>45666</v>
      </c>
      <c r="G254" s="415">
        <v>45667</v>
      </c>
      <c r="H254" s="415">
        <v>45702</v>
      </c>
      <c r="I254" s="393">
        <f ca="1">IF(ISBLANK(H254), NETWORKDAYS(F254, TODAY(),fESTIVOS!$A$1:$A$18), NETWORKDAYS(F254, H254, fESTIVOS!$A$1:$A$18))</f>
        <v>27</v>
      </c>
      <c r="J254" s="637"/>
      <c r="K254" s="637"/>
      <c r="L254" s="414" t="s">
        <v>3006</v>
      </c>
      <c r="M254" s="373"/>
      <c r="N254" s="373"/>
      <c r="O254" s="373"/>
      <c r="P254" s="373"/>
      <c r="Q254" s="373"/>
      <c r="R254" s="373"/>
      <c r="S254" s="373"/>
      <c r="T254" s="373"/>
      <c r="U254" s="373"/>
      <c r="V254" s="373"/>
      <c r="W254" s="373"/>
      <c r="X254" s="373"/>
      <c r="Y254" s="373"/>
      <c r="Z254" s="373"/>
    </row>
    <row r="255" spans="1:26" ht="15.75" customHeight="1">
      <c r="A255" s="790" t="s">
        <v>2230</v>
      </c>
      <c r="B255" s="816" t="s">
        <v>3007</v>
      </c>
      <c r="C255" s="647"/>
      <c r="D255" s="629" t="s">
        <v>2579</v>
      </c>
      <c r="E255" s="653">
        <v>45678</v>
      </c>
      <c r="F255" s="653">
        <v>45680</v>
      </c>
      <c r="G255" s="653"/>
      <c r="H255" s="653">
        <v>45680</v>
      </c>
      <c r="I255" s="598">
        <f ca="1">IF(ISBLANK(H255), NETWORKDAYS(F255, TODAY(),fESTIVOS!$A$1:$A$18), NETWORKDAYS(F255, H255, fESTIVOS!$A$1:$A$18))</f>
        <v>1</v>
      </c>
      <c r="J255" s="653">
        <v>45686</v>
      </c>
      <c r="K255" s="653">
        <v>45706</v>
      </c>
      <c r="L255" s="654" t="s">
        <v>3008</v>
      </c>
      <c r="M255" s="373"/>
      <c r="N255" s="373"/>
      <c r="O255" s="373"/>
      <c r="P255" s="373"/>
      <c r="Q255" s="373"/>
      <c r="R255" s="373"/>
      <c r="S255" s="373"/>
      <c r="T255" s="373"/>
      <c r="U255" s="373"/>
      <c r="V255" s="373"/>
      <c r="W255" s="373"/>
      <c r="X255" s="373"/>
      <c r="Y255" s="373"/>
      <c r="Z255" s="373"/>
    </row>
    <row r="256" spans="1:26" ht="15.75" customHeight="1">
      <c r="A256" s="396" t="s">
        <v>2503</v>
      </c>
      <c r="B256" s="389" t="s">
        <v>3009</v>
      </c>
      <c r="C256" s="414"/>
      <c r="D256" s="637" t="s">
        <v>76</v>
      </c>
      <c r="E256" s="415">
        <v>45707</v>
      </c>
      <c r="F256" s="415">
        <v>45707</v>
      </c>
      <c r="G256" s="415"/>
      <c r="H256" s="415">
        <v>45708</v>
      </c>
      <c r="I256" s="393">
        <f ca="1">IF(ISBLANK(H256), NETWORKDAYS(F256, TODAY(),fESTIVOS!$A$1:$A$18), NETWORKDAYS(F256, H256, fESTIVOS!$A$1:$A$18))</f>
        <v>2</v>
      </c>
      <c r="J256" s="415"/>
      <c r="K256" s="415">
        <v>45708</v>
      </c>
      <c r="L256" s="638" t="s">
        <v>3010</v>
      </c>
      <c r="M256" s="608"/>
      <c r="N256" s="373"/>
      <c r="O256" s="373"/>
      <c r="P256" s="373"/>
      <c r="Q256" s="373"/>
      <c r="R256" s="373"/>
      <c r="S256" s="373"/>
      <c r="T256" s="373"/>
      <c r="U256" s="373"/>
      <c r="V256" s="373"/>
      <c r="W256" s="373"/>
      <c r="X256" s="373"/>
      <c r="Y256" s="373"/>
      <c r="Z256" s="373"/>
    </row>
    <row r="257" spans="1:33" ht="15.75" customHeight="1">
      <c r="A257" s="396" t="s">
        <v>2503</v>
      </c>
      <c r="B257" s="389" t="s">
        <v>3011</v>
      </c>
      <c r="C257" s="414"/>
      <c r="D257" s="637" t="s">
        <v>76</v>
      </c>
      <c r="E257" s="415">
        <v>45707</v>
      </c>
      <c r="F257" s="415">
        <v>45707</v>
      </c>
      <c r="G257" s="415"/>
      <c r="H257" s="415">
        <v>45708</v>
      </c>
      <c r="I257" s="393">
        <f ca="1">IF(ISBLANK(H257), NETWORKDAYS(F257, TODAY(),fESTIVOS!$A$1:$A$18), NETWORKDAYS(F257, H257, fESTIVOS!$A$1:$A$18))</f>
        <v>2</v>
      </c>
      <c r="J257" s="415"/>
      <c r="K257" s="415">
        <v>45708</v>
      </c>
      <c r="L257" s="733" t="s">
        <v>3012</v>
      </c>
      <c r="M257" s="608"/>
      <c r="N257" s="373"/>
      <c r="O257" s="373"/>
      <c r="P257" s="373"/>
      <c r="Q257" s="373"/>
      <c r="R257" s="373"/>
      <c r="S257" s="373"/>
      <c r="T257" s="373"/>
      <c r="U257" s="373"/>
      <c r="V257" s="373"/>
      <c r="W257" s="373"/>
      <c r="X257" s="373"/>
      <c r="Y257" s="373"/>
      <c r="Z257" s="373"/>
    </row>
    <row r="258" spans="1:33" ht="15.75" customHeight="1">
      <c r="A258" s="396" t="s">
        <v>2503</v>
      </c>
      <c r="B258" s="389" t="s">
        <v>3013</v>
      </c>
      <c r="C258" s="414"/>
      <c r="D258" s="637" t="s">
        <v>76</v>
      </c>
      <c r="E258" s="415">
        <v>45707</v>
      </c>
      <c r="F258" s="415">
        <v>45707</v>
      </c>
      <c r="G258" s="415"/>
      <c r="H258" s="415">
        <v>45708</v>
      </c>
      <c r="I258" s="393">
        <f ca="1">IF(ISBLANK(H258), NETWORKDAYS(F258, TODAY(),fESTIVOS!$A$1:$A$18), NETWORKDAYS(F258, H258, fESTIVOS!$A$1:$A$18))</f>
        <v>2</v>
      </c>
      <c r="J258" s="415"/>
      <c r="K258" s="415"/>
      <c r="L258" s="733" t="s">
        <v>3014</v>
      </c>
      <c r="M258" s="608"/>
      <c r="N258" s="373"/>
      <c r="O258" s="373"/>
      <c r="P258" s="373"/>
      <c r="Q258" s="373"/>
      <c r="R258" s="373"/>
      <c r="S258" s="373"/>
      <c r="T258" s="373"/>
      <c r="U258" s="373"/>
      <c r="V258" s="373"/>
      <c r="W258" s="373"/>
      <c r="X258" s="373"/>
      <c r="Y258" s="373"/>
      <c r="Z258" s="373"/>
    </row>
    <row r="259" spans="1:33" ht="15.75" customHeight="1">
      <c r="A259" s="411" t="s">
        <v>2230</v>
      </c>
      <c r="B259" s="639" t="s">
        <v>3015</v>
      </c>
      <c r="C259" s="636"/>
      <c r="D259" s="637" t="s">
        <v>76</v>
      </c>
      <c r="E259" s="415">
        <v>45706</v>
      </c>
      <c r="F259" s="415">
        <v>45706</v>
      </c>
      <c r="G259" s="415"/>
      <c r="H259" s="415">
        <v>45707</v>
      </c>
      <c r="I259" s="393">
        <f ca="1">IF(ISBLANK(H259), NETWORKDAYS(F259, TODAY(),fESTIVOS!$A$1:$A$18), NETWORKDAYS(F259, H259, fESTIVOS!$A$1:$A$18))</f>
        <v>2</v>
      </c>
      <c r="J259" s="415"/>
      <c r="K259" s="415">
        <v>45707</v>
      </c>
      <c r="L259" s="638" t="s">
        <v>3016</v>
      </c>
      <c r="M259" s="373"/>
      <c r="N259" s="373"/>
      <c r="O259" s="373"/>
      <c r="P259" s="373"/>
      <c r="Q259" s="373"/>
      <c r="R259" s="373"/>
      <c r="S259" s="373"/>
      <c r="T259" s="373"/>
      <c r="U259" s="373"/>
      <c r="V259" s="373"/>
      <c r="W259" s="373"/>
      <c r="X259" s="373"/>
      <c r="Y259" s="373"/>
      <c r="Z259" s="373"/>
    </row>
    <row r="260" spans="1:33" ht="15.75" customHeight="1">
      <c r="A260" s="411" t="s">
        <v>2255</v>
      </c>
      <c r="B260" s="766" t="s">
        <v>2877</v>
      </c>
      <c r="C260" s="414" t="s">
        <v>3017</v>
      </c>
      <c r="D260" s="390" t="s">
        <v>76</v>
      </c>
      <c r="E260" s="415">
        <v>45597</v>
      </c>
      <c r="F260" s="415"/>
      <c r="G260" s="415"/>
      <c r="H260" s="637">
        <v>0</v>
      </c>
      <c r="I260" s="393">
        <f ca="1">IF(ISBLANK(H260), NETWORKDAYS(F260, TODAY(),fESTIVOS!$A$1:$A$18), NETWORKDAYS(F260, H260, fESTIVOS!$A$1:$A$18))</f>
        <v>0</v>
      </c>
      <c r="J260" s="415"/>
      <c r="K260" s="415"/>
      <c r="L260" s="638"/>
      <c r="M260" s="608"/>
      <c r="N260" s="373"/>
      <c r="O260" s="373"/>
      <c r="P260" s="373"/>
      <c r="Q260" s="373"/>
      <c r="R260" s="373"/>
      <c r="S260" s="373"/>
      <c r="T260" s="373"/>
      <c r="U260" s="373"/>
      <c r="V260" s="373"/>
      <c r="W260" s="373"/>
      <c r="X260" s="373"/>
      <c r="Y260" s="373"/>
      <c r="Z260" s="373"/>
    </row>
    <row r="261" spans="1:33" ht="15.75" customHeight="1">
      <c r="A261" s="411" t="s">
        <v>2255</v>
      </c>
      <c r="B261" s="639" t="s">
        <v>2961</v>
      </c>
      <c r="C261" s="810" t="s">
        <v>3018</v>
      </c>
      <c r="D261" s="390" t="s">
        <v>2579</v>
      </c>
      <c r="E261" s="415">
        <v>45698</v>
      </c>
      <c r="F261" s="415">
        <v>45698</v>
      </c>
      <c r="G261" s="391"/>
      <c r="H261" s="637"/>
      <c r="I261" s="393">
        <f ca="1">IF(ISBLANK(H261), NETWORKDAYS(F261, TODAY(),fESTIVOS!$A$1:$A$18), NETWORKDAYS(F261, H261, fESTIVOS!$A$1:$A$18))</f>
        <v>280</v>
      </c>
      <c r="J261" s="413"/>
      <c r="K261" s="782">
        <v>45698</v>
      </c>
      <c r="L261" s="809" t="s">
        <v>3019</v>
      </c>
      <c r="M261" s="418"/>
      <c r="N261" s="418"/>
      <c r="O261" s="418"/>
      <c r="P261" s="418"/>
      <c r="Q261" s="418"/>
      <c r="R261" s="418"/>
      <c r="S261" s="418"/>
      <c r="T261" s="418"/>
      <c r="U261" s="418"/>
      <c r="V261" s="418"/>
      <c r="W261" s="418"/>
      <c r="X261" s="418"/>
      <c r="Y261" s="418"/>
      <c r="Z261" s="418"/>
    </row>
    <row r="262" spans="1:33" ht="15.75" customHeight="1">
      <c r="A262" s="411" t="s">
        <v>2255</v>
      </c>
      <c r="B262" s="639" t="s">
        <v>2961</v>
      </c>
      <c r="C262" s="603" t="s">
        <v>3020</v>
      </c>
      <c r="D262" s="390" t="s">
        <v>76</v>
      </c>
      <c r="E262" s="415">
        <v>45707</v>
      </c>
      <c r="F262" s="415">
        <v>45708</v>
      </c>
      <c r="G262" s="391"/>
      <c r="H262" s="415">
        <v>45709</v>
      </c>
      <c r="I262" s="393">
        <f ca="1">IF(ISBLANK(H262), NETWORKDAYS(F262, TODAY(),fESTIVOS!$A$1:$A$18), NETWORKDAYS(F262, H262, fESTIVOS!$A$1:$A$18))</f>
        <v>2</v>
      </c>
      <c r="J262" s="413"/>
      <c r="K262" s="782"/>
      <c r="L262" s="809" t="s">
        <v>3021</v>
      </c>
      <c r="M262" s="418"/>
      <c r="N262" s="418"/>
      <c r="O262" s="418"/>
      <c r="P262" s="418"/>
      <c r="Q262" s="418"/>
      <c r="R262" s="418"/>
      <c r="S262" s="418"/>
      <c r="T262" s="418"/>
      <c r="U262" s="418"/>
      <c r="V262" s="418"/>
      <c r="W262" s="418"/>
      <c r="X262" s="418"/>
      <c r="Y262" s="418"/>
      <c r="Z262" s="418"/>
    </row>
    <row r="263" spans="1:33" ht="15.75" customHeight="1">
      <c r="A263" s="411" t="s">
        <v>2255</v>
      </c>
      <c r="B263" s="639" t="s">
        <v>2961</v>
      </c>
      <c r="C263" s="817" t="s">
        <v>3022</v>
      </c>
      <c r="D263" s="390" t="s">
        <v>504</v>
      </c>
      <c r="E263" s="415">
        <v>45698</v>
      </c>
      <c r="F263" s="415">
        <v>45698</v>
      </c>
      <c r="G263" s="391"/>
      <c r="H263" s="637"/>
      <c r="I263" s="393">
        <f ca="1">IF(ISBLANK(H263), NETWORKDAYS(F263, TODAY(),fESTIVOS!$A$1:$A$18), NETWORKDAYS(F263, H263, fESTIVOS!$A$1:$A$18))</f>
        <v>280</v>
      </c>
      <c r="J263" s="413"/>
      <c r="K263" s="782"/>
      <c r="L263" s="771" t="s">
        <v>3023</v>
      </c>
      <c r="M263" s="418"/>
      <c r="N263" s="418"/>
      <c r="O263" s="418"/>
      <c r="P263" s="418"/>
      <c r="Q263" s="418"/>
      <c r="R263" s="418"/>
      <c r="S263" s="418"/>
      <c r="T263" s="418"/>
      <c r="U263" s="418"/>
      <c r="V263" s="418"/>
      <c r="W263" s="418"/>
      <c r="X263" s="418"/>
      <c r="Y263" s="418"/>
      <c r="Z263" s="418"/>
    </row>
    <row r="264" spans="1:33" ht="15.75" customHeight="1">
      <c r="A264" s="411" t="s">
        <v>2255</v>
      </c>
      <c r="B264" s="639" t="s">
        <v>2961</v>
      </c>
      <c r="C264" s="770" t="s">
        <v>3024</v>
      </c>
      <c r="D264" s="390" t="s">
        <v>76</v>
      </c>
      <c r="E264" s="415">
        <v>45700</v>
      </c>
      <c r="F264" s="415">
        <v>45701</v>
      </c>
      <c r="G264" s="391"/>
      <c r="H264" s="637"/>
      <c r="I264" s="393">
        <f ca="1">IF(ISBLANK(H264), NETWORKDAYS(F264, TODAY(),fESTIVOS!$A$1:$A$18), NETWORKDAYS(F264, H264, fESTIVOS!$A$1:$A$18))</f>
        <v>277</v>
      </c>
      <c r="J264" s="413"/>
      <c r="K264" s="782"/>
      <c r="L264" s="771"/>
      <c r="M264" s="418"/>
      <c r="N264" s="418"/>
      <c r="O264" s="418"/>
      <c r="P264" s="418"/>
      <c r="Q264" s="418"/>
      <c r="R264" s="418"/>
      <c r="S264" s="418"/>
      <c r="T264" s="418"/>
      <c r="U264" s="418"/>
      <c r="V264" s="418"/>
      <c r="W264" s="418"/>
      <c r="X264" s="418"/>
      <c r="Y264" s="418"/>
      <c r="Z264" s="418"/>
    </row>
    <row r="265" spans="1:33" ht="15.75" customHeight="1">
      <c r="A265" s="411" t="s">
        <v>2255</v>
      </c>
      <c r="B265" s="639" t="s">
        <v>2961</v>
      </c>
      <c r="C265" s="770" t="s">
        <v>3025</v>
      </c>
      <c r="D265" s="390" t="s">
        <v>76</v>
      </c>
      <c r="E265" s="415">
        <v>45701</v>
      </c>
      <c r="F265" s="415">
        <v>45701</v>
      </c>
      <c r="G265" s="391"/>
      <c r="H265" s="415">
        <v>45707</v>
      </c>
      <c r="I265" s="393">
        <f ca="1">IF(ISBLANK(H265), NETWORKDAYS(F265, TODAY(),fESTIVOS!$A$1:$A$18), NETWORKDAYS(F265, H265, fESTIVOS!$A$1:$A$18))</f>
        <v>5</v>
      </c>
      <c r="J265" s="413"/>
      <c r="K265" s="782"/>
      <c r="L265" s="771" t="s">
        <v>3026</v>
      </c>
      <c r="M265" s="418"/>
      <c r="N265" s="418"/>
      <c r="O265" s="418"/>
      <c r="P265" s="418"/>
      <c r="Q265" s="418"/>
      <c r="R265" s="418"/>
      <c r="S265" s="418"/>
      <c r="T265" s="418"/>
      <c r="U265" s="418"/>
      <c r="V265" s="418"/>
      <c r="W265" s="418"/>
      <c r="X265" s="418"/>
      <c r="Y265" s="418"/>
      <c r="Z265" s="418"/>
    </row>
    <row r="266" spans="1:33" ht="15.75" customHeight="1">
      <c r="A266" s="411" t="s">
        <v>2255</v>
      </c>
      <c r="B266" s="639" t="s">
        <v>2961</v>
      </c>
      <c r="C266" s="770" t="s">
        <v>3027</v>
      </c>
      <c r="D266" s="390" t="s">
        <v>76</v>
      </c>
      <c r="E266" s="415">
        <v>45700</v>
      </c>
      <c r="F266" s="415"/>
      <c r="G266" s="391"/>
      <c r="H266" s="637"/>
      <c r="I266" s="393">
        <f ca="1">IF(ISBLANK(H266), NETWORKDAYS(F266, TODAY(),fESTIVOS!$A$1:$A$18), NETWORKDAYS(F266, H266, fESTIVOS!$A$1:$A$18))</f>
        <v>32904</v>
      </c>
      <c r="J266" s="413"/>
      <c r="K266" s="782"/>
      <c r="L266" s="771"/>
      <c r="M266" s="418"/>
      <c r="N266" s="418"/>
      <c r="O266" s="418"/>
      <c r="P266" s="418"/>
      <c r="Q266" s="418"/>
      <c r="R266" s="418"/>
      <c r="S266" s="418"/>
      <c r="T266" s="418"/>
      <c r="U266" s="418"/>
      <c r="V266" s="418"/>
      <c r="W266" s="418"/>
      <c r="X266" s="418"/>
      <c r="Y266" s="418"/>
      <c r="Z266" s="418"/>
    </row>
    <row r="267" spans="1:33" ht="15.75" customHeight="1">
      <c r="A267" s="411" t="s">
        <v>2255</v>
      </c>
      <c r="B267" s="639" t="s">
        <v>2961</v>
      </c>
      <c r="C267" s="770" t="s">
        <v>3028</v>
      </c>
      <c r="D267" s="390" t="s">
        <v>76</v>
      </c>
      <c r="E267" s="415">
        <v>45699</v>
      </c>
      <c r="F267" s="415">
        <v>45700</v>
      </c>
      <c r="G267" s="391"/>
      <c r="H267" s="415">
        <v>45701</v>
      </c>
      <c r="I267" s="393">
        <f ca="1">IF(ISBLANK(H267), NETWORKDAYS(F267, TODAY(),fESTIVOS!$A$1:$A$18), NETWORKDAYS(F267, H267, fESTIVOS!$A$1:$A$18))</f>
        <v>2</v>
      </c>
      <c r="J267" s="413"/>
      <c r="K267" s="782">
        <v>45701</v>
      </c>
      <c r="L267" s="771" t="s">
        <v>3029</v>
      </c>
      <c r="M267" s="418"/>
      <c r="N267" s="418"/>
      <c r="O267" s="418"/>
      <c r="P267" s="418"/>
      <c r="Q267" s="418"/>
      <c r="R267" s="418"/>
      <c r="S267" s="418"/>
      <c r="T267" s="418"/>
      <c r="U267" s="418"/>
      <c r="V267" s="418"/>
      <c r="W267" s="418"/>
      <c r="X267" s="418"/>
      <c r="Y267" s="418"/>
      <c r="Z267" s="418"/>
    </row>
    <row r="268" spans="1:33" ht="15.75" customHeight="1">
      <c r="A268" s="411" t="s">
        <v>2255</v>
      </c>
      <c r="B268" s="639" t="s">
        <v>2961</v>
      </c>
      <c r="C268" s="770" t="s">
        <v>3030</v>
      </c>
      <c r="D268" s="390" t="s">
        <v>76</v>
      </c>
      <c r="E268" s="415">
        <v>45702</v>
      </c>
      <c r="F268" s="415">
        <v>45702</v>
      </c>
      <c r="G268" s="391"/>
      <c r="H268" s="415">
        <v>45702</v>
      </c>
      <c r="I268" s="393">
        <f ca="1">IF(ISBLANK(H268), NETWORKDAYS(F268, TODAY(),fESTIVOS!$A$1:$A$18), NETWORKDAYS(F268, H268, fESTIVOS!$A$1:$A$18))</f>
        <v>1</v>
      </c>
      <c r="J268" s="413"/>
      <c r="K268" s="415">
        <v>45702</v>
      </c>
      <c r="L268" s="771"/>
      <c r="M268" s="418"/>
      <c r="N268" s="418"/>
      <c r="O268" s="418"/>
      <c r="P268" s="418"/>
      <c r="Q268" s="418"/>
      <c r="R268" s="418"/>
      <c r="S268" s="418"/>
      <c r="T268" s="418"/>
      <c r="U268" s="418"/>
      <c r="V268" s="418"/>
      <c r="W268" s="418"/>
      <c r="X268" s="418"/>
      <c r="Y268" s="418"/>
      <c r="Z268" s="418"/>
    </row>
    <row r="269" spans="1:33" ht="15.75" customHeight="1">
      <c r="A269" s="396" t="s">
        <v>2245</v>
      </c>
      <c r="B269" s="639" t="s">
        <v>3031</v>
      </c>
      <c r="C269" s="627"/>
      <c r="D269" s="411" t="s">
        <v>76</v>
      </c>
      <c r="E269" s="818">
        <v>45712</v>
      </c>
      <c r="F269" s="818">
        <v>45712</v>
      </c>
      <c r="G269" s="397"/>
      <c r="H269" s="818">
        <v>45712</v>
      </c>
      <c r="I269" s="393">
        <f ca="1">IF(ISBLANK(H269), NETWORKDAYS(F269, TODAY(),fESTIVOS!$A$1:$A$18), NETWORKDAYS(F269, H269, fESTIVOS!$A$1:$A$18))</f>
        <v>1</v>
      </c>
      <c r="J269" s="393"/>
      <c r="K269" s="411"/>
      <c r="L269" s="813" t="s">
        <v>3032</v>
      </c>
      <c r="M269" s="608"/>
      <c r="N269" s="373"/>
      <c r="O269" s="373"/>
      <c r="P269" s="373"/>
      <c r="Q269" s="373"/>
      <c r="R269" s="373"/>
      <c r="S269" s="373"/>
      <c r="T269" s="373"/>
      <c r="U269" s="373"/>
      <c r="V269" s="373"/>
      <c r="W269" s="373"/>
      <c r="X269" s="373"/>
      <c r="Y269" s="373"/>
      <c r="Z269" s="373"/>
    </row>
    <row r="270" spans="1:33" ht="15.75" customHeight="1">
      <c r="A270" s="411" t="s">
        <v>2255</v>
      </c>
      <c r="B270" s="639" t="s">
        <v>3033</v>
      </c>
      <c r="C270" s="819"/>
      <c r="D270" s="637" t="s">
        <v>76</v>
      </c>
      <c r="E270" s="415">
        <v>45698</v>
      </c>
      <c r="F270" s="415">
        <v>45699</v>
      </c>
      <c r="G270" s="391"/>
      <c r="H270" s="415">
        <v>45713</v>
      </c>
      <c r="I270" s="393">
        <f ca="1">IF(ISBLANK(H270), NETWORKDAYS(F270, TODAY(),fESTIVOS!$A$1:$A$18), NETWORKDAYS(F270, H270, fESTIVOS!$A$1:$A$18))</f>
        <v>11</v>
      </c>
      <c r="J270" s="413"/>
      <c r="K270" s="413"/>
      <c r="L270" s="733" t="s">
        <v>3034</v>
      </c>
      <c r="M270" s="418"/>
      <c r="N270" s="418"/>
      <c r="O270" s="418"/>
      <c r="P270" s="418"/>
      <c r="Q270" s="418"/>
      <c r="R270" s="418"/>
      <c r="S270" s="418"/>
      <c r="T270" s="418"/>
      <c r="U270" s="418"/>
      <c r="V270" s="418"/>
      <c r="W270" s="418"/>
      <c r="X270" s="418"/>
      <c r="Y270" s="418"/>
      <c r="Z270" s="418"/>
    </row>
    <row r="271" spans="1:33" ht="15.75" customHeight="1">
      <c r="A271" s="411" t="s">
        <v>2255</v>
      </c>
      <c r="B271" s="639" t="s">
        <v>2961</v>
      </c>
      <c r="C271" s="686" t="s">
        <v>3035</v>
      </c>
      <c r="D271" s="390" t="s">
        <v>3036</v>
      </c>
      <c r="E271" s="415">
        <v>45705</v>
      </c>
      <c r="F271" s="415">
        <v>45705</v>
      </c>
      <c r="G271" s="391">
        <v>45706</v>
      </c>
      <c r="H271" s="637"/>
      <c r="I271" s="393">
        <f ca="1">IF(ISBLANK(H271), NETWORKDAYS(F271, TODAY(),fESTIVOS!$A$1:$A$18), NETWORKDAYS(F271, H271, fESTIVOS!$A$1:$A$18))</f>
        <v>275</v>
      </c>
      <c r="J271" s="413"/>
      <c r="K271" s="782"/>
      <c r="L271" s="771" t="s">
        <v>3037</v>
      </c>
      <c r="M271" s="418"/>
      <c r="N271" s="418"/>
      <c r="O271" s="418"/>
      <c r="P271" s="418"/>
      <c r="Q271" s="418"/>
      <c r="R271" s="418"/>
      <c r="S271" s="418"/>
      <c r="T271" s="418"/>
      <c r="U271" s="418"/>
      <c r="V271" s="418"/>
      <c r="W271" s="418"/>
      <c r="X271" s="418"/>
      <c r="Y271" s="418"/>
      <c r="Z271" s="418"/>
    </row>
    <row r="272" spans="1:33" ht="15.75" customHeight="1">
      <c r="A272" s="686" t="s">
        <v>2352</v>
      </c>
      <c r="B272" s="820" t="s">
        <v>3038</v>
      </c>
      <c r="C272" s="821"/>
      <c r="D272" s="605" t="s">
        <v>76</v>
      </c>
      <c r="E272" s="402">
        <v>45712</v>
      </c>
      <c r="F272" s="402">
        <v>45713</v>
      </c>
      <c r="G272" s="395"/>
      <c r="H272" s="402">
        <v>45713</v>
      </c>
      <c r="I272" s="385">
        <f ca="1">IF(ISBLANK(H272), NETWORKDAYS(F272, TODAY(),fESTIVOS!$A$1:$A$18), NETWORKDAYS(F272, H272, fESTIVOS!$A$1:$A$18))</f>
        <v>1</v>
      </c>
      <c r="J272" s="395"/>
      <c r="K272" s="395"/>
      <c r="L272" s="820" t="s">
        <v>3039</v>
      </c>
      <c r="M272" s="404"/>
      <c r="N272" s="404"/>
      <c r="O272" s="404"/>
      <c r="P272" s="404"/>
      <c r="Q272" s="404"/>
      <c r="R272" s="404"/>
      <c r="S272" s="404"/>
      <c r="T272" s="404"/>
      <c r="U272" s="404"/>
      <c r="V272" s="404"/>
      <c r="W272" s="404"/>
      <c r="X272" s="404"/>
      <c r="Y272" s="404"/>
      <c r="Z272" s="404"/>
      <c r="AA272" s="404"/>
      <c r="AB272" s="404"/>
      <c r="AC272" s="404"/>
      <c r="AD272" s="404"/>
      <c r="AE272" s="404"/>
      <c r="AF272" s="404"/>
      <c r="AG272" s="404"/>
    </row>
    <row r="273" spans="1:33" ht="15.75" customHeight="1">
      <c r="A273" s="411" t="s">
        <v>2255</v>
      </c>
      <c r="B273" s="639" t="s">
        <v>2961</v>
      </c>
      <c r="C273" s="421" t="s">
        <v>3040</v>
      </c>
      <c r="D273" s="390" t="s">
        <v>3041</v>
      </c>
      <c r="E273" s="415">
        <v>45712</v>
      </c>
      <c r="F273" s="415">
        <v>45712</v>
      </c>
      <c r="G273" s="391"/>
      <c r="H273" s="415">
        <v>45713</v>
      </c>
      <c r="I273" s="393">
        <f ca="1">IF(ISBLANK(H273), NETWORKDAYS(F273, TODAY(),fESTIVOS!$A$1:$A$18), NETWORKDAYS(F273, H273, fESTIVOS!$A$1:$A$18))</f>
        <v>2</v>
      </c>
      <c r="J273" s="413"/>
      <c r="K273" s="413"/>
      <c r="L273" s="809" t="s">
        <v>3042</v>
      </c>
      <c r="M273" s="418"/>
      <c r="N273" s="418"/>
      <c r="O273" s="418"/>
      <c r="P273" s="418"/>
      <c r="Q273" s="418"/>
      <c r="R273" s="418"/>
      <c r="S273" s="418"/>
      <c r="T273" s="418"/>
      <c r="U273" s="418"/>
      <c r="V273" s="418"/>
      <c r="W273" s="418"/>
      <c r="X273" s="418"/>
      <c r="Y273" s="418"/>
      <c r="Z273" s="418"/>
    </row>
    <row r="274" spans="1:33" ht="15.75" customHeight="1">
      <c r="A274" s="411" t="s">
        <v>2230</v>
      </c>
      <c r="B274" s="822" t="s">
        <v>3043</v>
      </c>
      <c r="C274" s="821"/>
      <c r="D274" s="761" t="s">
        <v>76</v>
      </c>
      <c r="E274" s="762">
        <v>45714</v>
      </c>
      <c r="F274" s="762">
        <v>45715</v>
      </c>
      <c r="G274" s="760"/>
      <c r="H274" s="762">
        <v>45715</v>
      </c>
      <c r="I274" s="393">
        <f ca="1">IF(ISBLANK(H274), NETWORKDAYS(F274, TODAY(),fESTIVOS!$A$1:$A$18), NETWORKDAYS(F274, H274, fESTIVOS!$A$1:$A$18))</f>
        <v>1</v>
      </c>
      <c r="J274" s="760"/>
      <c r="K274" s="762"/>
      <c r="L274" s="823" t="s">
        <v>3044</v>
      </c>
      <c r="M274" s="373"/>
      <c r="N274" s="373"/>
      <c r="O274" s="373"/>
      <c r="P274" s="373"/>
      <c r="Q274" s="373"/>
      <c r="R274" s="373"/>
      <c r="S274" s="373"/>
      <c r="T274" s="373"/>
      <c r="U274" s="373"/>
      <c r="V274" s="373"/>
      <c r="W274" s="373"/>
      <c r="X274" s="373"/>
      <c r="Y274" s="373"/>
      <c r="Z274" s="373"/>
    </row>
    <row r="275" spans="1:33" ht="15.75" customHeight="1">
      <c r="A275" s="411" t="s">
        <v>2255</v>
      </c>
      <c r="B275" s="639" t="s">
        <v>3045</v>
      </c>
      <c r="C275" s="819"/>
      <c r="D275" s="637" t="s">
        <v>76</v>
      </c>
      <c r="E275" s="415">
        <v>45716</v>
      </c>
      <c r="F275" s="415">
        <v>45716</v>
      </c>
      <c r="G275" s="391"/>
      <c r="H275" s="415">
        <v>45716</v>
      </c>
      <c r="I275" s="393">
        <f ca="1">IF(ISBLANK(H275), NETWORKDAYS(F275, TODAY(),fESTIVOS!$A$1:$A$18), NETWORKDAYS(F275, H275, fESTIVOS!$A$1:$A$18))</f>
        <v>1</v>
      </c>
      <c r="J275" s="413"/>
      <c r="K275" s="413"/>
      <c r="L275" s="733" t="s">
        <v>3046</v>
      </c>
      <c r="M275" s="418"/>
      <c r="N275" s="418"/>
      <c r="O275" s="418"/>
      <c r="P275" s="418"/>
      <c r="Q275" s="418"/>
      <c r="R275" s="418"/>
      <c r="S275" s="418"/>
      <c r="T275" s="418"/>
      <c r="U275" s="418"/>
      <c r="V275" s="418"/>
      <c r="W275" s="418"/>
      <c r="X275" s="418"/>
      <c r="Y275" s="418"/>
      <c r="Z275" s="418"/>
    </row>
    <row r="276" spans="1:33" ht="15.75" customHeight="1">
      <c r="A276" s="372" t="s">
        <v>2352</v>
      </c>
      <c r="B276" s="372" t="s">
        <v>3047</v>
      </c>
      <c r="C276" s="824"/>
      <c r="D276" s="384" t="s">
        <v>76</v>
      </c>
      <c r="E276" s="825">
        <v>45712</v>
      </c>
      <c r="F276" s="825">
        <v>45713</v>
      </c>
      <c r="G276" s="826"/>
      <c r="H276" s="825">
        <v>45715</v>
      </c>
      <c r="I276" s="385">
        <f ca="1">IF(ISBLANK(H276), NETWORKDAYS(F276, TODAY(),fESTIVOS!$A$1:$A$18), NETWORKDAYS(F276, H276, fESTIVOS!$A$1:$A$18))</f>
        <v>3</v>
      </c>
      <c r="J276" s="826"/>
      <c r="K276" s="826"/>
      <c r="L276" s="778" t="s">
        <v>3048</v>
      </c>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row>
    <row r="277" spans="1:33" ht="15.75" customHeight="1">
      <c r="A277" s="411" t="s">
        <v>2255</v>
      </c>
      <c r="B277" s="639" t="s">
        <v>3049</v>
      </c>
      <c r="C277" s="819"/>
      <c r="D277" s="637" t="s">
        <v>76</v>
      </c>
      <c r="E277" s="415">
        <v>45716</v>
      </c>
      <c r="F277" s="415">
        <v>45716</v>
      </c>
      <c r="G277" s="391"/>
      <c r="H277" s="415">
        <v>45716</v>
      </c>
      <c r="I277" s="393">
        <f ca="1">IF(ISBLANK(H277), NETWORKDAYS(F277, TODAY(),fESTIVOS!$A$1:$A$18), NETWORKDAYS(F277, H277, fESTIVOS!$A$1:$A$18))</f>
        <v>1</v>
      </c>
      <c r="J277" s="413"/>
      <c r="K277" s="413"/>
      <c r="L277" s="733" t="s">
        <v>3050</v>
      </c>
      <c r="M277" s="418"/>
      <c r="N277" s="418"/>
      <c r="O277" s="418"/>
      <c r="P277" s="418"/>
      <c r="Q277" s="418"/>
      <c r="R277" s="418"/>
      <c r="S277" s="418"/>
      <c r="T277" s="418"/>
      <c r="U277" s="418"/>
      <c r="V277" s="418"/>
      <c r="W277" s="418"/>
      <c r="X277" s="418"/>
      <c r="Y277" s="418"/>
      <c r="Z277" s="418"/>
    </row>
    <row r="278" spans="1:33" ht="15.75" customHeight="1">
      <c r="A278" s="411" t="s">
        <v>2255</v>
      </c>
      <c r="B278" s="639" t="s">
        <v>3051</v>
      </c>
      <c r="C278" s="819"/>
      <c r="D278" s="637" t="s">
        <v>76</v>
      </c>
      <c r="E278" s="415">
        <v>45712</v>
      </c>
      <c r="F278" s="415">
        <v>45712</v>
      </c>
      <c r="G278" s="391"/>
      <c r="H278" s="415">
        <v>45719</v>
      </c>
      <c r="I278" s="393">
        <f ca="1">IF(ISBLANK(H278), NETWORKDAYS(F278, TODAY(),fESTIVOS!$A$1:$A$18), NETWORKDAYS(F278, H278, fESTIVOS!$A$1:$A$18))</f>
        <v>6</v>
      </c>
      <c r="J278" s="413"/>
      <c r="K278" s="413"/>
      <c r="L278" s="733" t="s">
        <v>3052</v>
      </c>
      <c r="M278" s="418"/>
      <c r="N278" s="418"/>
      <c r="O278" s="418"/>
      <c r="P278" s="418"/>
      <c r="Q278" s="418"/>
      <c r="R278" s="418"/>
      <c r="S278" s="418"/>
      <c r="T278" s="418"/>
      <c r="U278" s="418"/>
      <c r="V278" s="418"/>
      <c r="W278" s="418"/>
      <c r="X278" s="418"/>
      <c r="Y278" s="418"/>
      <c r="Z278" s="418"/>
    </row>
    <row r="279" spans="1:33" ht="15.75" customHeight="1">
      <c r="A279" s="686" t="s">
        <v>2352</v>
      </c>
      <c r="B279" s="591" t="s">
        <v>3053</v>
      </c>
      <c r="C279" s="828"/>
      <c r="D279" s="384" t="s">
        <v>76</v>
      </c>
      <c r="E279" s="383">
        <v>45715</v>
      </c>
      <c r="F279" s="383">
        <v>45715</v>
      </c>
      <c r="G279" s="383"/>
      <c r="H279" s="383">
        <v>45719</v>
      </c>
      <c r="I279" s="385">
        <f ca="1">IF(ISBLANK(H279), NETWORKDAYS(F279, TODAY(),fESTIVOS!$A$1:$A$18), NETWORKDAYS(F279, H279, fESTIVOS!$A$1:$A$18))</f>
        <v>3</v>
      </c>
      <c r="J279" s="383"/>
      <c r="K279" s="383"/>
      <c r="L279" s="386" t="s">
        <v>3054</v>
      </c>
      <c r="M279" s="608"/>
      <c r="N279" s="373"/>
      <c r="O279" s="373"/>
      <c r="P279" s="373"/>
      <c r="Q279" s="373"/>
      <c r="R279" s="373"/>
      <c r="S279" s="373"/>
      <c r="T279" s="373"/>
      <c r="U279" s="373"/>
      <c r="V279" s="373"/>
      <c r="W279" s="373"/>
      <c r="X279" s="373"/>
      <c r="Y279" s="373"/>
      <c r="Z279" s="373"/>
    </row>
    <row r="280" spans="1:33" ht="15.75" customHeight="1">
      <c r="A280" s="686" t="s">
        <v>2352</v>
      </c>
      <c r="B280" s="591" t="s">
        <v>3055</v>
      </c>
      <c r="C280" s="828"/>
      <c r="D280" s="384" t="s">
        <v>76</v>
      </c>
      <c r="E280" s="383">
        <v>45715</v>
      </c>
      <c r="F280" s="383">
        <v>45719</v>
      </c>
      <c r="G280" s="383"/>
      <c r="H280" s="383">
        <v>45719</v>
      </c>
      <c r="I280" s="385">
        <f ca="1">IF(ISBLANK(H280), NETWORKDAYS(F280, TODAY(),fESTIVOS!$A$1:$A$18), NETWORKDAYS(F280, H280, fESTIVOS!$A$1:$A$18))</f>
        <v>1</v>
      </c>
      <c r="J280" s="383"/>
      <c r="K280" s="383"/>
      <c r="L280" s="386" t="s">
        <v>3056</v>
      </c>
      <c r="M280" s="608"/>
      <c r="N280" s="373"/>
      <c r="O280" s="373"/>
      <c r="P280" s="373"/>
      <c r="Q280" s="373"/>
      <c r="R280" s="373"/>
      <c r="S280" s="373"/>
      <c r="T280" s="373"/>
      <c r="U280" s="373"/>
      <c r="V280" s="373"/>
      <c r="W280" s="373"/>
      <c r="X280" s="373"/>
      <c r="Y280" s="373"/>
      <c r="Z280" s="373"/>
    </row>
    <row r="281" spans="1:33" ht="15.75" hidden="1" customHeight="1">
      <c r="A281" s="686" t="s">
        <v>2352</v>
      </c>
      <c r="B281" s="591" t="s">
        <v>3057</v>
      </c>
      <c r="C281" s="591"/>
      <c r="D281" s="384" t="s">
        <v>250</v>
      </c>
      <c r="E281" s="383">
        <v>45715</v>
      </c>
      <c r="F281" s="383"/>
      <c r="G281" s="383"/>
      <c r="H281" s="383"/>
      <c r="I281" s="384"/>
      <c r="J281" s="383"/>
      <c r="K281" s="383"/>
      <c r="L281" s="386"/>
      <c r="M281" s="608"/>
      <c r="N281" s="373"/>
      <c r="O281" s="373"/>
      <c r="P281" s="373"/>
      <c r="Q281" s="373"/>
      <c r="R281" s="373"/>
      <c r="S281" s="373"/>
      <c r="T281" s="373"/>
      <c r="U281" s="373"/>
      <c r="V281" s="373"/>
      <c r="W281" s="373"/>
      <c r="X281" s="373"/>
      <c r="Y281" s="373"/>
      <c r="Z281" s="373"/>
    </row>
    <row r="282" spans="1:33" ht="15.75" customHeight="1">
      <c r="A282" s="686" t="s">
        <v>2352</v>
      </c>
      <c r="B282" s="382" t="s">
        <v>3058</v>
      </c>
      <c r="C282" s="828"/>
      <c r="D282" s="605" t="s">
        <v>76</v>
      </c>
      <c r="E282" s="383">
        <v>45719</v>
      </c>
      <c r="F282" s="383">
        <v>45719</v>
      </c>
      <c r="G282" s="383"/>
      <c r="H282" s="383"/>
      <c r="I282" s="385">
        <f ca="1">IF(ISBLANK(H282), NETWORKDAYS(F282, TODAY(),fESTIVOS!$A$1:$A$18), NETWORKDAYS(F282, H282, fESTIVOS!$A$1:$A$18))</f>
        <v>265</v>
      </c>
      <c r="J282" s="383"/>
      <c r="K282" s="383"/>
      <c r="L282" s="386" t="s">
        <v>3059</v>
      </c>
      <c r="M282" s="608"/>
      <c r="N282" s="373"/>
      <c r="O282" s="373"/>
      <c r="P282" s="373"/>
      <c r="Q282" s="373"/>
      <c r="R282" s="373"/>
      <c r="S282" s="373"/>
      <c r="T282" s="373"/>
      <c r="U282" s="373"/>
      <c r="V282" s="373"/>
      <c r="W282" s="373"/>
      <c r="X282" s="373"/>
      <c r="Y282" s="373"/>
      <c r="Z282" s="373"/>
    </row>
    <row r="283" spans="1:33" ht="15.75" customHeight="1">
      <c r="A283" s="686" t="s">
        <v>2352</v>
      </c>
      <c r="B283" s="793" t="s">
        <v>3060</v>
      </c>
      <c r="C283" s="591"/>
      <c r="D283" s="384" t="s">
        <v>76</v>
      </c>
      <c r="E283" s="383">
        <v>45700</v>
      </c>
      <c r="F283" s="383">
        <v>45701</v>
      </c>
      <c r="G283" s="383">
        <v>45714</v>
      </c>
      <c r="H283" s="383">
        <v>45714</v>
      </c>
      <c r="I283" s="385">
        <f ca="1">IF(ISBLANK(H283), NETWORKDAYS(F283, TODAY(),fESTIVOS!$A$1:$A$18), NETWORKDAYS(F283, H283, fESTIVOS!$A$1:$A$18))</f>
        <v>10</v>
      </c>
      <c r="J283" s="383"/>
      <c r="K283" s="383"/>
      <c r="L283" s="386" t="s">
        <v>3061</v>
      </c>
      <c r="M283" s="608"/>
      <c r="N283" s="373"/>
      <c r="O283" s="373"/>
      <c r="P283" s="373"/>
      <c r="Q283" s="373"/>
      <c r="R283" s="373"/>
      <c r="S283" s="373"/>
      <c r="T283" s="373"/>
      <c r="U283" s="373"/>
      <c r="V283" s="373"/>
      <c r="W283" s="373"/>
      <c r="X283" s="373"/>
      <c r="Y283" s="373"/>
      <c r="Z283" s="373"/>
    </row>
    <row r="284" spans="1:33" ht="15.75" customHeight="1">
      <c r="A284" s="686" t="s">
        <v>2352</v>
      </c>
      <c r="B284" s="381" t="s">
        <v>3062</v>
      </c>
      <c r="C284" s="701"/>
      <c r="D284" s="829" t="s">
        <v>76</v>
      </c>
      <c r="E284" s="702">
        <v>45712</v>
      </c>
      <c r="F284" s="702">
        <v>45712</v>
      </c>
      <c r="G284" s="701"/>
      <c r="H284" s="702">
        <v>45721</v>
      </c>
      <c r="I284" s="385">
        <f ca="1">IF(ISBLANK(H284), NETWORKDAYS(F284, TODAY(),fESTIVOS!$A$1:$A$18), NETWORKDAYS(F284, H284, fESTIVOS!$A$1:$A$18))</f>
        <v>8</v>
      </c>
      <c r="J284" s="701"/>
      <c r="K284" s="701"/>
      <c r="L284" s="830" t="s">
        <v>3063</v>
      </c>
    </row>
    <row r="285" spans="1:33" ht="15.75" customHeight="1">
      <c r="A285" s="411" t="s">
        <v>2255</v>
      </c>
      <c r="B285" s="793" t="s">
        <v>3064</v>
      </c>
      <c r="C285" s="817" t="s">
        <v>3065</v>
      </c>
      <c r="D285" s="390" t="s">
        <v>76</v>
      </c>
      <c r="E285" s="415">
        <v>45687</v>
      </c>
      <c r="F285" s="416">
        <v>45687</v>
      </c>
      <c r="G285" s="413"/>
      <c r="H285" s="415">
        <v>45692</v>
      </c>
      <c r="I285" s="393">
        <f ca="1">IF(ISBLANK(H285), NETWORKDAYS(F285, TODAY(),fESTIVOS!$A$1:$A$18), NETWORKDAYS(F285, H285, fESTIVOS!$A$1:$A$18))</f>
        <v>4</v>
      </c>
      <c r="J285" s="415">
        <v>45692</v>
      </c>
      <c r="K285" s="413"/>
      <c r="L285" s="770" t="s">
        <v>3066</v>
      </c>
      <c r="M285" s="418"/>
      <c r="N285" s="418"/>
      <c r="O285" s="418"/>
      <c r="P285" s="418"/>
      <c r="Q285" s="418"/>
      <c r="R285" s="418"/>
      <c r="S285" s="418"/>
      <c r="T285" s="418"/>
      <c r="U285" s="418"/>
      <c r="V285" s="418"/>
      <c r="W285" s="418"/>
      <c r="X285" s="418"/>
      <c r="Y285" s="418"/>
      <c r="Z285" s="418"/>
    </row>
    <row r="286" spans="1:33" ht="15.75" customHeight="1">
      <c r="A286" s="411" t="s">
        <v>2255</v>
      </c>
      <c r="B286" s="601" t="s">
        <v>3067</v>
      </c>
      <c r="C286" s="817"/>
      <c r="D286" s="390" t="s">
        <v>76</v>
      </c>
      <c r="E286" s="415">
        <v>45720</v>
      </c>
      <c r="F286" s="416">
        <v>45720</v>
      </c>
      <c r="G286" s="413"/>
      <c r="H286" s="415">
        <v>45721</v>
      </c>
      <c r="I286" s="393">
        <f ca="1">IF(ISBLANK(H286), NETWORKDAYS(F286, TODAY(),fESTIVOS!$A$1:$A$18), NETWORKDAYS(F286, H286, fESTIVOS!$A$1:$A$18))</f>
        <v>2</v>
      </c>
      <c r="J286" s="415"/>
      <c r="K286" s="413"/>
      <c r="L286" s="810" t="s">
        <v>3068</v>
      </c>
      <c r="M286" s="418"/>
      <c r="N286" s="418"/>
      <c r="O286" s="418"/>
      <c r="P286" s="418"/>
      <c r="Q286" s="418"/>
      <c r="R286" s="418"/>
      <c r="S286" s="418"/>
      <c r="T286" s="418"/>
      <c r="U286" s="418"/>
      <c r="V286" s="418"/>
      <c r="W286" s="418"/>
      <c r="X286" s="418"/>
      <c r="Y286" s="418"/>
      <c r="Z286" s="418"/>
    </row>
    <row r="287" spans="1:33" ht="15.75" customHeight="1">
      <c r="A287" s="411" t="s">
        <v>2230</v>
      </c>
      <c r="B287" s="627" t="s">
        <v>3069</v>
      </c>
      <c r="C287" s="828"/>
      <c r="D287" s="637" t="s">
        <v>76</v>
      </c>
      <c r="E287" s="415">
        <v>45722</v>
      </c>
      <c r="F287" s="415">
        <v>45722</v>
      </c>
      <c r="G287" s="415"/>
      <c r="H287" s="415">
        <v>45722</v>
      </c>
      <c r="I287" s="393">
        <f ca="1">IF(ISBLANK(H287), NETWORKDAYS(F287, TODAY(),fESTIVOS!$A$1:$A$18), NETWORKDAYS(F287, H287, fESTIVOS!$A$1:$A$18))</f>
        <v>1</v>
      </c>
      <c r="J287" s="415"/>
      <c r="K287" s="415"/>
      <c r="L287" s="831" t="s">
        <v>3070</v>
      </c>
      <c r="M287" s="373"/>
      <c r="N287" s="373"/>
      <c r="O287" s="373"/>
      <c r="P287" s="373"/>
      <c r="Q287" s="373"/>
      <c r="R287" s="373"/>
      <c r="S287" s="373"/>
      <c r="T287" s="373"/>
      <c r="U287" s="373"/>
      <c r="V287" s="373"/>
      <c r="W287" s="373"/>
      <c r="X287" s="373"/>
      <c r="Y287" s="373"/>
      <c r="Z287" s="373"/>
    </row>
    <row r="288" spans="1:33" ht="15.75" customHeight="1">
      <c r="A288" s="411" t="s">
        <v>2230</v>
      </c>
      <c r="B288" s="607" t="s">
        <v>3071</v>
      </c>
      <c r="C288" s="828"/>
      <c r="D288" s="637" t="s">
        <v>76</v>
      </c>
      <c r="E288" s="415">
        <v>45722</v>
      </c>
      <c r="F288" s="415">
        <v>45723</v>
      </c>
      <c r="G288" s="415"/>
      <c r="H288" s="415">
        <v>45723</v>
      </c>
      <c r="I288" s="393">
        <f ca="1">IF(ISBLANK(H288), NETWORKDAYS(F288, TODAY(),fESTIVOS!$A$1:$A$18), NETWORKDAYS(F288, H288, fESTIVOS!$A$1:$A$18))</f>
        <v>1</v>
      </c>
      <c r="J288" s="415"/>
      <c r="K288" s="415"/>
      <c r="L288" s="831" t="s">
        <v>3072</v>
      </c>
      <c r="M288" s="373"/>
      <c r="N288" s="373"/>
      <c r="O288" s="373"/>
      <c r="P288" s="373"/>
      <c r="Q288" s="373"/>
      <c r="R288" s="373"/>
      <c r="S288" s="373"/>
      <c r="T288" s="373"/>
      <c r="U288" s="373"/>
      <c r="V288" s="373"/>
      <c r="W288" s="373"/>
      <c r="X288" s="373"/>
      <c r="Y288" s="373"/>
      <c r="Z288" s="373"/>
    </row>
    <row r="289" spans="1:26" ht="15.75" customHeight="1">
      <c r="A289" s="411" t="s">
        <v>2255</v>
      </c>
      <c r="B289" s="832" t="s">
        <v>3073</v>
      </c>
      <c r="C289" s="819"/>
      <c r="D289" s="384" t="s">
        <v>76</v>
      </c>
      <c r="E289" s="383">
        <v>45722</v>
      </c>
      <c r="F289" s="700">
        <v>45723</v>
      </c>
      <c r="G289" s="642"/>
      <c r="H289" s="700">
        <v>45723</v>
      </c>
      <c r="I289" s="393">
        <f ca="1">IF(ISBLANK(H289), NETWORKDAYS(F289, TODAY(),fESTIVOS!$A$1:$A$18), NETWORKDAYS(F289, H289, fESTIVOS!$A$1:$A$18))</f>
        <v>1</v>
      </c>
      <c r="J289" s="642"/>
      <c r="K289" s="642"/>
      <c r="L289" s="642" t="s">
        <v>3074</v>
      </c>
      <c r="M289" s="833" t="s">
        <v>3075</v>
      </c>
      <c r="N289" s="418"/>
      <c r="O289" s="418"/>
      <c r="P289" s="418"/>
      <c r="Q289" s="418"/>
      <c r="R289" s="418"/>
      <c r="S289" s="418"/>
      <c r="T289" s="418"/>
      <c r="U289" s="418"/>
      <c r="V289" s="418"/>
      <c r="W289" s="418"/>
      <c r="X289" s="418"/>
      <c r="Y289" s="418"/>
      <c r="Z289" s="418"/>
    </row>
    <row r="290" spans="1:26" ht="15.75" hidden="1" customHeight="1">
      <c r="A290" s="411" t="s">
        <v>2255</v>
      </c>
      <c r="B290" s="832" t="s">
        <v>3076</v>
      </c>
      <c r="C290" s="642"/>
      <c r="D290" s="384" t="s">
        <v>250</v>
      </c>
      <c r="E290" s="383">
        <v>45722</v>
      </c>
      <c r="F290" s="834"/>
      <c r="G290" s="642"/>
      <c r="H290" s="384"/>
      <c r="I290" s="393">
        <f ca="1">IF(ISBLANK(H290), NETWORKDAYS(F290, TODAY(),fESTIVOS!$A$1:$A$18), NETWORKDAYS(F290, H290, fESTIVOS!$A$1:$A$18))</f>
        <v>32904</v>
      </c>
      <c r="J290" s="642"/>
      <c r="K290" s="642"/>
      <c r="L290" s="642" t="s">
        <v>3077</v>
      </c>
      <c r="M290" s="418"/>
      <c r="N290" s="418"/>
      <c r="O290" s="418"/>
      <c r="P290" s="418"/>
      <c r="Q290" s="418"/>
      <c r="R290" s="418"/>
      <c r="S290" s="418"/>
      <c r="T290" s="418"/>
      <c r="U290" s="418"/>
      <c r="V290" s="418"/>
      <c r="W290" s="418"/>
      <c r="X290" s="418"/>
      <c r="Y290" s="418"/>
      <c r="Z290" s="418"/>
    </row>
    <row r="291" spans="1:26" ht="15.75" hidden="1" customHeight="1">
      <c r="A291" s="411" t="s">
        <v>2255</v>
      </c>
      <c r="B291" s="832" t="s">
        <v>3078</v>
      </c>
      <c r="C291" s="642"/>
      <c r="D291" s="384" t="s">
        <v>250</v>
      </c>
      <c r="E291" s="383">
        <v>45722</v>
      </c>
      <c r="F291" s="834"/>
      <c r="G291" s="642"/>
      <c r="H291" s="384"/>
      <c r="I291" s="393">
        <f ca="1">IF(ISBLANK(H291), NETWORKDAYS(F291, TODAY(),fESTIVOS!$A$1:$A$18), NETWORKDAYS(F291, H291, fESTIVOS!$A$1:$A$18))</f>
        <v>32904</v>
      </c>
      <c r="J291" s="642"/>
      <c r="K291" s="642"/>
      <c r="L291" s="642"/>
      <c r="M291" s="418"/>
      <c r="N291" s="418"/>
      <c r="O291" s="418"/>
      <c r="P291" s="418"/>
      <c r="Q291" s="418"/>
      <c r="R291" s="418"/>
      <c r="S291" s="418"/>
      <c r="T291" s="418"/>
      <c r="U291" s="418"/>
      <c r="V291" s="418"/>
      <c r="W291" s="418"/>
      <c r="X291" s="418"/>
      <c r="Y291" s="418"/>
      <c r="Z291" s="418"/>
    </row>
    <row r="292" spans="1:26" ht="15.75" customHeight="1">
      <c r="A292" s="411" t="s">
        <v>2255</v>
      </c>
      <c r="B292" s="832" t="s">
        <v>3079</v>
      </c>
      <c r="C292" s="819"/>
      <c r="D292" s="384" t="s">
        <v>76</v>
      </c>
      <c r="E292" s="383">
        <v>45722</v>
      </c>
      <c r="F292" s="700">
        <v>45723</v>
      </c>
      <c r="G292" s="642"/>
      <c r="H292" s="700">
        <v>45723</v>
      </c>
      <c r="I292" s="393">
        <f ca="1">IF(ISBLANK(H292), NETWORKDAYS(F292, TODAY(),fESTIVOS!$A$1:$A$18), NETWORKDAYS(F292, H292, fESTIVOS!$A$1:$A$18))</f>
        <v>1</v>
      </c>
      <c r="J292" s="642"/>
      <c r="K292" s="602">
        <v>45723</v>
      </c>
      <c r="L292" s="642" t="s">
        <v>3080</v>
      </c>
      <c r="M292" s="418" t="s">
        <v>3081</v>
      </c>
      <c r="N292" s="418"/>
      <c r="O292" s="418"/>
      <c r="P292" s="418"/>
      <c r="Q292" s="418"/>
      <c r="R292" s="418"/>
      <c r="S292" s="418"/>
      <c r="T292" s="418"/>
      <c r="U292" s="418"/>
      <c r="V292" s="418"/>
      <c r="W292" s="418"/>
      <c r="X292" s="418"/>
      <c r="Y292" s="418"/>
      <c r="Z292" s="418"/>
    </row>
    <row r="293" spans="1:26" ht="15.75" customHeight="1">
      <c r="A293" s="411" t="s">
        <v>2255</v>
      </c>
      <c r="B293" s="832" t="s">
        <v>3082</v>
      </c>
      <c r="C293" s="819"/>
      <c r="D293" s="384" t="s">
        <v>76</v>
      </c>
      <c r="E293" s="383">
        <v>45722</v>
      </c>
      <c r="F293" s="700">
        <v>45722</v>
      </c>
      <c r="G293" s="642"/>
      <c r="H293" s="700">
        <v>45723</v>
      </c>
      <c r="I293" s="393">
        <f ca="1">IF(ISBLANK(H293), NETWORKDAYS(F293, TODAY(),fESTIVOS!$A$1:$A$18), NETWORKDAYS(F293, H293, fESTIVOS!$A$1:$A$18))</f>
        <v>2</v>
      </c>
      <c r="J293" s="642"/>
      <c r="K293" s="602">
        <v>45723</v>
      </c>
      <c r="L293" s="642" t="s">
        <v>3083</v>
      </c>
      <c r="M293" s="418" t="s">
        <v>3081</v>
      </c>
      <c r="N293" s="418"/>
      <c r="O293" s="418"/>
      <c r="P293" s="418"/>
      <c r="Q293" s="418"/>
      <c r="R293" s="418"/>
      <c r="S293" s="418"/>
      <c r="T293" s="418"/>
      <c r="U293" s="418"/>
      <c r="V293" s="418"/>
      <c r="W293" s="418"/>
      <c r="X293" s="418"/>
      <c r="Y293" s="418"/>
      <c r="Z293" s="418"/>
    </row>
    <row r="294" spans="1:26" ht="15.75" customHeight="1">
      <c r="A294" s="411" t="s">
        <v>2255</v>
      </c>
      <c r="B294" s="835" t="s">
        <v>3084</v>
      </c>
      <c r="C294" s="819"/>
      <c r="D294" s="637" t="s">
        <v>76</v>
      </c>
      <c r="E294" s="383">
        <v>45721</v>
      </c>
      <c r="F294" s="700">
        <v>45721</v>
      </c>
      <c r="G294" s="642"/>
      <c r="H294" s="383">
        <v>45722</v>
      </c>
      <c r="I294" s="393">
        <f ca="1">IF(ISBLANK(H294), NETWORKDAYS(F294, TODAY(),fESTIVOS!$A$1:$A$18), NETWORKDAYS(F294, H294, fESTIVOS!$A$1:$A$18))</f>
        <v>2</v>
      </c>
      <c r="J294" s="383">
        <v>45722</v>
      </c>
      <c r="K294" s="602">
        <v>45723</v>
      </c>
      <c r="L294" s="642" t="s">
        <v>3085</v>
      </c>
      <c r="M294" s="418" t="s">
        <v>3081</v>
      </c>
      <c r="N294" s="418"/>
      <c r="O294" s="418"/>
      <c r="P294" s="418"/>
      <c r="Q294" s="418"/>
      <c r="R294" s="418"/>
      <c r="S294" s="418"/>
      <c r="T294" s="418"/>
      <c r="U294" s="418"/>
      <c r="V294" s="418"/>
      <c r="W294" s="418"/>
      <c r="X294" s="418"/>
      <c r="Y294" s="418"/>
      <c r="Z294" s="418"/>
    </row>
    <row r="295" spans="1:26" ht="15.75" customHeight="1">
      <c r="A295" s="411" t="s">
        <v>2255</v>
      </c>
      <c r="B295" s="836" t="s">
        <v>3086</v>
      </c>
      <c r="C295" s="819"/>
      <c r="D295" s="384" t="s">
        <v>76</v>
      </c>
      <c r="E295" s="383">
        <v>45726</v>
      </c>
      <c r="F295" s="700">
        <v>45727</v>
      </c>
      <c r="G295" s="642"/>
      <c r="H295" s="383">
        <v>45727</v>
      </c>
      <c r="I295" s="393">
        <f ca="1">IF(ISBLANK(H295), NETWORKDAYS(F295, TODAY(),fESTIVOS!$A$1:$A$18), NETWORKDAYS(F295, H295, fESTIVOS!$A$1:$A$18))</f>
        <v>1</v>
      </c>
      <c r="J295" s="642"/>
      <c r="K295" s="642"/>
      <c r="L295" s="642" t="s">
        <v>3087</v>
      </c>
      <c r="M295" s="418"/>
      <c r="N295" s="418"/>
      <c r="O295" s="418"/>
      <c r="P295" s="418"/>
      <c r="Q295" s="418"/>
      <c r="R295" s="418"/>
      <c r="S295" s="418"/>
      <c r="T295" s="418"/>
      <c r="U295" s="418"/>
      <c r="V295" s="418"/>
      <c r="W295" s="418"/>
      <c r="X295" s="418"/>
      <c r="Y295" s="418"/>
      <c r="Z295" s="418"/>
    </row>
    <row r="296" spans="1:26" ht="15.75" customHeight="1">
      <c r="A296" s="411" t="s">
        <v>2255</v>
      </c>
      <c r="B296" s="777" t="s">
        <v>3088</v>
      </c>
      <c r="C296" s="837"/>
      <c r="D296" s="384" t="s">
        <v>76</v>
      </c>
      <c r="E296" s="383">
        <v>45726</v>
      </c>
      <c r="F296" s="383">
        <v>45726</v>
      </c>
      <c r="H296" s="838">
        <v>45727</v>
      </c>
      <c r="I296" s="393">
        <f ca="1">IF(ISBLANK(H296), NETWORKDAYS(F296, TODAY(),fESTIVOS!$A$1:$A$18), NETWORKDAYS(F296, H296, fESTIVOS!$A$1:$A$18))</f>
        <v>2</v>
      </c>
      <c r="K296" s="838">
        <v>45727</v>
      </c>
      <c r="L296" s="777" t="s">
        <v>3089</v>
      </c>
    </row>
    <row r="297" spans="1:26" ht="15.75" customHeight="1">
      <c r="A297" s="411" t="s">
        <v>2255</v>
      </c>
      <c r="B297" s="686" t="s">
        <v>3090</v>
      </c>
      <c r="C297" s="685"/>
      <c r="D297" s="390" t="s">
        <v>76</v>
      </c>
      <c r="E297" s="415">
        <v>45722</v>
      </c>
      <c r="F297" s="415">
        <v>45722</v>
      </c>
      <c r="G297" s="415">
        <v>45694</v>
      </c>
      <c r="H297" s="415">
        <v>45727</v>
      </c>
      <c r="I297" s="393">
        <f ca="1">IF(ISBLANK(H297), NETWORKDAYS(F297, TODAY(),fESTIVOS!$A$1:$A$18), NETWORKDAYS(F297, H297, fESTIVOS!$A$1:$A$18))</f>
        <v>4</v>
      </c>
      <c r="J297" s="415">
        <v>45727</v>
      </c>
      <c r="K297" s="415">
        <v>45728</v>
      </c>
      <c r="L297" s="831" t="s">
        <v>3091</v>
      </c>
      <c r="M297" s="418"/>
      <c r="N297" s="418"/>
      <c r="O297" s="418"/>
      <c r="P297" s="418"/>
      <c r="Q297" s="418"/>
      <c r="R297" s="418"/>
      <c r="S297" s="418"/>
      <c r="T297" s="418"/>
      <c r="U297" s="418"/>
      <c r="V297" s="418"/>
      <c r="W297" s="418"/>
      <c r="X297" s="418"/>
      <c r="Y297" s="418"/>
      <c r="Z297" s="418"/>
    </row>
    <row r="298" spans="1:26" ht="15.75" customHeight="1">
      <c r="A298" s="411" t="s">
        <v>2255</v>
      </c>
      <c r="B298" s="607" t="s">
        <v>3092</v>
      </c>
      <c r="C298" s="406"/>
      <c r="D298" s="390" t="s">
        <v>76</v>
      </c>
      <c r="E298" s="839">
        <v>45714</v>
      </c>
      <c r="F298" s="415">
        <v>45716</v>
      </c>
      <c r="G298" s="415"/>
      <c r="H298" s="391">
        <v>45722</v>
      </c>
      <c r="I298" s="393">
        <f ca="1">IF(ISBLANK(H298), NETWORKDAYS(F298, TODAY(),fESTIVOS!$A$1:$A$18), NETWORKDAYS(F298, H298, fESTIVOS!$A$1:$A$18))</f>
        <v>5</v>
      </c>
      <c r="J298" s="391">
        <v>45722</v>
      </c>
      <c r="K298" s="391">
        <v>45728</v>
      </c>
      <c r="L298" s="810" t="s">
        <v>3093</v>
      </c>
      <c r="M298" s="840" t="s">
        <v>3094</v>
      </c>
      <c r="N298" s="418"/>
      <c r="O298" s="418"/>
      <c r="P298" s="418"/>
      <c r="Q298" s="418"/>
      <c r="R298" s="418"/>
      <c r="S298" s="418"/>
      <c r="T298" s="418"/>
      <c r="U298" s="418"/>
      <c r="V298" s="418"/>
      <c r="W298" s="418"/>
      <c r="X298" s="418"/>
      <c r="Y298" s="418"/>
      <c r="Z298" s="418"/>
    </row>
    <row r="299" spans="1:26" ht="15.75" customHeight="1">
      <c r="A299" s="411" t="s">
        <v>2230</v>
      </c>
      <c r="B299" s="841" t="s">
        <v>3095</v>
      </c>
      <c r="C299" s="821"/>
      <c r="D299" s="842" t="s">
        <v>76</v>
      </c>
      <c r="E299" s="762">
        <v>45694</v>
      </c>
      <c r="F299" s="762">
        <v>45695</v>
      </c>
      <c r="G299" s="760"/>
      <c r="H299" s="843">
        <v>45729</v>
      </c>
      <c r="I299" s="393">
        <f ca="1">IF(ISBLANK(H299), NETWORKDAYS(F299, TODAY(),fESTIVOS!$A$1:$A$18), NETWORKDAYS(F299, H299, fESTIVOS!$A$1:$A$18))</f>
        <v>25</v>
      </c>
      <c r="J299" s="762">
        <v>45715</v>
      </c>
      <c r="K299" s="843">
        <v>45729</v>
      </c>
      <c r="L299" s="844" t="s">
        <v>3096</v>
      </c>
      <c r="M299" s="373"/>
      <c r="N299" s="373"/>
      <c r="O299" s="373"/>
      <c r="P299" s="373"/>
      <c r="Q299" s="373"/>
      <c r="R299" s="373"/>
      <c r="S299" s="373"/>
      <c r="T299" s="373"/>
      <c r="U299" s="373"/>
      <c r="V299" s="373"/>
      <c r="W299" s="373"/>
      <c r="X299" s="373"/>
      <c r="Y299" s="373"/>
      <c r="Z299" s="373"/>
    </row>
    <row r="300" spans="1:26" ht="15.75" customHeight="1">
      <c r="A300" s="411" t="s">
        <v>2230</v>
      </c>
      <c r="B300" s="845" t="s">
        <v>3097</v>
      </c>
      <c r="C300" s="837"/>
      <c r="D300" s="846" t="s">
        <v>76</v>
      </c>
      <c r="E300" s="838">
        <v>45726</v>
      </c>
      <c r="F300" s="838">
        <v>45726</v>
      </c>
      <c r="H300" s="838">
        <v>45733</v>
      </c>
      <c r="I300" s="393">
        <f ca="1">IF(ISBLANK(H300), NETWORKDAYS(F300, TODAY(),fESTIVOS!$A$1:$A$18), NETWORKDAYS(F300, H300, fESTIVOS!$A$1:$A$18))</f>
        <v>6</v>
      </c>
      <c r="L300" s="418" t="s">
        <v>3098</v>
      </c>
    </row>
    <row r="301" spans="1:26" ht="15.75" customHeight="1">
      <c r="A301" s="411" t="s">
        <v>2230</v>
      </c>
      <c r="B301" s="847" t="s">
        <v>3099</v>
      </c>
      <c r="C301" s="848"/>
      <c r="D301" s="400" t="s">
        <v>76</v>
      </c>
      <c r="E301" s="769">
        <v>45730</v>
      </c>
      <c r="F301" s="769">
        <v>45733</v>
      </c>
      <c r="G301" s="769"/>
      <c r="H301" s="769">
        <v>45733</v>
      </c>
      <c r="I301" s="393">
        <f ca="1">IF(ISBLANK(H301), NETWORKDAYS(F301, TODAY(),fESTIVOS!$A$1:$A$18), NETWORKDAYS(F301, H301, fESTIVOS!$A$1:$A$18))</f>
        <v>1</v>
      </c>
      <c r="J301" s="769"/>
      <c r="K301" s="769"/>
      <c r="L301" s="849" t="s">
        <v>3100</v>
      </c>
      <c r="M301" s="373"/>
      <c r="N301" s="373"/>
      <c r="O301" s="373"/>
      <c r="P301" s="373"/>
      <c r="Q301" s="373"/>
      <c r="R301" s="373"/>
      <c r="S301" s="373"/>
      <c r="T301" s="373"/>
      <c r="U301" s="373"/>
      <c r="V301" s="373"/>
      <c r="W301" s="373"/>
      <c r="X301" s="373"/>
      <c r="Y301" s="373"/>
      <c r="Z301" s="373"/>
    </row>
    <row r="302" spans="1:26" ht="15.75" customHeight="1">
      <c r="A302" s="411" t="s">
        <v>2255</v>
      </c>
      <c r="B302" s="830" t="s">
        <v>3101</v>
      </c>
      <c r="C302" s="850"/>
      <c r="D302" s="384" t="s">
        <v>76</v>
      </c>
      <c r="E302" s="702">
        <v>45730</v>
      </c>
      <c r="F302" s="702">
        <v>45730</v>
      </c>
      <c r="G302" s="701"/>
      <c r="H302" s="702">
        <v>45730</v>
      </c>
      <c r="I302" s="393">
        <f ca="1">IF(ISBLANK(H302), NETWORKDAYS(F302, TODAY(),fESTIVOS!$A$1:$A$18), NETWORKDAYS(F302, H302, fESTIVOS!$A$1:$A$18))</f>
        <v>1</v>
      </c>
      <c r="J302" s="701"/>
      <c r="K302" s="701"/>
      <c r="L302" s="701" t="s">
        <v>3102</v>
      </c>
    </row>
    <row r="303" spans="1:26" ht="15.75" customHeight="1">
      <c r="A303" s="411" t="s">
        <v>2255</v>
      </c>
      <c r="B303" s="832" t="s">
        <v>3103</v>
      </c>
      <c r="C303" s="819"/>
      <c r="D303" s="384" t="s">
        <v>76</v>
      </c>
      <c r="E303" s="383">
        <v>45726</v>
      </c>
      <c r="F303" s="700">
        <v>45726</v>
      </c>
      <c r="G303" s="642"/>
      <c r="H303" s="383">
        <v>45727</v>
      </c>
      <c r="I303" s="393">
        <f ca="1">IF(ISBLANK(H303), NETWORKDAYS(F303, TODAY(),fESTIVOS!$A$1:$A$18), NETWORKDAYS(F303, H303, fESTIVOS!$A$1:$A$18))</f>
        <v>2</v>
      </c>
      <c r="J303" s="642"/>
      <c r="K303" s="642"/>
      <c r="L303" s="642" t="s">
        <v>3104</v>
      </c>
      <c r="M303" s="418"/>
      <c r="N303" s="418"/>
      <c r="O303" s="418"/>
      <c r="P303" s="418"/>
      <c r="Q303" s="418"/>
      <c r="R303" s="418"/>
      <c r="S303" s="418"/>
      <c r="T303" s="418"/>
      <c r="U303" s="418"/>
      <c r="V303" s="418"/>
      <c r="W303" s="418"/>
      <c r="X303" s="418"/>
      <c r="Y303" s="418"/>
      <c r="Z303" s="418"/>
    </row>
    <row r="304" spans="1:26" ht="15.75" customHeight="1">
      <c r="A304" s="690" t="s">
        <v>2255</v>
      </c>
      <c r="B304" s="851" t="s">
        <v>3105</v>
      </c>
      <c r="C304" s="852"/>
      <c r="D304" s="615" t="s">
        <v>76</v>
      </c>
      <c r="E304" s="616">
        <v>45726</v>
      </c>
      <c r="F304" s="853">
        <v>45729</v>
      </c>
      <c r="G304" s="376"/>
      <c r="H304" s="616">
        <v>45736</v>
      </c>
      <c r="I304" s="854">
        <f ca="1">IF(ISBLANK(H304), NETWORKDAYS(F304, TODAY(),fESTIVOS!$A$1:$A$18), NETWORKDAYS(F304, H304, fESTIVOS!$A$1:$A$18))</f>
        <v>6</v>
      </c>
      <c r="J304" s="378">
        <v>45735</v>
      </c>
      <c r="K304" s="378">
        <v>45736</v>
      </c>
      <c r="L304" s="376" t="s">
        <v>3106</v>
      </c>
      <c r="M304" s="418"/>
      <c r="N304" s="418"/>
      <c r="O304" s="418"/>
      <c r="P304" s="418"/>
      <c r="Q304" s="418"/>
      <c r="R304" s="418"/>
      <c r="S304" s="418"/>
      <c r="T304" s="418"/>
      <c r="U304" s="418"/>
      <c r="V304" s="418"/>
      <c r="W304" s="418"/>
      <c r="X304" s="418"/>
      <c r="Y304" s="418"/>
      <c r="Z304" s="418"/>
    </row>
    <row r="305" spans="1:33" ht="15.75" customHeight="1">
      <c r="A305" s="411" t="s">
        <v>2230</v>
      </c>
      <c r="B305" s="855" t="s">
        <v>3107</v>
      </c>
      <c r="C305" s="848"/>
      <c r="D305" s="400" t="s">
        <v>76</v>
      </c>
      <c r="E305" s="769">
        <v>45737</v>
      </c>
      <c r="F305" s="769">
        <v>45737</v>
      </c>
      <c r="G305" s="769"/>
      <c r="H305" s="769">
        <v>45737</v>
      </c>
      <c r="I305" s="393">
        <f ca="1">IF(ISBLANK(H305), NETWORKDAYS(F305, TODAY(),fESTIVOS!$A$1:$A$18), NETWORKDAYS(F305, H305, fESTIVOS!$A$1:$A$18))</f>
        <v>1</v>
      </c>
      <c r="J305" s="769"/>
      <c r="K305" s="769"/>
      <c r="L305" s="849" t="s">
        <v>3108</v>
      </c>
      <c r="M305" s="373"/>
      <c r="N305" s="373"/>
      <c r="O305" s="373"/>
      <c r="P305" s="373"/>
      <c r="Q305" s="373"/>
      <c r="R305" s="373"/>
      <c r="S305" s="373"/>
      <c r="T305" s="373"/>
      <c r="U305" s="373"/>
      <c r="V305" s="373"/>
      <c r="W305" s="373"/>
      <c r="X305" s="373"/>
      <c r="Y305" s="373"/>
      <c r="Z305" s="373"/>
    </row>
    <row r="306" spans="1:33" ht="15.75" customHeight="1">
      <c r="A306" s="411" t="s">
        <v>2255</v>
      </c>
      <c r="B306" s="856" t="s">
        <v>3109</v>
      </c>
      <c r="C306" s="682"/>
      <c r="D306" s="384" t="s">
        <v>76</v>
      </c>
      <c r="E306" s="616">
        <v>45737</v>
      </c>
      <c r="F306" s="616">
        <v>45737</v>
      </c>
      <c r="G306" s="376"/>
      <c r="H306" s="616">
        <v>45737</v>
      </c>
      <c r="I306" s="393">
        <f ca="1">IF(ISBLANK(H306), NETWORKDAYS(F306, TODAY(),fESTIVOS!$A$1:$A$18), NETWORKDAYS(F306, H306, fESTIVOS!$A$1:$A$18))</f>
        <v>1</v>
      </c>
      <c r="J306" s="376"/>
      <c r="K306" s="376"/>
      <c r="L306" s="376" t="s">
        <v>3110</v>
      </c>
      <c r="M306" s="418"/>
      <c r="N306" s="418"/>
      <c r="O306" s="418"/>
      <c r="P306" s="418"/>
      <c r="Q306" s="418"/>
      <c r="R306" s="418"/>
      <c r="S306" s="418"/>
      <c r="T306" s="418"/>
      <c r="U306" s="418"/>
      <c r="V306" s="418"/>
      <c r="W306" s="418"/>
      <c r="X306" s="418"/>
      <c r="Y306" s="418"/>
      <c r="Z306" s="418"/>
    </row>
    <row r="307" spans="1:33" ht="15.75" customHeight="1">
      <c r="A307" s="396" t="s">
        <v>2245</v>
      </c>
      <c r="B307" s="601" t="s">
        <v>3111</v>
      </c>
      <c r="C307" s="627"/>
      <c r="D307" s="411" t="s">
        <v>76</v>
      </c>
      <c r="E307" s="818">
        <v>45734</v>
      </c>
      <c r="F307" s="818">
        <v>45734</v>
      </c>
      <c r="G307" s="397"/>
      <c r="H307" s="818">
        <v>45741</v>
      </c>
      <c r="I307" s="385">
        <f ca="1">IF(ISBLANK(H307), NETWORKDAYS(F307, TODAY(),fESTIVOS!$A$1:$A$18), NETWORKDAYS(F307, H307, fESTIVOS!$A$1:$A$18))</f>
        <v>6</v>
      </c>
      <c r="J307" s="393"/>
      <c r="K307" s="818">
        <v>45741</v>
      </c>
      <c r="L307" s="857" t="s">
        <v>3112</v>
      </c>
      <c r="M307" s="858"/>
      <c r="N307" s="373"/>
      <c r="O307" s="373"/>
      <c r="P307" s="373"/>
      <c r="Q307" s="373"/>
      <c r="R307" s="373"/>
      <c r="S307" s="373"/>
      <c r="T307" s="373"/>
      <c r="U307" s="373"/>
      <c r="V307" s="373"/>
      <c r="W307" s="373"/>
      <c r="X307" s="373"/>
      <c r="Y307" s="373"/>
      <c r="Z307" s="373"/>
    </row>
    <row r="308" spans="1:33" ht="15.75" customHeight="1">
      <c r="A308" s="411" t="s">
        <v>2255</v>
      </c>
      <c r="B308" s="856" t="s">
        <v>3113</v>
      </c>
      <c r="C308" s="682"/>
      <c r="D308" s="384" t="s">
        <v>76</v>
      </c>
      <c r="E308" s="616">
        <v>45741</v>
      </c>
      <c r="F308" s="616">
        <v>45741</v>
      </c>
      <c r="G308" s="376"/>
      <c r="H308" s="616">
        <v>45741</v>
      </c>
      <c r="I308" s="393">
        <f ca="1">IF(ISBLANK(H308), NETWORKDAYS(F308, TODAY(),fESTIVOS!$A$1:$A$18), NETWORKDAYS(F308, H308, fESTIVOS!$A$1:$A$18))</f>
        <v>1</v>
      </c>
      <c r="J308" s="376"/>
      <c r="K308" s="616">
        <v>45741</v>
      </c>
      <c r="L308" s="859" t="s">
        <v>3114</v>
      </c>
      <c r="M308" s="418"/>
      <c r="N308" s="418"/>
      <c r="O308" s="418"/>
      <c r="P308" s="418"/>
      <c r="Q308" s="418"/>
      <c r="R308" s="418"/>
      <c r="S308" s="418"/>
      <c r="T308" s="418"/>
      <c r="U308" s="418"/>
      <c r="V308" s="418"/>
      <c r="W308" s="418"/>
      <c r="X308" s="418"/>
      <c r="Y308" s="418"/>
      <c r="Z308" s="418"/>
    </row>
    <row r="309" spans="1:33" ht="15.75" customHeight="1">
      <c r="A309" s="411" t="s">
        <v>2255</v>
      </c>
      <c r="B309" s="856" t="s">
        <v>3115</v>
      </c>
      <c r="C309" s="682"/>
      <c r="D309" s="384" t="s">
        <v>76</v>
      </c>
      <c r="E309" s="616">
        <v>45741</v>
      </c>
      <c r="F309" s="616">
        <v>45741</v>
      </c>
      <c r="G309" s="376"/>
      <c r="H309" s="616">
        <v>45741</v>
      </c>
      <c r="I309" s="393">
        <f ca="1">IF(ISBLANK(H309), NETWORKDAYS(F309, TODAY(),fESTIVOS!$A$1:$A$18), NETWORKDAYS(F309, H309, fESTIVOS!$A$1:$A$18))</f>
        <v>1</v>
      </c>
      <c r="J309" s="376"/>
      <c r="K309" s="376"/>
      <c r="L309" s="859" t="s">
        <v>3116</v>
      </c>
      <c r="M309" s="418"/>
      <c r="N309" s="418"/>
      <c r="O309" s="418"/>
      <c r="P309" s="418"/>
      <c r="Q309" s="418"/>
      <c r="R309" s="418"/>
      <c r="S309" s="418"/>
      <c r="T309" s="418"/>
      <c r="U309" s="418"/>
      <c r="V309" s="418"/>
      <c r="W309" s="418"/>
      <c r="X309" s="418"/>
      <c r="Y309" s="418"/>
      <c r="Z309" s="418"/>
    </row>
    <row r="310" spans="1:33" ht="15" customHeight="1">
      <c r="A310" s="411" t="s">
        <v>2255</v>
      </c>
      <c r="B310" s="860" t="s">
        <v>3117</v>
      </c>
      <c r="C310" s="837"/>
      <c r="D310" s="814" t="s">
        <v>76</v>
      </c>
      <c r="E310" s="838">
        <v>45742</v>
      </c>
      <c r="F310" s="838">
        <v>45743</v>
      </c>
      <c r="I310" s="393">
        <f ca="1">IF(ISBLANK(H310), NETWORKDAYS(F310, TODAY(),fESTIVOS!$A$1:$A$18), NETWORKDAYS(F310, H310, fESTIVOS!$A$1:$A$18))</f>
        <v>247</v>
      </c>
      <c r="L310" s="418" t="s">
        <v>3118</v>
      </c>
    </row>
    <row r="311" spans="1:33" ht="15.75" customHeight="1">
      <c r="A311" s="396" t="s">
        <v>2245</v>
      </c>
      <c r="B311" s="406" t="s">
        <v>3119</v>
      </c>
      <c r="C311" s="627"/>
      <c r="D311" s="411" t="s">
        <v>76</v>
      </c>
      <c r="E311" s="818">
        <v>45744</v>
      </c>
      <c r="F311" s="818">
        <v>45744</v>
      </c>
      <c r="G311" s="397"/>
      <c r="H311" s="818">
        <v>45744</v>
      </c>
      <c r="I311" s="385">
        <f ca="1">IF(ISBLANK(H311), NETWORKDAYS(F311, TODAY(),fESTIVOS!$A$1:$A$18), NETWORKDAYS(F311, H311, fESTIVOS!$A$1:$A$18))</f>
        <v>1</v>
      </c>
      <c r="J311" s="393"/>
      <c r="K311" s="818">
        <v>45744</v>
      </c>
      <c r="L311" s="857" t="s">
        <v>3120</v>
      </c>
      <c r="M311" s="858"/>
      <c r="N311" s="373"/>
      <c r="O311" s="373"/>
      <c r="P311" s="373"/>
      <c r="Q311" s="373"/>
      <c r="R311" s="373"/>
      <c r="S311" s="373"/>
      <c r="T311" s="373"/>
      <c r="U311" s="373"/>
      <c r="V311" s="373"/>
      <c r="W311" s="373"/>
      <c r="X311" s="373"/>
      <c r="Y311" s="373"/>
      <c r="Z311" s="373"/>
    </row>
    <row r="312" spans="1:33" ht="15" customHeight="1">
      <c r="A312" s="755" t="s">
        <v>2255</v>
      </c>
      <c r="B312" s="860" t="s">
        <v>3121</v>
      </c>
      <c r="C312" s="850"/>
      <c r="D312" s="814" t="s">
        <v>76</v>
      </c>
      <c r="E312" s="838">
        <v>45743</v>
      </c>
      <c r="F312" s="838">
        <v>45744</v>
      </c>
      <c r="G312" s="418"/>
      <c r="H312" s="838">
        <v>45744</v>
      </c>
      <c r="I312" s="742">
        <f ca="1">IF(ISBLANK(H312), NETWORKDAYS(F312, TODAY(),fESTIVOS!$A$1:$A$18), NETWORKDAYS(F312, H312, fESTIVOS!$A$1:$A$18))</f>
        <v>1</v>
      </c>
      <c r="J312" s="418"/>
      <c r="K312" s="838">
        <v>45744</v>
      </c>
      <c r="L312" s="418" t="s">
        <v>3122</v>
      </c>
    </row>
    <row r="313" spans="1:33" ht="15.75" customHeight="1">
      <c r="A313" s="411" t="s">
        <v>2255</v>
      </c>
      <c r="B313" s="662" t="s">
        <v>3123</v>
      </c>
      <c r="C313" s="819"/>
      <c r="D313" s="861" t="s">
        <v>76</v>
      </c>
      <c r="E313" s="415">
        <v>45744</v>
      </c>
      <c r="F313" s="415">
        <v>45744</v>
      </c>
      <c r="G313" s="413"/>
      <c r="H313" s="415">
        <v>45744</v>
      </c>
      <c r="I313" s="393">
        <f ca="1">IF(ISBLANK(H313), NETWORKDAYS(F313, TODAY(),fESTIVOS!$A$1:$A$18), NETWORKDAYS(F313, H313, fESTIVOS!$A$1:$A$18))</f>
        <v>1</v>
      </c>
      <c r="J313" s="415"/>
      <c r="K313" s="415">
        <v>45744</v>
      </c>
      <c r="L313" s="413" t="s">
        <v>3124</v>
      </c>
      <c r="M313" s="418"/>
      <c r="N313" s="418"/>
      <c r="O313" s="418"/>
      <c r="P313" s="418"/>
      <c r="Q313" s="418"/>
      <c r="R313" s="418"/>
      <c r="S313" s="418"/>
      <c r="T313" s="418"/>
      <c r="U313" s="418"/>
      <c r="V313" s="418"/>
      <c r="W313" s="418"/>
      <c r="X313" s="418"/>
      <c r="Y313" s="418"/>
      <c r="Z313" s="418"/>
    </row>
    <row r="314" spans="1:33" ht="15.75" customHeight="1">
      <c r="A314" s="411" t="s">
        <v>2255</v>
      </c>
      <c r="B314" s="862" t="s">
        <v>2256</v>
      </c>
      <c r="C314" s="819"/>
      <c r="D314" s="861" t="s">
        <v>76</v>
      </c>
      <c r="E314" s="415">
        <v>45671</v>
      </c>
      <c r="F314" s="416">
        <v>45673</v>
      </c>
      <c r="G314" s="413" t="s">
        <v>2259</v>
      </c>
      <c r="H314" s="415">
        <v>45680</v>
      </c>
      <c r="I314" s="393">
        <f ca="1">IF(ISBLANK(H314), NETWORKDAYS(F314, TODAY(),fESTIVOS!$A$1:$A$18), NETWORKDAYS(F314, H314, fESTIVOS!$A$1:$A$18))</f>
        <v>6</v>
      </c>
      <c r="J314" s="415">
        <v>45680</v>
      </c>
      <c r="K314" s="413"/>
      <c r="L314" s="413" t="s">
        <v>3125</v>
      </c>
      <c r="M314" s="833" t="s">
        <v>3126</v>
      </c>
      <c r="N314" s="418"/>
      <c r="O314" s="418"/>
      <c r="P314" s="418"/>
      <c r="Q314" s="418"/>
      <c r="R314" s="418"/>
      <c r="S314" s="418"/>
      <c r="T314" s="418"/>
      <c r="U314" s="418"/>
      <c r="V314" s="418"/>
      <c r="W314" s="418"/>
      <c r="X314" s="418"/>
      <c r="Y314" s="418"/>
      <c r="Z314" s="418"/>
    </row>
    <row r="315" spans="1:33" ht="15.75" customHeight="1">
      <c r="A315" s="690" t="s">
        <v>2255</v>
      </c>
      <c r="B315" s="863" t="s">
        <v>3127</v>
      </c>
      <c r="C315" s="421"/>
      <c r="D315" s="683" t="s">
        <v>76</v>
      </c>
      <c r="E315" s="616">
        <v>45736</v>
      </c>
      <c r="F315" s="616">
        <v>45736</v>
      </c>
      <c r="G315" s="376"/>
      <c r="H315" s="616">
        <v>45749</v>
      </c>
      <c r="I315" s="694">
        <f ca="1">IF(ISBLANK(H315), NETWORKDAYS(F315, TODAY(),fESTIVOS!$A$1:$A$18), NETWORKDAYS(F315, H315, fESTIVOS!$A$1:$A$18))</f>
        <v>10</v>
      </c>
      <c r="J315" s="378">
        <v>45749</v>
      </c>
      <c r="K315" s="378">
        <v>45755</v>
      </c>
      <c r="L315" s="859" t="s">
        <v>1546</v>
      </c>
      <c r="M315" s="418"/>
      <c r="N315" s="418"/>
      <c r="O315" s="418"/>
      <c r="P315" s="418"/>
      <c r="Q315" s="418"/>
      <c r="R315" s="418"/>
      <c r="S315" s="418"/>
      <c r="T315" s="418"/>
      <c r="U315" s="418"/>
      <c r="V315" s="418"/>
      <c r="W315" s="418"/>
      <c r="X315" s="418"/>
      <c r="Y315" s="418"/>
      <c r="Z315" s="418"/>
    </row>
    <row r="316" spans="1:33" ht="15.75" customHeight="1">
      <c r="A316" s="396" t="s">
        <v>2245</v>
      </c>
      <c r="B316" s="406" t="s">
        <v>3128</v>
      </c>
      <c r="C316" s="627"/>
      <c r="D316" s="396" t="s">
        <v>76</v>
      </c>
      <c r="E316" s="818">
        <v>45741</v>
      </c>
      <c r="F316" s="818">
        <v>45741</v>
      </c>
      <c r="G316" s="397"/>
      <c r="H316" s="397">
        <v>45755</v>
      </c>
      <c r="I316" s="393">
        <f ca="1">IF(ISBLANK(H316), NETWORKDAYS(F316, TODAY(),fESTIVOS!$A$1:$A$18), NETWORKDAYS(F316, H316, fESTIVOS!$A$1:$A$18))</f>
        <v>11</v>
      </c>
      <c r="J316" s="818"/>
      <c r="K316" s="397">
        <v>45755</v>
      </c>
      <c r="L316" s="857" t="s">
        <v>3129</v>
      </c>
      <c r="M316" s="608"/>
      <c r="N316" s="373"/>
      <c r="O316" s="373"/>
      <c r="P316" s="373"/>
      <c r="Q316" s="373"/>
      <c r="R316" s="373"/>
      <c r="S316" s="373"/>
      <c r="T316" s="373"/>
      <c r="U316" s="373"/>
      <c r="V316" s="373"/>
      <c r="W316" s="373"/>
      <c r="X316" s="373"/>
      <c r="Y316" s="373"/>
      <c r="Z316" s="373"/>
    </row>
    <row r="317" spans="1:33" ht="15.75" customHeight="1">
      <c r="A317" s="411" t="s">
        <v>2230</v>
      </c>
      <c r="B317" s="864" t="s">
        <v>3130</v>
      </c>
      <c r="C317" s="821"/>
      <c r="D317" s="605" t="s">
        <v>76</v>
      </c>
      <c r="E317" s="762">
        <v>45709</v>
      </c>
      <c r="F317" s="762">
        <v>45715</v>
      </c>
      <c r="G317" s="760"/>
      <c r="H317" s="762">
        <v>45757</v>
      </c>
      <c r="I317" s="865">
        <f ca="1">IF(ISBLANK(H317), NETWORKDAYS(F317, TODAY(),fESTIVOS!$A$1:$A$18), NETWORKDAYS(F317, H317, fESTIVOS!$A$1:$A$18))</f>
        <v>31</v>
      </c>
      <c r="J317" s="762">
        <v>45716</v>
      </c>
      <c r="K317" s="762">
        <v>45757</v>
      </c>
      <c r="L317" s="844" t="s">
        <v>3131</v>
      </c>
      <c r="M317" s="373"/>
      <c r="N317" s="373"/>
      <c r="O317" s="373"/>
      <c r="P317" s="373"/>
      <c r="Q317" s="373"/>
      <c r="R317" s="373"/>
      <c r="S317" s="373"/>
      <c r="T317" s="373"/>
      <c r="U317" s="373"/>
      <c r="V317" s="373"/>
      <c r="W317" s="373"/>
      <c r="X317" s="373"/>
      <c r="Y317" s="373"/>
      <c r="Z317" s="373"/>
    </row>
    <row r="318" spans="1:33" ht="15.75" customHeight="1">
      <c r="A318" s="607" t="s">
        <v>2230</v>
      </c>
      <c r="B318" s="866" t="s">
        <v>3132</v>
      </c>
      <c r="C318" s="867"/>
      <c r="D318" s="605" t="s">
        <v>76</v>
      </c>
      <c r="E318" s="868">
        <v>45695</v>
      </c>
      <c r="F318" s="823">
        <v>45712</v>
      </c>
      <c r="G318" s="868">
        <v>45715</v>
      </c>
      <c r="H318" s="868">
        <v>45757</v>
      </c>
      <c r="I318" s="385">
        <f ca="1">IF(ISBLANK(H318), NETWORKDAYS(F318, TODAY(),fESTIVOS!$A$1:$A$18), NETWORKDAYS(F318, H318, fESTIVOS!$A$1:$A$18))</f>
        <v>34</v>
      </c>
      <c r="J318" s="868">
        <v>45715</v>
      </c>
      <c r="K318" s="868">
        <v>45757</v>
      </c>
      <c r="L318" s="395" t="s">
        <v>3133</v>
      </c>
      <c r="M318" s="869"/>
      <c r="N318" s="869"/>
      <c r="O318" s="869"/>
      <c r="P318" s="869"/>
      <c r="Q318" s="869"/>
      <c r="R318" s="869"/>
      <c r="S318" s="869"/>
      <c r="T318" s="869"/>
      <c r="U318" s="869"/>
      <c r="V318" s="869"/>
      <c r="W318" s="869"/>
      <c r="X318" s="869"/>
      <c r="Y318" s="869"/>
      <c r="Z318" s="869"/>
      <c r="AA318" s="869"/>
      <c r="AB318" s="869"/>
      <c r="AC318" s="869"/>
      <c r="AD318" s="869"/>
      <c r="AE318" s="869"/>
      <c r="AF318" s="869"/>
      <c r="AG318" s="869"/>
    </row>
    <row r="319" spans="1:33" ht="15.75" customHeight="1">
      <c r="A319" s="411" t="s">
        <v>2230</v>
      </c>
      <c r="B319" s="601" t="s">
        <v>3134</v>
      </c>
      <c r="C319" s="828"/>
      <c r="D319" s="605" t="s">
        <v>76</v>
      </c>
      <c r="E319" s="415">
        <v>45755</v>
      </c>
      <c r="F319" s="415">
        <v>45755</v>
      </c>
      <c r="G319" s="415"/>
      <c r="H319" s="415">
        <v>45757</v>
      </c>
      <c r="I319" s="393">
        <f ca="1">IF(ISBLANK(H319), NETWORKDAYS(F319, TODAY(),fESTIVOS!$A$1:$A$18), NETWORKDAYS(F319, H319, fESTIVOS!$A$1:$A$18))</f>
        <v>3</v>
      </c>
      <c r="J319" s="415"/>
      <c r="K319" s="415">
        <v>45757</v>
      </c>
      <c r="L319" s="831" t="s">
        <v>3135</v>
      </c>
      <c r="M319" s="373"/>
      <c r="N319" s="373"/>
      <c r="O319" s="373"/>
      <c r="P319" s="373"/>
      <c r="Q319" s="373"/>
      <c r="R319" s="373"/>
      <c r="S319" s="373"/>
      <c r="T319" s="373"/>
      <c r="U319" s="373"/>
      <c r="V319" s="373"/>
      <c r="W319" s="373"/>
      <c r="X319" s="373"/>
      <c r="Y319" s="373"/>
      <c r="Z319" s="373"/>
    </row>
    <row r="320" spans="1:33" ht="15.75" customHeight="1">
      <c r="A320" s="411" t="s">
        <v>2255</v>
      </c>
      <c r="B320" s="832" t="s">
        <v>3136</v>
      </c>
      <c r="C320" s="819"/>
      <c r="D320" s="384" t="s">
        <v>76</v>
      </c>
      <c r="E320" s="383">
        <v>45749</v>
      </c>
      <c r="F320" s="383">
        <v>45749</v>
      </c>
      <c r="G320" s="642"/>
      <c r="H320" s="383">
        <v>45757</v>
      </c>
      <c r="I320" s="393">
        <f ca="1">IF(ISBLANK(H320), NETWORKDAYS(F320, TODAY(),fESTIVOS!$A$1:$A$18), NETWORKDAYS(F320, H320, fESTIVOS!$A$1:$A$18))</f>
        <v>7</v>
      </c>
      <c r="J320" s="642"/>
      <c r="K320" s="383">
        <v>45757</v>
      </c>
      <c r="L320" s="870" t="s">
        <v>3137</v>
      </c>
      <c r="M320" s="418"/>
      <c r="N320" s="418"/>
      <c r="O320" s="418"/>
      <c r="P320" s="418"/>
      <c r="Q320" s="418"/>
      <c r="R320" s="418"/>
      <c r="S320" s="418"/>
      <c r="T320" s="418"/>
      <c r="U320" s="418"/>
      <c r="V320" s="418"/>
      <c r="W320" s="418"/>
      <c r="X320" s="418"/>
      <c r="Y320" s="418"/>
      <c r="Z320" s="418"/>
    </row>
    <row r="321" spans="1:27" ht="29.25" customHeight="1">
      <c r="A321" s="715" t="s">
        <v>2503</v>
      </c>
      <c r="B321" s="490" t="s">
        <v>3138</v>
      </c>
      <c r="C321" s="871" t="s">
        <v>3139</v>
      </c>
      <c r="D321" s="447"/>
      <c r="E321" s="723" t="s">
        <v>3140</v>
      </c>
      <c r="F321" s="717">
        <v>45688</v>
      </c>
      <c r="G321" s="717">
        <v>45691</v>
      </c>
      <c r="H321" s="717">
        <v>45694</v>
      </c>
      <c r="I321" s="716"/>
      <c r="J321" s="712">
        <f ca="1">IF(ISBLANK(I321), NETWORKDAYS(G321, TODAY(),fESTIVOS!$A$1:$A$18), NETWORKDAYS(G321, I321, fESTIVOS!$A$1:$A$18))</f>
        <v>285</v>
      </c>
      <c r="K321" s="717"/>
      <c r="L321" s="717"/>
      <c r="M321" s="872" t="s">
        <v>3141</v>
      </c>
      <c r="N321" s="608"/>
      <c r="O321" s="373"/>
      <c r="P321" s="373"/>
      <c r="Q321" s="373"/>
      <c r="R321" s="373"/>
      <c r="S321" s="373"/>
      <c r="T321" s="373"/>
      <c r="U321" s="373"/>
      <c r="V321" s="373"/>
      <c r="W321" s="373"/>
      <c r="X321" s="373"/>
      <c r="Y321" s="373"/>
      <c r="Z321" s="373"/>
      <c r="AA321" s="373"/>
    </row>
    <row r="322" spans="1:27" ht="15.75" customHeight="1">
      <c r="A322" s="465"/>
      <c r="B322" s="465"/>
      <c r="C322" s="465"/>
      <c r="D322" s="873"/>
      <c r="E322" s="465"/>
      <c r="F322" s="465"/>
      <c r="G322" s="465"/>
      <c r="H322" s="465"/>
      <c r="I322" s="465"/>
      <c r="J322" s="465"/>
      <c r="K322" s="465"/>
      <c r="L322" s="465"/>
      <c r="M322" s="465"/>
      <c r="N322" s="465"/>
      <c r="O322" s="465"/>
      <c r="P322" s="465"/>
      <c r="Q322" s="465"/>
      <c r="R322" s="465"/>
      <c r="S322" s="465"/>
      <c r="T322" s="465"/>
      <c r="U322" s="465"/>
      <c r="V322" s="465"/>
      <c r="W322" s="465"/>
      <c r="X322" s="465"/>
      <c r="Y322" s="465"/>
      <c r="Z322" s="465"/>
    </row>
    <row r="323" spans="1:27" ht="15.75" customHeight="1">
      <c r="A323" s="465"/>
      <c r="B323" s="465"/>
      <c r="C323" s="465"/>
      <c r="D323" s="873"/>
      <c r="E323" s="465"/>
      <c r="F323" s="465"/>
      <c r="G323" s="465"/>
      <c r="H323" s="465"/>
      <c r="I323" s="465"/>
      <c r="J323" s="465"/>
      <c r="K323" s="465"/>
      <c r="L323" s="465"/>
      <c r="M323" s="465"/>
      <c r="N323" s="465"/>
      <c r="O323" s="465"/>
      <c r="P323" s="465"/>
      <c r="Q323" s="465"/>
      <c r="R323" s="465"/>
      <c r="S323" s="465"/>
      <c r="T323" s="465"/>
      <c r="U323" s="465"/>
      <c r="V323" s="465"/>
      <c r="W323" s="465"/>
      <c r="X323" s="465"/>
      <c r="Y323" s="465"/>
      <c r="Z323" s="465"/>
    </row>
    <row r="324" spans="1:27" ht="15.75" customHeight="1">
      <c r="A324" s="465"/>
      <c r="B324" s="465"/>
      <c r="C324" s="465"/>
      <c r="D324" s="873"/>
      <c r="E324" s="465"/>
      <c r="F324" s="465"/>
      <c r="G324" s="465"/>
      <c r="H324" s="465"/>
      <c r="I324" s="465"/>
      <c r="J324" s="465"/>
      <c r="K324" s="465"/>
      <c r="L324" s="465"/>
      <c r="M324" s="465"/>
      <c r="N324" s="465"/>
      <c r="O324" s="465"/>
      <c r="P324" s="465"/>
      <c r="Q324" s="465"/>
      <c r="R324" s="465"/>
      <c r="S324" s="465"/>
      <c r="T324" s="465"/>
      <c r="U324" s="465"/>
      <c r="V324" s="465"/>
      <c r="W324" s="465"/>
      <c r="X324" s="465"/>
      <c r="Y324" s="465"/>
      <c r="Z324" s="465"/>
    </row>
    <row r="325" spans="1:27" ht="15.75" customHeight="1">
      <c r="A325" s="465"/>
      <c r="B325" s="465"/>
      <c r="C325" s="465"/>
      <c r="D325" s="873"/>
      <c r="E325" s="465"/>
      <c r="F325" s="465"/>
      <c r="G325" s="465"/>
      <c r="H325" s="465"/>
      <c r="I325" s="465"/>
      <c r="J325" s="465"/>
      <c r="K325" s="465"/>
      <c r="L325" s="465"/>
      <c r="M325" s="465"/>
      <c r="N325" s="465"/>
      <c r="O325" s="465"/>
      <c r="P325" s="465"/>
      <c r="Q325" s="465"/>
      <c r="R325" s="465"/>
      <c r="S325" s="465"/>
      <c r="T325" s="465"/>
      <c r="U325" s="465"/>
      <c r="V325" s="465"/>
      <c r="W325" s="465"/>
      <c r="X325" s="465"/>
      <c r="Y325" s="465"/>
      <c r="Z325" s="465"/>
    </row>
    <row r="326" spans="1:27" ht="15.75" customHeight="1">
      <c r="A326" s="465"/>
      <c r="B326" s="465"/>
      <c r="C326" s="465"/>
      <c r="D326" s="873"/>
      <c r="E326" s="465"/>
      <c r="F326" s="465"/>
      <c r="G326" s="465"/>
      <c r="H326" s="465"/>
      <c r="I326" s="465"/>
      <c r="J326" s="465"/>
      <c r="K326" s="465"/>
      <c r="L326" s="465"/>
      <c r="M326" s="465"/>
      <c r="N326" s="465"/>
      <c r="O326" s="465"/>
      <c r="P326" s="465"/>
      <c r="Q326" s="465"/>
      <c r="R326" s="465"/>
      <c r="S326" s="465"/>
      <c r="T326" s="465"/>
      <c r="U326" s="465"/>
      <c r="V326" s="465"/>
      <c r="W326" s="465"/>
      <c r="X326" s="465"/>
      <c r="Y326" s="465"/>
      <c r="Z326" s="465"/>
    </row>
    <row r="327" spans="1:27" ht="15.75" customHeight="1">
      <c r="A327" s="465"/>
      <c r="B327" s="465"/>
      <c r="C327" s="465"/>
      <c r="D327" s="873"/>
      <c r="E327" s="465"/>
      <c r="F327" s="465"/>
      <c r="G327" s="465"/>
      <c r="H327" s="465"/>
      <c r="I327" s="465"/>
      <c r="J327" s="465"/>
      <c r="K327" s="465"/>
      <c r="L327" s="465"/>
      <c r="M327" s="465"/>
      <c r="N327" s="465"/>
      <c r="O327" s="465"/>
      <c r="P327" s="465"/>
      <c r="Q327" s="465"/>
      <c r="R327" s="465"/>
      <c r="S327" s="465"/>
      <c r="T327" s="465"/>
      <c r="U327" s="465"/>
      <c r="V327" s="465"/>
      <c r="W327" s="465"/>
      <c r="X327" s="465"/>
      <c r="Y327" s="465"/>
      <c r="Z327" s="465"/>
    </row>
    <row r="328" spans="1:27" ht="15.75" customHeight="1">
      <c r="A328" s="465"/>
      <c r="B328" s="465"/>
      <c r="C328" s="465"/>
      <c r="D328" s="873"/>
      <c r="E328" s="465"/>
      <c r="F328" s="465"/>
      <c r="G328" s="465"/>
      <c r="H328" s="465"/>
      <c r="I328" s="465"/>
      <c r="J328" s="465"/>
      <c r="K328" s="465"/>
      <c r="L328" s="465"/>
      <c r="M328" s="465"/>
      <c r="N328" s="465"/>
      <c r="O328" s="465"/>
      <c r="P328" s="465"/>
      <c r="Q328" s="465"/>
      <c r="R328" s="465"/>
      <c r="S328" s="465"/>
      <c r="T328" s="465"/>
      <c r="U328" s="465"/>
      <c r="V328" s="465"/>
      <c r="W328" s="465"/>
      <c r="X328" s="465"/>
      <c r="Y328" s="465"/>
      <c r="Z328" s="465"/>
    </row>
    <row r="329" spans="1:27" ht="15.75" customHeight="1">
      <c r="A329" s="465"/>
      <c r="B329" s="465"/>
      <c r="C329" s="465"/>
      <c r="D329" s="873"/>
      <c r="E329" s="465"/>
      <c r="F329" s="465"/>
      <c r="G329" s="465"/>
      <c r="H329" s="465"/>
      <c r="I329" s="465"/>
      <c r="J329" s="465"/>
      <c r="K329" s="465"/>
      <c r="L329" s="465"/>
      <c r="M329" s="465"/>
      <c r="N329" s="465"/>
      <c r="O329" s="465"/>
      <c r="P329" s="465"/>
      <c r="Q329" s="465"/>
      <c r="R329" s="465"/>
      <c r="S329" s="465"/>
      <c r="T329" s="465"/>
      <c r="U329" s="465"/>
      <c r="V329" s="465"/>
      <c r="W329" s="465"/>
      <c r="X329" s="465"/>
      <c r="Y329" s="465"/>
      <c r="Z329" s="465"/>
    </row>
    <row r="330" spans="1:27" ht="15.75" customHeight="1">
      <c r="A330" s="465"/>
      <c r="B330" s="465"/>
      <c r="C330" s="465"/>
      <c r="D330" s="873"/>
      <c r="E330" s="465"/>
      <c r="F330" s="465"/>
      <c r="G330" s="465"/>
      <c r="H330" s="465"/>
      <c r="I330" s="465"/>
      <c r="J330" s="465"/>
      <c r="K330" s="465"/>
      <c r="L330" s="465"/>
      <c r="M330" s="465"/>
      <c r="N330" s="465"/>
      <c r="O330" s="465"/>
      <c r="P330" s="465"/>
      <c r="Q330" s="465"/>
      <c r="R330" s="465"/>
      <c r="S330" s="465"/>
      <c r="T330" s="465"/>
      <c r="U330" s="465"/>
      <c r="V330" s="465"/>
      <c r="W330" s="465"/>
      <c r="X330" s="465"/>
      <c r="Y330" s="465"/>
      <c r="Z330" s="465"/>
    </row>
    <row r="331" spans="1:27" ht="15.75" customHeight="1">
      <c r="A331" s="465"/>
      <c r="B331" s="465"/>
      <c r="C331" s="465"/>
      <c r="D331" s="873"/>
      <c r="E331" s="465"/>
      <c r="F331" s="465"/>
      <c r="G331" s="465"/>
      <c r="H331" s="465"/>
      <c r="I331" s="465"/>
      <c r="J331" s="465"/>
      <c r="K331" s="465"/>
      <c r="L331" s="465"/>
      <c r="M331" s="465"/>
      <c r="N331" s="465"/>
      <c r="O331" s="465"/>
      <c r="P331" s="465"/>
      <c r="Q331" s="465"/>
      <c r="R331" s="465"/>
      <c r="S331" s="465"/>
      <c r="T331" s="465"/>
      <c r="U331" s="465"/>
      <c r="V331" s="465"/>
      <c r="W331" s="465"/>
      <c r="X331" s="465"/>
      <c r="Y331" s="465"/>
      <c r="Z331" s="465"/>
    </row>
    <row r="332" spans="1:27" ht="15.75" customHeight="1">
      <c r="A332" s="465"/>
      <c r="B332" s="465"/>
      <c r="C332" s="465"/>
      <c r="D332" s="873"/>
      <c r="E332" s="465"/>
      <c r="F332" s="465"/>
      <c r="G332" s="465"/>
      <c r="H332" s="465"/>
      <c r="I332" s="465"/>
      <c r="J332" s="465"/>
      <c r="K332" s="465"/>
      <c r="L332" s="465"/>
      <c r="M332" s="465"/>
      <c r="N332" s="465"/>
      <c r="O332" s="465"/>
      <c r="P332" s="465"/>
      <c r="Q332" s="465"/>
      <c r="R332" s="465"/>
      <c r="S332" s="465"/>
      <c r="T332" s="465"/>
      <c r="U332" s="465"/>
      <c r="V332" s="465"/>
      <c r="W332" s="465"/>
      <c r="X332" s="465"/>
      <c r="Y332" s="465"/>
      <c r="Z332" s="465"/>
    </row>
    <row r="333" spans="1:27" ht="15.75" customHeight="1">
      <c r="A333" s="465"/>
      <c r="B333" s="465"/>
      <c r="C333" s="465"/>
      <c r="D333" s="873"/>
      <c r="E333" s="465"/>
      <c r="F333" s="465"/>
      <c r="G333" s="465"/>
      <c r="H333" s="465"/>
      <c r="I333" s="465"/>
      <c r="J333" s="465"/>
      <c r="K333" s="465"/>
      <c r="L333" s="465"/>
      <c r="M333" s="465"/>
      <c r="N333" s="465"/>
      <c r="O333" s="465"/>
      <c r="P333" s="465"/>
      <c r="Q333" s="465"/>
      <c r="R333" s="465"/>
      <c r="S333" s="465"/>
      <c r="T333" s="465"/>
      <c r="U333" s="465"/>
      <c r="V333" s="465"/>
      <c r="W333" s="465"/>
      <c r="X333" s="465"/>
      <c r="Y333" s="465"/>
      <c r="Z333" s="465"/>
    </row>
    <row r="334" spans="1:27" ht="15.75" customHeight="1">
      <c r="A334" s="465"/>
      <c r="B334" s="465"/>
      <c r="C334" s="465"/>
      <c r="D334" s="873"/>
      <c r="E334" s="465"/>
      <c r="F334" s="465"/>
      <c r="G334" s="465"/>
      <c r="H334" s="465"/>
      <c r="I334" s="465"/>
      <c r="J334" s="465"/>
      <c r="K334" s="465"/>
      <c r="L334" s="465"/>
      <c r="M334" s="465"/>
      <c r="N334" s="465"/>
      <c r="O334" s="465"/>
      <c r="P334" s="465"/>
      <c r="Q334" s="465"/>
      <c r="R334" s="465"/>
      <c r="S334" s="465"/>
      <c r="T334" s="465"/>
      <c r="U334" s="465"/>
      <c r="V334" s="465"/>
      <c r="W334" s="465"/>
      <c r="X334" s="465"/>
      <c r="Y334" s="465"/>
      <c r="Z334" s="465"/>
    </row>
    <row r="335" spans="1:27" ht="15.75" customHeight="1">
      <c r="A335" s="465"/>
      <c r="B335" s="465"/>
      <c r="C335" s="465"/>
      <c r="D335" s="873"/>
      <c r="E335" s="465"/>
      <c r="F335" s="465"/>
      <c r="G335" s="465"/>
      <c r="H335" s="465"/>
      <c r="I335" s="465"/>
      <c r="J335" s="465"/>
      <c r="K335" s="465"/>
      <c r="L335" s="465"/>
      <c r="M335" s="465"/>
      <c r="N335" s="465"/>
      <c r="O335" s="465"/>
      <c r="P335" s="465"/>
      <c r="Q335" s="465"/>
      <c r="R335" s="465"/>
      <c r="S335" s="465"/>
      <c r="T335" s="465"/>
      <c r="U335" s="465"/>
      <c r="V335" s="465"/>
      <c r="W335" s="465"/>
      <c r="X335" s="465"/>
      <c r="Y335" s="465"/>
      <c r="Z335" s="465"/>
    </row>
    <row r="336" spans="1:27" ht="15.75" customHeight="1">
      <c r="A336" s="465"/>
      <c r="B336" s="465"/>
      <c r="C336" s="465"/>
      <c r="D336" s="873"/>
      <c r="E336" s="465"/>
      <c r="F336" s="465"/>
      <c r="G336" s="465"/>
      <c r="H336" s="465"/>
      <c r="I336" s="465"/>
      <c r="J336" s="465"/>
      <c r="K336" s="465"/>
      <c r="L336" s="465"/>
      <c r="M336" s="465"/>
      <c r="N336" s="465"/>
      <c r="O336" s="465"/>
      <c r="P336" s="465"/>
      <c r="Q336" s="465"/>
      <c r="R336" s="465"/>
      <c r="S336" s="465"/>
      <c r="T336" s="465"/>
      <c r="U336" s="465"/>
      <c r="V336" s="465"/>
      <c r="W336" s="465"/>
      <c r="X336" s="465"/>
      <c r="Y336" s="465"/>
      <c r="Z336" s="465"/>
    </row>
    <row r="337" spans="1:26" ht="15.75" customHeight="1">
      <c r="A337" s="465"/>
      <c r="B337" s="465"/>
      <c r="C337" s="465"/>
      <c r="D337" s="873"/>
      <c r="E337" s="465"/>
      <c r="F337" s="465"/>
      <c r="G337" s="465"/>
      <c r="H337" s="465"/>
      <c r="I337" s="465"/>
      <c r="J337" s="465"/>
      <c r="K337" s="465"/>
      <c r="L337" s="465"/>
      <c r="M337" s="465"/>
      <c r="N337" s="465"/>
      <c r="O337" s="465"/>
      <c r="P337" s="465"/>
      <c r="Q337" s="465"/>
      <c r="R337" s="465"/>
      <c r="S337" s="465"/>
      <c r="T337" s="465"/>
      <c r="U337" s="465"/>
      <c r="V337" s="465"/>
      <c r="W337" s="465"/>
      <c r="X337" s="465"/>
      <c r="Y337" s="465"/>
      <c r="Z337" s="465"/>
    </row>
    <row r="338" spans="1:26" ht="15.75" customHeight="1">
      <c r="A338" s="465"/>
      <c r="B338" s="465"/>
      <c r="C338" s="465"/>
      <c r="D338" s="873"/>
      <c r="E338" s="465"/>
      <c r="F338" s="465"/>
      <c r="G338" s="465"/>
      <c r="H338" s="465"/>
      <c r="I338" s="465"/>
      <c r="J338" s="465"/>
      <c r="K338" s="465"/>
      <c r="L338" s="465"/>
      <c r="M338" s="465"/>
      <c r="N338" s="465"/>
      <c r="O338" s="465"/>
      <c r="P338" s="465"/>
      <c r="Q338" s="465"/>
      <c r="R338" s="465"/>
      <c r="S338" s="465"/>
      <c r="T338" s="465"/>
      <c r="U338" s="465"/>
      <c r="V338" s="465"/>
      <c r="W338" s="465"/>
      <c r="X338" s="465"/>
      <c r="Y338" s="465"/>
      <c r="Z338" s="465"/>
    </row>
    <row r="339" spans="1:26" ht="15.75" customHeight="1">
      <c r="A339" s="465"/>
      <c r="B339" s="465"/>
      <c r="C339" s="465"/>
      <c r="D339" s="873"/>
      <c r="E339" s="465"/>
      <c r="F339" s="465"/>
      <c r="G339" s="465"/>
      <c r="H339" s="465"/>
      <c r="I339" s="465"/>
      <c r="J339" s="465"/>
      <c r="K339" s="465"/>
      <c r="L339" s="465"/>
      <c r="M339" s="465"/>
      <c r="N339" s="465"/>
      <c r="O339" s="465"/>
      <c r="P339" s="465"/>
      <c r="Q339" s="465"/>
      <c r="R339" s="465"/>
      <c r="S339" s="465"/>
      <c r="T339" s="465"/>
      <c r="U339" s="465"/>
      <c r="V339" s="465"/>
      <c r="W339" s="465"/>
      <c r="X339" s="465"/>
      <c r="Y339" s="465"/>
      <c r="Z339" s="465"/>
    </row>
    <row r="340" spans="1:26" ht="15.75" customHeight="1">
      <c r="A340" s="465"/>
      <c r="B340" s="465"/>
      <c r="C340" s="465"/>
      <c r="D340" s="873"/>
      <c r="E340" s="465"/>
      <c r="F340" s="465"/>
      <c r="G340" s="465"/>
      <c r="H340" s="465"/>
      <c r="I340" s="465"/>
      <c r="J340" s="465"/>
      <c r="K340" s="465"/>
      <c r="L340" s="465"/>
      <c r="M340" s="465"/>
      <c r="N340" s="465"/>
      <c r="O340" s="465"/>
      <c r="P340" s="465"/>
      <c r="Q340" s="465"/>
      <c r="R340" s="465"/>
      <c r="S340" s="465"/>
      <c r="T340" s="465"/>
      <c r="U340" s="465"/>
      <c r="V340" s="465"/>
      <c r="W340" s="465"/>
      <c r="X340" s="465"/>
      <c r="Y340" s="465"/>
      <c r="Z340" s="465"/>
    </row>
    <row r="341" spans="1:26" ht="15.75" customHeight="1">
      <c r="A341" s="465"/>
      <c r="B341" s="465"/>
      <c r="C341" s="465"/>
      <c r="D341" s="873"/>
      <c r="E341" s="465"/>
      <c r="F341" s="465"/>
      <c r="G341" s="465"/>
      <c r="H341" s="465"/>
      <c r="I341" s="465"/>
      <c r="J341" s="465"/>
      <c r="K341" s="465"/>
      <c r="L341" s="465"/>
      <c r="M341" s="465"/>
      <c r="N341" s="465"/>
      <c r="O341" s="465"/>
      <c r="P341" s="465"/>
      <c r="Q341" s="465"/>
      <c r="R341" s="465"/>
      <c r="S341" s="465"/>
      <c r="T341" s="465"/>
      <c r="U341" s="465"/>
      <c r="V341" s="465"/>
      <c r="W341" s="465"/>
      <c r="X341" s="465"/>
      <c r="Y341" s="465"/>
      <c r="Z341" s="465"/>
    </row>
    <row r="342" spans="1:26" ht="15.75" customHeight="1">
      <c r="A342" s="465"/>
      <c r="B342" s="465"/>
      <c r="C342" s="465"/>
      <c r="D342" s="873"/>
      <c r="E342" s="465"/>
      <c r="F342" s="465"/>
      <c r="G342" s="465"/>
      <c r="H342" s="465"/>
      <c r="I342" s="465"/>
      <c r="J342" s="465"/>
      <c r="K342" s="465"/>
      <c r="L342" s="465"/>
      <c r="M342" s="465"/>
      <c r="N342" s="465"/>
      <c r="O342" s="465"/>
      <c r="P342" s="465"/>
      <c r="Q342" s="465"/>
      <c r="R342" s="465"/>
      <c r="S342" s="465"/>
      <c r="T342" s="465"/>
      <c r="U342" s="465"/>
      <c r="V342" s="465"/>
      <c r="W342" s="465"/>
      <c r="X342" s="465"/>
      <c r="Y342" s="465"/>
      <c r="Z342" s="465"/>
    </row>
    <row r="343" spans="1:26" ht="15.75" customHeight="1">
      <c r="A343" s="465"/>
      <c r="B343" s="465"/>
      <c r="C343" s="465"/>
      <c r="D343" s="873"/>
      <c r="E343" s="465"/>
      <c r="F343" s="465"/>
      <c r="G343" s="465"/>
      <c r="H343" s="465"/>
      <c r="I343" s="465"/>
      <c r="J343" s="465"/>
      <c r="K343" s="465"/>
      <c r="L343" s="465"/>
      <c r="M343" s="465"/>
      <c r="N343" s="465"/>
      <c r="O343" s="465"/>
      <c r="P343" s="465"/>
      <c r="Q343" s="465"/>
      <c r="R343" s="465"/>
      <c r="S343" s="465"/>
      <c r="T343" s="465"/>
      <c r="U343" s="465"/>
      <c r="V343" s="465"/>
      <c r="W343" s="465"/>
      <c r="X343" s="465"/>
      <c r="Y343" s="465"/>
      <c r="Z343" s="465"/>
    </row>
    <row r="344" spans="1:26" ht="15.75" customHeight="1">
      <c r="A344" s="465"/>
      <c r="B344" s="465"/>
      <c r="C344" s="465"/>
      <c r="D344" s="873"/>
      <c r="E344" s="465"/>
      <c r="F344" s="465"/>
      <c r="G344" s="465"/>
      <c r="H344" s="465"/>
      <c r="I344" s="465"/>
      <c r="J344" s="465"/>
      <c r="K344" s="465"/>
      <c r="L344" s="465"/>
      <c r="M344" s="465"/>
      <c r="N344" s="465"/>
      <c r="O344" s="465"/>
      <c r="P344" s="465"/>
      <c r="Q344" s="465"/>
      <c r="R344" s="465"/>
      <c r="S344" s="465"/>
      <c r="T344" s="465"/>
      <c r="U344" s="465"/>
      <c r="V344" s="465"/>
      <c r="W344" s="465"/>
      <c r="X344" s="465"/>
      <c r="Y344" s="465"/>
      <c r="Z344" s="465"/>
    </row>
    <row r="345" spans="1:26" ht="15.75" customHeight="1">
      <c r="A345" s="465"/>
      <c r="B345" s="465"/>
      <c r="C345" s="465"/>
      <c r="D345" s="873"/>
      <c r="E345" s="465"/>
      <c r="F345" s="465"/>
      <c r="G345" s="465"/>
      <c r="H345" s="465"/>
      <c r="I345" s="465"/>
      <c r="J345" s="465"/>
      <c r="K345" s="465"/>
      <c r="L345" s="465"/>
      <c r="M345" s="465"/>
      <c r="N345" s="465"/>
      <c r="O345" s="465"/>
      <c r="P345" s="465"/>
      <c r="Q345" s="465"/>
      <c r="R345" s="465"/>
      <c r="S345" s="465"/>
      <c r="T345" s="465"/>
      <c r="U345" s="465"/>
      <c r="V345" s="465"/>
      <c r="W345" s="465"/>
      <c r="X345" s="465"/>
      <c r="Y345" s="465"/>
      <c r="Z345" s="465"/>
    </row>
    <row r="346" spans="1:26" ht="15.75" customHeight="1">
      <c r="A346" s="465"/>
      <c r="B346" s="465"/>
      <c r="C346" s="465"/>
      <c r="D346" s="873"/>
      <c r="E346" s="465"/>
      <c r="F346" s="465"/>
      <c r="G346" s="465"/>
      <c r="H346" s="465"/>
      <c r="I346" s="465"/>
      <c r="J346" s="465"/>
      <c r="K346" s="465"/>
      <c r="L346" s="465"/>
      <c r="M346" s="465"/>
      <c r="N346" s="465"/>
      <c r="O346" s="465"/>
      <c r="P346" s="465"/>
      <c r="Q346" s="465"/>
      <c r="R346" s="465"/>
      <c r="S346" s="465"/>
      <c r="T346" s="465"/>
      <c r="U346" s="465"/>
      <c r="V346" s="465"/>
      <c r="W346" s="465"/>
      <c r="X346" s="465"/>
      <c r="Y346" s="465"/>
      <c r="Z346" s="465"/>
    </row>
    <row r="347" spans="1:26" ht="15.75" customHeight="1">
      <c r="A347" s="465"/>
      <c r="B347" s="465"/>
      <c r="C347" s="465"/>
      <c r="D347" s="873"/>
      <c r="E347" s="465"/>
      <c r="F347" s="465"/>
      <c r="G347" s="465"/>
      <c r="H347" s="465"/>
      <c r="I347" s="465"/>
      <c r="J347" s="465"/>
      <c r="K347" s="465"/>
      <c r="L347" s="465"/>
      <c r="M347" s="465"/>
      <c r="N347" s="465"/>
      <c r="O347" s="465"/>
      <c r="P347" s="465"/>
      <c r="Q347" s="465"/>
      <c r="R347" s="465"/>
      <c r="S347" s="465"/>
      <c r="T347" s="465"/>
      <c r="U347" s="465"/>
      <c r="V347" s="465"/>
      <c r="W347" s="465"/>
      <c r="X347" s="465"/>
      <c r="Y347" s="465"/>
      <c r="Z347" s="465"/>
    </row>
    <row r="348" spans="1:26" ht="15.75" customHeight="1">
      <c r="A348" s="465"/>
      <c r="B348" s="465"/>
      <c r="C348" s="465"/>
      <c r="D348" s="873"/>
      <c r="E348" s="465"/>
      <c r="F348" s="465"/>
      <c r="G348" s="465"/>
      <c r="H348" s="465"/>
      <c r="I348" s="465"/>
      <c r="J348" s="465"/>
      <c r="K348" s="465"/>
      <c r="L348" s="465"/>
      <c r="M348" s="465"/>
      <c r="N348" s="465"/>
      <c r="O348" s="465"/>
      <c r="P348" s="465"/>
      <c r="Q348" s="465"/>
      <c r="R348" s="465"/>
      <c r="S348" s="465"/>
      <c r="T348" s="465"/>
      <c r="U348" s="465"/>
      <c r="V348" s="465"/>
      <c r="W348" s="465"/>
      <c r="X348" s="465"/>
      <c r="Y348" s="465"/>
      <c r="Z348" s="465"/>
    </row>
    <row r="349" spans="1:26" ht="15.75" customHeight="1">
      <c r="A349" s="465"/>
      <c r="B349" s="465"/>
      <c r="C349" s="465"/>
      <c r="D349" s="873"/>
      <c r="E349" s="465"/>
      <c r="F349" s="465"/>
      <c r="G349" s="465"/>
      <c r="H349" s="465"/>
      <c r="I349" s="465"/>
      <c r="J349" s="465"/>
      <c r="K349" s="465"/>
      <c r="L349" s="465"/>
      <c r="M349" s="465"/>
      <c r="N349" s="465"/>
      <c r="O349" s="465"/>
      <c r="P349" s="465"/>
      <c r="Q349" s="465"/>
      <c r="R349" s="465"/>
      <c r="S349" s="465"/>
      <c r="T349" s="465"/>
      <c r="U349" s="465"/>
      <c r="V349" s="465"/>
      <c r="W349" s="465"/>
      <c r="X349" s="465"/>
      <c r="Y349" s="465"/>
      <c r="Z349" s="465"/>
    </row>
    <row r="350" spans="1:26" ht="15.75" customHeight="1">
      <c r="A350" s="465"/>
      <c r="B350" s="465"/>
      <c r="C350" s="465"/>
      <c r="D350" s="873"/>
      <c r="E350" s="465"/>
      <c r="F350" s="465"/>
      <c r="G350" s="465"/>
      <c r="H350" s="465"/>
      <c r="I350" s="465"/>
      <c r="J350" s="465"/>
      <c r="K350" s="465"/>
      <c r="L350" s="465"/>
      <c r="M350" s="465"/>
      <c r="N350" s="465"/>
      <c r="O350" s="465"/>
      <c r="P350" s="465"/>
      <c r="Q350" s="465"/>
      <c r="R350" s="465"/>
      <c r="S350" s="465"/>
      <c r="T350" s="465"/>
      <c r="U350" s="465"/>
      <c r="V350" s="465"/>
      <c r="W350" s="465"/>
      <c r="X350" s="465"/>
      <c r="Y350" s="465"/>
      <c r="Z350" s="465"/>
    </row>
    <row r="351" spans="1:26" ht="15.75" customHeight="1">
      <c r="A351" s="465"/>
      <c r="B351" s="465"/>
      <c r="C351" s="465"/>
      <c r="D351" s="873"/>
      <c r="E351" s="465"/>
      <c r="F351" s="465"/>
      <c r="G351" s="465"/>
      <c r="H351" s="465"/>
      <c r="I351" s="465"/>
      <c r="J351" s="465"/>
      <c r="K351" s="465"/>
      <c r="L351" s="465"/>
      <c r="M351" s="465"/>
      <c r="N351" s="465"/>
      <c r="O351" s="465"/>
      <c r="P351" s="465"/>
      <c r="Q351" s="465"/>
      <c r="R351" s="465"/>
      <c r="S351" s="465"/>
      <c r="T351" s="465"/>
      <c r="U351" s="465"/>
      <c r="V351" s="465"/>
      <c r="W351" s="465"/>
      <c r="X351" s="465"/>
      <c r="Y351" s="465"/>
      <c r="Z351" s="465"/>
    </row>
    <row r="352" spans="1:26" ht="15.75" customHeight="1">
      <c r="A352" s="465"/>
      <c r="B352" s="465"/>
      <c r="C352" s="465"/>
      <c r="D352" s="873"/>
      <c r="E352" s="465"/>
      <c r="F352" s="465"/>
      <c r="G352" s="465"/>
      <c r="H352" s="465"/>
      <c r="I352" s="465"/>
      <c r="J352" s="465"/>
      <c r="K352" s="465"/>
      <c r="L352" s="465"/>
      <c r="M352" s="465"/>
      <c r="N352" s="465"/>
      <c r="O352" s="465"/>
      <c r="P352" s="465"/>
      <c r="Q352" s="465"/>
      <c r="R352" s="465"/>
      <c r="S352" s="465"/>
      <c r="T352" s="465"/>
      <c r="U352" s="465"/>
      <c r="V352" s="465"/>
      <c r="W352" s="465"/>
      <c r="X352" s="465"/>
      <c r="Y352" s="465"/>
      <c r="Z352" s="465"/>
    </row>
    <row r="353" spans="1:26" ht="15.75" customHeight="1">
      <c r="A353" s="465"/>
      <c r="B353" s="465"/>
      <c r="C353" s="465"/>
      <c r="D353" s="873"/>
      <c r="E353" s="465"/>
      <c r="F353" s="465"/>
      <c r="G353" s="465"/>
      <c r="H353" s="465"/>
      <c r="I353" s="465"/>
      <c r="J353" s="465"/>
      <c r="K353" s="465"/>
      <c r="L353" s="465"/>
      <c r="M353" s="465"/>
      <c r="N353" s="465"/>
      <c r="O353" s="465"/>
      <c r="P353" s="465"/>
      <c r="Q353" s="465"/>
      <c r="R353" s="465"/>
      <c r="S353" s="465"/>
      <c r="T353" s="465"/>
      <c r="U353" s="465"/>
      <c r="V353" s="465"/>
      <c r="W353" s="465"/>
      <c r="X353" s="465"/>
      <c r="Y353" s="465"/>
      <c r="Z353" s="465"/>
    </row>
    <row r="354" spans="1:26" ht="15.75" customHeight="1">
      <c r="A354" s="465"/>
      <c r="B354" s="465"/>
      <c r="C354" s="465"/>
      <c r="D354" s="873"/>
      <c r="E354" s="465"/>
      <c r="F354" s="465"/>
      <c r="G354" s="465"/>
      <c r="H354" s="465"/>
      <c r="I354" s="465"/>
      <c r="J354" s="465"/>
      <c r="K354" s="465"/>
      <c r="L354" s="465"/>
      <c r="M354" s="465"/>
      <c r="N354" s="465"/>
      <c r="O354" s="465"/>
      <c r="P354" s="465"/>
      <c r="Q354" s="465"/>
      <c r="R354" s="465"/>
      <c r="S354" s="465"/>
      <c r="T354" s="465"/>
      <c r="U354" s="465"/>
      <c r="V354" s="465"/>
      <c r="W354" s="465"/>
      <c r="X354" s="465"/>
      <c r="Y354" s="465"/>
      <c r="Z354" s="465"/>
    </row>
    <row r="355" spans="1:26" ht="15.75" customHeight="1">
      <c r="A355" s="465"/>
      <c r="B355" s="465"/>
      <c r="C355" s="465"/>
      <c r="D355" s="873"/>
      <c r="E355" s="465"/>
      <c r="F355" s="465"/>
      <c r="G355" s="465"/>
      <c r="H355" s="465"/>
      <c r="I355" s="465"/>
      <c r="J355" s="465"/>
      <c r="K355" s="465"/>
      <c r="L355" s="465"/>
      <c r="M355" s="465"/>
      <c r="N355" s="465"/>
      <c r="O355" s="465"/>
      <c r="P355" s="465"/>
      <c r="Q355" s="465"/>
      <c r="R355" s="465"/>
      <c r="S355" s="465"/>
      <c r="T355" s="465"/>
      <c r="U355" s="465"/>
      <c r="V355" s="465"/>
      <c r="W355" s="465"/>
      <c r="X355" s="465"/>
      <c r="Y355" s="465"/>
      <c r="Z355" s="465"/>
    </row>
    <row r="356" spans="1:26" ht="15.75" customHeight="1">
      <c r="A356" s="465"/>
      <c r="B356" s="465"/>
      <c r="C356" s="465"/>
      <c r="D356" s="873"/>
      <c r="E356" s="465"/>
      <c r="F356" s="465"/>
      <c r="G356" s="465"/>
      <c r="H356" s="465"/>
      <c r="I356" s="465"/>
      <c r="J356" s="465"/>
      <c r="K356" s="465"/>
      <c r="L356" s="465"/>
      <c r="M356" s="465"/>
      <c r="N356" s="465"/>
      <c r="O356" s="465"/>
      <c r="P356" s="465"/>
      <c r="Q356" s="465"/>
      <c r="R356" s="465"/>
      <c r="S356" s="465"/>
      <c r="T356" s="465"/>
      <c r="U356" s="465"/>
      <c r="V356" s="465"/>
      <c r="W356" s="465"/>
      <c r="X356" s="465"/>
      <c r="Y356" s="465"/>
      <c r="Z356" s="465"/>
    </row>
    <row r="357" spans="1:26" ht="15.75" customHeight="1">
      <c r="A357" s="465"/>
      <c r="B357" s="465"/>
      <c r="C357" s="465"/>
      <c r="D357" s="873"/>
      <c r="E357" s="465"/>
      <c r="F357" s="465"/>
      <c r="G357" s="465"/>
      <c r="H357" s="465"/>
      <c r="I357" s="465"/>
      <c r="J357" s="465"/>
      <c r="K357" s="465"/>
      <c r="L357" s="465"/>
      <c r="M357" s="465"/>
      <c r="N357" s="465"/>
      <c r="O357" s="465"/>
      <c r="P357" s="465"/>
      <c r="Q357" s="465"/>
      <c r="R357" s="465"/>
      <c r="S357" s="465"/>
      <c r="T357" s="465"/>
      <c r="U357" s="465"/>
      <c r="V357" s="465"/>
      <c r="W357" s="465"/>
      <c r="X357" s="465"/>
      <c r="Y357" s="465"/>
      <c r="Z357" s="465"/>
    </row>
    <row r="358" spans="1:26" ht="15.75" customHeight="1">
      <c r="A358" s="465"/>
      <c r="B358" s="465"/>
      <c r="C358" s="465"/>
      <c r="D358" s="873"/>
      <c r="E358" s="465"/>
      <c r="F358" s="465"/>
      <c r="G358" s="465"/>
      <c r="H358" s="465"/>
      <c r="I358" s="465"/>
      <c r="J358" s="465"/>
      <c r="K358" s="465"/>
      <c r="L358" s="465"/>
      <c r="M358" s="465"/>
      <c r="N358" s="465"/>
      <c r="O358" s="465"/>
      <c r="P358" s="465"/>
      <c r="Q358" s="465"/>
      <c r="R358" s="465"/>
      <c r="S358" s="465"/>
      <c r="T358" s="465"/>
      <c r="U358" s="465"/>
      <c r="V358" s="465"/>
      <c r="W358" s="465"/>
      <c r="X358" s="465"/>
      <c r="Y358" s="465"/>
      <c r="Z358" s="465"/>
    </row>
    <row r="359" spans="1:26" ht="15.75" customHeight="1">
      <c r="A359" s="465"/>
      <c r="B359" s="465"/>
      <c r="C359" s="465"/>
      <c r="D359" s="873"/>
      <c r="E359" s="465"/>
      <c r="F359" s="465"/>
      <c r="G359" s="465"/>
      <c r="H359" s="465"/>
      <c r="I359" s="465"/>
      <c r="J359" s="465"/>
      <c r="K359" s="465"/>
      <c r="L359" s="465"/>
      <c r="M359" s="465"/>
      <c r="N359" s="465"/>
      <c r="O359" s="465"/>
      <c r="P359" s="465"/>
      <c r="Q359" s="465"/>
      <c r="R359" s="465"/>
      <c r="S359" s="465"/>
      <c r="T359" s="465"/>
      <c r="U359" s="465"/>
      <c r="V359" s="465"/>
      <c r="W359" s="465"/>
      <c r="X359" s="465"/>
      <c r="Y359" s="465"/>
      <c r="Z359" s="465"/>
    </row>
    <row r="360" spans="1:26" ht="15.75" customHeight="1">
      <c r="A360" s="465"/>
      <c r="B360" s="465"/>
      <c r="C360" s="465"/>
      <c r="D360" s="873"/>
      <c r="E360" s="465"/>
      <c r="F360" s="465"/>
      <c r="G360" s="465"/>
      <c r="H360" s="465"/>
      <c r="I360" s="465"/>
      <c r="J360" s="465"/>
      <c r="K360" s="465"/>
      <c r="L360" s="465"/>
      <c r="M360" s="465"/>
      <c r="N360" s="465"/>
      <c r="O360" s="465"/>
      <c r="P360" s="465"/>
      <c r="Q360" s="465"/>
      <c r="R360" s="465"/>
      <c r="S360" s="465"/>
      <c r="T360" s="465"/>
      <c r="U360" s="465"/>
      <c r="V360" s="465"/>
      <c r="W360" s="465"/>
      <c r="X360" s="465"/>
      <c r="Y360" s="465"/>
      <c r="Z360" s="465"/>
    </row>
    <row r="361" spans="1:26" ht="15.75" customHeight="1">
      <c r="A361" s="465"/>
      <c r="B361" s="465"/>
      <c r="C361" s="465"/>
      <c r="D361" s="873"/>
      <c r="E361" s="465"/>
      <c r="F361" s="465"/>
      <c r="G361" s="465"/>
      <c r="H361" s="465"/>
      <c r="I361" s="465"/>
      <c r="J361" s="465"/>
      <c r="K361" s="465"/>
      <c r="L361" s="465"/>
      <c r="M361" s="465"/>
      <c r="N361" s="465"/>
      <c r="O361" s="465"/>
      <c r="P361" s="465"/>
      <c r="Q361" s="465"/>
      <c r="R361" s="465"/>
      <c r="S361" s="465"/>
      <c r="T361" s="465"/>
      <c r="U361" s="465"/>
      <c r="V361" s="465"/>
      <c r="W361" s="465"/>
      <c r="X361" s="465"/>
      <c r="Y361" s="465"/>
      <c r="Z361" s="465"/>
    </row>
    <row r="362" spans="1:26" ht="15.75" customHeight="1">
      <c r="A362" s="465"/>
      <c r="B362" s="465"/>
      <c r="C362" s="465"/>
      <c r="D362" s="873"/>
      <c r="E362" s="465"/>
      <c r="F362" s="465"/>
      <c r="G362" s="465"/>
      <c r="H362" s="465"/>
      <c r="I362" s="465"/>
      <c r="J362" s="465"/>
      <c r="K362" s="465"/>
      <c r="L362" s="465"/>
      <c r="M362" s="465"/>
      <c r="N362" s="465"/>
      <c r="O362" s="465"/>
      <c r="P362" s="465"/>
      <c r="Q362" s="465"/>
      <c r="R362" s="465"/>
      <c r="S362" s="465"/>
      <c r="T362" s="465"/>
      <c r="U362" s="465"/>
      <c r="V362" s="465"/>
      <c r="W362" s="465"/>
      <c r="X362" s="465"/>
      <c r="Y362" s="465"/>
      <c r="Z362" s="465"/>
    </row>
    <row r="363" spans="1:26" ht="15.75" customHeight="1">
      <c r="A363" s="465"/>
      <c r="B363" s="465"/>
      <c r="C363" s="465"/>
      <c r="D363" s="873"/>
      <c r="E363" s="465"/>
      <c r="F363" s="465"/>
      <c r="G363" s="465"/>
      <c r="H363" s="465"/>
      <c r="I363" s="465"/>
      <c r="J363" s="465"/>
      <c r="K363" s="465"/>
      <c r="L363" s="465"/>
      <c r="M363" s="465"/>
      <c r="N363" s="465"/>
      <c r="O363" s="465"/>
      <c r="P363" s="465"/>
      <c r="Q363" s="465"/>
      <c r="R363" s="465"/>
      <c r="S363" s="465"/>
      <c r="T363" s="465"/>
      <c r="U363" s="465"/>
      <c r="V363" s="465"/>
      <c r="W363" s="465"/>
      <c r="X363" s="465"/>
      <c r="Y363" s="465"/>
      <c r="Z363" s="465"/>
    </row>
    <row r="364" spans="1:26" ht="15.75" customHeight="1">
      <c r="A364" s="465"/>
      <c r="B364" s="465"/>
      <c r="C364" s="465"/>
      <c r="D364" s="873"/>
      <c r="E364" s="465"/>
      <c r="F364" s="465"/>
      <c r="G364" s="465"/>
      <c r="H364" s="465"/>
      <c r="I364" s="465"/>
      <c r="J364" s="465"/>
      <c r="K364" s="465"/>
      <c r="L364" s="465"/>
      <c r="M364" s="465"/>
      <c r="N364" s="465"/>
      <c r="O364" s="465"/>
      <c r="P364" s="465"/>
      <c r="Q364" s="465"/>
      <c r="R364" s="465"/>
      <c r="S364" s="465"/>
      <c r="T364" s="465"/>
      <c r="U364" s="465"/>
      <c r="V364" s="465"/>
      <c r="W364" s="465"/>
      <c r="X364" s="465"/>
      <c r="Y364" s="465"/>
      <c r="Z364" s="465"/>
    </row>
    <row r="365" spans="1:26" ht="15.75" customHeight="1">
      <c r="A365" s="465"/>
      <c r="B365" s="465"/>
      <c r="C365" s="465"/>
      <c r="D365" s="873"/>
      <c r="E365" s="465"/>
      <c r="F365" s="465"/>
      <c r="G365" s="465"/>
      <c r="H365" s="465"/>
      <c r="I365" s="465"/>
      <c r="J365" s="465"/>
      <c r="K365" s="465"/>
      <c r="L365" s="465"/>
      <c r="M365" s="465"/>
      <c r="N365" s="465"/>
      <c r="O365" s="465"/>
      <c r="P365" s="465"/>
      <c r="Q365" s="465"/>
      <c r="R365" s="465"/>
      <c r="S365" s="465"/>
      <c r="T365" s="465"/>
      <c r="U365" s="465"/>
      <c r="V365" s="465"/>
      <c r="W365" s="465"/>
      <c r="X365" s="465"/>
      <c r="Y365" s="465"/>
      <c r="Z365" s="465"/>
    </row>
    <row r="366" spans="1:26" ht="15.75" customHeight="1">
      <c r="A366" s="465"/>
      <c r="B366" s="465"/>
      <c r="C366" s="465"/>
      <c r="D366" s="873"/>
      <c r="E366" s="465"/>
      <c r="F366" s="465"/>
      <c r="G366" s="465"/>
      <c r="H366" s="465"/>
      <c r="I366" s="465"/>
      <c r="J366" s="465"/>
      <c r="K366" s="465"/>
      <c r="L366" s="465"/>
      <c r="M366" s="465"/>
      <c r="N366" s="465"/>
      <c r="O366" s="465"/>
      <c r="P366" s="465"/>
      <c r="Q366" s="465"/>
      <c r="R366" s="465"/>
      <c r="S366" s="465"/>
      <c r="T366" s="465"/>
      <c r="U366" s="465"/>
      <c r="V366" s="465"/>
      <c r="W366" s="465"/>
      <c r="X366" s="465"/>
      <c r="Y366" s="465"/>
      <c r="Z366" s="465"/>
    </row>
    <row r="367" spans="1:26" ht="15.75" customHeight="1">
      <c r="A367" s="465"/>
      <c r="B367" s="465"/>
      <c r="C367" s="465"/>
      <c r="D367" s="873"/>
      <c r="E367" s="465"/>
      <c r="F367" s="465"/>
      <c r="G367" s="465"/>
      <c r="H367" s="465"/>
      <c r="I367" s="465"/>
      <c r="J367" s="465"/>
      <c r="K367" s="465"/>
      <c r="L367" s="465"/>
      <c r="M367" s="465"/>
      <c r="N367" s="465"/>
      <c r="O367" s="465"/>
      <c r="P367" s="465"/>
      <c r="Q367" s="465"/>
      <c r="R367" s="465"/>
      <c r="S367" s="465"/>
      <c r="T367" s="465"/>
      <c r="U367" s="465"/>
      <c r="V367" s="465"/>
      <c r="W367" s="465"/>
      <c r="X367" s="465"/>
      <c r="Y367" s="465"/>
      <c r="Z367" s="465"/>
    </row>
    <row r="368" spans="1:26" ht="15.75" customHeight="1">
      <c r="A368" s="465"/>
      <c r="B368" s="465"/>
      <c r="C368" s="465"/>
      <c r="D368" s="873"/>
      <c r="E368" s="465"/>
      <c r="F368" s="465"/>
      <c r="G368" s="465"/>
      <c r="H368" s="465"/>
      <c r="I368" s="465"/>
      <c r="J368" s="465"/>
      <c r="K368" s="465"/>
      <c r="L368" s="465"/>
      <c r="M368" s="465"/>
      <c r="N368" s="465"/>
      <c r="O368" s="465"/>
      <c r="P368" s="465"/>
      <c r="Q368" s="465"/>
      <c r="R368" s="465"/>
      <c r="S368" s="465"/>
      <c r="T368" s="465"/>
      <c r="U368" s="465"/>
      <c r="V368" s="465"/>
      <c r="W368" s="465"/>
      <c r="X368" s="465"/>
      <c r="Y368" s="465"/>
      <c r="Z368" s="465"/>
    </row>
    <row r="369" spans="1:26" ht="15.75" customHeight="1">
      <c r="A369" s="465"/>
      <c r="B369" s="465"/>
      <c r="C369" s="465"/>
      <c r="D369" s="873"/>
      <c r="E369" s="465"/>
      <c r="F369" s="465"/>
      <c r="G369" s="465"/>
      <c r="H369" s="465"/>
      <c r="I369" s="465"/>
      <c r="J369" s="465"/>
      <c r="K369" s="465"/>
      <c r="L369" s="465"/>
      <c r="M369" s="465"/>
      <c r="N369" s="465"/>
      <c r="O369" s="465"/>
      <c r="P369" s="465"/>
      <c r="Q369" s="465"/>
      <c r="R369" s="465"/>
      <c r="S369" s="465"/>
      <c r="T369" s="465"/>
      <c r="U369" s="465"/>
      <c r="V369" s="465"/>
      <c r="W369" s="465"/>
      <c r="X369" s="465"/>
      <c r="Y369" s="465"/>
      <c r="Z369" s="465"/>
    </row>
    <row r="370" spans="1:26" ht="15.75" customHeight="1">
      <c r="A370" s="465"/>
      <c r="B370" s="465"/>
      <c r="C370" s="465"/>
      <c r="D370" s="873"/>
      <c r="E370" s="465"/>
      <c r="F370" s="465"/>
      <c r="G370" s="465"/>
      <c r="H370" s="465"/>
      <c r="I370" s="465"/>
      <c r="J370" s="465"/>
      <c r="K370" s="465"/>
      <c r="L370" s="465"/>
      <c r="M370" s="465"/>
      <c r="N370" s="465"/>
      <c r="O370" s="465"/>
      <c r="P370" s="465"/>
      <c r="Q370" s="465"/>
      <c r="R370" s="465"/>
      <c r="S370" s="465"/>
      <c r="T370" s="465"/>
      <c r="U370" s="465"/>
      <c r="V370" s="465"/>
      <c r="W370" s="465"/>
      <c r="X370" s="465"/>
      <c r="Y370" s="465"/>
      <c r="Z370" s="465"/>
    </row>
    <row r="371" spans="1:26" ht="15.75" customHeight="1">
      <c r="A371" s="465"/>
      <c r="B371" s="465"/>
      <c r="C371" s="465"/>
      <c r="D371" s="873"/>
      <c r="E371" s="465"/>
      <c r="F371" s="465"/>
      <c r="G371" s="465"/>
      <c r="H371" s="465"/>
      <c r="I371" s="465"/>
      <c r="J371" s="465"/>
      <c r="K371" s="465"/>
      <c r="L371" s="465"/>
      <c r="M371" s="465"/>
      <c r="N371" s="465"/>
      <c r="O371" s="465"/>
      <c r="P371" s="465"/>
      <c r="Q371" s="465"/>
      <c r="R371" s="465"/>
      <c r="S371" s="465"/>
      <c r="T371" s="465"/>
      <c r="U371" s="465"/>
      <c r="V371" s="465"/>
      <c r="W371" s="465"/>
      <c r="X371" s="465"/>
      <c r="Y371" s="465"/>
      <c r="Z371" s="465"/>
    </row>
    <row r="372" spans="1:26" ht="15.75" customHeight="1">
      <c r="A372" s="465"/>
      <c r="B372" s="465"/>
      <c r="C372" s="465"/>
      <c r="D372" s="873"/>
      <c r="E372" s="465"/>
      <c r="F372" s="465"/>
      <c r="G372" s="465"/>
      <c r="H372" s="465"/>
      <c r="I372" s="465"/>
      <c r="J372" s="465"/>
      <c r="K372" s="465"/>
      <c r="L372" s="465"/>
      <c r="M372" s="465"/>
      <c r="N372" s="465"/>
      <c r="O372" s="465"/>
      <c r="P372" s="465"/>
      <c r="Q372" s="465"/>
      <c r="R372" s="465"/>
      <c r="S372" s="465"/>
      <c r="T372" s="465"/>
      <c r="U372" s="465"/>
      <c r="V372" s="465"/>
      <c r="W372" s="465"/>
      <c r="X372" s="465"/>
      <c r="Y372" s="465"/>
      <c r="Z372" s="465"/>
    </row>
    <row r="373" spans="1:26" ht="15.75" customHeight="1">
      <c r="A373" s="465"/>
      <c r="B373" s="465"/>
      <c r="C373" s="465"/>
      <c r="D373" s="873"/>
      <c r="E373" s="465"/>
      <c r="F373" s="465"/>
      <c r="G373" s="465"/>
      <c r="H373" s="465"/>
      <c r="I373" s="465"/>
      <c r="J373" s="465"/>
      <c r="K373" s="465"/>
      <c r="L373" s="465"/>
      <c r="M373" s="465"/>
      <c r="N373" s="465"/>
      <c r="O373" s="465"/>
      <c r="P373" s="465"/>
      <c r="Q373" s="465"/>
      <c r="R373" s="465"/>
      <c r="S373" s="465"/>
      <c r="T373" s="465"/>
      <c r="U373" s="465"/>
      <c r="V373" s="465"/>
      <c r="W373" s="465"/>
      <c r="X373" s="465"/>
      <c r="Y373" s="465"/>
      <c r="Z373" s="465"/>
    </row>
    <row r="374" spans="1:26" ht="15.75" customHeight="1">
      <c r="A374" s="465"/>
      <c r="B374" s="465"/>
      <c r="C374" s="465"/>
      <c r="D374" s="873"/>
      <c r="E374" s="465"/>
      <c r="F374" s="465"/>
      <c r="G374" s="465"/>
      <c r="H374" s="465"/>
      <c r="I374" s="465"/>
      <c r="J374" s="465"/>
      <c r="K374" s="465"/>
      <c r="L374" s="465"/>
      <c r="M374" s="465"/>
      <c r="N374" s="465"/>
      <c r="O374" s="465"/>
      <c r="P374" s="465"/>
      <c r="Q374" s="465"/>
      <c r="R374" s="465"/>
      <c r="S374" s="465"/>
      <c r="T374" s="465"/>
      <c r="U374" s="465"/>
      <c r="V374" s="465"/>
      <c r="W374" s="465"/>
      <c r="X374" s="465"/>
      <c r="Y374" s="465"/>
      <c r="Z374" s="465"/>
    </row>
    <row r="375" spans="1:26" ht="15.75" customHeight="1">
      <c r="A375" s="465"/>
      <c r="B375" s="465"/>
      <c r="C375" s="465"/>
      <c r="D375" s="873"/>
      <c r="E375" s="465"/>
      <c r="F375" s="465"/>
      <c r="G375" s="465"/>
      <c r="H375" s="465"/>
      <c r="I375" s="465"/>
      <c r="J375" s="465"/>
      <c r="K375" s="465"/>
      <c r="L375" s="465"/>
      <c r="M375" s="465"/>
      <c r="N375" s="465"/>
      <c r="O375" s="465"/>
      <c r="P375" s="465"/>
      <c r="Q375" s="465"/>
      <c r="R375" s="465"/>
      <c r="S375" s="465"/>
      <c r="T375" s="465"/>
      <c r="U375" s="465"/>
      <c r="V375" s="465"/>
      <c r="W375" s="465"/>
      <c r="X375" s="465"/>
      <c r="Y375" s="465"/>
      <c r="Z375" s="465"/>
    </row>
    <row r="376" spans="1:26" ht="15.75" customHeight="1">
      <c r="A376" s="465"/>
      <c r="B376" s="465"/>
      <c r="C376" s="465"/>
      <c r="D376" s="873"/>
      <c r="E376" s="465"/>
      <c r="F376" s="465"/>
      <c r="G376" s="465"/>
      <c r="H376" s="465"/>
      <c r="I376" s="465"/>
      <c r="J376" s="465"/>
      <c r="K376" s="465"/>
      <c r="L376" s="465"/>
      <c r="M376" s="465"/>
      <c r="N376" s="465"/>
      <c r="O376" s="465"/>
      <c r="P376" s="465"/>
      <c r="Q376" s="465"/>
      <c r="R376" s="465"/>
      <c r="S376" s="465"/>
      <c r="T376" s="465"/>
      <c r="U376" s="465"/>
      <c r="V376" s="465"/>
      <c r="W376" s="465"/>
      <c r="X376" s="465"/>
      <c r="Y376" s="465"/>
      <c r="Z376" s="465"/>
    </row>
    <row r="377" spans="1:26" ht="15.75" customHeight="1">
      <c r="A377" s="465"/>
      <c r="B377" s="465"/>
      <c r="C377" s="465"/>
      <c r="D377" s="873"/>
      <c r="E377" s="465"/>
      <c r="F377" s="465"/>
      <c r="G377" s="465"/>
      <c r="H377" s="465"/>
      <c r="I377" s="465"/>
      <c r="J377" s="465"/>
      <c r="K377" s="465"/>
      <c r="L377" s="465"/>
      <c r="M377" s="465"/>
      <c r="N377" s="465"/>
      <c r="O377" s="465"/>
      <c r="P377" s="465"/>
      <c r="Q377" s="465"/>
      <c r="R377" s="465"/>
      <c r="S377" s="465"/>
      <c r="T377" s="465"/>
      <c r="U377" s="465"/>
      <c r="V377" s="465"/>
      <c r="W377" s="465"/>
      <c r="X377" s="465"/>
      <c r="Y377" s="465"/>
      <c r="Z377" s="465"/>
    </row>
    <row r="378" spans="1:26" ht="15.75" customHeight="1">
      <c r="A378" s="465"/>
      <c r="B378" s="465"/>
      <c r="C378" s="465"/>
      <c r="D378" s="873"/>
      <c r="E378" s="465"/>
      <c r="F378" s="465"/>
      <c r="G378" s="465"/>
      <c r="H378" s="465"/>
      <c r="I378" s="465"/>
      <c r="J378" s="465"/>
      <c r="K378" s="465"/>
      <c r="L378" s="465"/>
      <c r="M378" s="465"/>
      <c r="N378" s="465"/>
      <c r="O378" s="465"/>
      <c r="P378" s="465"/>
      <c r="Q378" s="465"/>
      <c r="R378" s="465"/>
      <c r="S378" s="465"/>
      <c r="T378" s="465"/>
      <c r="U378" s="465"/>
      <c r="V378" s="465"/>
      <c r="W378" s="465"/>
      <c r="X378" s="465"/>
      <c r="Y378" s="465"/>
      <c r="Z378" s="465"/>
    </row>
    <row r="379" spans="1:26" ht="15.75" customHeight="1">
      <c r="A379" s="465"/>
      <c r="B379" s="465"/>
      <c r="C379" s="465"/>
      <c r="D379" s="873"/>
      <c r="E379" s="465"/>
      <c r="F379" s="465"/>
      <c r="G379" s="465"/>
      <c r="H379" s="465"/>
      <c r="I379" s="465"/>
      <c r="J379" s="465"/>
      <c r="K379" s="465"/>
      <c r="L379" s="465"/>
      <c r="M379" s="465"/>
      <c r="N379" s="465"/>
      <c r="O379" s="465"/>
      <c r="P379" s="465"/>
      <c r="Q379" s="465"/>
      <c r="R379" s="465"/>
      <c r="S379" s="465"/>
      <c r="T379" s="465"/>
      <c r="U379" s="465"/>
      <c r="V379" s="465"/>
      <c r="W379" s="465"/>
      <c r="X379" s="465"/>
      <c r="Y379" s="465"/>
      <c r="Z379" s="465"/>
    </row>
    <row r="380" spans="1:26" ht="15.75" customHeight="1">
      <c r="A380" s="465"/>
      <c r="B380" s="465"/>
      <c r="C380" s="465"/>
      <c r="D380" s="873"/>
      <c r="E380" s="465"/>
      <c r="F380" s="465"/>
      <c r="G380" s="465"/>
      <c r="H380" s="465"/>
      <c r="I380" s="465"/>
      <c r="J380" s="465"/>
      <c r="K380" s="465"/>
      <c r="L380" s="465"/>
      <c r="M380" s="465"/>
      <c r="N380" s="465"/>
      <c r="O380" s="465"/>
      <c r="P380" s="465"/>
      <c r="Q380" s="465"/>
      <c r="R380" s="465"/>
      <c r="S380" s="465"/>
      <c r="T380" s="465"/>
      <c r="U380" s="465"/>
      <c r="V380" s="465"/>
      <c r="W380" s="465"/>
      <c r="X380" s="465"/>
      <c r="Y380" s="465"/>
      <c r="Z380" s="465"/>
    </row>
    <row r="381" spans="1:26" ht="15.75" customHeight="1">
      <c r="A381" s="465"/>
      <c r="B381" s="465"/>
      <c r="C381" s="465"/>
      <c r="D381" s="873"/>
      <c r="E381" s="465"/>
      <c r="F381" s="465"/>
      <c r="G381" s="465"/>
      <c r="H381" s="465"/>
      <c r="I381" s="465"/>
      <c r="J381" s="465"/>
      <c r="K381" s="465"/>
      <c r="L381" s="465"/>
      <c r="M381" s="465"/>
      <c r="N381" s="465"/>
      <c r="O381" s="465"/>
      <c r="P381" s="465"/>
      <c r="Q381" s="465"/>
      <c r="R381" s="465"/>
      <c r="S381" s="465"/>
      <c r="T381" s="465"/>
      <c r="U381" s="465"/>
      <c r="V381" s="465"/>
      <c r="W381" s="465"/>
      <c r="X381" s="465"/>
      <c r="Y381" s="465"/>
      <c r="Z381" s="465"/>
    </row>
    <row r="382" spans="1:26" ht="15.75" customHeight="1">
      <c r="A382" s="465"/>
      <c r="B382" s="465"/>
      <c r="C382" s="465"/>
      <c r="D382" s="873"/>
      <c r="E382" s="465"/>
      <c r="F382" s="465"/>
      <c r="G382" s="465"/>
      <c r="H382" s="465"/>
      <c r="I382" s="465"/>
      <c r="J382" s="465"/>
      <c r="K382" s="465"/>
      <c r="L382" s="465"/>
      <c r="M382" s="465"/>
      <c r="N382" s="465"/>
      <c r="O382" s="465"/>
      <c r="P382" s="465"/>
      <c r="Q382" s="465"/>
      <c r="R382" s="465"/>
      <c r="S382" s="465"/>
      <c r="T382" s="465"/>
      <c r="U382" s="465"/>
      <c r="V382" s="465"/>
      <c r="W382" s="465"/>
      <c r="X382" s="465"/>
      <c r="Y382" s="465"/>
      <c r="Z382" s="465"/>
    </row>
    <row r="383" spans="1:26" ht="15.75" customHeight="1">
      <c r="A383" s="465"/>
      <c r="B383" s="465"/>
      <c r="C383" s="465"/>
      <c r="D383" s="873"/>
      <c r="E383" s="465"/>
      <c r="F383" s="465"/>
      <c r="G383" s="465"/>
      <c r="H383" s="465"/>
      <c r="I383" s="465"/>
      <c r="J383" s="465"/>
      <c r="K383" s="465"/>
      <c r="L383" s="465"/>
      <c r="M383" s="465"/>
      <c r="N383" s="465"/>
      <c r="O383" s="465"/>
      <c r="P383" s="465"/>
      <c r="Q383" s="465"/>
      <c r="R383" s="465"/>
      <c r="S383" s="465"/>
      <c r="T383" s="465"/>
      <c r="U383" s="465"/>
      <c r="V383" s="465"/>
      <c r="W383" s="465"/>
      <c r="X383" s="465"/>
      <c r="Y383" s="465"/>
      <c r="Z383" s="465"/>
    </row>
    <row r="384" spans="1:26" ht="15.75" customHeight="1">
      <c r="A384" s="465"/>
      <c r="B384" s="465"/>
      <c r="C384" s="465"/>
      <c r="D384" s="873"/>
      <c r="E384" s="465"/>
      <c r="F384" s="465"/>
      <c r="G384" s="465"/>
      <c r="H384" s="465"/>
      <c r="I384" s="465"/>
      <c r="J384" s="465"/>
      <c r="K384" s="465"/>
      <c r="L384" s="465"/>
      <c r="M384" s="465"/>
      <c r="N384" s="465"/>
      <c r="O384" s="465"/>
      <c r="P384" s="465"/>
      <c r="Q384" s="465"/>
      <c r="R384" s="465"/>
      <c r="S384" s="465"/>
      <c r="T384" s="465"/>
      <c r="U384" s="465"/>
      <c r="V384" s="465"/>
      <c r="W384" s="465"/>
      <c r="X384" s="465"/>
      <c r="Y384" s="465"/>
      <c r="Z384" s="465"/>
    </row>
    <row r="385" spans="1:26" ht="15.75" customHeight="1">
      <c r="A385" s="465"/>
      <c r="B385" s="465"/>
      <c r="C385" s="465"/>
      <c r="D385" s="873"/>
      <c r="E385" s="465"/>
      <c r="F385" s="465"/>
      <c r="G385" s="465"/>
      <c r="H385" s="465"/>
      <c r="I385" s="465"/>
      <c r="J385" s="465"/>
      <c r="K385" s="465"/>
      <c r="L385" s="465"/>
      <c r="M385" s="465"/>
      <c r="N385" s="465"/>
      <c r="O385" s="465"/>
      <c r="P385" s="465"/>
      <c r="Q385" s="465"/>
      <c r="R385" s="465"/>
      <c r="S385" s="465"/>
      <c r="T385" s="465"/>
      <c r="U385" s="465"/>
      <c r="V385" s="465"/>
      <c r="W385" s="465"/>
      <c r="X385" s="465"/>
      <c r="Y385" s="465"/>
      <c r="Z385" s="465"/>
    </row>
    <row r="386" spans="1:26" ht="15.75" customHeight="1">
      <c r="A386" s="465"/>
      <c r="B386" s="465"/>
      <c r="C386" s="465"/>
      <c r="D386" s="873"/>
      <c r="E386" s="465"/>
      <c r="F386" s="465"/>
      <c r="G386" s="465"/>
      <c r="H386" s="465"/>
      <c r="I386" s="465"/>
      <c r="J386" s="465"/>
      <c r="K386" s="465"/>
      <c r="L386" s="465"/>
      <c r="M386" s="465"/>
      <c r="N386" s="465"/>
      <c r="O386" s="465"/>
      <c r="P386" s="465"/>
      <c r="Q386" s="465"/>
      <c r="R386" s="465"/>
      <c r="S386" s="465"/>
      <c r="T386" s="465"/>
      <c r="U386" s="465"/>
      <c r="V386" s="465"/>
      <c r="W386" s="465"/>
      <c r="X386" s="465"/>
      <c r="Y386" s="465"/>
      <c r="Z386" s="465"/>
    </row>
    <row r="387" spans="1:26" ht="15.75" customHeight="1">
      <c r="A387" s="465"/>
      <c r="B387" s="465"/>
      <c r="C387" s="465"/>
      <c r="D387" s="873"/>
      <c r="E387" s="465"/>
      <c r="F387" s="465"/>
      <c r="G387" s="465"/>
      <c r="H387" s="465"/>
      <c r="I387" s="465"/>
      <c r="J387" s="465"/>
      <c r="K387" s="465"/>
      <c r="L387" s="465"/>
      <c r="M387" s="465"/>
      <c r="N387" s="465"/>
      <c r="O387" s="465"/>
      <c r="P387" s="465"/>
      <c r="Q387" s="465"/>
      <c r="R387" s="465"/>
      <c r="S387" s="465"/>
      <c r="T387" s="465"/>
      <c r="U387" s="465"/>
      <c r="V387" s="465"/>
      <c r="W387" s="465"/>
      <c r="X387" s="465"/>
      <c r="Y387" s="465"/>
      <c r="Z387" s="465"/>
    </row>
    <row r="388" spans="1:26" ht="15.75" customHeight="1">
      <c r="A388" s="465"/>
      <c r="B388" s="465"/>
      <c r="C388" s="465"/>
      <c r="D388" s="873"/>
      <c r="E388" s="465"/>
      <c r="F388" s="465"/>
      <c r="G388" s="465"/>
      <c r="H388" s="465"/>
      <c r="I388" s="465"/>
      <c r="J388" s="465"/>
      <c r="K388" s="465"/>
      <c r="L388" s="465"/>
      <c r="M388" s="465"/>
      <c r="N388" s="465"/>
      <c r="O388" s="465"/>
      <c r="P388" s="465"/>
      <c r="Q388" s="465"/>
      <c r="R388" s="465"/>
      <c r="S388" s="465"/>
      <c r="T388" s="465"/>
      <c r="U388" s="465"/>
      <c r="V388" s="465"/>
      <c r="W388" s="465"/>
      <c r="X388" s="465"/>
      <c r="Y388" s="465"/>
      <c r="Z388" s="465"/>
    </row>
    <row r="389" spans="1:26" ht="15.75" customHeight="1">
      <c r="A389" s="465"/>
      <c r="B389" s="465"/>
      <c r="C389" s="465"/>
      <c r="D389" s="873"/>
      <c r="E389" s="465"/>
      <c r="F389" s="465"/>
      <c r="G389" s="465"/>
      <c r="H389" s="465"/>
      <c r="I389" s="465"/>
      <c r="J389" s="465"/>
      <c r="K389" s="465"/>
      <c r="L389" s="465"/>
      <c r="M389" s="465"/>
      <c r="N389" s="465"/>
      <c r="O389" s="465"/>
      <c r="P389" s="465"/>
      <c r="Q389" s="465"/>
      <c r="R389" s="465"/>
      <c r="S389" s="465"/>
      <c r="T389" s="465"/>
      <c r="U389" s="465"/>
      <c r="V389" s="465"/>
      <c r="W389" s="465"/>
      <c r="X389" s="465"/>
      <c r="Y389" s="465"/>
      <c r="Z389" s="465"/>
    </row>
    <row r="390" spans="1:26" ht="15.75" customHeight="1">
      <c r="A390" s="465"/>
      <c r="B390" s="465"/>
      <c r="C390" s="465"/>
      <c r="D390" s="873"/>
      <c r="E390" s="465"/>
      <c r="F390" s="465"/>
      <c r="G390" s="465"/>
      <c r="H390" s="465"/>
      <c r="I390" s="465"/>
      <c r="J390" s="465"/>
      <c r="K390" s="465"/>
      <c r="L390" s="465"/>
      <c r="M390" s="465"/>
      <c r="N390" s="465"/>
      <c r="O390" s="465"/>
      <c r="P390" s="465"/>
      <c r="Q390" s="465"/>
      <c r="R390" s="465"/>
      <c r="S390" s="465"/>
      <c r="T390" s="465"/>
      <c r="U390" s="465"/>
      <c r="V390" s="465"/>
      <c r="W390" s="465"/>
      <c r="X390" s="465"/>
      <c r="Y390" s="465"/>
      <c r="Z390" s="465"/>
    </row>
    <row r="391" spans="1:26" ht="15.75" customHeight="1">
      <c r="A391" s="465"/>
      <c r="B391" s="465"/>
      <c r="C391" s="465"/>
      <c r="D391" s="873"/>
      <c r="E391" s="465"/>
      <c r="F391" s="465"/>
      <c r="G391" s="465"/>
      <c r="H391" s="465"/>
      <c r="I391" s="465"/>
      <c r="J391" s="465"/>
      <c r="K391" s="465"/>
      <c r="L391" s="465"/>
      <c r="M391" s="465"/>
      <c r="N391" s="465"/>
      <c r="O391" s="465"/>
      <c r="P391" s="465"/>
      <c r="Q391" s="465"/>
      <c r="R391" s="465"/>
      <c r="S391" s="465"/>
      <c r="T391" s="465"/>
      <c r="U391" s="465"/>
      <c r="V391" s="465"/>
      <c r="W391" s="465"/>
      <c r="X391" s="465"/>
      <c r="Y391" s="465"/>
      <c r="Z391" s="465"/>
    </row>
    <row r="392" spans="1:26" ht="15.75" customHeight="1">
      <c r="A392" s="465"/>
      <c r="B392" s="465"/>
      <c r="C392" s="465"/>
      <c r="D392" s="873"/>
      <c r="E392" s="465"/>
      <c r="F392" s="465"/>
      <c r="G392" s="465"/>
      <c r="H392" s="465"/>
      <c r="I392" s="465"/>
      <c r="J392" s="465"/>
      <c r="K392" s="465"/>
      <c r="L392" s="465"/>
      <c r="M392" s="465"/>
      <c r="N392" s="465"/>
      <c r="O392" s="465"/>
      <c r="P392" s="465"/>
      <c r="Q392" s="465"/>
      <c r="R392" s="465"/>
      <c r="S392" s="465"/>
      <c r="T392" s="465"/>
      <c r="U392" s="465"/>
      <c r="V392" s="465"/>
      <c r="W392" s="465"/>
      <c r="X392" s="465"/>
      <c r="Y392" s="465"/>
      <c r="Z392" s="465"/>
    </row>
    <row r="393" spans="1:26" ht="15.75" customHeight="1">
      <c r="A393" s="465"/>
      <c r="B393" s="465"/>
      <c r="C393" s="465"/>
      <c r="D393" s="873"/>
      <c r="E393" s="465"/>
      <c r="F393" s="465"/>
      <c r="G393" s="465"/>
      <c r="H393" s="465"/>
      <c r="I393" s="465"/>
      <c r="J393" s="465"/>
      <c r="K393" s="465"/>
      <c r="L393" s="465"/>
      <c r="M393" s="465"/>
      <c r="N393" s="465"/>
      <c r="O393" s="465"/>
      <c r="P393" s="465"/>
      <c r="Q393" s="465"/>
      <c r="R393" s="465"/>
      <c r="S393" s="465"/>
      <c r="T393" s="465"/>
      <c r="U393" s="465"/>
      <c r="V393" s="465"/>
      <c r="W393" s="465"/>
      <c r="X393" s="465"/>
      <c r="Y393" s="465"/>
      <c r="Z393" s="465"/>
    </row>
    <row r="394" spans="1:26" ht="15.75" customHeight="1">
      <c r="A394" s="465"/>
      <c r="B394" s="465"/>
      <c r="C394" s="465"/>
      <c r="D394" s="873"/>
      <c r="E394" s="465"/>
      <c r="F394" s="465"/>
      <c r="G394" s="465"/>
      <c r="H394" s="465"/>
      <c r="I394" s="465"/>
      <c r="J394" s="465"/>
      <c r="K394" s="465"/>
      <c r="L394" s="465"/>
      <c r="M394" s="465"/>
      <c r="N394" s="465"/>
      <c r="O394" s="465"/>
      <c r="P394" s="465"/>
      <c r="Q394" s="465"/>
      <c r="R394" s="465"/>
      <c r="S394" s="465"/>
      <c r="T394" s="465"/>
      <c r="U394" s="465"/>
      <c r="V394" s="465"/>
      <c r="W394" s="465"/>
      <c r="X394" s="465"/>
      <c r="Y394" s="465"/>
      <c r="Z394" s="465"/>
    </row>
    <row r="395" spans="1:26" ht="15.75" customHeight="1">
      <c r="A395" s="465"/>
      <c r="B395" s="465"/>
      <c r="C395" s="465"/>
      <c r="D395" s="873"/>
      <c r="E395" s="465"/>
      <c r="F395" s="465"/>
      <c r="G395" s="465"/>
      <c r="H395" s="465"/>
      <c r="I395" s="465"/>
      <c r="J395" s="465"/>
      <c r="K395" s="465"/>
      <c r="L395" s="465"/>
      <c r="M395" s="465"/>
      <c r="N395" s="465"/>
      <c r="O395" s="465"/>
      <c r="P395" s="465"/>
      <c r="Q395" s="465"/>
      <c r="R395" s="465"/>
      <c r="S395" s="465"/>
      <c r="T395" s="465"/>
      <c r="U395" s="465"/>
      <c r="V395" s="465"/>
      <c r="W395" s="465"/>
      <c r="X395" s="465"/>
      <c r="Y395" s="465"/>
      <c r="Z395" s="465"/>
    </row>
    <row r="396" spans="1:26" ht="15.75" customHeight="1">
      <c r="A396" s="465"/>
      <c r="B396" s="465"/>
      <c r="C396" s="465"/>
      <c r="D396" s="873"/>
      <c r="E396" s="465"/>
      <c r="F396" s="465"/>
      <c r="G396" s="465"/>
      <c r="H396" s="465"/>
      <c r="I396" s="465"/>
      <c r="J396" s="465"/>
      <c r="K396" s="465"/>
      <c r="L396" s="465"/>
      <c r="M396" s="465"/>
      <c r="N396" s="465"/>
      <c r="O396" s="465"/>
      <c r="P396" s="465"/>
      <c r="Q396" s="465"/>
      <c r="R396" s="465"/>
      <c r="S396" s="465"/>
      <c r="T396" s="465"/>
      <c r="U396" s="465"/>
      <c r="V396" s="465"/>
      <c r="W396" s="465"/>
      <c r="X396" s="465"/>
      <c r="Y396" s="465"/>
      <c r="Z396" s="465"/>
    </row>
    <row r="397" spans="1:26" ht="15.75" customHeight="1">
      <c r="A397" s="465"/>
      <c r="B397" s="465"/>
      <c r="C397" s="465"/>
      <c r="D397" s="873"/>
      <c r="E397" s="465"/>
      <c r="F397" s="465"/>
      <c r="G397" s="465"/>
      <c r="H397" s="465"/>
      <c r="I397" s="465"/>
      <c r="J397" s="465"/>
      <c r="K397" s="465"/>
      <c r="L397" s="465"/>
      <c r="M397" s="465"/>
      <c r="N397" s="465"/>
      <c r="O397" s="465"/>
      <c r="P397" s="465"/>
      <c r="Q397" s="465"/>
      <c r="R397" s="465"/>
      <c r="S397" s="465"/>
      <c r="T397" s="465"/>
      <c r="U397" s="465"/>
      <c r="V397" s="465"/>
      <c r="W397" s="465"/>
      <c r="X397" s="465"/>
      <c r="Y397" s="465"/>
      <c r="Z397" s="465"/>
    </row>
    <row r="398" spans="1:26" ht="15.75" customHeight="1">
      <c r="A398" s="465"/>
      <c r="B398" s="465"/>
      <c r="C398" s="465"/>
      <c r="D398" s="873"/>
      <c r="E398" s="465"/>
      <c r="F398" s="465"/>
      <c r="G398" s="465"/>
      <c r="H398" s="465"/>
      <c r="I398" s="465"/>
      <c r="J398" s="465"/>
      <c r="K398" s="465"/>
      <c r="L398" s="465"/>
      <c r="M398" s="465"/>
      <c r="N398" s="465"/>
      <c r="O398" s="465"/>
      <c r="P398" s="465"/>
      <c r="Q398" s="465"/>
      <c r="R398" s="465"/>
      <c r="S398" s="465"/>
      <c r="T398" s="465"/>
      <c r="U398" s="465"/>
      <c r="V398" s="465"/>
      <c r="W398" s="465"/>
      <c r="X398" s="465"/>
      <c r="Y398" s="465"/>
      <c r="Z398" s="465"/>
    </row>
    <row r="399" spans="1:26" ht="15.75" customHeight="1">
      <c r="A399" s="465"/>
      <c r="B399" s="465"/>
      <c r="C399" s="465"/>
      <c r="D399" s="873"/>
      <c r="E399" s="465"/>
      <c r="F399" s="465"/>
      <c r="G399" s="465"/>
      <c r="H399" s="465"/>
      <c r="I399" s="465"/>
      <c r="J399" s="465"/>
      <c r="K399" s="465"/>
      <c r="L399" s="465"/>
      <c r="M399" s="465"/>
      <c r="N399" s="465"/>
      <c r="O399" s="465"/>
      <c r="P399" s="465"/>
      <c r="Q399" s="465"/>
      <c r="R399" s="465"/>
      <c r="S399" s="465"/>
      <c r="T399" s="465"/>
      <c r="U399" s="465"/>
      <c r="V399" s="465"/>
      <c r="W399" s="465"/>
      <c r="X399" s="465"/>
      <c r="Y399" s="465"/>
      <c r="Z399" s="465"/>
    </row>
    <row r="400" spans="1:26" ht="15.75" customHeight="1">
      <c r="A400" s="465"/>
      <c r="B400" s="465"/>
      <c r="C400" s="465"/>
      <c r="D400" s="873"/>
      <c r="E400" s="465"/>
      <c r="F400" s="465"/>
      <c r="G400" s="465"/>
      <c r="H400" s="465"/>
      <c r="I400" s="465"/>
      <c r="J400" s="465"/>
      <c r="K400" s="465"/>
      <c r="L400" s="465"/>
      <c r="M400" s="465"/>
      <c r="N400" s="465"/>
      <c r="O400" s="465"/>
      <c r="P400" s="465"/>
      <c r="Q400" s="465"/>
      <c r="R400" s="465"/>
      <c r="S400" s="465"/>
      <c r="T400" s="465"/>
      <c r="U400" s="465"/>
      <c r="V400" s="465"/>
      <c r="W400" s="465"/>
      <c r="X400" s="465"/>
      <c r="Y400" s="465"/>
      <c r="Z400" s="465"/>
    </row>
    <row r="401" spans="1:26" ht="15.75" customHeight="1">
      <c r="A401" s="465"/>
      <c r="B401" s="465"/>
      <c r="C401" s="465"/>
      <c r="D401" s="873"/>
      <c r="E401" s="465"/>
      <c r="F401" s="465"/>
      <c r="G401" s="465"/>
      <c r="H401" s="465"/>
      <c r="I401" s="465"/>
      <c r="J401" s="465"/>
      <c r="K401" s="465"/>
      <c r="L401" s="465"/>
      <c r="M401" s="465"/>
      <c r="N401" s="465"/>
      <c r="O401" s="465"/>
      <c r="P401" s="465"/>
      <c r="Q401" s="465"/>
      <c r="R401" s="465"/>
      <c r="S401" s="465"/>
      <c r="T401" s="465"/>
      <c r="U401" s="465"/>
      <c r="V401" s="465"/>
      <c r="W401" s="465"/>
      <c r="X401" s="465"/>
      <c r="Y401" s="465"/>
      <c r="Z401" s="465"/>
    </row>
    <row r="402" spans="1:26" ht="15.75" customHeight="1">
      <c r="A402" s="465"/>
      <c r="B402" s="465"/>
      <c r="C402" s="465"/>
      <c r="D402" s="873"/>
      <c r="E402" s="465"/>
      <c r="F402" s="465"/>
      <c r="G402" s="465"/>
      <c r="H402" s="465"/>
      <c r="I402" s="465"/>
      <c r="J402" s="465"/>
      <c r="K402" s="465"/>
      <c r="L402" s="465"/>
      <c r="M402" s="465"/>
      <c r="N402" s="465"/>
      <c r="O402" s="465"/>
      <c r="P402" s="465"/>
      <c r="Q402" s="465"/>
      <c r="R402" s="465"/>
      <c r="S402" s="465"/>
      <c r="T402" s="465"/>
      <c r="U402" s="465"/>
      <c r="V402" s="465"/>
      <c r="W402" s="465"/>
      <c r="X402" s="465"/>
      <c r="Y402" s="465"/>
      <c r="Z402" s="465"/>
    </row>
    <row r="403" spans="1:26" ht="15.75" customHeight="1">
      <c r="A403" s="465"/>
      <c r="B403" s="465"/>
      <c r="C403" s="465"/>
      <c r="D403" s="873"/>
      <c r="E403" s="465"/>
      <c r="F403" s="465"/>
      <c r="G403" s="465"/>
      <c r="H403" s="465"/>
      <c r="I403" s="465"/>
      <c r="J403" s="465"/>
      <c r="K403" s="465"/>
      <c r="L403" s="465"/>
      <c r="M403" s="465"/>
      <c r="N403" s="465"/>
      <c r="O403" s="465"/>
      <c r="P403" s="465"/>
      <c r="Q403" s="465"/>
      <c r="R403" s="465"/>
      <c r="S403" s="465"/>
      <c r="T403" s="465"/>
      <c r="U403" s="465"/>
      <c r="V403" s="465"/>
      <c r="W403" s="465"/>
      <c r="X403" s="465"/>
      <c r="Y403" s="465"/>
      <c r="Z403" s="465"/>
    </row>
    <row r="404" spans="1:26" ht="15.75" customHeight="1">
      <c r="A404" s="465"/>
      <c r="B404" s="465"/>
      <c r="C404" s="465"/>
      <c r="D404" s="873"/>
      <c r="E404" s="465"/>
      <c r="F404" s="465"/>
      <c r="G404" s="465"/>
      <c r="H404" s="465"/>
      <c r="I404" s="465"/>
      <c r="J404" s="465"/>
      <c r="K404" s="465"/>
      <c r="L404" s="465"/>
      <c r="M404" s="465"/>
      <c r="N404" s="465"/>
      <c r="O404" s="465"/>
      <c r="P404" s="465"/>
      <c r="Q404" s="465"/>
      <c r="R404" s="465"/>
      <c r="S404" s="465"/>
      <c r="T404" s="465"/>
      <c r="U404" s="465"/>
      <c r="V404" s="465"/>
      <c r="W404" s="465"/>
      <c r="X404" s="465"/>
      <c r="Y404" s="465"/>
      <c r="Z404" s="465"/>
    </row>
    <row r="405" spans="1:26" ht="15.75" customHeight="1">
      <c r="A405" s="465"/>
      <c r="B405" s="465"/>
      <c r="C405" s="465"/>
      <c r="D405" s="873"/>
      <c r="E405" s="465"/>
      <c r="F405" s="465"/>
      <c r="G405" s="465"/>
      <c r="H405" s="465"/>
      <c r="I405" s="465"/>
      <c r="J405" s="465"/>
      <c r="K405" s="465"/>
      <c r="L405" s="465"/>
      <c r="M405" s="465"/>
      <c r="N405" s="465"/>
      <c r="O405" s="465"/>
      <c r="P405" s="465"/>
      <c r="Q405" s="465"/>
      <c r="R405" s="465"/>
      <c r="S405" s="465"/>
      <c r="T405" s="465"/>
      <c r="U405" s="465"/>
      <c r="V405" s="465"/>
      <c r="W405" s="465"/>
      <c r="X405" s="465"/>
      <c r="Y405" s="465"/>
      <c r="Z405" s="465"/>
    </row>
    <row r="406" spans="1:26" ht="15.75" customHeight="1">
      <c r="A406" s="465"/>
      <c r="B406" s="465"/>
      <c r="C406" s="465"/>
      <c r="D406" s="873"/>
      <c r="E406" s="465"/>
      <c r="F406" s="465"/>
      <c r="G406" s="465"/>
      <c r="H406" s="465"/>
      <c r="I406" s="465"/>
      <c r="J406" s="465"/>
      <c r="K406" s="465"/>
      <c r="L406" s="465"/>
      <c r="M406" s="465"/>
      <c r="N406" s="465"/>
      <c r="O406" s="465"/>
      <c r="P406" s="465"/>
      <c r="Q406" s="465"/>
      <c r="R406" s="465"/>
      <c r="S406" s="465"/>
      <c r="T406" s="465"/>
      <c r="U406" s="465"/>
      <c r="V406" s="465"/>
      <c r="W406" s="465"/>
      <c r="X406" s="465"/>
      <c r="Y406" s="465"/>
      <c r="Z406" s="465"/>
    </row>
    <row r="407" spans="1:26" ht="15.75" customHeight="1">
      <c r="A407" s="465"/>
      <c r="B407" s="465"/>
      <c r="C407" s="465"/>
      <c r="D407" s="873"/>
      <c r="E407" s="465"/>
      <c r="F407" s="465"/>
      <c r="G407" s="465"/>
      <c r="H407" s="465"/>
      <c r="I407" s="465"/>
      <c r="J407" s="465"/>
      <c r="K407" s="465"/>
      <c r="L407" s="465"/>
      <c r="M407" s="465"/>
      <c r="N407" s="465"/>
      <c r="O407" s="465"/>
      <c r="P407" s="465"/>
      <c r="Q407" s="465"/>
      <c r="R407" s="465"/>
      <c r="S407" s="465"/>
      <c r="T407" s="465"/>
      <c r="U407" s="465"/>
      <c r="V407" s="465"/>
      <c r="W407" s="465"/>
      <c r="X407" s="465"/>
      <c r="Y407" s="465"/>
      <c r="Z407" s="465"/>
    </row>
    <row r="408" spans="1:26" ht="15.75" customHeight="1">
      <c r="A408" s="465"/>
      <c r="B408" s="465"/>
      <c r="C408" s="465"/>
      <c r="D408" s="873"/>
      <c r="E408" s="465"/>
      <c r="F408" s="465"/>
      <c r="G408" s="465"/>
      <c r="H408" s="465"/>
      <c r="I408" s="465"/>
      <c r="J408" s="465"/>
      <c r="K408" s="465"/>
      <c r="L408" s="465"/>
      <c r="M408" s="465"/>
      <c r="N408" s="465"/>
      <c r="O408" s="465"/>
      <c r="P408" s="465"/>
      <c r="Q408" s="465"/>
      <c r="R408" s="465"/>
      <c r="S408" s="465"/>
      <c r="T408" s="465"/>
      <c r="U408" s="465"/>
      <c r="V408" s="465"/>
      <c r="W408" s="465"/>
      <c r="X408" s="465"/>
      <c r="Y408" s="465"/>
      <c r="Z408" s="465"/>
    </row>
    <row r="409" spans="1:26" ht="15.75" customHeight="1">
      <c r="A409" s="465"/>
      <c r="B409" s="465"/>
      <c r="C409" s="465"/>
      <c r="D409" s="873"/>
      <c r="E409" s="465"/>
      <c r="F409" s="465"/>
      <c r="G409" s="465"/>
      <c r="H409" s="465"/>
      <c r="I409" s="465"/>
      <c r="J409" s="465"/>
      <c r="K409" s="465"/>
      <c r="L409" s="465"/>
      <c r="M409" s="465"/>
      <c r="N409" s="465"/>
      <c r="O409" s="465"/>
      <c r="P409" s="465"/>
      <c r="Q409" s="465"/>
      <c r="R409" s="465"/>
      <c r="S409" s="465"/>
      <c r="T409" s="465"/>
      <c r="U409" s="465"/>
      <c r="V409" s="465"/>
      <c r="W409" s="465"/>
      <c r="X409" s="465"/>
      <c r="Y409" s="465"/>
      <c r="Z409" s="465"/>
    </row>
    <row r="410" spans="1:26" ht="15.75" customHeight="1">
      <c r="A410" s="465"/>
      <c r="B410" s="465"/>
      <c r="C410" s="465"/>
      <c r="D410" s="873"/>
      <c r="E410" s="465"/>
      <c r="F410" s="465"/>
      <c r="G410" s="465"/>
      <c r="H410" s="465"/>
      <c r="I410" s="465"/>
      <c r="J410" s="465"/>
      <c r="K410" s="465"/>
      <c r="L410" s="465"/>
      <c r="M410" s="465"/>
      <c r="N410" s="465"/>
      <c r="O410" s="465"/>
      <c r="P410" s="465"/>
      <c r="Q410" s="465"/>
      <c r="R410" s="465"/>
      <c r="S410" s="465"/>
      <c r="T410" s="465"/>
      <c r="U410" s="465"/>
      <c r="V410" s="465"/>
      <c r="W410" s="465"/>
      <c r="X410" s="465"/>
      <c r="Y410" s="465"/>
      <c r="Z410" s="465"/>
    </row>
    <row r="411" spans="1:26" ht="15.75" customHeight="1">
      <c r="A411" s="465"/>
      <c r="B411" s="465"/>
      <c r="C411" s="465"/>
      <c r="D411" s="873"/>
      <c r="E411" s="465"/>
      <c r="F411" s="465"/>
      <c r="G411" s="465"/>
      <c r="H411" s="465"/>
      <c r="I411" s="465"/>
      <c r="J411" s="465"/>
      <c r="K411" s="465"/>
      <c r="L411" s="465"/>
      <c r="M411" s="465"/>
      <c r="N411" s="465"/>
      <c r="O411" s="465"/>
      <c r="P411" s="465"/>
      <c r="Q411" s="465"/>
      <c r="R411" s="465"/>
      <c r="S411" s="465"/>
      <c r="T411" s="465"/>
      <c r="U411" s="465"/>
      <c r="V411" s="465"/>
      <c r="W411" s="465"/>
      <c r="X411" s="465"/>
      <c r="Y411" s="465"/>
      <c r="Z411" s="465"/>
    </row>
    <row r="412" spans="1:26" ht="15.75" customHeight="1">
      <c r="A412" s="465"/>
      <c r="B412" s="465"/>
      <c r="C412" s="465"/>
      <c r="D412" s="873"/>
      <c r="E412" s="465"/>
      <c r="F412" s="465"/>
      <c r="G412" s="465"/>
      <c r="H412" s="465"/>
      <c r="I412" s="465"/>
      <c r="J412" s="465"/>
      <c r="K412" s="465"/>
      <c r="L412" s="465"/>
      <c r="M412" s="465"/>
      <c r="N412" s="465"/>
      <c r="O412" s="465"/>
      <c r="P412" s="465"/>
      <c r="Q412" s="465"/>
      <c r="R412" s="465"/>
      <c r="S412" s="465"/>
      <c r="T412" s="465"/>
      <c r="U412" s="465"/>
      <c r="V412" s="465"/>
      <c r="W412" s="465"/>
      <c r="X412" s="465"/>
      <c r="Y412" s="465"/>
      <c r="Z412" s="465"/>
    </row>
    <row r="413" spans="1:26" ht="15.75" customHeight="1">
      <c r="A413" s="465"/>
      <c r="B413" s="465"/>
      <c r="C413" s="465"/>
      <c r="D413" s="873"/>
      <c r="E413" s="465"/>
      <c r="F413" s="465"/>
      <c r="G413" s="465"/>
      <c r="H413" s="465"/>
      <c r="I413" s="465"/>
      <c r="J413" s="465"/>
      <c r="K413" s="465"/>
      <c r="L413" s="465"/>
      <c r="M413" s="465"/>
      <c r="N413" s="465"/>
      <c r="O413" s="465"/>
      <c r="P413" s="465"/>
      <c r="Q413" s="465"/>
      <c r="R413" s="465"/>
      <c r="S413" s="465"/>
      <c r="T413" s="465"/>
      <c r="U413" s="465"/>
      <c r="V413" s="465"/>
      <c r="W413" s="465"/>
      <c r="X413" s="465"/>
      <c r="Y413" s="465"/>
      <c r="Z413" s="465"/>
    </row>
    <row r="414" spans="1:26" ht="15.75" customHeight="1">
      <c r="A414" s="465"/>
      <c r="B414" s="465"/>
      <c r="C414" s="465"/>
      <c r="D414" s="873"/>
      <c r="E414" s="465"/>
      <c r="F414" s="465"/>
      <c r="G414" s="465"/>
      <c r="H414" s="465"/>
      <c r="I414" s="465"/>
      <c r="J414" s="465"/>
      <c r="K414" s="465"/>
      <c r="L414" s="465"/>
      <c r="M414" s="465"/>
      <c r="N414" s="465"/>
      <c r="O414" s="465"/>
      <c r="P414" s="465"/>
      <c r="Q414" s="465"/>
      <c r="R414" s="465"/>
      <c r="S414" s="465"/>
      <c r="T414" s="465"/>
      <c r="U414" s="465"/>
      <c r="V414" s="465"/>
      <c r="W414" s="465"/>
      <c r="X414" s="465"/>
      <c r="Y414" s="465"/>
      <c r="Z414" s="465"/>
    </row>
    <row r="415" spans="1:26" ht="15.75" customHeight="1">
      <c r="A415" s="465"/>
      <c r="B415" s="465"/>
      <c r="C415" s="465"/>
      <c r="D415" s="873"/>
      <c r="E415" s="465"/>
      <c r="F415" s="465"/>
      <c r="G415" s="465"/>
      <c r="H415" s="465"/>
      <c r="I415" s="465"/>
      <c r="J415" s="465"/>
      <c r="K415" s="465"/>
      <c r="L415" s="465"/>
      <c r="M415" s="465"/>
      <c r="N415" s="465"/>
      <c r="O415" s="465"/>
      <c r="P415" s="465"/>
      <c r="Q415" s="465"/>
      <c r="R415" s="465"/>
      <c r="S415" s="465"/>
      <c r="T415" s="465"/>
      <c r="U415" s="465"/>
      <c r="V415" s="465"/>
      <c r="W415" s="465"/>
      <c r="X415" s="465"/>
      <c r="Y415" s="465"/>
      <c r="Z415" s="465"/>
    </row>
    <row r="416" spans="1:26" ht="15.75" customHeight="1">
      <c r="A416" s="465"/>
      <c r="B416" s="465"/>
      <c r="C416" s="465"/>
      <c r="D416" s="873"/>
      <c r="E416" s="465"/>
      <c r="F416" s="465"/>
      <c r="G416" s="465"/>
      <c r="H416" s="465"/>
      <c r="I416" s="465"/>
      <c r="J416" s="465"/>
      <c r="K416" s="465"/>
      <c r="L416" s="465"/>
      <c r="M416" s="465"/>
      <c r="N416" s="465"/>
      <c r="O416" s="465"/>
      <c r="P416" s="465"/>
      <c r="Q416" s="465"/>
      <c r="R416" s="465"/>
      <c r="S416" s="465"/>
      <c r="T416" s="465"/>
      <c r="U416" s="465"/>
      <c r="V416" s="465"/>
      <c r="W416" s="465"/>
      <c r="X416" s="465"/>
      <c r="Y416" s="465"/>
      <c r="Z416" s="465"/>
    </row>
    <row r="417" spans="1:26" ht="15.75" customHeight="1">
      <c r="A417" s="465"/>
      <c r="B417" s="465"/>
      <c r="C417" s="465"/>
      <c r="D417" s="873"/>
      <c r="E417" s="465"/>
      <c r="F417" s="465"/>
      <c r="G417" s="465"/>
      <c r="H417" s="465"/>
      <c r="I417" s="465"/>
      <c r="J417" s="465"/>
      <c r="K417" s="465"/>
      <c r="L417" s="465"/>
      <c r="M417" s="465"/>
      <c r="N417" s="465"/>
      <c r="O417" s="465"/>
      <c r="P417" s="465"/>
      <c r="Q417" s="465"/>
      <c r="R417" s="465"/>
      <c r="S417" s="465"/>
      <c r="T417" s="465"/>
      <c r="U417" s="465"/>
      <c r="V417" s="465"/>
      <c r="W417" s="465"/>
      <c r="X417" s="465"/>
      <c r="Y417" s="465"/>
      <c r="Z417" s="465"/>
    </row>
    <row r="418" spans="1:26" ht="15.75" customHeight="1">
      <c r="A418" s="465"/>
      <c r="B418" s="465"/>
      <c r="C418" s="465"/>
      <c r="D418" s="873"/>
      <c r="E418" s="465"/>
      <c r="F418" s="465"/>
      <c r="G418" s="465"/>
      <c r="H418" s="465"/>
      <c r="I418" s="465"/>
      <c r="J418" s="465"/>
      <c r="K418" s="465"/>
      <c r="L418" s="465"/>
      <c r="M418" s="465"/>
      <c r="N418" s="465"/>
      <c r="O418" s="465"/>
      <c r="P418" s="465"/>
      <c r="Q418" s="465"/>
      <c r="R418" s="465"/>
      <c r="S418" s="465"/>
      <c r="T418" s="465"/>
      <c r="U418" s="465"/>
      <c r="V418" s="465"/>
      <c r="W418" s="465"/>
      <c r="X418" s="465"/>
      <c r="Y418" s="465"/>
      <c r="Z418" s="465"/>
    </row>
    <row r="419" spans="1:26" ht="15.75" customHeight="1">
      <c r="A419" s="465"/>
      <c r="B419" s="465"/>
      <c r="C419" s="465"/>
      <c r="D419" s="873"/>
      <c r="E419" s="465"/>
      <c r="F419" s="465"/>
      <c r="G419" s="465"/>
      <c r="H419" s="465"/>
      <c r="I419" s="465"/>
      <c r="J419" s="465"/>
      <c r="K419" s="465"/>
      <c r="L419" s="465"/>
      <c r="M419" s="465"/>
      <c r="N419" s="465"/>
      <c r="O419" s="465"/>
      <c r="P419" s="465"/>
      <c r="Q419" s="465"/>
      <c r="R419" s="465"/>
      <c r="S419" s="465"/>
      <c r="T419" s="465"/>
      <c r="U419" s="465"/>
      <c r="V419" s="465"/>
      <c r="W419" s="465"/>
      <c r="X419" s="465"/>
      <c r="Y419" s="465"/>
      <c r="Z419" s="465"/>
    </row>
    <row r="420" spans="1:26" ht="15.75" customHeight="1">
      <c r="A420" s="465"/>
      <c r="B420" s="465"/>
      <c r="C420" s="465"/>
      <c r="D420" s="873"/>
      <c r="E420" s="465"/>
      <c r="F420" s="465"/>
      <c r="G420" s="465"/>
      <c r="H420" s="465"/>
      <c r="I420" s="465"/>
      <c r="J420" s="465"/>
      <c r="K420" s="465"/>
      <c r="L420" s="465"/>
      <c r="M420" s="465"/>
      <c r="N420" s="465"/>
      <c r="O420" s="465"/>
      <c r="P420" s="465"/>
      <c r="Q420" s="465"/>
      <c r="R420" s="465"/>
      <c r="S420" s="465"/>
      <c r="T420" s="465"/>
      <c r="U420" s="465"/>
      <c r="V420" s="465"/>
      <c r="W420" s="465"/>
      <c r="X420" s="465"/>
      <c r="Y420" s="465"/>
      <c r="Z420" s="465"/>
    </row>
    <row r="421" spans="1:26" ht="15.75" customHeight="1">
      <c r="A421" s="465"/>
      <c r="B421" s="465"/>
      <c r="C421" s="465"/>
      <c r="D421" s="873"/>
      <c r="E421" s="465"/>
      <c r="F421" s="465"/>
      <c r="G421" s="465"/>
      <c r="H421" s="465"/>
      <c r="I421" s="465"/>
      <c r="J421" s="465"/>
      <c r="K421" s="465"/>
      <c r="L421" s="465"/>
      <c r="M421" s="465"/>
      <c r="N421" s="465"/>
      <c r="O421" s="465"/>
      <c r="P421" s="465"/>
      <c r="Q421" s="465"/>
      <c r="R421" s="465"/>
      <c r="S421" s="465"/>
      <c r="T421" s="465"/>
      <c r="U421" s="465"/>
      <c r="V421" s="465"/>
      <c r="W421" s="465"/>
      <c r="X421" s="465"/>
      <c r="Y421" s="465"/>
      <c r="Z421" s="465"/>
    </row>
    <row r="422" spans="1:26" ht="15.75" customHeight="1">
      <c r="A422" s="465"/>
      <c r="B422" s="465"/>
      <c r="C422" s="465"/>
      <c r="D422" s="873"/>
      <c r="E422" s="465"/>
      <c r="F422" s="465"/>
      <c r="G422" s="465"/>
      <c r="H422" s="465"/>
      <c r="I422" s="465"/>
      <c r="J422" s="465"/>
      <c r="K422" s="465"/>
      <c r="L422" s="465"/>
      <c r="M422" s="465"/>
      <c r="N422" s="465"/>
      <c r="O422" s="465"/>
      <c r="P422" s="465"/>
      <c r="Q422" s="465"/>
      <c r="R422" s="465"/>
      <c r="S422" s="465"/>
      <c r="T422" s="465"/>
      <c r="U422" s="465"/>
      <c r="V422" s="465"/>
      <c r="W422" s="465"/>
      <c r="X422" s="465"/>
      <c r="Y422" s="465"/>
      <c r="Z422" s="465"/>
    </row>
    <row r="423" spans="1:26" ht="15.75" customHeight="1">
      <c r="A423" s="465"/>
      <c r="B423" s="465"/>
      <c r="C423" s="465"/>
      <c r="D423" s="873"/>
      <c r="E423" s="465"/>
      <c r="F423" s="465"/>
      <c r="G423" s="465"/>
      <c r="H423" s="465"/>
      <c r="I423" s="465"/>
      <c r="J423" s="465"/>
      <c r="K423" s="465"/>
      <c r="L423" s="465"/>
      <c r="M423" s="465"/>
      <c r="N423" s="465"/>
      <c r="O423" s="465"/>
      <c r="P423" s="465"/>
      <c r="Q423" s="465"/>
      <c r="R423" s="465"/>
      <c r="S423" s="465"/>
      <c r="T423" s="465"/>
      <c r="U423" s="465"/>
      <c r="V423" s="465"/>
      <c r="W423" s="465"/>
      <c r="X423" s="465"/>
      <c r="Y423" s="465"/>
      <c r="Z423" s="465"/>
    </row>
    <row r="424" spans="1:26" ht="15.75" customHeight="1">
      <c r="A424" s="465"/>
      <c r="B424" s="465"/>
      <c r="C424" s="465"/>
      <c r="D424" s="873"/>
      <c r="E424" s="465"/>
      <c r="F424" s="465"/>
      <c r="G424" s="465"/>
      <c r="H424" s="465"/>
      <c r="I424" s="465"/>
      <c r="J424" s="465"/>
      <c r="K424" s="465"/>
      <c r="L424" s="465"/>
      <c r="M424" s="465"/>
      <c r="N424" s="465"/>
      <c r="O424" s="465"/>
      <c r="P424" s="465"/>
      <c r="Q424" s="465"/>
      <c r="R424" s="465"/>
      <c r="S424" s="465"/>
      <c r="T424" s="465"/>
      <c r="U424" s="465"/>
      <c r="V424" s="465"/>
      <c r="W424" s="465"/>
      <c r="X424" s="465"/>
      <c r="Y424" s="465"/>
      <c r="Z424" s="465"/>
    </row>
    <row r="425" spans="1:26" ht="15.75" customHeight="1">
      <c r="A425" s="465"/>
      <c r="B425" s="465"/>
      <c r="C425" s="465"/>
      <c r="D425" s="873"/>
      <c r="E425" s="465"/>
      <c r="F425" s="465"/>
      <c r="G425" s="465"/>
      <c r="H425" s="465"/>
      <c r="I425" s="465"/>
      <c r="J425" s="465"/>
      <c r="K425" s="465"/>
      <c r="L425" s="465"/>
      <c r="M425" s="465"/>
      <c r="N425" s="465"/>
      <c r="O425" s="465"/>
      <c r="P425" s="465"/>
      <c r="Q425" s="465"/>
      <c r="R425" s="465"/>
      <c r="S425" s="465"/>
      <c r="T425" s="465"/>
      <c r="U425" s="465"/>
      <c r="V425" s="465"/>
      <c r="W425" s="465"/>
      <c r="X425" s="465"/>
      <c r="Y425" s="465"/>
      <c r="Z425" s="465"/>
    </row>
    <row r="426" spans="1:26" ht="15.75" customHeight="1">
      <c r="A426" s="465"/>
      <c r="B426" s="465"/>
      <c r="C426" s="465"/>
      <c r="D426" s="873"/>
      <c r="E426" s="465"/>
      <c r="F426" s="465"/>
      <c r="G426" s="465"/>
      <c r="H426" s="465"/>
      <c r="I426" s="465"/>
      <c r="J426" s="465"/>
      <c r="K426" s="465"/>
      <c r="L426" s="465"/>
      <c r="M426" s="465"/>
      <c r="N426" s="465"/>
      <c r="O426" s="465"/>
      <c r="P426" s="465"/>
      <c r="Q426" s="465"/>
      <c r="R426" s="465"/>
      <c r="S426" s="465"/>
      <c r="T426" s="465"/>
      <c r="U426" s="465"/>
      <c r="V426" s="465"/>
      <c r="W426" s="465"/>
      <c r="X426" s="465"/>
      <c r="Y426" s="465"/>
      <c r="Z426" s="465"/>
    </row>
    <row r="427" spans="1:26" ht="15.75" customHeight="1">
      <c r="A427" s="465"/>
      <c r="B427" s="465"/>
      <c r="C427" s="465"/>
      <c r="D427" s="873"/>
      <c r="E427" s="465"/>
      <c r="F427" s="465"/>
      <c r="G427" s="465"/>
      <c r="H427" s="465"/>
      <c r="I427" s="465"/>
      <c r="J427" s="465"/>
      <c r="K427" s="465"/>
      <c r="L427" s="465"/>
      <c r="M427" s="465"/>
      <c r="N427" s="465"/>
      <c r="O427" s="465"/>
      <c r="P427" s="465"/>
      <c r="Q427" s="465"/>
      <c r="R427" s="465"/>
      <c r="S427" s="465"/>
      <c r="T427" s="465"/>
      <c r="U427" s="465"/>
      <c r="V427" s="465"/>
      <c r="W427" s="465"/>
      <c r="X427" s="465"/>
      <c r="Y427" s="465"/>
      <c r="Z427" s="465"/>
    </row>
    <row r="428" spans="1:26" ht="15.75" customHeight="1">
      <c r="A428" s="465"/>
      <c r="B428" s="465"/>
      <c r="C428" s="465"/>
      <c r="D428" s="873"/>
      <c r="E428" s="465"/>
      <c r="F428" s="465"/>
      <c r="G428" s="465"/>
      <c r="H428" s="465"/>
      <c r="I428" s="465"/>
      <c r="J428" s="465"/>
      <c r="K428" s="465"/>
      <c r="L428" s="465"/>
      <c r="M428" s="465"/>
      <c r="N428" s="465"/>
      <c r="O428" s="465"/>
      <c r="P428" s="465"/>
      <c r="Q428" s="465"/>
      <c r="R428" s="465"/>
      <c r="S428" s="465"/>
      <c r="T428" s="465"/>
      <c r="U428" s="465"/>
      <c r="V428" s="465"/>
      <c r="W428" s="465"/>
      <c r="X428" s="465"/>
      <c r="Y428" s="465"/>
      <c r="Z428" s="465"/>
    </row>
    <row r="429" spans="1:26" ht="15.75" customHeight="1">
      <c r="A429" s="465"/>
      <c r="B429" s="465"/>
      <c r="C429" s="465"/>
      <c r="D429" s="873"/>
      <c r="E429" s="465"/>
      <c r="F429" s="465"/>
      <c r="G429" s="465"/>
      <c r="H429" s="465"/>
      <c r="I429" s="465"/>
      <c r="J429" s="465"/>
      <c r="K429" s="465"/>
      <c r="L429" s="465"/>
      <c r="M429" s="465"/>
      <c r="N429" s="465"/>
      <c r="O429" s="465"/>
      <c r="P429" s="465"/>
      <c r="Q429" s="465"/>
      <c r="R429" s="465"/>
      <c r="S429" s="465"/>
      <c r="T429" s="465"/>
      <c r="U429" s="465"/>
      <c r="V429" s="465"/>
      <c r="W429" s="465"/>
      <c r="X429" s="465"/>
      <c r="Y429" s="465"/>
      <c r="Z429" s="465"/>
    </row>
    <row r="430" spans="1:26" ht="15.75" customHeight="1">
      <c r="A430" s="465"/>
      <c r="B430" s="465"/>
      <c r="C430" s="465"/>
      <c r="D430" s="873"/>
      <c r="E430" s="465"/>
      <c r="F430" s="465"/>
      <c r="G430" s="465"/>
      <c r="H430" s="465"/>
      <c r="I430" s="465"/>
      <c r="J430" s="465"/>
      <c r="K430" s="465"/>
      <c r="L430" s="465"/>
      <c r="M430" s="465"/>
      <c r="N430" s="465"/>
      <c r="O430" s="465"/>
      <c r="P430" s="465"/>
      <c r="Q430" s="465"/>
      <c r="R430" s="465"/>
      <c r="S430" s="465"/>
      <c r="T430" s="465"/>
      <c r="U430" s="465"/>
      <c r="V430" s="465"/>
      <c r="W430" s="465"/>
      <c r="X430" s="465"/>
      <c r="Y430" s="465"/>
      <c r="Z430" s="465"/>
    </row>
    <row r="431" spans="1:26" ht="15.75" customHeight="1">
      <c r="A431" s="465"/>
      <c r="B431" s="465"/>
      <c r="C431" s="465"/>
      <c r="D431" s="873"/>
      <c r="E431" s="465"/>
      <c r="F431" s="465"/>
      <c r="G431" s="465"/>
      <c r="H431" s="465"/>
      <c r="I431" s="465"/>
      <c r="J431" s="465"/>
      <c r="K431" s="465"/>
      <c r="L431" s="465"/>
      <c r="M431" s="465"/>
      <c r="N431" s="465"/>
      <c r="O431" s="465"/>
      <c r="P431" s="465"/>
      <c r="Q431" s="465"/>
      <c r="R431" s="465"/>
      <c r="S431" s="465"/>
      <c r="T431" s="465"/>
      <c r="U431" s="465"/>
      <c r="V431" s="465"/>
      <c r="W431" s="465"/>
      <c r="X431" s="465"/>
      <c r="Y431" s="465"/>
      <c r="Z431" s="465"/>
    </row>
    <row r="432" spans="1:26" ht="15.75" customHeight="1">
      <c r="A432" s="465"/>
      <c r="B432" s="465"/>
      <c r="C432" s="465"/>
      <c r="D432" s="873"/>
      <c r="E432" s="465"/>
      <c r="F432" s="465"/>
      <c r="G432" s="465"/>
      <c r="H432" s="465"/>
      <c r="I432" s="465"/>
      <c r="J432" s="465"/>
      <c r="K432" s="465"/>
      <c r="L432" s="465"/>
      <c r="M432" s="465"/>
      <c r="N432" s="465"/>
      <c r="O432" s="465"/>
      <c r="P432" s="465"/>
      <c r="Q432" s="465"/>
      <c r="R432" s="465"/>
      <c r="S432" s="465"/>
      <c r="T432" s="465"/>
      <c r="U432" s="465"/>
      <c r="V432" s="465"/>
      <c r="W432" s="465"/>
      <c r="X432" s="465"/>
      <c r="Y432" s="465"/>
      <c r="Z432" s="465"/>
    </row>
    <row r="433" spans="1:26" ht="15.75" customHeight="1">
      <c r="A433" s="465"/>
      <c r="B433" s="465"/>
      <c r="C433" s="465"/>
      <c r="D433" s="873"/>
      <c r="E433" s="465"/>
      <c r="F433" s="465"/>
      <c r="G433" s="465"/>
      <c r="H433" s="465"/>
      <c r="I433" s="465"/>
      <c r="J433" s="465"/>
      <c r="K433" s="465"/>
      <c r="L433" s="465"/>
      <c r="M433" s="465"/>
      <c r="N433" s="465"/>
      <c r="O433" s="465"/>
      <c r="P433" s="465"/>
      <c r="Q433" s="465"/>
      <c r="R433" s="465"/>
      <c r="S433" s="465"/>
      <c r="T433" s="465"/>
      <c r="U433" s="465"/>
      <c r="V433" s="465"/>
      <c r="W433" s="465"/>
      <c r="X433" s="465"/>
      <c r="Y433" s="465"/>
      <c r="Z433" s="465"/>
    </row>
    <row r="434" spans="1:26" ht="15.75" customHeight="1">
      <c r="A434" s="465"/>
      <c r="B434" s="465"/>
      <c r="C434" s="465"/>
      <c r="D434" s="873"/>
      <c r="E434" s="465"/>
      <c r="F434" s="465"/>
      <c r="G434" s="465"/>
      <c r="H434" s="465"/>
      <c r="I434" s="465"/>
      <c r="J434" s="465"/>
      <c r="K434" s="465"/>
      <c r="L434" s="465"/>
      <c r="M434" s="465"/>
      <c r="N434" s="465"/>
      <c r="O434" s="465"/>
      <c r="P434" s="465"/>
      <c r="Q434" s="465"/>
      <c r="R434" s="465"/>
      <c r="S434" s="465"/>
      <c r="T434" s="465"/>
      <c r="U434" s="465"/>
      <c r="V434" s="465"/>
      <c r="W434" s="465"/>
      <c r="X434" s="465"/>
      <c r="Y434" s="465"/>
      <c r="Z434" s="465"/>
    </row>
    <row r="435" spans="1:26" ht="15.75" customHeight="1">
      <c r="A435" s="465"/>
      <c r="B435" s="465"/>
      <c r="C435" s="465"/>
      <c r="D435" s="873"/>
      <c r="E435" s="465"/>
      <c r="F435" s="465"/>
      <c r="G435" s="465"/>
      <c r="H435" s="465"/>
      <c r="I435" s="465"/>
      <c r="J435" s="465"/>
      <c r="K435" s="465"/>
      <c r="L435" s="465"/>
      <c r="M435" s="465"/>
      <c r="N435" s="465"/>
      <c r="O435" s="465"/>
      <c r="P435" s="465"/>
      <c r="Q435" s="465"/>
      <c r="R435" s="465"/>
      <c r="S435" s="465"/>
      <c r="T435" s="465"/>
      <c r="U435" s="465"/>
      <c r="V435" s="465"/>
      <c r="W435" s="465"/>
      <c r="X435" s="465"/>
      <c r="Y435" s="465"/>
      <c r="Z435" s="465"/>
    </row>
    <row r="436" spans="1:26" ht="15.75" customHeight="1">
      <c r="A436" s="465"/>
      <c r="B436" s="465"/>
      <c r="C436" s="465"/>
      <c r="D436" s="873"/>
      <c r="E436" s="465"/>
      <c r="F436" s="465"/>
      <c r="G436" s="465"/>
      <c r="H436" s="465"/>
      <c r="I436" s="465"/>
      <c r="J436" s="465"/>
      <c r="K436" s="465"/>
      <c r="L436" s="465"/>
      <c r="M436" s="465"/>
      <c r="N436" s="465"/>
      <c r="O436" s="465"/>
      <c r="P436" s="465"/>
      <c r="Q436" s="465"/>
      <c r="R436" s="465"/>
      <c r="S436" s="465"/>
      <c r="T436" s="465"/>
      <c r="U436" s="465"/>
      <c r="V436" s="465"/>
      <c r="W436" s="465"/>
      <c r="X436" s="465"/>
      <c r="Y436" s="465"/>
      <c r="Z436" s="465"/>
    </row>
    <row r="437" spans="1:26" ht="15.75" customHeight="1">
      <c r="A437" s="465"/>
      <c r="B437" s="465"/>
      <c r="C437" s="465"/>
      <c r="D437" s="873"/>
      <c r="E437" s="465"/>
      <c r="F437" s="465"/>
      <c r="G437" s="465"/>
      <c r="H437" s="465"/>
      <c r="I437" s="465"/>
      <c r="J437" s="465"/>
      <c r="K437" s="465"/>
      <c r="L437" s="465"/>
      <c r="M437" s="465"/>
      <c r="N437" s="465"/>
      <c r="O437" s="465"/>
      <c r="P437" s="465"/>
      <c r="Q437" s="465"/>
      <c r="R437" s="465"/>
      <c r="S437" s="465"/>
      <c r="T437" s="465"/>
      <c r="U437" s="465"/>
      <c r="V437" s="465"/>
      <c r="W437" s="465"/>
      <c r="X437" s="465"/>
      <c r="Y437" s="465"/>
      <c r="Z437" s="465"/>
    </row>
    <row r="438" spans="1:26" ht="15.75" customHeight="1">
      <c r="A438" s="465"/>
      <c r="B438" s="465"/>
      <c r="C438" s="465"/>
      <c r="D438" s="873"/>
      <c r="E438" s="465"/>
      <c r="F438" s="465"/>
      <c r="G438" s="465"/>
      <c r="H438" s="465"/>
      <c r="I438" s="465"/>
      <c r="J438" s="465"/>
      <c r="K438" s="465"/>
      <c r="L438" s="465"/>
      <c r="M438" s="465"/>
      <c r="N438" s="465"/>
      <c r="O438" s="465"/>
      <c r="P438" s="465"/>
      <c r="Q438" s="465"/>
      <c r="R438" s="465"/>
      <c r="S438" s="465"/>
      <c r="T438" s="465"/>
      <c r="U438" s="465"/>
      <c r="V438" s="465"/>
      <c r="W438" s="465"/>
      <c r="X438" s="465"/>
      <c r="Y438" s="465"/>
      <c r="Z438" s="465"/>
    </row>
    <row r="439" spans="1:26" ht="15.75" customHeight="1">
      <c r="A439" s="465"/>
      <c r="B439" s="465"/>
      <c r="C439" s="465"/>
      <c r="D439" s="873"/>
      <c r="E439" s="465"/>
      <c r="F439" s="465"/>
      <c r="G439" s="465"/>
      <c r="H439" s="465"/>
      <c r="I439" s="465"/>
      <c r="J439" s="465"/>
      <c r="K439" s="465"/>
      <c r="L439" s="465"/>
      <c r="M439" s="465"/>
      <c r="N439" s="465"/>
      <c r="O439" s="465"/>
      <c r="P439" s="465"/>
      <c r="Q439" s="465"/>
      <c r="R439" s="465"/>
      <c r="S439" s="465"/>
      <c r="T439" s="465"/>
      <c r="U439" s="465"/>
      <c r="V439" s="465"/>
      <c r="W439" s="465"/>
      <c r="X439" s="465"/>
      <c r="Y439" s="465"/>
      <c r="Z439" s="465"/>
    </row>
    <row r="440" spans="1:26" ht="15.75" customHeight="1">
      <c r="A440" s="465"/>
      <c r="B440" s="465"/>
      <c r="C440" s="465"/>
      <c r="D440" s="873"/>
      <c r="E440" s="465"/>
      <c r="F440" s="465"/>
      <c r="G440" s="465"/>
      <c r="H440" s="465"/>
      <c r="I440" s="465"/>
      <c r="J440" s="465"/>
      <c r="K440" s="465"/>
      <c r="L440" s="465"/>
      <c r="M440" s="465"/>
      <c r="N440" s="465"/>
      <c r="O440" s="465"/>
      <c r="P440" s="465"/>
      <c r="Q440" s="465"/>
      <c r="R440" s="465"/>
      <c r="S440" s="465"/>
      <c r="T440" s="465"/>
      <c r="U440" s="465"/>
      <c r="V440" s="465"/>
      <c r="W440" s="465"/>
      <c r="X440" s="465"/>
      <c r="Y440" s="465"/>
      <c r="Z440" s="465"/>
    </row>
    <row r="441" spans="1:26" ht="15.75" customHeight="1">
      <c r="A441" s="465"/>
      <c r="B441" s="465"/>
      <c r="C441" s="465"/>
      <c r="D441" s="873"/>
      <c r="E441" s="465"/>
      <c r="F441" s="465"/>
      <c r="G441" s="465"/>
      <c r="H441" s="465"/>
      <c r="I441" s="465"/>
      <c r="J441" s="465"/>
      <c r="K441" s="465"/>
      <c r="L441" s="465"/>
      <c r="M441" s="465"/>
      <c r="N441" s="465"/>
      <c r="O441" s="465"/>
      <c r="P441" s="465"/>
      <c r="Q441" s="465"/>
      <c r="R441" s="465"/>
      <c r="S441" s="465"/>
      <c r="T441" s="465"/>
      <c r="U441" s="465"/>
      <c r="V441" s="465"/>
      <c r="W441" s="465"/>
      <c r="X441" s="465"/>
      <c r="Y441" s="465"/>
      <c r="Z441" s="465"/>
    </row>
    <row r="442" spans="1:26" ht="15.75" customHeight="1">
      <c r="A442" s="465"/>
      <c r="B442" s="465"/>
      <c r="C442" s="465"/>
      <c r="D442" s="873"/>
      <c r="E442" s="465"/>
      <c r="F442" s="465"/>
      <c r="G442" s="465"/>
      <c r="H442" s="465"/>
      <c r="I442" s="465"/>
      <c r="J442" s="465"/>
      <c r="K442" s="465"/>
      <c r="L442" s="465"/>
      <c r="M442" s="465"/>
      <c r="N442" s="465"/>
      <c r="O442" s="465"/>
      <c r="P442" s="465"/>
      <c r="Q442" s="465"/>
      <c r="R442" s="465"/>
      <c r="S442" s="465"/>
      <c r="T442" s="465"/>
      <c r="U442" s="465"/>
      <c r="V442" s="465"/>
      <c r="W442" s="465"/>
      <c r="X442" s="465"/>
      <c r="Y442" s="465"/>
      <c r="Z442" s="465"/>
    </row>
    <row r="443" spans="1:26" ht="15.75" customHeight="1">
      <c r="A443" s="465"/>
      <c r="B443" s="465"/>
      <c r="C443" s="465"/>
      <c r="D443" s="873"/>
      <c r="E443" s="465"/>
      <c r="F443" s="465"/>
      <c r="G443" s="465"/>
      <c r="H443" s="465"/>
      <c r="I443" s="465"/>
      <c r="J443" s="465"/>
      <c r="K443" s="465"/>
      <c r="L443" s="465"/>
      <c r="M443" s="465"/>
      <c r="N443" s="465"/>
      <c r="O443" s="465"/>
      <c r="P443" s="465"/>
      <c r="Q443" s="465"/>
      <c r="R443" s="465"/>
      <c r="S443" s="465"/>
      <c r="T443" s="465"/>
      <c r="U443" s="465"/>
      <c r="V443" s="465"/>
      <c r="W443" s="465"/>
      <c r="X443" s="465"/>
      <c r="Y443" s="465"/>
      <c r="Z443" s="465"/>
    </row>
    <row r="444" spans="1:26" ht="15.75" customHeight="1">
      <c r="A444" s="465"/>
      <c r="B444" s="465"/>
      <c r="C444" s="465"/>
      <c r="D444" s="873"/>
      <c r="E444" s="465"/>
      <c r="F444" s="465"/>
      <c r="G444" s="465"/>
      <c r="H444" s="465"/>
      <c r="I444" s="465"/>
      <c r="J444" s="465"/>
      <c r="K444" s="465"/>
      <c r="L444" s="465"/>
      <c r="M444" s="465"/>
      <c r="N444" s="465"/>
      <c r="O444" s="465"/>
      <c r="P444" s="465"/>
      <c r="Q444" s="465"/>
      <c r="R444" s="465"/>
      <c r="S444" s="465"/>
      <c r="T444" s="465"/>
      <c r="U444" s="465"/>
      <c r="V444" s="465"/>
      <c r="W444" s="465"/>
      <c r="X444" s="465"/>
      <c r="Y444" s="465"/>
      <c r="Z444" s="465"/>
    </row>
    <row r="445" spans="1:26" ht="15.75" customHeight="1">
      <c r="A445" s="465"/>
      <c r="B445" s="465"/>
      <c r="C445" s="465"/>
      <c r="D445" s="873"/>
      <c r="E445" s="465"/>
      <c r="F445" s="465"/>
      <c r="G445" s="465"/>
      <c r="H445" s="465"/>
      <c r="I445" s="465"/>
      <c r="J445" s="465"/>
      <c r="K445" s="465"/>
      <c r="L445" s="465"/>
      <c r="M445" s="465"/>
      <c r="N445" s="465"/>
      <c r="O445" s="465"/>
      <c r="P445" s="465"/>
      <c r="Q445" s="465"/>
      <c r="R445" s="465"/>
      <c r="S445" s="465"/>
      <c r="T445" s="465"/>
      <c r="U445" s="465"/>
      <c r="V445" s="465"/>
      <c r="W445" s="465"/>
      <c r="X445" s="465"/>
      <c r="Y445" s="465"/>
      <c r="Z445" s="465"/>
    </row>
    <row r="446" spans="1:26" ht="15.75" customHeight="1">
      <c r="A446" s="465"/>
      <c r="B446" s="465"/>
      <c r="C446" s="465"/>
      <c r="D446" s="873"/>
      <c r="E446" s="465"/>
      <c r="F446" s="465"/>
      <c r="G446" s="465"/>
      <c r="H446" s="465"/>
      <c r="I446" s="465"/>
      <c r="J446" s="465"/>
      <c r="K446" s="465"/>
      <c r="L446" s="465"/>
      <c r="M446" s="465"/>
      <c r="N446" s="465"/>
      <c r="O446" s="465"/>
      <c r="P446" s="465"/>
      <c r="Q446" s="465"/>
      <c r="R446" s="465"/>
      <c r="S446" s="465"/>
      <c r="T446" s="465"/>
      <c r="U446" s="465"/>
      <c r="V446" s="465"/>
      <c r="W446" s="465"/>
      <c r="X446" s="465"/>
      <c r="Y446" s="465"/>
      <c r="Z446" s="465"/>
    </row>
    <row r="447" spans="1:26" ht="15.75" customHeight="1">
      <c r="A447" s="465"/>
      <c r="B447" s="465"/>
      <c r="C447" s="465"/>
      <c r="D447" s="873"/>
      <c r="E447" s="465"/>
      <c r="F447" s="465"/>
      <c r="G447" s="465"/>
      <c r="H447" s="465"/>
      <c r="I447" s="465"/>
      <c r="J447" s="465"/>
      <c r="K447" s="465"/>
      <c r="L447" s="465"/>
      <c r="M447" s="465"/>
      <c r="N447" s="465"/>
      <c r="O447" s="465"/>
      <c r="P447" s="465"/>
      <c r="Q447" s="465"/>
      <c r="R447" s="465"/>
      <c r="S447" s="465"/>
      <c r="T447" s="465"/>
      <c r="U447" s="465"/>
      <c r="V447" s="465"/>
      <c r="W447" s="465"/>
      <c r="X447" s="465"/>
      <c r="Y447" s="465"/>
      <c r="Z447" s="465"/>
    </row>
    <row r="448" spans="1:26" ht="15.75" customHeight="1">
      <c r="A448" s="465"/>
      <c r="B448" s="465"/>
      <c r="C448" s="465"/>
      <c r="D448" s="873"/>
      <c r="E448" s="465"/>
      <c r="F448" s="465"/>
      <c r="G448" s="465"/>
      <c r="H448" s="465"/>
      <c r="I448" s="465"/>
      <c r="J448" s="465"/>
      <c r="K448" s="465"/>
      <c r="L448" s="465"/>
      <c r="M448" s="465"/>
      <c r="N448" s="465"/>
      <c r="O448" s="465"/>
      <c r="P448" s="465"/>
      <c r="Q448" s="465"/>
      <c r="R448" s="465"/>
      <c r="S448" s="465"/>
      <c r="T448" s="465"/>
      <c r="U448" s="465"/>
      <c r="V448" s="465"/>
      <c r="W448" s="465"/>
      <c r="X448" s="465"/>
      <c r="Y448" s="465"/>
      <c r="Z448" s="465"/>
    </row>
    <row r="449" spans="1:26" ht="15.75" customHeight="1">
      <c r="A449" s="465"/>
      <c r="B449" s="465"/>
      <c r="C449" s="465"/>
      <c r="D449" s="873"/>
      <c r="E449" s="465"/>
      <c r="F449" s="465"/>
      <c r="G449" s="465"/>
      <c r="H449" s="465"/>
      <c r="I449" s="465"/>
      <c r="J449" s="465"/>
      <c r="K449" s="465"/>
      <c r="L449" s="465"/>
      <c r="M449" s="465"/>
      <c r="N449" s="465"/>
      <c r="O449" s="465"/>
      <c r="P449" s="465"/>
      <c r="Q449" s="465"/>
      <c r="R449" s="465"/>
      <c r="S449" s="465"/>
      <c r="T449" s="465"/>
      <c r="U449" s="465"/>
      <c r="V449" s="465"/>
      <c r="W449" s="465"/>
      <c r="X449" s="465"/>
      <c r="Y449" s="465"/>
      <c r="Z449" s="465"/>
    </row>
    <row r="450" spans="1:26" ht="15.75" customHeight="1">
      <c r="A450" s="465"/>
      <c r="B450" s="465"/>
      <c r="C450" s="465"/>
      <c r="D450" s="873"/>
      <c r="E450" s="465"/>
      <c r="F450" s="465"/>
      <c r="G450" s="465"/>
      <c r="H450" s="465"/>
      <c r="I450" s="465"/>
      <c r="J450" s="465"/>
      <c r="K450" s="465"/>
      <c r="L450" s="465"/>
      <c r="M450" s="465"/>
      <c r="N450" s="465"/>
      <c r="O450" s="465"/>
      <c r="P450" s="465"/>
      <c r="Q450" s="465"/>
      <c r="R450" s="465"/>
      <c r="S450" s="465"/>
      <c r="T450" s="465"/>
      <c r="U450" s="465"/>
      <c r="V450" s="465"/>
      <c r="W450" s="465"/>
      <c r="X450" s="465"/>
      <c r="Y450" s="465"/>
      <c r="Z450" s="465"/>
    </row>
    <row r="451" spans="1:26" ht="15.75" customHeight="1">
      <c r="A451" s="465"/>
      <c r="B451" s="465"/>
      <c r="C451" s="465"/>
      <c r="D451" s="873"/>
      <c r="E451" s="465"/>
      <c r="F451" s="465"/>
      <c r="G451" s="465"/>
      <c r="H451" s="465"/>
      <c r="I451" s="465"/>
      <c r="J451" s="465"/>
      <c r="K451" s="465"/>
      <c r="L451" s="465"/>
      <c r="M451" s="465"/>
      <c r="N451" s="465"/>
      <c r="O451" s="465"/>
      <c r="P451" s="465"/>
      <c r="Q451" s="465"/>
      <c r="R451" s="465"/>
      <c r="S451" s="465"/>
      <c r="T451" s="465"/>
      <c r="U451" s="465"/>
      <c r="V451" s="465"/>
      <c r="W451" s="465"/>
      <c r="X451" s="465"/>
      <c r="Y451" s="465"/>
      <c r="Z451" s="465"/>
    </row>
    <row r="452" spans="1:26" ht="15.75" customHeight="1">
      <c r="A452" s="465"/>
      <c r="B452" s="465"/>
      <c r="C452" s="465"/>
      <c r="D452" s="873"/>
      <c r="E452" s="465"/>
      <c r="F452" s="465"/>
      <c r="G452" s="465"/>
      <c r="H452" s="465"/>
      <c r="I452" s="465"/>
      <c r="J452" s="465"/>
      <c r="K452" s="465"/>
      <c r="L452" s="465"/>
      <c r="M452" s="465"/>
      <c r="N452" s="465"/>
      <c r="O452" s="465"/>
      <c r="P452" s="465"/>
      <c r="Q452" s="465"/>
      <c r="R452" s="465"/>
      <c r="S452" s="465"/>
      <c r="T452" s="465"/>
      <c r="U452" s="465"/>
      <c r="V452" s="465"/>
      <c r="W452" s="465"/>
      <c r="X452" s="465"/>
      <c r="Y452" s="465"/>
      <c r="Z452" s="465"/>
    </row>
    <row r="453" spans="1:26" ht="15.75" customHeight="1">
      <c r="A453" s="465"/>
      <c r="B453" s="465"/>
      <c r="C453" s="465"/>
      <c r="D453" s="873"/>
      <c r="E453" s="465"/>
      <c r="F453" s="465"/>
      <c r="G453" s="465"/>
      <c r="H453" s="465"/>
      <c r="I453" s="465"/>
      <c r="J453" s="465"/>
      <c r="K453" s="465"/>
      <c r="L453" s="465"/>
      <c r="M453" s="465"/>
      <c r="N453" s="465"/>
      <c r="O453" s="465"/>
      <c r="P453" s="465"/>
      <c r="Q453" s="465"/>
      <c r="R453" s="465"/>
      <c r="S453" s="465"/>
      <c r="T453" s="465"/>
      <c r="U453" s="465"/>
      <c r="V453" s="465"/>
      <c r="W453" s="465"/>
      <c r="X453" s="465"/>
      <c r="Y453" s="465"/>
      <c r="Z453" s="465"/>
    </row>
    <row r="454" spans="1:26" ht="15.75" customHeight="1">
      <c r="A454" s="465"/>
      <c r="B454" s="465"/>
      <c r="C454" s="465"/>
      <c r="D454" s="873"/>
      <c r="E454" s="465"/>
      <c r="F454" s="465"/>
      <c r="G454" s="465"/>
      <c r="H454" s="465"/>
      <c r="I454" s="465"/>
      <c r="J454" s="465"/>
      <c r="K454" s="465"/>
      <c r="L454" s="465"/>
      <c r="M454" s="465"/>
      <c r="N454" s="465"/>
      <c r="O454" s="465"/>
      <c r="P454" s="465"/>
      <c r="Q454" s="465"/>
      <c r="R454" s="465"/>
      <c r="S454" s="465"/>
      <c r="T454" s="465"/>
      <c r="U454" s="465"/>
      <c r="V454" s="465"/>
      <c r="W454" s="465"/>
      <c r="X454" s="465"/>
      <c r="Y454" s="465"/>
      <c r="Z454" s="465"/>
    </row>
    <row r="455" spans="1:26" ht="15.75" customHeight="1">
      <c r="A455" s="465"/>
      <c r="B455" s="465"/>
      <c r="C455" s="465"/>
      <c r="D455" s="873"/>
      <c r="E455" s="465"/>
      <c r="F455" s="465"/>
      <c r="G455" s="465"/>
      <c r="H455" s="465"/>
      <c r="I455" s="465"/>
      <c r="J455" s="465"/>
      <c r="K455" s="465"/>
      <c r="L455" s="465"/>
      <c r="M455" s="465"/>
      <c r="N455" s="465"/>
      <c r="O455" s="465"/>
      <c r="P455" s="465"/>
      <c r="Q455" s="465"/>
      <c r="R455" s="465"/>
      <c r="S455" s="465"/>
      <c r="T455" s="465"/>
      <c r="U455" s="465"/>
      <c r="V455" s="465"/>
      <c r="W455" s="465"/>
      <c r="X455" s="465"/>
      <c r="Y455" s="465"/>
      <c r="Z455" s="465"/>
    </row>
    <row r="456" spans="1:26" ht="15.75" customHeight="1">
      <c r="A456" s="465"/>
      <c r="B456" s="465"/>
      <c r="C456" s="465"/>
      <c r="D456" s="873"/>
      <c r="E456" s="465"/>
      <c r="F456" s="465"/>
      <c r="G456" s="465"/>
      <c r="H456" s="465"/>
      <c r="I456" s="465"/>
      <c r="J456" s="465"/>
      <c r="K456" s="465"/>
      <c r="L456" s="465"/>
      <c r="M456" s="465"/>
      <c r="N456" s="465"/>
      <c r="O456" s="465"/>
      <c r="P456" s="465"/>
      <c r="Q456" s="465"/>
      <c r="R456" s="465"/>
      <c r="S456" s="465"/>
      <c r="T456" s="465"/>
      <c r="U456" s="465"/>
      <c r="V456" s="465"/>
      <c r="W456" s="465"/>
      <c r="X456" s="465"/>
      <c r="Y456" s="465"/>
      <c r="Z456" s="465"/>
    </row>
    <row r="457" spans="1:26" ht="15.75" customHeight="1">
      <c r="A457" s="465"/>
      <c r="B457" s="465"/>
      <c r="C457" s="465"/>
      <c r="D457" s="873"/>
      <c r="E457" s="465"/>
      <c r="F457" s="465"/>
      <c r="G457" s="465"/>
      <c r="H457" s="465"/>
      <c r="I457" s="465"/>
      <c r="J457" s="465"/>
      <c r="K457" s="465"/>
      <c r="L457" s="465"/>
      <c r="M457" s="465"/>
      <c r="N457" s="465"/>
      <c r="O457" s="465"/>
      <c r="P457" s="465"/>
      <c r="Q457" s="465"/>
      <c r="R457" s="465"/>
      <c r="S457" s="465"/>
      <c r="T457" s="465"/>
      <c r="U457" s="465"/>
      <c r="V457" s="465"/>
      <c r="W457" s="465"/>
      <c r="X457" s="465"/>
      <c r="Y457" s="465"/>
      <c r="Z457" s="465"/>
    </row>
    <row r="458" spans="1:26" ht="15.75" customHeight="1">
      <c r="A458" s="465"/>
      <c r="B458" s="465"/>
      <c r="C458" s="465"/>
      <c r="D458" s="873"/>
      <c r="E458" s="465"/>
      <c r="F458" s="465"/>
      <c r="G458" s="465"/>
      <c r="H458" s="465"/>
      <c r="I458" s="465"/>
      <c r="J458" s="465"/>
      <c r="K458" s="465"/>
      <c r="L458" s="465"/>
      <c r="M458" s="465"/>
      <c r="N458" s="465"/>
      <c r="O458" s="465"/>
      <c r="P458" s="465"/>
      <c r="Q458" s="465"/>
      <c r="R458" s="465"/>
      <c r="S458" s="465"/>
      <c r="T458" s="465"/>
      <c r="U458" s="465"/>
      <c r="V458" s="465"/>
      <c r="W458" s="465"/>
      <c r="X458" s="465"/>
      <c r="Y458" s="465"/>
      <c r="Z458" s="465"/>
    </row>
    <row r="459" spans="1:26" ht="15.75" customHeight="1">
      <c r="A459" s="465"/>
      <c r="B459" s="465"/>
      <c r="C459" s="465"/>
      <c r="D459" s="873"/>
      <c r="E459" s="465"/>
      <c r="F459" s="465"/>
      <c r="G459" s="465"/>
      <c r="H459" s="465"/>
      <c r="I459" s="465"/>
      <c r="J459" s="465"/>
      <c r="K459" s="465"/>
      <c r="L459" s="465"/>
      <c r="M459" s="465"/>
      <c r="N459" s="465"/>
      <c r="O459" s="465"/>
      <c r="P459" s="465"/>
      <c r="Q459" s="465"/>
      <c r="R459" s="465"/>
      <c r="S459" s="465"/>
      <c r="T459" s="465"/>
      <c r="U459" s="465"/>
      <c r="V459" s="465"/>
      <c r="W459" s="465"/>
      <c r="X459" s="465"/>
      <c r="Y459" s="465"/>
      <c r="Z459" s="465"/>
    </row>
    <row r="460" spans="1:26" ht="15.75" customHeight="1">
      <c r="A460" s="465"/>
      <c r="B460" s="465"/>
      <c r="C460" s="465"/>
      <c r="D460" s="873"/>
      <c r="E460" s="465"/>
      <c r="F460" s="465"/>
      <c r="G460" s="465"/>
      <c r="H460" s="465"/>
      <c r="I460" s="465"/>
      <c r="J460" s="465"/>
      <c r="K460" s="465"/>
      <c r="L460" s="465"/>
      <c r="M460" s="465"/>
      <c r="N460" s="465"/>
      <c r="O460" s="465"/>
      <c r="P460" s="465"/>
      <c r="Q460" s="465"/>
      <c r="R460" s="465"/>
      <c r="S460" s="465"/>
      <c r="T460" s="465"/>
      <c r="U460" s="465"/>
      <c r="V460" s="465"/>
      <c r="W460" s="465"/>
      <c r="X460" s="465"/>
      <c r="Y460" s="465"/>
      <c r="Z460" s="465"/>
    </row>
    <row r="461" spans="1:26" ht="15.75" customHeight="1">
      <c r="A461" s="465"/>
      <c r="B461" s="465"/>
      <c r="C461" s="465"/>
      <c r="D461" s="873"/>
      <c r="E461" s="465"/>
      <c r="F461" s="465"/>
      <c r="G461" s="465"/>
      <c r="H461" s="465"/>
      <c r="I461" s="465"/>
      <c r="J461" s="465"/>
      <c r="K461" s="465"/>
      <c r="L461" s="465"/>
      <c r="M461" s="465"/>
      <c r="N461" s="465"/>
      <c r="O461" s="465"/>
      <c r="P461" s="465"/>
      <c r="Q461" s="465"/>
      <c r="R461" s="465"/>
      <c r="S461" s="465"/>
      <c r="T461" s="465"/>
      <c r="U461" s="465"/>
      <c r="V461" s="465"/>
      <c r="W461" s="465"/>
      <c r="X461" s="465"/>
      <c r="Y461" s="465"/>
      <c r="Z461" s="465"/>
    </row>
    <row r="462" spans="1:26" ht="15.75" customHeight="1">
      <c r="A462" s="465"/>
      <c r="B462" s="465"/>
      <c r="C462" s="465"/>
      <c r="D462" s="873"/>
      <c r="E462" s="465"/>
      <c r="F462" s="465"/>
      <c r="G462" s="465"/>
      <c r="H462" s="465"/>
      <c r="I462" s="465"/>
      <c r="J462" s="465"/>
      <c r="K462" s="465"/>
      <c r="L462" s="465"/>
      <c r="M462" s="465"/>
      <c r="N462" s="465"/>
      <c r="O462" s="465"/>
      <c r="P462" s="465"/>
      <c r="Q462" s="465"/>
      <c r="R462" s="465"/>
      <c r="S462" s="465"/>
      <c r="T462" s="465"/>
      <c r="U462" s="465"/>
      <c r="V462" s="465"/>
      <c r="W462" s="465"/>
      <c r="X462" s="465"/>
      <c r="Y462" s="465"/>
      <c r="Z462" s="465"/>
    </row>
    <row r="463" spans="1:26" ht="15.75" customHeight="1">
      <c r="A463" s="465"/>
      <c r="B463" s="465"/>
      <c r="C463" s="465"/>
      <c r="D463" s="873"/>
      <c r="E463" s="465"/>
      <c r="F463" s="465"/>
      <c r="G463" s="465"/>
      <c r="H463" s="465"/>
      <c r="I463" s="465"/>
      <c r="J463" s="465"/>
      <c r="K463" s="465"/>
      <c r="L463" s="465"/>
      <c r="M463" s="465"/>
      <c r="N463" s="465"/>
      <c r="O463" s="465"/>
      <c r="P463" s="465"/>
      <c r="Q463" s="465"/>
      <c r="R463" s="465"/>
      <c r="S463" s="465"/>
      <c r="T463" s="465"/>
      <c r="U463" s="465"/>
      <c r="V463" s="465"/>
      <c r="W463" s="465"/>
      <c r="X463" s="465"/>
      <c r="Y463" s="465"/>
      <c r="Z463" s="465"/>
    </row>
    <row r="464" spans="1:26" ht="15.75" customHeight="1">
      <c r="A464" s="465"/>
      <c r="B464" s="465"/>
      <c r="C464" s="465"/>
      <c r="D464" s="873"/>
      <c r="E464" s="465"/>
      <c r="F464" s="465"/>
      <c r="G464" s="465"/>
      <c r="H464" s="465"/>
      <c r="I464" s="465"/>
      <c r="J464" s="465"/>
      <c r="K464" s="465"/>
      <c r="L464" s="465"/>
      <c r="M464" s="465"/>
      <c r="N464" s="465"/>
      <c r="O464" s="465"/>
      <c r="P464" s="465"/>
      <c r="Q464" s="465"/>
      <c r="R464" s="465"/>
      <c r="S464" s="465"/>
      <c r="T464" s="465"/>
      <c r="U464" s="465"/>
      <c r="V464" s="465"/>
      <c r="W464" s="465"/>
      <c r="X464" s="465"/>
      <c r="Y464" s="465"/>
      <c r="Z464" s="465"/>
    </row>
    <row r="465" spans="1:26" ht="15.75" customHeight="1">
      <c r="A465" s="465"/>
      <c r="B465" s="465"/>
      <c r="C465" s="465"/>
      <c r="D465" s="873"/>
      <c r="E465" s="465"/>
      <c r="F465" s="465"/>
      <c r="G465" s="465"/>
      <c r="H465" s="465"/>
      <c r="I465" s="465"/>
      <c r="J465" s="465"/>
      <c r="K465" s="465"/>
      <c r="L465" s="465"/>
      <c r="M465" s="465"/>
      <c r="N465" s="465"/>
      <c r="O465" s="465"/>
      <c r="P465" s="465"/>
      <c r="Q465" s="465"/>
      <c r="R465" s="465"/>
      <c r="S465" s="465"/>
      <c r="T465" s="465"/>
      <c r="U465" s="465"/>
      <c r="V465" s="465"/>
      <c r="W465" s="465"/>
      <c r="X465" s="465"/>
      <c r="Y465" s="465"/>
      <c r="Z465" s="465"/>
    </row>
    <row r="466" spans="1:26" ht="15.75" customHeight="1">
      <c r="A466" s="465"/>
      <c r="B466" s="465"/>
      <c r="C466" s="465"/>
      <c r="D466" s="873"/>
      <c r="E466" s="465"/>
      <c r="F466" s="465"/>
      <c r="G466" s="465"/>
      <c r="H466" s="465"/>
      <c r="I466" s="465"/>
      <c r="J466" s="465"/>
      <c r="K466" s="465"/>
      <c r="L466" s="465"/>
      <c r="M466" s="465"/>
      <c r="N466" s="465"/>
      <c r="O466" s="465"/>
      <c r="P466" s="465"/>
      <c r="Q466" s="465"/>
      <c r="R466" s="465"/>
      <c r="S466" s="465"/>
      <c r="T466" s="465"/>
      <c r="U466" s="465"/>
      <c r="V466" s="465"/>
      <c r="W466" s="465"/>
      <c r="X466" s="465"/>
      <c r="Y466" s="465"/>
      <c r="Z466" s="465"/>
    </row>
    <row r="467" spans="1:26" ht="15.75" customHeight="1">
      <c r="A467" s="465"/>
      <c r="B467" s="465"/>
      <c r="C467" s="465"/>
      <c r="D467" s="873"/>
      <c r="E467" s="465"/>
      <c r="F467" s="465"/>
      <c r="G467" s="465"/>
      <c r="H467" s="465"/>
      <c r="I467" s="465"/>
      <c r="J467" s="465"/>
      <c r="K467" s="465"/>
      <c r="L467" s="465"/>
      <c r="M467" s="465"/>
      <c r="N467" s="465"/>
      <c r="O467" s="465"/>
      <c r="P467" s="465"/>
      <c r="Q467" s="465"/>
      <c r="R467" s="465"/>
      <c r="S467" s="465"/>
      <c r="T467" s="465"/>
      <c r="U467" s="465"/>
      <c r="V467" s="465"/>
      <c r="W467" s="465"/>
      <c r="X467" s="465"/>
      <c r="Y467" s="465"/>
      <c r="Z467" s="465"/>
    </row>
    <row r="468" spans="1:26" ht="15.75" customHeight="1">
      <c r="A468" s="465"/>
      <c r="B468" s="465"/>
      <c r="C468" s="465"/>
      <c r="D468" s="873"/>
      <c r="E468" s="465"/>
      <c r="F468" s="465"/>
      <c r="G468" s="465"/>
      <c r="H468" s="465"/>
      <c r="I468" s="465"/>
      <c r="J468" s="465"/>
      <c r="K468" s="465"/>
      <c r="L468" s="465"/>
      <c r="M468" s="465"/>
      <c r="N468" s="465"/>
      <c r="O468" s="465"/>
      <c r="P468" s="465"/>
      <c r="Q468" s="465"/>
      <c r="R468" s="465"/>
      <c r="S468" s="465"/>
      <c r="T468" s="465"/>
      <c r="U468" s="465"/>
      <c r="V468" s="465"/>
      <c r="W468" s="465"/>
      <c r="X468" s="465"/>
      <c r="Y468" s="465"/>
      <c r="Z468" s="465"/>
    </row>
    <row r="469" spans="1:26" ht="15.75" customHeight="1">
      <c r="A469" s="465"/>
      <c r="B469" s="465"/>
      <c r="C469" s="465"/>
      <c r="D469" s="873"/>
      <c r="E469" s="465"/>
      <c r="F469" s="465"/>
      <c r="G469" s="465"/>
      <c r="H469" s="465"/>
      <c r="I469" s="465"/>
      <c r="J469" s="465"/>
      <c r="K469" s="465"/>
      <c r="L469" s="465"/>
      <c r="M469" s="465"/>
      <c r="N469" s="465"/>
      <c r="O469" s="465"/>
      <c r="P469" s="465"/>
      <c r="Q469" s="465"/>
      <c r="R469" s="465"/>
      <c r="S469" s="465"/>
      <c r="T469" s="465"/>
      <c r="U469" s="465"/>
      <c r="V469" s="465"/>
      <c r="W469" s="465"/>
      <c r="X469" s="465"/>
      <c r="Y469" s="465"/>
      <c r="Z469" s="465"/>
    </row>
    <row r="470" spans="1:26" ht="15.75" customHeight="1">
      <c r="A470" s="465"/>
      <c r="B470" s="465"/>
      <c r="C470" s="465"/>
      <c r="D470" s="873"/>
      <c r="E470" s="465"/>
      <c r="F470" s="465"/>
      <c r="G470" s="465"/>
      <c r="H470" s="465"/>
      <c r="I470" s="465"/>
      <c r="J470" s="465"/>
      <c r="K470" s="465"/>
      <c r="L470" s="465"/>
      <c r="M470" s="465"/>
      <c r="N470" s="465"/>
      <c r="O470" s="465"/>
      <c r="P470" s="465"/>
      <c r="Q470" s="465"/>
      <c r="R470" s="465"/>
      <c r="S470" s="465"/>
      <c r="T470" s="465"/>
      <c r="U470" s="465"/>
      <c r="V470" s="465"/>
      <c r="W470" s="465"/>
      <c r="X470" s="465"/>
      <c r="Y470" s="465"/>
      <c r="Z470" s="465"/>
    </row>
    <row r="471" spans="1:26" ht="15.75" customHeight="1">
      <c r="A471" s="465"/>
      <c r="B471" s="465"/>
      <c r="C471" s="465"/>
      <c r="D471" s="873"/>
      <c r="E471" s="465"/>
      <c r="F471" s="465"/>
      <c r="G471" s="465"/>
      <c r="H471" s="465"/>
      <c r="I471" s="465"/>
      <c r="J471" s="465"/>
      <c r="K471" s="465"/>
      <c r="L471" s="465"/>
      <c r="M471" s="465"/>
      <c r="N471" s="465"/>
      <c r="O471" s="465"/>
      <c r="P471" s="465"/>
      <c r="Q471" s="465"/>
      <c r="R471" s="465"/>
      <c r="S471" s="465"/>
      <c r="T471" s="465"/>
      <c r="U471" s="465"/>
      <c r="V471" s="465"/>
      <c r="W471" s="465"/>
      <c r="X471" s="465"/>
      <c r="Y471" s="465"/>
      <c r="Z471" s="465"/>
    </row>
    <row r="472" spans="1:26" ht="15.75" customHeight="1">
      <c r="A472" s="465"/>
      <c r="B472" s="465"/>
      <c r="C472" s="465"/>
      <c r="D472" s="873"/>
      <c r="E472" s="465"/>
      <c r="F472" s="465"/>
      <c r="G472" s="465"/>
      <c r="H472" s="465"/>
      <c r="I472" s="465"/>
      <c r="J472" s="465"/>
      <c r="K472" s="465"/>
      <c r="L472" s="465"/>
      <c r="M472" s="465"/>
      <c r="N472" s="465"/>
      <c r="O472" s="465"/>
      <c r="P472" s="465"/>
      <c r="Q472" s="465"/>
      <c r="R472" s="465"/>
      <c r="S472" s="465"/>
      <c r="T472" s="465"/>
      <c r="U472" s="465"/>
      <c r="V472" s="465"/>
      <c r="W472" s="465"/>
      <c r="X472" s="465"/>
      <c r="Y472" s="465"/>
      <c r="Z472" s="465"/>
    </row>
    <row r="473" spans="1:26" ht="15.75" customHeight="1">
      <c r="A473" s="465"/>
      <c r="B473" s="465"/>
      <c r="C473" s="465"/>
      <c r="D473" s="873"/>
      <c r="E473" s="465"/>
      <c r="F473" s="465"/>
      <c r="G473" s="465"/>
      <c r="H473" s="465"/>
      <c r="I473" s="465"/>
      <c r="J473" s="465"/>
      <c r="K473" s="465"/>
      <c r="L473" s="465"/>
      <c r="M473" s="465"/>
      <c r="N473" s="465"/>
      <c r="O473" s="465"/>
      <c r="P473" s="465"/>
      <c r="Q473" s="465"/>
      <c r="R473" s="465"/>
      <c r="S473" s="465"/>
      <c r="T473" s="465"/>
      <c r="U473" s="465"/>
      <c r="V473" s="465"/>
      <c r="W473" s="465"/>
      <c r="X473" s="465"/>
      <c r="Y473" s="465"/>
      <c r="Z473" s="465"/>
    </row>
    <row r="474" spans="1:26" ht="15.75" customHeight="1">
      <c r="A474" s="465"/>
      <c r="B474" s="465"/>
      <c r="C474" s="465"/>
      <c r="D474" s="873"/>
      <c r="E474" s="465"/>
      <c r="F474" s="465"/>
      <c r="G474" s="465"/>
      <c r="H474" s="465"/>
      <c r="I474" s="465"/>
      <c r="J474" s="465"/>
      <c r="K474" s="465"/>
      <c r="L474" s="465"/>
      <c r="M474" s="465"/>
      <c r="N474" s="465"/>
      <c r="O474" s="465"/>
      <c r="P474" s="465"/>
      <c r="Q474" s="465"/>
      <c r="R474" s="465"/>
      <c r="S474" s="465"/>
      <c r="T474" s="465"/>
      <c r="U474" s="465"/>
      <c r="V474" s="465"/>
      <c r="W474" s="465"/>
      <c r="X474" s="465"/>
      <c r="Y474" s="465"/>
      <c r="Z474" s="465"/>
    </row>
    <row r="475" spans="1:26" ht="15.75" customHeight="1">
      <c r="A475" s="465"/>
      <c r="B475" s="465"/>
      <c r="C475" s="465"/>
      <c r="D475" s="873"/>
      <c r="E475" s="465"/>
      <c r="F475" s="465"/>
      <c r="G475" s="465"/>
      <c r="H475" s="465"/>
      <c r="I475" s="465"/>
      <c r="J475" s="465"/>
      <c r="K475" s="465"/>
      <c r="L475" s="465"/>
      <c r="M475" s="465"/>
      <c r="N475" s="465"/>
      <c r="O475" s="465"/>
      <c r="P475" s="465"/>
      <c r="Q475" s="465"/>
      <c r="R475" s="465"/>
      <c r="S475" s="465"/>
      <c r="T475" s="465"/>
      <c r="U475" s="465"/>
      <c r="V475" s="465"/>
      <c r="W475" s="465"/>
      <c r="X475" s="465"/>
      <c r="Y475" s="465"/>
      <c r="Z475" s="465"/>
    </row>
    <row r="476" spans="1:26" ht="15.75" customHeight="1">
      <c r="A476" s="465"/>
      <c r="B476" s="465"/>
      <c r="C476" s="465"/>
      <c r="D476" s="873"/>
      <c r="E476" s="465"/>
      <c r="F476" s="465"/>
      <c r="G476" s="465"/>
      <c r="H476" s="465"/>
      <c r="I476" s="465"/>
      <c r="J476" s="465"/>
      <c r="K476" s="465"/>
      <c r="L476" s="465"/>
      <c r="M476" s="465"/>
      <c r="N476" s="465"/>
      <c r="O476" s="465"/>
      <c r="P476" s="465"/>
      <c r="Q476" s="465"/>
      <c r="R476" s="465"/>
      <c r="S476" s="465"/>
      <c r="T476" s="465"/>
      <c r="U476" s="465"/>
      <c r="V476" s="465"/>
      <c r="W476" s="465"/>
      <c r="X476" s="465"/>
      <c r="Y476" s="465"/>
      <c r="Z476" s="465"/>
    </row>
    <row r="477" spans="1:26" ht="15.75" customHeight="1">
      <c r="A477" s="465"/>
      <c r="B477" s="465"/>
      <c r="C477" s="465"/>
      <c r="D477" s="873"/>
      <c r="E477" s="465"/>
      <c r="F477" s="465"/>
      <c r="G477" s="465"/>
      <c r="H477" s="465"/>
      <c r="I477" s="465"/>
      <c r="J477" s="465"/>
      <c r="K477" s="465"/>
      <c r="L477" s="465"/>
      <c r="M477" s="465"/>
      <c r="N477" s="465"/>
      <c r="O477" s="465"/>
      <c r="P477" s="465"/>
      <c r="Q477" s="465"/>
      <c r="R477" s="465"/>
      <c r="S477" s="465"/>
      <c r="T477" s="465"/>
      <c r="U477" s="465"/>
      <c r="V477" s="465"/>
      <c r="W477" s="465"/>
      <c r="X477" s="465"/>
      <c r="Y477" s="465"/>
      <c r="Z477" s="465"/>
    </row>
    <row r="478" spans="1:26" ht="15.75" customHeight="1">
      <c r="A478" s="465"/>
      <c r="B478" s="465"/>
      <c r="C478" s="465"/>
      <c r="D478" s="873"/>
      <c r="E478" s="465"/>
      <c r="F478" s="465"/>
      <c r="G478" s="465"/>
      <c r="H478" s="465"/>
      <c r="I478" s="465"/>
      <c r="J478" s="465"/>
      <c r="K478" s="465"/>
      <c r="L478" s="465"/>
      <c r="M478" s="465"/>
      <c r="N478" s="465"/>
      <c r="O478" s="465"/>
      <c r="P478" s="465"/>
      <c r="Q478" s="465"/>
      <c r="R478" s="465"/>
      <c r="S478" s="465"/>
      <c r="T478" s="465"/>
      <c r="U478" s="465"/>
      <c r="V478" s="465"/>
      <c r="W478" s="465"/>
      <c r="X478" s="465"/>
      <c r="Y478" s="465"/>
      <c r="Z478" s="465"/>
    </row>
    <row r="479" spans="1:26" ht="15.75" customHeight="1">
      <c r="A479" s="465"/>
      <c r="B479" s="465"/>
      <c r="C479" s="465"/>
      <c r="D479" s="873"/>
      <c r="E479" s="465"/>
      <c r="F479" s="465"/>
      <c r="G479" s="465"/>
      <c r="H479" s="465"/>
      <c r="I479" s="465"/>
      <c r="J479" s="465"/>
      <c r="K479" s="465"/>
      <c r="L479" s="465"/>
      <c r="M479" s="465"/>
      <c r="N479" s="465"/>
      <c r="O479" s="465"/>
      <c r="P479" s="465"/>
      <c r="Q479" s="465"/>
      <c r="R479" s="465"/>
      <c r="S479" s="465"/>
      <c r="T479" s="465"/>
      <c r="U479" s="465"/>
      <c r="V479" s="465"/>
      <c r="W479" s="465"/>
      <c r="X479" s="465"/>
      <c r="Y479" s="465"/>
      <c r="Z479" s="465"/>
    </row>
    <row r="480" spans="1:26" ht="15.75" customHeight="1">
      <c r="A480" s="465"/>
      <c r="B480" s="465"/>
      <c r="C480" s="465"/>
      <c r="D480" s="873"/>
      <c r="E480" s="465"/>
      <c r="F480" s="465"/>
      <c r="G480" s="465"/>
      <c r="H480" s="465"/>
      <c r="I480" s="465"/>
      <c r="J480" s="465"/>
      <c r="K480" s="465"/>
      <c r="L480" s="465"/>
      <c r="M480" s="465"/>
      <c r="N480" s="465"/>
      <c r="O480" s="465"/>
      <c r="P480" s="465"/>
      <c r="Q480" s="465"/>
      <c r="R480" s="465"/>
      <c r="S480" s="465"/>
      <c r="T480" s="465"/>
      <c r="U480" s="465"/>
      <c r="V480" s="465"/>
      <c r="W480" s="465"/>
      <c r="X480" s="465"/>
      <c r="Y480" s="465"/>
      <c r="Z480" s="465"/>
    </row>
    <row r="481" spans="1:26" ht="15.75" customHeight="1">
      <c r="A481" s="465"/>
      <c r="B481" s="465"/>
      <c r="C481" s="465"/>
      <c r="D481" s="873"/>
      <c r="E481" s="465"/>
      <c r="F481" s="465"/>
      <c r="G481" s="465"/>
      <c r="H481" s="465"/>
      <c r="I481" s="465"/>
      <c r="J481" s="465"/>
      <c r="K481" s="465"/>
      <c r="L481" s="465"/>
      <c r="M481" s="465"/>
      <c r="N481" s="465"/>
      <c r="O481" s="465"/>
      <c r="P481" s="465"/>
      <c r="Q481" s="465"/>
      <c r="R481" s="465"/>
      <c r="S481" s="465"/>
      <c r="T481" s="465"/>
      <c r="U481" s="465"/>
      <c r="V481" s="465"/>
      <c r="W481" s="465"/>
      <c r="X481" s="465"/>
      <c r="Y481" s="465"/>
      <c r="Z481" s="465"/>
    </row>
    <row r="482" spans="1:26" ht="15.75" customHeight="1">
      <c r="A482" s="465"/>
      <c r="B482" s="465"/>
      <c r="C482" s="465"/>
      <c r="D482" s="873"/>
      <c r="E482" s="465"/>
      <c r="F482" s="465"/>
      <c r="G482" s="465"/>
      <c r="H482" s="465"/>
      <c r="I482" s="465"/>
      <c r="J482" s="465"/>
      <c r="K482" s="465"/>
      <c r="L482" s="465"/>
      <c r="M482" s="465"/>
      <c r="N482" s="465"/>
      <c r="O482" s="465"/>
      <c r="P482" s="465"/>
      <c r="Q482" s="465"/>
      <c r="R482" s="465"/>
      <c r="S482" s="465"/>
      <c r="T482" s="465"/>
      <c r="U482" s="465"/>
      <c r="V482" s="465"/>
      <c r="W482" s="465"/>
      <c r="X482" s="465"/>
      <c r="Y482" s="465"/>
      <c r="Z482" s="465"/>
    </row>
    <row r="483" spans="1:26" ht="15.75" customHeight="1">
      <c r="A483" s="465"/>
      <c r="B483" s="465"/>
      <c r="C483" s="465"/>
      <c r="D483" s="873"/>
      <c r="E483" s="465"/>
      <c r="F483" s="465"/>
      <c r="G483" s="465"/>
      <c r="H483" s="465"/>
      <c r="I483" s="465"/>
      <c r="J483" s="465"/>
      <c r="K483" s="465"/>
      <c r="L483" s="465"/>
      <c r="M483" s="465"/>
      <c r="N483" s="465"/>
      <c r="O483" s="465"/>
      <c r="P483" s="465"/>
      <c r="Q483" s="465"/>
      <c r="R483" s="465"/>
      <c r="S483" s="465"/>
      <c r="T483" s="465"/>
      <c r="U483" s="465"/>
      <c r="V483" s="465"/>
      <c r="W483" s="465"/>
      <c r="X483" s="465"/>
      <c r="Y483" s="465"/>
      <c r="Z483" s="465"/>
    </row>
    <row r="484" spans="1:26" ht="15.75" customHeight="1">
      <c r="A484" s="465"/>
      <c r="B484" s="465"/>
      <c r="C484" s="465"/>
      <c r="D484" s="873"/>
      <c r="E484" s="465"/>
      <c r="F484" s="465"/>
      <c r="G484" s="465"/>
      <c r="H484" s="465"/>
      <c r="I484" s="465"/>
      <c r="J484" s="465"/>
      <c r="K484" s="465"/>
      <c r="L484" s="465"/>
      <c r="M484" s="465"/>
      <c r="N484" s="465"/>
      <c r="O484" s="465"/>
      <c r="P484" s="465"/>
      <c r="Q484" s="465"/>
      <c r="R484" s="465"/>
      <c r="S484" s="465"/>
      <c r="T484" s="465"/>
      <c r="U484" s="465"/>
      <c r="V484" s="465"/>
      <c r="W484" s="465"/>
      <c r="X484" s="465"/>
      <c r="Y484" s="465"/>
      <c r="Z484" s="465"/>
    </row>
    <row r="485" spans="1:26" ht="15.75" customHeight="1">
      <c r="A485" s="465"/>
      <c r="B485" s="465"/>
      <c r="C485" s="465"/>
      <c r="D485" s="873"/>
      <c r="E485" s="465"/>
      <c r="F485" s="465"/>
      <c r="G485" s="465"/>
      <c r="H485" s="465"/>
      <c r="I485" s="465"/>
      <c r="J485" s="465"/>
      <c r="K485" s="465"/>
      <c r="L485" s="465"/>
      <c r="M485" s="465"/>
      <c r="N485" s="465"/>
      <c r="O485" s="465"/>
      <c r="P485" s="465"/>
      <c r="Q485" s="465"/>
      <c r="R485" s="465"/>
      <c r="S485" s="465"/>
      <c r="T485" s="465"/>
      <c r="U485" s="465"/>
      <c r="V485" s="465"/>
      <c r="W485" s="465"/>
      <c r="X485" s="465"/>
      <c r="Y485" s="465"/>
      <c r="Z485" s="465"/>
    </row>
    <row r="486" spans="1:26" ht="15.75" customHeight="1">
      <c r="A486" s="465"/>
      <c r="B486" s="465"/>
      <c r="C486" s="465"/>
      <c r="D486" s="873"/>
      <c r="E486" s="465"/>
      <c r="F486" s="465"/>
      <c r="G486" s="465"/>
      <c r="H486" s="465"/>
      <c r="I486" s="465"/>
      <c r="J486" s="465"/>
      <c r="K486" s="465"/>
      <c r="L486" s="465"/>
      <c r="M486" s="465"/>
      <c r="N486" s="465"/>
      <c r="O486" s="465"/>
      <c r="P486" s="465"/>
      <c r="Q486" s="465"/>
      <c r="R486" s="465"/>
      <c r="S486" s="465"/>
      <c r="T486" s="465"/>
      <c r="U486" s="465"/>
      <c r="V486" s="465"/>
      <c r="W486" s="465"/>
      <c r="X486" s="465"/>
      <c r="Y486" s="465"/>
      <c r="Z486" s="465"/>
    </row>
    <row r="487" spans="1:26" ht="15.75" customHeight="1">
      <c r="A487" s="465"/>
      <c r="B487" s="465"/>
      <c r="C487" s="465"/>
      <c r="D487" s="873"/>
      <c r="E487" s="465"/>
      <c r="F487" s="465"/>
      <c r="G487" s="465"/>
      <c r="H487" s="465"/>
      <c r="I487" s="465"/>
      <c r="J487" s="465"/>
      <c r="K487" s="465"/>
      <c r="L487" s="465"/>
      <c r="M487" s="465"/>
      <c r="N487" s="465"/>
      <c r="O487" s="465"/>
      <c r="P487" s="465"/>
      <c r="Q487" s="465"/>
      <c r="R487" s="465"/>
      <c r="S487" s="465"/>
      <c r="T487" s="465"/>
      <c r="U487" s="465"/>
      <c r="V487" s="465"/>
      <c r="W487" s="465"/>
      <c r="X487" s="465"/>
      <c r="Y487" s="465"/>
      <c r="Z487" s="465"/>
    </row>
    <row r="488" spans="1:26" ht="15.75" customHeight="1">
      <c r="A488" s="465"/>
      <c r="B488" s="465"/>
      <c r="C488" s="465"/>
      <c r="D488" s="873"/>
      <c r="E488" s="465"/>
      <c r="F488" s="465"/>
      <c r="G488" s="465"/>
      <c r="H488" s="465"/>
      <c r="I488" s="465"/>
      <c r="J488" s="465"/>
      <c r="K488" s="465"/>
      <c r="L488" s="465"/>
      <c r="M488" s="465"/>
      <c r="N488" s="465"/>
      <c r="O488" s="465"/>
      <c r="P488" s="465"/>
      <c r="Q488" s="465"/>
      <c r="R488" s="465"/>
      <c r="S488" s="465"/>
      <c r="T488" s="465"/>
      <c r="U488" s="465"/>
      <c r="V488" s="465"/>
      <c r="W488" s="465"/>
      <c r="X488" s="465"/>
      <c r="Y488" s="465"/>
      <c r="Z488" s="465"/>
    </row>
    <row r="489" spans="1:26" ht="15.75" customHeight="1">
      <c r="A489" s="465"/>
      <c r="B489" s="465"/>
      <c r="C489" s="465"/>
      <c r="D489" s="873"/>
      <c r="E489" s="465"/>
      <c r="F489" s="465"/>
      <c r="G489" s="465"/>
      <c r="H489" s="465"/>
      <c r="I489" s="465"/>
      <c r="J489" s="465"/>
      <c r="K489" s="465"/>
      <c r="L489" s="465"/>
      <c r="M489" s="465"/>
      <c r="N489" s="465"/>
      <c r="O489" s="465"/>
      <c r="P489" s="465"/>
      <c r="Q489" s="465"/>
      <c r="R489" s="465"/>
      <c r="S489" s="465"/>
      <c r="T489" s="465"/>
      <c r="U489" s="465"/>
      <c r="V489" s="465"/>
      <c r="W489" s="465"/>
      <c r="X489" s="465"/>
      <c r="Y489" s="465"/>
      <c r="Z489" s="465"/>
    </row>
    <row r="490" spans="1:26" ht="15.75" customHeight="1">
      <c r="A490" s="465"/>
      <c r="B490" s="465"/>
      <c r="C490" s="465"/>
      <c r="D490" s="873"/>
      <c r="E490" s="465"/>
      <c r="F490" s="465"/>
      <c r="G490" s="465"/>
      <c r="H490" s="465"/>
      <c r="I490" s="465"/>
      <c r="J490" s="465"/>
      <c r="K490" s="465"/>
      <c r="L490" s="465"/>
      <c r="M490" s="465"/>
      <c r="N490" s="465"/>
      <c r="O490" s="465"/>
      <c r="P490" s="465"/>
      <c r="Q490" s="465"/>
      <c r="R490" s="465"/>
      <c r="S490" s="465"/>
      <c r="T490" s="465"/>
      <c r="U490" s="465"/>
      <c r="V490" s="465"/>
      <c r="W490" s="465"/>
      <c r="X490" s="465"/>
      <c r="Y490" s="465"/>
      <c r="Z490" s="465"/>
    </row>
    <row r="491" spans="1:26" ht="15.75" customHeight="1">
      <c r="A491" s="465"/>
      <c r="B491" s="465"/>
      <c r="C491" s="465"/>
      <c r="D491" s="873"/>
      <c r="E491" s="465"/>
      <c r="F491" s="465"/>
      <c r="G491" s="465"/>
      <c r="H491" s="465"/>
      <c r="I491" s="465"/>
      <c r="J491" s="465"/>
      <c r="K491" s="465"/>
      <c r="L491" s="465"/>
      <c r="M491" s="465"/>
      <c r="N491" s="465"/>
      <c r="O491" s="465"/>
      <c r="P491" s="465"/>
      <c r="Q491" s="465"/>
      <c r="R491" s="465"/>
      <c r="S491" s="465"/>
      <c r="T491" s="465"/>
      <c r="U491" s="465"/>
      <c r="V491" s="465"/>
      <c r="W491" s="465"/>
      <c r="X491" s="465"/>
      <c r="Y491" s="465"/>
      <c r="Z491" s="465"/>
    </row>
    <row r="492" spans="1:26" ht="15.75" customHeight="1">
      <c r="A492" s="465"/>
      <c r="B492" s="465"/>
      <c r="C492" s="465"/>
      <c r="D492" s="873"/>
      <c r="E492" s="465"/>
      <c r="F492" s="465"/>
      <c r="G492" s="465"/>
      <c r="H492" s="465"/>
      <c r="I492" s="465"/>
      <c r="J492" s="465"/>
      <c r="K492" s="465"/>
      <c r="L492" s="465"/>
      <c r="M492" s="465"/>
      <c r="N492" s="465"/>
      <c r="O492" s="465"/>
      <c r="P492" s="465"/>
      <c r="Q492" s="465"/>
      <c r="R492" s="465"/>
      <c r="S492" s="465"/>
      <c r="T492" s="465"/>
      <c r="U492" s="465"/>
      <c r="V492" s="465"/>
      <c r="W492" s="465"/>
      <c r="X492" s="465"/>
      <c r="Y492" s="465"/>
      <c r="Z492" s="465"/>
    </row>
    <row r="493" spans="1:26" ht="15.75" customHeight="1">
      <c r="A493" s="465"/>
      <c r="B493" s="465"/>
      <c r="C493" s="465"/>
      <c r="D493" s="873"/>
      <c r="E493" s="465"/>
      <c r="F493" s="465"/>
      <c r="G493" s="465"/>
      <c r="H493" s="465"/>
      <c r="I493" s="465"/>
      <c r="J493" s="465"/>
      <c r="K493" s="465"/>
      <c r="L493" s="465"/>
      <c r="M493" s="465"/>
      <c r="N493" s="465"/>
      <c r="O493" s="465"/>
      <c r="P493" s="465"/>
      <c r="Q493" s="465"/>
      <c r="R493" s="465"/>
      <c r="S493" s="465"/>
      <c r="T493" s="465"/>
      <c r="U493" s="465"/>
      <c r="V493" s="465"/>
      <c r="W493" s="465"/>
      <c r="X493" s="465"/>
      <c r="Y493" s="465"/>
      <c r="Z493" s="465"/>
    </row>
    <row r="494" spans="1:26" ht="15.75" customHeight="1">
      <c r="A494" s="465"/>
      <c r="B494" s="465"/>
      <c r="C494" s="465"/>
      <c r="D494" s="873"/>
      <c r="E494" s="465"/>
      <c r="F494" s="465"/>
      <c r="G494" s="465"/>
      <c r="H494" s="465"/>
      <c r="I494" s="465"/>
      <c r="J494" s="465"/>
      <c r="K494" s="465"/>
      <c r="L494" s="465"/>
      <c r="M494" s="465"/>
      <c r="N494" s="465"/>
      <c r="O494" s="465"/>
      <c r="P494" s="465"/>
      <c r="Q494" s="465"/>
      <c r="R494" s="465"/>
      <c r="S494" s="465"/>
      <c r="T494" s="465"/>
      <c r="U494" s="465"/>
      <c r="V494" s="465"/>
      <c r="W494" s="465"/>
      <c r="X494" s="465"/>
      <c r="Y494" s="465"/>
      <c r="Z494" s="465"/>
    </row>
    <row r="495" spans="1:26" ht="15.75" customHeight="1">
      <c r="A495" s="465"/>
      <c r="B495" s="465"/>
      <c r="C495" s="465"/>
      <c r="D495" s="873"/>
      <c r="E495" s="465"/>
      <c r="F495" s="465"/>
      <c r="G495" s="465"/>
      <c r="H495" s="465"/>
      <c r="I495" s="465"/>
      <c r="J495" s="465"/>
      <c r="K495" s="465"/>
      <c r="L495" s="465"/>
      <c r="M495" s="465"/>
      <c r="N495" s="465"/>
      <c r="O495" s="465"/>
      <c r="P495" s="465"/>
      <c r="Q495" s="465"/>
      <c r="R495" s="465"/>
      <c r="S495" s="465"/>
      <c r="T495" s="465"/>
      <c r="U495" s="465"/>
      <c r="V495" s="465"/>
      <c r="W495" s="465"/>
      <c r="X495" s="465"/>
      <c r="Y495" s="465"/>
      <c r="Z495" s="465"/>
    </row>
    <row r="496" spans="1:26" ht="15.75" customHeight="1">
      <c r="A496" s="465"/>
      <c r="B496" s="465"/>
      <c r="C496" s="465"/>
      <c r="D496" s="873"/>
      <c r="E496" s="465"/>
      <c r="F496" s="465"/>
      <c r="G496" s="465"/>
      <c r="H496" s="465"/>
      <c r="I496" s="465"/>
      <c r="J496" s="465"/>
      <c r="K496" s="465"/>
      <c r="L496" s="465"/>
      <c r="M496" s="465"/>
      <c r="N496" s="465"/>
      <c r="O496" s="465"/>
      <c r="P496" s="465"/>
      <c r="Q496" s="465"/>
      <c r="R496" s="465"/>
      <c r="S496" s="465"/>
      <c r="T496" s="465"/>
      <c r="U496" s="465"/>
      <c r="V496" s="465"/>
      <c r="W496" s="465"/>
      <c r="X496" s="465"/>
      <c r="Y496" s="465"/>
      <c r="Z496" s="465"/>
    </row>
    <row r="497" spans="1:26" ht="15.75" customHeight="1">
      <c r="A497" s="465"/>
      <c r="B497" s="465"/>
      <c r="C497" s="465"/>
      <c r="D497" s="873"/>
      <c r="E497" s="465"/>
      <c r="F497" s="465"/>
      <c r="G497" s="465"/>
      <c r="H497" s="465"/>
      <c r="I497" s="465"/>
      <c r="J497" s="465"/>
      <c r="K497" s="465"/>
      <c r="L497" s="465"/>
      <c r="M497" s="465"/>
      <c r="N497" s="465"/>
      <c r="O497" s="465"/>
      <c r="P497" s="465"/>
      <c r="Q497" s="465"/>
      <c r="R497" s="465"/>
      <c r="S497" s="465"/>
      <c r="T497" s="465"/>
      <c r="U497" s="465"/>
      <c r="V497" s="465"/>
      <c r="W497" s="465"/>
      <c r="X497" s="465"/>
      <c r="Y497" s="465"/>
      <c r="Z497" s="465"/>
    </row>
    <row r="498" spans="1:26" ht="15.75" customHeight="1">
      <c r="A498" s="465"/>
      <c r="B498" s="465"/>
      <c r="C498" s="465"/>
      <c r="D498" s="873"/>
      <c r="E498" s="465"/>
      <c r="F498" s="465"/>
      <c r="G498" s="465"/>
      <c r="H498" s="465"/>
      <c r="I498" s="465"/>
      <c r="J498" s="465"/>
      <c r="K498" s="465"/>
      <c r="L498" s="465"/>
      <c r="M498" s="465"/>
      <c r="N498" s="465"/>
      <c r="O498" s="465"/>
      <c r="P498" s="465"/>
      <c r="Q498" s="465"/>
      <c r="R498" s="465"/>
      <c r="S498" s="465"/>
      <c r="T498" s="465"/>
      <c r="U498" s="465"/>
      <c r="V498" s="465"/>
      <c r="W498" s="465"/>
      <c r="X498" s="465"/>
      <c r="Y498" s="465"/>
      <c r="Z498" s="465"/>
    </row>
    <row r="499" spans="1:26" ht="15.75" customHeight="1">
      <c r="A499" s="465"/>
      <c r="B499" s="465"/>
      <c r="C499" s="465"/>
      <c r="D499" s="873"/>
      <c r="E499" s="465"/>
      <c r="F499" s="465"/>
      <c r="G499" s="465"/>
      <c r="H499" s="465"/>
      <c r="I499" s="465"/>
      <c r="J499" s="465"/>
      <c r="K499" s="465"/>
      <c r="L499" s="465"/>
      <c r="M499" s="465"/>
      <c r="N499" s="465"/>
      <c r="O499" s="465"/>
      <c r="P499" s="465"/>
      <c r="Q499" s="465"/>
      <c r="R499" s="465"/>
      <c r="S499" s="465"/>
      <c r="T499" s="465"/>
      <c r="U499" s="465"/>
      <c r="V499" s="465"/>
      <c r="W499" s="465"/>
      <c r="X499" s="465"/>
      <c r="Y499" s="465"/>
      <c r="Z499" s="465"/>
    </row>
    <row r="500" spans="1:26" ht="15.75" customHeight="1">
      <c r="A500" s="465"/>
      <c r="B500" s="465"/>
      <c r="C500" s="465"/>
      <c r="D500" s="873"/>
      <c r="E500" s="465"/>
      <c r="F500" s="465"/>
      <c r="G500" s="465"/>
      <c r="H500" s="465"/>
      <c r="I500" s="465"/>
      <c r="J500" s="465"/>
      <c r="K500" s="465"/>
      <c r="L500" s="465"/>
      <c r="M500" s="465"/>
      <c r="N500" s="465"/>
      <c r="O500" s="465"/>
      <c r="P500" s="465"/>
      <c r="Q500" s="465"/>
      <c r="R500" s="465"/>
      <c r="S500" s="465"/>
      <c r="T500" s="465"/>
      <c r="U500" s="465"/>
      <c r="V500" s="465"/>
      <c r="W500" s="465"/>
      <c r="X500" s="465"/>
      <c r="Y500" s="465"/>
      <c r="Z500" s="465"/>
    </row>
    <row r="501" spans="1:26" ht="15.75" customHeight="1">
      <c r="A501" s="465"/>
      <c r="B501" s="465"/>
      <c r="C501" s="465"/>
      <c r="D501" s="873"/>
      <c r="E501" s="465"/>
      <c r="F501" s="465"/>
      <c r="G501" s="465"/>
      <c r="H501" s="465"/>
      <c r="I501" s="465"/>
      <c r="J501" s="465"/>
      <c r="K501" s="465"/>
      <c r="L501" s="465"/>
      <c r="M501" s="465"/>
      <c r="N501" s="465"/>
      <c r="O501" s="465"/>
      <c r="P501" s="465"/>
      <c r="Q501" s="465"/>
      <c r="R501" s="465"/>
      <c r="S501" s="465"/>
      <c r="T501" s="465"/>
      <c r="U501" s="465"/>
      <c r="V501" s="465"/>
      <c r="W501" s="465"/>
      <c r="X501" s="465"/>
      <c r="Y501" s="465"/>
      <c r="Z501" s="465"/>
    </row>
    <row r="502" spans="1:26" ht="15.75" customHeight="1">
      <c r="A502" s="465"/>
      <c r="B502" s="465"/>
      <c r="C502" s="465"/>
      <c r="D502" s="873"/>
      <c r="E502" s="465"/>
      <c r="F502" s="465"/>
      <c r="G502" s="465"/>
      <c r="H502" s="465"/>
      <c r="I502" s="465"/>
      <c r="J502" s="465"/>
      <c r="K502" s="465"/>
      <c r="L502" s="465"/>
      <c r="M502" s="465"/>
      <c r="N502" s="465"/>
      <c r="O502" s="465"/>
      <c r="P502" s="465"/>
      <c r="Q502" s="465"/>
      <c r="R502" s="465"/>
      <c r="S502" s="465"/>
      <c r="T502" s="465"/>
      <c r="U502" s="465"/>
      <c r="V502" s="465"/>
      <c r="W502" s="465"/>
      <c r="X502" s="465"/>
      <c r="Y502" s="465"/>
      <c r="Z502" s="465"/>
    </row>
    <row r="503" spans="1:26" ht="15.75" customHeight="1">
      <c r="A503" s="465"/>
      <c r="B503" s="465"/>
      <c r="C503" s="465"/>
      <c r="D503" s="873"/>
      <c r="E503" s="465"/>
      <c r="F503" s="465"/>
      <c r="G503" s="465"/>
      <c r="H503" s="465"/>
      <c r="I503" s="465"/>
      <c r="J503" s="465"/>
      <c r="K503" s="465"/>
      <c r="L503" s="465"/>
      <c r="M503" s="465"/>
      <c r="N503" s="465"/>
      <c r="O503" s="465"/>
      <c r="P503" s="465"/>
      <c r="Q503" s="465"/>
      <c r="R503" s="465"/>
      <c r="S503" s="465"/>
      <c r="T503" s="465"/>
      <c r="U503" s="465"/>
      <c r="V503" s="465"/>
      <c r="W503" s="465"/>
      <c r="X503" s="465"/>
      <c r="Y503" s="465"/>
      <c r="Z503" s="465"/>
    </row>
    <row r="504" spans="1:26" ht="15.75" customHeight="1">
      <c r="A504" s="465"/>
      <c r="B504" s="465"/>
      <c r="C504" s="465"/>
      <c r="D504" s="873"/>
      <c r="E504" s="465"/>
      <c r="F504" s="465"/>
      <c r="G504" s="465"/>
      <c r="H504" s="465"/>
      <c r="I504" s="465"/>
      <c r="J504" s="465"/>
      <c r="K504" s="465"/>
      <c r="L504" s="465"/>
      <c r="M504" s="465"/>
      <c r="N504" s="465"/>
      <c r="O504" s="465"/>
      <c r="P504" s="465"/>
      <c r="Q504" s="465"/>
      <c r="R504" s="465"/>
      <c r="S504" s="465"/>
      <c r="T504" s="465"/>
      <c r="U504" s="465"/>
      <c r="V504" s="465"/>
      <c r="W504" s="465"/>
      <c r="X504" s="465"/>
      <c r="Y504" s="465"/>
      <c r="Z504" s="465"/>
    </row>
    <row r="505" spans="1:26" ht="15.75" customHeight="1">
      <c r="A505" s="465"/>
      <c r="B505" s="465"/>
      <c r="C505" s="465"/>
      <c r="D505" s="873"/>
      <c r="E505" s="465"/>
      <c r="F505" s="465"/>
      <c r="G505" s="465"/>
      <c r="H505" s="465"/>
      <c r="I505" s="465"/>
      <c r="J505" s="465"/>
      <c r="K505" s="465"/>
      <c r="L505" s="465"/>
      <c r="M505" s="465"/>
      <c r="N505" s="465"/>
      <c r="O505" s="465"/>
      <c r="P505" s="465"/>
      <c r="Q505" s="465"/>
      <c r="R505" s="465"/>
      <c r="S505" s="465"/>
      <c r="T505" s="465"/>
      <c r="U505" s="465"/>
      <c r="V505" s="465"/>
      <c r="W505" s="465"/>
      <c r="X505" s="465"/>
      <c r="Y505" s="465"/>
      <c r="Z505" s="465"/>
    </row>
    <row r="506" spans="1:26" ht="15.75" customHeight="1">
      <c r="A506" s="465"/>
      <c r="B506" s="465"/>
      <c r="C506" s="465"/>
      <c r="D506" s="873"/>
      <c r="E506" s="465"/>
      <c r="F506" s="465"/>
      <c r="G506" s="465"/>
      <c r="H506" s="465"/>
      <c r="I506" s="465"/>
      <c r="J506" s="465"/>
      <c r="K506" s="465"/>
      <c r="L506" s="465"/>
      <c r="M506" s="465"/>
      <c r="N506" s="465"/>
      <c r="O506" s="465"/>
      <c r="P506" s="465"/>
      <c r="Q506" s="465"/>
      <c r="R506" s="465"/>
      <c r="S506" s="465"/>
      <c r="T506" s="465"/>
      <c r="U506" s="465"/>
      <c r="V506" s="465"/>
      <c r="W506" s="465"/>
      <c r="X506" s="465"/>
      <c r="Y506" s="465"/>
      <c r="Z506" s="465"/>
    </row>
    <row r="507" spans="1:26" ht="15.75" customHeight="1">
      <c r="A507" s="465"/>
      <c r="B507" s="465"/>
      <c r="C507" s="465"/>
      <c r="D507" s="873"/>
      <c r="E507" s="465"/>
      <c r="F507" s="465"/>
      <c r="G507" s="465"/>
      <c r="H507" s="465"/>
      <c r="I507" s="465"/>
      <c r="J507" s="465"/>
      <c r="K507" s="465"/>
      <c r="L507" s="465"/>
      <c r="M507" s="465"/>
      <c r="N507" s="465"/>
      <c r="O507" s="465"/>
      <c r="P507" s="465"/>
      <c r="Q507" s="465"/>
      <c r="R507" s="465"/>
      <c r="S507" s="465"/>
      <c r="T507" s="465"/>
      <c r="U507" s="465"/>
      <c r="V507" s="465"/>
      <c r="W507" s="465"/>
      <c r="X507" s="465"/>
      <c r="Y507" s="465"/>
      <c r="Z507" s="465"/>
    </row>
    <row r="508" spans="1:26" ht="15.75" customHeight="1">
      <c r="A508" s="465"/>
      <c r="B508" s="465"/>
      <c r="C508" s="465"/>
      <c r="D508" s="873"/>
      <c r="E508" s="465"/>
      <c r="F508" s="465"/>
      <c r="G508" s="465"/>
      <c r="H508" s="465"/>
      <c r="I508" s="465"/>
      <c r="J508" s="465"/>
      <c r="K508" s="465"/>
      <c r="L508" s="465"/>
      <c r="M508" s="465"/>
      <c r="N508" s="465"/>
      <c r="O508" s="465"/>
      <c r="P508" s="465"/>
      <c r="Q508" s="465"/>
      <c r="R508" s="465"/>
      <c r="S508" s="465"/>
      <c r="T508" s="465"/>
      <c r="U508" s="465"/>
      <c r="V508" s="465"/>
      <c r="W508" s="465"/>
      <c r="X508" s="465"/>
      <c r="Y508" s="465"/>
      <c r="Z508" s="465"/>
    </row>
    <row r="509" spans="1:26" ht="15.75" customHeight="1">
      <c r="A509" s="465"/>
      <c r="B509" s="465"/>
      <c r="C509" s="465"/>
      <c r="D509" s="873"/>
      <c r="E509" s="465"/>
      <c r="F509" s="465"/>
      <c r="G509" s="465"/>
      <c r="H509" s="465"/>
      <c r="I509" s="465"/>
      <c r="J509" s="465"/>
      <c r="K509" s="465"/>
      <c r="L509" s="465"/>
      <c r="M509" s="465"/>
      <c r="N509" s="465"/>
      <c r="O509" s="465"/>
      <c r="P509" s="465"/>
      <c r="Q509" s="465"/>
      <c r="R509" s="465"/>
      <c r="S509" s="465"/>
      <c r="T509" s="465"/>
      <c r="U509" s="465"/>
      <c r="V509" s="465"/>
      <c r="W509" s="465"/>
      <c r="X509" s="465"/>
      <c r="Y509" s="465"/>
      <c r="Z509" s="465"/>
    </row>
    <row r="510" spans="1:26" ht="15.75" customHeight="1">
      <c r="A510" s="465"/>
      <c r="B510" s="465"/>
      <c r="C510" s="465"/>
      <c r="D510" s="873"/>
      <c r="E510" s="465"/>
      <c r="F510" s="465"/>
      <c r="G510" s="465"/>
      <c r="H510" s="465"/>
      <c r="I510" s="465"/>
      <c r="J510" s="465"/>
      <c r="K510" s="465"/>
      <c r="L510" s="465"/>
      <c r="M510" s="465"/>
      <c r="N510" s="465"/>
      <c r="O510" s="465"/>
      <c r="P510" s="465"/>
      <c r="Q510" s="465"/>
      <c r="R510" s="465"/>
      <c r="S510" s="465"/>
      <c r="T510" s="465"/>
      <c r="U510" s="465"/>
      <c r="V510" s="465"/>
      <c r="W510" s="465"/>
      <c r="X510" s="465"/>
      <c r="Y510" s="465"/>
      <c r="Z510" s="465"/>
    </row>
    <row r="511" spans="1:26" ht="15.75" customHeight="1">
      <c r="A511" s="465"/>
      <c r="B511" s="465"/>
      <c r="C511" s="465"/>
      <c r="D511" s="873"/>
      <c r="E511" s="465"/>
      <c r="F511" s="465"/>
      <c r="G511" s="465"/>
      <c r="H511" s="465"/>
      <c r="I511" s="465"/>
      <c r="J511" s="465"/>
      <c r="K511" s="465"/>
      <c r="L511" s="465"/>
      <c r="M511" s="465"/>
      <c r="N511" s="465"/>
      <c r="O511" s="465"/>
      <c r="P511" s="465"/>
      <c r="Q511" s="465"/>
      <c r="R511" s="465"/>
      <c r="S511" s="465"/>
      <c r="T511" s="465"/>
      <c r="U511" s="465"/>
      <c r="V511" s="465"/>
      <c r="W511" s="465"/>
      <c r="X511" s="465"/>
      <c r="Y511" s="465"/>
      <c r="Z511" s="465"/>
    </row>
    <row r="512" spans="1:26" ht="15.75" customHeight="1">
      <c r="A512" s="465"/>
      <c r="B512" s="465"/>
      <c r="C512" s="465"/>
      <c r="D512" s="873"/>
      <c r="E512" s="465"/>
      <c r="F512" s="465"/>
      <c r="G512" s="465"/>
      <c r="H512" s="465"/>
      <c r="I512" s="465"/>
      <c r="J512" s="465"/>
      <c r="K512" s="465"/>
      <c r="L512" s="465"/>
      <c r="M512" s="465"/>
      <c r="N512" s="465"/>
      <c r="O512" s="465"/>
      <c r="P512" s="465"/>
      <c r="Q512" s="465"/>
      <c r="R512" s="465"/>
      <c r="S512" s="465"/>
      <c r="T512" s="465"/>
      <c r="U512" s="465"/>
      <c r="V512" s="465"/>
      <c r="W512" s="465"/>
      <c r="X512" s="465"/>
      <c r="Y512" s="465"/>
      <c r="Z512" s="465"/>
    </row>
    <row r="513" spans="1:26" ht="15.75" customHeight="1">
      <c r="A513" s="465"/>
      <c r="B513" s="465"/>
      <c r="C513" s="465"/>
      <c r="D513" s="873"/>
      <c r="E513" s="465"/>
      <c r="F513" s="465"/>
      <c r="G513" s="465"/>
      <c r="H513" s="465"/>
      <c r="I513" s="465"/>
      <c r="J513" s="465"/>
      <c r="K513" s="465"/>
      <c r="L513" s="465"/>
      <c r="M513" s="465"/>
      <c r="N513" s="465"/>
      <c r="O513" s="465"/>
      <c r="P513" s="465"/>
      <c r="Q513" s="465"/>
      <c r="R513" s="465"/>
      <c r="S513" s="465"/>
      <c r="T513" s="465"/>
      <c r="U513" s="465"/>
      <c r="V513" s="465"/>
      <c r="W513" s="465"/>
      <c r="X513" s="465"/>
      <c r="Y513" s="465"/>
      <c r="Z513" s="465"/>
    </row>
    <row r="514" spans="1:26" ht="15.75" customHeight="1">
      <c r="A514" s="465"/>
      <c r="B514" s="465"/>
      <c r="C514" s="465"/>
      <c r="D514" s="873"/>
      <c r="E514" s="465"/>
      <c r="F514" s="465"/>
      <c r="G514" s="465"/>
      <c r="H514" s="465"/>
      <c r="I514" s="465"/>
      <c r="J514" s="465"/>
      <c r="K514" s="465"/>
      <c r="L514" s="465"/>
      <c r="M514" s="465"/>
      <c r="N514" s="465"/>
      <c r="O514" s="465"/>
      <c r="P514" s="465"/>
      <c r="Q514" s="465"/>
      <c r="R514" s="465"/>
      <c r="S514" s="465"/>
      <c r="T514" s="465"/>
      <c r="U514" s="465"/>
      <c r="V514" s="465"/>
      <c r="W514" s="465"/>
      <c r="X514" s="465"/>
      <c r="Y514" s="465"/>
      <c r="Z514" s="465"/>
    </row>
    <row r="515" spans="1:26" ht="15.75" customHeight="1">
      <c r="A515" s="465"/>
      <c r="B515" s="465"/>
      <c r="C515" s="465"/>
      <c r="D515" s="873"/>
      <c r="E515" s="465"/>
      <c r="F515" s="465"/>
      <c r="G515" s="465"/>
      <c r="H515" s="465"/>
      <c r="I515" s="465"/>
      <c r="J515" s="465"/>
      <c r="K515" s="465"/>
      <c r="L515" s="465"/>
      <c r="M515" s="465"/>
      <c r="N515" s="465"/>
      <c r="O515" s="465"/>
      <c r="P515" s="465"/>
      <c r="Q515" s="465"/>
      <c r="R515" s="465"/>
      <c r="S515" s="465"/>
      <c r="T515" s="465"/>
      <c r="U515" s="465"/>
      <c r="V515" s="465"/>
      <c r="W515" s="465"/>
      <c r="X515" s="465"/>
      <c r="Y515" s="465"/>
      <c r="Z515" s="465"/>
    </row>
    <row r="516" spans="1:26" ht="15.75" customHeight="1">
      <c r="A516" s="465"/>
      <c r="B516" s="465"/>
      <c r="C516" s="465"/>
      <c r="D516" s="873"/>
      <c r="E516" s="465"/>
      <c r="F516" s="465"/>
      <c r="G516" s="465"/>
      <c r="H516" s="465"/>
      <c r="I516" s="465"/>
      <c r="J516" s="465"/>
      <c r="K516" s="465"/>
      <c r="L516" s="465"/>
      <c r="M516" s="465"/>
      <c r="N516" s="465"/>
      <c r="O516" s="465"/>
      <c r="P516" s="465"/>
      <c r="Q516" s="465"/>
      <c r="R516" s="465"/>
      <c r="S516" s="465"/>
      <c r="T516" s="465"/>
      <c r="U516" s="465"/>
      <c r="V516" s="465"/>
      <c r="W516" s="465"/>
      <c r="X516" s="465"/>
      <c r="Y516" s="465"/>
      <c r="Z516" s="465"/>
    </row>
    <row r="517" spans="1:26" ht="15.75" customHeight="1">
      <c r="A517" s="465"/>
      <c r="B517" s="465"/>
      <c r="C517" s="465"/>
      <c r="D517" s="873"/>
      <c r="E517" s="465"/>
      <c r="F517" s="465"/>
      <c r="G517" s="465"/>
      <c r="H517" s="465"/>
      <c r="I517" s="465"/>
      <c r="J517" s="465"/>
      <c r="K517" s="465"/>
      <c r="L517" s="465"/>
      <c r="M517" s="465"/>
      <c r="N517" s="465"/>
      <c r="O517" s="465"/>
      <c r="P517" s="465"/>
      <c r="Q517" s="465"/>
      <c r="R517" s="465"/>
      <c r="S517" s="465"/>
      <c r="T517" s="465"/>
      <c r="U517" s="465"/>
      <c r="V517" s="465"/>
      <c r="W517" s="465"/>
      <c r="X517" s="465"/>
      <c r="Y517" s="465"/>
      <c r="Z517" s="465"/>
    </row>
    <row r="518" spans="1:26" ht="15.75" customHeight="1">
      <c r="A518" s="465"/>
      <c r="B518" s="465"/>
      <c r="C518" s="465"/>
      <c r="D518" s="873"/>
      <c r="E518" s="465"/>
      <c r="F518" s="465"/>
      <c r="G518" s="465"/>
      <c r="H518" s="465"/>
      <c r="I518" s="465"/>
      <c r="J518" s="465"/>
      <c r="K518" s="465"/>
      <c r="L518" s="465"/>
      <c r="M518" s="465"/>
      <c r="N518" s="465"/>
      <c r="O518" s="465"/>
      <c r="P518" s="465"/>
      <c r="Q518" s="465"/>
      <c r="R518" s="465"/>
      <c r="S518" s="465"/>
      <c r="T518" s="465"/>
      <c r="U518" s="465"/>
      <c r="V518" s="465"/>
      <c r="W518" s="465"/>
      <c r="X518" s="465"/>
      <c r="Y518" s="465"/>
      <c r="Z518" s="465"/>
    </row>
    <row r="519" spans="1:26" ht="15.75" customHeight="1">
      <c r="A519" s="465"/>
      <c r="B519" s="465"/>
      <c r="C519" s="465"/>
      <c r="D519" s="873"/>
      <c r="E519" s="465"/>
      <c r="F519" s="465"/>
      <c r="G519" s="465"/>
      <c r="H519" s="465"/>
      <c r="I519" s="465"/>
      <c r="J519" s="465"/>
      <c r="K519" s="465"/>
      <c r="L519" s="465"/>
      <c r="M519" s="465"/>
      <c r="N519" s="465"/>
      <c r="O519" s="465"/>
      <c r="P519" s="465"/>
      <c r="Q519" s="465"/>
      <c r="R519" s="465"/>
      <c r="S519" s="465"/>
      <c r="T519" s="465"/>
      <c r="U519" s="465"/>
      <c r="V519" s="465"/>
      <c r="W519" s="465"/>
      <c r="X519" s="465"/>
      <c r="Y519" s="465"/>
      <c r="Z519" s="465"/>
    </row>
    <row r="520" spans="1:26" ht="15.75" customHeight="1">
      <c r="A520" s="465"/>
      <c r="B520" s="465"/>
      <c r="C520" s="465"/>
      <c r="D520" s="873"/>
      <c r="E520" s="465"/>
      <c r="F520" s="465"/>
      <c r="G520" s="465"/>
      <c r="H520" s="465"/>
      <c r="I520" s="465"/>
      <c r="J520" s="465"/>
      <c r="K520" s="465"/>
      <c r="L520" s="465"/>
      <c r="M520" s="465"/>
      <c r="N520" s="465"/>
      <c r="O520" s="465"/>
      <c r="P520" s="465"/>
      <c r="Q520" s="465"/>
      <c r="R520" s="465"/>
      <c r="S520" s="465"/>
      <c r="T520" s="465"/>
      <c r="U520" s="465"/>
      <c r="V520" s="465"/>
      <c r="W520" s="465"/>
      <c r="X520" s="465"/>
      <c r="Y520" s="465"/>
      <c r="Z520" s="465"/>
    </row>
    <row r="521" spans="1:26" ht="15.75" customHeight="1">
      <c r="D521" s="874"/>
    </row>
    <row r="522" spans="1:26" ht="15.75" customHeight="1">
      <c r="D522" s="874"/>
    </row>
    <row r="523" spans="1:26" ht="15.75" customHeight="1">
      <c r="D523" s="874"/>
    </row>
    <row r="524" spans="1:26" ht="15.75" customHeight="1">
      <c r="D524" s="874"/>
    </row>
    <row r="525" spans="1:26" ht="15.75" customHeight="1">
      <c r="D525" s="874"/>
    </row>
    <row r="526" spans="1:26" ht="15.75" customHeight="1">
      <c r="D526" s="874"/>
    </row>
    <row r="527" spans="1:26" ht="15.75" customHeight="1">
      <c r="D527" s="874"/>
    </row>
    <row r="528" spans="1:26" ht="15.75" customHeight="1">
      <c r="D528" s="874"/>
    </row>
    <row r="529" spans="4:4" ht="15.75" customHeight="1">
      <c r="D529" s="874"/>
    </row>
    <row r="530" spans="4:4" ht="15.75" customHeight="1">
      <c r="D530" s="874"/>
    </row>
    <row r="531" spans="4:4" ht="15.75" customHeight="1">
      <c r="D531" s="874"/>
    </row>
    <row r="532" spans="4:4" ht="15.75" customHeight="1">
      <c r="D532" s="874"/>
    </row>
    <row r="533" spans="4:4" ht="15.75" customHeight="1">
      <c r="D533" s="874"/>
    </row>
    <row r="534" spans="4:4" ht="15.75" customHeight="1">
      <c r="D534" s="874"/>
    </row>
    <row r="535" spans="4:4" ht="15.75" customHeight="1">
      <c r="D535" s="874"/>
    </row>
    <row r="536" spans="4:4" ht="15.75" customHeight="1">
      <c r="D536" s="874"/>
    </row>
    <row r="537" spans="4:4" ht="15.75" customHeight="1">
      <c r="D537" s="874"/>
    </row>
    <row r="538" spans="4:4" ht="15.75" customHeight="1">
      <c r="D538" s="874"/>
    </row>
    <row r="539" spans="4:4" ht="15.75" customHeight="1">
      <c r="D539" s="874"/>
    </row>
    <row r="540" spans="4:4" ht="15.75" customHeight="1">
      <c r="D540" s="874"/>
    </row>
    <row r="541" spans="4:4" ht="15.75" customHeight="1">
      <c r="D541" s="874"/>
    </row>
    <row r="542" spans="4:4" ht="15.75" customHeight="1">
      <c r="D542" s="874"/>
    </row>
    <row r="543" spans="4:4" ht="15.75" customHeight="1">
      <c r="D543" s="874"/>
    </row>
    <row r="544" spans="4:4" ht="15.75" customHeight="1">
      <c r="D544" s="874"/>
    </row>
    <row r="545" spans="4:4" ht="15.75" customHeight="1">
      <c r="D545" s="874"/>
    </row>
    <row r="546" spans="4:4" ht="15.75" customHeight="1">
      <c r="D546" s="874"/>
    </row>
    <row r="547" spans="4:4" ht="15.75" customHeight="1">
      <c r="D547" s="874"/>
    </row>
    <row r="548" spans="4:4" ht="15.75" customHeight="1">
      <c r="D548" s="874"/>
    </row>
    <row r="549" spans="4:4" ht="15.75" customHeight="1">
      <c r="D549" s="874"/>
    </row>
    <row r="550" spans="4:4" ht="15.75" customHeight="1">
      <c r="D550" s="874"/>
    </row>
    <row r="551" spans="4:4" ht="15.75" customHeight="1">
      <c r="D551" s="874"/>
    </row>
    <row r="552" spans="4:4" ht="15.75" customHeight="1">
      <c r="D552" s="874"/>
    </row>
    <row r="553" spans="4:4" ht="15.75" customHeight="1">
      <c r="D553" s="874"/>
    </row>
    <row r="554" spans="4:4" ht="15.75" customHeight="1">
      <c r="D554" s="874"/>
    </row>
    <row r="555" spans="4:4" ht="15.75" customHeight="1">
      <c r="D555" s="874"/>
    </row>
    <row r="556" spans="4:4" ht="15.75" customHeight="1">
      <c r="D556" s="874"/>
    </row>
    <row r="557" spans="4:4" ht="15.75" customHeight="1">
      <c r="D557" s="874"/>
    </row>
    <row r="558" spans="4:4" ht="15.75" customHeight="1">
      <c r="D558" s="874"/>
    </row>
    <row r="559" spans="4:4" ht="15.75" customHeight="1">
      <c r="D559" s="874"/>
    </row>
    <row r="560" spans="4:4" ht="15.75" customHeight="1">
      <c r="D560" s="874"/>
    </row>
    <row r="561" spans="4:4" ht="15.75" customHeight="1">
      <c r="D561" s="874"/>
    </row>
    <row r="562" spans="4:4" ht="15.75" customHeight="1">
      <c r="D562" s="874"/>
    </row>
    <row r="563" spans="4:4" ht="15.75" customHeight="1">
      <c r="D563" s="874"/>
    </row>
    <row r="564" spans="4:4" ht="15.75" customHeight="1">
      <c r="D564" s="874"/>
    </row>
    <row r="565" spans="4:4" ht="15.75" customHeight="1">
      <c r="D565" s="874"/>
    </row>
    <row r="566" spans="4:4" ht="15.75" customHeight="1">
      <c r="D566" s="874"/>
    </row>
    <row r="567" spans="4:4" ht="15.75" customHeight="1">
      <c r="D567" s="874"/>
    </row>
    <row r="568" spans="4:4" ht="15.75" customHeight="1">
      <c r="D568" s="874"/>
    </row>
    <row r="569" spans="4:4" ht="15.75" customHeight="1">
      <c r="D569" s="874"/>
    </row>
    <row r="570" spans="4:4" ht="15.75" customHeight="1">
      <c r="D570" s="874"/>
    </row>
    <row r="571" spans="4:4" ht="15.75" customHeight="1">
      <c r="D571" s="874"/>
    </row>
    <row r="572" spans="4:4" ht="15.75" customHeight="1">
      <c r="D572" s="874"/>
    </row>
    <row r="573" spans="4:4" ht="15.75" customHeight="1">
      <c r="D573" s="874"/>
    </row>
    <row r="574" spans="4:4" ht="15.75" customHeight="1">
      <c r="D574" s="874"/>
    </row>
    <row r="575" spans="4:4" ht="15.75" customHeight="1">
      <c r="D575" s="874"/>
    </row>
    <row r="576" spans="4:4" ht="15.75" customHeight="1">
      <c r="D576" s="874"/>
    </row>
    <row r="577" spans="4:4" ht="15.75" customHeight="1">
      <c r="D577" s="874"/>
    </row>
    <row r="578" spans="4:4" ht="15.75" customHeight="1">
      <c r="D578" s="874"/>
    </row>
    <row r="579" spans="4:4" ht="15.75" customHeight="1">
      <c r="D579" s="874"/>
    </row>
    <row r="580" spans="4:4" ht="15.75" customHeight="1">
      <c r="D580" s="874"/>
    </row>
    <row r="581" spans="4:4" ht="15.75" customHeight="1">
      <c r="D581" s="874"/>
    </row>
    <row r="582" spans="4:4" ht="15.75" customHeight="1">
      <c r="D582" s="874"/>
    </row>
    <row r="583" spans="4:4" ht="15.75" customHeight="1">
      <c r="D583" s="874"/>
    </row>
    <row r="584" spans="4:4" ht="15.75" customHeight="1">
      <c r="D584" s="874"/>
    </row>
    <row r="585" spans="4:4" ht="15.75" customHeight="1">
      <c r="D585" s="874"/>
    </row>
    <row r="586" spans="4:4" ht="15.75" customHeight="1">
      <c r="D586" s="874"/>
    </row>
    <row r="587" spans="4:4" ht="15.75" customHeight="1">
      <c r="D587" s="874"/>
    </row>
    <row r="588" spans="4:4" ht="15.75" customHeight="1">
      <c r="D588" s="874"/>
    </row>
    <row r="589" spans="4:4" ht="15.75" customHeight="1">
      <c r="D589" s="874"/>
    </row>
    <row r="590" spans="4:4" ht="15.75" customHeight="1">
      <c r="D590" s="874"/>
    </row>
    <row r="591" spans="4:4" ht="15.75" customHeight="1">
      <c r="D591" s="874"/>
    </row>
    <row r="592" spans="4:4" ht="15.75" customHeight="1">
      <c r="D592" s="874"/>
    </row>
    <row r="593" spans="4:4" ht="15.75" customHeight="1">
      <c r="D593" s="874"/>
    </row>
    <row r="594" spans="4:4" ht="15.75" customHeight="1">
      <c r="D594" s="874"/>
    </row>
    <row r="595" spans="4:4" ht="15.75" customHeight="1">
      <c r="D595" s="874"/>
    </row>
    <row r="596" spans="4:4" ht="15.75" customHeight="1">
      <c r="D596" s="874"/>
    </row>
    <row r="597" spans="4:4" ht="15.75" customHeight="1">
      <c r="D597" s="874"/>
    </row>
    <row r="598" spans="4:4" ht="15.75" customHeight="1">
      <c r="D598" s="874"/>
    </row>
    <row r="599" spans="4:4" ht="15.75" customHeight="1">
      <c r="D599" s="874"/>
    </row>
    <row r="600" spans="4:4" ht="15.75" customHeight="1">
      <c r="D600" s="874"/>
    </row>
    <row r="601" spans="4:4" ht="15.75" customHeight="1">
      <c r="D601" s="874"/>
    </row>
    <row r="602" spans="4:4" ht="15.75" customHeight="1">
      <c r="D602" s="874"/>
    </row>
    <row r="603" spans="4:4" ht="15.75" customHeight="1">
      <c r="D603" s="874"/>
    </row>
    <row r="604" spans="4:4" ht="15.75" customHeight="1">
      <c r="D604" s="874"/>
    </row>
    <row r="605" spans="4:4" ht="15.75" customHeight="1">
      <c r="D605" s="874"/>
    </row>
    <row r="606" spans="4:4" ht="15.75" customHeight="1">
      <c r="D606" s="874"/>
    </row>
    <row r="607" spans="4:4" ht="15.75" customHeight="1">
      <c r="D607" s="874"/>
    </row>
    <row r="608" spans="4:4" ht="15.75" customHeight="1">
      <c r="D608" s="874"/>
    </row>
    <row r="609" spans="4:4" ht="15.75" customHeight="1">
      <c r="D609" s="874"/>
    </row>
    <row r="610" spans="4:4" ht="15.75" customHeight="1">
      <c r="D610" s="874"/>
    </row>
    <row r="611" spans="4:4" ht="15.75" customHeight="1">
      <c r="D611" s="874"/>
    </row>
    <row r="612" spans="4:4" ht="15.75" customHeight="1">
      <c r="D612" s="874"/>
    </row>
    <row r="613" spans="4:4" ht="15.75" customHeight="1">
      <c r="D613" s="874"/>
    </row>
    <row r="614" spans="4:4" ht="15.75" customHeight="1">
      <c r="D614" s="874"/>
    </row>
    <row r="615" spans="4:4" ht="15.75" customHeight="1">
      <c r="D615" s="874"/>
    </row>
    <row r="616" spans="4:4" ht="15.75" customHeight="1">
      <c r="D616" s="874"/>
    </row>
    <row r="617" spans="4:4" ht="15.75" customHeight="1">
      <c r="D617" s="874"/>
    </row>
    <row r="618" spans="4:4" ht="15.75" customHeight="1">
      <c r="D618" s="874"/>
    </row>
    <row r="619" spans="4:4" ht="15.75" customHeight="1">
      <c r="D619" s="874"/>
    </row>
    <row r="620" spans="4:4" ht="15.75" customHeight="1">
      <c r="D620" s="874"/>
    </row>
    <row r="621" spans="4:4" ht="15.75" customHeight="1">
      <c r="D621" s="874"/>
    </row>
    <row r="622" spans="4:4" ht="15.75" customHeight="1">
      <c r="D622" s="874"/>
    </row>
    <row r="623" spans="4:4" ht="15.75" customHeight="1">
      <c r="D623" s="874"/>
    </row>
    <row r="624" spans="4:4" ht="15.75" customHeight="1">
      <c r="D624" s="874"/>
    </row>
    <row r="625" spans="4:4" ht="15.75" customHeight="1">
      <c r="D625" s="874"/>
    </row>
    <row r="626" spans="4:4" ht="15.75" customHeight="1">
      <c r="D626" s="874"/>
    </row>
    <row r="627" spans="4:4" ht="15.75" customHeight="1">
      <c r="D627" s="874"/>
    </row>
    <row r="628" spans="4:4" ht="15.75" customHeight="1">
      <c r="D628" s="874"/>
    </row>
    <row r="629" spans="4:4" ht="15.75" customHeight="1">
      <c r="D629" s="874"/>
    </row>
    <row r="630" spans="4:4" ht="15.75" customHeight="1">
      <c r="D630" s="874"/>
    </row>
    <row r="631" spans="4:4" ht="15.75" customHeight="1">
      <c r="D631" s="874"/>
    </row>
    <row r="632" spans="4:4" ht="15.75" customHeight="1">
      <c r="D632" s="874"/>
    </row>
    <row r="633" spans="4:4" ht="15.75" customHeight="1">
      <c r="D633" s="874"/>
    </row>
    <row r="634" spans="4:4" ht="15.75" customHeight="1">
      <c r="D634" s="874"/>
    </row>
    <row r="635" spans="4:4" ht="15.75" customHeight="1">
      <c r="D635" s="874"/>
    </row>
    <row r="636" spans="4:4" ht="15.75" customHeight="1">
      <c r="D636" s="874"/>
    </row>
    <row r="637" spans="4:4" ht="15.75" customHeight="1">
      <c r="D637" s="874"/>
    </row>
    <row r="638" spans="4:4" ht="15.75" customHeight="1">
      <c r="D638" s="874"/>
    </row>
    <row r="639" spans="4:4" ht="15.75" customHeight="1">
      <c r="D639" s="874"/>
    </row>
    <row r="640" spans="4:4" ht="15.75" customHeight="1">
      <c r="D640" s="874"/>
    </row>
    <row r="641" spans="4:4" ht="15.75" customHeight="1">
      <c r="D641" s="874"/>
    </row>
    <row r="642" spans="4:4" ht="15.75" customHeight="1">
      <c r="D642" s="874"/>
    </row>
    <row r="643" spans="4:4" ht="15.75" customHeight="1">
      <c r="D643" s="874"/>
    </row>
    <row r="644" spans="4:4" ht="15.75" customHeight="1">
      <c r="D644" s="874"/>
    </row>
    <row r="645" spans="4:4" ht="15.75" customHeight="1">
      <c r="D645" s="874"/>
    </row>
    <row r="646" spans="4:4" ht="15.75" customHeight="1">
      <c r="D646" s="874"/>
    </row>
    <row r="647" spans="4:4" ht="15.75" customHeight="1">
      <c r="D647" s="874"/>
    </row>
    <row r="648" spans="4:4" ht="15.75" customHeight="1">
      <c r="D648" s="874"/>
    </row>
    <row r="649" spans="4:4" ht="15.75" customHeight="1">
      <c r="D649" s="874"/>
    </row>
    <row r="650" spans="4:4" ht="15.75" customHeight="1">
      <c r="D650" s="874"/>
    </row>
    <row r="651" spans="4:4" ht="15.75" customHeight="1">
      <c r="D651" s="874"/>
    </row>
    <row r="652" spans="4:4" ht="15.75" customHeight="1">
      <c r="D652" s="874"/>
    </row>
    <row r="653" spans="4:4" ht="15.75" customHeight="1">
      <c r="D653" s="874"/>
    </row>
    <row r="654" spans="4:4" ht="15.75" customHeight="1">
      <c r="D654" s="874"/>
    </row>
    <row r="655" spans="4:4" ht="15.75" customHeight="1">
      <c r="D655" s="874"/>
    </row>
    <row r="656" spans="4:4" ht="15.75" customHeight="1">
      <c r="D656" s="874"/>
    </row>
    <row r="657" spans="4:4" ht="15.75" customHeight="1">
      <c r="D657" s="874"/>
    </row>
    <row r="658" spans="4:4" ht="15.75" customHeight="1">
      <c r="D658" s="874"/>
    </row>
    <row r="659" spans="4:4" ht="15.75" customHeight="1">
      <c r="D659" s="874"/>
    </row>
    <row r="660" spans="4:4" ht="15.75" customHeight="1">
      <c r="D660" s="874"/>
    </row>
    <row r="661" spans="4:4" ht="15.75" customHeight="1">
      <c r="D661" s="874"/>
    </row>
    <row r="662" spans="4:4" ht="15.75" customHeight="1">
      <c r="D662" s="874"/>
    </row>
    <row r="663" spans="4:4" ht="15.75" customHeight="1">
      <c r="D663" s="874"/>
    </row>
    <row r="664" spans="4:4" ht="15.75" customHeight="1">
      <c r="D664" s="874"/>
    </row>
    <row r="665" spans="4:4" ht="15.75" customHeight="1">
      <c r="D665" s="874"/>
    </row>
    <row r="666" spans="4:4" ht="15.75" customHeight="1">
      <c r="D666" s="874"/>
    </row>
    <row r="667" spans="4:4" ht="15.75" customHeight="1">
      <c r="D667" s="874"/>
    </row>
    <row r="668" spans="4:4" ht="15.75" customHeight="1">
      <c r="D668" s="874"/>
    </row>
    <row r="669" spans="4:4" ht="15.75" customHeight="1">
      <c r="D669" s="874"/>
    </row>
    <row r="670" spans="4:4" ht="15.75" customHeight="1">
      <c r="D670" s="874"/>
    </row>
    <row r="671" spans="4:4" ht="15.75" customHeight="1">
      <c r="D671" s="874"/>
    </row>
    <row r="672" spans="4:4" ht="15.75" customHeight="1">
      <c r="D672" s="874"/>
    </row>
    <row r="673" spans="4:4" ht="15.75" customHeight="1">
      <c r="D673" s="874"/>
    </row>
    <row r="674" spans="4:4" ht="15.75" customHeight="1">
      <c r="D674" s="874"/>
    </row>
    <row r="675" spans="4:4" ht="15.75" customHeight="1">
      <c r="D675" s="874"/>
    </row>
    <row r="676" spans="4:4" ht="15.75" customHeight="1">
      <c r="D676" s="874"/>
    </row>
    <row r="677" spans="4:4" ht="15.75" customHeight="1">
      <c r="D677" s="874"/>
    </row>
    <row r="678" spans="4:4" ht="15.75" customHeight="1">
      <c r="D678" s="874"/>
    </row>
    <row r="679" spans="4:4" ht="15.75" customHeight="1">
      <c r="D679" s="874"/>
    </row>
    <row r="680" spans="4:4" ht="15.75" customHeight="1">
      <c r="D680" s="874"/>
    </row>
    <row r="681" spans="4:4" ht="15.75" customHeight="1">
      <c r="D681" s="874"/>
    </row>
    <row r="682" spans="4:4" ht="15.75" customHeight="1">
      <c r="D682" s="874"/>
    </row>
    <row r="683" spans="4:4" ht="15.75" customHeight="1">
      <c r="D683" s="874"/>
    </row>
    <row r="684" spans="4:4" ht="15.75" customHeight="1">
      <c r="D684" s="874"/>
    </row>
    <row r="685" spans="4:4" ht="15.75" customHeight="1">
      <c r="D685" s="874"/>
    </row>
    <row r="686" spans="4:4" ht="15.75" customHeight="1">
      <c r="D686" s="874"/>
    </row>
    <row r="687" spans="4:4" ht="15.75" customHeight="1">
      <c r="D687" s="874"/>
    </row>
    <row r="688" spans="4:4" ht="15.75" customHeight="1">
      <c r="D688" s="874"/>
    </row>
    <row r="689" spans="4:4" ht="15.75" customHeight="1">
      <c r="D689" s="874"/>
    </row>
    <row r="690" spans="4:4" ht="15.75" customHeight="1">
      <c r="D690" s="874"/>
    </row>
    <row r="691" spans="4:4" ht="15.75" customHeight="1">
      <c r="D691" s="874"/>
    </row>
    <row r="692" spans="4:4" ht="15.75" customHeight="1">
      <c r="D692" s="874"/>
    </row>
    <row r="693" spans="4:4" ht="15.75" customHeight="1">
      <c r="D693" s="874"/>
    </row>
    <row r="694" spans="4:4" ht="15.75" customHeight="1">
      <c r="D694" s="874"/>
    </row>
    <row r="695" spans="4:4" ht="15.75" customHeight="1">
      <c r="D695" s="874"/>
    </row>
    <row r="696" spans="4:4" ht="15.75" customHeight="1">
      <c r="D696" s="874"/>
    </row>
    <row r="697" spans="4:4" ht="15.75" customHeight="1">
      <c r="D697" s="874"/>
    </row>
    <row r="698" spans="4:4" ht="15.75" customHeight="1">
      <c r="D698" s="874"/>
    </row>
    <row r="699" spans="4:4" ht="15.75" customHeight="1">
      <c r="D699" s="874"/>
    </row>
    <row r="700" spans="4:4" ht="15.75" customHeight="1">
      <c r="D700" s="874"/>
    </row>
    <row r="701" spans="4:4" ht="15.75" customHeight="1">
      <c r="D701" s="874"/>
    </row>
    <row r="702" spans="4:4" ht="15.75" customHeight="1">
      <c r="D702" s="874"/>
    </row>
    <row r="703" spans="4:4" ht="15.75" customHeight="1">
      <c r="D703" s="874"/>
    </row>
    <row r="704" spans="4:4" ht="15.75" customHeight="1">
      <c r="D704" s="874"/>
    </row>
    <row r="705" spans="4:4" ht="15.75" customHeight="1">
      <c r="D705" s="874"/>
    </row>
    <row r="706" spans="4:4" ht="15.75" customHeight="1">
      <c r="D706" s="874"/>
    </row>
    <row r="707" spans="4:4" ht="15.75" customHeight="1">
      <c r="D707" s="874"/>
    </row>
    <row r="708" spans="4:4" ht="15.75" customHeight="1">
      <c r="D708" s="874"/>
    </row>
    <row r="709" spans="4:4" ht="15.75" customHeight="1">
      <c r="D709" s="874"/>
    </row>
    <row r="710" spans="4:4" ht="15.75" customHeight="1">
      <c r="D710" s="874"/>
    </row>
    <row r="711" spans="4:4" ht="15.75" customHeight="1">
      <c r="D711" s="874"/>
    </row>
    <row r="712" spans="4:4" ht="15.75" customHeight="1">
      <c r="D712" s="874"/>
    </row>
    <row r="713" spans="4:4" ht="15.75" customHeight="1">
      <c r="D713" s="874"/>
    </row>
    <row r="714" spans="4:4" ht="15.75" customHeight="1">
      <c r="D714" s="874"/>
    </row>
    <row r="715" spans="4:4" ht="15.75" customHeight="1">
      <c r="D715" s="874"/>
    </row>
    <row r="716" spans="4:4" ht="15.75" customHeight="1">
      <c r="D716" s="874"/>
    </row>
    <row r="717" spans="4:4" ht="15.75" customHeight="1">
      <c r="D717" s="874"/>
    </row>
    <row r="718" spans="4:4" ht="15.75" customHeight="1">
      <c r="D718" s="874"/>
    </row>
    <row r="719" spans="4:4" ht="15.75" customHeight="1">
      <c r="D719" s="874"/>
    </row>
    <row r="720" spans="4:4" ht="15.75" customHeight="1">
      <c r="D720" s="874"/>
    </row>
    <row r="721" spans="4:4" ht="15.75" customHeight="1">
      <c r="D721" s="874"/>
    </row>
    <row r="722" spans="4:4" ht="15.75" customHeight="1">
      <c r="D722" s="874"/>
    </row>
    <row r="723" spans="4:4" ht="15.75" customHeight="1">
      <c r="D723" s="874"/>
    </row>
    <row r="724" spans="4:4" ht="15.75" customHeight="1">
      <c r="D724" s="874"/>
    </row>
    <row r="725" spans="4:4" ht="15.75" customHeight="1">
      <c r="D725" s="874"/>
    </row>
    <row r="726" spans="4:4" ht="15.75" customHeight="1">
      <c r="D726" s="874"/>
    </row>
    <row r="727" spans="4:4" ht="15.75" customHeight="1">
      <c r="D727" s="874"/>
    </row>
    <row r="728" spans="4:4" ht="15.75" customHeight="1">
      <c r="D728" s="874"/>
    </row>
    <row r="729" spans="4:4" ht="15.75" customHeight="1">
      <c r="D729" s="874"/>
    </row>
    <row r="730" spans="4:4" ht="15.75" customHeight="1">
      <c r="D730" s="874"/>
    </row>
    <row r="731" spans="4:4" ht="15.75" customHeight="1">
      <c r="D731" s="874"/>
    </row>
    <row r="732" spans="4:4" ht="15.75" customHeight="1">
      <c r="D732" s="874"/>
    </row>
    <row r="733" spans="4:4" ht="15.75" customHeight="1">
      <c r="D733" s="874"/>
    </row>
    <row r="734" spans="4:4" ht="15.75" customHeight="1">
      <c r="D734" s="874"/>
    </row>
    <row r="735" spans="4:4" ht="15.75" customHeight="1">
      <c r="D735" s="874"/>
    </row>
    <row r="736" spans="4:4" ht="15.75" customHeight="1">
      <c r="D736" s="874"/>
    </row>
    <row r="737" spans="4:4" ht="15.75" customHeight="1">
      <c r="D737" s="874"/>
    </row>
    <row r="738" spans="4:4" ht="15.75" customHeight="1">
      <c r="D738" s="874"/>
    </row>
    <row r="739" spans="4:4" ht="15.75" customHeight="1">
      <c r="D739" s="874"/>
    </row>
    <row r="740" spans="4:4" ht="15.75" customHeight="1">
      <c r="D740" s="874"/>
    </row>
    <row r="741" spans="4:4" ht="15.75" customHeight="1">
      <c r="D741" s="874"/>
    </row>
    <row r="742" spans="4:4" ht="15.75" customHeight="1">
      <c r="D742" s="874"/>
    </row>
    <row r="743" spans="4:4" ht="15.75" customHeight="1">
      <c r="D743" s="874"/>
    </row>
    <row r="744" spans="4:4" ht="15.75" customHeight="1">
      <c r="D744" s="874"/>
    </row>
    <row r="745" spans="4:4" ht="15.75" customHeight="1">
      <c r="D745" s="874"/>
    </row>
    <row r="746" spans="4:4" ht="15.75" customHeight="1">
      <c r="D746" s="874"/>
    </row>
    <row r="747" spans="4:4" ht="15.75" customHeight="1">
      <c r="D747" s="874"/>
    </row>
    <row r="748" spans="4:4" ht="15.75" customHeight="1">
      <c r="D748" s="874"/>
    </row>
    <row r="749" spans="4:4" ht="15.75" customHeight="1">
      <c r="D749" s="874"/>
    </row>
    <row r="750" spans="4:4" ht="15.75" customHeight="1">
      <c r="D750" s="874"/>
    </row>
    <row r="751" spans="4:4" ht="15.75" customHeight="1">
      <c r="D751" s="874"/>
    </row>
    <row r="752" spans="4:4" ht="15.75" customHeight="1">
      <c r="D752" s="874"/>
    </row>
    <row r="753" spans="4:4" ht="15.75" customHeight="1">
      <c r="D753" s="874"/>
    </row>
    <row r="754" spans="4:4" ht="15.75" customHeight="1">
      <c r="D754" s="874"/>
    </row>
    <row r="755" spans="4:4" ht="15.75" customHeight="1">
      <c r="D755" s="874"/>
    </row>
    <row r="756" spans="4:4" ht="15.75" customHeight="1">
      <c r="D756" s="874"/>
    </row>
    <row r="757" spans="4:4" ht="15.75" customHeight="1">
      <c r="D757" s="874"/>
    </row>
    <row r="758" spans="4:4" ht="15.75" customHeight="1">
      <c r="D758" s="874"/>
    </row>
    <row r="759" spans="4:4" ht="15.75" customHeight="1">
      <c r="D759" s="874"/>
    </row>
    <row r="760" spans="4:4" ht="15.75" customHeight="1">
      <c r="D760" s="874"/>
    </row>
    <row r="761" spans="4:4" ht="15.75" customHeight="1">
      <c r="D761" s="874"/>
    </row>
    <row r="762" spans="4:4" ht="15.75" customHeight="1">
      <c r="D762" s="874"/>
    </row>
    <row r="763" spans="4:4" ht="15.75" customHeight="1">
      <c r="D763" s="874"/>
    </row>
    <row r="764" spans="4:4" ht="15.75" customHeight="1">
      <c r="D764" s="874"/>
    </row>
    <row r="765" spans="4:4" ht="15.75" customHeight="1">
      <c r="D765" s="874"/>
    </row>
    <row r="766" spans="4:4" ht="15.75" customHeight="1">
      <c r="D766" s="874"/>
    </row>
    <row r="767" spans="4:4" ht="15.75" customHeight="1">
      <c r="D767" s="874"/>
    </row>
    <row r="768" spans="4:4" ht="15.75" customHeight="1">
      <c r="D768" s="874"/>
    </row>
    <row r="769" spans="4:4" ht="15.75" customHeight="1">
      <c r="D769" s="874"/>
    </row>
    <row r="770" spans="4:4" ht="15.75" customHeight="1">
      <c r="D770" s="874"/>
    </row>
    <row r="771" spans="4:4" ht="15.75" customHeight="1">
      <c r="D771" s="874"/>
    </row>
    <row r="772" spans="4:4" ht="15.75" customHeight="1">
      <c r="D772" s="874"/>
    </row>
    <row r="773" spans="4:4" ht="15.75" customHeight="1">
      <c r="D773" s="874"/>
    </row>
    <row r="774" spans="4:4" ht="15.75" customHeight="1">
      <c r="D774" s="874"/>
    </row>
    <row r="775" spans="4:4" ht="15.75" customHeight="1">
      <c r="D775" s="874"/>
    </row>
    <row r="776" spans="4:4" ht="15.75" customHeight="1">
      <c r="D776" s="874"/>
    </row>
    <row r="777" spans="4:4" ht="15.75" customHeight="1">
      <c r="D777" s="874"/>
    </row>
    <row r="778" spans="4:4" ht="15.75" customHeight="1">
      <c r="D778" s="874"/>
    </row>
    <row r="779" spans="4:4" ht="15.75" customHeight="1">
      <c r="D779" s="874"/>
    </row>
    <row r="780" spans="4:4" ht="15.75" customHeight="1">
      <c r="D780" s="874"/>
    </row>
    <row r="781" spans="4:4" ht="15.75" customHeight="1">
      <c r="D781" s="874"/>
    </row>
    <row r="782" spans="4:4" ht="15.75" customHeight="1">
      <c r="D782" s="874"/>
    </row>
    <row r="783" spans="4:4" ht="15.75" customHeight="1">
      <c r="D783" s="874"/>
    </row>
    <row r="784" spans="4:4" ht="15.75" customHeight="1">
      <c r="D784" s="874"/>
    </row>
    <row r="785" spans="4:4" ht="15.75" customHeight="1">
      <c r="D785" s="874"/>
    </row>
    <row r="786" spans="4:4" ht="15.75" customHeight="1">
      <c r="D786" s="874"/>
    </row>
    <row r="787" spans="4:4" ht="15.75" customHeight="1">
      <c r="D787" s="874"/>
    </row>
    <row r="788" spans="4:4" ht="15.75" customHeight="1">
      <c r="D788" s="874"/>
    </row>
    <row r="789" spans="4:4" ht="15.75" customHeight="1">
      <c r="D789" s="874"/>
    </row>
    <row r="790" spans="4:4" ht="15.75" customHeight="1">
      <c r="D790" s="874"/>
    </row>
    <row r="791" spans="4:4" ht="15.75" customHeight="1">
      <c r="D791" s="874"/>
    </row>
    <row r="792" spans="4:4" ht="15.75" customHeight="1">
      <c r="D792" s="874"/>
    </row>
    <row r="793" spans="4:4" ht="15.75" customHeight="1">
      <c r="D793" s="874"/>
    </row>
    <row r="794" spans="4:4" ht="15.75" customHeight="1">
      <c r="D794" s="874"/>
    </row>
    <row r="795" spans="4:4" ht="15.75" customHeight="1">
      <c r="D795" s="874"/>
    </row>
    <row r="796" spans="4:4" ht="15.75" customHeight="1">
      <c r="D796" s="874"/>
    </row>
    <row r="797" spans="4:4" ht="15.75" customHeight="1">
      <c r="D797" s="874"/>
    </row>
    <row r="798" spans="4:4" ht="15.75" customHeight="1">
      <c r="D798" s="874"/>
    </row>
    <row r="799" spans="4:4" ht="15.75" customHeight="1">
      <c r="D799" s="874"/>
    </row>
    <row r="800" spans="4:4" ht="15.75" customHeight="1">
      <c r="D800" s="874"/>
    </row>
    <row r="801" spans="4:4" ht="15.75" customHeight="1">
      <c r="D801" s="874"/>
    </row>
    <row r="802" spans="4:4" ht="15.75" customHeight="1">
      <c r="D802" s="874"/>
    </row>
    <row r="803" spans="4:4" ht="15.75" customHeight="1">
      <c r="D803" s="874"/>
    </row>
    <row r="804" spans="4:4" ht="15.75" customHeight="1">
      <c r="D804" s="874"/>
    </row>
    <row r="805" spans="4:4" ht="15.75" customHeight="1">
      <c r="D805" s="874"/>
    </row>
    <row r="806" spans="4:4" ht="15.75" customHeight="1">
      <c r="D806" s="874"/>
    </row>
    <row r="807" spans="4:4" ht="15.75" customHeight="1">
      <c r="D807" s="874"/>
    </row>
    <row r="808" spans="4:4" ht="15.75" customHeight="1">
      <c r="D808" s="874"/>
    </row>
    <row r="809" spans="4:4" ht="15.75" customHeight="1">
      <c r="D809" s="874"/>
    </row>
    <row r="810" spans="4:4" ht="15.75" customHeight="1">
      <c r="D810" s="874"/>
    </row>
    <row r="811" spans="4:4" ht="15.75" customHeight="1">
      <c r="D811" s="874"/>
    </row>
    <row r="812" spans="4:4" ht="15.75" customHeight="1">
      <c r="D812" s="874"/>
    </row>
    <row r="813" spans="4:4" ht="15.75" customHeight="1">
      <c r="D813" s="874"/>
    </row>
    <row r="814" spans="4:4" ht="15.75" customHeight="1">
      <c r="D814" s="874"/>
    </row>
    <row r="815" spans="4:4" ht="15.75" customHeight="1">
      <c r="D815" s="874"/>
    </row>
    <row r="816" spans="4:4" ht="15.75" customHeight="1">
      <c r="D816" s="874"/>
    </row>
    <row r="817" spans="4:4" ht="15.75" customHeight="1">
      <c r="D817" s="874"/>
    </row>
    <row r="818" spans="4:4" ht="15.75" customHeight="1">
      <c r="D818" s="874"/>
    </row>
    <row r="819" spans="4:4" ht="15.75" customHeight="1">
      <c r="D819" s="874"/>
    </row>
    <row r="820" spans="4:4" ht="15.75" customHeight="1">
      <c r="D820" s="874"/>
    </row>
    <row r="821" spans="4:4" ht="15.75" customHeight="1">
      <c r="D821" s="874"/>
    </row>
    <row r="822" spans="4:4" ht="15.75" customHeight="1">
      <c r="D822" s="874"/>
    </row>
    <row r="823" spans="4:4" ht="15.75" customHeight="1">
      <c r="D823" s="874"/>
    </row>
    <row r="824" spans="4:4" ht="15.75" customHeight="1">
      <c r="D824" s="874"/>
    </row>
    <row r="825" spans="4:4" ht="15.75" customHeight="1">
      <c r="D825" s="874"/>
    </row>
    <row r="826" spans="4:4" ht="15.75" customHeight="1">
      <c r="D826" s="874"/>
    </row>
    <row r="827" spans="4:4" ht="15.75" customHeight="1">
      <c r="D827" s="874"/>
    </row>
    <row r="828" spans="4:4" ht="15.75" customHeight="1">
      <c r="D828" s="874"/>
    </row>
    <row r="829" spans="4:4" ht="15.75" customHeight="1">
      <c r="D829" s="874"/>
    </row>
    <row r="830" spans="4:4" ht="15.75" customHeight="1">
      <c r="D830" s="874"/>
    </row>
    <row r="831" spans="4:4" ht="15.75" customHeight="1">
      <c r="D831" s="874"/>
    </row>
    <row r="832" spans="4:4" ht="15.75" customHeight="1">
      <c r="D832" s="874"/>
    </row>
    <row r="833" spans="4:4" ht="15.75" customHeight="1">
      <c r="D833" s="874"/>
    </row>
    <row r="834" spans="4:4" ht="15.75" customHeight="1">
      <c r="D834" s="874"/>
    </row>
    <row r="835" spans="4:4" ht="15.75" customHeight="1">
      <c r="D835" s="874"/>
    </row>
    <row r="836" spans="4:4" ht="15.75" customHeight="1">
      <c r="D836" s="874"/>
    </row>
    <row r="837" spans="4:4" ht="15.75" customHeight="1">
      <c r="D837" s="874"/>
    </row>
    <row r="838" spans="4:4" ht="15.75" customHeight="1">
      <c r="D838" s="874"/>
    </row>
    <row r="839" spans="4:4" ht="15.75" customHeight="1">
      <c r="D839" s="874"/>
    </row>
    <row r="840" spans="4:4" ht="15.75" customHeight="1">
      <c r="D840" s="874"/>
    </row>
    <row r="841" spans="4:4" ht="15.75" customHeight="1">
      <c r="D841" s="874"/>
    </row>
    <row r="842" spans="4:4" ht="15.75" customHeight="1">
      <c r="D842" s="874"/>
    </row>
    <row r="843" spans="4:4" ht="15.75" customHeight="1">
      <c r="D843" s="874"/>
    </row>
    <row r="844" spans="4:4" ht="15.75" customHeight="1">
      <c r="D844" s="874"/>
    </row>
    <row r="845" spans="4:4" ht="15.75" customHeight="1">
      <c r="D845" s="874"/>
    </row>
    <row r="846" spans="4:4" ht="15.75" customHeight="1">
      <c r="D846" s="874"/>
    </row>
    <row r="847" spans="4:4" ht="15.75" customHeight="1">
      <c r="D847" s="874"/>
    </row>
    <row r="848" spans="4:4" ht="15.75" customHeight="1">
      <c r="D848" s="874"/>
    </row>
    <row r="849" spans="4:4" ht="15.75" customHeight="1">
      <c r="D849" s="874"/>
    </row>
    <row r="850" spans="4:4" ht="15.75" customHeight="1">
      <c r="D850" s="874"/>
    </row>
    <row r="851" spans="4:4" ht="15.75" customHeight="1">
      <c r="D851" s="874"/>
    </row>
    <row r="852" spans="4:4" ht="15.75" customHeight="1">
      <c r="D852" s="874"/>
    </row>
    <row r="853" spans="4:4" ht="15.75" customHeight="1">
      <c r="D853" s="874"/>
    </row>
    <row r="854" spans="4:4" ht="15.75" customHeight="1">
      <c r="D854" s="874"/>
    </row>
    <row r="855" spans="4:4" ht="15.75" customHeight="1">
      <c r="D855" s="874"/>
    </row>
    <row r="856" spans="4:4" ht="15.75" customHeight="1">
      <c r="D856" s="874"/>
    </row>
    <row r="857" spans="4:4" ht="15.75" customHeight="1">
      <c r="D857" s="874"/>
    </row>
    <row r="858" spans="4:4" ht="15.75" customHeight="1">
      <c r="D858" s="874"/>
    </row>
    <row r="859" spans="4:4" ht="15.75" customHeight="1">
      <c r="D859" s="874"/>
    </row>
    <row r="860" spans="4:4" ht="15.75" customHeight="1">
      <c r="D860" s="874"/>
    </row>
    <row r="861" spans="4:4" ht="15.75" customHeight="1">
      <c r="D861" s="874"/>
    </row>
    <row r="862" spans="4:4" ht="15.75" customHeight="1">
      <c r="D862" s="874"/>
    </row>
    <row r="863" spans="4:4" ht="15.75" customHeight="1">
      <c r="D863" s="874"/>
    </row>
    <row r="864" spans="4:4" ht="15.75" customHeight="1">
      <c r="D864" s="874"/>
    </row>
    <row r="865" spans="4:4" ht="15.75" customHeight="1">
      <c r="D865" s="874"/>
    </row>
    <row r="866" spans="4:4" ht="15.75" customHeight="1">
      <c r="D866" s="874"/>
    </row>
    <row r="867" spans="4:4" ht="15.75" customHeight="1">
      <c r="D867" s="874"/>
    </row>
    <row r="868" spans="4:4" ht="15.75" customHeight="1">
      <c r="D868" s="874"/>
    </row>
    <row r="869" spans="4:4" ht="15.75" customHeight="1">
      <c r="D869" s="874"/>
    </row>
    <row r="870" spans="4:4" ht="15.75" customHeight="1">
      <c r="D870" s="874"/>
    </row>
    <row r="871" spans="4:4" ht="15.75" customHeight="1">
      <c r="D871" s="874"/>
    </row>
    <row r="872" spans="4:4" ht="15.75" customHeight="1">
      <c r="D872" s="874"/>
    </row>
    <row r="873" spans="4:4" ht="15.75" customHeight="1">
      <c r="D873" s="874"/>
    </row>
    <row r="874" spans="4:4" ht="15.75" customHeight="1">
      <c r="D874" s="874"/>
    </row>
    <row r="875" spans="4:4" ht="15.75" customHeight="1">
      <c r="D875" s="874"/>
    </row>
    <row r="876" spans="4:4" ht="15.75" customHeight="1">
      <c r="D876" s="874"/>
    </row>
    <row r="877" spans="4:4" ht="15.75" customHeight="1">
      <c r="D877" s="874"/>
    </row>
    <row r="878" spans="4:4" ht="15.75" customHeight="1">
      <c r="D878" s="874"/>
    </row>
    <row r="879" spans="4:4" ht="15.75" customHeight="1">
      <c r="D879" s="874"/>
    </row>
    <row r="880" spans="4:4" ht="15.75" customHeight="1">
      <c r="D880" s="874"/>
    </row>
    <row r="881" spans="4:4" ht="15.75" customHeight="1">
      <c r="D881" s="874"/>
    </row>
    <row r="882" spans="4:4" ht="15.75" customHeight="1">
      <c r="D882" s="874"/>
    </row>
    <row r="883" spans="4:4" ht="15.75" customHeight="1">
      <c r="D883" s="874"/>
    </row>
    <row r="884" spans="4:4" ht="15.75" customHeight="1">
      <c r="D884" s="874"/>
    </row>
    <row r="885" spans="4:4" ht="15.75" customHeight="1">
      <c r="D885" s="874"/>
    </row>
    <row r="886" spans="4:4" ht="15.75" customHeight="1">
      <c r="D886" s="874"/>
    </row>
    <row r="887" spans="4:4" ht="15.75" customHeight="1">
      <c r="D887" s="874"/>
    </row>
    <row r="888" spans="4:4" ht="15.75" customHeight="1">
      <c r="D888" s="874"/>
    </row>
    <row r="889" spans="4:4" ht="15.75" customHeight="1">
      <c r="D889" s="874"/>
    </row>
    <row r="890" spans="4:4" ht="15.75" customHeight="1">
      <c r="D890" s="874"/>
    </row>
    <row r="891" spans="4:4" ht="15.75" customHeight="1">
      <c r="D891" s="874"/>
    </row>
    <row r="892" spans="4:4" ht="15.75" customHeight="1">
      <c r="D892" s="874"/>
    </row>
    <row r="893" spans="4:4" ht="15.75" customHeight="1">
      <c r="D893" s="874"/>
    </row>
    <row r="894" spans="4:4" ht="15.75" customHeight="1">
      <c r="D894" s="874"/>
    </row>
    <row r="895" spans="4:4" ht="15.75" customHeight="1">
      <c r="D895" s="874"/>
    </row>
    <row r="896" spans="4:4" ht="15.75" customHeight="1">
      <c r="D896" s="874"/>
    </row>
    <row r="897" spans="4:4" ht="15.75" customHeight="1">
      <c r="D897" s="874"/>
    </row>
    <row r="898" spans="4:4" ht="15.75" customHeight="1">
      <c r="D898" s="874"/>
    </row>
    <row r="899" spans="4:4" ht="15.75" customHeight="1">
      <c r="D899" s="874"/>
    </row>
    <row r="900" spans="4:4" ht="15.75" customHeight="1">
      <c r="D900" s="874"/>
    </row>
    <row r="901" spans="4:4" ht="15.75" customHeight="1">
      <c r="D901" s="874"/>
    </row>
    <row r="902" spans="4:4" ht="15.75" customHeight="1">
      <c r="D902" s="874"/>
    </row>
    <row r="903" spans="4:4" ht="15.75" customHeight="1">
      <c r="D903" s="874"/>
    </row>
    <row r="904" spans="4:4" ht="15.75" customHeight="1">
      <c r="D904" s="874"/>
    </row>
    <row r="905" spans="4:4" ht="15.75" customHeight="1">
      <c r="D905" s="874"/>
    </row>
    <row r="906" spans="4:4" ht="15.75" customHeight="1">
      <c r="D906" s="874"/>
    </row>
    <row r="907" spans="4:4" ht="15.75" customHeight="1">
      <c r="D907" s="874"/>
    </row>
    <row r="908" spans="4:4" ht="15.75" customHeight="1">
      <c r="D908" s="874"/>
    </row>
    <row r="909" spans="4:4" ht="15.75" customHeight="1">
      <c r="D909" s="874"/>
    </row>
    <row r="910" spans="4:4" ht="15.75" customHeight="1">
      <c r="D910" s="874"/>
    </row>
    <row r="911" spans="4:4" ht="15.75" customHeight="1">
      <c r="D911" s="874"/>
    </row>
    <row r="912" spans="4:4" ht="15.75" customHeight="1">
      <c r="D912" s="874"/>
    </row>
    <row r="913" spans="4:4" ht="15.75" customHeight="1">
      <c r="D913" s="874"/>
    </row>
    <row r="914" spans="4:4" ht="15.75" customHeight="1">
      <c r="D914" s="874"/>
    </row>
    <row r="915" spans="4:4" ht="15.75" customHeight="1">
      <c r="D915" s="874"/>
    </row>
    <row r="916" spans="4:4" ht="15.75" customHeight="1">
      <c r="D916" s="874"/>
    </row>
    <row r="917" spans="4:4" ht="15.75" customHeight="1">
      <c r="D917" s="874"/>
    </row>
    <row r="918" spans="4:4" ht="15.75" customHeight="1">
      <c r="D918" s="874"/>
    </row>
    <row r="919" spans="4:4" ht="15.75" customHeight="1">
      <c r="D919" s="874"/>
    </row>
    <row r="920" spans="4:4" ht="15.75" customHeight="1">
      <c r="D920" s="874"/>
    </row>
    <row r="921" spans="4:4" ht="15.75" customHeight="1">
      <c r="D921" s="874"/>
    </row>
    <row r="922" spans="4:4" ht="15.75" customHeight="1">
      <c r="D922" s="874"/>
    </row>
    <row r="923" spans="4:4" ht="15.75" customHeight="1">
      <c r="D923" s="874"/>
    </row>
    <row r="924" spans="4:4" ht="15.75" customHeight="1">
      <c r="D924" s="874"/>
    </row>
    <row r="925" spans="4:4" ht="15.75" customHeight="1">
      <c r="D925" s="874"/>
    </row>
    <row r="926" spans="4:4" ht="15.75" customHeight="1">
      <c r="D926" s="874"/>
    </row>
    <row r="927" spans="4:4" ht="15.75" customHeight="1">
      <c r="D927" s="874"/>
    </row>
    <row r="928" spans="4:4" ht="15.75" customHeight="1">
      <c r="D928" s="874"/>
    </row>
    <row r="929" spans="4:4" ht="15.75" customHeight="1">
      <c r="D929" s="874"/>
    </row>
    <row r="930" spans="4:4" ht="15.75" customHeight="1">
      <c r="D930" s="874"/>
    </row>
    <row r="931" spans="4:4" ht="15.75" customHeight="1">
      <c r="D931" s="874"/>
    </row>
    <row r="932" spans="4:4" ht="15.75" customHeight="1">
      <c r="D932" s="874"/>
    </row>
    <row r="933" spans="4:4" ht="15.75" customHeight="1">
      <c r="D933" s="874"/>
    </row>
    <row r="934" spans="4:4" ht="15.75" customHeight="1">
      <c r="D934" s="874"/>
    </row>
    <row r="935" spans="4:4" ht="15.75" customHeight="1">
      <c r="D935" s="874"/>
    </row>
    <row r="936" spans="4:4" ht="15.75" customHeight="1">
      <c r="D936" s="874"/>
    </row>
    <row r="937" spans="4:4" ht="15.75" customHeight="1">
      <c r="D937" s="874"/>
    </row>
    <row r="938" spans="4:4" ht="15.75" customHeight="1">
      <c r="D938" s="874"/>
    </row>
    <row r="939" spans="4:4" ht="15.75" customHeight="1">
      <c r="D939" s="874"/>
    </row>
    <row r="940" spans="4:4" ht="15.75" customHeight="1">
      <c r="D940" s="874"/>
    </row>
    <row r="941" spans="4:4" ht="15.75" customHeight="1">
      <c r="D941" s="874"/>
    </row>
    <row r="942" spans="4:4" ht="15.75" customHeight="1">
      <c r="D942" s="874"/>
    </row>
    <row r="943" spans="4:4" ht="15.75" customHeight="1">
      <c r="D943" s="874"/>
    </row>
    <row r="944" spans="4:4" ht="15.75" customHeight="1">
      <c r="D944" s="874"/>
    </row>
    <row r="945" spans="4:4" ht="15.75" customHeight="1">
      <c r="D945" s="874"/>
    </row>
    <row r="946" spans="4:4" ht="15.75" customHeight="1">
      <c r="D946" s="874"/>
    </row>
    <row r="947" spans="4:4" ht="15.75" customHeight="1">
      <c r="D947" s="874"/>
    </row>
    <row r="948" spans="4:4" ht="15.75" customHeight="1">
      <c r="D948" s="874"/>
    </row>
    <row r="949" spans="4:4" ht="15.75" customHeight="1">
      <c r="D949" s="874"/>
    </row>
    <row r="950" spans="4:4" ht="15.75" customHeight="1">
      <c r="D950" s="874"/>
    </row>
    <row r="951" spans="4:4" ht="15.75" customHeight="1">
      <c r="D951" s="874"/>
    </row>
    <row r="952" spans="4:4" ht="15.75" customHeight="1">
      <c r="D952" s="874"/>
    </row>
    <row r="953" spans="4:4" ht="15.75" customHeight="1">
      <c r="D953" s="874"/>
    </row>
    <row r="954" spans="4:4" ht="15.75" customHeight="1">
      <c r="D954" s="874"/>
    </row>
    <row r="955" spans="4:4" ht="15.75" customHeight="1">
      <c r="D955" s="874"/>
    </row>
    <row r="956" spans="4:4" ht="15.75" customHeight="1">
      <c r="D956" s="874"/>
    </row>
    <row r="957" spans="4:4" ht="15.75" customHeight="1">
      <c r="D957" s="874"/>
    </row>
    <row r="958" spans="4:4" ht="15.75" customHeight="1">
      <c r="D958" s="874"/>
    </row>
    <row r="959" spans="4:4" ht="15.75" customHeight="1">
      <c r="D959" s="874"/>
    </row>
    <row r="960" spans="4:4" ht="15.75" customHeight="1">
      <c r="D960" s="874"/>
    </row>
    <row r="961" spans="4:4" ht="15.75" customHeight="1">
      <c r="D961" s="874"/>
    </row>
    <row r="962" spans="4:4" ht="15.75" customHeight="1">
      <c r="D962" s="874"/>
    </row>
    <row r="963" spans="4:4" ht="15.75" customHeight="1">
      <c r="D963" s="874"/>
    </row>
    <row r="964" spans="4:4" ht="15.75" customHeight="1">
      <c r="D964" s="874"/>
    </row>
    <row r="965" spans="4:4" ht="15.75" customHeight="1">
      <c r="D965" s="874"/>
    </row>
    <row r="966" spans="4:4" ht="15.75" customHeight="1">
      <c r="D966" s="874"/>
    </row>
    <row r="967" spans="4:4" ht="15.75" customHeight="1">
      <c r="D967" s="874"/>
    </row>
    <row r="968" spans="4:4" ht="15.75" customHeight="1">
      <c r="D968" s="874"/>
    </row>
    <row r="969" spans="4:4" ht="15.75" customHeight="1">
      <c r="D969" s="874"/>
    </row>
    <row r="970" spans="4:4" ht="15.75" customHeight="1">
      <c r="D970" s="874"/>
    </row>
    <row r="971" spans="4:4" ht="15.75" customHeight="1">
      <c r="D971" s="874"/>
    </row>
    <row r="972" spans="4:4" ht="15.75" customHeight="1">
      <c r="D972" s="874"/>
    </row>
    <row r="973" spans="4:4" ht="15.75" customHeight="1">
      <c r="D973" s="874"/>
    </row>
    <row r="974" spans="4:4" ht="15.75" customHeight="1">
      <c r="D974" s="874"/>
    </row>
    <row r="975" spans="4:4" ht="15.75" customHeight="1">
      <c r="D975" s="874"/>
    </row>
    <row r="976" spans="4:4" ht="15.75" customHeight="1">
      <c r="D976" s="874"/>
    </row>
    <row r="977" spans="4:4" ht="15.75" customHeight="1">
      <c r="D977" s="874"/>
    </row>
    <row r="978" spans="4:4" ht="15.75" customHeight="1">
      <c r="D978" s="874"/>
    </row>
    <row r="979" spans="4:4" ht="15.75" customHeight="1">
      <c r="D979" s="874"/>
    </row>
    <row r="980" spans="4:4" ht="15.75" customHeight="1">
      <c r="D980" s="874"/>
    </row>
    <row r="981" spans="4:4" ht="15.75" customHeight="1">
      <c r="D981" s="874"/>
    </row>
    <row r="982" spans="4:4" ht="15.75" customHeight="1">
      <c r="D982" s="874"/>
    </row>
    <row r="983" spans="4:4" ht="15.75" customHeight="1">
      <c r="D983" s="874"/>
    </row>
    <row r="984" spans="4:4" ht="15.75" customHeight="1">
      <c r="D984" s="874"/>
    </row>
    <row r="985" spans="4:4" ht="15.75" customHeight="1">
      <c r="D985" s="874"/>
    </row>
    <row r="986" spans="4:4" ht="15.75" customHeight="1">
      <c r="D986" s="874"/>
    </row>
    <row r="987" spans="4:4" ht="15.75" customHeight="1">
      <c r="D987" s="874"/>
    </row>
    <row r="988" spans="4:4" ht="15.75" customHeight="1">
      <c r="D988" s="874"/>
    </row>
    <row r="989" spans="4:4" ht="15.75" customHeight="1">
      <c r="D989" s="874"/>
    </row>
    <row r="990" spans="4:4" ht="15.75" customHeight="1">
      <c r="D990" s="874"/>
    </row>
    <row r="991" spans="4:4" ht="15.75" customHeight="1">
      <c r="D991" s="874"/>
    </row>
    <row r="992" spans="4:4" ht="15.75" customHeight="1">
      <c r="D992" s="874"/>
    </row>
    <row r="993" spans="4:4" ht="15.75" customHeight="1">
      <c r="D993" s="874"/>
    </row>
    <row r="994" spans="4:4" ht="15.75" customHeight="1">
      <c r="D994" s="874"/>
    </row>
    <row r="995" spans="4:4" ht="15.75" customHeight="1">
      <c r="D995" s="874"/>
    </row>
    <row r="996" spans="4:4" ht="15.75" customHeight="1">
      <c r="D996" s="874"/>
    </row>
    <row r="997" spans="4:4" ht="15.75" customHeight="1">
      <c r="D997" s="874"/>
    </row>
    <row r="998" spans="4:4" ht="15.75" customHeight="1">
      <c r="D998" s="874"/>
    </row>
    <row r="999" spans="4:4" ht="15.75" customHeight="1">
      <c r="D999" s="874"/>
    </row>
    <row r="1000" spans="4:4" ht="15.75" customHeight="1">
      <c r="D1000" s="874"/>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875">
        <v>45292</v>
      </c>
      <c r="B1" s="418" t="s">
        <v>3142</v>
      </c>
    </row>
    <row r="2" spans="1:2" ht="17.25" customHeight="1">
      <c r="A2" s="875">
        <v>45299</v>
      </c>
      <c r="B2" s="418" t="s">
        <v>3143</v>
      </c>
    </row>
    <row r="3" spans="1:2" ht="17.25" customHeight="1">
      <c r="A3" s="875">
        <v>45376</v>
      </c>
      <c r="B3" s="418" t="s">
        <v>3144</v>
      </c>
    </row>
    <row r="4" spans="1:2" ht="17.25" customHeight="1">
      <c r="A4" s="875">
        <v>45379</v>
      </c>
      <c r="B4" s="418" t="s">
        <v>3145</v>
      </c>
    </row>
    <row r="5" spans="1:2" ht="17.25" customHeight="1">
      <c r="A5" s="875">
        <v>45380</v>
      </c>
      <c r="B5" s="418" t="s">
        <v>3146</v>
      </c>
    </row>
    <row r="6" spans="1:2" ht="17.25" customHeight="1">
      <c r="A6" s="875">
        <v>45413</v>
      </c>
      <c r="B6" s="418" t="s">
        <v>3147</v>
      </c>
    </row>
    <row r="7" spans="1:2" ht="17.25" customHeight="1">
      <c r="A7" s="875">
        <v>45425</v>
      </c>
      <c r="B7" s="418" t="s">
        <v>3148</v>
      </c>
    </row>
    <row r="8" spans="1:2" ht="17.25" customHeight="1">
      <c r="A8" s="875">
        <v>45446</v>
      </c>
      <c r="B8" s="418" t="s">
        <v>3149</v>
      </c>
    </row>
    <row r="9" spans="1:2" ht="17.25" customHeight="1">
      <c r="A9" s="875">
        <v>45453</v>
      </c>
      <c r="B9" s="418" t="s">
        <v>3150</v>
      </c>
    </row>
    <row r="10" spans="1:2" ht="17.25" customHeight="1">
      <c r="A10" s="875">
        <v>45474</v>
      </c>
      <c r="B10" s="418" t="s">
        <v>3151</v>
      </c>
    </row>
    <row r="11" spans="1:2" ht="17.25" customHeight="1">
      <c r="A11" s="875">
        <v>45493</v>
      </c>
      <c r="B11" s="418" t="s">
        <v>3152</v>
      </c>
    </row>
    <row r="12" spans="1:2" ht="17.25" customHeight="1">
      <c r="A12" s="875">
        <v>45511</v>
      </c>
      <c r="B12" s="418" t="s">
        <v>3153</v>
      </c>
    </row>
    <row r="13" spans="1:2" ht="17.25" customHeight="1">
      <c r="A13" s="875">
        <v>45523</v>
      </c>
      <c r="B13" s="418" t="s">
        <v>3154</v>
      </c>
    </row>
    <row r="14" spans="1:2" ht="17.25" customHeight="1">
      <c r="A14" s="875">
        <v>45579</v>
      </c>
      <c r="B14" s="418" t="s">
        <v>3155</v>
      </c>
    </row>
    <row r="15" spans="1:2" ht="17.25" customHeight="1">
      <c r="A15" s="875">
        <v>45600</v>
      </c>
      <c r="B15" s="418" t="s">
        <v>3156</v>
      </c>
    </row>
    <row r="16" spans="1:2" ht="17.25" customHeight="1">
      <c r="A16" s="875">
        <v>45607</v>
      </c>
      <c r="B16" s="418" t="s">
        <v>3157</v>
      </c>
    </row>
    <row r="17" spans="1:2" ht="17.25" customHeight="1">
      <c r="A17" s="875">
        <v>45634</v>
      </c>
      <c r="B17" s="418" t="s">
        <v>3158</v>
      </c>
    </row>
    <row r="18" spans="1:2">
      <c r="A18" s="875">
        <v>45651</v>
      </c>
      <c r="B18" s="418" t="s">
        <v>3159</v>
      </c>
    </row>
    <row r="19" spans="1:2" ht="17.25" customHeight="1">
      <c r="A19" s="875">
        <v>45658</v>
      </c>
      <c r="B19" s="876" t="s">
        <v>3160</v>
      </c>
    </row>
    <row r="20" spans="1:2" ht="17.25" customHeight="1">
      <c r="A20" s="875">
        <v>45663</v>
      </c>
      <c r="B20" s="876" t="s">
        <v>3161</v>
      </c>
    </row>
    <row r="21" spans="1:2" ht="17.25" customHeight="1">
      <c r="A21" s="875">
        <v>45740</v>
      </c>
      <c r="B21" s="876" t="s">
        <v>3162</v>
      </c>
    </row>
    <row r="22" spans="1:2" ht="17.25" customHeight="1">
      <c r="A22" s="875">
        <v>45764</v>
      </c>
      <c r="B22" s="876" t="s">
        <v>3163</v>
      </c>
    </row>
    <row r="23" spans="1:2" ht="17.25" customHeight="1">
      <c r="A23" s="875">
        <v>45765</v>
      </c>
      <c r="B23" s="876" t="s">
        <v>3164</v>
      </c>
    </row>
    <row r="24" spans="1:2" ht="17.25" customHeight="1">
      <c r="A24" s="875">
        <v>45778</v>
      </c>
      <c r="B24" s="876" t="s">
        <v>3165</v>
      </c>
    </row>
    <row r="25" spans="1:2" ht="17.25" customHeight="1">
      <c r="A25" s="875">
        <v>45810</v>
      </c>
      <c r="B25" s="876" t="s">
        <v>3166</v>
      </c>
    </row>
    <row r="26" spans="1:2" ht="17.25" customHeight="1">
      <c r="A26" s="875">
        <v>45831</v>
      </c>
      <c r="B26" s="876" t="s">
        <v>3167</v>
      </c>
    </row>
    <row r="27" spans="1:2" ht="17.25" customHeight="1">
      <c r="A27" s="875">
        <v>45838</v>
      </c>
      <c r="B27" s="876" t="s">
        <v>3168</v>
      </c>
    </row>
    <row r="28" spans="1:2" ht="17.25" customHeight="1">
      <c r="A28" s="875">
        <v>45858</v>
      </c>
      <c r="B28" s="876" t="s">
        <v>3169</v>
      </c>
    </row>
    <row r="29" spans="1:2" ht="17.25" customHeight="1">
      <c r="A29" s="875">
        <v>45876</v>
      </c>
      <c r="B29" s="876" t="s">
        <v>3170</v>
      </c>
    </row>
    <row r="30" spans="1:2" ht="17.25" customHeight="1">
      <c r="A30" s="875">
        <v>45887</v>
      </c>
      <c r="B30" s="876" t="s">
        <v>3171</v>
      </c>
    </row>
    <row r="31" spans="1:2" ht="17.25" customHeight="1">
      <c r="A31" s="875">
        <v>45943</v>
      </c>
      <c r="B31" s="876" t="s">
        <v>3172</v>
      </c>
    </row>
    <row r="32" spans="1:2" ht="17.25" customHeight="1">
      <c r="A32" s="875">
        <v>45964</v>
      </c>
      <c r="B32" s="876" t="s">
        <v>3173</v>
      </c>
    </row>
    <row r="33" spans="1:2" ht="17.25" customHeight="1">
      <c r="A33" s="875">
        <v>45978</v>
      </c>
      <c r="B33" s="876" t="s">
        <v>3174</v>
      </c>
    </row>
    <row r="34" spans="1:2" ht="17.25" customHeight="1">
      <c r="A34" s="875">
        <v>45999</v>
      </c>
      <c r="B34" s="876" t="s">
        <v>3175</v>
      </c>
    </row>
    <row r="35" spans="1:2" ht="17.25" customHeight="1">
      <c r="A35" s="875">
        <v>46016</v>
      </c>
      <c r="B35" s="876" t="s">
        <v>3176</v>
      </c>
    </row>
    <row r="36" spans="1:2" ht="17.25" customHeight="1">
      <c r="A36" s="877">
        <v>46023</v>
      </c>
      <c r="B36" s="876" t="s">
        <v>3160</v>
      </c>
    </row>
    <row r="37" spans="1:2" ht="17.25" customHeight="1">
      <c r="A37" s="877">
        <v>46034</v>
      </c>
      <c r="B37" s="876" t="s">
        <v>3161</v>
      </c>
    </row>
    <row r="38" spans="1:2" ht="17.25" customHeight="1">
      <c r="A38" s="877">
        <v>46104</v>
      </c>
      <c r="B38" s="876" t="s">
        <v>3162</v>
      </c>
    </row>
    <row r="39" spans="1:2" ht="17.25" customHeight="1">
      <c r="A39" s="877">
        <v>46114</v>
      </c>
      <c r="B39" s="876" t="s">
        <v>3163</v>
      </c>
    </row>
    <row r="40" spans="1:2" ht="17.25" customHeight="1">
      <c r="A40" s="877">
        <v>46115</v>
      </c>
      <c r="B40" s="876" t="s">
        <v>3164</v>
      </c>
    </row>
    <row r="41" spans="1:2" ht="17.25" customHeight="1">
      <c r="A41" s="877">
        <v>46143</v>
      </c>
      <c r="B41" s="876" t="s">
        <v>3165</v>
      </c>
    </row>
    <row r="42" spans="1:2" ht="17.25" customHeight="1">
      <c r="A42" s="877">
        <v>46160</v>
      </c>
      <c r="B42" s="876" t="s">
        <v>3166</v>
      </c>
    </row>
    <row r="43" spans="1:2" ht="17.25" customHeight="1">
      <c r="A43" s="877">
        <v>46181</v>
      </c>
      <c r="B43" s="876" t="s">
        <v>3167</v>
      </c>
    </row>
    <row r="44" spans="1:2" ht="17.25" customHeight="1">
      <c r="A44" s="877">
        <v>46188</v>
      </c>
      <c r="B44" s="876" t="s">
        <v>3177</v>
      </c>
    </row>
    <row r="45" spans="1:2" ht="17.25" customHeight="1">
      <c r="A45" s="877">
        <v>46202</v>
      </c>
      <c r="B45" s="876" t="s">
        <v>3178</v>
      </c>
    </row>
    <row r="46" spans="1:2" ht="17.25" customHeight="1">
      <c r="A46" s="877">
        <v>46223</v>
      </c>
      <c r="B46" s="876" t="s">
        <v>3169</v>
      </c>
    </row>
    <row r="47" spans="1:2" ht="17.25" customHeight="1">
      <c r="A47" s="877">
        <v>46241</v>
      </c>
      <c r="B47" s="876" t="s">
        <v>3170</v>
      </c>
    </row>
    <row r="48" spans="1:2" ht="17.25" customHeight="1">
      <c r="A48" s="877">
        <v>46251</v>
      </c>
      <c r="B48" s="876" t="s">
        <v>3171</v>
      </c>
    </row>
    <row r="49" spans="1:2" ht="17.25" customHeight="1">
      <c r="A49" s="877">
        <v>46307</v>
      </c>
      <c r="B49" s="876" t="s">
        <v>3172</v>
      </c>
    </row>
    <row r="50" spans="1:2" ht="17.25" customHeight="1">
      <c r="A50" s="877">
        <v>46328</v>
      </c>
      <c r="B50" s="876" t="s">
        <v>3173</v>
      </c>
    </row>
    <row r="51" spans="1:2" ht="17.25" customHeight="1">
      <c r="A51" s="877">
        <v>46342</v>
      </c>
      <c r="B51" s="876" t="s">
        <v>3174</v>
      </c>
    </row>
    <row r="52" spans="1:2" ht="17.25" customHeight="1">
      <c r="A52" s="877">
        <v>46364</v>
      </c>
      <c r="B52" s="876" t="s">
        <v>3175</v>
      </c>
    </row>
    <row r="53" spans="1:2" ht="17.25" customHeight="1">
      <c r="A53" s="877">
        <v>46381</v>
      </c>
      <c r="B53" s="876" t="s">
        <v>3176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60" t="s">
        <v>3179</v>
      </c>
      <c r="B1" s="418"/>
      <c r="C1" s="418"/>
      <c r="D1" s="418"/>
      <c r="E1" s="418"/>
      <c r="F1" s="418"/>
      <c r="G1" s="418"/>
      <c r="H1" s="418"/>
      <c r="I1" s="418"/>
      <c r="J1" s="418"/>
      <c r="K1" s="418"/>
      <c r="L1" s="418"/>
      <c r="M1" s="418"/>
      <c r="N1" s="418"/>
      <c r="O1" s="418"/>
      <c r="P1" s="418"/>
      <c r="Q1" s="418"/>
      <c r="R1" s="418"/>
      <c r="S1" s="418"/>
      <c r="T1" s="418"/>
      <c r="U1" s="418"/>
      <c r="V1" s="418"/>
      <c r="W1" s="418"/>
      <c r="X1" s="418"/>
      <c r="Y1" s="418"/>
      <c r="Z1" s="418"/>
    </row>
    <row r="2" spans="1:97">
      <c r="A2" s="418"/>
      <c r="B2" s="418"/>
      <c r="C2" s="418"/>
      <c r="D2" s="418"/>
      <c r="E2" s="418"/>
      <c r="F2" s="418"/>
      <c r="G2" s="418"/>
      <c r="H2" s="418"/>
      <c r="I2" s="418"/>
      <c r="J2" s="418"/>
      <c r="K2" s="418"/>
      <c r="L2" s="418"/>
      <c r="M2" s="418"/>
      <c r="N2" s="418"/>
      <c r="O2" s="418"/>
      <c r="P2" s="418"/>
      <c r="Q2" s="418"/>
      <c r="R2" s="418"/>
      <c r="S2" s="418"/>
      <c r="T2" s="418"/>
      <c r="U2" s="418"/>
      <c r="V2" s="418"/>
      <c r="W2" s="418"/>
      <c r="X2" s="418"/>
      <c r="Y2" s="418"/>
      <c r="Z2" s="418"/>
    </row>
    <row r="3" spans="1:97" ht="32.25" customHeight="1">
      <c r="A3" s="878" t="s">
        <v>3180</v>
      </c>
      <c r="B3" s="879">
        <v>45596</v>
      </c>
      <c r="C3" s="879">
        <v>45597</v>
      </c>
      <c r="D3" s="879">
        <v>45601</v>
      </c>
      <c r="E3" s="879">
        <v>45602</v>
      </c>
      <c r="F3" s="879">
        <v>45603</v>
      </c>
      <c r="G3" s="879">
        <v>45604</v>
      </c>
      <c r="H3" s="879">
        <v>45608</v>
      </c>
      <c r="I3" s="879">
        <v>45609</v>
      </c>
      <c r="J3" s="879">
        <v>45610</v>
      </c>
      <c r="K3" s="879">
        <v>45611</v>
      </c>
      <c r="L3" s="879">
        <v>45614</v>
      </c>
      <c r="M3" s="879">
        <v>45615</v>
      </c>
      <c r="N3" s="879">
        <v>45616</v>
      </c>
      <c r="O3" s="879">
        <v>45617</v>
      </c>
      <c r="P3" s="879">
        <v>45618</v>
      </c>
      <c r="Q3" s="880">
        <v>45621</v>
      </c>
      <c r="R3" s="880">
        <v>45622</v>
      </c>
      <c r="S3" s="880">
        <v>45623</v>
      </c>
      <c r="T3" s="880">
        <v>45624</v>
      </c>
      <c r="U3" s="880">
        <v>45625</v>
      </c>
      <c r="V3" s="880">
        <v>45628</v>
      </c>
      <c r="W3" s="880">
        <v>45629</v>
      </c>
      <c r="X3" s="880">
        <v>45630</v>
      </c>
      <c r="Y3" s="880">
        <v>45631</v>
      </c>
      <c r="Z3" s="880">
        <v>45632</v>
      </c>
      <c r="AA3" s="880">
        <v>45635</v>
      </c>
      <c r="AB3" s="880">
        <v>45636</v>
      </c>
      <c r="AC3" s="880">
        <v>45637</v>
      </c>
      <c r="AD3" s="880">
        <v>45638</v>
      </c>
      <c r="AE3" s="881">
        <v>45639</v>
      </c>
      <c r="AF3" s="879">
        <v>45642</v>
      </c>
      <c r="AG3" s="879">
        <v>45643</v>
      </c>
      <c r="AH3" s="879">
        <v>45644</v>
      </c>
      <c r="AI3" s="879">
        <v>45645</v>
      </c>
      <c r="AJ3" s="879">
        <v>45646</v>
      </c>
      <c r="AK3" s="879">
        <v>45649</v>
      </c>
      <c r="AL3" s="879">
        <v>45650</v>
      </c>
      <c r="AM3" s="879">
        <v>45652</v>
      </c>
      <c r="AN3" s="879">
        <v>45653</v>
      </c>
      <c r="AO3" s="879">
        <v>45656</v>
      </c>
      <c r="AP3" s="879">
        <v>45656</v>
      </c>
      <c r="AQ3" s="879">
        <v>45664</v>
      </c>
      <c r="AR3" s="879">
        <v>45665</v>
      </c>
      <c r="AS3" s="879">
        <v>45666</v>
      </c>
      <c r="AT3" s="879">
        <v>45667</v>
      </c>
      <c r="AU3" s="879">
        <v>45670</v>
      </c>
      <c r="AV3" s="879">
        <v>45671</v>
      </c>
      <c r="AW3" s="879">
        <v>45672</v>
      </c>
      <c r="AX3" s="879">
        <v>45673</v>
      </c>
      <c r="AY3" s="879">
        <v>45674</v>
      </c>
      <c r="AZ3" s="879">
        <v>45677</v>
      </c>
      <c r="BA3" s="879">
        <v>45678</v>
      </c>
      <c r="BB3" s="879">
        <v>45679</v>
      </c>
      <c r="BC3" s="879">
        <v>45680</v>
      </c>
      <c r="BD3" s="879">
        <v>45681</v>
      </c>
      <c r="BE3" s="879">
        <v>45684</v>
      </c>
      <c r="BF3" s="879">
        <v>45685</v>
      </c>
      <c r="BG3" s="879">
        <v>45686</v>
      </c>
      <c r="BH3" s="879">
        <v>45687</v>
      </c>
      <c r="BI3" s="879">
        <v>45688</v>
      </c>
      <c r="BJ3" s="880">
        <v>45691</v>
      </c>
      <c r="BK3" s="880">
        <v>45692</v>
      </c>
      <c r="BL3" s="880">
        <v>45693</v>
      </c>
      <c r="BM3" s="880">
        <v>45694</v>
      </c>
      <c r="BN3" s="880">
        <v>45695</v>
      </c>
      <c r="BO3" s="880">
        <v>45698</v>
      </c>
      <c r="BP3" s="880">
        <v>45699</v>
      </c>
      <c r="BQ3" s="880">
        <v>45700</v>
      </c>
      <c r="BR3" s="880">
        <v>45701</v>
      </c>
      <c r="BS3" s="880">
        <v>45702</v>
      </c>
      <c r="BT3" s="880">
        <v>45705</v>
      </c>
      <c r="BU3" s="880">
        <v>45706</v>
      </c>
      <c r="BV3" s="880">
        <v>45707</v>
      </c>
      <c r="BW3" s="880">
        <v>45708</v>
      </c>
      <c r="BX3" s="880">
        <v>45709</v>
      </c>
      <c r="BY3" s="880">
        <v>45712</v>
      </c>
      <c r="BZ3" s="880">
        <v>45713</v>
      </c>
      <c r="CA3" s="880">
        <v>45714</v>
      </c>
      <c r="CB3" s="880">
        <v>45715</v>
      </c>
      <c r="CC3" s="880">
        <v>45716</v>
      </c>
      <c r="CD3" s="880">
        <v>45719</v>
      </c>
      <c r="CE3" s="880">
        <v>45720</v>
      </c>
      <c r="CF3" s="880">
        <v>45721</v>
      </c>
      <c r="CG3" s="880">
        <v>45722</v>
      </c>
      <c r="CH3" s="880">
        <v>45723</v>
      </c>
      <c r="CI3" s="880">
        <v>45726</v>
      </c>
      <c r="CJ3" s="880">
        <v>45727</v>
      </c>
      <c r="CK3" s="880">
        <v>45728</v>
      </c>
      <c r="CL3" s="880">
        <v>45729</v>
      </c>
      <c r="CM3" s="880">
        <v>45730</v>
      </c>
      <c r="CN3" s="880">
        <v>45733</v>
      </c>
      <c r="CO3" s="880">
        <v>45734</v>
      </c>
      <c r="CP3" s="880">
        <v>45735</v>
      </c>
      <c r="CQ3" s="880">
        <v>45736</v>
      </c>
      <c r="CR3" s="880">
        <v>45737</v>
      </c>
      <c r="CS3" s="880">
        <v>45741</v>
      </c>
    </row>
    <row r="4" spans="1:97" ht="30.75" customHeight="1">
      <c r="A4" s="882" t="s">
        <v>2245</v>
      </c>
      <c r="B4" s="883" t="s">
        <v>3181</v>
      </c>
      <c r="C4" s="884" t="s">
        <v>3182</v>
      </c>
      <c r="D4" s="701" t="s">
        <v>3181</v>
      </c>
      <c r="E4" s="701" t="s">
        <v>3181</v>
      </c>
      <c r="F4" s="701" t="s">
        <v>3181</v>
      </c>
      <c r="G4" s="701" t="s">
        <v>3181</v>
      </c>
      <c r="H4" s="701" t="s">
        <v>3181</v>
      </c>
      <c r="I4" s="701" t="s">
        <v>3181</v>
      </c>
      <c r="J4" s="701" t="s">
        <v>3181</v>
      </c>
      <c r="K4" s="701" t="s">
        <v>3181</v>
      </c>
      <c r="L4" s="701" t="s">
        <v>3181</v>
      </c>
      <c r="M4" s="701" t="s">
        <v>3181</v>
      </c>
      <c r="N4" s="701" t="s">
        <v>3181</v>
      </c>
      <c r="O4" s="701" t="s">
        <v>3183</v>
      </c>
      <c r="P4" s="885" t="s">
        <v>3181</v>
      </c>
      <c r="Q4" s="701" t="s">
        <v>3181</v>
      </c>
      <c r="R4" s="701" t="s">
        <v>3181</v>
      </c>
      <c r="S4" s="701" t="s">
        <v>3181</v>
      </c>
      <c r="T4" s="701" t="s">
        <v>3181</v>
      </c>
      <c r="U4" s="885" t="s">
        <v>3184</v>
      </c>
      <c r="V4" s="701" t="s">
        <v>3181</v>
      </c>
      <c r="W4" s="701" t="s">
        <v>3181</v>
      </c>
      <c r="X4" s="701" t="s">
        <v>3181</v>
      </c>
      <c r="Y4" s="701" t="s">
        <v>3181</v>
      </c>
      <c r="Z4" s="701" t="s">
        <v>3181</v>
      </c>
      <c r="AA4" s="701" t="s">
        <v>3181</v>
      </c>
      <c r="AB4" s="701" t="s">
        <v>3181</v>
      </c>
      <c r="AC4" s="701" t="s">
        <v>3181</v>
      </c>
      <c r="AD4" s="701" t="s">
        <v>3181</v>
      </c>
      <c r="AE4" s="911" t="s">
        <v>3185</v>
      </c>
      <c r="AF4" s="701" t="s">
        <v>3181</v>
      </c>
      <c r="AG4" s="701" t="s">
        <v>3181</v>
      </c>
      <c r="AH4" s="701" t="s">
        <v>3181</v>
      </c>
      <c r="AI4" s="701" t="s">
        <v>3181</v>
      </c>
      <c r="AJ4" s="701" t="s">
        <v>3181</v>
      </c>
      <c r="AK4" s="701" t="s">
        <v>3181</v>
      </c>
      <c r="AL4" s="911" t="s">
        <v>3186</v>
      </c>
      <c r="AM4" s="701" t="s">
        <v>3184</v>
      </c>
      <c r="AN4" s="701" t="s">
        <v>3184</v>
      </c>
      <c r="AO4" s="701" t="s">
        <v>3181</v>
      </c>
      <c r="AP4" s="911" t="s">
        <v>3187</v>
      </c>
      <c r="AQ4" s="701" t="s">
        <v>3181</v>
      </c>
      <c r="AR4" s="701" t="s">
        <v>3181</v>
      </c>
      <c r="AS4" s="911" t="s">
        <v>3187</v>
      </c>
      <c r="AT4" s="826" t="s">
        <v>3181</v>
      </c>
      <c r="AU4" s="701" t="s">
        <v>3181</v>
      </c>
      <c r="AV4" s="701" t="s">
        <v>3181</v>
      </c>
      <c r="AW4" s="701" t="s">
        <v>3181</v>
      </c>
      <c r="AX4" s="701" t="s">
        <v>3181</v>
      </c>
      <c r="AY4" s="911" t="s">
        <v>3187</v>
      </c>
      <c r="AZ4" s="701" t="s">
        <v>3181</v>
      </c>
      <c r="BA4" s="701" t="s">
        <v>3181</v>
      </c>
      <c r="BB4" s="701" t="s">
        <v>3181</v>
      </c>
      <c r="BC4" s="701" t="s">
        <v>3181</v>
      </c>
      <c r="BD4" s="701" t="s">
        <v>3181</v>
      </c>
      <c r="BE4" s="701" t="s">
        <v>3181</v>
      </c>
      <c r="BF4" s="701" t="s">
        <v>3181</v>
      </c>
      <c r="BG4" s="701" t="s">
        <v>3181</v>
      </c>
      <c r="BH4" s="701" t="s">
        <v>3181</v>
      </c>
      <c r="BI4" s="885" t="s">
        <v>3181</v>
      </c>
      <c r="BJ4" s="911" t="s">
        <v>3187</v>
      </c>
      <c r="BK4" s="885" t="s">
        <v>3188</v>
      </c>
      <c r="BL4" s="885" t="s">
        <v>3188</v>
      </c>
      <c r="BM4" s="885" t="s">
        <v>3188</v>
      </c>
      <c r="BN4" s="885" t="s">
        <v>3188</v>
      </c>
      <c r="BO4" s="885" t="s">
        <v>3188</v>
      </c>
      <c r="BP4" s="885" t="s">
        <v>3188</v>
      </c>
      <c r="BQ4" s="885" t="s">
        <v>3188</v>
      </c>
      <c r="BR4" s="701" t="s">
        <v>3181</v>
      </c>
      <c r="BS4" s="701" t="s">
        <v>3181</v>
      </c>
      <c r="BT4" s="701" t="s">
        <v>3181</v>
      </c>
      <c r="BU4" s="701" t="s">
        <v>3181</v>
      </c>
      <c r="BV4" s="701" t="s">
        <v>3181</v>
      </c>
      <c r="BW4" s="701" t="s">
        <v>3181</v>
      </c>
      <c r="BX4" s="701" t="s">
        <v>3181</v>
      </c>
      <c r="BY4" s="701" t="s">
        <v>3181</v>
      </c>
      <c r="BZ4" s="701" t="s">
        <v>3181</v>
      </c>
      <c r="CA4" s="701" t="s">
        <v>3181</v>
      </c>
      <c r="CB4" s="701" t="s">
        <v>3181</v>
      </c>
      <c r="CC4" s="701" t="s">
        <v>3181</v>
      </c>
      <c r="CD4" s="701" t="s">
        <v>3181</v>
      </c>
      <c r="CE4" s="701" t="s">
        <v>3181</v>
      </c>
      <c r="CF4" s="701" t="s">
        <v>3181</v>
      </c>
      <c r="CG4" s="701"/>
      <c r="CH4" s="701"/>
      <c r="CI4" s="911" t="s">
        <v>3189</v>
      </c>
      <c r="CJ4" s="701"/>
      <c r="CK4" s="701"/>
      <c r="CL4" s="701"/>
      <c r="CM4" s="701"/>
      <c r="CN4" s="701"/>
      <c r="CO4" s="701"/>
      <c r="CP4" s="701"/>
      <c r="CQ4" s="701"/>
      <c r="CR4" s="701"/>
      <c r="CS4" s="701" t="s">
        <v>3181</v>
      </c>
    </row>
    <row r="5" spans="1:97" ht="15.75" customHeight="1">
      <c r="A5" s="882" t="s">
        <v>2230</v>
      </c>
      <c r="B5" s="883" t="s">
        <v>3181</v>
      </c>
      <c r="C5" s="701" t="s">
        <v>3181</v>
      </c>
      <c r="D5" s="701" t="s">
        <v>3181</v>
      </c>
      <c r="E5" s="701" t="s">
        <v>3181</v>
      </c>
      <c r="F5" s="701" t="s">
        <v>3181</v>
      </c>
      <c r="G5" s="701" t="s">
        <v>3181</v>
      </c>
      <c r="H5" s="701" t="s">
        <v>3181</v>
      </c>
      <c r="I5" s="701" t="s">
        <v>3181</v>
      </c>
      <c r="J5" s="701" t="s">
        <v>3181</v>
      </c>
      <c r="K5" s="701" t="s">
        <v>3181</v>
      </c>
      <c r="L5" s="701" t="s">
        <v>3188</v>
      </c>
      <c r="M5" s="701" t="s">
        <v>3188</v>
      </c>
      <c r="N5" s="701" t="s">
        <v>3188</v>
      </c>
      <c r="O5" s="701" t="s">
        <v>3188</v>
      </c>
      <c r="P5" s="885" t="s">
        <v>3188</v>
      </c>
      <c r="Q5" s="701" t="s">
        <v>3181</v>
      </c>
      <c r="R5" s="701" t="s">
        <v>3181</v>
      </c>
      <c r="S5" s="701" t="s">
        <v>3181</v>
      </c>
      <c r="T5" s="701" t="s">
        <v>3181</v>
      </c>
      <c r="U5" s="885" t="s">
        <v>3181</v>
      </c>
      <c r="V5" s="701" t="s">
        <v>3181</v>
      </c>
      <c r="W5" s="701" t="s">
        <v>3181</v>
      </c>
      <c r="X5" s="701" t="s">
        <v>3181</v>
      </c>
      <c r="Y5" s="701" t="s">
        <v>3181</v>
      </c>
      <c r="Z5" s="701" t="s">
        <v>3181</v>
      </c>
      <c r="AA5" s="701" t="s">
        <v>3181</v>
      </c>
      <c r="AB5" s="701" t="s">
        <v>3181</v>
      </c>
      <c r="AC5" s="701" t="s">
        <v>3181</v>
      </c>
      <c r="AD5" s="701" t="s">
        <v>3181</v>
      </c>
      <c r="AE5" s="912"/>
      <c r="AF5" s="701" t="s">
        <v>3181</v>
      </c>
      <c r="AG5" s="701" t="s">
        <v>3181</v>
      </c>
      <c r="AH5" s="701" t="s">
        <v>3181</v>
      </c>
      <c r="AI5" s="701" t="s">
        <v>3181</v>
      </c>
      <c r="AJ5" s="701" t="s">
        <v>3181</v>
      </c>
      <c r="AK5" s="701" t="s">
        <v>3181</v>
      </c>
      <c r="AL5" s="912"/>
      <c r="AM5" s="701" t="s">
        <v>3181</v>
      </c>
      <c r="AN5" s="701" t="s">
        <v>3181</v>
      </c>
      <c r="AO5" s="701" t="s">
        <v>3181</v>
      </c>
      <c r="AP5" s="912"/>
      <c r="AQ5" s="701" t="s">
        <v>3188</v>
      </c>
      <c r="AR5" s="701" t="s">
        <v>3188</v>
      </c>
      <c r="AS5" s="912"/>
      <c r="AT5" s="701" t="s">
        <v>3188</v>
      </c>
      <c r="AU5" s="701" t="s">
        <v>3188</v>
      </c>
      <c r="AV5" s="701" t="s">
        <v>3188</v>
      </c>
      <c r="AW5" s="701" t="s">
        <v>3188</v>
      </c>
      <c r="AX5" s="701" t="s">
        <v>3188</v>
      </c>
      <c r="AY5" s="912"/>
      <c r="AZ5" s="701" t="s">
        <v>3188</v>
      </c>
      <c r="BA5" s="701" t="s">
        <v>3181</v>
      </c>
      <c r="BB5" s="701" t="s">
        <v>3181</v>
      </c>
      <c r="BC5" s="701" t="s">
        <v>3181</v>
      </c>
      <c r="BD5" s="701" t="s">
        <v>3181</v>
      </c>
      <c r="BE5" s="701" t="s">
        <v>3181</v>
      </c>
      <c r="BF5" s="701" t="s">
        <v>3181</v>
      </c>
      <c r="BG5" s="701" t="s">
        <v>3181</v>
      </c>
      <c r="BH5" s="701" t="s">
        <v>3181</v>
      </c>
      <c r="BI5" s="885" t="s">
        <v>3181</v>
      </c>
      <c r="BJ5" s="912"/>
      <c r="BK5" s="885" t="s">
        <v>3181</v>
      </c>
      <c r="BL5" s="885" t="s">
        <v>3181</v>
      </c>
      <c r="BM5" s="701" t="s">
        <v>3181</v>
      </c>
      <c r="BN5" s="885" t="s">
        <v>3181</v>
      </c>
      <c r="BO5" s="701" t="s">
        <v>3181</v>
      </c>
      <c r="BP5" s="701" t="s">
        <v>3181</v>
      </c>
      <c r="BQ5" s="701" t="s">
        <v>3181</v>
      </c>
      <c r="BR5" s="701" t="s">
        <v>3181</v>
      </c>
      <c r="BS5" s="701" t="s">
        <v>3181</v>
      </c>
      <c r="BT5" s="701" t="s">
        <v>3181</v>
      </c>
      <c r="BU5" s="701" t="s">
        <v>3181</v>
      </c>
      <c r="BV5" s="701" t="s">
        <v>3181</v>
      </c>
      <c r="BW5" s="701" t="s">
        <v>3181</v>
      </c>
      <c r="BX5" s="701" t="s">
        <v>3181</v>
      </c>
      <c r="BY5" s="701" t="s">
        <v>3181</v>
      </c>
      <c r="BZ5" s="701" t="s">
        <v>3181</v>
      </c>
      <c r="CA5" s="701" t="s">
        <v>3181</v>
      </c>
      <c r="CB5" s="701" t="s">
        <v>3181</v>
      </c>
      <c r="CC5" s="701" t="s">
        <v>3181</v>
      </c>
      <c r="CD5" s="701" t="s">
        <v>3181</v>
      </c>
      <c r="CE5" s="701" t="s">
        <v>3181</v>
      </c>
      <c r="CF5" s="701" t="s">
        <v>3181</v>
      </c>
      <c r="CG5" s="701"/>
      <c r="CH5" s="701"/>
      <c r="CI5" s="912"/>
      <c r="CJ5" s="701"/>
      <c r="CK5" s="701"/>
      <c r="CL5" s="701"/>
      <c r="CM5" s="701"/>
      <c r="CN5" s="701"/>
      <c r="CO5" s="701"/>
      <c r="CP5" s="701"/>
      <c r="CQ5" s="701"/>
      <c r="CR5" s="701"/>
      <c r="CS5" s="701" t="s">
        <v>3181</v>
      </c>
    </row>
    <row r="6" spans="1:97" ht="15.75">
      <c r="A6" s="882" t="s">
        <v>2255</v>
      </c>
      <c r="B6" s="883" t="s">
        <v>3181</v>
      </c>
      <c r="C6" s="701" t="s">
        <v>3181</v>
      </c>
      <c r="D6" s="701" t="s">
        <v>3181</v>
      </c>
      <c r="E6" s="701" t="s">
        <v>3181</v>
      </c>
      <c r="F6" s="701" t="s">
        <v>3181</v>
      </c>
      <c r="G6" s="701" t="s">
        <v>3181</v>
      </c>
      <c r="H6" s="701" t="s">
        <v>3181</v>
      </c>
      <c r="I6" s="701" t="s">
        <v>3181</v>
      </c>
      <c r="J6" s="701" t="s">
        <v>3181</v>
      </c>
      <c r="K6" s="886" t="s">
        <v>3190</v>
      </c>
      <c r="L6" s="701" t="s">
        <v>3181</v>
      </c>
      <c r="M6" s="701" t="s">
        <v>3181</v>
      </c>
      <c r="N6" s="701" t="s">
        <v>3181</v>
      </c>
      <c r="O6" s="701" t="s">
        <v>3183</v>
      </c>
      <c r="P6" s="885" t="s">
        <v>3181</v>
      </c>
      <c r="Q6" s="701" t="s">
        <v>3181</v>
      </c>
      <c r="R6" s="701" t="s">
        <v>3181</v>
      </c>
      <c r="S6" s="701" t="s">
        <v>3181</v>
      </c>
      <c r="T6" s="701" t="s">
        <v>3181</v>
      </c>
      <c r="U6" s="885" t="s">
        <v>3181</v>
      </c>
      <c r="V6" s="701" t="s">
        <v>3181</v>
      </c>
      <c r="W6" s="701" t="s">
        <v>3181</v>
      </c>
      <c r="X6" s="701" t="s">
        <v>3181</v>
      </c>
      <c r="Y6" s="701" t="s">
        <v>3181</v>
      </c>
      <c r="Z6" s="701" t="s">
        <v>3181</v>
      </c>
      <c r="AA6" s="701" t="s">
        <v>3181</v>
      </c>
      <c r="AB6" s="701" t="s">
        <v>3181</v>
      </c>
      <c r="AC6" s="701" t="s">
        <v>3181</v>
      </c>
      <c r="AD6" s="701" t="s">
        <v>3181</v>
      </c>
      <c r="AE6" s="912"/>
      <c r="AF6" s="701" t="s">
        <v>3181</v>
      </c>
      <c r="AG6" s="701" t="s">
        <v>3181</v>
      </c>
      <c r="AH6" s="701" t="s">
        <v>3181</v>
      </c>
      <c r="AI6" s="701" t="s">
        <v>3181</v>
      </c>
      <c r="AJ6" s="701" t="s">
        <v>3181</v>
      </c>
      <c r="AK6" s="701" t="s">
        <v>3181</v>
      </c>
      <c r="AL6" s="912"/>
      <c r="AM6" s="701" t="s">
        <v>3181</v>
      </c>
      <c r="AN6" s="701" t="s">
        <v>3181</v>
      </c>
      <c r="AO6" s="701" t="s">
        <v>3181</v>
      </c>
      <c r="AP6" s="912"/>
      <c r="AQ6" s="701" t="s">
        <v>3181</v>
      </c>
      <c r="AR6" s="701" t="s">
        <v>3181</v>
      </c>
      <c r="AS6" s="912"/>
      <c r="AT6" s="701" t="s">
        <v>3181</v>
      </c>
      <c r="AU6" s="701" t="s">
        <v>3181</v>
      </c>
      <c r="AV6" s="701" t="s">
        <v>3181</v>
      </c>
      <c r="AW6" s="701" t="s">
        <v>3181</v>
      </c>
      <c r="AX6" s="701" t="s">
        <v>3181</v>
      </c>
      <c r="AY6" s="912"/>
      <c r="AZ6" s="701" t="s">
        <v>3181</v>
      </c>
      <c r="BA6" s="701" t="s">
        <v>3181</v>
      </c>
      <c r="BB6" s="701" t="s">
        <v>3181</v>
      </c>
      <c r="BC6" s="701" t="s">
        <v>3181</v>
      </c>
      <c r="BD6" s="701" t="s">
        <v>3181</v>
      </c>
      <c r="BE6" s="701" t="s">
        <v>3181</v>
      </c>
      <c r="BF6" s="701" t="s">
        <v>3181</v>
      </c>
      <c r="BG6" s="701" t="s">
        <v>3181</v>
      </c>
      <c r="BH6" s="701" t="s">
        <v>3181</v>
      </c>
      <c r="BI6" s="885" t="s">
        <v>3181</v>
      </c>
      <c r="BJ6" s="912"/>
      <c r="BK6" s="885" t="s">
        <v>3181</v>
      </c>
      <c r="BL6" s="885" t="s">
        <v>3181</v>
      </c>
      <c r="BM6" s="701" t="s">
        <v>3191</v>
      </c>
      <c r="BN6" s="885" t="s">
        <v>3181</v>
      </c>
      <c r="BO6" s="701" t="s">
        <v>3181</v>
      </c>
      <c r="BP6" s="701" t="s">
        <v>3181</v>
      </c>
      <c r="BQ6" s="701" t="s">
        <v>3181</v>
      </c>
      <c r="BR6" s="701" t="s">
        <v>3181</v>
      </c>
      <c r="BS6" s="701" t="s">
        <v>3181</v>
      </c>
      <c r="BT6" s="701" t="s">
        <v>3181</v>
      </c>
      <c r="BU6" s="701" t="s">
        <v>3181</v>
      </c>
      <c r="BV6" s="701" t="s">
        <v>3181</v>
      </c>
      <c r="BW6" s="701" t="s">
        <v>3181</v>
      </c>
      <c r="BX6" s="701" t="s">
        <v>3181</v>
      </c>
      <c r="BY6" s="701" t="s">
        <v>3181</v>
      </c>
      <c r="BZ6" s="701" t="s">
        <v>3181</v>
      </c>
      <c r="CA6" s="701" t="s">
        <v>3181</v>
      </c>
      <c r="CB6" s="701" t="s">
        <v>3181</v>
      </c>
      <c r="CC6" s="701" t="s">
        <v>3181</v>
      </c>
      <c r="CD6" s="701" t="s">
        <v>3181</v>
      </c>
      <c r="CE6" s="701" t="s">
        <v>3181</v>
      </c>
      <c r="CF6" s="701" t="s">
        <v>3181</v>
      </c>
      <c r="CG6" s="701"/>
      <c r="CH6" s="701"/>
      <c r="CI6" s="912"/>
      <c r="CJ6" s="701"/>
      <c r="CK6" s="701"/>
      <c r="CL6" s="701"/>
      <c r="CM6" s="701"/>
      <c r="CN6" s="701"/>
      <c r="CO6" s="701"/>
      <c r="CP6" s="701"/>
      <c r="CQ6" s="701"/>
      <c r="CR6" s="701"/>
      <c r="CS6" s="701" t="s">
        <v>3181</v>
      </c>
    </row>
    <row r="7" spans="1:97" ht="15.75" hidden="1" customHeight="1">
      <c r="A7" s="882" t="s">
        <v>3192</v>
      </c>
      <c r="B7" s="883" t="s">
        <v>3181</v>
      </c>
      <c r="C7" s="701" t="s">
        <v>3181</v>
      </c>
      <c r="D7" s="701" t="s">
        <v>3181</v>
      </c>
      <c r="E7" s="701" t="s">
        <v>3181</v>
      </c>
      <c r="F7" s="701" t="s">
        <v>3181</v>
      </c>
      <c r="G7" s="701" t="s">
        <v>3181</v>
      </c>
      <c r="H7" s="701" t="s">
        <v>3181</v>
      </c>
      <c r="I7" s="701" t="s">
        <v>3181</v>
      </c>
      <c r="J7" s="701" t="s">
        <v>3181</v>
      </c>
      <c r="K7" s="701" t="s">
        <v>3181</v>
      </c>
      <c r="L7" s="886" t="s">
        <v>3190</v>
      </c>
      <c r="M7" s="701" t="s">
        <v>3181</v>
      </c>
      <c r="N7" s="701" t="s">
        <v>3181</v>
      </c>
      <c r="O7" s="701" t="s">
        <v>3183</v>
      </c>
      <c r="P7" s="885" t="s">
        <v>3181</v>
      </c>
      <c r="Q7" s="701" t="s">
        <v>3181</v>
      </c>
      <c r="R7" s="701" t="s">
        <v>3181</v>
      </c>
      <c r="S7" s="701" t="s">
        <v>3181</v>
      </c>
      <c r="T7" s="701" t="s">
        <v>3181</v>
      </c>
      <c r="U7" s="885" t="s">
        <v>3193</v>
      </c>
      <c r="V7" s="701" t="s">
        <v>3181</v>
      </c>
      <c r="W7" s="701" t="s">
        <v>3181</v>
      </c>
      <c r="X7" s="701" t="s">
        <v>3181</v>
      </c>
      <c r="Y7" s="701" t="s">
        <v>3181</v>
      </c>
      <c r="Z7" s="701" t="s">
        <v>3184</v>
      </c>
      <c r="AA7" s="701" t="s">
        <v>3181</v>
      </c>
      <c r="AB7" s="701" t="s">
        <v>3181</v>
      </c>
      <c r="AC7" s="701" t="s">
        <v>3181</v>
      </c>
      <c r="AD7" s="701" t="s">
        <v>3181</v>
      </c>
      <c r="AE7" s="912"/>
      <c r="AF7" s="701" t="s">
        <v>3181</v>
      </c>
      <c r="AG7" s="701" t="s">
        <v>3181</v>
      </c>
      <c r="AH7" s="701" t="s">
        <v>3181</v>
      </c>
      <c r="AI7" s="701" t="s">
        <v>3181</v>
      </c>
      <c r="AJ7" s="701" t="s">
        <v>3181</v>
      </c>
      <c r="AK7" s="701" t="s">
        <v>3181</v>
      </c>
      <c r="AL7" s="912"/>
      <c r="AM7" s="701" t="s">
        <v>3181</v>
      </c>
      <c r="AN7" s="701" t="s">
        <v>3181</v>
      </c>
      <c r="AO7" s="701" t="s">
        <v>3181</v>
      </c>
      <c r="AP7" s="912"/>
      <c r="AQ7" s="701" t="s">
        <v>3181</v>
      </c>
      <c r="AR7" s="701" t="s">
        <v>3181</v>
      </c>
      <c r="AS7" s="912"/>
      <c r="AT7" s="701" t="s">
        <v>3181</v>
      </c>
      <c r="AU7" s="701" t="s">
        <v>3184</v>
      </c>
      <c r="AV7" s="701" t="s">
        <v>3181</v>
      </c>
      <c r="AW7" s="701" t="s">
        <v>3181</v>
      </c>
      <c r="AX7" s="701" t="s">
        <v>3181</v>
      </c>
      <c r="AY7" s="912"/>
      <c r="AZ7" s="701" t="s">
        <v>3181</v>
      </c>
      <c r="BA7" s="701" t="s">
        <v>3181</v>
      </c>
      <c r="BB7" s="701" t="s">
        <v>3181</v>
      </c>
      <c r="BC7" s="701" t="s">
        <v>3181</v>
      </c>
      <c r="BD7" s="701" t="s">
        <v>3181</v>
      </c>
      <c r="BE7" s="701" t="s">
        <v>3181</v>
      </c>
      <c r="BF7" s="701" t="s">
        <v>3181</v>
      </c>
      <c r="BG7" s="701" t="s">
        <v>3181</v>
      </c>
      <c r="BH7" s="701" t="s">
        <v>3181</v>
      </c>
      <c r="BI7" s="885" t="s">
        <v>3181</v>
      </c>
      <c r="BJ7" s="912"/>
      <c r="BK7" s="885" t="s">
        <v>3181</v>
      </c>
      <c r="BL7" s="885" t="s">
        <v>3181</v>
      </c>
      <c r="BM7" s="701" t="s">
        <v>3181</v>
      </c>
      <c r="BN7" s="885" t="s">
        <v>3181</v>
      </c>
      <c r="BO7" s="701" t="s">
        <v>3184</v>
      </c>
      <c r="BP7" s="701"/>
      <c r="BQ7" s="701"/>
      <c r="BR7" s="701"/>
      <c r="BS7" s="701"/>
      <c r="BT7" s="701"/>
      <c r="BU7" s="701" t="s">
        <v>3181</v>
      </c>
      <c r="BV7" s="701" t="s">
        <v>3181</v>
      </c>
      <c r="BW7" s="701" t="s">
        <v>3181</v>
      </c>
      <c r="BX7" s="701" t="s">
        <v>3181</v>
      </c>
      <c r="BY7" s="701"/>
      <c r="BZ7" s="701"/>
      <c r="CA7" s="701"/>
      <c r="CB7" s="701"/>
      <c r="CC7" s="701"/>
      <c r="CD7" s="701"/>
      <c r="CE7" s="701"/>
      <c r="CF7" s="701"/>
      <c r="CG7" s="701"/>
      <c r="CH7" s="701"/>
      <c r="CI7" s="912"/>
      <c r="CJ7" s="701"/>
      <c r="CK7" s="701"/>
      <c r="CL7" s="701"/>
      <c r="CM7" s="701"/>
      <c r="CN7" s="701"/>
      <c r="CO7" s="701"/>
      <c r="CP7" s="701"/>
      <c r="CQ7" s="701"/>
      <c r="CR7" s="701"/>
      <c r="CS7" s="701"/>
    </row>
    <row r="8" spans="1:97" ht="15.75" hidden="1" customHeight="1">
      <c r="A8" s="882" t="s">
        <v>3194</v>
      </c>
      <c r="B8" s="883" t="s">
        <v>3181</v>
      </c>
      <c r="C8" s="701" t="s">
        <v>3181</v>
      </c>
      <c r="D8" s="701" t="s">
        <v>3181</v>
      </c>
      <c r="E8" s="701" t="s">
        <v>3181</v>
      </c>
      <c r="F8" s="701" t="s">
        <v>3181</v>
      </c>
      <c r="G8" s="701" t="s">
        <v>3181</v>
      </c>
      <c r="H8" s="701" t="s">
        <v>3181</v>
      </c>
      <c r="I8" s="701" t="s">
        <v>3181</v>
      </c>
      <c r="J8" s="701" t="s">
        <v>3181</v>
      </c>
      <c r="K8" s="701" t="s">
        <v>3181</v>
      </c>
      <c r="L8" s="701" t="s">
        <v>3184</v>
      </c>
      <c r="M8" s="701" t="s">
        <v>3181</v>
      </c>
      <c r="N8" s="701" t="s">
        <v>3181</v>
      </c>
      <c r="O8" s="701" t="s">
        <v>3183</v>
      </c>
      <c r="P8" s="885" t="s">
        <v>3181</v>
      </c>
      <c r="Q8" s="701" t="s">
        <v>3181</v>
      </c>
      <c r="R8" s="701" t="s">
        <v>3181</v>
      </c>
      <c r="S8" s="701" t="s">
        <v>3181</v>
      </c>
      <c r="T8" s="701" t="s">
        <v>3181</v>
      </c>
      <c r="U8" s="885" t="s">
        <v>3181</v>
      </c>
      <c r="V8" s="701" t="s">
        <v>3181</v>
      </c>
      <c r="W8" s="701" t="s">
        <v>3195</v>
      </c>
      <c r="X8" s="701" t="s">
        <v>3181</v>
      </c>
      <c r="Y8" s="701" t="s">
        <v>3181</v>
      </c>
      <c r="Z8" s="701" t="s">
        <v>3181</v>
      </c>
      <c r="AA8" s="701" t="s">
        <v>3181</v>
      </c>
      <c r="AB8" s="701" t="s">
        <v>3184</v>
      </c>
      <c r="AC8" s="701" t="s">
        <v>3181</v>
      </c>
      <c r="AD8" s="701" t="s">
        <v>3181</v>
      </c>
      <c r="AE8" s="912"/>
      <c r="AF8" s="701" t="s">
        <v>3181</v>
      </c>
      <c r="AG8" s="701" t="s">
        <v>3181</v>
      </c>
      <c r="AH8" s="701" t="s">
        <v>3181</v>
      </c>
      <c r="AI8" s="701" t="s">
        <v>3181</v>
      </c>
      <c r="AJ8" s="701" t="s">
        <v>3181</v>
      </c>
      <c r="AK8" s="701" t="s">
        <v>3181</v>
      </c>
      <c r="AL8" s="912"/>
      <c r="AM8" s="701" t="s">
        <v>3181</v>
      </c>
      <c r="AN8" s="701" t="s">
        <v>3184</v>
      </c>
      <c r="AO8" s="701" t="s">
        <v>3181</v>
      </c>
      <c r="AP8" s="912"/>
      <c r="AQ8" s="701" t="s">
        <v>3181</v>
      </c>
      <c r="AR8" s="701" t="s">
        <v>3181</v>
      </c>
      <c r="AS8" s="912"/>
      <c r="AT8" s="701" t="s">
        <v>3181</v>
      </c>
      <c r="AU8" s="701" t="s">
        <v>3181</v>
      </c>
      <c r="AV8" s="701" t="s">
        <v>3181</v>
      </c>
      <c r="AW8" s="701" t="s">
        <v>3181</v>
      </c>
      <c r="AX8" s="701" t="s">
        <v>3181</v>
      </c>
      <c r="AY8" s="912"/>
      <c r="AZ8" s="701" t="s">
        <v>3181</v>
      </c>
      <c r="BA8" s="701" t="s">
        <v>3181</v>
      </c>
      <c r="BB8" s="701" t="s">
        <v>3181</v>
      </c>
      <c r="BC8" s="701" t="s">
        <v>3181</v>
      </c>
      <c r="BD8" s="701" t="s">
        <v>3181</v>
      </c>
      <c r="BE8" s="701" t="s">
        <v>3181</v>
      </c>
      <c r="BF8" s="701" t="s">
        <v>3181</v>
      </c>
      <c r="BG8" s="701" t="s">
        <v>3196</v>
      </c>
      <c r="BH8" s="701" t="s">
        <v>3181</v>
      </c>
      <c r="BI8" s="885" t="s">
        <v>3181</v>
      </c>
      <c r="BJ8" s="912"/>
      <c r="BK8" s="885" t="s">
        <v>3181</v>
      </c>
      <c r="BL8" s="885" t="s">
        <v>3181</v>
      </c>
      <c r="BM8" s="701" t="s">
        <v>3181</v>
      </c>
      <c r="BN8" s="885" t="s">
        <v>3181</v>
      </c>
      <c r="BO8" s="701" t="s">
        <v>3181</v>
      </c>
      <c r="BP8" s="701" t="s">
        <v>3181</v>
      </c>
      <c r="BQ8" s="701" t="s">
        <v>3181</v>
      </c>
      <c r="BR8" s="701" t="s">
        <v>3181</v>
      </c>
      <c r="BS8" s="701" t="s">
        <v>3181</v>
      </c>
      <c r="BT8" s="701" t="s">
        <v>3181</v>
      </c>
      <c r="BU8" s="701" t="s">
        <v>3181</v>
      </c>
      <c r="BV8" s="701" t="s">
        <v>3181</v>
      </c>
      <c r="BW8" s="701" t="s">
        <v>3181</v>
      </c>
      <c r="BX8" s="701" t="s">
        <v>3197</v>
      </c>
      <c r="BY8" s="701"/>
      <c r="BZ8" s="701"/>
      <c r="CA8" s="701"/>
      <c r="CB8" s="701"/>
      <c r="CC8" s="701"/>
      <c r="CD8" s="701"/>
      <c r="CE8" s="701"/>
      <c r="CF8" s="701"/>
      <c r="CG8" s="701"/>
      <c r="CH8" s="701"/>
      <c r="CI8" s="912"/>
      <c r="CJ8" s="701"/>
      <c r="CK8" s="701"/>
      <c r="CL8" s="701"/>
      <c r="CM8" s="701"/>
      <c r="CN8" s="701"/>
      <c r="CO8" s="701"/>
      <c r="CP8" s="701"/>
      <c r="CQ8" s="701"/>
      <c r="CR8" s="701"/>
      <c r="CS8" s="701"/>
    </row>
    <row r="9" spans="1:97" ht="15.75">
      <c r="A9" s="882" t="s">
        <v>2352</v>
      </c>
      <c r="B9" s="883" t="s">
        <v>3181</v>
      </c>
      <c r="C9" s="701" t="s">
        <v>3181</v>
      </c>
      <c r="D9" s="701" t="s">
        <v>3181</v>
      </c>
      <c r="E9" s="701" t="s">
        <v>3181</v>
      </c>
      <c r="F9" s="701" t="s">
        <v>3181</v>
      </c>
      <c r="G9" s="701" t="s">
        <v>3181</v>
      </c>
      <c r="H9" s="701" t="s">
        <v>3181</v>
      </c>
      <c r="I9" s="701" t="s">
        <v>3181</v>
      </c>
      <c r="J9" s="701" t="s">
        <v>3181</v>
      </c>
      <c r="K9" s="701" t="s">
        <v>3181</v>
      </c>
      <c r="L9" s="701" t="s">
        <v>3181</v>
      </c>
      <c r="M9" s="701" t="s">
        <v>3181</v>
      </c>
      <c r="N9" s="701" t="s">
        <v>3181</v>
      </c>
      <c r="O9" s="886" t="s">
        <v>3190</v>
      </c>
      <c r="P9" s="885" t="s">
        <v>3181</v>
      </c>
      <c r="Q9" s="701" t="s">
        <v>3181</v>
      </c>
      <c r="R9" s="701" t="s">
        <v>3181</v>
      </c>
      <c r="S9" s="701" t="s">
        <v>3181</v>
      </c>
      <c r="T9" s="701" t="s">
        <v>3181</v>
      </c>
      <c r="U9" s="885" t="s">
        <v>3181</v>
      </c>
      <c r="V9" s="701" t="s">
        <v>3181</v>
      </c>
      <c r="W9" s="701" t="s">
        <v>3181</v>
      </c>
      <c r="X9" s="701" t="s">
        <v>3181</v>
      </c>
      <c r="Y9" s="701" t="s">
        <v>3181</v>
      </c>
      <c r="Z9" s="701" t="s">
        <v>3181</v>
      </c>
      <c r="AA9" s="701" t="s">
        <v>3181</v>
      </c>
      <c r="AB9" s="701" t="s">
        <v>3181</v>
      </c>
      <c r="AC9" s="701" t="s">
        <v>3181</v>
      </c>
      <c r="AD9" s="701" t="s">
        <v>3181</v>
      </c>
      <c r="AE9" s="912"/>
      <c r="AF9" s="701" t="s">
        <v>3181</v>
      </c>
      <c r="AG9" s="701" t="s">
        <v>3181</v>
      </c>
      <c r="AH9" s="701" t="s">
        <v>3181</v>
      </c>
      <c r="AI9" s="701" t="s">
        <v>3181</v>
      </c>
      <c r="AJ9" s="701" t="s">
        <v>3181</v>
      </c>
      <c r="AK9" s="701" t="s">
        <v>3181</v>
      </c>
      <c r="AL9" s="912"/>
      <c r="AM9" s="701" t="s">
        <v>3181</v>
      </c>
      <c r="AN9" s="701" t="s">
        <v>3181</v>
      </c>
      <c r="AO9" s="701" t="s">
        <v>3181</v>
      </c>
      <c r="AP9" s="912"/>
      <c r="AQ9" s="701" t="s">
        <v>3181</v>
      </c>
      <c r="AR9" s="701" t="s">
        <v>3181</v>
      </c>
      <c r="AS9" s="912"/>
      <c r="AT9" s="701" t="s">
        <v>3181</v>
      </c>
      <c r="AU9" s="701" t="s">
        <v>3181</v>
      </c>
      <c r="AV9" s="701" t="s">
        <v>3181</v>
      </c>
      <c r="AW9" s="701" t="s">
        <v>3181</v>
      </c>
      <c r="AX9" s="701" t="s">
        <v>3181</v>
      </c>
      <c r="AY9" s="912"/>
      <c r="AZ9" s="701" t="s">
        <v>3181</v>
      </c>
      <c r="BA9" s="701" t="s">
        <v>3181</v>
      </c>
      <c r="BB9" s="701" t="s">
        <v>3181</v>
      </c>
      <c r="BC9" s="701" t="s">
        <v>3181</v>
      </c>
      <c r="BD9" s="701" t="s">
        <v>3181</v>
      </c>
      <c r="BE9" s="701" t="s">
        <v>3181</v>
      </c>
      <c r="BF9" s="701" t="s">
        <v>3181</v>
      </c>
      <c r="BG9" s="701" t="s">
        <v>3181</v>
      </c>
      <c r="BH9" s="701" t="s">
        <v>3181</v>
      </c>
      <c r="BI9" s="885" t="s">
        <v>3181</v>
      </c>
      <c r="BJ9" s="912"/>
      <c r="BK9" s="885" t="s">
        <v>3181</v>
      </c>
      <c r="BL9" s="885" t="s">
        <v>3181</v>
      </c>
      <c r="BM9" s="701" t="s">
        <v>3181</v>
      </c>
      <c r="BN9" s="885" t="s">
        <v>3181</v>
      </c>
      <c r="BO9" s="701" t="s">
        <v>3181</v>
      </c>
      <c r="BP9" s="701" t="s">
        <v>3181</v>
      </c>
      <c r="BQ9" s="701" t="s">
        <v>3181</v>
      </c>
      <c r="BR9" s="701" t="s">
        <v>3181</v>
      </c>
      <c r="BS9" s="701" t="s">
        <v>3181</v>
      </c>
      <c r="BT9" s="701" t="s">
        <v>3181</v>
      </c>
      <c r="BU9" s="701" t="s">
        <v>3181</v>
      </c>
      <c r="BV9" s="701" t="s">
        <v>3181</v>
      </c>
      <c r="BW9" s="701" t="s">
        <v>3181</v>
      </c>
      <c r="BX9" s="701" t="s">
        <v>3181</v>
      </c>
      <c r="BY9" s="701" t="s">
        <v>3181</v>
      </c>
      <c r="BZ9" s="701" t="s">
        <v>3181</v>
      </c>
      <c r="CA9" s="701" t="s">
        <v>3181</v>
      </c>
      <c r="CB9" s="701" t="s">
        <v>3181</v>
      </c>
      <c r="CC9" s="701" t="s">
        <v>3181</v>
      </c>
      <c r="CD9" s="701" t="s">
        <v>3181</v>
      </c>
      <c r="CE9" s="701" t="s">
        <v>3181</v>
      </c>
      <c r="CF9" s="701" t="s">
        <v>3181</v>
      </c>
      <c r="CG9" s="701"/>
      <c r="CH9" s="701"/>
      <c r="CI9" s="912"/>
      <c r="CJ9" s="701"/>
      <c r="CK9" s="701"/>
      <c r="CL9" s="701"/>
      <c r="CM9" s="701"/>
      <c r="CN9" s="701"/>
      <c r="CO9" s="701"/>
      <c r="CP9" s="701"/>
      <c r="CQ9" s="701"/>
      <c r="CR9" s="701"/>
      <c r="CS9" s="701" t="s">
        <v>3181</v>
      </c>
    </row>
    <row r="10" spans="1:97" ht="15.75">
      <c r="A10" s="882" t="s">
        <v>3198</v>
      </c>
      <c r="B10" s="883" t="s">
        <v>3181</v>
      </c>
      <c r="C10" s="701" t="s">
        <v>3181</v>
      </c>
      <c r="D10" s="701" t="s">
        <v>3181</v>
      </c>
      <c r="E10" s="701" t="s">
        <v>3181</v>
      </c>
      <c r="F10" s="701" t="s">
        <v>3181</v>
      </c>
      <c r="G10" s="701" t="s">
        <v>3181</v>
      </c>
      <c r="H10" s="701" t="s">
        <v>3181</v>
      </c>
      <c r="I10" s="701" t="s">
        <v>3184</v>
      </c>
      <c r="J10" s="701" t="s">
        <v>3181</v>
      </c>
      <c r="K10" s="701" t="s">
        <v>3184</v>
      </c>
      <c r="L10" s="701" t="s">
        <v>3181</v>
      </c>
      <c r="M10" s="701" t="s">
        <v>3181</v>
      </c>
      <c r="N10" s="701" t="s">
        <v>3184</v>
      </c>
      <c r="O10" s="701" t="s">
        <v>3183</v>
      </c>
      <c r="P10" s="885" t="s">
        <v>3184</v>
      </c>
      <c r="Q10" s="701" t="s">
        <v>3184</v>
      </c>
      <c r="R10" s="701" t="s">
        <v>3181</v>
      </c>
      <c r="S10" s="701" t="s">
        <v>3181</v>
      </c>
      <c r="T10" s="701" t="s">
        <v>3181</v>
      </c>
      <c r="U10" s="885" t="s">
        <v>3184</v>
      </c>
      <c r="V10" s="701" t="s">
        <v>3181</v>
      </c>
      <c r="W10" s="701" t="s">
        <v>3181</v>
      </c>
      <c r="X10" s="701" t="s">
        <v>3181</v>
      </c>
      <c r="Y10" s="701" t="s">
        <v>3181</v>
      </c>
      <c r="Z10" s="701" t="s">
        <v>3181</v>
      </c>
      <c r="AA10" s="701" t="s">
        <v>3181</v>
      </c>
      <c r="AB10" s="701" t="s">
        <v>3181</v>
      </c>
      <c r="AC10" s="701" t="s">
        <v>3181</v>
      </c>
      <c r="AD10" s="701" t="s">
        <v>3181</v>
      </c>
      <c r="AE10" s="912"/>
      <c r="AF10" s="701" t="s">
        <v>3181</v>
      </c>
      <c r="AG10" s="701" t="s">
        <v>3181</v>
      </c>
      <c r="AH10" s="701" t="s">
        <v>3181</v>
      </c>
      <c r="AI10" s="701" t="s">
        <v>3181</v>
      </c>
      <c r="AJ10" s="701" t="s">
        <v>3181</v>
      </c>
      <c r="AK10" s="701" t="s">
        <v>3184</v>
      </c>
      <c r="AL10" s="912"/>
      <c r="AM10" s="701" t="s">
        <v>3184</v>
      </c>
      <c r="AN10" s="701" t="s">
        <v>3181</v>
      </c>
      <c r="AO10" s="701" t="s">
        <v>3181</v>
      </c>
      <c r="AP10" s="912"/>
      <c r="AQ10" s="701" t="s">
        <v>3181</v>
      </c>
      <c r="AR10" s="701" t="s">
        <v>3181</v>
      </c>
      <c r="AS10" s="912"/>
      <c r="AT10" s="701" t="s">
        <v>3181</v>
      </c>
      <c r="AU10" s="701" t="s">
        <v>3181</v>
      </c>
      <c r="AV10" s="701" t="s">
        <v>3181</v>
      </c>
      <c r="AW10" s="701" t="s">
        <v>3181</v>
      </c>
      <c r="AX10" s="701" t="s">
        <v>3181</v>
      </c>
      <c r="AY10" s="912"/>
      <c r="AZ10" s="701" t="s">
        <v>3181</v>
      </c>
      <c r="BA10" s="701" t="s">
        <v>3184</v>
      </c>
      <c r="BB10" s="701" t="s">
        <v>3184</v>
      </c>
      <c r="BC10" s="701" t="s">
        <v>3184</v>
      </c>
      <c r="BD10" s="701" t="s">
        <v>3184</v>
      </c>
      <c r="BE10" s="701" t="s">
        <v>3184</v>
      </c>
      <c r="BF10" s="701" t="s">
        <v>3181</v>
      </c>
      <c r="BG10" s="701" t="s">
        <v>3181</v>
      </c>
      <c r="BH10" s="701" t="s">
        <v>3181</v>
      </c>
      <c r="BI10" s="885" t="s">
        <v>3181</v>
      </c>
      <c r="BJ10" s="912"/>
      <c r="BK10" s="885" t="s">
        <v>3181</v>
      </c>
      <c r="BL10" s="885" t="s">
        <v>3181</v>
      </c>
      <c r="BM10" s="701" t="s">
        <v>3181</v>
      </c>
      <c r="BN10" s="885" t="s">
        <v>3181</v>
      </c>
      <c r="BO10" s="701" t="s">
        <v>3181</v>
      </c>
      <c r="BP10" s="701" t="s">
        <v>3181</v>
      </c>
      <c r="BQ10" s="701" t="s">
        <v>3181</v>
      </c>
      <c r="BR10" s="701" t="s">
        <v>3181</v>
      </c>
      <c r="BS10" s="701" t="s">
        <v>3181</v>
      </c>
      <c r="BT10" s="701" t="s">
        <v>3181</v>
      </c>
      <c r="BU10" s="701" t="s">
        <v>3181</v>
      </c>
      <c r="BV10" s="701" t="s">
        <v>3181</v>
      </c>
      <c r="BW10" s="701" t="s">
        <v>3184</v>
      </c>
      <c r="BX10" s="701" t="s">
        <v>3181</v>
      </c>
      <c r="BY10" s="701" t="s">
        <v>3181</v>
      </c>
      <c r="BZ10" s="701" t="s">
        <v>3181</v>
      </c>
      <c r="CA10" s="701" t="s">
        <v>3181</v>
      </c>
      <c r="CB10" s="701" t="s">
        <v>3181</v>
      </c>
      <c r="CC10" s="701" t="s">
        <v>3181</v>
      </c>
      <c r="CD10" s="701" t="s">
        <v>3181</v>
      </c>
      <c r="CE10" s="701" t="s">
        <v>3181</v>
      </c>
      <c r="CF10" s="701" t="s">
        <v>3181</v>
      </c>
      <c r="CG10" s="701"/>
      <c r="CH10" s="701"/>
      <c r="CI10" s="912"/>
      <c r="CJ10" s="701"/>
      <c r="CK10" s="701"/>
      <c r="CL10" s="701"/>
      <c r="CM10" s="701"/>
      <c r="CN10" s="701"/>
      <c r="CO10" s="701"/>
      <c r="CP10" s="701"/>
      <c r="CQ10" s="701"/>
      <c r="CR10" s="701"/>
      <c r="CS10" s="701" t="s">
        <v>3181</v>
      </c>
    </row>
    <row r="11" spans="1:97" ht="15.75">
      <c r="A11" s="882" t="s">
        <v>3199</v>
      </c>
      <c r="B11" s="883" t="s">
        <v>3181</v>
      </c>
      <c r="C11" s="701" t="s">
        <v>3181</v>
      </c>
      <c r="D11" s="701" t="s">
        <v>3181</v>
      </c>
      <c r="E11" s="701" t="s">
        <v>3181</v>
      </c>
      <c r="F11" s="701" t="s">
        <v>3181</v>
      </c>
      <c r="G11" s="701" t="s">
        <v>3181</v>
      </c>
      <c r="H11" s="701" t="s">
        <v>3181</v>
      </c>
      <c r="I11" s="701" t="s">
        <v>3181</v>
      </c>
      <c r="J11" s="701" t="s">
        <v>3200</v>
      </c>
      <c r="K11" s="701" t="s">
        <v>3184</v>
      </c>
      <c r="L11" s="701" t="s">
        <v>3181</v>
      </c>
      <c r="M11" s="701" t="s">
        <v>3184</v>
      </c>
      <c r="N11" s="701" t="s">
        <v>3181</v>
      </c>
      <c r="O11" s="701" t="s">
        <v>3183</v>
      </c>
      <c r="P11" s="885" t="s">
        <v>3181</v>
      </c>
      <c r="Q11" s="701" t="s">
        <v>3181</v>
      </c>
      <c r="R11" s="701" t="s">
        <v>3181</v>
      </c>
      <c r="S11" s="701" t="s">
        <v>3184</v>
      </c>
      <c r="T11" s="701" t="s">
        <v>3184</v>
      </c>
      <c r="U11" s="885" t="s">
        <v>3184</v>
      </c>
      <c r="V11" s="701" t="s">
        <v>3181</v>
      </c>
      <c r="W11" s="701" t="s">
        <v>3181</v>
      </c>
      <c r="X11" s="701" t="s">
        <v>3181</v>
      </c>
      <c r="Y11" s="701" t="s">
        <v>3181</v>
      </c>
      <c r="Z11" s="701" t="s">
        <v>3181</v>
      </c>
      <c r="AA11" s="701" t="s">
        <v>3181</v>
      </c>
      <c r="AB11" s="701" t="s">
        <v>3181</v>
      </c>
      <c r="AC11" s="701" t="s">
        <v>3181</v>
      </c>
      <c r="AD11" s="701" t="s">
        <v>3184</v>
      </c>
      <c r="AE11" s="912"/>
      <c r="AF11" s="701" t="s">
        <v>3181</v>
      </c>
      <c r="AG11" s="701" t="s">
        <v>3181</v>
      </c>
      <c r="AH11" s="701" t="s">
        <v>3181</v>
      </c>
      <c r="AI11" s="701" t="s">
        <v>3181</v>
      </c>
      <c r="AJ11" s="701" t="s">
        <v>3181</v>
      </c>
      <c r="AK11" s="701" t="s">
        <v>3181</v>
      </c>
      <c r="AL11" s="912"/>
      <c r="AM11" s="701" t="s">
        <v>3181</v>
      </c>
      <c r="AN11" s="701" t="s">
        <v>3181</v>
      </c>
      <c r="AO11" s="701" t="s">
        <v>3181</v>
      </c>
      <c r="AP11" s="912"/>
      <c r="AQ11" s="701" t="s">
        <v>3181</v>
      </c>
      <c r="AR11" s="701" t="s">
        <v>3181</v>
      </c>
      <c r="AS11" s="912"/>
      <c r="AT11" s="701" t="s">
        <v>3181</v>
      </c>
      <c r="AU11" s="701" t="s">
        <v>3184</v>
      </c>
      <c r="AV11" s="701" t="s">
        <v>3184</v>
      </c>
      <c r="AW11" s="701" t="s">
        <v>3181</v>
      </c>
      <c r="AX11" s="701" t="s">
        <v>3181</v>
      </c>
      <c r="AY11" s="912"/>
      <c r="AZ11" s="701" t="s">
        <v>3184</v>
      </c>
      <c r="BA11" s="701" t="s">
        <v>3181</v>
      </c>
      <c r="BB11" s="701" t="s">
        <v>3181</v>
      </c>
      <c r="BC11" s="701" t="s">
        <v>3181</v>
      </c>
      <c r="BD11" s="701" t="s">
        <v>3181</v>
      </c>
      <c r="BE11" s="701" t="s">
        <v>3184</v>
      </c>
      <c r="BF11" s="701" t="s">
        <v>3184</v>
      </c>
      <c r="BG11" s="701" t="s">
        <v>3184</v>
      </c>
      <c r="BH11" s="701" t="s">
        <v>3181</v>
      </c>
      <c r="BI11" s="885" t="s">
        <v>3181</v>
      </c>
      <c r="BJ11" s="912"/>
      <c r="BK11" s="885" t="s">
        <v>3181</v>
      </c>
      <c r="BL11" s="885" t="s">
        <v>3181</v>
      </c>
      <c r="BM11" s="701" t="s">
        <v>3181</v>
      </c>
      <c r="BN11" s="885" t="s">
        <v>3181</v>
      </c>
      <c r="BO11" s="701" t="s">
        <v>3184</v>
      </c>
      <c r="BP11" s="701" t="s">
        <v>3181</v>
      </c>
      <c r="BQ11" s="701" t="s">
        <v>3181</v>
      </c>
      <c r="BR11" s="701" t="s">
        <v>3201</v>
      </c>
      <c r="BS11" s="701" t="s">
        <v>3181</v>
      </c>
      <c r="BT11" s="701" t="s">
        <v>3181</v>
      </c>
      <c r="BU11" s="701" t="s">
        <v>3181</v>
      </c>
      <c r="BV11" s="701" t="s">
        <v>3181</v>
      </c>
      <c r="BW11" s="701" t="s">
        <v>3181</v>
      </c>
      <c r="BX11" s="701" t="s">
        <v>3181</v>
      </c>
      <c r="BY11" s="701" t="s">
        <v>3181</v>
      </c>
      <c r="BZ11" s="701" t="s">
        <v>3181</v>
      </c>
      <c r="CA11" s="701" t="s">
        <v>3181</v>
      </c>
      <c r="CB11" s="701" t="s">
        <v>3184</v>
      </c>
      <c r="CC11" s="701" t="s">
        <v>3184</v>
      </c>
      <c r="CD11" s="701" t="s">
        <v>3181</v>
      </c>
      <c r="CE11" s="701" t="s">
        <v>3181</v>
      </c>
      <c r="CF11" s="701" t="s">
        <v>3181</v>
      </c>
      <c r="CG11" s="701"/>
      <c r="CH11" s="701"/>
      <c r="CI11" s="912"/>
      <c r="CJ11" s="701"/>
      <c r="CK11" s="701"/>
      <c r="CL11" s="701"/>
      <c r="CM11" s="701"/>
      <c r="CN11" s="701"/>
      <c r="CO11" s="701"/>
      <c r="CP11" s="701"/>
      <c r="CQ11" s="701"/>
      <c r="CR11" s="701"/>
      <c r="CS11" s="701" t="s">
        <v>3181</v>
      </c>
    </row>
    <row r="12" spans="1:97" ht="15.75">
      <c r="A12" s="882" t="s">
        <v>2345</v>
      </c>
      <c r="B12" s="883" t="s">
        <v>3181</v>
      </c>
      <c r="C12" s="701" t="s">
        <v>3184</v>
      </c>
      <c r="D12" s="701" t="s">
        <v>3181</v>
      </c>
      <c r="E12" s="701" t="s">
        <v>3181</v>
      </c>
      <c r="F12" s="701" t="s">
        <v>3184</v>
      </c>
      <c r="G12" s="701" t="s">
        <v>3184</v>
      </c>
      <c r="H12" s="701" t="s">
        <v>3181</v>
      </c>
      <c r="I12" s="701" t="s">
        <v>3184</v>
      </c>
      <c r="J12" s="701" t="s">
        <v>3181</v>
      </c>
      <c r="K12" s="701" t="s">
        <v>3184</v>
      </c>
      <c r="L12" s="701" t="s">
        <v>3181</v>
      </c>
      <c r="M12" s="701" t="s">
        <v>3184</v>
      </c>
      <c r="N12" s="701" t="s">
        <v>3184</v>
      </c>
      <c r="O12" s="701" t="s">
        <v>3183</v>
      </c>
      <c r="P12" s="885" t="s">
        <v>3181</v>
      </c>
      <c r="Q12" s="701" t="s">
        <v>3184</v>
      </c>
      <c r="R12" s="701" t="s">
        <v>3184</v>
      </c>
      <c r="S12" s="701" t="s">
        <v>3184</v>
      </c>
      <c r="T12" s="701" t="s">
        <v>3184</v>
      </c>
      <c r="U12" s="885" t="s">
        <v>3184</v>
      </c>
      <c r="V12" s="701" t="s">
        <v>3184</v>
      </c>
      <c r="W12" s="701" t="s">
        <v>3181</v>
      </c>
      <c r="X12" s="701" t="s">
        <v>3184</v>
      </c>
      <c r="Y12" s="701" t="s">
        <v>3184</v>
      </c>
      <c r="Z12" s="701" t="s">
        <v>3181</v>
      </c>
      <c r="AA12" s="701" t="s">
        <v>3184</v>
      </c>
      <c r="AB12" s="701" t="s">
        <v>3184</v>
      </c>
      <c r="AC12" s="701" t="s">
        <v>3181</v>
      </c>
      <c r="AD12" s="701" t="s">
        <v>3184</v>
      </c>
      <c r="AE12" s="912"/>
      <c r="AF12" s="701" t="s">
        <v>3184</v>
      </c>
      <c r="AG12" s="701" t="s">
        <v>3184</v>
      </c>
      <c r="AH12" s="701" t="s">
        <v>3184</v>
      </c>
      <c r="AI12" s="701" t="s">
        <v>3184</v>
      </c>
      <c r="AJ12" s="701" t="s">
        <v>3181</v>
      </c>
      <c r="AK12" s="701" t="s">
        <v>3181</v>
      </c>
      <c r="AL12" s="912"/>
      <c r="AM12" s="701" t="s">
        <v>3184</v>
      </c>
      <c r="AN12" s="701" t="s">
        <v>3184</v>
      </c>
      <c r="AO12" s="701" t="s">
        <v>3184</v>
      </c>
      <c r="AP12" s="912"/>
      <c r="AQ12" s="701" t="s">
        <v>3184</v>
      </c>
      <c r="AR12" s="701" t="s">
        <v>3184</v>
      </c>
      <c r="AS12" s="912"/>
      <c r="AT12" s="701" t="s">
        <v>3184</v>
      </c>
      <c r="AU12" s="701" t="s">
        <v>3184</v>
      </c>
      <c r="AV12" s="701" t="s">
        <v>3181</v>
      </c>
      <c r="AW12" s="701" t="s">
        <v>3181</v>
      </c>
      <c r="AX12" s="701" t="s">
        <v>3184</v>
      </c>
      <c r="AY12" s="912"/>
      <c r="AZ12" s="701" t="s">
        <v>3184</v>
      </c>
      <c r="BA12" s="701" t="s">
        <v>3184</v>
      </c>
      <c r="BB12" s="701" t="s">
        <v>3184</v>
      </c>
      <c r="BC12" s="701" t="s">
        <v>3181</v>
      </c>
      <c r="BD12" s="701" t="s">
        <v>3184</v>
      </c>
      <c r="BE12" s="701" t="s">
        <v>3181</v>
      </c>
      <c r="BF12" s="701" t="s">
        <v>3184</v>
      </c>
      <c r="BG12" s="701" t="s">
        <v>3184</v>
      </c>
      <c r="BH12" s="701" t="s">
        <v>3181</v>
      </c>
      <c r="BI12" s="885" t="s">
        <v>3184</v>
      </c>
      <c r="BJ12" s="912"/>
      <c r="BK12" s="885" t="s">
        <v>3184</v>
      </c>
      <c r="BL12" s="885" t="s">
        <v>3184</v>
      </c>
      <c r="BM12" s="701" t="s">
        <v>3181</v>
      </c>
      <c r="BN12" s="885" t="s">
        <v>3184</v>
      </c>
      <c r="BO12" s="701" t="s">
        <v>3184</v>
      </c>
      <c r="BP12" s="701" t="s">
        <v>3184</v>
      </c>
      <c r="BQ12" s="701" t="s">
        <v>3184</v>
      </c>
      <c r="BR12" s="701" t="s">
        <v>3181</v>
      </c>
      <c r="BS12" s="701" t="s">
        <v>3184</v>
      </c>
      <c r="BT12" s="701" t="s">
        <v>3184</v>
      </c>
      <c r="BU12" s="701" t="s">
        <v>3181</v>
      </c>
      <c r="BV12" s="701" t="s">
        <v>3181</v>
      </c>
      <c r="BW12" s="701" t="s">
        <v>3184</v>
      </c>
      <c r="BX12" s="701" t="s">
        <v>3184</v>
      </c>
      <c r="BY12" s="701" t="s">
        <v>3181</v>
      </c>
      <c r="BZ12" s="701" t="s">
        <v>3184</v>
      </c>
      <c r="CA12" s="701" t="s">
        <v>3184</v>
      </c>
      <c r="CB12" s="701" t="s">
        <v>3181</v>
      </c>
      <c r="CC12" s="701" t="s">
        <v>3184</v>
      </c>
      <c r="CD12" s="701" t="s">
        <v>3184</v>
      </c>
      <c r="CE12" s="701" t="s">
        <v>3181</v>
      </c>
      <c r="CF12" s="701" t="s">
        <v>3184</v>
      </c>
      <c r="CG12" s="701"/>
      <c r="CH12" s="701"/>
      <c r="CI12" s="912"/>
      <c r="CJ12" s="701"/>
      <c r="CK12" s="701"/>
      <c r="CL12" s="701"/>
      <c r="CM12" s="701"/>
      <c r="CN12" s="701"/>
      <c r="CO12" s="701"/>
      <c r="CP12" s="701"/>
      <c r="CQ12" s="701"/>
      <c r="CR12" s="701"/>
      <c r="CS12" s="701" t="s">
        <v>3184</v>
      </c>
    </row>
    <row r="13" spans="1:97" ht="15.75">
      <c r="A13" s="882" t="s">
        <v>2531</v>
      </c>
      <c r="B13" s="883" t="s">
        <v>3181</v>
      </c>
      <c r="C13" s="701" t="s">
        <v>3184</v>
      </c>
      <c r="D13" s="701" t="s">
        <v>3184</v>
      </c>
      <c r="E13" s="701" t="s">
        <v>3184</v>
      </c>
      <c r="F13" s="701" t="s">
        <v>3184</v>
      </c>
      <c r="G13" s="701" t="s">
        <v>3184</v>
      </c>
      <c r="H13" s="701" t="s">
        <v>3184</v>
      </c>
      <c r="I13" s="701" t="s">
        <v>3184</v>
      </c>
      <c r="J13" s="701" t="s">
        <v>3181</v>
      </c>
      <c r="K13" s="701" t="s">
        <v>3184</v>
      </c>
      <c r="L13" s="701" t="s">
        <v>3184</v>
      </c>
      <c r="M13" s="701" t="s">
        <v>3181</v>
      </c>
      <c r="N13" s="701" t="s">
        <v>3184</v>
      </c>
      <c r="O13" s="701" t="s">
        <v>3183</v>
      </c>
      <c r="P13" s="885" t="s">
        <v>3184</v>
      </c>
      <c r="Q13" s="701" t="s">
        <v>3184</v>
      </c>
      <c r="R13" s="701" t="s">
        <v>3184</v>
      </c>
      <c r="S13" s="701" t="s">
        <v>3184</v>
      </c>
      <c r="T13" s="701" t="s">
        <v>3184</v>
      </c>
      <c r="U13" s="885" t="s">
        <v>3184</v>
      </c>
      <c r="V13" s="701" t="s">
        <v>3181</v>
      </c>
      <c r="W13" s="701" t="s">
        <v>3184</v>
      </c>
      <c r="X13" s="701" t="s">
        <v>3184</v>
      </c>
      <c r="Y13" s="701" t="s">
        <v>3184</v>
      </c>
      <c r="Z13" s="701" t="s">
        <v>3184</v>
      </c>
      <c r="AA13" s="701" t="s">
        <v>3184</v>
      </c>
      <c r="AB13" s="701" t="s">
        <v>3184</v>
      </c>
      <c r="AC13" s="701" t="s">
        <v>3181</v>
      </c>
      <c r="AD13" s="701" t="s">
        <v>3184</v>
      </c>
      <c r="AE13" s="910"/>
      <c r="AF13" s="701" t="s">
        <v>3184</v>
      </c>
      <c r="AG13" s="701" t="s">
        <v>3184</v>
      </c>
      <c r="AH13" s="701" t="s">
        <v>3184</v>
      </c>
      <c r="AI13" s="701" t="s">
        <v>3181</v>
      </c>
      <c r="AJ13" s="701" t="s">
        <v>3184</v>
      </c>
      <c r="AK13" s="701" t="s">
        <v>3184</v>
      </c>
      <c r="AL13" s="910"/>
      <c r="AM13" s="701" t="s">
        <v>3184</v>
      </c>
      <c r="AN13" s="701" t="s">
        <v>3184</v>
      </c>
      <c r="AO13" s="701" t="s">
        <v>3184</v>
      </c>
      <c r="AP13" s="910"/>
      <c r="AQ13" s="701" t="s">
        <v>3184</v>
      </c>
      <c r="AR13" s="701" t="s">
        <v>3184</v>
      </c>
      <c r="AS13" s="910"/>
      <c r="AT13" s="701" t="s">
        <v>3184</v>
      </c>
      <c r="AU13" s="701" t="s">
        <v>3184</v>
      </c>
      <c r="AV13" s="701" t="s">
        <v>3184</v>
      </c>
      <c r="AW13" s="701" t="s">
        <v>3184</v>
      </c>
      <c r="AX13" s="701" t="s">
        <v>3184</v>
      </c>
      <c r="AY13" s="910"/>
      <c r="AZ13" s="701" t="s">
        <v>3184</v>
      </c>
      <c r="BA13" s="701" t="s">
        <v>3184</v>
      </c>
      <c r="BB13" s="701" t="s">
        <v>3184</v>
      </c>
      <c r="BC13" s="701" t="s">
        <v>3184</v>
      </c>
      <c r="BD13" s="701" t="s">
        <v>3184</v>
      </c>
      <c r="BE13" s="701" t="s">
        <v>3184</v>
      </c>
      <c r="BF13" s="701" t="s">
        <v>3184</v>
      </c>
      <c r="BG13" s="701" t="s">
        <v>3184</v>
      </c>
      <c r="BH13" s="701" t="s">
        <v>3184</v>
      </c>
      <c r="BI13" s="885" t="s">
        <v>3184</v>
      </c>
      <c r="BJ13" s="910"/>
      <c r="BK13" s="885" t="s">
        <v>3184</v>
      </c>
      <c r="BL13" s="885" t="s">
        <v>3184</v>
      </c>
      <c r="BM13" s="701" t="s">
        <v>3184</v>
      </c>
      <c r="BN13" s="885" t="s">
        <v>3184</v>
      </c>
      <c r="BO13" s="701" t="s">
        <v>3184</v>
      </c>
      <c r="BP13" s="701" t="s">
        <v>3184</v>
      </c>
      <c r="BQ13" s="701" t="s">
        <v>3184</v>
      </c>
      <c r="BR13" s="701" t="s">
        <v>3201</v>
      </c>
      <c r="BS13" s="701" t="s">
        <v>3184</v>
      </c>
      <c r="BT13" s="701" t="s">
        <v>3184</v>
      </c>
      <c r="BU13" s="701" t="s">
        <v>3184</v>
      </c>
      <c r="BV13" s="701" t="s">
        <v>3184</v>
      </c>
      <c r="BW13" s="701" t="s">
        <v>3184</v>
      </c>
      <c r="BX13" s="701" t="s">
        <v>3184</v>
      </c>
      <c r="BY13" s="701" t="s">
        <v>3184</v>
      </c>
      <c r="BZ13" s="701" t="s">
        <v>3184</v>
      </c>
      <c r="CA13" s="701" t="s">
        <v>3184</v>
      </c>
      <c r="CB13" s="701" t="s">
        <v>3184</v>
      </c>
      <c r="CC13" s="701" t="s">
        <v>3184</v>
      </c>
      <c r="CD13" s="701" t="s">
        <v>3181</v>
      </c>
      <c r="CE13" s="701" t="s">
        <v>3181</v>
      </c>
      <c r="CF13" s="701" t="s">
        <v>3181</v>
      </c>
      <c r="CG13" s="701"/>
      <c r="CH13" s="701"/>
      <c r="CI13" s="910"/>
      <c r="CJ13" s="701"/>
      <c r="CK13" s="701"/>
      <c r="CL13" s="701"/>
      <c r="CM13" s="701"/>
      <c r="CN13" s="701"/>
      <c r="CO13" s="701"/>
      <c r="CP13" s="701"/>
      <c r="CQ13" s="701"/>
      <c r="CR13" s="701"/>
      <c r="CS13" s="701" t="s">
        <v>3184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87" t="s">
        <v>3202</v>
      </c>
      <c r="B1" s="888" t="s">
        <v>3203</v>
      </c>
      <c r="C1" s="888" t="s">
        <v>3204</v>
      </c>
      <c r="D1" s="888" t="s">
        <v>3205</v>
      </c>
      <c r="E1" s="888" t="s">
        <v>3206</v>
      </c>
      <c r="F1" s="889" t="s">
        <v>3207</v>
      </c>
    </row>
    <row r="2" spans="1:27" ht="15" customHeight="1">
      <c r="A2" s="890">
        <v>45793</v>
      </c>
      <c r="B2" s="891">
        <v>0.38333333333333336</v>
      </c>
      <c r="C2" s="891">
        <v>0.46527777777777779</v>
      </c>
      <c r="D2" s="891">
        <f t="shared" ref="D2:D4" si="0">C2-B2</f>
        <v>8.1944444444444431E-2</v>
      </c>
      <c r="E2" s="892" t="s">
        <v>3208</v>
      </c>
      <c r="F2" s="893" t="s">
        <v>3209</v>
      </c>
      <c r="G2" s="894"/>
      <c r="H2" s="894"/>
      <c r="I2" s="894"/>
      <c r="J2" s="894"/>
      <c r="K2" s="894"/>
      <c r="L2" s="894"/>
      <c r="M2" s="894"/>
      <c r="N2" s="894"/>
      <c r="O2" s="894"/>
      <c r="P2" s="894"/>
      <c r="Q2" s="894"/>
      <c r="R2" s="894"/>
      <c r="S2" s="894"/>
      <c r="T2" s="894"/>
      <c r="U2" s="894"/>
      <c r="V2" s="894"/>
      <c r="W2" s="894"/>
      <c r="X2" s="894"/>
      <c r="Y2" s="894"/>
      <c r="Z2" s="894"/>
      <c r="AA2" s="894"/>
    </row>
    <row r="3" spans="1:27" ht="15" customHeight="1">
      <c r="A3" s="890">
        <v>45817</v>
      </c>
      <c r="B3" s="895">
        <v>0.44236111111111109</v>
      </c>
      <c r="C3" s="895">
        <v>0.45069444444444445</v>
      </c>
      <c r="D3" s="891">
        <f t="shared" si="0"/>
        <v>8.3333333333333592E-3</v>
      </c>
      <c r="E3" s="896" t="s">
        <v>3208</v>
      </c>
      <c r="F3" s="897" t="s">
        <v>3210</v>
      </c>
    </row>
    <row r="4" spans="1:27" ht="15" customHeight="1">
      <c r="A4" s="898">
        <v>45817</v>
      </c>
      <c r="B4" s="899">
        <v>0.63263888888888886</v>
      </c>
      <c r="C4" s="899">
        <v>0.6479166666666667</v>
      </c>
      <c r="D4" s="900">
        <f t="shared" si="0"/>
        <v>1.5277777777777835E-2</v>
      </c>
      <c r="E4" s="901" t="s">
        <v>3208</v>
      </c>
      <c r="F4" s="902" t="s">
        <v>3211</v>
      </c>
    </row>
    <row r="5" spans="1:27" ht="15" customHeight="1">
      <c r="A5" s="903"/>
      <c r="B5" s="904"/>
      <c r="C5" s="904"/>
      <c r="D5" s="904"/>
      <c r="E5" s="904"/>
      <c r="F5" s="905"/>
    </row>
    <row r="6" spans="1:27" ht="15" customHeight="1">
      <c r="A6" s="903"/>
      <c r="B6" s="904"/>
      <c r="C6" s="904"/>
      <c r="D6" s="904"/>
      <c r="E6" s="904"/>
      <c r="F6" s="905"/>
    </row>
    <row r="7" spans="1:27" ht="15" customHeight="1">
      <c r="A7" s="903"/>
      <c r="B7" s="904"/>
      <c r="C7" s="904"/>
      <c r="D7" s="904"/>
      <c r="E7" s="904"/>
      <c r="F7" s="905"/>
    </row>
    <row r="8" spans="1:27" ht="15" customHeight="1">
      <c r="A8" s="903"/>
      <c r="B8" s="904"/>
      <c r="C8" s="904"/>
      <c r="D8" s="904"/>
      <c r="E8" s="904"/>
      <c r="F8" s="905"/>
    </row>
    <row r="9" spans="1:27" ht="15" customHeight="1">
      <c r="A9" s="903"/>
      <c r="B9" s="904"/>
      <c r="C9" s="904"/>
      <c r="D9" s="904"/>
      <c r="E9" s="904"/>
      <c r="F9" s="905"/>
    </row>
    <row r="10" spans="1:27" ht="15" customHeight="1">
      <c r="A10" s="903"/>
      <c r="B10" s="904"/>
      <c r="C10" s="904"/>
      <c r="D10" s="904"/>
      <c r="E10" s="904"/>
      <c r="F10" s="905"/>
    </row>
    <row r="11" spans="1:27" ht="15" customHeight="1">
      <c r="A11" s="903"/>
      <c r="B11" s="904"/>
      <c r="C11" s="904"/>
      <c r="D11" s="904"/>
      <c r="E11" s="904"/>
      <c r="F11" s="905"/>
    </row>
    <row r="12" spans="1:27" ht="15" customHeight="1">
      <c r="A12" s="903"/>
      <c r="B12" s="904"/>
      <c r="C12" s="904"/>
      <c r="D12" s="904"/>
      <c r="E12" s="904"/>
      <c r="F12" s="905"/>
    </row>
    <row r="13" spans="1:27" ht="15" customHeight="1">
      <c r="A13" s="903"/>
      <c r="B13" s="904"/>
      <c r="C13" s="904"/>
      <c r="D13" s="904"/>
      <c r="E13" s="904"/>
      <c r="F13" s="905"/>
    </row>
    <row r="14" spans="1:27" ht="15" customHeight="1">
      <c r="A14" s="903"/>
      <c r="B14" s="904"/>
      <c r="C14" s="904"/>
      <c r="D14" s="904"/>
      <c r="E14" s="904"/>
      <c r="F14" s="905"/>
    </row>
    <row r="15" spans="1:27" ht="15" customHeight="1">
      <c r="B15" s="874"/>
      <c r="C15" s="874"/>
      <c r="D15" s="874"/>
      <c r="E15" s="874"/>
      <c r="F15" s="906"/>
    </row>
    <row r="16" spans="1:27" ht="15" customHeight="1">
      <c r="B16" s="874"/>
      <c r="C16" s="874"/>
      <c r="D16" s="874"/>
      <c r="E16" s="874"/>
      <c r="F16" s="906"/>
    </row>
    <row r="17" spans="2:6" ht="15" customHeight="1">
      <c r="B17" s="874"/>
      <c r="C17" s="874"/>
      <c r="D17" s="874"/>
      <c r="E17" s="874"/>
      <c r="F17" s="906"/>
    </row>
    <row r="18" spans="2:6" ht="15" customHeight="1">
      <c r="B18" s="874"/>
      <c r="C18" s="874"/>
      <c r="D18" s="874"/>
      <c r="E18" s="874"/>
      <c r="F18" s="906"/>
    </row>
    <row r="19" spans="2:6" ht="15" customHeight="1">
      <c r="B19" s="874"/>
      <c r="C19" s="874"/>
      <c r="D19" s="874"/>
      <c r="E19" s="874"/>
      <c r="F19" s="906"/>
    </row>
    <row r="20" spans="2:6" ht="15" customHeight="1">
      <c r="B20" s="874"/>
      <c r="C20" s="874"/>
      <c r="D20" s="874"/>
      <c r="E20" s="874"/>
      <c r="F20" s="906"/>
    </row>
    <row r="21" spans="2:6" ht="15" customHeight="1">
      <c r="B21" s="874"/>
      <c r="C21" s="874"/>
      <c r="D21" s="874"/>
      <c r="E21" s="874"/>
      <c r="F21" s="906"/>
    </row>
    <row r="22" spans="2:6" ht="15" customHeight="1">
      <c r="B22" s="874"/>
      <c r="C22" s="874"/>
      <c r="D22" s="874"/>
      <c r="E22" s="874"/>
      <c r="F22" s="906"/>
    </row>
    <row r="23" spans="2:6" ht="15" customHeight="1">
      <c r="B23" s="874"/>
      <c r="C23" s="874"/>
      <c r="D23" s="874"/>
      <c r="E23" s="874"/>
      <c r="F23" s="906"/>
    </row>
    <row r="24" spans="2:6" ht="15" customHeight="1">
      <c r="B24" s="874"/>
      <c r="C24" s="874"/>
      <c r="D24" s="874"/>
      <c r="E24" s="874"/>
      <c r="F24" s="906"/>
    </row>
    <row r="25" spans="2:6" ht="15" customHeight="1">
      <c r="B25" s="874"/>
      <c r="C25" s="874"/>
      <c r="D25" s="874"/>
      <c r="E25" s="874"/>
      <c r="F25" s="906"/>
    </row>
    <row r="26" spans="2:6" ht="15" customHeight="1">
      <c r="B26" s="874"/>
      <c r="C26" s="874"/>
      <c r="D26" s="874"/>
      <c r="E26" s="874"/>
      <c r="F26" s="906"/>
    </row>
    <row r="27" spans="2:6" ht="15" customHeight="1">
      <c r="B27" s="874"/>
      <c r="C27" s="874"/>
      <c r="D27" s="874"/>
      <c r="E27" s="874"/>
      <c r="F27" s="906"/>
    </row>
    <row r="28" spans="2:6" ht="15" customHeight="1">
      <c r="B28" s="874"/>
      <c r="C28" s="874"/>
      <c r="D28" s="874"/>
      <c r="E28" s="874"/>
      <c r="F28" s="906"/>
    </row>
    <row r="29" spans="2:6" ht="15" customHeight="1">
      <c r="B29" s="874"/>
      <c r="C29" s="874"/>
      <c r="D29" s="874"/>
      <c r="E29" s="874"/>
      <c r="F29" s="906"/>
    </row>
    <row r="30" spans="2:6" ht="15" customHeight="1">
      <c r="B30" s="874"/>
      <c r="C30" s="874"/>
      <c r="D30" s="874"/>
      <c r="E30" s="874"/>
      <c r="F30" s="906"/>
    </row>
    <row r="31" spans="2:6" ht="15" customHeight="1">
      <c r="B31" s="874"/>
      <c r="C31" s="874"/>
      <c r="D31" s="874"/>
      <c r="E31" s="874"/>
      <c r="F31" s="906"/>
    </row>
    <row r="32" spans="2:6" ht="15" customHeight="1">
      <c r="B32" s="874"/>
      <c r="C32" s="874"/>
      <c r="D32" s="874"/>
      <c r="E32" s="874"/>
      <c r="F32" s="906"/>
    </row>
    <row r="33" spans="2:6" ht="15" customHeight="1">
      <c r="B33" s="874"/>
      <c r="C33" s="874"/>
      <c r="D33" s="874"/>
      <c r="E33" s="874"/>
      <c r="F33" s="906"/>
    </row>
    <row r="34" spans="2:6" ht="15" customHeight="1">
      <c r="B34" s="874"/>
      <c r="C34" s="874"/>
      <c r="D34" s="874"/>
      <c r="E34" s="874"/>
      <c r="F34" s="906"/>
    </row>
    <row r="35" spans="2:6" ht="15" customHeight="1">
      <c r="B35" s="874"/>
      <c r="C35" s="874"/>
      <c r="D35" s="874"/>
      <c r="E35" s="874"/>
      <c r="F35" s="906"/>
    </row>
    <row r="36" spans="2:6" ht="15" customHeight="1">
      <c r="B36" s="874"/>
      <c r="C36" s="874"/>
      <c r="D36" s="874"/>
      <c r="E36" s="874"/>
      <c r="F36" s="906"/>
    </row>
    <row r="37" spans="2:6" ht="15" customHeight="1">
      <c r="B37" s="874"/>
      <c r="C37" s="874"/>
      <c r="D37" s="874"/>
      <c r="E37" s="874"/>
      <c r="F37" s="906"/>
    </row>
    <row r="38" spans="2:6" ht="15" customHeight="1">
      <c r="B38" s="874"/>
      <c r="C38" s="874"/>
      <c r="D38" s="874"/>
      <c r="E38" s="874"/>
      <c r="F38" s="906"/>
    </row>
    <row r="39" spans="2:6" ht="15" customHeight="1">
      <c r="B39" s="874"/>
      <c r="C39" s="874"/>
      <c r="D39" s="874"/>
      <c r="E39" s="874"/>
      <c r="F39" s="906"/>
    </row>
    <row r="40" spans="2:6">
      <c r="B40" s="874"/>
      <c r="C40" s="874"/>
      <c r="D40" s="874"/>
      <c r="E40" s="874"/>
      <c r="F40" s="906"/>
    </row>
    <row r="41" spans="2:6">
      <c r="B41" s="874"/>
      <c r="C41" s="874"/>
      <c r="D41" s="874"/>
      <c r="E41" s="874"/>
      <c r="F41" s="906"/>
    </row>
    <row r="42" spans="2:6">
      <c r="B42" s="874"/>
      <c r="C42" s="874"/>
      <c r="D42" s="874"/>
      <c r="E42" s="874"/>
      <c r="F42" s="906"/>
    </row>
    <row r="43" spans="2:6">
      <c r="B43" s="874"/>
      <c r="C43" s="874"/>
      <c r="D43" s="874"/>
      <c r="E43" s="874"/>
      <c r="F43" s="906"/>
    </row>
    <row r="44" spans="2:6">
      <c r="B44" s="874"/>
      <c r="C44" s="874"/>
      <c r="D44" s="874"/>
      <c r="E44" s="874"/>
      <c r="F44" s="906"/>
    </row>
    <row r="45" spans="2:6">
      <c r="B45" s="874"/>
      <c r="C45" s="874"/>
      <c r="D45" s="874"/>
      <c r="E45" s="874"/>
      <c r="F45" s="906"/>
    </row>
    <row r="46" spans="2:6">
      <c r="B46" s="874"/>
      <c r="C46" s="874"/>
      <c r="D46" s="874"/>
      <c r="E46" s="874"/>
      <c r="F46" s="906"/>
    </row>
    <row r="47" spans="2:6">
      <c r="B47" s="874"/>
      <c r="C47" s="874"/>
      <c r="D47" s="874"/>
      <c r="E47" s="874"/>
      <c r="F47" s="906"/>
    </row>
    <row r="48" spans="2:6">
      <c r="B48" s="874"/>
      <c r="C48" s="874"/>
      <c r="D48" s="874"/>
      <c r="E48" s="874"/>
      <c r="F48" s="906"/>
    </row>
    <row r="49" spans="2:6">
      <c r="B49" s="874"/>
      <c r="C49" s="874"/>
      <c r="D49" s="874"/>
      <c r="E49" s="874"/>
      <c r="F49" s="906"/>
    </row>
    <row r="50" spans="2:6">
      <c r="B50" s="874"/>
      <c r="C50" s="874"/>
      <c r="D50" s="874"/>
      <c r="E50" s="874"/>
      <c r="F50" s="906"/>
    </row>
    <row r="51" spans="2:6">
      <c r="B51" s="874"/>
      <c r="C51" s="874"/>
      <c r="D51" s="874"/>
      <c r="E51" s="874"/>
      <c r="F51" s="906"/>
    </row>
    <row r="52" spans="2:6">
      <c r="B52" s="874"/>
      <c r="C52" s="874"/>
      <c r="D52" s="874"/>
      <c r="E52" s="874"/>
      <c r="F52" s="906"/>
    </row>
    <row r="53" spans="2:6">
      <c r="B53" s="874"/>
      <c r="C53" s="874"/>
      <c r="D53" s="874"/>
      <c r="E53" s="874"/>
      <c r="F53" s="906"/>
    </row>
    <row r="54" spans="2:6">
      <c r="B54" s="874"/>
      <c r="C54" s="874"/>
      <c r="D54" s="874"/>
      <c r="E54" s="874"/>
      <c r="F54" s="906"/>
    </row>
    <row r="55" spans="2:6">
      <c r="B55" s="874"/>
      <c r="C55" s="874"/>
      <c r="D55" s="874"/>
      <c r="E55" s="874"/>
      <c r="F55" s="906"/>
    </row>
    <row r="56" spans="2:6">
      <c r="B56" s="874"/>
      <c r="C56" s="874"/>
      <c r="D56" s="874"/>
      <c r="E56" s="874"/>
      <c r="F56" s="906"/>
    </row>
    <row r="57" spans="2:6">
      <c r="B57" s="874"/>
      <c r="C57" s="874"/>
      <c r="D57" s="874"/>
      <c r="E57" s="874"/>
      <c r="F57" s="906"/>
    </row>
    <row r="58" spans="2:6">
      <c r="B58" s="874"/>
      <c r="C58" s="874"/>
      <c r="D58" s="874"/>
      <c r="E58" s="874"/>
      <c r="F58" s="906"/>
    </row>
    <row r="59" spans="2:6">
      <c r="B59" s="874"/>
      <c r="C59" s="874"/>
      <c r="D59" s="874"/>
      <c r="E59" s="874"/>
      <c r="F59" s="906"/>
    </row>
    <row r="60" spans="2:6">
      <c r="B60" s="874"/>
      <c r="C60" s="874"/>
      <c r="D60" s="874"/>
      <c r="E60" s="874"/>
      <c r="F60" s="906"/>
    </row>
    <row r="61" spans="2:6">
      <c r="B61" s="874"/>
      <c r="C61" s="874"/>
      <c r="D61" s="874"/>
      <c r="E61" s="874"/>
      <c r="F61" s="906"/>
    </row>
    <row r="62" spans="2:6">
      <c r="B62" s="874"/>
      <c r="C62" s="874"/>
      <c r="D62" s="874"/>
      <c r="E62" s="874"/>
      <c r="F62" s="906"/>
    </row>
    <row r="63" spans="2:6">
      <c r="B63" s="874"/>
      <c r="C63" s="874"/>
      <c r="D63" s="874"/>
      <c r="E63" s="874"/>
      <c r="F63" s="906"/>
    </row>
    <row r="64" spans="2:6">
      <c r="B64" s="874"/>
      <c r="C64" s="874"/>
      <c r="D64" s="874"/>
      <c r="E64" s="874"/>
      <c r="F64" s="906"/>
    </row>
    <row r="65" spans="2:6">
      <c r="B65" s="874"/>
      <c r="C65" s="874"/>
      <c r="D65" s="874"/>
      <c r="E65" s="874"/>
      <c r="F65" s="906"/>
    </row>
    <row r="66" spans="2:6">
      <c r="B66" s="874"/>
      <c r="C66" s="874"/>
      <c r="D66" s="874"/>
      <c r="E66" s="874"/>
      <c r="F66" s="906"/>
    </row>
    <row r="67" spans="2:6">
      <c r="B67" s="874"/>
      <c r="C67" s="874"/>
      <c r="D67" s="874"/>
      <c r="E67" s="874"/>
      <c r="F67" s="906"/>
    </row>
    <row r="68" spans="2:6">
      <c r="B68" s="874"/>
      <c r="C68" s="874"/>
      <c r="D68" s="874"/>
      <c r="E68" s="874"/>
      <c r="F68" s="906"/>
    </row>
    <row r="69" spans="2:6">
      <c r="B69" s="874"/>
      <c r="C69" s="874"/>
      <c r="D69" s="874"/>
      <c r="E69" s="874"/>
      <c r="F69" s="906"/>
    </row>
    <row r="70" spans="2:6">
      <c r="B70" s="874"/>
      <c r="C70" s="874"/>
      <c r="D70" s="874"/>
      <c r="E70" s="874"/>
      <c r="F70" s="906"/>
    </row>
    <row r="71" spans="2:6">
      <c r="B71" s="874"/>
      <c r="C71" s="874"/>
      <c r="D71" s="874"/>
      <c r="E71" s="874"/>
      <c r="F71" s="906"/>
    </row>
    <row r="72" spans="2:6">
      <c r="B72" s="874"/>
      <c r="C72" s="874"/>
      <c r="D72" s="874"/>
      <c r="E72" s="874"/>
      <c r="F72" s="906"/>
    </row>
    <row r="73" spans="2:6">
      <c r="B73" s="874"/>
      <c r="C73" s="874"/>
      <c r="D73" s="874"/>
      <c r="E73" s="874"/>
      <c r="F73" s="906"/>
    </row>
    <row r="74" spans="2:6">
      <c r="B74" s="874"/>
      <c r="C74" s="874"/>
      <c r="D74" s="874"/>
      <c r="E74" s="874"/>
      <c r="F74" s="906"/>
    </row>
    <row r="75" spans="2:6">
      <c r="B75" s="874"/>
      <c r="C75" s="874"/>
      <c r="D75" s="874"/>
      <c r="E75" s="874"/>
      <c r="F75" s="906"/>
    </row>
    <row r="76" spans="2:6">
      <c r="B76" s="874"/>
      <c r="C76" s="874"/>
      <c r="D76" s="874"/>
      <c r="E76" s="874"/>
      <c r="F76" s="906"/>
    </row>
    <row r="77" spans="2:6">
      <c r="B77" s="874"/>
      <c r="C77" s="874"/>
      <c r="D77" s="874"/>
      <c r="E77" s="874"/>
      <c r="F77" s="906"/>
    </row>
    <row r="78" spans="2:6">
      <c r="B78" s="874"/>
      <c r="C78" s="874"/>
      <c r="D78" s="874"/>
      <c r="E78" s="874"/>
      <c r="F78" s="906"/>
    </row>
    <row r="79" spans="2:6">
      <c r="B79" s="874"/>
      <c r="C79" s="874"/>
      <c r="D79" s="874"/>
      <c r="E79" s="874"/>
      <c r="F79" s="906"/>
    </row>
    <row r="80" spans="2:6">
      <c r="B80" s="874"/>
      <c r="C80" s="874"/>
      <c r="D80" s="874"/>
      <c r="E80" s="874"/>
      <c r="F80" s="906"/>
    </row>
    <row r="81" spans="2:6">
      <c r="B81" s="874"/>
      <c r="C81" s="874"/>
      <c r="D81" s="874"/>
      <c r="E81" s="874"/>
      <c r="F81" s="906"/>
    </row>
    <row r="82" spans="2:6">
      <c r="B82" s="874"/>
      <c r="C82" s="874"/>
      <c r="D82" s="874"/>
      <c r="E82" s="874"/>
      <c r="F82" s="906"/>
    </row>
    <row r="83" spans="2:6">
      <c r="B83" s="874"/>
      <c r="C83" s="874"/>
      <c r="D83" s="874"/>
      <c r="E83" s="874"/>
      <c r="F83" s="906"/>
    </row>
    <row r="84" spans="2:6">
      <c r="B84" s="874"/>
      <c r="C84" s="874"/>
      <c r="D84" s="874"/>
      <c r="E84" s="874"/>
      <c r="F84" s="906"/>
    </row>
    <row r="85" spans="2:6">
      <c r="B85" s="874"/>
      <c r="C85" s="874"/>
      <c r="D85" s="874"/>
      <c r="E85" s="874"/>
      <c r="F85" s="906"/>
    </row>
    <row r="86" spans="2:6">
      <c r="B86" s="874"/>
      <c r="C86" s="874"/>
      <c r="D86" s="874"/>
      <c r="E86" s="874"/>
      <c r="F86" s="906"/>
    </row>
    <row r="87" spans="2:6">
      <c r="B87" s="874"/>
      <c r="C87" s="874"/>
      <c r="D87" s="874"/>
      <c r="E87" s="874"/>
      <c r="F87" s="906"/>
    </row>
    <row r="88" spans="2:6">
      <c r="B88" s="874"/>
      <c r="C88" s="874"/>
      <c r="D88" s="874"/>
      <c r="E88" s="874"/>
      <c r="F88" s="906"/>
    </row>
    <row r="89" spans="2:6">
      <c r="B89" s="874"/>
      <c r="C89" s="874"/>
      <c r="D89" s="874"/>
      <c r="E89" s="874"/>
      <c r="F89" s="906"/>
    </row>
    <row r="90" spans="2:6">
      <c r="B90" s="874"/>
      <c r="C90" s="874"/>
      <c r="D90" s="874"/>
      <c r="E90" s="874"/>
      <c r="F90" s="906"/>
    </row>
    <row r="91" spans="2:6">
      <c r="B91" s="874"/>
      <c r="C91" s="874"/>
      <c r="D91" s="874"/>
      <c r="E91" s="874"/>
      <c r="F91" s="906"/>
    </row>
    <row r="92" spans="2:6">
      <c r="B92" s="874"/>
      <c r="C92" s="874"/>
      <c r="D92" s="874"/>
      <c r="E92" s="874"/>
      <c r="F92" s="906"/>
    </row>
    <row r="93" spans="2:6">
      <c r="B93" s="874"/>
      <c r="C93" s="874"/>
      <c r="D93" s="874"/>
      <c r="E93" s="874"/>
      <c r="F93" s="906"/>
    </row>
    <row r="94" spans="2:6">
      <c r="B94" s="874"/>
      <c r="C94" s="874"/>
      <c r="D94" s="874"/>
      <c r="E94" s="874"/>
      <c r="F94" s="906"/>
    </row>
    <row r="95" spans="2:6">
      <c r="B95" s="874"/>
      <c r="C95" s="874"/>
      <c r="D95" s="874"/>
      <c r="E95" s="874"/>
      <c r="F95" s="906"/>
    </row>
    <row r="96" spans="2:6">
      <c r="B96" s="874"/>
      <c r="C96" s="874"/>
      <c r="D96" s="874"/>
      <c r="E96" s="874"/>
      <c r="F96" s="906"/>
    </row>
    <row r="97" spans="2:6">
      <c r="B97" s="874"/>
      <c r="C97" s="874"/>
      <c r="D97" s="874"/>
      <c r="E97" s="874"/>
      <c r="F97" s="906"/>
    </row>
    <row r="98" spans="2:6">
      <c r="B98" s="874"/>
      <c r="C98" s="874"/>
      <c r="D98" s="874"/>
      <c r="E98" s="874"/>
      <c r="F98" s="906"/>
    </row>
    <row r="99" spans="2:6">
      <c r="B99" s="874"/>
      <c r="C99" s="874"/>
      <c r="D99" s="874"/>
      <c r="E99" s="874"/>
      <c r="F99" s="906"/>
    </row>
    <row r="100" spans="2:6">
      <c r="B100" s="874"/>
      <c r="C100" s="874"/>
      <c r="D100" s="874"/>
      <c r="E100" s="874"/>
      <c r="F100" s="906"/>
    </row>
    <row r="101" spans="2:6">
      <c r="B101" s="874"/>
      <c r="C101" s="874"/>
      <c r="D101" s="874"/>
      <c r="E101" s="874"/>
      <c r="F101" s="906"/>
    </row>
    <row r="102" spans="2:6">
      <c r="B102" s="874"/>
      <c r="C102" s="874"/>
      <c r="D102" s="874"/>
      <c r="E102" s="874"/>
      <c r="F102" s="906"/>
    </row>
    <row r="103" spans="2:6">
      <c r="B103" s="874"/>
      <c r="C103" s="874"/>
      <c r="D103" s="874"/>
      <c r="E103" s="874"/>
      <c r="F103" s="906"/>
    </row>
    <row r="104" spans="2:6">
      <c r="B104" s="874"/>
      <c r="C104" s="874"/>
      <c r="D104" s="874"/>
      <c r="E104" s="874"/>
      <c r="F104" s="906"/>
    </row>
    <row r="105" spans="2:6">
      <c r="B105" s="874"/>
      <c r="C105" s="874"/>
      <c r="D105" s="874"/>
      <c r="E105" s="874"/>
      <c r="F105" s="906"/>
    </row>
    <row r="106" spans="2:6">
      <c r="B106" s="874"/>
      <c r="C106" s="874"/>
      <c r="D106" s="874"/>
      <c r="E106" s="874"/>
      <c r="F106" s="906"/>
    </row>
    <row r="107" spans="2:6">
      <c r="B107" s="874"/>
      <c r="C107" s="874"/>
      <c r="D107" s="874"/>
      <c r="E107" s="874"/>
      <c r="F107" s="906"/>
    </row>
    <row r="108" spans="2:6">
      <c r="B108" s="874"/>
      <c r="C108" s="874"/>
      <c r="D108" s="874"/>
      <c r="E108" s="874"/>
      <c r="F108" s="906"/>
    </row>
    <row r="109" spans="2:6">
      <c r="B109" s="874"/>
      <c r="C109" s="874"/>
      <c r="D109" s="874"/>
      <c r="E109" s="874"/>
      <c r="F109" s="906"/>
    </row>
    <row r="110" spans="2:6">
      <c r="B110" s="874"/>
      <c r="C110" s="874"/>
      <c r="D110" s="874"/>
      <c r="E110" s="874"/>
      <c r="F110" s="906"/>
    </row>
    <row r="111" spans="2:6">
      <c r="B111" s="874"/>
      <c r="C111" s="874"/>
      <c r="D111" s="874"/>
      <c r="E111" s="874"/>
      <c r="F111" s="906"/>
    </row>
    <row r="112" spans="2:6">
      <c r="B112" s="874"/>
      <c r="C112" s="874"/>
      <c r="D112" s="874"/>
      <c r="E112" s="874"/>
      <c r="F112" s="906"/>
    </row>
    <row r="113" spans="2:6">
      <c r="B113" s="874"/>
      <c r="C113" s="874"/>
      <c r="D113" s="874"/>
      <c r="E113" s="874"/>
      <c r="F113" s="906"/>
    </row>
    <row r="114" spans="2:6">
      <c r="B114" s="874"/>
      <c r="C114" s="874"/>
      <c r="D114" s="874"/>
      <c r="E114" s="874"/>
      <c r="F114" s="906"/>
    </row>
    <row r="115" spans="2:6">
      <c r="B115" s="874"/>
      <c r="C115" s="874"/>
      <c r="D115" s="874"/>
      <c r="E115" s="874"/>
      <c r="F115" s="906"/>
    </row>
    <row r="116" spans="2:6">
      <c r="B116" s="874"/>
      <c r="C116" s="874"/>
      <c r="D116" s="874"/>
      <c r="E116" s="874"/>
      <c r="F116" s="906"/>
    </row>
    <row r="117" spans="2:6">
      <c r="B117" s="874"/>
      <c r="C117" s="874"/>
      <c r="D117" s="874"/>
      <c r="E117" s="874"/>
      <c r="F117" s="906"/>
    </row>
    <row r="118" spans="2:6">
      <c r="B118" s="874"/>
      <c r="C118" s="874"/>
      <c r="D118" s="874"/>
      <c r="E118" s="874"/>
      <c r="F118" s="906"/>
    </row>
    <row r="119" spans="2:6">
      <c r="B119" s="874"/>
      <c r="C119" s="874"/>
      <c r="D119" s="874"/>
      <c r="E119" s="874"/>
      <c r="F119" s="906"/>
    </row>
    <row r="120" spans="2:6">
      <c r="B120" s="874"/>
      <c r="C120" s="874"/>
      <c r="D120" s="874"/>
      <c r="E120" s="874"/>
      <c r="F120" s="906"/>
    </row>
    <row r="121" spans="2:6">
      <c r="B121" s="874"/>
      <c r="C121" s="874"/>
      <c r="D121" s="874"/>
      <c r="E121" s="874"/>
      <c r="F121" s="906"/>
    </row>
    <row r="122" spans="2:6">
      <c r="B122" s="874"/>
      <c r="C122" s="874"/>
      <c r="D122" s="874"/>
      <c r="E122" s="874"/>
      <c r="F122" s="906"/>
    </row>
    <row r="123" spans="2:6">
      <c r="B123" s="874"/>
      <c r="C123" s="874"/>
      <c r="D123" s="874"/>
      <c r="E123" s="874"/>
      <c r="F123" s="906"/>
    </row>
    <row r="124" spans="2:6">
      <c r="B124" s="874"/>
      <c r="C124" s="874"/>
      <c r="D124" s="874"/>
      <c r="E124" s="874"/>
      <c r="F124" s="906"/>
    </row>
    <row r="125" spans="2:6">
      <c r="B125" s="874"/>
      <c r="C125" s="874"/>
      <c r="D125" s="874"/>
      <c r="E125" s="874"/>
      <c r="F125" s="906"/>
    </row>
    <row r="126" spans="2:6">
      <c r="B126" s="874"/>
      <c r="C126" s="874"/>
      <c r="D126" s="874"/>
      <c r="E126" s="874"/>
      <c r="F126" s="906"/>
    </row>
    <row r="127" spans="2:6">
      <c r="B127" s="874"/>
      <c r="C127" s="874"/>
      <c r="D127" s="874"/>
      <c r="E127" s="874"/>
      <c r="F127" s="906"/>
    </row>
    <row r="128" spans="2:6">
      <c r="B128" s="874"/>
      <c r="C128" s="874"/>
      <c r="D128" s="874"/>
      <c r="E128" s="874"/>
      <c r="F128" s="906"/>
    </row>
    <row r="129" spans="2:6">
      <c r="B129" s="874"/>
      <c r="C129" s="874"/>
      <c r="D129" s="874"/>
      <c r="E129" s="874"/>
      <c r="F129" s="906"/>
    </row>
    <row r="130" spans="2:6">
      <c r="B130" s="874"/>
      <c r="C130" s="874"/>
      <c r="D130" s="874"/>
      <c r="E130" s="874"/>
      <c r="F130" s="906"/>
    </row>
    <row r="131" spans="2:6">
      <c r="B131" s="874"/>
      <c r="C131" s="874"/>
      <c r="D131" s="874"/>
      <c r="E131" s="874"/>
      <c r="F131" s="906"/>
    </row>
    <row r="132" spans="2:6">
      <c r="B132" s="874"/>
      <c r="C132" s="874"/>
      <c r="D132" s="874"/>
      <c r="E132" s="874"/>
      <c r="F132" s="906"/>
    </row>
    <row r="133" spans="2:6">
      <c r="B133" s="874"/>
      <c r="C133" s="874"/>
      <c r="D133" s="874"/>
      <c r="E133" s="874"/>
      <c r="F133" s="906"/>
    </row>
    <row r="134" spans="2:6">
      <c r="B134" s="874"/>
      <c r="C134" s="874"/>
      <c r="D134" s="874"/>
      <c r="E134" s="874"/>
      <c r="F134" s="906"/>
    </row>
    <row r="135" spans="2:6">
      <c r="B135" s="874"/>
      <c r="C135" s="874"/>
      <c r="D135" s="874"/>
      <c r="E135" s="874"/>
      <c r="F135" s="906"/>
    </row>
    <row r="136" spans="2:6">
      <c r="B136" s="874"/>
      <c r="C136" s="874"/>
      <c r="D136" s="874"/>
      <c r="E136" s="874"/>
      <c r="F136" s="906"/>
    </row>
    <row r="137" spans="2:6">
      <c r="B137" s="874"/>
      <c r="C137" s="874"/>
      <c r="D137" s="874"/>
      <c r="E137" s="874"/>
      <c r="F137" s="906"/>
    </row>
    <row r="138" spans="2:6">
      <c r="B138" s="874"/>
      <c r="C138" s="874"/>
      <c r="D138" s="874"/>
      <c r="E138" s="874"/>
      <c r="F138" s="906"/>
    </row>
    <row r="139" spans="2:6">
      <c r="B139" s="874"/>
      <c r="C139" s="874"/>
      <c r="D139" s="874"/>
      <c r="E139" s="874"/>
      <c r="F139" s="906"/>
    </row>
    <row r="140" spans="2:6">
      <c r="B140" s="874"/>
      <c r="C140" s="874"/>
      <c r="D140" s="874"/>
      <c r="E140" s="874"/>
      <c r="F140" s="906"/>
    </row>
    <row r="141" spans="2:6">
      <c r="B141" s="874"/>
      <c r="C141" s="874"/>
      <c r="D141" s="874"/>
      <c r="E141" s="874"/>
      <c r="F141" s="906"/>
    </row>
    <row r="142" spans="2:6">
      <c r="B142" s="874"/>
      <c r="C142" s="874"/>
      <c r="D142" s="874"/>
      <c r="E142" s="874"/>
      <c r="F142" s="906"/>
    </row>
    <row r="143" spans="2:6">
      <c r="B143" s="874"/>
      <c r="C143" s="874"/>
      <c r="D143" s="874"/>
      <c r="E143" s="874"/>
      <c r="F143" s="906"/>
    </row>
    <row r="144" spans="2:6">
      <c r="B144" s="874"/>
      <c r="C144" s="874"/>
      <c r="D144" s="874"/>
      <c r="E144" s="874"/>
      <c r="F144" s="906"/>
    </row>
    <row r="145" spans="2:6">
      <c r="B145" s="874"/>
      <c r="C145" s="874"/>
      <c r="D145" s="874"/>
      <c r="E145" s="874"/>
      <c r="F145" s="906"/>
    </row>
    <row r="146" spans="2:6">
      <c r="B146" s="874"/>
      <c r="C146" s="874"/>
      <c r="D146" s="874"/>
      <c r="E146" s="874"/>
      <c r="F146" s="906"/>
    </row>
    <row r="147" spans="2:6">
      <c r="B147" s="874"/>
      <c r="C147" s="874"/>
      <c r="D147" s="874"/>
      <c r="E147" s="874"/>
      <c r="F147" s="906"/>
    </row>
    <row r="148" spans="2:6">
      <c r="B148" s="874"/>
      <c r="C148" s="874"/>
      <c r="D148" s="874"/>
      <c r="E148" s="874"/>
      <c r="F148" s="906"/>
    </row>
    <row r="149" spans="2:6">
      <c r="B149" s="874"/>
      <c r="C149" s="874"/>
      <c r="D149" s="874"/>
      <c r="E149" s="874"/>
      <c r="F149" s="906"/>
    </row>
    <row r="150" spans="2:6">
      <c r="B150" s="874"/>
      <c r="C150" s="874"/>
      <c r="D150" s="874"/>
      <c r="E150" s="874"/>
      <c r="F150" s="906"/>
    </row>
    <row r="151" spans="2:6">
      <c r="B151" s="874"/>
      <c r="C151" s="874"/>
      <c r="D151" s="874"/>
      <c r="E151" s="874"/>
      <c r="F151" s="906"/>
    </row>
    <row r="152" spans="2:6">
      <c r="B152" s="874"/>
      <c r="C152" s="874"/>
      <c r="D152" s="874"/>
      <c r="E152" s="874"/>
      <c r="F152" s="906"/>
    </row>
    <row r="153" spans="2:6">
      <c r="B153" s="874"/>
      <c r="C153" s="874"/>
      <c r="D153" s="874"/>
      <c r="E153" s="874"/>
      <c r="F153" s="906"/>
    </row>
    <row r="154" spans="2:6">
      <c r="B154" s="874"/>
      <c r="C154" s="874"/>
      <c r="D154" s="874"/>
      <c r="E154" s="874"/>
      <c r="F154" s="906"/>
    </row>
    <row r="155" spans="2:6">
      <c r="B155" s="874"/>
      <c r="C155" s="874"/>
      <c r="D155" s="874"/>
      <c r="E155" s="874"/>
      <c r="F155" s="906"/>
    </row>
    <row r="156" spans="2:6">
      <c r="B156" s="874"/>
      <c r="C156" s="874"/>
      <c r="D156" s="874"/>
      <c r="E156" s="874"/>
      <c r="F156" s="906"/>
    </row>
    <row r="157" spans="2:6">
      <c r="B157" s="874"/>
      <c r="C157" s="874"/>
      <c r="D157" s="874"/>
      <c r="E157" s="874"/>
      <c r="F157" s="906"/>
    </row>
    <row r="158" spans="2:6">
      <c r="B158" s="874"/>
      <c r="C158" s="874"/>
      <c r="D158" s="874"/>
      <c r="E158" s="874"/>
      <c r="F158" s="906"/>
    </row>
    <row r="159" spans="2:6">
      <c r="B159" s="874"/>
      <c r="C159" s="874"/>
      <c r="D159" s="874"/>
      <c r="E159" s="874"/>
      <c r="F159" s="906"/>
    </row>
    <row r="160" spans="2:6">
      <c r="B160" s="874"/>
      <c r="C160" s="874"/>
      <c r="D160" s="874"/>
      <c r="E160" s="874"/>
      <c r="F160" s="906"/>
    </row>
    <row r="161" spans="2:6">
      <c r="B161" s="874"/>
      <c r="C161" s="874"/>
      <c r="D161" s="874"/>
      <c r="E161" s="874"/>
      <c r="F161" s="906"/>
    </row>
    <row r="162" spans="2:6">
      <c r="B162" s="874"/>
      <c r="C162" s="874"/>
      <c r="D162" s="874"/>
      <c r="E162" s="874"/>
      <c r="F162" s="906"/>
    </row>
    <row r="163" spans="2:6">
      <c r="B163" s="874"/>
      <c r="C163" s="874"/>
      <c r="D163" s="874"/>
      <c r="E163" s="874"/>
      <c r="F163" s="906"/>
    </row>
    <row r="164" spans="2:6">
      <c r="B164" s="874"/>
      <c r="C164" s="874"/>
      <c r="D164" s="874"/>
      <c r="E164" s="874"/>
      <c r="F164" s="906"/>
    </row>
    <row r="165" spans="2:6">
      <c r="B165" s="874"/>
      <c r="C165" s="874"/>
      <c r="D165" s="874"/>
      <c r="E165" s="874"/>
      <c r="F165" s="906"/>
    </row>
    <row r="166" spans="2:6">
      <c r="B166" s="874"/>
      <c r="C166" s="874"/>
      <c r="D166" s="874"/>
      <c r="E166" s="874"/>
      <c r="F166" s="906"/>
    </row>
    <row r="167" spans="2:6">
      <c r="B167" s="874"/>
      <c r="C167" s="874"/>
      <c r="D167" s="874"/>
      <c r="E167" s="874"/>
      <c r="F167" s="906"/>
    </row>
    <row r="168" spans="2:6">
      <c r="B168" s="874"/>
      <c r="C168" s="874"/>
      <c r="D168" s="874"/>
      <c r="E168" s="874"/>
      <c r="F168" s="906"/>
    </row>
    <row r="169" spans="2:6">
      <c r="B169" s="874"/>
      <c r="C169" s="874"/>
      <c r="D169" s="874"/>
      <c r="E169" s="874"/>
      <c r="F169" s="906"/>
    </row>
    <row r="170" spans="2:6">
      <c r="B170" s="874"/>
      <c r="C170" s="874"/>
      <c r="D170" s="874"/>
      <c r="E170" s="874"/>
      <c r="F170" s="906"/>
    </row>
    <row r="171" spans="2:6">
      <c r="B171" s="874"/>
      <c r="C171" s="874"/>
      <c r="D171" s="874"/>
      <c r="E171" s="874"/>
      <c r="F171" s="906"/>
    </row>
    <row r="172" spans="2:6">
      <c r="B172" s="874"/>
      <c r="C172" s="874"/>
      <c r="D172" s="874"/>
      <c r="E172" s="874"/>
      <c r="F172" s="906"/>
    </row>
    <row r="173" spans="2:6">
      <c r="B173" s="874"/>
      <c r="C173" s="874"/>
      <c r="D173" s="874"/>
      <c r="E173" s="874"/>
      <c r="F173" s="906"/>
    </row>
    <row r="174" spans="2:6">
      <c r="B174" s="874"/>
      <c r="C174" s="874"/>
      <c r="D174" s="874"/>
      <c r="E174" s="874"/>
      <c r="F174" s="906"/>
    </row>
    <row r="175" spans="2:6">
      <c r="B175" s="874"/>
      <c r="C175" s="874"/>
      <c r="D175" s="874"/>
      <c r="E175" s="874"/>
      <c r="F175" s="906"/>
    </row>
    <row r="176" spans="2:6">
      <c r="B176" s="874"/>
      <c r="C176" s="874"/>
      <c r="D176" s="874"/>
      <c r="E176" s="874"/>
      <c r="F176" s="906"/>
    </row>
    <row r="177" spans="2:6">
      <c r="B177" s="874"/>
      <c r="C177" s="874"/>
      <c r="D177" s="874"/>
      <c r="E177" s="874"/>
      <c r="F177" s="906"/>
    </row>
    <row r="178" spans="2:6">
      <c r="B178" s="874"/>
      <c r="C178" s="874"/>
      <c r="D178" s="874"/>
      <c r="E178" s="874"/>
      <c r="F178" s="906"/>
    </row>
    <row r="179" spans="2:6">
      <c r="B179" s="874"/>
      <c r="C179" s="874"/>
      <c r="D179" s="874"/>
      <c r="E179" s="874"/>
      <c r="F179" s="906"/>
    </row>
    <row r="180" spans="2:6">
      <c r="B180" s="874"/>
      <c r="C180" s="874"/>
      <c r="D180" s="874"/>
      <c r="E180" s="874"/>
      <c r="F180" s="906"/>
    </row>
    <row r="181" spans="2:6">
      <c r="B181" s="874"/>
      <c r="C181" s="874"/>
      <c r="D181" s="874"/>
      <c r="E181" s="874"/>
      <c r="F181" s="906"/>
    </row>
    <row r="182" spans="2:6">
      <c r="B182" s="874"/>
      <c r="C182" s="874"/>
      <c r="D182" s="874"/>
      <c r="E182" s="874"/>
      <c r="F182" s="906"/>
    </row>
    <row r="183" spans="2:6">
      <c r="B183" s="874"/>
      <c r="C183" s="874"/>
      <c r="D183" s="874"/>
      <c r="E183" s="874"/>
      <c r="F183" s="906"/>
    </row>
    <row r="184" spans="2:6">
      <c r="B184" s="874"/>
      <c r="C184" s="874"/>
      <c r="D184" s="874"/>
      <c r="E184" s="874"/>
      <c r="F184" s="906"/>
    </row>
    <row r="185" spans="2:6">
      <c r="B185" s="874"/>
      <c r="C185" s="874"/>
      <c r="D185" s="874"/>
      <c r="E185" s="874"/>
      <c r="F185" s="906"/>
    </row>
    <row r="186" spans="2:6">
      <c r="B186" s="874"/>
      <c r="C186" s="874"/>
      <c r="D186" s="874"/>
      <c r="E186" s="874"/>
      <c r="F186" s="906"/>
    </row>
    <row r="187" spans="2:6">
      <c r="B187" s="874"/>
      <c r="C187" s="874"/>
      <c r="D187" s="874"/>
      <c r="E187" s="874"/>
      <c r="F187" s="906"/>
    </row>
    <row r="188" spans="2:6">
      <c r="B188" s="874"/>
      <c r="C188" s="874"/>
      <c r="D188" s="874"/>
      <c r="E188" s="874"/>
      <c r="F188" s="906"/>
    </row>
    <row r="189" spans="2:6">
      <c r="B189" s="874"/>
      <c r="C189" s="874"/>
      <c r="D189" s="874"/>
      <c r="E189" s="874"/>
      <c r="F189" s="906"/>
    </row>
    <row r="190" spans="2:6">
      <c r="B190" s="874"/>
      <c r="C190" s="874"/>
      <c r="D190" s="874"/>
      <c r="E190" s="874"/>
      <c r="F190" s="906"/>
    </row>
    <row r="191" spans="2:6">
      <c r="B191" s="874"/>
      <c r="C191" s="874"/>
      <c r="D191" s="874"/>
      <c r="E191" s="874"/>
      <c r="F191" s="906"/>
    </row>
    <row r="192" spans="2:6">
      <c r="B192" s="874"/>
      <c r="C192" s="874"/>
      <c r="D192" s="874"/>
      <c r="E192" s="874"/>
      <c r="F192" s="906"/>
    </row>
    <row r="193" spans="2:6">
      <c r="B193" s="874"/>
      <c r="C193" s="874"/>
      <c r="D193" s="874"/>
      <c r="E193" s="874"/>
      <c r="F193" s="906"/>
    </row>
    <row r="194" spans="2:6">
      <c r="B194" s="874"/>
      <c r="C194" s="874"/>
      <c r="D194" s="874"/>
      <c r="E194" s="874"/>
      <c r="F194" s="906"/>
    </row>
    <row r="195" spans="2:6">
      <c r="B195" s="874"/>
      <c r="C195" s="874"/>
      <c r="D195" s="874"/>
      <c r="E195" s="874"/>
      <c r="F195" s="906"/>
    </row>
    <row r="196" spans="2:6">
      <c r="B196" s="874"/>
      <c r="C196" s="874"/>
      <c r="D196" s="874"/>
      <c r="E196" s="874"/>
      <c r="F196" s="906"/>
    </row>
    <row r="197" spans="2:6">
      <c r="B197" s="874"/>
      <c r="C197" s="874"/>
      <c r="D197" s="874"/>
      <c r="E197" s="874"/>
      <c r="F197" s="906"/>
    </row>
    <row r="198" spans="2:6">
      <c r="B198" s="874"/>
      <c r="C198" s="874"/>
      <c r="D198" s="874"/>
      <c r="E198" s="874"/>
      <c r="F198" s="906"/>
    </row>
    <row r="199" spans="2:6">
      <c r="B199" s="874"/>
      <c r="C199" s="874"/>
      <c r="D199" s="874"/>
      <c r="E199" s="874"/>
      <c r="F199" s="906"/>
    </row>
    <row r="200" spans="2:6">
      <c r="B200" s="874"/>
      <c r="C200" s="874"/>
      <c r="D200" s="874"/>
      <c r="E200" s="874"/>
      <c r="F200" s="906"/>
    </row>
    <row r="201" spans="2:6">
      <c r="B201" s="874"/>
      <c r="C201" s="874"/>
      <c r="D201" s="874"/>
      <c r="E201" s="874"/>
      <c r="F201" s="906"/>
    </row>
    <row r="202" spans="2:6">
      <c r="B202" s="874"/>
      <c r="C202" s="874"/>
      <c r="D202" s="874"/>
      <c r="E202" s="874"/>
      <c r="F202" s="906"/>
    </row>
    <row r="203" spans="2:6">
      <c r="B203" s="874"/>
      <c r="C203" s="874"/>
      <c r="D203" s="874"/>
      <c r="E203" s="874"/>
      <c r="F203" s="906"/>
    </row>
    <row r="204" spans="2:6">
      <c r="B204" s="874"/>
      <c r="C204" s="874"/>
      <c r="D204" s="874"/>
      <c r="E204" s="874"/>
      <c r="F204" s="906"/>
    </row>
    <row r="205" spans="2:6">
      <c r="B205" s="874"/>
      <c r="C205" s="874"/>
      <c r="D205" s="874"/>
      <c r="E205" s="874"/>
      <c r="F205" s="906"/>
    </row>
    <row r="206" spans="2:6">
      <c r="B206" s="874"/>
      <c r="C206" s="874"/>
      <c r="D206" s="874"/>
      <c r="E206" s="874"/>
      <c r="F206" s="906"/>
    </row>
    <row r="207" spans="2:6">
      <c r="B207" s="874"/>
      <c r="C207" s="874"/>
      <c r="D207" s="874"/>
      <c r="E207" s="874"/>
      <c r="F207" s="906"/>
    </row>
    <row r="208" spans="2:6">
      <c r="B208" s="874"/>
      <c r="C208" s="874"/>
      <c r="D208" s="874"/>
      <c r="E208" s="874"/>
      <c r="F208" s="906"/>
    </row>
    <row r="209" spans="2:6">
      <c r="B209" s="874"/>
      <c r="C209" s="874"/>
      <c r="D209" s="874"/>
      <c r="E209" s="874"/>
      <c r="F209" s="906"/>
    </row>
    <row r="210" spans="2:6">
      <c r="B210" s="874"/>
      <c r="C210" s="874"/>
      <c r="D210" s="874"/>
      <c r="E210" s="874"/>
      <c r="F210" s="906"/>
    </row>
    <row r="211" spans="2:6">
      <c r="B211" s="874"/>
      <c r="C211" s="874"/>
      <c r="D211" s="874"/>
      <c r="E211" s="874"/>
      <c r="F211" s="906"/>
    </row>
    <row r="212" spans="2:6">
      <c r="B212" s="874"/>
      <c r="C212" s="874"/>
      <c r="D212" s="874"/>
      <c r="E212" s="874"/>
      <c r="F212" s="906"/>
    </row>
    <row r="213" spans="2:6">
      <c r="B213" s="874"/>
      <c r="C213" s="874"/>
      <c r="D213" s="874"/>
      <c r="E213" s="874"/>
      <c r="F213" s="906"/>
    </row>
    <row r="214" spans="2:6">
      <c r="B214" s="874"/>
      <c r="C214" s="874"/>
      <c r="D214" s="874"/>
      <c r="E214" s="874"/>
      <c r="F214" s="906"/>
    </row>
    <row r="215" spans="2:6">
      <c r="B215" s="874"/>
      <c r="C215" s="874"/>
      <c r="D215" s="874"/>
      <c r="E215" s="874"/>
      <c r="F215" s="906"/>
    </row>
    <row r="216" spans="2:6">
      <c r="B216" s="874"/>
      <c r="C216" s="874"/>
      <c r="D216" s="874"/>
      <c r="E216" s="874"/>
      <c r="F216" s="906"/>
    </row>
    <row r="217" spans="2:6">
      <c r="B217" s="874"/>
      <c r="C217" s="874"/>
      <c r="D217" s="874"/>
      <c r="E217" s="874"/>
      <c r="F217" s="906"/>
    </row>
    <row r="218" spans="2:6">
      <c r="B218" s="874"/>
      <c r="C218" s="874"/>
      <c r="D218" s="874"/>
      <c r="E218" s="874"/>
      <c r="F218" s="906"/>
    </row>
    <row r="219" spans="2:6">
      <c r="B219" s="874"/>
      <c r="C219" s="874"/>
      <c r="D219" s="874"/>
      <c r="E219" s="874"/>
      <c r="F219" s="906"/>
    </row>
    <row r="220" spans="2:6">
      <c r="B220" s="874"/>
      <c r="C220" s="874"/>
      <c r="D220" s="874"/>
      <c r="E220" s="874"/>
      <c r="F220" s="906"/>
    </row>
    <row r="221" spans="2:6">
      <c r="B221" s="874"/>
      <c r="C221" s="874"/>
      <c r="D221" s="874"/>
      <c r="E221" s="874"/>
      <c r="F221" s="906"/>
    </row>
    <row r="222" spans="2:6">
      <c r="B222" s="874"/>
      <c r="C222" s="874"/>
      <c r="D222" s="874"/>
      <c r="E222" s="874"/>
      <c r="F222" s="906"/>
    </row>
    <row r="223" spans="2:6">
      <c r="B223" s="874"/>
      <c r="C223" s="874"/>
      <c r="D223" s="874"/>
      <c r="E223" s="874"/>
      <c r="F223" s="906"/>
    </row>
    <row r="224" spans="2:6">
      <c r="B224" s="874"/>
      <c r="C224" s="874"/>
      <c r="D224" s="874"/>
      <c r="E224" s="874"/>
      <c r="F224" s="906"/>
    </row>
    <row r="225" spans="2:6">
      <c r="B225" s="874"/>
      <c r="C225" s="874"/>
      <c r="D225" s="874"/>
      <c r="E225" s="874"/>
      <c r="F225" s="906"/>
    </row>
    <row r="226" spans="2:6">
      <c r="B226" s="874"/>
      <c r="C226" s="874"/>
      <c r="D226" s="874"/>
      <c r="E226" s="874"/>
      <c r="F226" s="906"/>
    </row>
    <row r="227" spans="2:6">
      <c r="B227" s="874"/>
      <c r="C227" s="874"/>
      <c r="D227" s="874"/>
      <c r="E227" s="874"/>
      <c r="F227" s="906"/>
    </row>
    <row r="228" spans="2:6">
      <c r="B228" s="874"/>
      <c r="C228" s="874"/>
      <c r="D228" s="874"/>
      <c r="E228" s="874"/>
      <c r="F228" s="906"/>
    </row>
    <row r="229" spans="2:6">
      <c r="B229" s="874"/>
      <c r="C229" s="874"/>
      <c r="D229" s="874"/>
      <c r="E229" s="874"/>
      <c r="F229" s="906"/>
    </row>
    <row r="230" spans="2:6">
      <c r="B230" s="874"/>
      <c r="C230" s="874"/>
      <c r="D230" s="874"/>
      <c r="E230" s="874"/>
      <c r="F230" s="906"/>
    </row>
    <row r="231" spans="2:6">
      <c r="B231" s="874"/>
      <c r="C231" s="874"/>
      <c r="D231" s="874"/>
      <c r="E231" s="874"/>
      <c r="F231" s="906"/>
    </row>
    <row r="232" spans="2:6">
      <c r="B232" s="874"/>
      <c r="C232" s="874"/>
      <c r="D232" s="874"/>
      <c r="E232" s="874"/>
      <c r="F232" s="906"/>
    </row>
    <row r="233" spans="2:6">
      <c r="B233" s="874"/>
      <c r="C233" s="874"/>
      <c r="D233" s="874"/>
      <c r="E233" s="874"/>
      <c r="F233" s="906"/>
    </row>
    <row r="234" spans="2:6">
      <c r="B234" s="874"/>
      <c r="C234" s="874"/>
      <c r="D234" s="874"/>
      <c r="E234" s="874"/>
      <c r="F234" s="906"/>
    </row>
    <row r="235" spans="2:6">
      <c r="B235" s="874"/>
      <c r="C235" s="874"/>
      <c r="D235" s="874"/>
      <c r="E235" s="874"/>
      <c r="F235" s="906"/>
    </row>
    <row r="236" spans="2:6">
      <c r="B236" s="874"/>
      <c r="C236" s="874"/>
      <c r="D236" s="874"/>
      <c r="E236" s="874"/>
      <c r="F236" s="906"/>
    </row>
    <row r="237" spans="2:6">
      <c r="B237" s="874"/>
      <c r="C237" s="874"/>
      <c r="D237" s="874"/>
      <c r="E237" s="874"/>
      <c r="F237" s="906"/>
    </row>
    <row r="238" spans="2:6">
      <c r="B238" s="874"/>
      <c r="C238" s="874"/>
      <c r="D238" s="874"/>
      <c r="E238" s="874"/>
      <c r="F238" s="906"/>
    </row>
    <row r="239" spans="2:6">
      <c r="B239" s="874"/>
      <c r="C239" s="874"/>
      <c r="D239" s="874"/>
      <c r="E239" s="874"/>
      <c r="F239" s="906"/>
    </row>
    <row r="240" spans="2:6">
      <c r="B240" s="874"/>
      <c r="C240" s="874"/>
      <c r="D240" s="874"/>
      <c r="E240" s="874"/>
      <c r="F240" s="906"/>
    </row>
    <row r="241" spans="2:6">
      <c r="B241" s="874"/>
      <c r="C241" s="874"/>
      <c r="D241" s="874"/>
      <c r="E241" s="874"/>
      <c r="F241" s="906"/>
    </row>
    <row r="242" spans="2:6">
      <c r="B242" s="874"/>
      <c r="C242" s="874"/>
      <c r="D242" s="874"/>
      <c r="E242" s="874"/>
      <c r="F242" s="906"/>
    </row>
    <row r="243" spans="2:6">
      <c r="B243" s="874"/>
      <c r="C243" s="874"/>
      <c r="D243" s="874"/>
      <c r="E243" s="874"/>
      <c r="F243" s="906"/>
    </row>
    <row r="244" spans="2:6">
      <c r="B244" s="874"/>
      <c r="C244" s="874"/>
      <c r="D244" s="874"/>
      <c r="E244" s="874"/>
      <c r="F244" s="906"/>
    </row>
    <row r="245" spans="2:6">
      <c r="B245" s="874"/>
      <c r="C245" s="874"/>
      <c r="D245" s="874"/>
      <c r="E245" s="874"/>
      <c r="F245" s="906"/>
    </row>
    <row r="246" spans="2:6">
      <c r="B246" s="874"/>
      <c r="C246" s="874"/>
      <c r="D246" s="874"/>
      <c r="E246" s="874"/>
      <c r="F246" s="906"/>
    </row>
    <row r="247" spans="2:6">
      <c r="B247" s="874"/>
      <c r="C247" s="874"/>
      <c r="D247" s="874"/>
      <c r="E247" s="874"/>
      <c r="F247" s="906"/>
    </row>
    <row r="248" spans="2:6">
      <c r="B248" s="874"/>
      <c r="C248" s="874"/>
      <c r="D248" s="874"/>
      <c r="E248" s="874"/>
      <c r="F248" s="906"/>
    </row>
    <row r="249" spans="2:6">
      <c r="B249" s="874"/>
      <c r="C249" s="874"/>
      <c r="D249" s="874"/>
      <c r="E249" s="874"/>
      <c r="F249" s="906"/>
    </row>
    <row r="250" spans="2:6">
      <c r="B250" s="874"/>
      <c r="C250" s="874"/>
      <c r="D250" s="874"/>
      <c r="E250" s="874"/>
      <c r="F250" s="906"/>
    </row>
    <row r="251" spans="2:6">
      <c r="B251" s="874"/>
      <c r="C251" s="874"/>
      <c r="D251" s="874"/>
      <c r="E251" s="874"/>
      <c r="F251" s="906"/>
    </row>
    <row r="252" spans="2:6">
      <c r="B252" s="874"/>
      <c r="C252" s="874"/>
      <c r="D252" s="874"/>
      <c r="E252" s="874"/>
      <c r="F252" s="906"/>
    </row>
    <row r="253" spans="2:6">
      <c r="B253" s="874"/>
      <c r="C253" s="874"/>
      <c r="D253" s="874"/>
      <c r="E253" s="874"/>
      <c r="F253" s="906"/>
    </row>
    <row r="254" spans="2:6">
      <c r="B254" s="874"/>
      <c r="C254" s="874"/>
      <c r="D254" s="874"/>
      <c r="E254" s="874"/>
      <c r="F254" s="906"/>
    </row>
    <row r="255" spans="2:6">
      <c r="B255" s="874"/>
      <c r="C255" s="874"/>
      <c r="D255" s="874"/>
      <c r="E255" s="874"/>
      <c r="F255" s="906"/>
    </row>
    <row r="256" spans="2:6">
      <c r="B256" s="874"/>
      <c r="C256" s="874"/>
      <c r="D256" s="874"/>
      <c r="E256" s="874"/>
      <c r="F256" s="906"/>
    </row>
    <row r="257" spans="2:6">
      <c r="B257" s="874"/>
      <c r="C257" s="874"/>
      <c r="D257" s="874"/>
      <c r="E257" s="874"/>
      <c r="F257" s="906"/>
    </row>
    <row r="258" spans="2:6">
      <c r="B258" s="874"/>
      <c r="C258" s="874"/>
      <c r="D258" s="874"/>
      <c r="E258" s="874"/>
      <c r="F258" s="906"/>
    </row>
    <row r="259" spans="2:6">
      <c r="B259" s="874"/>
      <c r="C259" s="874"/>
      <c r="D259" s="874"/>
      <c r="E259" s="874"/>
      <c r="F259" s="906"/>
    </row>
    <row r="260" spans="2:6">
      <c r="B260" s="874"/>
      <c r="C260" s="874"/>
      <c r="D260" s="874"/>
      <c r="E260" s="874"/>
      <c r="F260" s="906"/>
    </row>
    <row r="261" spans="2:6">
      <c r="B261" s="874"/>
      <c r="C261" s="874"/>
      <c r="D261" s="874"/>
      <c r="E261" s="874"/>
      <c r="F261" s="906"/>
    </row>
    <row r="262" spans="2:6">
      <c r="B262" s="874"/>
      <c r="C262" s="874"/>
      <c r="D262" s="874"/>
      <c r="E262" s="874"/>
      <c r="F262" s="906"/>
    </row>
    <row r="263" spans="2:6">
      <c r="B263" s="874"/>
      <c r="C263" s="874"/>
      <c r="D263" s="874"/>
      <c r="E263" s="874"/>
      <c r="F263" s="906"/>
    </row>
    <row r="264" spans="2:6">
      <c r="B264" s="874"/>
      <c r="C264" s="874"/>
      <c r="D264" s="874"/>
      <c r="E264" s="874"/>
      <c r="F264" s="906"/>
    </row>
    <row r="265" spans="2:6">
      <c r="B265" s="874"/>
      <c r="C265" s="874"/>
      <c r="D265" s="874"/>
      <c r="E265" s="874"/>
      <c r="F265" s="906"/>
    </row>
    <row r="266" spans="2:6">
      <c r="B266" s="874"/>
      <c r="C266" s="874"/>
      <c r="D266" s="874"/>
      <c r="E266" s="874"/>
      <c r="F266" s="906"/>
    </row>
    <row r="267" spans="2:6">
      <c r="B267" s="874"/>
      <c r="C267" s="874"/>
      <c r="D267" s="874"/>
      <c r="E267" s="874"/>
      <c r="F267" s="906"/>
    </row>
    <row r="268" spans="2:6">
      <c r="B268" s="874"/>
      <c r="C268" s="874"/>
      <c r="D268" s="874"/>
      <c r="E268" s="874"/>
      <c r="F268" s="906"/>
    </row>
    <row r="269" spans="2:6">
      <c r="B269" s="874"/>
      <c r="C269" s="874"/>
      <c r="D269" s="874"/>
      <c r="E269" s="874"/>
      <c r="F269" s="906"/>
    </row>
    <row r="270" spans="2:6">
      <c r="B270" s="874"/>
      <c r="C270" s="874"/>
      <c r="D270" s="874"/>
      <c r="E270" s="874"/>
      <c r="F270" s="906"/>
    </row>
    <row r="271" spans="2:6">
      <c r="B271" s="874"/>
      <c r="C271" s="874"/>
      <c r="D271" s="874"/>
      <c r="E271" s="874"/>
      <c r="F271" s="906"/>
    </row>
    <row r="272" spans="2:6">
      <c r="B272" s="874"/>
      <c r="C272" s="874"/>
      <c r="D272" s="874"/>
      <c r="E272" s="874"/>
      <c r="F272" s="906"/>
    </row>
    <row r="273" spans="2:6">
      <c r="B273" s="874"/>
      <c r="C273" s="874"/>
      <c r="D273" s="874"/>
      <c r="E273" s="874"/>
      <c r="F273" s="906"/>
    </row>
    <row r="274" spans="2:6">
      <c r="B274" s="874"/>
      <c r="C274" s="874"/>
      <c r="D274" s="874"/>
      <c r="E274" s="874"/>
      <c r="F274" s="906"/>
    </row>
    <row r="275" spans="2:6">
      <c r="B275" s="874"/>
      <c r="C275" s="874"/>
      <c r="D275" s="874"/>
      <c r="E275" s="874"/>
      <c r="F275" s="906"/>
    </row>
    <row r="276" spans="2:6">
      <c r="B276" s="874"/>
      <c r="C276" s="874"/>
      <c r="D276" s="874"/>
      <c r="E276" s="874"/>
      <c r="F276" s="906"/>
    </row>
    <row r="277" spans="2:6">
      <c r="B277" s="874"/>
      <c r="C277" s="874"/>
      <c r="D277" s="874"/>
      <c r="E277" s="874"/>
      <c r="F277" s="906"/>
    </row>
    <row r="278" spans="2:6">
      <c r="B278" s="874"/>
      <c r="C278" s="874"/>
      <c r="D278" s="874"/>
      <c r="E278" s="874"/>
      <c r="F278" s="906"/>
    </row>
    <row r="279" spans="2:6">
      <c r="B279" s="874"/>
      <c r="C279" s="874"/>
      <c r="D279" s="874"/>
      <c r="E279" s="874"/>
      <c r="F279" s="906"/>
    </row>
    <row r="280" spans="2:6">
      <c r="B280" s="874"/>
      <c r="C280" s="874"/>
      <c r="D280" s="874"/>
      <c r="E280" s="874"/>
      <c r="F280" s="906"/>
    </row>
    <row r="281" spans="2:6">
      <c r="B281" s="874"/>
      <c r="C281" s="874"/>
      <c r="D281" s="874"/>
      <c r="E281" s="874"/>
      <c r="F281" s="906"/>
    </row>
    <row r="282" spans="2:6">
      <c r="B282" s="874"/>
      <c r="C282" s="874"/>
      <c r="D282" s="874"/>
      <c r="E282" s="874"/>
      <c r="F282" s="906"/>
    </row>
    <row r="283" spans="2:6">
      <c r="B283" s="874"/>
      <c r="C283" s="874"/>
      <c r="D283" s="874"/>
      <c r="E283" s="874"/>
      <c r="F283" s="906"/>
    </row>
    <row r="284" spans="2:6">
      <c r="B284" s="874"/>
      <c r="C284" s="874"/>
      <c r="D284" s="874"/>
      <c r="E284" s="874"/>
      <c r="F284" s="906"/>
    </row>
    <row r="285" spans="2:6">
      <c r="B285" s="874"/>
      <c r="C285" s="874"/>
      <c r="D285" s="874"/>
      <c r="E285" s="874"/>
      <c r="F285" s="906"/>
    </row>
    <row r="286" spans="2:6">
      <c r="B286" s="874"/>
      <c r="C286" s="874"/>
      <c r="D286" s="874"/>
      <c r="E286" s="874"/>
      <c r="F286" s="906"/>
    </row>
    <row r="287" spans="2:6">
      <c r="B287" s="874"/>
      <c r="C287" s="874"/>
      <c r="D287" s="874"/>
      <c r="E287" s="874"/>
      <c r="F287" s="906"/>
    </row>
    <row r="288" spans="2:6">
      <c r="B288" s="874"/>
      <c r="C288" s="874"/>
      <c r="D288" s="874"/>
      <c r="E288" s="874"/>
      <c r="F288" s="906"/>
    </row>
    <row r="289" spans="2:6">
      <c r="B289" s="874"/>
      <c r="C289" s="874"/>
      <c r="D289" s="874"/>
      <c r="E289" s="874"/>
      <c r="F289" s="906"/>
    </row>
    <row r="290" spans="2:6">
      <c r="B290" s="874"/>
      <c r="C290" s="874"/>
      <c r="D290" s="874"/>
      <c r="E290" s="874"/>
      <c r="F290" s="906"/>
    </row>
    <row r="291" spans="2:6">
      <c r="B291" s="874"/>
      <c r="C291" s="874"/>
      <c r="D291" s="874"/>
      <c r="E291" s="874"/>
      <c r="F291" s="906"/>
    </row>
    <row r="292" spans="2:6">
      <c r="B292" s="874"/>
      <c r="C292" s="874"/>
      <c r="D292" s="874"/>
      <c r="E292" s="874"/>
      <c r="F292" s="906"/>
    </row>
    <row r="293" spans="2:6">
      <c r="B293" s="874"/>
      <c r="C293" s="874"/>
      <c r="D293" s="874"/>
      <c r="E293" s="874"/>
      <c r="F293" s="906"/>
    </row>
    <row r="294" spans="2:6">
      <c r="B294" s="874"/>
      <c r="C294" s="874"/>
      <c r="D294" s="874"/>
      <c r="E294" s="874"/>
      <c r="F294" s="906"/>
    </row>
    <row r="295" spans="2:6">
      <c r="B295" s="874"/>
      <c r="C295" s="874"/>
      <c r="D295" s="874"/>
      <c r="E295" s="874"/>
      <c r="F295" s="906"/>
    </row>
    <row r="296" spans="2:6">
      <c r="B296" s="874"/>
      <c r="C296" s="874"/>
      <c r="D296" s="874"/>
      <c r="E296" s="874"/>
      <c r="F296" s="906"/>
    </row>
    <row r="297" spans="2:6">
      <c r="B297" s="874"/>
      <c r="C297" s="874"/>
      <c r="D297" s="874"/>
      <c r="E297" s="874"/>
      <c r="F297" s="906"/>
    </row>
    <row r="298" spans="2:6">
      <c r="B298" s="874"/>
      <c r="C298" s="874"/>
      <c r="D298" s="874"/>
      <c r="E298" s="874"/>
      <c r="F298" s="906"/>
    </row>
    <row r="299" spans="2:6">
      <c r="B299" s="874"/>
      <c r="C299" s="874"/>
      <c r="D299" s="874"/>
      <c r="E299" s="874"/>
      <c r="F299" s="906"/>
    </row>
    <row r="300" spans="2:6">
      <c r="B300" s="874"/>
      <c r="C300" s="874"/>
      <c r="D300" s="874"/>
      <c r="E300" s="874"/>
      <c r="F300" s="906"/>
    </row>
    <row r="301" spans="2:6">
      <c r="B301" s="874"/>
      <c r="C301" s="874"/>
      <c r="D301" s="874"/>
      <c r="E301" s="874"/>
      <c r="F301" s="906"/>
    </row>
    <row r="302" spans="2:6">
      <c r="B302" s="874"/>
      <c r="C302" s="874"/>
      <c r="D302" s="874"/>
      <c r="E302" s="874"/>
      <c r="F302" s="906"/>
    </row>
    <row r="303" spans="2:6">
      <c r="B303" s="874"/>
      <c r="C303" s="874"/>
      <c r="D303" s="874"/>
      <c r="E303" s="874"/>
      <c r="F303" s="906"/>
    </row>
    <row r="304" spans="2:6">
      <c r="B304" s="874"/>
      <c r="C304" s="874"/>
      <c r="D304" s="874"/>
      <c r="E304" s="874"/>
      <c r="F304" s="906"/>
    </row>
    <row r="305" spans="2:6">
      <c r="B305" s="874"/>
      <c r="C305" s="874"/>
      <c r="D305" s="874"/>
      <c r="E305" s="874"/>
      <c r="F305" s="906"/>
    </row>
    <row r="306" spans="2:6">
      <c r="B306" s="874"/>
      <c r="C306" s="874"/>
      <c r="D306" s="874"/>
      <c r="E306" s="874"/>
      <c r="F306" s="906"/>
    </row>
    <row r="307" spans="2:6">
      <c r="B307" s="874"/>
      <c r="C307" s="874"/>
      <c r="D307" s="874"/>
      <c r="E307" s="874"/>
      <c r="F307" s="906"/>
    </row>
    <row r="308" spans="2:6">
      <c r="B308" s="874"/>
      <c r="C308" s="874"/>
      <c r="D308" s="874"/>
      <c r="E308" s="874"/>
      <c r="F308" s="906"/>
    </row>
    <row r="309" spans="2:6">
      <c r="B309" s="874"/>
      <c r="C309" s="874"/>
      <c r="D309" s="874"/>
      <c r="E309" s="874"/>
      <c r="F309" s="906"/>
    </row>
    <row r="310" spans="2:6">
      <c r="B310" s="874"/>
      <c r="C310" s="874"/>
      <c r="D310" s="874"/>
      <c r="E310" s="874"/>
      <c r="F310" s="906"/>
    </row>
    <row r="311" spans="2:6">
      <c r="B311" s="874"/>
      <c r="C311" s="874"/>
      <c r="D311" s="874"/>
      <c r="E311" s="874"/>
      <c r="F311" s="906"/>
    </row>
    <row r="312" spans="2:6">
      <c r="B312" s="874"/>
      <c r="C312" s="874"/>
      <c r="D312" s="874"/>
      <c r="E312" s="874"/>
      <c r="F312" s="906"/>
    </row>
    <row r="313" spans="2:6">
      <c r="B313" s="874"/>
      <c r="C313" s="874"/>
      <c r="D313" s="874"/>
      <c r="E313" s="874"/>
      <c r="F313" s="906"/>
    </row>
    <row r="314" spans="2:6">
      <c r="B314" s="874"/>
      <c r="C314" s="874"/>
      <c r="D314" s="874"/>
      <c r="E314" s="874"/>
      <c r="F314" s="906"/>
    </row>
    <row r="315" spans="2:6">
      <c r="B315" s="874"/>
      <c r="C315" s="874"/>
      <c r="D315" s="874"/>
      <c r="E315" s="874"/>
      <c r="F315" s="906"/>
    </row>
    <row r="316" spans="2:6">
      <c r="B316" s="874"/>
      <c r="C316" s="874"/>
      <c r="D316" s="874"/>
      <c r="E316" s="874"/>
      <c r="F316" s="906"/>
    </row>
    <row r="317" spans="2:6">
      <c r="B317" s="874"/>
      <c r="C317" s="874"/>
      <c r="D317" s="874"/>
      <c r="E317" s="874"/>
      <c r="F317" s="906"/>
    </row>
    <row r="318" spans="2:6">
      <c r="B318" s="874"/>
      <c r="C318" s="874"/>
      <c r="D318" s="874"/>
      <c r="E318" s="874"/>
      <c r="F318" s="906"/>
    </row>
    <row r="319" spans="2:6">
      <c r="B319" s="874"/>
      <c r="C319" s="874"/>
      <c r="D319" s="874"/>
      <c r="E319" s="874"/>
      <c r="F319" s="906"/>
    </row>
    <row r="320" spans="2:6">
      <c r="B320" s="874"/>
      <c r="C320" s="874"/>
      <c r="D320" s="874"/>
      <c r="E320" s="874"/>
      <c r="F320" s="906"/>
    </row>
    <row r="321" spans="2:6">
      <c r="B321" s="874"/>
      <c r="C321" s="874"/>
      <c r="D321" s="874"/>
      <c r="E321" s="874"/>
      <c r="F321" s="906"/>
    </row>
    <row r="322" spans="2:6">
      <c r="B322" s="874"/>
      <c r="C322" s="874"/>
      <c r="D322" s="874"/>
      <c r="E322" s="874"/>
      <c r="F322" s="906"/>
    </row>
    <row r="323" spans="2:6">
      <c r="B323" s="874"/>
      <c r="C323" s="874"/>
      <c r="D323" s="874"/>
      <c r="E323" s="874"/>
      <c r="F323" s="906"/>
    </row>
    <row r="324" spans="2:6">
      <c r="B324" s="874"/>
      <c r="C324" s="874"/>
      <c r="D324" s="874"/>
      <c r="E324" s="874"/>
      <c r="F324" s="906"/>
    </row>
    <row r="325" spans="2:6">
      <c r="B325" s="874"/>
      <c r="C325" s="874"/>
      <c r="D325" s="874"/>
      <c r="E325" s="874"/>
      <c r="F325" s="906"/>
    </row>
    <row r="326" spans="2:6">
      <c r="B326" s="874"/>
      <c r="C326" s="874"/>
      <c r="D326" s="874"/>
      <c r="E326" s="874"/>
      <c r="F326" s="906"/>
    </row>
    <row r="327" spans="2:6">
      <c r="B327" s="874"/>
      <c r="C327" s="874"/>
      <c r="D327" s="874"/>
      <c r="E327" s="874"/>
      <c r="F327" s="906"/>
    </row>
    <row r="328" spans="2:6">
      <c r="B328" s="874"/>
      <c r="C328" s="874"/>
      <c r="D328" s="874"/>
      <c r="E328" s="874"/>
      <c r="F328" s="906"/>
    </row>
    <row r="329" spans="2:6">
      <c r="B329" s="874"/>
      <c r="C329" s="874"/>
      <c r="D329" s="874"/>
      <c r="E329" s="874"/>
      <c r="F329" s="906"/>
    </row>
    <row r="330" spans="2:6">
      <c r="B330" s="874"/>
      <c r="C330" s="874"/>
      <c r="D330" s="874"/>
      <c r="E330" s="874"/>
      <c r="F330" s="906"/>
    </row>
    <row r="331" spans="2:6">
      <c r="B331" s="874"/>
      <c r="C331" s="874"/>
      <c r="D331" s="874"/>
      <c r="E331" s="874"/>
      <c r="F331" s="906"/>
    </row>
    <row r="332" spans="2:6">
      <c r="B332" s="874"/>
      <c r="C332" s="874"/>
      <c r="D332" s="874"/>
      <c r="E332" s="874"/>
      <c r="F332" s="906"/>
    </row>
    <row r="333" spans="2:6">
      <c r="B333" s="874"/>
      <c r="C333" s="874"/>
      <c r="D333" s="874"/>
      <c r="E333" s="874"/>
      <c r="F333" s="906"/>
    </row>
    <row r="334" spans="2:6">
      <c r="B334" s="874"/>
      <c r="C334" s="874"/>
      <c r="D334" s="874"/>
      <c r="E334" s="874"/>
      <c r="F334" s="906"/>
    </row>
    <row r="335" spans="2:6">
      <c r="B335" s="874"/>
      <c r="C335" s="874"/>
      <c r="D335" s="874"/>
      <c r="E335" s="874"/>
      <c r="F335" s="906"/>
    </row>
    <row r="336" spans="2:6">
      <c r="B336" s="874"/>
      <c r="C336" s="874"/>
      <c r="D336" s="874"/>
      <c r="E336" s="874"/>
      <c r="F336" s="906"/>
    </row>
    <row r="337" spans="2:6">
      <c r="B337" s="874"/>
      <c r="C337" s="874"/>
      <c r="D337" s="874"/>
      <c r="E337" s="874"/>
      <c r="F337" s="906"/>
    </row>
    <row r="338" spans="2:6">
      <c r="B338" s="874"/>
      <c r="C338" s="874"/>
      <c r="D338" s="874"/>
      <c r="E338" s="874"/>
      <c r="F338" s="906"/>
    </row>
    <row r="339" spans="2:6">
      <c r="B339" s="874"/>
      <c r="C339" s="874"/>
      <c r="D339" s="874"/>
      <c r="E339" s="874"/>
      <c r="F339" s="906"/>
    </row>
    <row r="340" spans="2:6">
      <c r="B340" s="874"/>
      <c r="C340" s="874"/>
      <c r="D340" s="874"/>
      <c r="E340" s="874"/>
      <c r="F340" s="906"/>
    </row>
    <row r="341" spans="2:6">
      <c r="B341" s="874"/>
      <c r="C341" s="874"/>
      <c r="D341" s="874"/>
      <c r="E341" s="874"/>
      <c r="F341" s="906"/>
    </row>
    <row r="342" spans="2:6">
      <c r="B342" s="874"/>
      <c r="C342" s="874"/>
      <c r="D342" s="874"/>
      <c r="E342" s="874"/>
      <c r="F342" s="906"/>
    </row>
    <row r="343" spans="2:6">
      <c r="B343" s="874"/>
      <c r="C343" s="874"/>
      <c r="D343" s="874"/>
      <c r="E343" s="874"/>
      <c r="F343" s="906"/>
    </row>
    <row r="344" spans="2:6">
      <c r="B344" s="874"/>
      <c r="C344" s="874"/>
      <c r="D344" s="874"/>
      <c r="E344" s="874"/>
      <c r="F344" s="906"/>
    </row>
    <row r="345" spans="2:6">
      <c r="B345" s="874"/>
      <c r="C345" s="874"/>
      <c r="D345" s="874"/>
      <c r="E345" s="874"/>
      <c r="F345" s="906"/>
    </row>
    <row r="346" spans="2:6">
      <c r="B346" s="874"/>
      <c r="C346" s="874"/>
      <c r="D346" s="874"/>
      <c r="E346" s="874"/>
      <c r="F346" s="906"/>
    </row>
    <row r="347" spans="2:6">
      <c r="B347" s="874"/>
      <c r="C347" s="874"/>
      <c r="D347" s="874"/>
      <c r="E347" s="874"/>
      <c r="F347" s="906"/>
    </row>
    <row r="348" spans="2:6">
      <c r="B348" s="874"/>
      <c r="C348" s="874"/>
      <c r="D348" s="874"/>
      <c r="E348" s="874"/>
      <c r="F348" s="906"/>
    </row>
    <row r="349" spans="2:6">
      <c r="B349" s="874"/>
      <c r="C349" s="874"/>
      <c r="D349" s="874"/>
      <c r="E349" s="874"/>
      <c r="F349" s="906"/>
    </row>
    <row r="350" spans="2:6">
      <c r="B350" s="874"/>
      <c r="C350" s="874"/>
      <c r="D350" s="874"/>
      <c r="E350" s="874"/>
      <c r="F350" s="906"/>
    </row>
    <row r="351" spans="2:6">
      <c r="B351" s="874"/>
      <c r="C351" s="874"/>
      <c r="D351" s="874"/>
      <c r="E351" s="874"/>
      <c r="F351" s="906"/>
    </row>
    <row r="352" spans="2:6">
      <c r="B352" s="874"/>
      <c r="C352" s="874"/>
      <c r="D352" s="874"/>
      <c r="E352" s="874"/>
      <c r="F352" s="906"/>
    </row>
    <row r="353" spans="2:6">
      <c r="B353" s="874"/>
      <c r="C353" s="874"/>
      <c r="D353" s="874"/>
      <c r="E353" s="874"/>
      <c r="F353" s="906"/>
    </row>
    <row r="354" spans="2:6">
      <c r="B354" s="874"/>
      <c r="C354" s="874"/>
      <c r="D354" s="874"/>
      <c r="E354" s="874"/>
      <c r="F354" s="906"/>
    </row>
    <row r="355" spans="2:6">
      <c r="B355" s="874"/>
      <c r="C355" s="874"/>
      <c r="D355" s="874"/>
      <c r="E355" s="874"/>
      <c r="F355" s="906"/>
    </row>
    <row r="356" spans="2:6">
      <c r="B356" s="874"/>
      <c r="C356" s="874"/>
      <c r="D356" s="874"/>
      <c r="E356" s="874"/>
      <c r="F356" s="906"/>
    </row>
    <row r="357" spans="2:6">
      <c r="B357" s="874"/>
      <c r="C357" s="874"/>
      <c r="D357" s="874"/>
      <c r="E357" s="874"/>
      <c r="F357" s="906"/>
    </row>
    <row r="358" spans="2:6">
      <c r="B358" s="874"/>
      <c r="C358" s="874"/>
      <c r="D358" s="874"/>
      <c r="E358" s="874"/>
      <c r="F358" s="906"/>
    </row>
    <row r="359" spans="2:6">
      <c r="B359" s="874"/>
      <c r="C359" s="874"/>
      <c r="D359" s="874"/>
      <c r="E359" s="874"/>
      <c r="F359" s="906"/>
    </row>
    <row r="360" spans="2:6">
      <c r="B360" s="874"/>
      <c r="C360" s="874"/>
      <c r="D360" s="874"/>
      <c r="E360" s="874"/>
      <c r="F360" s="906"/>
    </row>
    <row r="361" spans="2:6">
      <c r="B361" s="874"/>
      <c r="C361" s="874"/>
      <c r="D361" s="874"/>
      <c r="E361" s="874"/>
      <c r="F361" s="906"/>
    </row>
    <row r="362" spans="2:6">
      <c r="B362" s="874"/>
      <c r="C362" s="874"/>
      <c r="D362" s="874"/>
      <c r="E362" s="874"/>
      <c r="F362" s="906"/>
    </row>
    <row r="363" spans="2:6">
      <c r="B363" s="874"/>
      <c r="C363" s="874"/>
      <c r="D363" s="874"/>
      <c r="E363" s="874"/>
      <c r="F363" s="906"/>
    </row>
    <row r="364" spans="2:6">
      <c r="B364" s="874"/>
      <c r="C364" s="874"/>
      <c r="D364" s="874"/>
      <c r="E364" s="874"/>
      <c r="F364" s="906"/>
    </row>
    <row r="365" spans="2:6">
      <c r="B365" s="874"/>
      <c r="C365" s="874"/>
      <c r="D365" s="874"/>
      <c r="E365" s="874"/>
      <c r="F365" s="906"/>
    </row>
    <row r="366" spans="2:6">
      <c r="B366" s="874"/>
      <c r="C366" s="874"/>
      <c r="D366" s="874"/>
      <c r="E366" s="874"/>
      <c r="F366" s="906"/>
    </row>
    <row r="367" spans="2:6">
      <c r="B367" s="874"/>
      <c r="C367" s="874"/>
      <c r="D367" s="874"/>
      <c r="E367" s="874"/>
      <c r="F367" s="906"/>
    </row>
    <row r="368" spans="2:6">
      <c r="B368" s="874"/>
      <c r="C368" s="874"/>
      <c r="D368" s="874"/>
      <c r="E368" s="874"/>
      <c r="F368" s="906"/>
    </row>
    <row r="369" spans="2:6">
      <c r="B369" s="874"/>
      <c r="C369" s="874"/>
      <c r="D369" s="874"/>
      <c r="E369" s="874"/>
      <c r="F369" s="906"/>
    </row>
    <row r="370" spans="2:6">
      <c r="B370" s="874"/>
      <c r="C370" s="874"/>
      <c r="D370" s="874"/>
      <c r="E370" s="874"/>
      <c r="F370" s="906"/>
    </row>
    <row r="371" spans="2:6">
      <c r="B371" s="874"/>
      <c r="C371" s="874"/>
      <c r="D371" s="874"/>
      <c r="E371" s="874"/>
      <c r="F371" s="906"/>
    </row>
    <row r="372" spans="2:6">
      <c r="B372" s="874"/>
      <c r="C372" s="874"/>
      <c r="D372" s="874"/>
      <c r="E372" s="874"/>
      <c r="F372" s="906"/>
    </row>
    <row r="373" spans="2:6">
      <c r="B373" s="874"/>
      <c r="C373" s="874"/>
      <c r="D373" s="874"/>
      <c r="E373" s="874"/>
      <c r="F373" s="906"/>
    </row>
    <row r="374" spans="2:6">
      <c r="B374" s="874"/>
      <c r="C374" s="874"/>
      <c r="D374" s="874"/>
      <c r="E374" s="874"/>
      <c r="F374" s="906"/>
    </row>
    <row r="375" spans="2:6">
      <c r="B375" s="874"/>
      <c r="C375" s="874"/>
      <c r="D375" s="874"/>
      <c r="E375" s="874"/>
      <c r="F375" s="906"/>
    </row>
    <row r="376" spans="2:6">
      <c r="B376" s="874"/>
      <c r="C376" s="874"/>
      <c r="D376" s="874"/>
      <c r="E376" s="874"/>
      <c r="F376" s="906"/>
    </row>
    <row r="377" spans="2:6">
      <c r="B377" s="874"/>
      <c r="C377" s="874"/>
      <c r="D377" s="874"/>
      <c r="E377" s="874"/>
      <c r="F377" s="906"/>
    </row>
    <row r="378" spans="2:6">
      <c r="B378" s="874"/>
      <c r="C378" s="874"/>
      <c r="D378" s="874"/>
      <c r="E378" s="874"/>
      <c r="F378" s="906"/>
    </row>
    <row r="379" spans="2:6">
      <c r="B379" s="874"/>
      <c r="C379" s="874"/>
      <c r="D379" s="874"/>
      <c r="E379" s="874"/>
      <c r="F379" s="906"/>
    </row>
    <row r="380" spans="2:6">
      <c r="B380" s="874"/>
      <c r="C380" s="874"/>
      <c r="D380" s="874"/>
      <c r="E380" s="874"/>
      <c r="F380" s="906"/>
    </row>
    <row r="381" spans="2:6">
      <c r="B381" s="874"/>
      <c r="C381" s="874"/>
      <c r="D381" s="874"/>
      <c r="E381" s="874"/>
      <c r="F381" s="906"/>
    </row>
    <row r="382" spans="2:6">
      <c r="B382" s="874"/>
      <c r="C382" s="874"/>
      <c r="D382" s="874"/>
      <c r="E382" s="874"/>
      <c r="F382" s="906"/>
    </row>
    <row r="383" spans="2:6">
      <c r="B383" s="874"/>
      <c r="C383" s="874"/>
      <c r="D383" s="874"/>
      <c r="E383" s="874"/>
      <c r="F383" s="906"/>
    </row>
    <row r="384" spans="2:6">
      <c r="B384" s="874"/>
      <c r="C384" s="874"/>
      <c r="D384" s="874"/>
      <c r="E384" s="874"/>
      <c r="F384" s="906"/>
    </row>
    <row r="385" spans="2:6">
      <c r="B385" s="874"/>
      <c r="C385" s="874"/>
      <c r="D385" s="874"/>
      <c r="E385" s="874"/>
      <c r="F385" s="906"/>
    </row>
    <row r="386" spans="2:6">
      <c r="B386" s="874"/>
      <c r="C386" s="874"/>
      <c r="D386" s="874"/>
      <c r="E386" s="874"/>
      <c r="F386" s="906"/>
    </row>
    <row r="387" spans="2:6">
      <c r="B387" s="874"/>
      <c r="C387" s="874"/>
      <c r="D387" s="874"/>
      <c r="E387" s="874"/>
      <c r="F387" s="906"/>
    </row>
    <row r="388" spans="2:6">
      <c r="B388" s="874"/>
      <c r="C388" s="874"/>
      <c r="D388" s="874"/>
      <c r="E388" s="874"/>
      <c r="F388" s="906"/>
    </row>
    <row r="389" spans="2:6">
      <c r="B389" s="874"/>
      <c r="C389" s="874"/>
      <c r="D389" s="874"/>
      <c r="E389" s="874"/>
      <c r="F389" s="906"/>
    </row>
    <row r="390" spans="2:6">
      <c r="B390" s="874"/>
      <c r="C390" s="874"/>
      <c r="D390" s="874"/>
      <c r="E390" s="874"/>
      <c r="F390" s="906"/>
    </row>
    <row r="391" spans="2:6">
      <c r="B391" s="874"/>
      <c r="C391" s="874"/>
      <c r="D391" s="874"/>
      <c r="E391" s="874"/>
      <c r="F391" s="906"/>
    </row>
    <row r="392" spans="2:6">
      <c r="B392" s="874"/>
      <c r="C392" s="874"/>
      <c r="D392" s="874"/>
      <c r="E392" s="874"/>
      <c r="F392" s="906"/>
    </row>
    <row r="393" spans="2:6">
      <c r="B393" s="874"/>
      <c r="C393" s="874"/>
      <c r="D393" s="874"/>
      <c r="E393" s="874"/>
      <c r="F393" s="906"/>
    </row>
    <row r="394" spans="2:6">
      <c r="B394" s="874"/>
      <c r="C394" s="874"/>
      <c r="D394" s="874"/>
      <c r="E394" s="874"/>
      <c r="F394" s="906"/>
    </row>
    <row r="395" spans="2:6">
      <c r="B395" s="874"/>
      <c r="C395" s="874"/>
      <c r="D395" s="874"/>
      <c r="E395" s="874"/>
      <c r="F395" s="906"/>
    </row>
    <row r="396" spans="2:6">
      <c r="B396" s="874"/>
      <c r="C396" s="874"/>
      <c r="D396" s="874"/>
      <c r="E396" s="874"/>
      <c r="F396" s="906"/>
    </row>
    <row r="397" spans="2:6">
      <c r="B397" s="874"/>
      <c r="C397" s="874"/>
      <c r="D397" s="874"/>
      <c r="E397" s="874"/>
      <c r="F397" s="906"/>
    </row>
    <row r="398" spans="2:6">
      <c r="B398" s="874"/>
      <c r="C398" s="874"/>
      <c r="D398" s="874"/>
      <c r="E398" s="874"/>
      <c r="F398" s="906"/>
    </row>
    <row r="399" spans="2:6">
      <c r="B399" s="874"/>
      <c r="C399" s="874"/>
      <c r="D399" s="874"/>
      <c r="E399" s="874"/>
      <c r="F399" s="906"/>
    </row>
    <row r="400" spans="2:6">
      <c r="B400" s="874"/>
      <c r="C400" s="874"/>
      <c r="D400" s="874"/>
      <c r="E400" s="874"/>
      <c r="F400" s="906"/>
    </row>
    <row r="401" spans="2:6">
      <c r="B401" s="874"/>
      <c r="C401" s="874"/>
      <c r="D401" s="874"/>
      <c r="E401" s="874"/>
      <c r="F401" s="906"/>
    </row>
    <row r="402" spans="2:6">
      <c r="B402" s="874"/>
      <c r="C402" s="874"/>
      <c r="D402" s="874"/>
      <c r="E402" s="874"/>
      <c r="F402" s="906"/>
    </row>
    <row r="403" spans="2:6">
      <c r="B403" s="874"/>
      <c r="C403" s="874"/>
      <c r="D403" s="874"/>
      <c r="E403" s="874"/>
      <c r="F403" s="906"/>
    </row>
    <row r="404" spans="2:6">
      <c r="B404" s="874"/>
      <c r="C404" s="874"/>
      <c r="D404" s="874"/>
      <c r="E404" s="874"/>
      <c r="F404" s="906"/>
    </row>
    <row r="405" spans="2:6">
      <c r="B405" s="874"/>
      <c r="C405" s="874"/>
      <c r="D405" s="874"/>
      <c r="E405" s="874"/>
      <c r="F405" s="906"/>
    </row>
    <row r="406" spans="2:6">
      <c r="B406" s="874"/>
      <c r="C406" s="874"/>
      <c r="D406" s="874"/>
      <c r="E406" s="874"/>
      <c r="F406" s="906"/>
    </row>
    <row r="407" spans="2:6">
      <c r="B407" s="874"/>
      <c r="C407" s="874"/>
      <c r="D407" s="874"/>
      <c r="E407" s="874"/>
      <c r="F407" s="906"/>
    </row>
    <row r="408" spans="2:6">
      <c r="B408" s="874"/>
      <c r="C408" s="874"/>
      <c r="D408" s="874"/>
      <c r="E408" s="874"/>
      <c r="F408" s="906"/>
    </row>
    <row r="409" spans="2:6">
      <c r="B409" s="874"/>
      <c r="C409" s="874"/>
      <c r="D409" s="874"/>
      <c r="E409" s="874"/>
      <c r="F409" s="906"/>
    </row>
    <row r="410" spans="2:6">
      <c r="B410" s="874"/>
      <c r="C410" s="874"/>
      <c r="D410" s="874"/>
      <c r="E410" s="874"/>
      <c r="F410" s="906"/>
    </row>
    <row r="411" spans="2:6">
      <c r="B411" s="874"/>
      <c r="C411" s="874"/>
      <c r="D411" s="874"/>
      <c r="E411" s="874"/>
      <c r="F411" s="906"/>
    </row>
    <row r="412" spans="2:6">
      <c r="B412" s="874"/>
      <c r="C412" s="874"/>
      <c r="D412" s="874"/>
      <c r="E412" s="874"/>
      <c r="F412" s="906"/>
    </row>
    <row r="413" spans="2:6">
      <c r="B413" s="874"/>
      <c r="C413" s="874"/>
      <c r="D413" s="874"/>
      <c r="E413" s="874"/>
      <c r="F413" s="906"/>
    </row>
    <row r="414" spans="2:6">
      <c r="B414" s="874"/>
      <c r="C414" s="874"/>
      <c r="D414" s="874"/>
      <c r="E414" s="874"/>
      <c r="F414" s="906"/>
    </row>
    <row r="415" spans="2:6">
      <c r="B415" s="874"/>
      <c r="C415" s="874"/>
      <c r="D415" s="874"/>
      <c r="E415" s="874"/>
      <c r="F415" s="906"/>
    </row>
    <row r="416" spans="2:6">
      <c r="B416" s="874"/>
      <c r="C416" s="874"/>
      <c r="D416" s="874"/>
      <c r="E416" s="874"/>
      <c r="F416" s="906"/>
    </row>
    <row r="417" spans="2:6">
      <c r="B417" s="874"/>
      <c r="C417" s="874"/>
      <c r="D417" s="874"/>
      <c r="E417" s="874"/>
      <c r="F417" s="906"/>
    </row>
    <row r="418" spans="2:6">
      <c r="B418" s="874"/>
      <c r="C418" s="874"/>
      <c r="D418" s="874"/>
      <c r="E418" s="874"/>
      <c r="F418" s="906"/>
    </row>
    <row r="419" spans="2:6">
      <c r="B419" s="874"/>
      <c r="C419" s="874"/>
      <c r="D419" s="874"/>
      <c r="E419" s="874"/>
      <c r="F419" s="906"/>
    </row>
    <row r="420" spans="2:6">
      <c r="B420" s="874"/>
      <c r="C420" s="874"/>
      <c r="D420" s="874"/>
      <c r="E420" s="874"/>
      <c r="F420" s="906"/>
    </row>
    <row r="421" spans="2:6">
      <c r="B421" s="874"/>
      <c r="C421" s="874"/>
      <c r="D421" s="874"/>
      <c r="E421" s="874"/>
      <c r="F421" s="906"/>
    </row>
    <row r="422" spans="2:6">
      <c r="B422" s="874"/>
      <c r="C422" s="874"/>
      <c r="D422" s="874"/>
      <c r="E422" s="874"/>
      <c r="F422" s="906"/>
    </row>
    <row r="423" spans="2:6">
      <c r="B423" s="874"/>
      <c r="C423" s="874"/>
      <c r="D423" s="874"/>
      <c r="E423" s="874"/>
      <c r="F423" s="906"/>
    </row>
    <row r="424" spans="2:6">
      <c r="B424" s="874"/>
      <c r="C424" s="874"/>
      <c r="D424" s="874"/>
      <c r="E424" s="874"/>
      <c r="F424" s="906"/>
    </row>
    <row r="425" spans="2:6">
      <c r="B425" s="874"/>
      <c r="C425" s="874"/>
      <c r="D425" s="874"/>
      <c r="E425" s="874"/>
      <c r="F425" s="906"/>
    </row>
    <row r="426" spans="2:6">
      <c r="B426" s="874"/>
      <c r="C426" s="874"/>
      <c r="D426" s="874"/>
      <c r="E426" s="874"/>
      <c r="F426" s="906"/>
    </row>
    <row r="427" spans="2:6">
      <c r="B427" s="874"/>
      <c r="C427" s="874"/>
      <c r="D427" s="874"/>
      <c r="E427" s="874"/>
      <c r="F427" s="906"/>
    </row>
    <row r="428" spans="2:6">
      <c r="B428" s="874"/>
      <c r="C428" s="874"/>
      <c r="D428" s="874"/>
      <c r="E428" s="874"/>
      <c r="F428" s="906"/>
    </row>
    <row r="429" spans="2:6">
      <c r="B429" s="874"/>
      <c r="C429" s="874"/>
      <c r="D429" s="874"/>
      <c r="E429" s="874"/>
      <c r="F429" s="906"/>
    </row>
    <row r="430" spans="2:6">
      <c r="B430" s="874"/>
      <c r="C430" s="874"/>
      <c r="D430" s="874"/>
      <c r="E430" s="874"/>
      <c r="F430" s="906"/>
    </row>
    <row r="431" spans="2:6">
      <c r="B431" s="874"/>
      <c r="C431" s="874"/>
      <c r="D431" s="874"/>
      <c r="E431" s="874"/>
      <c r="F431" s="906"/>
    </row>
    <row r="432" spans="2:6">
      <c r="B432" s="874"/>
      <c r="C432" s="874"/>
      <c r="D432" s="874"/>
      <c r="E432" s="874"/>
      <c r="F432" s="906"/>
    </row>
    <row r="433" spans="2:6">
      <c r="B433" s="874"/>
      <c r="C433" s="874"/>
      <c r="D433" s="874"/>
      <c r="E433" s="874"/>
      <c r="F433" s="906"/>
    </row>
    <row r="434" spans="2:6">
      <c r="B434" s="874"/>
      <c r="C434" s="874"/>
      <c r="D434" s="874"/>
      <c r="E434" s="874"/>
      <c r="F434" s="906"/>
    </row>
    <row r="435" spans="2:6">
      <c r="B435" s="874"/>
      <c r="C435" s="874"/>
      <c r="D435" s="874"/>
      <c r="E435" s="874"/>
      <c r="F435" s="906"/>
    </row>
    <row r="436" spans="2:6">
      <c r="B436" s="874"/>
      <c r="C436" s="874"/>
      <c r="D436" s="874"/>
      <c r="E436" s="874"/>
      <c r="F436" s="906"/>
    </row>
    <row r="437" spans="2:6">
      <c r="B437" s="874"/>
      <c r="C437" s="874"/>
      <c r="D437" s="874"/>
      <c r="E437" s="874"/>
      <c r="F437" s="906"/>
    </row>
    <row r="438" spans="2:6">
      <c r="B438" s="874"/>
      <c r="C438" s="874"/>
      <c r="D438" s="874"/>
      <c r="E438" s="874"/>
      <c r="F438" s="906"/>
    </row>
    <row r="439" spans="2:6">
      <c r="B439" s="874"/>
      <c r="C439" s="874"/>
      <c r="D439" s="874"/>
      <c r="E439" s="874"/>
      <c r="F439" s="906"/>
    </row>
    <row r="440" spans="2:6">
      <c r="B440" s="874"/>
      <c r="C440" s="874"/>
      <c r="D440" s="874"/>
      <c r="E440" s="874"/>
      <c r="F440" s="906"/>
    </row>
    <row r="441" spans="2:6">
      <c r="B441" s="874"/>
      <c r="C441" s="874"/>
      <c r="D441" s="874"/>
      <c r="E441" s="874"/>
      <c r="F441" s="906"/>
    </row>
    <row r="442" spans="2:6">
      <c r="B442" s="874"/>
      <c r="C442" s="874"/>
      <c r="D442" s="874"/>
      <c r="E442" s="874"/>
      <c r="F442" s="906"/>
    </row>
    <row r="443" spans="2:6">
      <c r="B443" s="874"/>
      <c r="C443" s="874"/>
      <c r="D443" s="874"/>
      <c r="E443" s="874"/>
      <c r="F443" s="906"/>
    </row>
    <row r="444" spans="2:6">
      <c r="B444" s="874"/>
      <c r="C444" s="874"/>
      <c r="D444" s="874"/>
      <c r="E444" s="874"/>
      <c r="F444" s="906"/>
    </row>
    <row r="445" spans="2:6">
      <c r="B445" s="874"/>
      <c r="C445" s="874"/>
      <c r="D445" s="874"/>
      <c r="E445" s="874"/>
      <c r="F445" s="906"/>
    </row>
    <row r="446" spans="2:6">
      <c r="B446" s="874"/>
      <c r="C446" s="874"/>
      <c r="D446" s="874"/>
      <c r="E446" s="874"/>
      <c r="F446" s="906"/>
    </row>
    <row r="447" spans="2:6">
      <c r="B447" s="874"/>
      <c r="C447" s="874"/>
      <c r="D447" s="874"/>
      <c r="E447" s="874"/>
      <c r="F447" s="906"/>
    </row>
    <row r="448" spans="2:6">
      <c r="B448" s="874"/>
      <c r="C448" s="874"/>
      <c r="D448" s="874"/>
      <c r="E448" s="874"/>
      <c r="F448" s="906"/>
    </row>
    <row r="449" spans="2:6">
      <c r="B449" s="874"/>
      <c r="C449" s="874"/>
      <c r="D449" s="874"/>
      <c r="E449" s="874"/>
      <c r="F449" s="906"/>
    </row>
    <row r="450" spans="2:6">
      <c r="B450" s="874"/>
      <c r="C450" s="874"/>
      <c r="D450" s="874"/>
      <c r="E450" s="874"/>
      <c r="F450" s="906"/>
    </row>
    <row r="451" spans="2:6">
      <c r="B451" s="874"/>
      <c r="C451" s="874"/>
      <c r="D451" s="874"/>
      <c r="E451" s="874"/>
      <c r="F451" s="906"/>
    </row>
    <row r="452" spans="2:6">
      <c r="B452" s="874"/>
      <c r="C452" s="874"/>
      <c r="D452" s="874"/>
      <c r="E452" s="874"/>
      <c r="F452" s="906"/>
    </row>
    <row r="453" spans="2:6">
      <c r="B453" s="874"/>
      <c r="C453" s="874"/>
      <c r="D453" s="874"/>
      <c r="E453" s="874"/>
      <c r="F453" s="906"/>
    </row>
    <row r="454" spans="2:6">
      <c r="B454" s="874"/>
      <c r="C454" s="874"/>
      <c r="D454" s="874"/>
      <c r="E454" s="874"/>
      <c r="F454" s="906"/>
    </row>
    <row r="455" spans="2:6">
      <c r="B455" s="874"/>
      <c r="C455" s="874"/>
      <c r="D455" s="874"/>
      <c r="E455" s="874"/>
      <c r="F455" s="906"/>
    </row>
    <row r="456" spans="2:6">
      <c r="B456" s="874"/>
      <c r="C456" s="874"/>
      <c r="D456" s="874"/>
      <c r="E456" s="874"/>
      <c r="F456" s="906"/>
    </row>
    <row r="457" spans="2:6">
      <c r="B457" s="874"/>
      <c r="C457" s="874"/>
      <c r="D457" s="874"/>
      <c r="E457" s="874"/>
      <c r="F457" s="906"/>
    </row>
    <row r="458" spans="2:6">
      <c r="B458" s="874"/>
      <c r="C458" s="874"/>
      <c r="D458" s="874"/>
      <c r="E458" s="874"/>
      <c r="F458" s="906"/>
    </row>
    <row r="459" spans="2:6">
      <c r="B459" s="874"/>
      <c r="C459" s="874"/>
      <c r="D459" s="874"/>
      <c r="E459" s="874"/>
      <c r="F459" s="906"/>
    </row>
    <row r="460" spans="2:6">
      <c r="B460" s="874"/>
      <c r="C460" s="874"/>
      <c r="D460" s="874"/>
      <c r="E460" s="874"/>
      <c r="F460" s="906"/>
    </row>
    <row r="461" spans="2:6">
      <c r="B461" s="874"/>
      <c r="C461" s="874"/>
      <c r="D461" s="874"/>
      <c r="E461" s="874"/>
      <c r="F461" s="906"/>
    </row>
    <row r="462" spans="2:6">
      <c r="B462" s="874"/>
      <c r="C462" s="874"/>
      <c r="D462" s="874"/>
      <c r="E462" s="874"/>
      <c r="F462" s="906"/>
    </row>
    <row r="463" spans="2:6">
      <c r="B463" s="874"/>
      <c r="C463" s="874"/>
      <c r="D463" s="874"/>
      <c r="E463" s="874"/>
      <c r="F463" s="906"/>
    </row>
    <row r="464" spans="2:6">
      <c r="B464" s="874"/>
      <c r="C464" s="874"/>
      <c r="D464" s="874"/>
      <c r="E464" s="874"/>
      <c r="F464" s="906"/>
    </row>
    <row r="465" spans="2:6">
      <c r="B465" s="874"/>
      <c r="C465" s="874"/>
      <c r="D465" s="874"/>
      <c r="E465" s="874"/>
      <c r="F465" s="906"/>
    </row>
    <row r="466" spans="2:6">
      <c r="B466" s="874"/>
      <c r="C466" s="874"/>
      <c r="D466" s="874"/>
      <c r="E466" s="874"/>
      <c r="F466" s="906"/>
    </row>
    <row r="467" spans="2:6">
      <c r="B467" s="874"/>
      <c r="C467" s="874"/>
      <c r="D467" s="874"/>
      <c r="E467" s="874"/>
      <c r="F467" s="906"/>
    </row>
    <row r="468" spans="2:6">
      <c r="B468" s="874"/>
      <c r="C468" s="874"/>
      <c r="D468" s="874"/>
      <c r="E468" s="874"/>
      <c r="F468" s="906"/>
    </row>
    <row r="469" spans="2:6">
      <c r="B469" s="874"/>
      <c r="C469" s="874"/>
      <c r="D469" s="874"/>
      <c r="E469" s="874"/>
      <c r="F469" s="906"/>
    </row>
    <row r="470" spans="2:6">
      <c r="B470" s="874"/>
      <c r="C470" s="874"/>
      <c r="D470" s="874"/>
      <c r="E470" s="874"/>
      <c r="F470" s="906"/>
    </row>
    <row r="471" spans="2:6">
      <c r="B471" s="874"/>
      <c r="C471" s="874"/>
      <c r="D471" s="874"/>
      <c r="E471" s="874"/>
      <c r="F471" s="906"/>
    </row>
    <row r="472" spans="2:6">
      <c r="B472" s="874"/>
      <c r="C472" s="874"/>
      <c r="D472" s="874"/>
      <c r="E472" s="874"/>
      <c r="F472" s="906"/>
    </row>
    <row r="473" spans="2:6">
      <c r="B473" s="874"/>
      <c r="C473" s="874"/>
      <c r="D473" s="874"/>
      <c r="E473" s="874"/>
      <c r="F473" s="906"/>
    </row>
    <row r="474" spans="2:6">
      <c r="B474" s="874"/>
      <c r="C474" s="874"/>
      <c r="D474" s="874"/>
      <c r="E474" s="874"/>
      <c r="F474" s="906"/>
    </row>
    <row r="475" spans="2:6">
      <c r="B475" s="874"/>
      <c r="C475" s="874"/>
      <c r="D475" s="874"/>
      <c r="E475" s="874"/>
      <c r="F475" s="906"/>
    </row>
    <row r="476" spans="2:6">
      <c r="B476" s="874"/>
      <c r="C476" s="874"/>
      <c r="D476" s="874"/>
      <c r="E476" s="874"/>
      <c r="F476" s="906"/>
    </row>
    <row r="477" spans="2:6">
      <c r="B477" s="874"/>
      <c r="C477" s="874"/>
      <c r="D477" s="874"/>
      <c r="E477" s="874"/>
      <c r="F477" s="906"/>
    </row>
    <row r="478" spans="2:6">
      <c r="B478" s="874"/>
      <c r="C478" s="874"/>
      <c r="D478" s="874"/>
      <c r="E478" s="874"/>
      <c r="F478" s="906"/>
    </row>
    <row r="479" spans="2:6">
      <c r="B479" s="874"/>
      <c r="C479" s="874"/>
      <c r="D479" s="874"/>
      <c r="E479" s="874"/>
      <c r="F479" s="906"/>
    </row>
    <row r="480" spans="2:6">
      <c r="B480" s="874"/>
      <c r="C480" s="874"/>
      <c r="D480" s="874"/>
      <c r="E480" s="874"/>
      <c r="F480" s="906"/>
    </row>
    <row r="481" spans="2:6">
      <c r="B481" s="874"/>
      <c r="C481" s="874"/>
      <c r="D481" s="874"/>
      <c r="E481" s="874"/>
      <c r="F481" s="906"/>
    </row>
    <row r="482" spans="2:6">
      <c r="B482" s="874"/>
      <c r="C482" s="874"/>
      <c r="D482" s="874"/>
      <c r="E482" s="874"/>
      <c r="F482" s="906"/>
    </row>
    <row r="483" spans="2:6">
      <c r="B483" s="874"/>
      <c r="C483" s="874"/>
      <c r="D483" s="874"/>
      <c r="E483" s="874"/>
      <c r="F483" s="906"/>
    </row>
    <row r="484" spans="2:6">
      <c r="B484" s="874"/>
      <c r="C484" s="874"/>
      <c r="D484" s="874"/>
      <c r="E484" s="874"/>
      <c r="F484" s="906"/>
    </row>
    <row r="485" spans="2:6">
      <c r="B485" s="874"/>
      <c r="C485" s="874"/>
      <c r="D485" s="874"/>
      <c r="E485" s="874"/>
      <c r="F485" s="906"/>
    </row>
    <row r="486" spans="2:6">
      <c r="B486" s="874"/>
      <c r="C486" s="874"/>
      <c r="D486" s="874"/>
      <c r="E486" s="874"/>
      <c r="F486" s="906"/>
    </row>
    <row r="487" spans="2:6">
      <c r="B487" s="874"/>
      <c r="C487" s="874"/>
      <c r="D487" s="874"/>
      <c r="E487" s="874"/>
      <c r="F487" s="906"/>
    </row>
    <row r="488" spans="2:6">
      <c r="B488" s="874"/>
      <c r="C488" s="874"/>
      <c r="D488" s="874"/>
      <c r="E488" s="874"/>
      <c r="F488" s="906"/>
    </row>
    <row r="489" spans="2:6">
      <c r="B489" s="874"/>
      <c r="C489" s="874"/>
      <c r="D489" s="874"/>
      <c r="E489" s="874"/>
      <c r="F489" s="906"/>
    </row>
    <row r="490" spans="2:6">
      <c r="B490" s="874"/>
      <c r="C490" s="874"/>
      <c r="D490" s="874"/>
      <c r="E490" s="874"/>
      <c r="F490" s="906"/>
    </row>
    <row r="491" spans="2:6">
      <c r="B491" s="874"/>
      <c r="C491" s="874"/>
      <c r="D491" s="874"/>
      <c r="E491" s="874"/>
      <c r="F491" s="906"/>
    </row>
    <row r="492" spans="2:6">
      <c r="B492" s="874"/>
      <c r="C492" s="874"/>
      <c r="D492" s="874"/>
      <c r="E492" s="874"/>
      <c r="F492" s="906"/>
    </row>
    <row r="493" spans="2:6">
      <c r="B493" s="874"/>
      <c r="C493" s="874"/>
      <c r="D493" s="874"/>
      <c r="E493" s="874"/>
      <c r="F493" s="906"/>
    </row>
    <row r="494" spans="2:6">
      <c r="B494" s="874"/>
      <c r="C494" s="874"/>
      <c r="D494" s="874"/>
      <c r="E494" s="874"/>
      <c r="F494" s="906"/>
    </row>
    <row r="495" spans="2:6">
      <c r="B495" s="874"/>
      <c r="C495" s="874"/>
      <c r="D495" s="874"/>
      <c r="E495" s="874"/>
      <c r="F495" s="906"/>
    </row>
    <row r="496" spans="2:6">
      <c r="B496" s="874"/>
      <c r="C496" s="874"/>
      <c r="D496" s="874"/>
      <c r="E496" s="874"/>
      <c r="F496" s="906"/>
    </row>
    <row r="497" spans="2:6">
      <c r="B497" s="874"/>
      <c r="C497" s="874"/>
      <c r="D497" s="874"/>
      <c r="E497" s="874"/>
      <c r="F497" s="906"/>
    </row>
    <row r="498" spans="2:6">
      <c r="B498" s="874"/>
      <c r="C498" s="874"/>
      <c r="D498" s="874"/>
      <c r="E498" s="874"/>
      <c r="F498" s="906"/>
    </row>
    <row r="499" spans="2:6">
      <c r="B499" s="874"/>
      <c r="C499" s="874"/>
      <c r="D499" s="874"/>
      <c r="E499" s="874"/>
      <c r="F499" s="906"/>
    </row>
    <row r="500" spans="2:6">
      <c r="B500" s="874"/>
      <c r="C500" s="874"/>
      <c r="D500" s="874"/>
      <c r="E500" s="874"/>
      <c r="F500" s="906"/>
    </row>
    <row r="501" spans="2:6">
      <c r="B501" s="874"/>
      <c r="C501" s="874"/>
      <c r="D501" s="874"/>
      <c r="E501" s="874"/>
      <c r="F501" s="906"/>
    </row>
    <row r="502" spans="2:6">
      <c r="B502" s="874"/>
      <c r="C502" s="874"/>
      <c r="D502" s="874"/>
      <c r="E502" s="874"/>
      <c r="F502" s="906"/>
    </row>
    <row r="503" spans="2:6">
      <c r="B503" s="874"/>
      <c r="C503" s="874"/>
      <c r="D503" s="874"/>
      <c r="E503" s="874"/>
      <c r="F503" s="906"/>
    </row>
    <row r="504" spans="2:6">
      <c r="B504" s="874"/>
      <c r="C504" s="874"/>
      <c r="D504" s="874"/>
      <c r="E504" s="874"/>
      <c r="F504" s="906"/>
    </row>
    <row r="505" spans="2:6">
      <c r="B505" s="874"/>
      <c r="C505" s="874"/>
      <c r="D505" s="874"/>
      <c r="E505" s="874"/>
      <c r="F505" s="906"/>
    </row>
    <row r="506" spans="2:6">
      <c r="B506" s="874"/>
      <c r="C506" s="874"/>
      <c r="D506" s="874"/>
      <c r="E506" s="874"/>
      <c r="F506" s="906"/>
    </row>
    <row r="507" spans="2:6">
      <c r="B507" s="874"/>
      <c r="C507" s="874"/>
      <c r="D507" s="874"/>
      <c r="E507" s="874"/>
      <c r="F507" s="906"/>
    </row>
    <row r="508" spans="2:6">
      <c r="B508" s="874"/>
      <c r="C508" s="874"/>
      <c r="D508" s="874"/>
      <c r="E508" s="874"/>
      <c r="F508" s="906"/>
    </row>
    <row r="509" spans="2:6">
      <c r="B509" s="874"/>
      <c r="C509" s="874"/>
      <c r="D509" s="874"/>
      <c r="E509" s="874"/>
      <c r="F509" s="906"/>
    </row>
    <row r="510" spans="2:6">
      <c r="B510" s="874"/>
      <c r="C510" s="874"/>
      <c r="D510" s="874"/>
      <c r="E510" s="874"/>
      <c r="F510" s="906"/>
    </row>
    <row r="511" spans="2:6">
      <c r="B511" s="874"/>
      <c r="C511" s="874"/>
      <c r="D511" s="874"/>
      <c r="E511" s="874"/>
      <c r="F511" s="906"/>
    </row>
    <row r="512" spans="2:6">
      <c r="B512" s="874"/>
      <c r="C512" s="874"/>
      <c r="D512" s="874"/>
      <c r="E512" s="874"/>
      <c r="F512" s="906"/>
    </row>
    <row r="513" spans="2:6">
      <c r="B513" s="874"/>
      <c r="C513" s="874"/>
      <c r="D513" s="874"/>
      <c r="E513" s="874"/>
      <c r="F513" s="906"/>
    </row>
    <row r="514" spans="2:6">
      <c r="B514" s="874"/>
      <c r="C514" s="874"/>
      <c r="D514" s="874"/>
      <c r="E514" s="874"/>
      <c r="F514" s="906"/>
    </row>
    <row r="515" spans="2:6">
      <c r="B515" s="874"/>
      <c r="C515" s="874"/>
      <c r="D515" s="874"/>
      <c r="E515" s="874"/>
      <c r="F515" s="906"/>
    </row>
    <row r="516" spans="2:6">
      <c r="B516" s="874"/>
      <c r="C516" s="874"/>
      <c r="D516" s="874"/>
      <c r="E516" s="874"/>
      <c r="F516" s="906"/>
    </row>
    <row r="517" spans="2:6">
      <c r="B517" s="874"/>
      <c r="C517" s="874"/>
      <c r="D517" s="874"/>
      <c r="E517" s="874"/>
      <c r="F517" s="906"/>
    </row>
    <row r="518" spans="2:6">
      <c r="B518" s="874"/>
      <c r="C518" s="874"/>
      <c r="D518" s="874"/>
      <c r="E518" s="874"/>
      <c r="F518" s="906"/>
    </row>
    <row r="519" spans="2:6">
      <c r="B519" s="874"/>
      <c r="C519" s="874"/>
      <c r="D519" s="874"/>
      <c r="E519" s="874"/>
      <c r="F519" s="906"/>
    </row>
    <row r="520" spans="2:6">
      <c r="B520" s="874"/>
      <c r="C520" s="874"/>
      <c r="D520" s="874"/>
      <c r="E520" s="874"/>
      <c r="F520" s="906"/>
    </row>
    <row r="521" spans="2:6">
      <c r="B521" s="874"/>
      <c r="C521" s="874"/>
      <c r="D521" s="874"/>
      <c r="E521" s="874"/>
      <c r="F521" s="906"/>
    </row>
    <row r="522" spans="2:6">
      <c r="B522" s="874"/>
      <c r="C522" s="874"/>
      <c r="D522" s="874"/>
      <c r="E522" s="874"/>
      <c r="F522" s="906"/>
    </row>
    <row r="523" spans="2:6">
      <c r="B523" s="874"/>
      <c r="C523" s="874"/>
      <c r="D523" s="874"/>
      <c r="E523" s="874"/>
      <c r="F523" s="906"/>
    </row>
    <row r="524" spans="2:6">
      <c r="B524" s="874"/>
      <c r="C524" s="874"/>
      <c r="D524" s="874"/>
      <c r="E524" s="874"/>
      <c r="F524" s="906"/>
    </row>
    <row r="525" spans="2:6">
      <c r="B525" s="874"/>
      <c r="C525" s="874"/>
      <c r="D525" s="874"/>
      <c r="E525" s="874"/>
      <c r="F525" s="906"/>
    </row>
    <row r="526" spans="2:6">
      <c r="B526" s="874"/>
      <c r="C526" s="874"/>
      <c r="D526" s="874"/>
      <c r="E526" s="874"/>
      <c r="F526" s="906"/>
    </row>
    <row r="527" spans="2:6">
      <c r="B527" s="874"/>
      <c r="C527" s="874"/>
      <c r="D527" s="874"/>
      <c r="E527" s="874"/>
      <c r="F527" s="906"/>
    </row>
    <row r="528" spans="2:6">
      <c r="B528" s="874"/>
      <c r="C528" s="874"/>
      <c r="D528" s="874"/>
      <c r="E528" s="874"/>
      <c r="F528" s="906"/>
    </row>
    <row r="529" spans="2:6">
      <c r="B529" s="874"/>
      <c r="C529" s="874"/>
      <c r="D529" s="874"/>
      <c r="E529" s="874"/>
      <c r="F529" s="906"/>
    </row>
    <row r="530" spans="2:6">
      <c r="B530" s="874"/>
      <c r="C530" s="874"/>
      <c r="D530" s="874"/>
      <c r="E530" s="874"/>
      <c r="F530" s="906"/>
    </row>
    <row r="531" spans="2:6">
      <c r="B531" s="874"/>
      <c r="C531" s="874"/>
      <c r="D531" s="874"/>
      <c r="E531" s="874"/>
      <c r="F531" s="906"/>
    </row>
    <row r="532" spans="2:6">
      <c r="B532" s="874"/>
      <c r="C532" s="874"/>
      <c r="D532" s="874"/>
      <c r="E532" s="874"/>
      <c r="F532" s="906"/>
    </row>
    <row r="533" spans="2:6">
      <c r="B533" s="874"/>
      <c r="C533" s="874"/>
      <c r="D533" s="874"/>
      <c r="E533" s="874"/>
      <c r="F533" s="906"/>
    </row>
    <row r="534" spans="2:6">
      <c r="B534" s="874"/>
      <c r="C534" s="874"/>
      <c r="D534" s="874"/>
      <c r="E534" s="874"/>
      <c r="F534" s="906"/>
    </row>
    <row r="535" spans="2:6">
      <c r="B535" s="874"/>
      <c r="C535" s="874"/>
      <c r="D535" s="874"/>
      <c r="E535" s="874"/>
      <c r="F535" s="906"/>
    </row>
    <row r="536" spans="2:6">
      <c r="B536" s="874"/>
      <c r="C536" s="874"/>
      <c r="D536" s="874"/>
      <c r="E536" s="874"/>
      <c r="F536" s="906"/>
    </row>
    <row r="537" spans="2:6">
      <c r="B537" s="874"/>
      <c r="C537" s="874"/>
      <c r="D537" s="874"/>
      <c r="E537" s="874"/>
      <c r="F537" s="906"/>
    </row>
    <row r="538" spans="2:6">
      <c r="B538" s="874"/>
      <c r="C538" s="874"/>
      <c r="D538" s="874"/>
      <c r="E538" s="874"/>
      <c r="F538" s="906"/>
    </row>
    <row r="539" spans="2:6">
      <c r="B539" s="874"/>
      <c r="C539" s="874"/>
      <c r="D539" s="874"/>
      <c r="E539" s="874"/>
      <c r="F539" s="906"/>
    </row>
    <row r="540" spans="2:6">
      <c r="B540" s="874"/>
      <c r="C540" s="874"/>
      <c r="D540" s="874"/>
      <c r="E540" s="874"/>
      <c r="F540" s="906"/>
    </row>
    <row r="541" spans="2:6">
      <c r="B541" s="874"/>
      <c r="C541" s="874"/>
      <c r="D541" s="874"/>
      <c r="E541" s="874"/>
      <c r="F541" s="906"/>
    </row>
    <row r="542" spans="2:6">
      <c r="B542" s="874"/>
      <c r="C542" s="874"/>
      <c r="D542" s="874"/>
      <c r="E542" s="874"/>
      <c r="F542" s="906"/>
    </row>
    <row r="543" spans="2:6">
      <c r="B543" s="874"/>
      <c r="C543" s="874"/>
      <c r="D543" s="874"/>
      <c r="E543" s="874"/>
      <c r="F543" s="906"/>
    </row>
    <row r="544" spans="2:6">
      <c r="B544" s="874"/>
      <c r="C544" s="874"/>
      <c r="D544" s="874"/>
      <c r="E544" s="874"/>
      <c r="F544" s="906"/>
    </row>
    <row r="545" spans="2:6">
      <c r="B545" s="874"/>
      <c r="C545" s="874"/>
      <c r="D545" s="874"/>
      <c r="E545" s="874"/>
      <c r="F545" s="906"/>
    </row>
    <row r="546" spans="2:6">
      <c r="B546" s="874"/>
      <c r="C546" s="874"/>
      <c r="D546" s="874"/>
      <c r="E546" s="874"/>
      <c r="F546" s="906"/>
    </row>
    <row r="547" spans="2:6">
      <c r="B547" s="874"/>
      <c r="C547" s="874"/>
      <c r="D547" s="874"/>
      <c r="E547" s="874"/>
      <c r="F547" s="906"/>
    </row>
    <row r="548" spans="2:6">
      <c r="B548" s="874"/>
      <c r="C548" s="874"/>
      <c r="D548" s="874"/>
      <c r="E548" s="874"/>
      <c r="F548" s="906"/>
    </row>
    <row r="549" spans="2:6">
      <c r="B549" s="874"/>
      <c r="C549" s="874"/>
      <c r="D549" s="874"/>
      <c r="E549" s="874"/>
      <c r="F549" s="906"/>
    </row>
    <row r="550" spans="2:6">
      <c r="B550" s="874"/>
      <c r="C550" s="874"/>
      <c r="D550" s="874"/>
      <c r="E550" s="874"/>
      <c r="F550" s="906"/>
    </row>
    <row r="551" spans="2:6">
      <c r="B551" s="874"/>
      <c r="C551" s="874"/>
      <c r="D551" s="874"/>
      <c r="E551" s="874"/>
      <c r="F551" s="906"/>
    </row>
    <row r="552" spans="2:6">
      <c r="B552" s="874"/>
      <c r="C552" s="874"/>
      <c r="D552" s="874"/>
      <c r="E552" s="874"/>
      <c r="F552" s="906"/>
    </row>
    <row r="553" spans="2:6">
      <c r="B553" s="874"/>
      <c r="C553" s="874"/>
      <c r="D553" s="874"/>
      <c r="E553" s="874"/>
      <c r="F553" s="906"/>
    </row>
    <row r="554" spans="2:6">
      <c r="B554" s="874"/>
      <c r="C554" s="874"/>
      <c r="D554" s="874"/>
      <c r="E554" s="874"/>
      <c r="F554" s="906"/>
    </row>
    <row r="555" spans="2:6">
      <c r="B555" s="874"/>
      <c r="C555" s="874"/>
      <c r="D555" s="874"/>
      <c r="E555" s="874"/>
      <c r="F555" s="906"/>
    </row>
    <row r="556" spans="2:6">
      <c r="B556" s="874"/>
      <c r="C556" s="874"/>
      <c r="D556" s="874"/>
      <c r="E556" s="874"/>
      <c r="F556" s="906"/>
    </row>
    <row r="557" spans="2:6">
      <c r="B557" s="874"/>
      <c r="C557" s="874"/>
      <c r="D557" s="874"/>
      <c r="E557" s="874"/>
      <c r="F557" s="906"/>
    </row>
    <row r="558" spans="2:6">
      <c r="B558" s="874"/>
      <c r="C558" s="874"/>
      <c r="D558" s="874"/>
      <c r="E558" s="874"/>
      <c r="F558" s="906"/>
    </row>
    <row r="559" spans="2:6">
      <c r="B559" s="874"/>
      <c r="C559" s="874"/>
      <c r="D559" s="874"/>
      <c r="E559" s="874"/>
      <c r="F559" s="906"/>
    </row>
    <row r="560" spans="2:6">
      <c r="B560" s="874"/>
      <c r="C560" s="874"/>
      <c r="D560" s="874"/>
      <c r="E560" s="874"/>
      <c r="F560" s="906"/>
    </row>
    <row r="561" spans="2:6">
      <c r="B561" s="874"/>
      <c r="C561" s="874"/>
      <c r="D561" s="874"/>
      <c r="E561" s="874"/>
      <c r="F561" s="906"/>
    </row>
    <row r="562" spans="2:6">
      <c r="B562" s="874"/>
      <c r="C562" s="874"/>
      <c r="D562" s="874"/>
      <c r="E562" s="874"/>
      <c r="F562" s="906"/>
    </row>
    <row r="563" spans="2:6">
      <c r="B563" s="874"/>
      <c r="C563" s="874"/>
      <c r="D563" s="874"/>
      <c r="E563" s="874"/>
      <c r="F563" s="906"/>
    </row>
    <row r="564" spans="2:6">
      <c r="B564" s="874"/>
      <c r="C564" s="874"/>
      <c r="D564" s="874"/>
      <c r="E564" s="874"/>
      <c r="F564" s="906"/>
    </row>
    <row r="565" spans="2:6">
      <c r="B565" s="874"/>
      <c r="C565" s="874"/>
      <c r="D565" s="874"/>
      <c r="E565" s="874"/>
      <c r="F565" s="906"/>
    </row>
    <row r="566" spans="2:6">
      <c r="B566" s="874"/>
      <c r="C566" s="874"/>
      <c r="D566" s="874"/>
      <c r="E566" s="874"/>
      <c r="F566" s="906"/>
    </row>
    <row r="567" spans="2:6">
      <c r="B567" s="874"/>
      <c r="C567" s="874"/>
      <c r="D567" s="874"/>
      <c r="E567" s="874"/>
      <c r="F567" s="906"/>
    </row>
    <row r="568" spans="2:6">
      <c r="B568" s="874"/>
      <c r="C568" s="874"/>
      <c r="D568" s="874"/>
      <c r="E568" s="874"/>
      <c r="F568" s="906"/>
    </row>
    <row r="569" spans="2:6">
      <c r="B569" s="874"/>
      <c r="C569" s="874"/>
      <c r="D569" s="874"/>
      <c r="E569" s="874"/>
      <c r="F569" s="906"/>
    </row>
    <row r="570" spans="2:6">
      <c r="B570" s="874"/>
      <c r="C570" s="874"/>
      <c r="D570" s="874"/>
      <c r="E570" s="874"/>
      <c r="F570" s="906"/>
    </row>
    <row r="571" spans="2:6">
      <c r="B571" s="874"/>
      <c r="C571" s="874"/>
      <c r="D571" s="874"/>
      <c r="E571" s="874"/>
      <c r="F571" s="906"/>
    </row>
    <row r="572" spans="2:6">
      <c r="B572" s="874"/>
      <c r="C572" s="874"/>
      <c r="D572" s="874"/>
      <c r="E572" s="874"/>
      <c r="F572" s="906"/>
    </row>
    <row r="573" spans="2:6">
      <c r="B573" s="874"/>
      <c r="C573" s="874"/>
      <c r="D573" s="874"/>
      <c r="E573" s="874"/>
      <c r="F573" s="906"/>
    </row>
    <row r="574" spans="2:6">
      <c r="B574" s="874"/>
      <c r="C574" s="874"/>
      <c r="D574" s="874"/>
      <c r="E574" s="874"/>
      <c r="F574" s="906"/>
    </row>
    <row r="575" spans="2:6">
      <c r="B575" s="874"/>
      <c r="C575" s="874"/>
      <c r="D575" s="874"/>
      <c r="E575" s="874"/>
      <c r="F575" s="906"/>
    </row>
    <row r="576" spans="2:6">
      <c r="B576" s="874"/>
      <c r="C576" s="874"/>
      <c r="D576" s="874"/>
      <c r="E576" s="874"/>
      <c r="F576" s="906"/>
    </row>
    <row r="577" spans="2:6">
      <c r="B577" s="874"/>
      <c r="C577" s="874"/>
      <c r="D577" s="874"/>
      <c r="E577" s="874"/>
      <c r="F577" s="906"/>
    </row>
    <row r="578" spans="2:6">
      <c r="B578" s="874"/>
      <c r="C578" s="874"/>
      <c r="D578" s="874"/>
      <c r="E578" s="874"/>
      <c r="F578" s="906"/>
    </row>
    <row r="579" spans="2:6">
      <c r="B579" s="874"/>
      <c r="C579" s="874"/>
      <c r="D579" s="874"/>
      <c r="E579" s="874"/>
      <c r="F579" s="906"/>
    </row>
    <row r="580" spans="2:6">
      <c r="B580" s="874"/>
      <c r="C580" s="874"/>
      <c r="D580" s="874"/>
      <c r="E580" s="874"/>
      <c r="F580" s="906"/>
    </row>
    <row r="581" spans="2:6">
      <c r="B581" s="874"/>
      <c r="C581" s="874"/>
      <c r="D581" s="874"/>
      <c r="E581" s="874"/>
      <c r="F581" s="906"/>
    </row>
    <row r="582" spans="2:6">
      <c r="B582" s="874"/>
      <c r="C582" s="874"/>
      <c r="D582" s="874"/>
      <c r="E582" s="874"/>
      <c r="F582" s="906"/>
    </row>
    <row r="583" spans="2:6">
      <c r="B583" s="874"/>
      <c r="C583" s="874"/>
      <c r="D583" s="874"/>
      <c r="E583" s="874"/>
      <c r="F583" s="906"/>
    </row>
    <row r="584" spans="2:6">
      <c r="B584" s="874"/>
      <c r="C584" s="874"/>
      <c r="D584" s="874"/>
      <c r="E584" s="874"/>
      <c r="F584" s="906"/>
    </row>
    <row r="585" spans="2:6">
      <c r="B585" s="874"/>
      <c r="C585" s="874"/>
      <c r="D585" s="874"/>
      <c r="E585" s="874"/>
      <c r="F585" s="906"/>
    </row>
    <row r="586" spans="2:6">
      <c r="B586" s="874"/>
      <c r="C586" s="874"/>
      <c r="D586" s="874"/>
      <c r="E586" s="874"/>
      <c r="F586" s="906"/>
    </row>
    <row r="587" spans="2:6">
      <c r="B587" s="874"/>
      <c r="C587" s="874"/>
      <c r="D587" s="874"/>
      <c r="E587" s="874"/>
      <c r="F587" s="906"/>
    </row>
    <row r="588" spans="2:6">
      <c r="B588" s="874"/>
      <c r="C588" s="874"/>
      <c r="D588" s="874"/>
      <c r="E588" s="874"/>
      <c r="F588" s="906"/>
    </row>
    <row r="589" spans="2:6">
      <c r="B589" s="874"/>
      <c r="C589" s="874"/>
      <c r="D589" s="874"/>
      <c r="E589" s="874"/>
      <c r="F589" s="906"/>
    </row>
    <row r="590" spans="2:6">
      <c r="B590" s="874"/>
      <c r="C590" s="874"/>
      <c r="D590" s="874"/>
      <c r="E590" s="874"/>
      <c r="F590" s="906"/>
    </row>
    <row r="591" spans="2:6">
      <c r="B591" s="874"/>
      <c r="C591" s="874"/>
      <c r="D591" s="874"/>
      <c r="E591" s="874"/>
      <c r="F591" s="906"/>
    </row>
    <row r="592" spans="2:6">
      <c r="B592" s="874"/>
      <c r="C592" s="874"/>
      <c r="D592" s="874"/>
      <c r="E592" s="874"/>
      <c r="F592" s="906"/>
    </row>
    <row r="593" spans="2:6">
      <c r="B593" s="874"/>
      <c r="C593" s="874"/>
      <c r="D593" s="874"/>
      <c r="E593" s="874"/>
      <c r="F593" s="906"/>
    </row>
    <row r="594" spans="2:6">
      <c r="B594" s="874"/>
      <c r="C594" s="874"/>
      <c r="D594" s="874"/>
      <c r="E594" s="874"/>
      <c r="F594" s="906"/>
    </row>
    <row r="595" spans="2:6">
      <c r="B595" s="874"/>
      <c r="C595" s="874"/>
      <c r="D595" s="874"/>
      <c r="E595" s="874"/>
      <c r="F595" s="906"/>
    </row>
    <row r="596" spans="2:6">
      <c r="B596" s="874"/>
      <c r="C596" s="874"/>
      <c r="D596" s="874"/>
      <c r="E596" s="874"/>
      <c r="F596" s="906"/>
    </row>
    <row r="597" spans="2:6">
      <c r="B597" s="874"/>
      <c r="C597" s="874"/>
      <c r="D597" s="874"/>
      <c r="E597" s="874"/>
      <c r="F597" s="906"/>
    </row>
    <row r="598" spans="2:6">
      <c r="B598" s="874"/>
      <c r="C598" s="874"/>
      <c r="D598" s="874"/>
      <c r="E598" s="874"/>
      <c r="F598" s="906"/>
    </row>
    <row r="599" spans="2:6">
      <c r="B599" s="874"/>
      <c r="C599" s="874"/>
      <c r="D599" s="874"/>
      <c r="E599" s="874"/>
      <c r="F599" s="906"/>
    </row>
    <row r="600" spans="2:6">
      <c r="B600" s="874"/>
      <c r="C600" s="874"/>
      <c r="D600" s="874"/>
      <c r="E600" s="874"/>
      <c r="F600" s="906"/>
    </row>
    <row r="601" spans="2:6">
      <c r="B601" s="874"/>
      <c r="C601" s="874"/>
      <c r="D601" s="874"/>
      <c r="E601" s="874"/>
      <c r="F601" s="906"/>
    </row>
    <row r="602" spans="2:6">
      <c r="B602" s="874"/>
      <c r="C602" s="874"/>
      <c r="D602" s="874"/>
      <c r="E602" s="874"/>
      <c r="F602" s="906"/>
    </row>
    <row r="603" spans="2:6">
      <c r="B603" s="874"/>
      <c r="C603" s="874"/>
      <c r="D603" s="874"/>
      <c r="E603" s="874"/>
      <c r="F603" s="906"/>
    </row>
    <row r="604" spans="2:6">
      <c r="B604" s="874"/>
      <c r="C604" s="874"/>
      <c r="D604" s="874"/>
      <c r="E604" s="874"/>
      <c r="F604" s="906"/>
    </row>
    <row r="605" spans="2:6">
      <c r="B605" s="874"/>
      <c r="C605" s="874"/>
      <c r="D605" s="874"/>
      <c r="E605" s="874"/>
      <c r="F605" s="906"/>
    </row>
    <row r="606" spans="2:6">
      <c r="B606" s="874"/>
      <c r="C606" s="874"/>
      <c r="D606" s="874"/>
      <c r="E606" s="874"/>
      <c r="F606" s="906"/>
    </row>
    <row r="607" spans="2:6">
      <c r="B607" s="874"/>
      <c r="C607" s="874"/>
      <c r="D607" s="874"/>
      <c r="E607" s="874"/>
      <c r="F607" s="906"/>
    </row>
    <row r="608" spans="2:6">
      <c r="B608" s="874"/>
      <c r="C608" s="874"/>
      <c r="D608" s="874"/>
      <c r="E608" s="874"/>
      <c r="F608" s="906"/>
    </row>
    <row r="609" spans="2:6">
      <c r="B609" s="874"/>
      <c r="C609" s="874"/>
      <c r="D609" s="874"/>
      <c r="E609" s="874"/>
      <c r="F609" s="906"/>
    </row>
    <row r="610" spans="2:6">
      <c r="B610" s="874"/>
      <c r="C610" s="874"/>
      <c r="D610" s="874"/>
      <c r="E610" s="874"/>
      <c r="F610" s="906"/>
    </row>
    <row r="611" spans="2:6">
      <c r="B611" s="874"/>
      <c r="C611" s="874"/>
      <c r="D611" s="874"/>
      <c r="E611" s="874"/>
      <c r="F611" s="906"/>
    </row>
    <row r="612" spans="2:6">
      <c r="B612" s="874"/>
      <c r="C612" s="874"/>
      <c r="D612" s="874"/>
      <c r="E612" s="874"/>
      <c r="F612" s="906"/>
    </row>
    <row r="613" spans="2:6">
      <c r="B613" s="874"/>
      <c r="C613" s="874"/>
      <c r="D613" s="874"/>
      <c r="E613" s="874"/>
      <c r="F613" s="906"/>
    </row>
    <row r="614" spans="2:6">
      <c r="B614" s="874"/>
      <c r="C614" s="874"/>
      <c r="D614" s="874"/>
      <c r="E614" s="874"/>
      <c r="F614" s="906"/>
    </row>
    <row r="615" spans="2:6">
      <c r="B615" s="874"/>
      <c r="C615" s="874"/>
      <c r="D615" s="874"/>
      <c r="E615" s="874"/>
      <c r="F615" s="906"/>
    </row>
    <row r="616" spans="2:6">
      <c r="B616" s="874"/>
      <c r="C616" s="874"/>
      <c r="D616" s="874"/>
      <c r="E616" s="874"/>
      <c r="F616" s="906"/>
    </row>
    <row r="617" spans="2:6">
      <c r="B617" s="874"/>
      <c r="C617" s="874"/>
      <c r="D617" s="874"/>
      <c r="E617" s="874"/>
      <c r="F617" s="906"/>
    </row>
    <row r="618" spans="2:6">
      <c r="B618" s="874"/>
      <c r="C618" s="874"/>
      <c r="D618" s="874"/>
      <c r="E618" s="874"/>
      <c r="F618" s="906"/>
    </row>
    <row r="619" spans="2:6">
      <c r="B619" s="874"/>
      <c r="C619" s="874"/>
      <c r="D619" s="874"/>
      <c r="E619" s="874"/>
      <c r="F619" s="906"/>
    </row>
    <row r="620" spans="2:6">
      <c r="B620" s="874"/>
      <c r="C620" s="874"/>
      <c r="D620" s="874"/>
      <c r="E620" s="874"/>
      <c r="F620" s="906"/>
    </row>
    <row r="621" spans="2:6">
      <c r="B621" s="874"/>
      <c r="C621" s="874"/>
      <c r="D621" s="874"/>
      <c r="E621" s="874"/>
      <c r="F621" s="906"/>
    </row>
    <row r="622" spans="2:6">
      <c r="B622" s="874"/>
      <c r="C622" s="874"/>
      <c r="D622" s="874"/>
      <c r="E622" s="874"/>
      <c r="F622" s="906"/>
    </row>
    <row r="623" spans="2:6">
      <c r="B623" s="874"/>
      <c r="C623" s="874"/>
      <c r="D623" s="874"/>
      <c r="E623" s="874"/>
      <c r="F623" s="906"/>
    </row>
    <row r="624" spans="2:6">
      <c r="B624" s="874"/>
      <c r="C624" s="874"/>
      <c r="D624" s="874"/>
      <c r="E624" s="874"/>
      <c r="F624" s="906"/>
    </row>
    <row r="625" spans="2:6">
      <c r="B625" s="874"/>
      <c r="C625" s="874"/>
      <c r="D625" s="874"/>
      <c r="E625" s="874"/>
      <c r="F625" s="906"/>
    </row>
    <row r="626" spans="2:6">
      <c r="B626" s="874"/>
      <c r="C626" s="874"/>
      <c r="D626" s="874"/>
      <c r="E626" s="874"/>
      <c r="F626" s="906"/>
    </row>
    <row r="627" spans="2:6">
      <c r="B627" s="874"/>
      <c r="C627" s="874"/>
      <c r="D627" s="874"/>
      <c r="E627" s="874"/>
      <c r="F627" s="906"/>
    </row>
    <row r="628" spans="2:6">
      <c r="B628" s="874"/>
      <c r="C628" s="874"/>
      <c r="D628" s="874"/>
      <c r="E628" s="874"/>
      <c r="F628" s="906"/>
    </row>
    <row r="629" spans="2:6">
      <c r="B629" s="874"/>
      <c r="C629" s="874"/>
      <c r="D629" s="874"/>
      <c r="E629" s="874"/>
      <c r="F629" s="906"/>
    </row>
    <row r="630" spans="2:6">
      <c r="B630" s="874"/>
      <c r="C630" s="874"/>
      <c r="D630" s="874"/>
      <c r="E630" s="874"/>
      <c r="F630" s="906"/>
    </row>
    <row r="631" spans="2:6">
      <c r="B631" s="874"/>
      <c r="C631" s="874"/>
      <c r="D631" s="874"/>
      <c r="E631" s="874"/>
      <c r="F631" s="906"/>
    </row>
    <row r="632" spans="2:6">
      <c r="B632" s="874"/>
      <c r="C632" s="874"/>
      <c r="D632" s="874"/>
      <c r="E632" s="874"/>
      <c r="F632" s="906"/>
    </row>
    <row r="633" spans="2:6">
      <c r="B633" s="874"/>
      <c r="C633" s="874"/>
      <c r="D633" s="874"/>
      <c r="E633" s="874"/>
      <c r="F633" s="906"/>
    </row>
    <row r="634" spans="2:6">
      <c r="B634" s="874"/>
      <c r="C634" s="874"/>
      <c r="D634" s="874"/>
      <c r="E634" s="874"/>
      <c r="F634" s="906"/>
    </row>
    <row r="635" spans="2:6">
      <c r="B635" s="874"/>
      <c r="C635" s="874"/>
      <c r="D635" s="874"/>
      <c r="E635" s="874"/>
      <c r="F635" s="906"/>
    </row>
    <row r="636" spans="2:6">
      <c r="B636" s="874"/>
      <c r="C636" s="874"/>
      <c r="D636" s="874"/>
      <c r="E636" s="874"/>
      <c r="F636" s="906"/>
    </row>
    <row r="637" spans="2:6">
      <c r="B637" s="874"/>
      <c r="C637" s="874"/>
      <c r="D637" s="874"/>
      <c r="E637" s="874"/>
      <c r="F637" s="906"/>
    </row>
    <row r="638" spans="2:6">
      <c r="B638" s="874"/>
      <c r="C638" s="874"/>
      <c r="D638" s="874"/>
      <c r="E638" s="874"/>
      <c r="F638" s="906"/>
    </row>
    <row r="639" spans="2:6">
      <c r="B639" s="874"/>
      <c r="C639" s="874"/>
      <c r="D639" s="874"/>
      <c r="E639" s="874"/>
      <c r="F639" s="906"/>
    </row>
    <row r="640" spans="2:6">
      <c r="B640" s="874"/>
      <c r="C640" s="874"/>
      <c r="D640" s="874"/>
      <c r="E640" s="874"/>
      <c r="F640" s="906"/>
    </row>
    <row r="641" spans="2:6">
      <c r="B641" s="874"/>
      <c r="C641" s="874"/>
      <c r="D641" s="874"/>
      <c r="E641" s="874"/>
      <c r="F641" s="906"/>
    </row>
    <row r="642" spans="2:6">
      <c r="B642" s="874"/>
      <c r="C642" s="874"/>
      <c r="D642" s="874"/>
      <c r="E642" s="874"/>
      <c r="F642" s="906"/>
    </row>
    <row r="643" spans="2:6">
      <c r="B643" s="874"/>
      <c r="C643" s="874"/>
      <c r="D643" s="874"/>
      <c r="E643" s="874"/>
      <c r="F643" s="906"/>
    </row>
    <row r="644" spans="2:6">
      <c r="B644" s="874"/>
      <c r="C644" s="874"/>
      <c r="D644" s="874"/>
      <c r="E644" s="874"/>
      <c r="F644" s="906"/>
    </row>
    <row r="645" spans="2:6">
      <c r="B645" s="874"/>
      <c r="C645" s="874"/>
      <c r="D645" s="874"/>
      <c r="E645" s="874"/>
      <c r="F645" s="906"/>
    </row>
    <row r="646" spans="2:6">
      <c r="B646" s="874"/>
      <c r="C646" s="874"/>
      <c r="D646" s="874"/>
      <c r="E646" s="874"/>
      <c r="F646" s="906"/>
    </row>
    <row r="647" spans="2:6">
      <c r="B647" s="874"/>
      <c r="C647" s="874"/>
      <c r="D647" s="874"/>
      <c r="E647" s="874"/>
      <c r="F647" s="906"/>
    </row>
    <row r="648" spans="2:6">
      <c r="B648" s="874"/>
      <c r="C648" s="874"/>
      <c r="D648" s="874"/>
      <c r="E648" s="874"/>
      <c r="F648" s="906"/>
    </row>
    <row r="649" spans="2:6">
      <c r="B649" s="874"/>
      <c r="C649" s="874"/>
      <c r="D649" s="874"/>
      <c r="E649" s="874"/>
      <c r="F649" s="906"/>
    </row>
    <row r="650" spans="2:6">
      <c r="B650" s="874"/>
      <c r="C650" s="874"/>
      <c r="D650" s="874"/>
      <c r="E650" s="874"/>
      <c r="F650" s="906"/>
    </row>
    <row r="651" spans="2:6">
      <c r="B651" s="874"/>
      <c r="C651" s="874"/>
      <c r="D651" s="874"/>
      <c r="E651" s="874"/>
      <c r="F651" s="906"/>
    </row>
    <row r="652" spans="2:6">
      <c r="B652" s="874"/>
      <c r="C652" s="874"/>
      <c r="D652" s="874"/>
      <c r="E652" s="874"/>
      <c r="F652" s="906"/>
    </row>
    <row r="653" spans="2:6">
      <c r="B653" s="874"/>
      <c r="C653" s="874"/>
      <c r="D653" s="874"/>
      <c r="E653" s="874"/>
      <c r="F653" s="906"/>
    </row>
    <row r="654" spans="2:6">
      <c r="B654" s="874"/>
      <c r="C654" s="874"/>
      <c r="D654" s="874"/>
      <c r="E654" s="874"/>
      <c r="F654" s="906"/>
    </row>
    <row r="655" spans="2:6">
      <c r="B655" s="874"/>
      <c r="C655" s="874"/>
      <c r="D655" s="874"/>
      <c r="E655" s="874"/>
      <c r="F655" s="906"/>
    </row>
    <row r="656" spans="2:6">
      <c r="B656" s="874"/>
      <c r="C656" s="874"/>
      <c r="D656" s="874"/>
      <c r="E656" s="874"/>
      <c r="F656" s="906"/>
    </row>
    <row r="657" spans="2:6">
      <c r="B657" s="874"/>
      <c r="C657" s="874"/>
      <c r="D657" s="874"/>
      <c r="E657" s="874"/>
      <c r="F657" s="906"/>
    </row>
    <row r="658" spans="2:6">
      <c r="B658" s="874"/>
      <c r="C658" s="874"/>
      <c r="D658" s="874"/>
      <c r="E658" s="874"/>
      <c r="F658" s="906"/>
    </row>
    <row r="659" spans="2:6">
      <c r="B659" s="874"/>
      <c r="C659" s="874"/>
      <c r="D659" s="874"/>
      <c r="E659" s="874"/>
      <c r="F659" s="906"/>
    </row>
    <row r="660" spans="2:6">
      <c r="B660" s="874"/>
      <c r="C660" s="874"/>
      <c r="D660" s="874"/>
      <c r="E660" s="874"/>
      <c r="F660" s="906"/>
    </row>
    <row r="661" spans="2:6">
      <c r="B661" s="874"/>
      <c r="C661" s="874"/>
      <c r="D661" s="874"/>
      <c r="E661" s="874"/>
      <c r="F661" s="906"/>
    </row>
    <row r="662" spans="2:6">
      <c r="B662" s="874"/>
      <c r="C662" s="874"/>
      <c r="D662" s="874"/>
      <c r="E662" s="874"/>
      <c r="F662" s="906"/>
    </row>
    <row r="663" spans="2:6">
      <c r="B663" s="874"/>
      <c r="C663" s="874"/>
      <c r="D663" s="874"/>
      <c r="E663" s="874"/>
      <c r="F663" s="906"/>
    </row>
    <row r="664" spans="2:6">
      <c r="B664" s="874"/>
      <c r="C664" s="874"/>
      <c r="D664" s="874"/>
      <c r="E664" s="874"/>
      <c r="F664" s="906"/>
    </row>
    <row r="665" spans="2:6">
      <c r="B665" s="874"/>
      <c r="C665" s="874"/>
      <c r="D665" s="874"/>
      <c r="E665" s="874"/>
      <c r="F665" s="906"/>
    </row>
    <row r="666" spans="2:6">
      <c r="B666" s="874"/>
      <c r="C666" s="874"/>
      <c r="D666" s="874"/>
      <c r="E666" s="874"/>
      <c r="F666" s="906"/>
    </row>
    <row r="667" spans="2:6">
      <c r="B667" s="874"/>
      <c r="C667" s="874"/>
      <c r="D667" s="874"/>
      <c r="E667" s="874"/>
      <c r="F667" s="906"/>
    </row>
    <row r="668" spans="2:6">
      <c r="B668" s="874"/>
      <c r="C668" s="874"/>
      <c r="D668" s="874"/>
      <c r="E668" s="874"/>
      <c r="F668" s="906"/>
    </row>
    <row r="669" spans="2:6">
      <c r="B669" s="874"/>
      <c r="C669" s="874"/>
      <c r="D669" s="874"/>
      <c r="E669" s="874"/>
      <c r="F669" s="906"/>
    </row>
    <row r="670" spans="2:6">
      <c r="B670" s="874"/>
      <c r="C670" s="874"/>
      <c r="D670" s="874"/>
      <c r="E670" s="874"/>
      <c r="F670" s="906"/>
    </row>
    <row r="671" spans="2:6">
      <c r="B671" s="874"/>
      <c r="C671" s="874"/>
      <c r="D671" s="874"/>
      <c r="E671" s="874"/>
      <c r="F671" s="906"/>
    </row>
    <row r="672" spans="2:6">
      <c r="B672" s="874"/>
      <c r="C672" s="874"/>
      <c r="D672" s="874"/>
      <c r="E672" s="874"/>
      <c r="F672" s="906"/>
    </row>
    <row r="673" spans="2:6">
      <c r="B673" s="874"/>
      <c r="C673" s="874"/>
      <c r="D673" s="874"/>
      <c r="E673" s="874"/>
      <c r="F673" s="906"/>
    </row>
    <row r="674" spans="2:6">
      <c r="B674" s="874"/>
      <c r="C674" s="874"/>
      <c r="D674" s="874"/>
      <c r="E674" s="874"/>
      <c r="F674" s="906"/>
    </row>
    <row r="675" spans="2:6">
      <c r="B675" s="874"/>
      <c r="C675" s="874"/>
      <c r="D675" s="874"/>
      <c r="E675" s="874"/>
      <c r="F675" s="906"/>
    </row>
    <row r="676" spans="2:6">
      <c r="B676" s="874"/>
      <c r="C676" s="874"/>
      <c r="D676" s="874"/>
      <c r="E676" s="874"/>
      <c r="F676" s="906"/>
    </row>
    <row r="677" spans="2:6">
      <c r="B677" s="874"/>
      <c r="C677" s="874"/>
      <c r="D677" s="874"/>
      <c r="E677" s="874"/>
      <c r="F677" s="906"/>
    </row>
    <row r="678" spans="2:6">
      <c r="B678" s="874"/>
      <c r="C678" s="874"/>
      <c r="D678" s="874"/>
      <c r="E678" s="874"/>
      <c r="F678" s="906"/>
    </row>
    <row r="679" spans="2:6">
      <c r="B679" s="874"/>
      <c r="C679" s="874"/>
      <c r="D679" s="874"/>
      <c r="E679" s="874"/>
      <c r="F679" s="906"/>
    </row>
    <row r="680" spans="2:6">
      <c r="B680" s="874"/>
      <c r="C680" s="874"/>
      <c r="D680" s="874"/>
      <c r="E680" s="874"/>
      <c r="F680" s="906"/>
    </row>
    <row r="681" spans="2:6">
      <c r="B681" s="874"/>
      <c r="C681" s="874"/>
      <c r="D681" s="874"/>
      <c r="E681" s="874"/>
      <c r="F681" s="906"/>
    </row>
    <row r="682" spans="2:6">
      <c r="B682" s="874"/>
      <c r="C682" s="874"/>
      <c r="D682" s="874"/>
      <c r="E682" s="874"/>
      <c r="F682" s="906"/>
    </row>
    <row r="683" spans="2:6">
      <c r="B683" s="874"/>
      <c r="C683" s="874"/>
      <c r="D683" s="874"/>
      <c r="E683" s="874"/>
      <c r="F683" s="906"/>
    </row>
    <row r="684" spans="2:6">
      <c r="B684" s="874"/>
      <c r="C684" s="874"/>
      <c r="D684" s="874"/>
      <c r="E684" s="874"/>
      <c r="F684" s="906"/>
    </row>
    <row r="685" spans="2:6">
      <c r="B685" s="874"/>
      <c r="C685" s="874"/>
      <c r="D685" s="874"/>
      <c r="E685" s="874"/>
      <c r="F685" s="906"/>
    </row>
    <row r="686" spans="2:6">
      <c r="B686" s="874"/>
      <c r="C686" s="874"/>
      <c r="D686" s="874"/>
      <c r="E686" s="874"/>
      <c r="F686" s="906"/>
    </row>
    <row r="687" spans="2:6">
      <c r="B687" s="874"/>
      <c r="C687" s="874"/>
      <c r="D687" s="874"/>
      <c r="E687" s="874"/>
      <c r="F687" s="906"/>
    </row>
    <row r="688" spans="2:6">
      <c r="B688" s="874"/>
      <c r="C688" s="874"/>
      <c r="D688" s="874"/>
      <c r="E688" s="874"/>
      <c r="F688" s="906"/>
    </row>
    <row r="689" spans="2:6">
      <c r="B689" s="874"/>
      <c r="C689" s="874"/>
      <c r="D689" s="874"/>
      <c r="E689" s="874"/>
      <c r="F689" s="906"/>
    </row>
    <row r="690" spans="2:6">
      <c r="B690" s="874"/>
      <c r="C690" s="874"/>
      <c r="D690" s="874"/>
      <c r="E690" s="874"/>
      <c r="F690" s="906"/>
    </row>
    <row r="691" spans="2:6">
      <c r="B691" s="874"/>
      <c r="C691" s="874"/>
      <c r="D691" s="874"/>
      <c r="E691" s="874"/>
      <c r="F691" s="906"/>
    </row>
    <row r="692" spans="2:6">
      <c r="B692" s="874"/>
      <c r="C692" s="874"/>
      <c r="D692" s="874"/>
      <c r="E692" s="874"/>
      <c r="F692" s="906"/>
    </row>
    <row r="693" spans="2:6">
      <c r="B693" s="874"/>
      <c r="C693" s="874"/>
      <c r="D693" s="874"/>
      <c r="E693" s="874"/>
      <c r="F693" s="906"/>
    </row>
    <row r="694" spans="2:6">
      <c r="B694" s="874"/>
      <c r="C694" s="874"/>
      <c r="D694" s="874"/>
      <c r="E694" s="874"/>
      <c r="F694" s="906"/>
    </row>
    <row r="695" spans="2:6">
      <c r="B695" s="874"/>
      <c r="C695" s="874"/>
      <c r="D695" s="874"/>
      <c r="E695" s="874"/>
      <c r="F695" s="906"/>
    </row>
    <row r="696" spans="2:6">
      <c r="B696" s="874"/>
      <c r="C696" s="874"/>
      <c r="D696" s="874"/>
      <c r="E696" s="874"/>
      <c r="F696" s="906"/>
    </row>
    <row r="697" spans="2:6">
      <c r="B697" s="874"/>
      <c r="C697" s="874"/>
      <c r="D697" s="874"/>
      <c r="E697" s="874"/>
      <c r="F697" s="906"/>
    </row>
    <row r="698" spans="2:6">
      <c r="B698" s="874"/>
      <c r="C698" s="874"/>
      <c r="D698" s="874"/>
      <c r="E698" s="874"/>
      <c r="F698" s="906"/>
    </row>
    <row r="699" spans="2:6">
      <c r="B699" s="874"/>
      <c r="C699" s="874"/>
      <c r="D699" s="874"/>
      <c r="E699" s="874"/>
      <c r="F699" s="906"/>
    </row>
    <row r="700" spans="2:6">
      <c r="B700" s="874"/>
      <c r="C700" s="874"/>
      <c r="D700" s="874"/>
      <c r="E700" s="874"/>
      <c r="F700" s="906"/>
    </row>
    <row r="701" spans="2:6">
      <c r="B701" s="874"/>
      <c r="C701" s="874"/>
      <c r="D701" s="874"/>
      <c r="E701" s="874"/>
      <c r="F701" s="906"/>
    </row>
    <row r="702" spans="2:6">
      <c r="B702" s="874"/>
      <c r="C702" s="874"/>
      <c r="D702" s="874"/>
      <c r="E702" s="874"/>
      <c r="F702" s="906"/>
    </row>
    <row r="703" spans="2:6">
      <c r="B703" s="874"/>
      <c r="C703" s="874"/>
      <c r="D703" s="874"/>
      <c r="E703" s="874"/>
      <c r="F703" s="906"/>
    </row>
    <row r="704" spans="2:6">
      <c r="B704" s="874"/>
      <c r="C704" s="874"/>
      <c r="D704" s="874"/>
      <c r="E704" s="874"/>
      <c r="F704" s="906"/>
    </row>
    <row r="705" spans="2:6">
      <c r="B705" s="874"/>
      <c r="C705" s="874"/>
      <c r="D705" s="874"/>
      <c r="E705" s="874"/>
      <c r="F705" s="906"/>
    </row>
    <row r="706" spans="2:6">
      <c r="B706" s="874"/>
      <c r="C706" s="874"/>
      <c r="D706" s="874"/>
      <c r="E706" s="874"/>
      <c r="F706" s="906"/>
    </row>
    <row r="707" spans="2:6">
      <c r="B707" s="874"/>
      <c r="C707" s="874"/>
      <c r="D707" s="874"/>
      <c r="E707" s="874"/>
      <c r="F707" s="906"/>
    </row>
    <row r="708" spans="2:6">
      <c r="B708" s="874"/>
      <c r="C708" s="874"/>
      <c r="D708" s="874"/>
      <c r="E708" s="874"/>
      <c r="F708" s="906"/>
    </row>
    <row r="709" spans="2:6">
      <c r="B709" s="874"/>
      <c r="C709" s="874"/>
      <c r="D709" s="874"/>
      <c r="E709" s="874"/>
      <c r="F709" s="906"/>
    </row>
    <row r="710" spans="2:6">
      <c r="B710" s="874"/>
      <c r="C710" s="874"/>
      <c r="D710" s="874"/>
      <c r="E710" s="874"/>
      <c r="F710" s="906"/>
    </row>
    <row r="711" spans="2:6">
      <c r="B711" s="874"/>
      <c r="C711" s="874"/>
      <c r="D711" s="874"/>
      <c r="E711" s="874"/>
      <c r="F711" s="906"/>
    </row>
    <row r="712" spans="2:6">
      <c r="B712" s="874"/>
      <c r="C712" s="874"/>
      <c r="D712" s="874"/>
      <c r="E712" s="874"/>
      <c r="F712" s="906"/>
    </row>
    <row r="713" spans="2:6">
      <c r="B713" s="874"/>
      <c r="C713" s="874"/>
      <c r="D713" s="874"/>
      <c r="E713" s="874"/>
      <c r="F713" s="906"/>
    </row>
    <row r="714" spans="2:6">
      <c r="B714" s="874"/>
      <c r="C714" s="874"/>
      <c r="D714" s="874"/>
      <c r="E714" s="874"/>
      <c r="F714" s="906"/>
    </row>
    <row r="715" spans="2:6">
      <c r="B715" s="874"/>
      <c r="C715" s="874"/>
      <c r="D715" s="874"/>
      <c r="E715" s="874"/>
      <c r="F715" s="906"/>
    </row>
    <row r="716" spans="2:6">
      <c r="B716" s="874"/>
      <c r="C716" s="874"/>
      <c r="D716" s="874"/>
      <c r="E716" s="874"/>
      <c r="F716" s="906"/>
    </row>
    <row r="717" spans="2:6">
      <c r="B717" s="874"/>
      <c r="C717" s="874"/>
      <c r="D717" s="874"/>
      <c r="E717" s="874"/>
      <c r="F717" s="906"/>
    </row>
    <row r="718" spans="2:6">
      <c r="B718" s="874"/>
      <c r="C718" s="874"/>
      <c r="D718" s="874"/>
      <c r="E718" s="874"/>
      <c r="F718" s="906"/>
    </row>
    <row r="719" spans="2:6">
      <c r="B719" s="874"/>
      <c r="C719" s="874"/>
      <c r="D719" s="874"/>
      <c r="E719" s="874"/>
      <c r="F719" s="906"/>
    </row>
    <row r="720" spans="2:6">
      <c r="B720" s="874"/>
      <c r="C720" s="874"/>
      <c r="D720" s="874"/>
      <c r="E720" s="874"/>
      <c r="F720" s="906"/>
    </row>
    <row r="721" spans="2:6">
      <c r="B721" s="874"/>
      <c r="C721" s="874"/>
      <c r="D721" s="874"/>
      <c r="E721" s="874"/>
      <c r="F721" s="906"/>
    </row>
    <row r="722" spans="2:6">
      <c r="B722" s="874"/>
      <c r="C722" s="874"/>
      <c r="D722" s="874"/>
      <c r="E722" s="874"/>
      <c r="F722" s="906"/>
    </row>
    <row r="723" spans="2:6">
      <c r="B723" s="874"/>
      <c r="C723" s="874"/>
      <c r="D723" s="874"/>
      <c r="E723" s="874"/>
      <c r="F723" s="906"/>
    </row>
    <row r="724" spans="2:6">
      <c r="B724" s="874"/>
      <c r="C724" s="874"/>
      <c r="D724" s="874"/>
      <c r="E724" s="874"/>
      <c r="F724" s="906"/>
    </row>
    <row r="725" spans="2:6">
      <c r="B725" s="874"/>
      <c r="C725" s="874"/>
      <c r="D725" s="874"/>
      <c r="E725" s="874"/>
      <c r="F725" s="906"/>
    </row>
    <row r="726" spans="2:6">
      <c r="B726" s="874"/>
      <c r="C726" s="874"/>
      <c r="D726" s="874"/>
      <c r="E726" s="874"/>
      <c r="F726" s="906"/>
    </row>
    <row r="727" spans="2:6">
      <c r="B727" s="874"/>
      <c r="C727" s="874"/>
      <c r="D727" s="874"/>
      <c r="E727" s="874"/>
      <c r="F727" s="906"/>
    </row>
    <row r="728" spans="2:6">
      <c r="B728" s="874"/>
      <c r="C728" s="874"/>
      <c r="D728" s="874"/>
      <c r="E728" s="874"/>
      <c r="F728" s="906"/>
    </row>
    <row r="729" spans="2:6">
      <c r="B729" s="874"/>
      <c r="C729" s="874"/>
      <c r="D729" s="874"/>
      <c r="E729" s="874"/>
      <c r="F729" s="906"/>
    </row>
    <row r="730" spans="2:6">
      <c r="B730" s="874"/>
      <c r="C730" s="874"/>
      <c r="D730" s="874"/>
      <c r="E730" s="874"/>
      <c r="F730" s="906"/>
    </row>
    <row r="731" spans="2:6">
      <c r="B731" s="874"/>
      <c r="C731" s="874"/>
      <c r="D731" s="874"/>
      <c r="E731" s="874"/>
      <c r="F731" s="906"/>
    </row>
    <row r="732" spans="2:6">
      <c r="B732" s="874"/>
      <c r="C732" s="874"/>
      <c r="D732" s="874"/>
      <c r="E732" s="874"/>
      <c r="F732" s="906"/>
    </row>
    <row r="733" spans="2:6">
      <c r="B733" s="874"/>
      <c r="C733" s="874"/>
      <c r="D733" s="874"/>
      <c r="E733" s="874"/>
      <c r="F733" s="906"/>
    </row>
    <row r="734" spans="2:6">
      <c r="B734" s="874"/>
      <c r="C734" s="874"/>
      <c r="D734" s="874"/>
      <c r="E734" s="874"/>
      <c r="F734" s="906"/>
    </row>
    <row r="735" spans="2:6">
      <c r="B735" s="874"/>
      <c r="C735" s="874"/>
      <c r="D735" s="874"/>
      <c r="E735" s="874"/>
      <c r="F735" s="906"/>
    </row>
    <row r="736" spans="2:6">
      <c r="B736" s="874"/>
      <c r="C736" s="874"/>
      <c r="D736" s="874"/>
      <c r="E736" s="874"/>
      <c r="F736" s="906"/>
    </row>
    <row r="737" spans="2:6">
      <c r="B737" s="874"/>
      <c r="C737" s="874"/>
      <c r="D737" s="874"/>
      <c r="E737" s="874"/>
      <c r="F737" s="906"/>
    </row>
    <row r="738" spans="2:6">
      <c r="B738" s="874"/>
      <c r="C738" s="874"/>
      <c r="D738" s="874"/>
      <c r="E738" s="874"/>
      <c r="F738" s="906"/>
    </row>
    <row r="739" spans="2:6">
      <c r="B739" s="874"/>
      <c r="C739" s="874"/>
      <c r="D739" s="874"/>
      <c r="E739" s="874"/>
      <c r="F739" s="906"/>
    </row>
    <row r="740" spans="2:6">
      <c r="B740" s="874"/>
      <c r="C740" s="874"/>
      <c r="D740" s="874"/>
      <c r="E740" s="874"/>
      <c r="F740" s="906"/>
    </row>
    <row r="741" spans="2:6">
      <c r="B741" s="874"/>
      <c r="C741" s="874"/>
      <c r="D741" s="874"/>
      <c r="E741" s="874"/>
      <c r="F741" s="906"/>
    </row>
    <row r="742" spans="2:6">
      <c r="B742" s="874"/>
      <c r="C742" s="874"/>
      <c r="D742" s="874"/>
      <c r="E742" s="874"/>
      <c r="F742" s="906"/>
    </row>
    <row r="743" spans="2:6">
      <c r="B743" s="874"/>
      <c r="C743" s="874"/>
      <c r="D743" s="874"/>
      <c r="E743" s="874"/>
      <c r="F743" s="906"/>
    </row>
    <row r="744" spans="2:6">
      <c r="B744" s="874"/>
      <c r="C744" s="874"/>
      <c r="D744" s="874"/>
      <c r="E744" s="874"/>
      <c r="F744" s="906"/>
    </row>
    <row r="745" spans="2:6">
      <c r="B745" s="874"/>
      <c r="C745" s="874"/>
      <c r="D745" s="874"/>
      <c r="E745" s="874"/>
      <c r="F745" s="906"/>
    </row>
    <row r="746" spans="2:6">
      <c r="B746" s="874"/>
      <c r="C746" s="874"/>
      <c r="D746" s="874"/>
      <c r="E746" s="874"/>
      <c r="F746" s="906"/>
    </row>
    <row r="747" spans="2:6">
      <c r="B747" s="874"/>
      <c r="C747" s="874"/>
      <c r="D747" s="874"/>
      <c r="E747" s="874"/>
      <c r="F747" s="906"/>
    </row>
    <row r="748" spans="2:6">
      <c r="B748" s="874"/>
      <c r="C748" s="874"/>
      <c r="D748" s="874"/>
      <c r="E748" s="874"/>
      <c r="F748" s="906"/>
    </row>
    <row r="749" spans="2:6">
      <c r="B749" s="874"/>
      <c r="C749" s="874"/>
      <c r="D749" s="874"/>
      <c r="E749" s="874"/>
      <c r="F749" s="906"/>
    </row>
    <row r="750" spans="2:6">
      <c r="B750" s="874"/>
      <c r="C750" s="874"/>
      <c r="D750" s="874"/>
      <c r="E750" s="874"/>
      <c r="F750" s="906"/>
    </row>
    <row r="751" spans="2:6">
      <c r="B751" s="874"/>
      <c r="C751" s="874"/>
      <c r="D751" s="874"/>
      <c r="E751" s="874"/>
      <c r="F751" s="906"/>
    </row>
    <row r="752" spans="2:6">
      <c r="B752" s="874"/>
      <c r="C752" s="874"/>
      <c r="D752" s="874"/>
      <c r="E752" s="874"/>
      <c r="F752" s="906"/>
    </row>
    <row r="753" spans="2:6">
      <c r="B753" s="874"/>
      <c r="C753" s="874"/>
      <c r="D753" s="874"/>
      <c r="E753" s="874"/>
      <c r="F753" s="906"/>
    </row>
    <row r="754" spans="2:6">
      <c r="B754" s="874"/>
      <c r="C754" s="874"/>
      <c r="D754" s="874"/>
      <c r="E754" s="874"/>
      <c r="F754" s="906"/>
    </row>
    <row r="755" spans="2:6">
      <c r="B755" s="874"/>
      <c r="C755" s="874"/>
      <c r="D755" s="874"/>
      <c r="E755" s="874"/>
      <c r="F755" s="906"/>
    </row>
    <row r="756" spans="2:6">
      <c r="B756" s="874"/>
      <c r="C756" s="874"/>
      <c r="D756" s="874"/>
      <c r="E756" s="874"/>
      <c r="F756" s="906"/>
    </row>
    <row r="757" spans="2:6">
      <c r="B757" s="874"/>
      <c r="C757" s="874"/>
      <c r="D757" s="874"/>
      <c r="E757" s="874"/>
      <c r="F757" s="906"/>
    </row>
    <row r="758" spans="2:6">
      <c r="B758" s="874"/>
      <c r="C758" s="874"/>
      <c r="D758" s="874"/>
      <c r="E758" s="874"/>
      <c r="F758" s="906"/>
    </row>
    <row r="759" spans="2:6">
      <c r="B759" s="874"/>
      <c r="C759" s="874"/>
      <c r="D759" s="874"/>
      <c r="E759" s="874"/>
      <c r="F759" s="906"/>
    </row>
    <row r="760" spans="2:6">
      <c r="B760" s="874"/>
      <c r="C760" s="874"/>
      <c r="D760" s="874"/>
      <c r="E760" s="874"/>
      <c r="F760" s="906"/>
    </row>
    <row r="761" spans="2:6">
      <c r="B761" s="874"/>
      <c r="C761" s="874"/>
      <c r="D761" s="874"/>
      <c r="E761" s="874"/>
      <c r="F761" s="906"/>
    </row>
    <row r="762" spans="2:6">
      <c r="B762" s="874"/>
      <c r="C762" s="874"/>
      <c r="D762" s="874"/>
      <c r="E762" s="874"/>
      <c r="F762" s="906"/>
    </row>
    <row r="763" spans="2:6">
      <c r="B763" s="874"/>
      <c r="C763" s="874"/>
      <c r="D763" s="874"/>
      <c r="E763" s="874"/>
      <c r="F763" s="906"/>
    </row>
    <row r="764" spans="2:6">
      <c r="B764" s="874"/>
      <c r="C764" s="874"/>
      <c r="D764" s="874"/>
      <c r="E764" s="874"/>
      <c r="F764" s="906"/>
    </row>
    <row r="765" spans="2:6">
      <c r="B765" s="874"/>
      <c r="C765" s="874"/>
      <c r="D765" s="874"/>
      <c r="E765" s="874"/>
      <c r="F765" s="906"/>
    </row>
    <row r="766" spans="2:6">
      <c r="B766" s="874"/>
      <c r="C766" s="874"/>
      <c r="D766" s="874"/>
      <c r="E766" s="874"/>
      <c r="F766" s="906"/>
    </row>
    <row r="767" spans="2:6">
      <c r="B767" s="874"/>
      <c r="C767" s="874"/>
      <c r="D767" s="874"/>
      <c r="E767" s="874"/>
      <c r="F767" s="906"/>
    </row>
    <row r="768" spans="2:6">
      <c r="B768" s="874"/>
      <c r="C768" s="874"/>
      <c r="D768" s="874"/>
      <c r="E768" s="874"/>
      <c r="F768" s="906"/>
    </row>
    <row r="769" spans="2:6">
      <c r="B769" s="874"/>
      <c r="C769" s="874"/>
      <c r="D769" s="874"/>
      <c r="E769" s="874"/>
      <c r="F769" s="906"/>
    </row>
    <row r="770" spans="2:6">
      <c r="B770" s="874"/>
      <c r="C770" s="874"/>
      <c r="D770" s="874"/>
      <c r="E770" s="874"/>
      <c r="F770" s="906"/>
    </row>
    <row r="771" spans="2:6">
      <c r="B771" s="874"/>
      <c r="C771" s="874"/>
      <c r="D771" s="874"/>
      <c r="E771" s="874"/>
      <c r="F771" s="906"/>
    </row>
    <row r="772" spans="2:6">
      <c r="B772" s="874"/>
      <c r="C772" s="874"/>
      <c r="D772" s="874"/>
      <c r="E772" s="874"/>
      <c r="F772" s="906"/>
    </row>
    <row r="773" spans="2:6">
      <c r="B773" s="874"/>
      <c r="C773" s="874"/>
      <c r="D773" s="874"/>
      <c r="E773" s="874"/>
      <c r="F773" s="906"/>
    </row>
    <row r="774" spans="2:6">
      <c r="B774" s="874"/>
      <c r="C774" s="874"/>
      <c r="D774" s="874"/>
      <c r="E774" s="874"/>
      <c r="F774" s="906"/>
    </row>
    <row r="775" spans="2:6">
      <c r="B775" s="874"/>
      <c r="C775" s="874"/>
      <c r="D775" s="874"/>
      <c r="E775" s="874"/>
      <c r="F775" s="906"/>
    </row>
    <row r="776" spans="2:6">
      <c r="B776" s="874"/>
      <c r="C776" s="874"/>
      <c r="D776" s="874"/>
      <c r="E776" s="874"/>
      <c r="F776" s="906"/>
    </row>
    <row r="777" spans="2:6">
      <c r="B777" s="874"/>
      <c r="C777" s="874"/>
      <c r="D777" s="874"/>
      <c r="E777" s="874"/>
      <c r="F777" s="906"/>
    </row>
    <row r="778" spans="2:6">
      <c r="B778" s="874"/>
      <c r="C778" s="874"/>
      <c r="D778" s="874"/>
      <c r="E778" s="874"/>
      <c r="F778" s="906"/>
    </row>
    <row r="779" spans="2:6">
      <c r="B779" s="874"/>
      <c r="C779" s="874"/>
      <c r="D779" s="874"/>
      <c r="E779" s="874"/>
      <c r="F779" s="906"/>
    </row>
    <row r="780" spans="2:6">
      <c r="B780" s="874"/>
      <c r="C780" s="874"/>
      <c r="D780" s="874"/>
      <c r="E780" s="874"/>
      <c r="F780" s="906"/>
    </row>
    <row r="781" spans="2:6">
      <c r="B781" s="874"/>
      <c r="C781" s="874"/>
      <c r="D781" s="874"/>
      <c r="E781" s="874"/>
      <c r="F781" s="906"/>
    </row>
    <row r="782" spans="2:6">
      <c r="B782" s="874"/>
      <c r="C782" s="874"/>
      <c r="D782" s="874"/>
      <c r="E782" s="874"/>
      <c r="F782" s="906"/>
    </row>
    <row r="783" spans="2:6">
      <c r="B783" s="874"/>
      <c r="C783" s="874"/>
      <c r="D783" s="874"/>
      <c r="E783" s="874"/>
      <c r="F783" s="906"/>
    </row>
    <row r="784" spans="2:6">
      <c r="B784" s="874"/>
      <c r="C784" s="874"/>
      <c r="D784" s="874"/>
      <c r="E784" s="874"/>
      <c r="F784" s="906"/>
    </row>
    <row r="785" spans="2:6">
      <c r="B785" s="874"/>
      <c r="C785" s="874"/>
      <c r="D785" s="874"/>
      <c r="E785" s="874"/>
      <c r="F785" s="906"/>
    </row>
    <row r="786" spans="2:6">
      <c r="B786" s="874"/>
      <c r="C786" s="874"/>
      <c r="D786" s="874"/>
      <c r="E786" s="874"/>
      <c r="F786" s="906"/>
    </row>
    <row r="787" spans="2:6">
      <c r="B787" s="874"/>
      <c r="C787" s="874"/>
      <c r="D787" s="874"/>
      <c r="E787" s="874"/>
      <c r="F787" s="906"/>
    </row>
    <row r="788" spans="2:6">
      <c r="B788" s="874"/>
      <c r="C788" s="874"/>
      <c r="D788" s="874"/>
      <c r="E788" s="874"/>
      <c r="F788" s="906"/>
    </row>
    <row r="789" spans="2:6">
      <c r="B789" s="874"/>
      <c r="C789" s="874"/>
      <c r="D789" s="874"/>
      <c r="E789" s="874"/>
      <c r="F789" s="906"/>
    </row>
    <row r="790" spans="2:6">
      <c r="B790" s="874"/>
      <c r="C790" s="874"/>
      <c r="D790" s="874"/>
      <c r="E790" s="874"/>
      <c r="F790" s="906"/>
    </row>
    <row r="791" spans="2:6">
      <c r="B791" s="874"/>
      <c r="C791" s="874"/>
      <c r="D791" s="874"/>
      <c r="E791" s="874"/>
      <c r="F791" s="906"/>
    </row>
    <row r="792" spans="2:6">
      <c r="B792" s="874"/>
      <c r="C792" s="874"/>
      <c r="D792" s="874"/>
      <c r="E792" s="874"/>
      <c r="F792" s="906"/>
    </row>
    <row r="793" spans="2:6">
      <c r="B793" s="874"/>
      <c r="C793" s="874"/>
      <c r="D793" s="874"/>
      <c r="E793" s="874"/>
      <c r="F793" s="906"/>
    </row>
    <row r="794" spans="2:6">
      <c r="B794" s="874"/>
      <c r="C794" s="874"/>
      <c r="D794" s="874"/>
      <c r="E794" s="874"/>
      <c r="F794" s="906"/>
    </row>
    <row r="795" spans="2:6">
      <c r="B795" s="874"/>
      <c r="C795" s="874"/>
      <c r="D795" s="874"/>
      <c r="E795" s="874"/>
      <c r="F795" s="906"/>
    </row>
    <row r="796" spans="2:6">
      <c r="B796" s="874"/>
      <c r="C796" s="874"/>
      <c r="D796" s="874"/>
      <c r="E796" s="874"/>
      <c r="F796" s="906"/>
    </row>
    <row r="797" spans="2:6">
      <c r="B797" s="874"/>
      <c r="C797" s="874"/>
      <c r="D797" s="874"/>
      <c r="E797" s="874"/>
      <c r="F797" s="906"/>
    </row>
    <row r="798" spans="2:6">
      <c r="B798" s="874"/>
      <c r="C798" s="874"/>
      <c r="D798" s="874"/>
      <c r="E798" s="874"/>
      <c r="F798" s="906"/>
    </row>
    <row r="799" spans="2:6">
      <c r="B799" s="874"/>
      <c r="C799" s="874"/>
      <c r="D799" s="874"/>
      <c r="E799" s="874"/>
      <c r="F799" s="906"/>
    </row>
    <row r="800" spans="2:6">
      <c r="B800" s="874"/>
      <c r="C800" s="874"/>
      <c r="D800" s="874"/>
      <c r="E800" s="874"/>
      <c r="F800" s="906"/>
    </row>
    <row r="801" spans="2:6">
      <c r="B801" s="874"/>
      <c r="C801" s="874"/>
      <c r="D801" s="874"/>
      <c r="E801" s="874"/>
      <c r="F801" s="906"/>
    </row>
    <row r="802" spans="2:6">
      <c r="B802" s="874"/>
      <c r="C802" s="874"/>
      <c r="D802" s="874"/>
      <c r="E802" s="874"/>
      <c r="F802" s="906"/>
    </row>
    <row r="803" spans="2:6">
      <c r="B803" s="874"/>
      <c r="C803" s="874"/>
      <c r="D803" s="874"/>
      <c r="E803" s="874"/>
      <c r="F803" s="906"/>
    </row>
    <row r="804" spans="2:6">
      <c r="B804" s="874"/>
      <c r="C804" s="874"/>
      <c r="D804" s="874"/>
      <c r="E804" s="874"/>
      <c r="F804" s="906"/>
    </row>
    <row r="805" spans="2:6">
      <c r="B805" s="874"/>
      <c r="C805" s="874"/>
      <c r="D805" s="874"/>
      <c r="E805" s="874"/>
      <c r="F805" s="906"/>
    </row>
    <row r="806" spans="2:6">
      <c r="B806" s="874"/>
      <c r="C806" s="874"/>
      <c r="D806" s="874"/>
      <c r="E806" s="874"/>
      <c r="F806" s="906"/>
    </row>
    <row r="807" spans="2:6">
      <c r="B807" s="874"/>
      <c r="C807" s="874"/>
      <c r="D807" s="874"/>
      <c r="E807" s="874"/>
      <c r="F807" s="906"/>
    </row>
    <row r="808" spans="2:6">
      <c r="B808" s="874"/>
      <c r="C808" s="874"/>
      <c r="D808" s="874"/>
      <c r="E808" s="874"/>
      <c r="F808" s="906"/>
    </row>
    <row r="809" spans="2:6">
      <c r="B809" s="874"/>
      <c r="C809" s="874"/>
      <c r="D809" s="874"/>
      <c r="E809" s="874"/>
      <c r="F809" s="906"/>
    </row>
    <row r="810" spans="2:6">
      <c r="B810" s="874"/>
      <c r="C810" s="874"/>
      <c r="D810" s="874"/>
      <c r="E810" s="874"/>
      <c r="F810" s="906"/>
    </row>
    <row r="811" spans="2:6">
      <c r="B811" s="874"/>
      <c r="C811" s="874"/>
      <c r="D811" s="874"/>
      <c r="E811" s="874"/>
      <c r="F811" s="906"/>
    </row>
    <row r="812" spans="2:6">
      <c r="B812" s="874"/>
      <c r="C812" s="874"/>
      <c r="D812" s="874"/>
      <c r="E812" s="874"/>
      <c r="F812" s="906"/>
    </row>
    <row r="813" spans="2:6">
      <c r="B813" s="874"/>
      <c r="C813" s="874"/>
      <c r="D813" s="874"/>
      <c r="E813" s="874"/>
      <c r="F813" s="906"/>
    </row>
    <row r="814" spans="2:6">
      <c r="B814" s="874"/>
      <c r="C814" s="874"/>
      <c r="D814" s="874"/>
      <c r="E814" s="874"/>
      <c r="F814" s="906"/>
    </row>
    <row r="815" spans="2:6">
      <c r="B815" s="874"/>
      <c r="C815" s="874"/>
      <c r="D815" s="874"/>
      <c r="E815" s="874"/>
      <c r="F815" s="906"/>
    </row>
    <row r="816" spans="2:6">
      <c r="B816" s="874"/>
      <c r="C816" s="874"/>
      <c r="D816" s="874"/>
      <c r="E816" s="874"/>
      <c r="F816" s="906"/>
    </row>
    <row r="817" spans="2:6">
      <c r="B817" s="874"/>
      <c r="C817" s="874"/>
      <c r="D817" s="874"/>
      <c r="E817" s="874"/>
      <c r="F817" s="906"/>
    </row>
    <row r="818" spans="2:6">
      <c r="B818" s="874"/>
      <c r="C818" s="874"/>
      <c r="D818" s="874"/>
      <c r="E818" s="874"/>
      <c r="F818" s="906"/>
    </row>
    <row r="819" spans="2:6">
      <c r="B819" s="874"/>
      <c r="C819" s="874"/>
      <c r="D819" s="874"/>
      <c r="E819" s="874"/>
      <c r="F819" s="906"/>
    </row>
    <row r="820" spans="2:6">
      <c r="B820" s="874"/>
      <c r="C820" s="874"/>
      <c r="D820" s="874"/>
      <c r="E820" s="874"/>
      <c r="F820" s="906"/>
    </row>
    <row r="821" spans="2:6">
      <c r="B821" s="874"/>
      <c r="C821" s="874"/>
      <c r="D821" s="874"/>
      <c r="E821" s="874"/>
      <c r="F821" s="906"/>
    </row>
    <row r="822" spans="2:6">
      <c r="B822" s="874"/>
      <c r="C822" s="874"/>
      <c r="D822" s="874"/>
      <c r="E822" s="874"/>
      <c r="F822" s="906"/>
    </row>
    <row r="823" spans="2:6">
      <c r="B823" s="874"/>
      <c r="C823" s="874"/>
      <c r="D823" s="874"/>
      <c r="E823" s="874"/>
      <c r="F823" s="906"/>
    </row>
    <row r="824" spans="2:6">
      <c r="B824" s="874"/>
      <c r="C824" s="874"/>
      <c r="D824" s="874"/>
      <c r="E824" s="874"/>
      <c r="F824" s="906"/>
    </row>
    <row r="825" spans="2:6">
      <c r="B825" s="874"/>
      <c r="C825" s="874"/>
      <c r="D825" s="874"/>
      <c r="E825" s="874"/>
      <c r="F825" s="906"/>
    </row>
    <row r="826" spans="2:6">
      <c r="B826" s="874"/>
      <c r="C826" s="874"/>
      <c r="D826" s="874"/>
      <c r="E826" s="874"/>
      <c r="F826" s="906"/>
    </row>
    <row r="827" spans="2:6">
      <c r="B827" s="874"/>
      <c r="C827" s="874"/>
      <c r="D827" s="874"/>
      <c r="E827" s="874"/>
      <c r="F827" s="906"/>
    </row>
    <row r="828" spans="2:6">
      <c r="B828" s="874"/>
      <c r="C828" s="874"/>
      <c r="D828" s="874"/>
      <c r="E828" s="874"/>
      <c r="F828" s="906"/>
    </row>
    <row r="829" spans="2:6">
      <c r="B829" s="874"/>
      <c r="C829" s="874"/>
      <c r="D829" s="874"/>
      <c r="E829" s="874"/>
      <c r="F829" s="906"/>
    </row>
    <row r="830" spans="2:6">
      <c r="B830" s="874"/>
      <c r="C830" s="874"/>
      <c r="D830" s="874"/>
      <c r="E830" s="874"/>
      <c r="F830" s="906"/>
    </row>
    <row r="831" spans="2:6">
      <c r="B831" s="874"/>
      <c r="C831" s="874"/>
      <c r="D831" s="874"/>
      <c r="E831" s="874"/>
      <c r="F831" s="906"/>
    </row>
    <row r="832" spans="2:6">
      <c r="B832" s="874"/>
      <c r="C832" s="874"/>
      <c r="D832" s="874"/>
      <c r="E832" s="874"/>
      <c r="F832" s="906"/>
    </row>
    <row r="833" spans="2:6">
      <c r="B833" s="874"/>
      <c r="C833" s="874"/>
      <c r="D833" s="874"/>
      <c r="E833" s="874"/>
      <c r="F833" s="906"/>
    </row>
    <row r="834" spans="2:6">
      <c r="B834" s="874"/>
      <c r="C834" s="874"/>
      <c r="D834" s="874"/>
      <c r="E834" s="874"/>
      <c r="F834" s="906"/>
    </row>
    <row r="835" spans="2:6">
      <c r="B835" s="874"/>
      <c r="C835" s="874"/>
      <c r="D835" s="874"/>
      <c r="E835" s="874"/>
      <c r="F835" s="906"/>
    </row>
    <row r="836" spans="2:6">
      <c r="B836" s="874"/>
      <c r="C836" s="874"/>
      <c r="D836" s="874"/>
      <c r="E836" s="874"/>
      <c r="F836" s="906"/>
    </row>
    <row r="837" spans="2:6">
      <c r="B837" s="874"/>
      <c r="C837" s="874"/>
      <c r="D837" s="874"/>
      <c r="E837" s="874"/>
      <c r="F837" s="906"/>
    </row>
    <row r="838" spans="2:6">
      <c r="B838" s="874"/>
      <c r="C838" s="874"/>
      <c r="D838" s="874"/>
      <c r="E838" s="874"/>
      <c r="F838" s="906"/>
    </row>
    <row r="839" spans="2:6">
      <c r="B839" s="874"/>
      <c r="C839" s="874"/>
      <c r="D839" s="874"/>
      <c r="E839" s="874"/>
      <c r="F839" s="906"/>
    </row>
    <row r="840" spans="2:6">
      <c r="B840" s="874"/>
      <c r="C840" s="874"/>
      <c r="D840" s="874"/>
      <c r="E840" s="874"/>
      <c r="F840" s="906"/>
    </row>
    <row r="841" spans="2:6">
      <c r="B841" s="874"/>
      <c r="C841" s="874"/>
      <c r="D841" s="874"/>
      <c r="E841" s="874"/>
      <c r="F841" s="906"/>
    </row>
    <row r="842" spans="2:6">
      <c r="B842" s="874"/>
      <c r="C842" s="874"/>
      <c r="D842" s="874"/>
      <c r="E842" s="874"/>
      <c r="F842" s="906"/>
    </row>
    <row r="843" spans="2:6">
      <c r="B843" s="874"/>
      <c r="C843" s="874"/>
      <c r="D843" s="874"/>
      <c r="E843" s="874"/>
      <c r="F843" s="906"/>
    </row>
    <row r="844" spans="2:6">
      <c r="B844" s="874"/>
      <c r="C844" s="874"/>
      <c r="D844" s="874"/>
      <c r="E844" s="874"/>
      <c r="F844" s="906"/>
    </row>
    <row r="845" spans="2:6">
      <c r="B845" s="874"/>
      <c r="C845" s="874"/>
      <c r="D845" s="874"/>
      <c r="E845" s="874"/>
      <c r="F845" s="906"/>
    </row>
    <row r="846" spans="2:6">
      <c r="B846" s="874"/>
      <c r="C846" s="874"/>
      <c r="D846" s="874"/>
      <c r="E846" s="874"/>
      <c r="F846" s="906"/>
    </row>
    <row r="847" spans="2:6">
      <c r="B847" s="874"/>
      <c r="C847" s="874"/>
      <c r="D847" s="874"/>
      <c r="E847" s="874"/>
      <c r="F847" s="906"/>
    </row>
    <row r="848" spans="2:6">
      <c r="B848" s="874"/>
      <c r="C848" s="874"/>
      <c r="D848" s="874"/>
      <c r="E848" s="874"/>
      <c r="F848" s="906"/>
    </row>
    <row r="849" spans="2:6">
      <c r="B849" s="874"/>
      <c r="C849" s="874"/>
      <c r="D849" s="874"/>
      <c r="E849" s="874"/>
      <c r="F849" s="906"/>
    </row>
    <row r="850" spans="2:6">
      <c r="B850" s="874"/>
      <c r="C850" s="874"/>
      <c r="D850" s="874"/>
      <c r="E850" s="874"/>
      <c r="F850" s="906"/>
    </row>
    <row r="851" spans="2:6">
      <c r="B851" s="874"/>
      <c r="C851" s="874"/>
      <c r="D851" s="874"/>
      <c r="E851" s="874"/>
      <c r="F851" s="906"/>
    </row>
    <row r="852" spans="2:6">
      <c r="B852" s="874"/>
      <c r="C852" s="874"/>
      <c r="D852" s="874"/>
      <c r="E852" s="874"/>
      <c r="F852" s="906"/>
    </row>
    <row r="853" spans="2:6">
      <c r="B853" s="874"/>
      <c r="C853" s="874"/>
      <c r="D853" s="874"/>
      <c r="E853" s="874"/>
      <c r="F853" s="906"/>
    </row>
    <row r="854" spans="2:6">
      <c r="B854" s="874"/>
      <c r="C854" s="874"/>
      <c r="D854" s="874"/>
      <c r="E854" s="874"/>
      <c r="F854" s="906"/>
    </row>
    <row r="855" spans="2:6">
      <c r="B855" s="874"/>
      <c r="C855" s="874"/>
      <c r="D855" s="874"/>
      <c r="E855" s="874"/>
      <c r="F855" s="906"/>
    </row>
    <row r="856" spans="2:6">
      <c r="B856" s="874"/>
      <c r="C856" s="874"/>
      <c r="D856" s="874"/>
      <c r="E856" s="874"/>
      <c r="F856" s="906"/>
    </row>
    <row r="857" spans="2:6">
      <c r="B857" s="874"/>
      <c r="C857" s="874"/>
      <c r="D857" s="874"/>
      <c r="E857" s="874"/>
      <c r="F857" s="906"/>
    </row>
    <row r="858" spans="2:6">
      <c r="B858" s="874"/>
      <c r="C858" s="874"/>
      <c r="D858" s="874"/>
      <c r="E858" s="874"/>
      <c r="F858" s="906"/>
    </row>
    <row r="859" spans="2:6">
      <c r="B859" s="874"/>
      <c r="C859" s="874"/>
      <c r="D859" s="874"/>
      <c r="E859" s="874"/>
      <c r="F859" s="906"/>
    </row>
    <row r="860" spans="2:6">
      <c r="B860" s="874"/>
      <c r="C860" s="874"/>
      <c r="D860" s="874"/>
      <c r="E860" s="874"/>
      <c r="F860" s="906"/>
    </row>
    <row r="861" spans="2:6">
      <c r="B861" s="874"/>
      <c r="C861" s="874"/>
      <c r="D861" s="874"/>
      <c r="E861" s="874"/>
      <c r="F861" s="906"/>
    </row>
    <row r="862" spans="2:6">
      <c r="B862" s="874"/>
      <c r="C862" s="874"/>
      <c r="D862" s="874"/>
      <c r="E862" s="874"/>
      <c r="F862" s="906"/>
    </row>
    <row r="863" spans="2:6">
      <c r="B863" s="874"/>
      <c r="C863" s="874"/>
      <c r="D863" s="874"/>
      <c r="E863" s="874"/>
      <c r="F863" s="906"/>
    </row>
    <row r="864" spans="2:6">
      <c r="B864" s="874"/>
      <c r="C864" s="874"/>
      <c r="D864" s="874"/>
      <c r="E864" s="874"/>
      <c r="F864" s="906"/>
    </row>
    <row r="865" spans="2:6">
      <c r="B865" s="874"/>
      <c r="C865" s="874"/>
      <c r="D865" s="874"/>
      <c r="E865" s="874"/>
      <c r="F865" s="906"/>
    </row>
    <row r="866" spans="2:6">
      <c r="B866" s="874"/>
      <c r="C866" s="874"/>
      <c r="D866" s="874"/>
      <c r="E866" s="874"/>
      <c r="F866" s="906"/>
    </row>
    <row r="867" spans="2:6">
      <c r="B867" s="874"/>
      <c r="C867" s="874"/>
      <c r="D867" s="874"/>
      <c r="E867" s="874"/>
      <c r="F867" s="906"/>
    </row>
    <row r="868" spans="2:6">
      <c r="B868" s="874"/>
      <c r="C868" s="874"/>
      <c r="D868" s="874"/>
      <c r="E868" s="874"/>
      <c r="F868" s="906"/>
    </row>
    <row r="869" spans="2:6">
      <c r="B869" s="874"/>
      <c r="C869" s="874"/>
      <c r="D869" s="874"/>
      <c r="E869" s="874"/>
      <c r="F869" s="906"/>
    </row>
    <row r="870" spans="2:6">
      <c r="B870" s="874"/>
      <c r="C870" s="874"/>
      <c r="D870" s="874"/>
      <c r="E870" s="874"/>
      <c r="F870" s="906"/>
    </row>
    <row r="871" spans="2:6">
      <c r="B871" s="874"/>
      <c r="C871" s="874"/>
      <c r="D871" s="874"/>
      <c r="E871" s="874"/>
      <c r="F871" s="906"/>
    </row>
    <row r="872" spans="2:6">
      <c r="B872" s="874"/>
      <c r="C872" s="874"/>
      <c r="D872" s="874"/>
      <c r="E872" s="874"/>
      <c r="F872" s="906"/>
    </row>
    <row r="873" spans="2:6">
      <c r="B873" s="874"/>
      <c r="C873" s="874"/>
      <c r="D873" s="874"/>
      <c r="E873" s="874"/>
      <c r="F873" s="906"/>
    </row>
    <row r="874" spans="2:6">
      <c r="B874" s="874"/>
      <c r="C874" s="874"/>
      <c r="D874" s="874"/>
      <c r="E874" s="874"/>
      <c r="F874" s="906"/>
    </row>
    <row r="875" spans="2:6">
      <c r="B875" s="874"/>
      <c r="C875" s="874"/>
      <c r="D875" s="874"/>
      <c r="E875" s="874"/>
      <c r="F875" s="906"/>
    </row>
    <row r="876" spans="2:6">
      <c r="B876" s="874"/>
      <c r="C876" s="874"/>
      <c r="D876" s="874"/>
      <c r="E876" s="874"/>
      <c r="F876" s="906"/>
    </row>
    <row r="877" spans="2:6">
      <c r="B877" s="874"/>
      <c r="C877" s="874"/>
      <c r="D877" s="874"/>
      <c r="E877" s="874"/>
      <c r="F877" s="906"/>
    </row>
    <row r="878" spans="2:6">
      <c r="B878" s="874"/>
      <c r="C878" s="874"/>
      <c r="D878" s="874"/>
      <c r="E878" s="874"/>
      <c r="F878" s="906"/>
    </row>
    <row r="879" spans="2:6">
      <c r="B879" s="874"/>
      <c r="C879" s="874"/>
      <c r="D879" s="874"/>
      <c r="E879" s="874"/>
      <c r="F879" s="906"/>
    </row>
    <row r="880" spans="2:6">
      <c r="B880" s="874"/>
      <c r="C880" s="874"/>
      <c r="D880" s="874"/>
      <c r="E880" s="874"/>
      <c r="F880" s="906"/>
    </row>
    <row r="881" spans="2:6">
      <c r="B881" s="874"/>
      <c r="C881" s="874"/>
      <c r="D881" s="874"/>
      <c r="E881" s="874"/>
      <c r="F881" s="906"/>
    </row>
    <row r="882" spans="2:6">
      <c r="B882" s="874"/>
      <c r="C882" s="874"/>
      <c r="D882" s="874"/>
      <c r="E882" s="874"/>
      <c r="F882" s="906"/>
    </row>
    <row r="883" spans="2:6">
      <c r="B883" s="874"/>
      <c r="C883" s="874"/>
      <c r="D883" s="874"/>
      <c r="E883" s="874"/>
      <c r="F883" s="906"/>
    </row>
    <row r="884" spans="2:6">
      <c r="B884" s="874"/>
      <c r="C884" s="874"/>
      <c r="D884" s="874"/>
      <c r="E884" s="874"/>
      <c r="F884" s="906"/>
    </row>
    <row r="885" spans="2:6">
      <c r="B885" s="874"/>
      <c r="C885" s="874"/>
      <c r="D885" s="874"/>
      <c r="E885" s="874"/>
      <c r="F885" s="906"/>
    </row>
    <row r="886" spans="2:6">
      <c r="B886" s="874"/>
      <c r="C886" s="874"/>
      <c r="D886" s="874"/>
      <c r="E886" s="874"/>
      <c r="F886" s="906"/>
    </row>
    <row r="887" spans="2:6">
      <c r="B887" s="874"/>
      <c r="C887" s="874"/>
      <c r="D887" s="874"/>
      <c r="E887" s="874"/>
      <c r="F887" s="906"/>
    </row>
    <row r="888" spans="2:6">
      <c r="B888" s="874"/>
      <c r="C888" s="874"/>
      <c r="D888" s="874"/>
      <c r="E888" s="874"/>
      <c r="F888" s="906"/>
    </row>
    <row r="889" spans="2:6">
      <c r="B889" s="874"/>
      <c r="C889" s="874"/>
      <c r="D889" s="874"/>
      <c r="E889" s="874"/>
      <c r="F889" s="906"/>
    </row>
    <row r="890" spans="2:6">
      <c r="B890" s="874"/>
      <c r="C890" s="874"/>
      <c r="D890" s="874"/>
      <c r="E890" s="874"/>
      <c r="F890" s="906"/>
    </row>
    <row r="891" spans="2:6">
      <c r="B891" s="874"/>
      <c r="C891" s="874"/>
      <c r="D891" s="874"/>
      <c r="E891" s="874"/>
      <c r="F891" s="906"/>
    </row>
    <row r="892" spans="2:6">
      <c r="B892" s="874"/>
      <c r="C892" s="874"/>
      <c r="D892" s="874"/>
      <c r="E892" s="874"/>
      <c r="F892" s="906"/>
    </row>
    <row r="893" spans="2:6">
      <c r="B893" s="874"/>
      <c r="C893" s="874"/>
      <c r="D893" s="874"/>
      <c r="E893" s="874"/>
      <c r="F893" s="906"/>
    </row>
    <row r="894" spans="2:6">
      <c r="B894" s="874"/>
      <c r="C894" s="874"/>
      <c r="D894" s="874"/>
      <c r="E894" s="874"/>
      <c r="F894" s="906"/>
    </row>
    <row r="895" spans="2:6">
      <c r="B895" s="874"/>
      <c r="C895" s="874"/>
      <c r="D895" s="874"/>
      <c r="E895" s="874"/>
      <c r="F895" s="906"/>
    </row>
    <row r="896" spans="2:6">
      <c r="B896" s="874"/>
      <c r="C896" s="874"/>
      <c r="D896" s="874"/>
      <c r="E896" s="874"/>
      <c r="F896" s="906"/>
    </row>
    <row r="897" spans="2:6">
      <c r="B897" s="874"/>
      <c r="C897" s="874"/>
      <c r="D897" s="874"/>
      <c r="E897" s="874"/>
      <c r="F897" s="906"/>
    </row>
    <row r="898" spans="2:6">
      <c r="B898" s="874"/>
      <c r="C898" s="874"/>
      <c r="D898" s="874"/>
      <c r="E898" s="874"/>
      <c r="F898" s="906"/>
    </row>
    <row r="899" spans="2:6">
      <c r="B899" s="874"/>
      <c r="C899" s="874"/>
      <c r="D899" s="874"/>
      <c r="E899" s="874"/>
      <c r="F899" s="906"/>
    </row>
    <row r="900" spans="2:6">
      <c r="B900" s="874"/>
      <c r="C900" s="874"/>
      <c r="D900" s="874"/>
      <c r="E900" s="874"/>
      <c r="F900" s="906"/>
    </row>
    <row r="901" spans="2:6">
      <c r="B901" s="874"/>
      <c r="C901" s="874"/>
      <c r="D901" s="874"/>
      <c r="E901" s="874"/>
      <c r="F901" s="906"/>
    </row>
    <row r="902" spans="2:6">
      <c r="B902" s="874"/>
      <c r="C902" s="874"/>
      <c r="D902" s="874"/>
      <c r="E902" s="874"/>
      <c r="F902" s="906"/>
    </row>
    <row r="903" spans="2:6">
      <c r="B903" s="874"/>
      <c r="C903" s="874"/>
      <c r="D903" s="874"/>
      <c r="E903" s="874"/>
      <c r="F903" s="906"/>
    </row>
    <row r="904" spans="2:6">
      <c r="B904" s="874"/>
      <c r="C904" s="874"/>
      <c r="D904" s="874"/>
      <c r="E904" s="874"/>
      <c r="F904" s="906"/>
    </row>
    <row r="905" spans="2:6">
      <c r="B905" s="874"/>
      <c r="C905" s="874"/>
      <c r="D905" s="874"/>
      <c r="E905" s="874"/>
      <c r="F905" s="906"/>
    </row>
    <row r="906" spans="2:6">
      <c r="B906" s="874"/>
      <c r="C906" s="874"/>
      <c r="D906" s="874"/>
      <c r="E906" s="874"/>
      <c r="F906" s="906"/>
    </row>
    <row r="907" spans="2:6">
      <c r="B907" s="874"/>
      <c r="C907" s="874"/>
      <c r="D907" s="874"/>
      <c r="E907" s="874"/>
      <c r="F907" s="906"/>
    </row>
    <row r="908" spans="2:6">
      <c r="B908" s="874"/>
      <c r="C908" s="874"/>
      <c r="D908" s="874"/>
      <c r="E908" s="874"/>
      <c r="F908" s="906"/>
    </row>
    <row r="909" spans="2:6">
      <c r="B909" s="874"/>
      <c r="C909" s="874"/>
      <c r="D909" s="874"/>
      <c r="E909" s="874"/>
      <c r="F909" s="906"/>
    </row>
    <row r="910" spans="2:6">
      <c r="B910" s="874"/>
      <c r="C910" s="874"/>
      <c r="D910" s="874"/>
      <c r="E910" s="874"/>
      <c r="F910" s="906"/>
    </row>
    <row r="911" spans="2:6">
      <c r="B911" s="874"/>
      <c r="C911" s="874"/>
      <c r="D911" s="874"/>
      <c r="E911" s="874"/>
      <c r="F911" s="906"/>
    </row>
    <row r="912" spans="2:6">
      <c r="B912" s="874"/>
      <c r="C912" s="874"/>
      <c r="D912" s="874"/>
      <c r="E912" s="874"/>
      <c r="F912" s="906"/>
    </row>
    <row r="913" spans="2:6">
      <c r="B913" s="874"/>
      <c r="C913" s="874"/>
      <c r="D913" s="874"/>
      <c r="E913" s="874"/>
      <c r="F913" s="906"/>
    </row>
    <row r="914" spans="2:6">
      <c r="B914" s="874"/>
      <c r="C914" s="874"/>
      <c r="D914" s="874"/>
      <c r="E914" s="874"/>
      <c r="F914" s="906"/>
    </row>
    <row r="915" spans="2:6">
      <c r="B915" s="874"/>
      <c r="C915" s="874"/>
      <c r="D915" s="874"/>
      <c r="E915" s="874"/>
      <c r="F915" s="906"/>
    </row>
    <row r="916" spans="2:6">
      <c r="B916" s="874"/>
      <c r="C916" s="874"/>
      <c r="D916" s="874"/>
      <c r="E916" s="874"/>
      <c r="F916" s="906"/>
    </row>
    <row r="917" spans="2:6">
      <c r="B917" s="874"/>
      <c r="C917" s="874"/>
      <c r="D917" s="874"/>
      <c r="E917" s="874"/>
      <c r="F917" s="906"/>
    </row>
    <row r="918" spans="2:6">
      <c r="B918" s="874"/>
      <c r="C918" s="874"/>
      <c r="D918" s="874"/>
      <c r="E918" s="874"/>
      <c r="F918" s="906"/>
    </row>
    <row r="919" spans="2:6">
      <c r="B919" s="874"/>
      <c r="C919" s="874"/>
      <c r="D919" s="874"/>
      <c r="E919" s="874"/>
      <c r="F919" s="906"/>
    </row>
    <row r="920" spans="2:6">
      <c r="B920" s="874"/>
      <c r="C920" s="874"/>
      <c r="D920" s="874"/>
      <c r="E920" s="874"/>
      <c r="F920" s="906"/>
    </row>
    <row r="921" spans="2:6">
      <c r="B921" s="874"/>
      <c r="C921" s="874"/>
      <c r="D921" s="874"/>
      <c r="E921" s="874"/>
      <c r="F921" s="906"/>
    </row>
    <row r="922" spans="2:6">
      <c r="B922" s="874"/>
      <c r="C922" s="874"/>
      <c r="D922" s="874"/>
      <c r="E922" s="874"/>
      <c r="F922" s="906"/>
    </row>
    <row r="923" spans="2:6">
      <c r="B923" s="874"/>
      <c r="C923" s="874"/>
      <c r="D923" s="874"/>
      <c r="E923" s="874"/>
      <c r="F923" s="906"/>
    </row>
    <row r="924" spans="2:6">
      <c r="B924" s="874"/>
      <c r="C924" s="874"/>
      <c r="D924" s="874"/>
      <c r="E924" s="874"/>
      <c r="F924" s="906"/>
    </row>
    <row r="925" spans="2:6">
      <c r="B925" s="874"/>
      <c r="C925" s="874"/>
      <c r="D925" s="874"/>
      <c r="E925" s="874"/>
      <c r="F925" s="906"/>
    </row>
    <row r="926" spans="2:6">
      <c r="B926" s="874"/>
      <c r="C926" s="874"/>
      <c r="D926" s="874"/>
      <c r="E926" s="874"/>
      <c r="F926" s="906"/>
    </row>
    <row r="927" spans="2:6">
      <c r="B927" s="874"/>
      <c r="C927" s="874"/>
      <c r="D927" s="874"/>
      <c r="E927" s="874"/>
      <c r="F927" s="906"/>
    </row>
    <row r="928" spans="2:6">
      <c r="B928" s="874"/>
      <c r="C928" s="874"/>
      <c r="D928" s="874"/>
      <c r="E928" s="874"/>
      <c r="F928" s="906"/>
    </row>
    <row r="929" spans="2:6">
      <c r="B929" s="874"/>
      <c r="C929" s="874"/>
      <c r="D929" s="874"/>
      <c r="E929" s="874"/>
      <c r="F929" s="906"/>
    </row>
    <row r="930" spans="2:6">
      <c r="B930" s="874"/>
      <c r="C930" s="874"/>
      <c r="D930" s="874"/>
      <c r="E930" s="874"/>
      <c r="F930" s="906"/>
    </row>
    <row r="931" spans="2:6">
      <c r="B931" s="874"/>
      <c r="C931" s="874"/>
      <c r="D931" s="874"/>
      <c r="E931" s="874"/>
      <c r="F931" s="906"/>
    </row>
    <row r="932" spans="2:6">
      <c r="B932" s="874"/>
      <c r="C932" s="874"/>
      <c r="D932" s="874"/>
      <c r="E932" s="874"/>
      <c r="F932" s="906"/>
    </row>
    <row r="933" spans="2:6">
      <c r="B933" s="874"/>
      <c r="C933" s="874"/>
      <c r="D933" s="874"/>
      <c r="E933" s="874"/>
      <c r="F933" s="906"/>
    </row>
    <row r="934" spans="2:6">
      <c r="B934" s="874"/>
      <c r="C934" s="874"/>
      <c r="D934" s="874"/>
      <c r="E934" s="874"/>
      <c r="F934" s="906"/>
    </row>
    <row r="935" spans="2:6">
      <c r="B935" s="874"/>
      <c r="C935" s="874"/>
      <c r="D935" s="874"/>
      <c r="E935" s="874"/>
      <c r="F935" s="906"/>
    </row>
    <row r="936" spans="2:6">
      <c r="B936" s="874"/>
      <c r="C936" s="874"/>
      <c r="D936" s="874"/>
      <c r="E936" s="874"/>
      <c r="F936" s="906"/>
    </row>
    <row r="937" spans="2:6">
      <c r="B937" s="874"/>
      <c r="C937" s="874"/>
      <c r="D937" s="874"/>
      <c r="E937" s="874"/>
      <c r="F937" s="906"/>
    </row>
    <row r="938" spans="2:6">
      <c r="B938" s="874"/>
      <c r="C938" s="874"/>
      <c r="D938" s="874"/>
      <c r="E938" s="874"/>
      <c r="F938" s="906"/>
    </row>
    <row r="939" spans="2:6">
      <c r="B939" s="874"/>
      <c r="C939" s="874"/>
      <c r="D939" s="874"/>
      <c r="E939" s="874"/>
      <c r="F939" s="906"/>
    </row>
    <row r="940" spans="2:6">
      <c r="B940" s="874"/>
      <c r="C940" s="874"/>
      <c r="D940" s="874"/>
      <c r="E940" s="874"/>
      <c r="F940" s="906"/>
    </row>
    <row r="941" spans="2:6">
      <c r="B941" s="874"/>
      <c r="C941" s="874"/>
      <c r="D941" s="874"/>
      <c r="E941" s="874"/>
      <c r="F941" s="906"/>
    </row>
    <row r="942" spans="2:6">
      <c r="B942" s="874"/>
      <c r="C942" s="874"/>
      <c r="D942" s="874"/>
      <c r="E942" s="874"/>
      <c r="F942" s="906"/>
    </row>
    <row r="943" spans="2:6">
      <c r="B943" s="874"/>
      <c r="C943" s="874"/>
      <c r="D943" s="874"/>
      <c r="E943" s="874"/>
      <c r="F943" s="906"/>
    </row>
    <row r="944" spans="2:6">
      <c r="B944" s="874"/>
      <c r="C944" s="874"/>
      <c r="D944" s="874"/>
      <c r="E944" s="874"/>
      <c r="F944" s="906"/>
    </row>
    <row r="945" spans="2:6">
      <c r="B945" s="874"/>
      <c r="C945" s="874"/>
      <c r="D945" s="874"/>
      <c r="E945" s="874"/>
      <c r="F945" s="906"/>
    </row>
    <row r="946" spans="2:6">
      <c r="B946" s="874"/>
      <c r="C946" s="874"/>
      <c r="D946" s="874"/>
      <c r="E946" s="874"/>
      <c r="F946" s="906"/>
    </row>
    <row r="947" spans="2:6">
      <c r="B947" s="874"/>
      <c r="C947" s="874"/>
      <c r="D947" s="874"/>
      <c r="E947" s="874"/>
      <c r="F947" s="906"/>
    </row>
    <row r="948" spans="2:6">
      <c r="B948" s="874"/>
      <c r="C948" s="874"/>
      <c r="D948" s="874"/>
      <c r="E948" s="874"/>
      <c r="F948" s="906"/>
    </row>
    <row r="949" spans="2:6">
      <c r="B949" s="874"/>
      <c r="C949" s="874"/>
      <c r="D949" s="874"/>
      <c r="E949" s="874"/>
      <c r="F949" s="906"/>
    </row>
    <row r="950" spans="2:6">
      <c r="B950" s="874"/>
      <c r="C950" s="874"/>
      <c r="D950" s="874"/>
      <c r="E950" s="874"/>
      <c r="F950" s="906"/>
    </row>
    <row r="951" spans="2:6">
      <c r="B951" s="874"/>
      <c r="C951" s="874"/>
      <c r="D951" s="874"/>
      <c r="E951" s="874"/>
      <c r="F951" s="906"/>
    </row>
    <row r="952" spans="2:6">
      <c r="B952" s="874"/>
      <c r="C952" s="874"/>
      <c r="D952" s="874"/>
      <c r="E952" s="874"/>
      <c r="F952" s="906"/>
    </row>
    <row r="953" spans="2:6">
      <c r="B953" s="874"/>
      <c r="C953" s="874"/>
      <c r="D953" s="874"/>
      <c r="E953" s="874"/>
      <c r="F953" s="906"/>
    </row>
    <row r="954" spans="2:6">
      <c r="B954" s="874"/>
      <c r="C954" s="874"/>
      <c r="D954" s="874"/>
      <c r="E954" s="874"/>
      <c r="F954" s="906"/>
    </row>
    <row r="955" spans="2:6">
      <c r="B955" s="874"/>
      <c r="C955" s="874"/>
      <c r="D955" s="874"/>
      <c r="E955" s="874"/>
      <c r="F955" s="906"/>
    </row>
    <row r="956" spans="2:6">
      <c r="B956" s="874"/>
      <c r="C956" s="874"/>
      <c r="D956" s="874"/>
      <c r="E956" s="874"/>
      <c r="F956" s="906"/>
    </row>
    <row r="957" spans="2:6">
      <c r="B957" s="874"/>
      <c r="C957" s="874"/>
      <c r="D957" s="874"/>
      <c r="E957" s="874"/>
      <c r="F957" s="906"/>
    </row>
    <row r="958" spans="2:6">
      <c r="B958" s="874"/>
      <c r="C958" s="874"/>
      <c r="D958" s="874"/>
      <c r="E958" s="874"/>
      <c r="F958" s="906"/>
    </row>
    <row r="959" spans="2:6">
      <c r="B959" s="874"/>
      <c r="C959" s="874"/>
      <c r="D959" s="874"/>
      <c r="E959" s="874"/>
      <c r="F959" s="906"/>
    </row>
    <row r="960" spans="2:6">
      <c r="B960" s="874"/>
      <c r="C960" s="874"/>
      <c r="D960" s="874"/>
      <c r="E960" s="874"/>
      <c r="F960" s="906"/>
    </row>
    <row r="961" spans="2:6">
      <c r="B961" s="874"/>
      <c r="C961" s="874"/>
      <c r="D961" s="874"/>
      <c r="E961" s="874"/>
      <c r="F961" s="906"/>
    </row>
    <row r="962" spans="2:6">
      <c r="B962" s="874"/>
      <c r="C962" s="874"/>
      <c r="D962" s="874"/>
      <c r="E962" s="874"/>
      <c r="F962" s="906"/>
    </row>
    <row r="963" spans="2:6">
      <c r="B963" s="874"/>
      <c r="C963" s="874"/>
      <c r="D963" s="874"/>
      <c r="E963" s="874"/>
      <c r="F963" s="906"/>
    </row>
    <row r="964" spans="2:6">
      <c r="B964" s="874"/>
      <c r="C964" s="874"/>
      <c r="D964" s="874"/>
      <c r="E964" s="874"/>
      <c r="F964" s="906"/>
    </row>
    <row r="965" spans="2:6">
      <c r="B965" s="874"/>
      <c r="C965" s="874"/>
      <c r="D965" s="874"/>
      <c r="E965" s="874"/>
      <c r="F965" s="906"/>
    </row>
    <row r="966" spans="2:6">
      <c r="B966" s="874"/>
      <c r="C966" s="874"/>
      <c r="D966" s="874"/>
      <c r="E966" s="874"/>
      <c r="F966" s="906"/>
    </row>
    <row r="967" spans="2:6">
      <c r="B967" s="874"/>
      <c r="C967" s="874"/>
      <c r="D967" s="874"/>
      <c r="E967" s="874"/>
      <c r="F967" s="906"/>
    </row>
    <row r="968" spans="2:6">
      <c r="B968" s="874"/>
      <c r="C968" s="874"/>
      <c r="D968" s="874"/>
      <c r="E968" s="874"/>
      <c r="F968" s="906"/>
    </row>
    <row r="969" spans="2:6">
      <c r="B969" s="874"/>
      <c r="C969" s="874"/>
      <c r="D969" s="874"/>
      <c r="E969" s="874"/>
      <c r="F969" s="906"/>
    </row>
    <row r="970" spans="2:6">
      <c r="B970" s="874"/>
      <c r="C970" s="874"/>
      <c r="D970" s="874"/>
      <c r="E970" s="874"/>
      <c r="F970" s="906"/>
    </row>
    <row r="971" spans="2:6">
      <c r="B971" s="874"/>
      <c r="C971" s="874"/>
      <c r="D971" s="874"/>
      <c r="E971" s="874"/>
      <c r="F971" s="906"/>
    </row>
    <row r="972" spans="2:6">
      <c r="B972" s="874"/>
      <c r="C972" s="874"/>
      <c r="D972" s="874"/>
      <c r="E972" s="874"/>
      <c r="F972" s="906"/>
    </row>
    <row r="973" spans="2:6">
      <c r="B973" s="874"/>
      <c r="C973" s="874"/>
      <c r="D973" s="874"/>
      <c r="E973" s="874"/>
      <c r="F973" s="906"/>
    </row>
    <row r="974" spans="2:6">
      <c r="B974" s="874"/>
      <c r="C974" s="874"/>
      <c r="D974" s="874"/>
      <c r="E974" s="874"/>
      <c r="F974" s="906"/>
    </row>
    <row r="975" spans="2:6">
      <c r="B975" s="874"/>
      <c r="C975" s="874"/>
      <c r="D975" s="874"/>
      <c r="E975" s="874"/>
      <c r="F975" s="906"/>
    </row>
    <row r="976" spans="2:6">
      <c r="B976" s="874"/>
      <c r="C976" s="874"/>
      <c r="D976" s="874"/>
      <c r="E976" s="874"/>
      <c r="F976" s="906"/>
    </row>
    <row r="977" spans="2:6">
      <c r="B977" s="874"/>
      <c r="C977" s="874"/>
      <c r="D977" s="874"/>
      <c r="E977" s="874"/>
      <c r="F977" s="906"/>
    </row>
    <row r="978" spans="2:6">
      <c r="B978" s="874"/>
      <c r="C978" s="874"/>
      <c r="D978" s="874"/>
      <c r="E978" s="874"/>
      <c r="F978" s="906"/>
    </row>
    <row r="979" spans="2:6">
      <c r="B979" s="874"/>
      <c r="C979" s="874"/>
      <c r="D979" s="874"/>
      <c r="E979" s="874"/>
      <c r="F979" s="906"/>
    </row>
    <row r="980" spans="2:6">
      <c r="B980" s="874"/>
      <c r="C980" s="874"/>
      <c r="D980" s="874"/>
      <c r="E980" s="874"/>
      <c r="F980" s="906"/>
    </row>
    <row r="981" spans="2:6">
      <c r="B981" s="874"/>
      <c r="C981" s="874"/>
      <c r="D981" s="874"/>
      <c r="E981" s="874"/>
      <c r="F981" s="906"/>
    </row>
    <row r="982" spans="2:6">
      <c r="B982" s="874"/>
      <c r="C982" s="874"/>
      <c r="D982" s="874"/>
      <c r="E982" s="874"/>
      <c r="F982" s="906"/>
    </row>
    <row r="983" spans="2:6">
      <c r="B983" s="874"/>
      <c r="C983" s="874"/>
      <c r="D983" s="874"/>
      <c r="E983" s="874"/>
      <c r="F983" s="906"/>
    </row>
    <row r="984" spans="2:6">
      <c r="B984" s="874"/>
      <c r="C984" s="874"/>
      <c r="D984" s="874"/>
      <c r="E984" s="874"/>
      <c r="F984" s="906"/>
    </row>
    <row r="985" spans="2:6">
      <c r="B985" s="874"/>
      <c r="C985" s="874"/>
      <c r="D985" s="874"/>
      <c r="E985" s="874"/>
      <c r="F985" s="906"/>
    </row>
    <row r="986" spans="2:6">
      <c r="B986" s="874"/>
      <c r="C986" s="874"/>
      <c r="D986" s="874"/>
      <c r="E986" s="874"/>
      <c r="F986" s="906"/>
    </row>
    <row r="987" spans="2:6">
      <c r="B987" s="874"/>
      <c r="C987" s="874"/>
      <c r="D987" s="874"/>
      <c r="E987" s="874"/>
      <c r="F987" s="906"/>
    </row>
    <row r="988" spans="2:6">
      <c r="B988" s="874"/>
      <c r="C988" s="874"/>
      <c r="D988" s="874"/>
      <c r="E988" s="874"/>
      <c r="F988" s="906"/>
    </row>
    <row r="989" spans="2:6">
      <c r="B989" s="874"/>
      <c r="C989" s="874"/>
      <c r="D989" s="874"/>
      <c r="E989" s="874"/>
      <c r="F989" s="906"/>
    </row>
    <row r="990" spans="2:6">
      <c r="B990" s="874"/>
      <c r="C990" s="874"/>
      <c r="D990" s="874"/>
      <c r="E990" s="874"/>
      <c r="F990" s="906"/>
    </row>
    <row r="991" spans="2:6">
      <c r="B991" s="874"/>
      <c r="C991" s="874"/>
      <c r="D991" s="874"/>
      <c r="E991" s="874"/>
      <c r="F991" s="906"/>
    </row>
    <row r="992" spans="2:6">
      <c r="B992" s="874"/>
      <c r="C992" s="874"/>
      <c r="D992" s="874"/>
      <c r="E992" s="874"/>
      <c r="F992" s="906"/>
    </row>
    <row r="993" spans="2:6">
      <c r="B993" s="874"/>
      <c r="C993" s="874"/>
      <c r="D993" s="874"/>
      <c r="E993" s="874"/>
      <c r="F993" s="906"/>
    </row>
    <row r="994" spans="2:6">
      <c r="B994" s="874"/>
      <c r="C994" s="874"/>
      <c r="D994" s="874"/>
      <c r="E994" s="874"/>
      <c r="F994" s="906"/>
    </row>
    <row r="995" spans="2:6">
      <c r="B995" s="874"/>
      <c r="C995" s="874"/>
      <c r="D995" s="874"/>
      <c r="E995" s="874"/>
      <c r="F995" s="906"/>
    </row>
    <row r="996" spans="2:6">
      <c r="B996" s="874"/>
      <c r="C996" s="874"/>
      <c r="D996" s="874"/>
      <c r="E996" s="874"/>
      <c r="F996" s="906"/>
    </row>
    <row r="997" spans="2:6">
      <c r="B997" s="874"/>
      <c r="C997" s="874"/>
      <c r="D997" s="874"/>
      <c r="E997" s="874"/>
      <c r="F997" s="906"/>
    </row>
    <row r="998" spans="2:6">
      <c r="B998" s="874"/>
      <c r="C998" s="874"/>
      <c r="D998" s="874"/>
      <c r="E998" s="874"/>
      <c r="F998" s="906"/>
    </row>
    <row r="999" spans="2:6">
      <c r="B999" s="874"/>
      <c r="C999" s="874"/>
      <c r="D999" s="874"/>
      <c r="E999" s="874"/>
      <c r="F999" s="906"/>
    </row>
    <row r="1000" spans="2:6">
      <c r="B1000" s="874"/>
      <c r="C1000" s="874"/>
      <c r="D1000" s="874"/>
      <c r="E1000" s="874"/>
      <c r="F1000" s="90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07" t="s">
        <v>2226</v>
      </c>
      <c r="B1" s="907" t="s">
        <v>2</v>
      </c>
      <c r="C1" s="907" t="s">
        <v>4</v>
      </c>
      <c r="D1" s="907" t="s">
        <v>5</v>
      </c>
      <c r="E1" s="544" t="s">
        <v>8</v>
      </c>
      <c r="F1" s="544" t="s">
        <v>9</v>
      </c>
      <c r="G1" s="545" t="s">
        <v>2227</v>
      </c>
      <c r="H1" s="544" t="s">
        <v>11</v>
      </c>
      <c r="I1" s="548" t="s">
        <v>2228</v>
      </c>
      <c r="J1" s="546" t="s">
        <v>14</v>
      </c>
      <c r="K1" s="547" t="s">
        <v>15</v>
      </c>
      <c r="L1" s="548" t="s">
        <v>2229</v>
      </c>
      <c r="M1" s="455"/>
      <c r="N1" s="455"/>
      <c r="O1" s="455"/>
      <c r="P1" s="455"/>
      <c r="Q1" s="455"/>
      <c r="R1" s="455"/>
      <c r="S1" s="455"/>
      <c r="T1" s="455"/>
      <c r="U1" s="455"/>
      <c r="V1" s="455"/>
      <c r="W1" s="455"/>
      <c r="X1" s="455"/>
      <c r="Y1" s="455"/>
      <c r="Z1" s="455"/>
    </row>
    <row r="2" spans="1:26" ht="38.25">
      <c r="A2" s="584" t="s">
        <v>2237</v>
      </c>
      <c r="B2" s="564" t="s">
        <v>3212</v>
      </c>
      <c r="C2" s="551"/>
      <c r="D2" s="551" t="s">
        <v>76</v>
      </c>
      <c r="E2" s="553">
        <v>45567</v>
      </c>
      <c r="F2" s="553">
        <v>45567</v>
      </c>
      <c r="G2" s="553">
        <v>45568</v>
      </c>
      <c r="H2" s="553">
        <v>45569</v>
      </c>
      <c r="I2" s="555">
        <f ca="1">IF(ISBLANK(H2), NETWORKDAYS(F2, TODAY(),fESTIVOS!$A$1:$A$18), NETWORKDAYS(F2, H2, fESTIVOS!$A$1:$A$18))</f>
        <v>3</v>
      </c>
      <c r="J2" s="553">
        <v>45572</v>
      </c>
      <c r="K2" s="552"/>
      <c r="L2" s="556" t="s">
        <v>3213</v>
      </c>
      <c r="M2" s="455"/>
      <c r="N2" s="455"/>
      <c r="O2" s="455"/>
      <c r="P2" s="455"/>
      <c r="Q2" s="455"/>
      <c r="R2" s="455"/>
      <c r="S2" s="455"/>
      <c r="T2" s="455"/>
      <c r="U2" s="455"/>
      <c r="V2" s="455"/>
      <c r="W2" s="455"/>
      <c r="X2" s="455"/>
      <c r="Y2" s="455"/>
      <c r="Z2" s="455"/>
    </row>
    <row r="3" spans="1:26" ht="51">
      <c r="A3" s="584" t="s">
        <v>2352</v>
      </c>
      <c r="B3" s="913" t="s">
        <v>2560</v>
      </c>
      <c r="C3" s="560" t="s">
        <v>2561</v>
      </c>
      <c r="D3" s="551" t="s">
        <v>250</v>
      </c>
      <c r="E3" s="553">
        <v>45575</v>
      </c>
      <c r="F3" s="553"/>
      <c r="G3" s="553"/>
      <c r="H3" s="552">
        <v>0</v>
      </c>
      <c r="I3" s="555">
        <f ca="1">IF(ISBLANK(H3), NETWORKDAYS(F3, TODAY(),fESTIVOS!$A$1:$A$18), NETWORKDAYS(F3, H3, fESTIVOS!$A$1:$A$18))</f>
        <v>0</v>
      </c>
      <c r="J3" s="553">
        <v>45569</v>
      </c>
      <c r="K3" s="553"/>
      <c r="L3" s="556" t="s">
        <v>3214</v>
      </c>
      <c r="M3" s="908"/>
      <c r="N3" s="455"/>
      <c r="O3" s="455"/>
      <c r="P3" s="455"/>
      <c r="Q3" s="455"/>
      <c r="R3" s="455"/>
      <c r="S3" s="455"/>
      <c r="T3" s="455"/>
      <c r="U3" s="455"/>
      <c r="V3" s="455"/>
      <c r="W3" s="455"/>
      <c r="X3" s="455"/>
      <c r="Y3" s="455"/>
      <c r="Z3" s="455"/>
    </row>
    <row r="4" spans="1:26" ht="51">
      <c r="A4" s="584" t="s">
        <v>2352</v>
      </c>
      <c r="B4" s="912"/>
      <c r="C4" s="588" t="s">
        <v>3215</v>
      </c>
      <c r="D4" s="551" t="s">
        <v>250</v>
      </c>
      <c r="E4" s="553">
        <v>45575</v>
      </c>
      <c r="F4" s="577"/>
      <c r="G4" s="577"/>
      <c r="H4" s="579">
        <v>0</v>
      </c>
      <c r="I4" s="578">
        <f ca="1">IF(ISBLANK(H4), NETWORKDAYS(F4, TODAY(),fESTIVOS!$A$1:$A$18), NETWORKDAYS(F4, H4, fESTIVOS!$A$1:$A$18))</f>
        <v>0</v>
      </c>
      <c r="J4" s="577">
        <v>45569</v>
      </c>
      <c r="K4" s="577"/>
      <c r="L4" s="580" t="s">
        <v>2564</v>
      </c>
      <c r="M4" s="908"/>
      <c r="N4" s="455"/>
      <c r="O4" s="455"/>
      <c r="P4" s="455"/>
      <c r="Q4" s="455"/>
      <c r="R4" s="455"/>
      <c r="S4" s="455"/>
      <c r="T4" s="455"/>
      <c r="U4" s="455"/>
      <c r="V4" s="455"/>
      <c r="W4" s="455"/>
      <c r="X4" s="455"/>
      <c r="Y4" s="455"/>
      <c r="Z4" s="455"/>
    </row>
    <row r="5" spans="1:26" ht="51">
      <c r="A5" s="584" t="s">
        <v>2352</v>
      </c>
      <c r="B5" s="548" t="s">
        <v>2491</v>
      </c>
      <c r="C5" s="551" t="s">
        <v>2565</v>
      </c>
      <c r="D5" s="551" t="s">
        <v>250</v>
      </c>
      <c r="E5" s="553">
        <v>45575</v>
      </c>
      <c r="F5" s="553"/>
      <c r="G5" s="553"/>
      <c r="H5" s="552">
        <v>0</v>
      </c>
      <c r="I5" s="555">
        <f ca="1">IF(ISBLANK(H5), NETWORKDAYS(F5, TODAY(),fESTIVOS!$A$1:$A$18), NETWORKDAYS(F5, H5, fESTIVOS!$A$1:$A$18))</f>
        <v>0</v>
      </c>
      <c r="J5" s="553">
        <v>45569</v>
      </c>
      <c r="K5" s="553"/>
      <c r="L5" s="556" t="s">
        <v>2564</v>
      </c>
      <c r="M5" s="908"/>
      <c r="N5" s="455"/>
      <c r="O5" s="455"/>
      <c r="P5" s="455"/>
      <c r="Q5" s="455"/>
      <c r="R5" s="455"/>
      <c r="S5" s="455"/>
      <c r="T5" s="455"/>
      <c r="U5" s="455"/>
      <c r="V5" s="455"/>
      <c r="W5" s="455"/>
      <c r="X5" s="455"/>
      <c r="Y5" s="455"/>
      <c r="Z5" s="455"/>
    </row>
    <row r="6" spans="1:26">
      <c r="A6" s="465"/>
      <c r="B6" s="465"/>
      <c r="C6" s="465"/>
      <c r="D6" s="465"/>
      <c r="E6" s="465"/>
      <c r="F6" s="465"/>
      <c r="G6" s="465"/>
      <c r="H6" s="465"/>
      <c r="I6" s="465"/>
      <c r="J6" s="465"/>
      <c r="K6" s="465"/>
      <c r="L6" s="465"/>
      <c r="M6" s="465"/>
      <c r="N6" s="465"/>
      <c r="O6" s="465"/>
      <c r="P6" s="465"/>
      <c r="Q6" s="465"/>
      <c r="R6" s="465"/>
      <c r="S6" s="465"/>
      <c r="T6" s="465"/>
      <c r="U6" s="465"/>
      <c r="V6" s="465"/>
      <c r="W6" s="465"/>
      <c r="X6" s="465"/>
      <c r="Y6" s="465"/>
      <c r="Z6" s="465"/>
    </row>
    <row r="7" spans="1:26">
      <c r="A7" s="465"/>
      <c r="B7" s="465"/>
      <c r="C7" s="465"/>
      <c r="D7" s="465"/>
      <c r="E7" s="465"/>
      <c r="F7" s="465"/>
      <c r="G7" s="465"/>
      <c r="H7" s="465"/>
      <c r="I7" s="465"/>
      <c r="J7" s="465"/>
      <c r="K7" s="465"/>
      <c r="L7" s="465"/>
      <c r="M7" s="465"/>
      <c r="N7" s="465"/>
      <c r="O7" s="465"/>
      <c r="P7" s="465"/>
      <c r="Q7" s="465"/>
      <c r="R7" s="465"/>
      <c r="S7" s="465"/>
      <c r="T7" s="465"/>
      <c r="U7" s="465"/>
      <c r="V7" s="465"/>
      <c r="W7" s="465"/>
      <c r="X7" s="465"/>
      <c r="Y7" s="465"/>
      <c r="Z7" s="465"/>
    </row>
    <row r="8" spans="1:26">
      <c r="A8" s="465"/>
      <c r="B8" s="465"/>
      <c r="C8" s="465"/>
      <c r="D8" s="465"/>
      <c r="E8" s="465"/>
      <c r="F8" s="465"/>
      <c r="G8" s="465"/>
      <c r="H8" s="465"/>
      <c r="I8" s="465"/>
      <c r="J8" s="465"/>
      <c r="K8" s="465"/>
      <c r="L8" s="465"/>
      <c r="M8" s="465"/>
      <c r="N8" s="465"/>
      <c r="O8" s="465"/>
      <c r="P8" s="465"/>
      <c r="Q8" s="465"/>
      <c r="R8" s="465"/>
      <c r="S8" s="465"/>
      <c r="T8" s="465"/>
      <c r="U8" s="465"/>
      <c r="V8" s="465"/>
      <c r="W8" s="465"/>
      <c r="X8" s="465"/>
      <c r="Y8" s="465"/>
      <c r="Z8" s="465"/>
    </row>
    <row r="9" spans="1:26">
      <c r="A9" s="465"/>
      <c r="B9" s="465"/>
      <c r="C9" s="465"/>
      <c r="D9" s="465"/>
      <c r="E9" s="465"/>
      <c r="F9" s="465"/>
      <c r="G9" s="465"/>
      <c r="H9" s="465"/>
      <c r="I9" s="465"/>
      <c r="J9" s="465"/>
      <c r="K9" s="465"/>
      <c r="L9" s="465"/>
      <c r="M9" s="465"/>
      <c r="N9" s="465"/>
      <c r="O9" s="465"/>
      <c r="P9" s="465"/>
      <c r="Q9" s="465"/>
      <c r="R9" s="465"/>
      <c r="S9" s="465"/>
      <c r="T9" s="465"/>
      <c r="U9" s="465"/>
      <c r="V9" s="465"/>
      <c r="W9" s="465"/>
      <c r="X9" s="465"/>
      <c r="Y9" s="465"/>
      <c r="Z9" s="465"/>
    </row>
    <row r="10" spans="1:26">
      <c r="A10" s="465"/>
      <c r="B10" s="465"/>
      <c r="C10" s="465"/>
      <c r="D10" s="465"/>
      <c r="E10" s="465"/>
      <c r="F10" s="465"/>
      <c r="G10" s="465"/>
      <c r="H10" s="465"/>
      <c r="I10" s="465"/>
      <c r="J10" s="465"/>
      <c r="K10" s="465"/>
      <c r="L10" s="465"/>
      <c r="M10" s="465"/>
      <c r="N10" s="465"/>
      <c r="O10" s="465"/>
      <c r="P10" s="465"/>
      <c r="Q10" s="465"/>
      <c r="R10" s="465"/>
      <c r="S10" s="465"/>
      <c r="T10" s="465"/>
      <c r="U10" s="465"/>
      <c r="V10" s="465"/>
      <c r="W10" s="465"/>
      <c r="X10" s="465"/>
      <c r="Y10" s="465"/>
      <c r="Z10" s="465"/>
    </row>
    <row r="11" spans="1:26">
      <c r="A11" s="465"/>
      <c r="B11" s="465"/>
      <c r="C11" s="465"/>
      <c r="D11" s="465"/>
      <c r="E11" s="465"/>
      <c r="F11" s="465"/>
      <c r="G11" s="465"/>
      <c r="H11" s="465"/>
      <c r="I11" s="465"/>
      <c r="J11" s="465"/>
      <c r="K11" s="465"/>
      <c r="L11" s="465"/>
      <c r="M11" s="465"/>
      <c r="N11" s="465"/>
      <c r="O11" s="465"/>
      <c r="P11" s="465"/>
      <c r="Q11" s="465"/>
      <c r="R11" s="465"/>
      <c r="S11" s="465"/>
      <c r="T11" s="465"/>
      <c r="U11" s="465"/>
      <c r="V11" s="465"/>
      <c r="W11" s="465"/>
      <c r="X11" s="465"/>
      <c r="Y11" s="465"/>
      <c r="Z11" s="465"/>
    </row>
    <row r="12" spans="1:26">
      <c r="A12" s="465"/>
      <c r="B12" s="465"/>
      <c r="C12" s="465"/>
      <c r="D12" s="465"/>
      <c r="E12" s="465"/>
      <c r="F12" s="465"/>
      <c r="G12" s="465"/>
      <c r="H12" s="465"/>
      <c r="I12" s="465"/>
      <c r="J12" s="465"/>
      <c r="K12" s="465"/>
      <c r="L12" s="465"/>
      <c r="M12" s="465"/>
      <c r="N12" s="465"/>
      <c r="O12" s="465"/>
      <c r="P12" s="465"/>
      <c r="Q12" s="465"/>
      <c r="R12" s="465"/>
      <c r="S12" s="465"/>
      <c r="T12" s="465"/>
      <c r="U12" s="465"/>
      <c r="V12" s="465"/>
      <c r="W12" s="465"/>
      <c r="X12" s="465"/>
      <c r="Y12" s="465"/>
      <c r="Z12" s="465"/>
    </row>
    <row r="13" spans="1:26">
      <c r="A13" s="465"/>
      <c r="B13" s="465"/>
      <c r="C13" s="465"/>
      <c r="D13" s="465"/>
      <c r="E13" s="465"/>
      <c r="F13" s="465"/>
      <c r="G13" s="465"/>
      <c r="H13" s="465"/>
      <c r="I13" s="465"/>
      <c r="J13" s="465"/>
      <c r="K13" s="465"/>
      <c r="L13" s="465"/>
      <c r="M13" s="465"/>
      <c r="N13" s="465"/>
      <c r="O13" s="465"/>
      <c r="P13" s="465"/>
      <c r="Q13" s="465"/>
      <c r="R13" s="465"/>
      <c r="S13" s="465"/>
      <c r="T13" s="465"/>
      <c r="U13" s="465"/>
      <c r="V13" s="465"/>
      <c r="W13" s="465"/>
      <c r="X13" s="465"/>
      <c r="Y13" s="465"/>
      <c r="Z13" s="465"/>
    </row>
    <row r="14" spans="1:26">
      <c r="A14" s="465"/>
      <c r="B14" s="465"/>
      <c r="C14" s="465"/>
      <c r="D14" s="465"/>
      <c r="E14" s="465"/>
      <c r="F14" s="465"/>
      <c r="G14" s="465"/>
      <c r="H14" s="465"/>
      <c r="I14" s="465"/>
      <c r="J14" s="465"/>
      <c r="K14" s="465"/>
      <c r="L14" s="465"/>
      <c r="M14" s="465"/>
      <c r="N14" s="465"/>
      <c r="O14" s="465"/>
      <c r="P14" s="465"/>
      <c r="Q14" s="465"/>
      <c r="R14" s="465"/>
      <c r="S14" s="465"/>
      <c r="T14" s="465"/>
      <c r="U14" s="465"/>
      <c r="V14" s="465"/>
      <c r="W14" s="465"/>
      <c r="X14" s="465"/>
      <c r="Y14" s="465"/>
      <c r="Z14" s="465"/>
    </row>
    <row r="15" spans="1:26">
      <c r="A15" s="465"/>
      <c r="B15" s="465"/>
      <c r="C15" s="465"/>
      <c r="D15" s="465"/>
      <c r="E15" s="465"/>
      <c r="F15" s="465"/>
      <c r="G15" s="465"/>
      <c r="H15" s="465"/>
      <c r="I15" s="465"/>
      <c r="J15" s="465"/>
      <c r="K15" s="465"/>
      <c r="L15" s="465"/>
      <c r="M15" s="465"/>
      <c r="N15" s="465"/>
      <c r="O15" s="465"/>
      <c r="P15" s="465"/>
      <c r="Q15" s="465"/>
      <c r="R15" s="465"/>
      <c r="S15" s="465"/>
      <c r="T15" s="465"/>
      <c r="U15" s="465"/>
      <c r="V15" s="465"/>
      <c r="W15" s="465"/>
      <c r="X15" s="465"/>
      <c r="Y15" s="465"/>
      <c r="Z15" s="465"/>
    </row>
    <row r="16" spans="1:26">
      <c r="A16" s="465"/>
      <c r="B16" s="465"/>
      <c r="C16" s="465"/>
      <c r="D16" s="465"/>
      <c r="E16" s="465"/>
      <c r="F16" s="465"/>
      <c r="G16" s="465"/>
      <c r="H16" s="465"/>
      <c r="I16" s="465"/>
      <c r="J16" s="465"/>
      <c r="K16" s="465"/>
      <c r="L16" s="465"/>
      <c r="M16" s="465"/>
      <c r="N16" s="465"/>
      <c r="O16" s="465"/>
      <c r="P16" s="465"/>
      <c r="Q16" s="465"/>
      <c r="R16" s="465"/>
      <c r="S16" s="465"/>
      <c r="T16" s="465"/>
      <c r="U16" s="465"/>
      <c r="V16" s="465"/>
      <c r="W16" s="465"/>
      <c r="X16" s="465"/>
      <c r="Y16" s="465"/>
      <c r="Z16" s="465"/>
    </row>
    <row r="17" spans="1:26">
      <c r="A17" s="465"/>
      <c r="B17" s="465"/>
      <c r="C17" s="465"/>
      <c r="D17" s="465"/>
      <c r="E17" s="465"/>
      <c r="F17" s="465"/>
      <c r="G17" s="465"/>
      <c r="H17" s="465"/>
      <c r="I17" s="465"/>
      <c r="J17" s="465"/>
      <c r="K17" s="465"/>
      <c r="L17" s="465"/>
      <c r="M17" s="465"/>
      <c r="N17" s="465"/>
      <c r="O17" s="465"/>
      <c r="P17" s="465"/>
      <c r="Q17" s="465"/>
      <c r="R17" s="465"/>
      <c r="S17" s="465"/>
      <c r="T17" s="465"/>
      <c r="U17" s="465"/>
      <c r="V17" s="465"/>
      <c r="W17" s="465"/>
      <c r="X17" s="465"/>
      <c r="Y17" s="465"/>
      <c r="Z17" s="465"/>
    </row>
    <row r="18" spans="1:26">
      <c r="A18" s="465"/>
      <c r="B18" s="465"/>
      <c r="C18" s="465"/>
      <c r="D18" s="465"/>
      <c r="E18" s="465"/>
      <c r="F18" s="465"/>
      <c r="G18" s="465"/>
      <c r="H18" s="465"/>
      <c r="I18" s="465"/>
      <c r="J18" s="465"/>
      <c r="K18" s="465"/>
      <c r="L18" s="465"/>
      <c r="M18" s="465"/>
      <c r="N18" s="465"/>
      <c r="O18" s="465"/>
      <c r="P18" s="465"/>
      <c r="Q18" s="465"/>
      <c r="R18" s="465"/>
      <c r="S18" s="465"/>
      <c r="T18" s="465"/>
      <c r="U18" s="465"/>
      <c r="V18" s="465"/>
      <c r="W18" s="465"/>
      <c r="X18" s="465"/>
      <c r="Y18" s="465"/>
      <c r="Z18" s="465"/>
    </row>
    <row r="19" spans="1:26">
      <c r="A19" s="465"/>
      <c r="B19" s="465"/>
      <c r="C19" s="465"/>
      <c r="D19" s="465"/>
      <c r="E19" s="465"/>
      <c r="F19" s="465"/>
      <c r="G19" s="465"/>
      <c r="H19" s="465"/>
      <c r="I19" s="465"/>
      <c r="J19" s="465"/>
      <c r="K19" s="465"/>
      <c r="L19" s="465"/>
      <c r="M19" s="465"/>
      <c r="N19" s="465"/>
      <c r="O19" s="465"/>
      <c r="P19" s="465"/>
      <c r="Q19" s="465"/>
      <c r="R19" s="465"/>
      <c r="S19" s="465"/>
      <c r="T19" s="465"/>
      <c r="U19" s="465"/>
      <c r="V19" s="465"/>
      <c r="W19" s="465"/>
      <c r="X19" s="465"/>
      <c r="Y19" s="465"/>
      <c r="Z19" s="465"/>
    </row>
    <row r="20" spans="1:26">
      <c r="A20" s="465"/>
      <c r="B20" s="465"/>
      <c r="C20" s="465"/>
      <c r="D20" s="465"/>
      <c r="E20" s="465"/>
      <c r="F20" s="465"/>
      <c r="G20" s="465"/>
      <c r="H20" s="465"/>
      <c r="I20" s="465"/>
      <c r="J20" s="465"/>
      <c r="K20" s="465"/>
      <c r="L20" s="465"/>
      <c r="M20" s="465"/>
      <c r="N20" s="465"/>
      <c r="O20" s="465"/>
      <c r="P20" s="465"/>
      <c r="Q20" s="465"/>
      <c r="R20" s="465"/>
      <c r="S20" s="465"/>
      <c r="T20" s="465"/>
      <c r="U20" s="465"/>
      <c r="V20" s="465"/>
      <c r="W20" s="465"/>
      <c r="X20" s="465"/>
      <c r="Y20" s="465"/>
      <c r="Z20" s="465"/>
    </row>
    <row r="21" spans="1:26" ht="15.75" customHeight="1">
      <c r="A21" s="465"/>
      <c r="B21" s="465"/>
      <c r="C21" s="465"/>
      <c r="D21" s="465"/>
      <c r="E21" s="465"/>
      <c r="F21" s="465"/>
      <c r="G21" s="465"/>
      <c r="H21" s="465"/>
      <c r="I21" s="465"/>
      <c r="J21" s="465"/>
      <c r="K21" s="465"/>
      <c r="L21" s="465"/>
      <c r="M21" s="465"/>
      <c r="N21" s="465"/>
      <c r="O21" s="465"/>
      <c r="P21" s="465"/>
      <c r="Q21" s="465"/>
      <c r="R21" s="465"/>
      <c r="S21" s="465"/>
      <c r="T21" s="465"/>
      <c r="U21" s="465"/>
      <c r="V21" s="465"/>
      <c r="W21" s="465"/>
      <c r="X21" s="465"/>
      <c r="Y21" s="465"/>
      <c r="Z21" s="465"/>
    </row>
    <row r="22" spans="1:26" ht="15.75" customHeight="1">
      <c r="A22" s="465"/>
      <c r="B22" s="465"/>
      <c r="C22" s="465"/>
      <c r="D22" s="465"/>
      <c r="E22" s="465"/>
      <c r="F22" s="465"/>
      <c r="G22" s="465"/>
      <c r="H22" s="465"/>
      <c r="I22" s="465"/>
      <c r="J22" s="465"/>
      <c r="K22" s="465"/>
      <c r="L22" s="465"/>
      <c r="M22" s="465"/>
      <c r="N22" s="465"/>
      <c r="O22" s="465"/>
      <c r="P22" s="465"/>
      <c r="Q22" s="465"/>
      <c r="R22" s="465"/>
      <c r="S22" s="465"/>
      <c r="T22" s="465"/>
      <c r="U22" s="465"/>
      <c r="V22" s="465"/>
      <c r="W22" s="465"/>
      <c r="X22" s="465"/>
      <c r="Y22" s="465"/>
      <c r="Z22" s="465"/>
    </row>
    <row r="23" spans="1:26" ht="15.75" customHeight="1">
      <c r="A23" s="465"/>
      <c r="B23" s="465"/>
      <c r="C23" s="465"/>
      <c r="D23" s="465"/>
      <c r="E23" s="465"/>
      <c r="F23" s="465"/>
      <c r="G23" s="465"/>
      <c r="H23" s="465"/>
      <c r="I23" s="465"/>
      <c r="J23" s="465"/>
      <c r="K23" s="465"/>
      <c r="L23" s="465"/>
      <c r="M23" s="465"/>
      <c r="N23" s="465"/>
      <c r="O23" s="465"/>
      <c r="P23" s="465"/>
      <c r="Q23" s="465"/>
      <c r="R23" s="465"/>
      <c r="S23" s="465"/>
      <c r="T23" s="465"/>
      <c r="U23" s="465"/>
      <c r="V23" s="465"/>
      <c r="W23" s="465"/>
      <c r="X23" s="465"/>
      <c r="Y23" s="465"/>
      <c r="Z23" s="465"/>
    </row>
    <row r="24" spans="1:26" ht="15.75" customHeight="1">
      <c r="A24" s="465"/>
      <c r="B24" s="465"/>
      <c r="C24" s="465"/>
      <c r="D24" s="465"/>
      <c r="E24" s="465"/>
      <c r="F24" s="465"/>
      <c r="G24" s="465"/>
      <c r="H24" s="465"/>
      <c r="I24" s="465"/>
      <c r="J24" s="465"/>
      <c r="K24" s="465"/>
      <c r="L24" s="465"/>
      <c r="M24" s="465"/>
      <c r="N24" s="465"/>
      <c r="O24" s="465"/>
      <c r="P24" s="465"/>
      <c r="Q24" s="465"/>
      <c r="R24" s="465"/>
      <c r="S24" s="465"/>
      <c r="T24" s="465"/>
      <c r="U24" s="465"/>
      <c r="V24" s="465"/>
      <c r="W24" s="465"/>
      <c r="X24" s="465"/>
      <c r="Y24" s="465"/>
      <c r="Z24" s="465"/>
    </row>
    <row r="25" spans="1:26" ht="15.75" customHeight="1">
      <c r="A25" s="465"/>
      <c r="B25" s="465"/>
      <c r="C25" s="465"/>
      <c r="D25" s="465"/>
      <c r="E25" s="465"/>
      <c r="F25" s="465"/>
      <c r="G25" s="465"/>
      <c r="H25" s="465"/>
      <c r="I25" s="465"/>
      <c r="J25" s="465"/>
      <c r="K25" s="465"/>
      <c r="L25" s="465"/>
      <c r="M25" s="465"/>
      <c r="N25" s="465"/>
      <c r="O25" s="465"/>
      <c r="P25" s="465"/>
      <c r="Q25" s="465"/>
      <c r="R25" s="465"/>
      <c r="S25" s="465"/>
      <c r="T25" s="465"/>
      <c r="U25" s="465"/>
      <c r="V25" s="465"/>
      <c r="W25" s="465"/>
      <c r="X25" s="465"/>
      <c r="Y25" s="465"/>
      <c r="Z25" s="465"/>
    </row>
    <row r="26" spans="1:26" ht="15.75" customHeight="1">
      <c r="A26" s="465"/>
      <c r="B26" s="465"/>
      <c r="C26" s="465"/>
      <c r="D26" s="465"/>
      <c r="E26" s="465"/>
      <c r="F26" s="465"/>
      <c r="G26" s="465"/>
      <c r="H26" s="465"/>
      <c r="I26" s="465"/>
      <c r="J26" s="465"/>
      <c r="K26" s="465"/>
      <c r="L26" s="465"/>
      <c r="M26" s="465"/>
      <c r="N26" s="465"/>
      <c r="O26" s="465"/>
      <c r="P26" s="465"/>
      <c r="Q26" s="465"/>
      <c r="R26" s="465"/>
      <c r="S26" s="465"/>
      <c r="T26" s="465"/>
      <c r="U26" s="465"/>
      <c r="V26" s="465"/>
      <c r="W26" s="465"/>
      <c r="X26" s="465"/>
      <c r="Y26" s="465"/>
      <c r="Z26" s="465"/>
    </row>
    <row r="27" spans="1:26" ht="15.75" customHeight="1">
      <c r="A27" s="465"/>
      <c r="B27" s="465"/>
      <c r="C27" s="465"/>
      <c r="D27" s="465"/>
      <c r="E27" s="465"/>
      <c r="F27" s="465"/>
      <c r="G27" s="465"/>
      <c r="H27" s="465"/>
      <c r="I27" s="465"/>
      <c r="J27" s="465"/>
      <c r="K27" s="465"/>
      <c r="L27" s="465"/>
      <c r="M27" s="465"/>
      <c r="N27" s="465"/>
      <c r="O27" s="465"/>
      <c r="P27" s="465"/>
      <c r="Q27" s="465"/>
      <c r="R27" s="465"/>
      <c r="S27" s="465"/>
      <c r="T27" s="465"/>
      <c r="U27" s="465"/>
      <c r="V27" s="465"/>
      <c r="W27" s="465"/>
      <c r="X27" s="465"/>
      <c r="Y27" s="465"/>
      <c r="Z27" s="465"/>
    </row>
    <row r="28" spans="1:26" ht="15.75" customHeight="1">
      <c r="A28" s="465"/>
      <c r="B28" s="465"/>
      <c r="C28" s="465"/>
      <c r="D28" s="465"/>
      <c r="E28" s="465"/>
      <c r="F28" s="465"/>
      <c r="G28" s="465"/>
      <c r="H28" s="465"/>
      <c r="I28" s="465"/>
      <c r="J28" s="465"/>
      <c r="K28" s="465"/>
      <c r="L28" s="465"/>
      <c r="M28" s="465"/>
      <c r="N28" s="465"/>
      <c r="O28" s="465"/>
      <c r="P28" s="465"/>
      <c r="Q28" s="465"/>
      <c r="R28" s="465"/>
      <c r="S28" s="465"/>
      <c r="T28" s="465"/>
      <c r="U28" s="465"/>
      <c r="V28" s="465"/>
      <c r="W28" s="465"/>
      <c r="X28" s="465"/>
      <c r="Y28" s="465"/>
      <c r="Z28" s="465"/>
    </row>
    <row r="29" spans="1:26" ht="15.75" customHeight="1">
      <c r="A29" s="465"/>
      <c r="B29" s="465"/>
      <c r="C29" s="465"/>
      <c r="D29" s="465"/>
      <c r="E29" s="465"/>
      <c r="F29" s="465"/>
      <c r="G29" s="465"/>
      <c r="H29" s="465"/>
      <c r="I29" s="465"/>
      <c r="J29" s="465"/>
      <c r="K29" s="465"/>
      <c r="L29" s="465"/>
      <c r="M29" s="465"/>
      <c r="N29" s="465"/>
      <c r="O29" s="465"/>
      <c r="P29" s="465"/>
      <c r="Q29" s="465"/>
      <c r="R29" s="465"/>
      <c r="S29" s="465"/>
      <c r="T29" s="465"/>
      <c r="U29" s="465"/>
      <c r="V29" s="465"/>
      <c r="W29" s="465"/>
      <c r="X29" s="465"/>
      <c r="Y29" s="465"/>
      <c r="Z29" s="465"/>
    </row>
    <row r="30" spans="1:26" ht="15.75" customHeight="1">
      <c r="A30" s="465"/>
      <c r="B30" s="465"/>
      <c r="C30" s="465"/>
      <c r="D30" s="465"/>
      <c r="E30" s="465"/>
      <c r="F30" s="465"/>
      <c r="G30" s="465"/>
      <c r="H30" s="465"/>
      <c r="I30" s="465"/>
      <c r="J30" s="465"/>
      <c r="K30" s="465"/>
      <c r="L30" s="465"/>
      <c r="M30" s="465"/>
      <c r="N30" s="465"/>
      <c r="O30" s="465"/>
      <c r="P30" s="465"/>
      <c r="Q30" s="465"/>
      <c r="R30" s="465"/>
      <c r="S30" s="465"/>
      <c r="T30" s="465"/>
      <c r="U30" s="465"/>
      <c r="V30" s="465"/>
      <c r="W30" s="465"/>
      <c r="X30" s="465"/>
      <c r="Y30" s="465"/>
      <c r="Z30" s="465"/>
    </row>
    <row r="31" spans="1:26" ht="15.75" customHeight="1">
      <c r="A31" s="465"/>
      <c r="B31" s="465"/>
      <c r="C31" s="465"/>
      <c r="D31" s="465"/>
      <c r="E31" s="465"/>
      <c r="F31" s="465"/>
      <c r="G31" s="465"/>
      <c r="H31" s="465"/>
      <c r="I31" s="465"/>
      <c r="J31" s="465"/>
      <c r="K31" s="465"/>
      <c r="L31" s="465"/>
      <c r="M31" s="465"/>
      <c r="N31" s="465"/>
      <c r="O31" s="465"/>
      <c r="P31" s="465"/>
      <c r="Q31" s="465"/>
      <c r="R31" s="465"/>
      <c r="S31" s="465"/>
      <c r="T31" s="465"/>
      <c r="U31" s="465"/>
      <c r="V31" s="465"/>
      <c r="W31" s="465"/>
      <c r="X31" s="465"/>
      <c r="Y31" s="465"/>
      <c r="Z31" s="465"/>
    </row>
    <row r="32" spans="1:26" ht="15.75" customHeight="1">
      <c r="A32" s="465"/>
      <c r="B32" s="465"/>
      <c r="C32" s="465"/>
      <c r="D32" s="465"/>
      <c r="E32" s="465"/>
      <c r="F32" s="465"/>
      <c r="G32" s="465"/>
      <c r="H32" s="465"/>
      <c r="I32" s="465"/>
      <c r="J32" s="465"/>
      <c r="K32" s="465"/>
      <c r="L32" s="465"/>
      <c r="M32" s="465"/>
      <c r="N32" s="465"/>
      <c r="O32" s="465"/>
      <c r="P32" s="465"/>
      <c r="Q32" s="465"/>
      <c r="R32" s="465"/>
      <c r="S32" s="465"/>
      <c r="T32" s="465"/>
      <c r="U32" s="465"/>
      <c r="V32" s="465"/>
      <c r="W32" s="465"/>
      <c r="X32" s="465"/>
      <c r="Y32" s="465"/>
      <c r="Z32" s="465"/>
    </row>
    <row r="33" spans="1:26" ht="15.75" customHeight="1">
      <c r="A33" s="465"/>
      <c r="B33" s="465"/>
      <c r="C33" s="465"/>
      <c r="D33" s="465"/>
      <c r="E33" s="465"/>
      <c r="F33" s="465"/>
      <c r="G33" s="465"/>
      <c r="H33" s="465"/>
      <c r="I33" s="465"/>
      <c r="J33" s="465"/>
      <c r="K33" s="465"/>
      <c r="L33" s="465"/>
      <c r="M33" s="465"/>
      <c r="N33" s="465"/>
      <c r="O33" s="465"/>
      <c r="P33" s="465"/>
      <c r="Q33" s="465"/>
      <c r="R33" s="465"/>
      <c r="S33" s="465"/>
      <c r="T33" s="465"/>
      <c r="U33" s="465"/>
      <c r="V33" s="465"/>
      <c r="W33" s="465"/>
      <c r="X33" s="465"/>
      <c r="Y33" s="465"/>
      <c r="Z33" s="465"/>
    </row>
    <row r="34" spans="1:26" ht="15.75" customHeight="1">
      <c r="A34" s="465"/>
      <c r="B34" s="465"/>
      <c r="C34" s="465"/>
      <c r="D34" s="465"/>
      <c r="E34" s="465"/>
      <c r="F34" s="465"/>
      <c r="G34" s="465"/>
      <c r="H34" s="465"/>
      <c r="I34" s="465"/>
      <c r="J34" s="465"/>
      <c r="K34" s="465"/>
      <c r="L34" s="465"/>
      <c r="M34" s="465"/>
      <c r="N34" s="465"/>
      <c r="O34" s="465"/>
      <c r="P34" s="465"/>
      <c r="Q34" s="465"/>
      <c r="R34" s="465"/>
      <c r="S34" s="465"/>
      <c r="T34" s="465"/>
      <c r="U34" s="465"/>
      <c r="V34" s="465"/>
      <c r="W34" s="465"/>
      <c r="X34" s="465"/>
      <c r="Y34" s="465"/>
      <c r="Z34" s="465"/>
    </row>
    <row r="35" spans="1:26" ht="15.75" customHeight="1">
      <c r="A35" s="465"/>
      <c r="B35" s="465"/>
      <c r="C35" s="465"/>
      <c r="D35" s="465"/>
      <c r="E35" s="465"/>
      <c r="F35" s="465"/>
      <c r="G35" s="465"/>
      <c r="H35" s="465"/>
      <c r="I35" s="465"/>
      <c r="J35" s="465"/>
      <c r="K35" s="465"/>
      <c r="L35" s="465"/>
      <c r="M35" s="465"/>
      <c r="N35" s="465"/>
      <c r="O35" s="465"/>
      <c r="P35" s="465"/>
      <c r="Q35" s="465"/>
      <c r="R35" s="465"/>
      <c r="S35" s="465"/>
      <c r="T35" s="465"/>
      <c r="U35" s="465"/>
      <c r="V35" s="465"/>
      <c r="W35" s="465"/>
      <c r="X35" s="465"/>
      <c r="Y35" s="465"/>
      <c r="Z35" s="465"/>
    </row>
    <row r="36" spans="1:26" ht="15.75" customHeight="1">
      <c r="A36" s="465"/>
      <c r="B36" s="465"/>
      <c r="C36" s="465"/>
      <c r="D36" s="465"/>
      <c r="E36" s="465"/>
      <c r="F36" s="465"/>
      <c r="G36" s="465"/>
      <c r="H36" s="465"/>
      <c r="I36" s="465"/>
      <c r="J36" s="465"/>
      <c r="K36" s="465"/>
      <c r="L36" s="465"/>
      <c r="M36" s="465"/>
      <c r="N36" s="465"/>
      <c r="O36" s="465"/>
      <c r="P36" s="465"/>
      <c r="Q36" s="465"/>
      <c r="R36" s="465"/>
      <c r="S36" s="465"/>
      <c r="T36" s="465"/>
      <c r="U36" s="465"/>
      <c r="V36" s="465"/>
      <c r="W36" s="465"/>
      <c r="X36" s="465"/>
      <c r="Y36" s="465"/>
      <c r="Z36" s="465"/>
    </row>
    <row r="37" spans="1:26" ht="15.75" customHeight="1">
      <c r="A37" s="465"/>
      <c r="B37" s="465"/>
      <c r="C37" s="465"/>
      <c r="D37" s="465"/>
      <c r="E37" s="465"/>
      <c r="F37" s="465"/>
      <c r="G37" s="465"/>
      <c r="H37" s="465"/>
      <c r="I37" s="465"/>
      <c r="J37" s="465"/>
      <c r="K37" s="465"/>
      <c r="L37" s="465"/>
      <c r="M37" s="465"/>
      <c r="N37" s="465"/>
      <c r="O37" s="465"/>
      <c r="P37" s="465"/>
      <c r="Q37" s="465"/>
      <c r="R37" s="465"/>
      <c r="S37" s="465"/>
      <c r="T37" s="465"/>
      <c r="U37" s="465"/>
      <c r="V37" s="465"/>
      <c r="W37" s="465"/>
      <c r="X37" s="465"/>
      <c r="Y37" s="465"/>
      <c r="Z37" s="465"/>
    </row>
    <row r="38" spans="1:26" ht="15.75" customHeight="1">
      <c r="A38" s="465"/>
      <c r="B38" s="465"/>
      <c r="C38" s="465"/>
      <c r="D38" s="465"/>
      <c r="E38" s="465"/>
      <c r="F38" s="465"/>
      <c r="G38" s="465"/>
      <c r="H38" s="465"/>
      <c r="I38" s="465"/>
      <c r="J38" s="465"/>
      <c r="K38" s="465"/>
      <c r="L38" s="465"/>
      <c r="M38" s="465"/>
      <c r="N38" s="465"/>
      <c r="O38" s="465"/>
      <c r="P38" s="465"/>
      <c r="Q38" s="465"/>
      <c r="R38" s="465"/>
      <c r="S38" s="465"/>
      <c r="T38" s="465"/>
      <c r="U38" s="465"/>
      <c r="V38" s="465"/>
      <c r="W38" s="465"/>
      <c r="X38" s="465"/>
      <c r="Y38" s="465"/>
      <c r="Z38" s="465"/>
    </row>
    <row r="39" spans="1:26" ht="15.75" customHeight="1">
      <c r="A39" s="465"/>
      <c r="B39" s="465"/>
      <c r="C39" s="465"/>
      <c r="D39" s="465"/>
      <c r="E39" s="465"/>
      <c r="F39" s="465"/>
      <c r="G39" s="465"/>
      <c r="H39" s="465"/>
      <c r="I39" s="465"/>
      <c r="J39" s="465"/>
      <c r="K39" s="465"/>
      <c r="L39" s="465"/>
      <c r="M39" s="465"/>
      <c r="N39" s="465"/>
      <c r="O39" s="465"/>
      <c r="P39" s="465"/>
      <c r="Q39" s="465"/>
      <c r="R39" s="465"/>
      <c r="S39" s="465"/>
      <c r="T39" s="465"/>
      <c r="U39" s="465"/>
      <c r="V39" s="465"/>
      <c r="W39" s="465"/>
      <c r="X39" s="465"/>
      <c r="Y39" s="465"/>
      <c r="Z39" s="465"/>
    </row>
    <row r="40" spans="1:26" ht="15.75" customHeight="1">
      <c r="A40" s="465"/>
      <c r="B40" s="465"/>
      <c r="C40" s="465"/>
      <c r="D40" s="465"/>
      <c r="E40" s="465"/>
      <c r="F40" s="465"/>
      <c r="G40" s="465"/>
      <c r="H40" s="465"/>
      <c r="I40" s="465"/>
      <c r="J40" s="465"/>
      <c r="K40" s="465"/>
      <c r="L40" s="465"/>
      <c r="M40" s="465"/>
      <c r="N40" s="465"/>
      <c r="O40" s="465"/>
      <c r="P40" s="465"/>
      <c r="Q40" s="465"/>
      <c r="R40" s="465"/>
      <c r="S40" s="465"/>
      <c r="T40" s="465"/>
      <c r="U40" s="465"/>
      <c r="V40" s="465"/>
      <c r="W40" s="465"/>
      <c r="X40" s="465"/>
      <c r="Y40" s="465"/>
      <c r="Z40" s="465"/>
    </row>
    <row r="41" spans="1:26" ht="15.75" customHeight="1">
      <c r="A41" s="465"/>
      <c r="B41" s="465"/>
      <c r="C41" s="465"/>
      <c r="D41" s="465"/>
      <c r="E41" s="465"/>
      <c r="F41" s="465"/>
      <c r="G41" s="465"/>
      <c r="H41" s="465"/>
      <c r="I41" s="465"/>
      <c r="J41" s="465"/>
      <c r="K41" s="465"/>
      <c r="L41" s="465"/>
      <c r="M41" s="465"/>
      <c r="N41" s="465"/>
      <c r="O41" s="465"/>
      <c r="P41" s="465"/>
      <c r="Q41" s="465"/>
      <c r="R41" s="465"/>
      <c r="S41" s="465"/>
      <c r="T41" s="465"/>
      <c r="U41" s="465"/>
      <c r="V41" s="465"/>
      <c r="W41" s="465"/>
      <c r="X41" s="465"/>
      <c r="Y41" s="465"/>
      <c r="Z41" s="465"/>
    </row>
    <row r="42" spans="1:26" ht="15.75" customHeight="1">
      <c r="A42" s="465"/>
      <c r="B42" s="465"/>
      <c r="C42" s="465"/>
      <c r="D42" s="465"/>
      <c r="E42" s="465"/>
      <c r="F42" s="465"/>
      <c r="G42" s="465"/>
      <c r="H42" s="465"/>
      <c r="I42" s="465"/>
      <c r="J42" s="465"/>
      <c r="K42" s="465"/>
      <c r="L42" s="465"/>
      <c r="M42" s="465"/>
      <c r="N42" s="465"/>
      <c r="O42" s="465"/>
      <c r="P42" s="465"/>
      <c r="Q42" s="465"/>
      <c r="R42" s="465"/>
      <c r="S42" s="465"/>
      <c r="T42" s="465"/>
      <c r="U42" s="465"/>
      <c r="V42" s="465"/>
      <c r="W42" s="465"/>
      <c r="X42" s="465"/>
      <c r="Y42" s="465"/>
      <c r="Z42" s="465"/>
    </row>
    <row r="43" spans="1:26" ht="15.75" customHeight="1">
      <c r="A43" s="465"/>
      <c r="B43" s="465"/>
      <c r="C43" s="465"/>
      <c r="D43" s="465"/>
      <c r="E43" s="465"/>
      <c r="F43" s="465"/>
      <c r="G43" s="465"/>
      <c r="H43" s="465"/>
      <c r="I43" s="465"/>
      <c r="J43" s="465"/>
      <c r="K43" s="465"/>
      <c r="L43" s="465"/>
      <c r="M43" s="465"/>
      <c r="N43" s="465"/>
      <c r="O43" s="465"/>
      <c r="P43" s="465"/>
      <c r="Q43" s="465"/>
      <c r="R43" s="465"/>
      <c r="S43" s="465"/>
      <c r="T43" s="465"/>
      <c r="U43" s="465"/>
      <c r="V43" s="465"/>
      <c r="W43" s="465"/>
      <c r="X43" s="465"/>
      <c r="Y43" s="465"/>
      <c r="Z43" s="465"/>
    </row>
    <row r="44" spans="1:26" ht="15.75" customHeight="1">
      <c r="A44" s="465"/>
      <c r="B44" s="465"/>
      <c r="C44" s="465"/>
      <c r="D44" s="465"/>
      <c r="E44" s="465"/>
      <c r="F44" s="465"/>
      <c r="G44" s="465"/>
      <c r="H44" s="465"/>
      <c r="I44" s="465"/>
      <c r="J44" s="465"/>
      <c r="K44" s="465"/>
      <c r="L44" s="465"/>
      <c r="M44" s="465"/>
      <c r="N44" s="465"/>
      <c r="O44" s="465"/>
      <c r="P44" s="465"/>
      <c r="Q44" s="465"/>
      <c r="R44" s="465"/>
      <c r="S44" s="465"/>
      <c r="T44" s="465"/>
      <c r="U44" s="465"/>
      <c r="V44" s="465"/>
      <c r="W44" s="465"/>
      <c r="X44" s="465"/>
      <c r="Y44" s="465"/>
      <c r="Z44" s="465"/>
    </row>
    <row r="45" spans="1:26" ht="15.75" customHeight="1">
      <c r="A45" s="465"/>
      <c r="B45" s="465"/>
      <c r="C45" s="465"/>
      <c r="D45" s="465"/>
      <c r="E45" s="465"/>
      <c r="F45" s="465"/>
      <c r="G45" s="465"/>
      <c r="H45" s="465"/>
      <c r="I45" s="465"/>
      <c r="J45" s="465"/>
      <c r="K45" s="465"/>
      <c r="L45" s="465"/>
      <c r="M45" s="465"/>
      <c r="N45" s="465"/>
      <c r="O45" s="465"/>
      <c r="P45" s="465"/>
      <c r="Q45" s="465"/>
      <c r="R45" s="465"/>
      <c r="S45" s="465"/>
      <c r="T45" s="465"/>
      <c r="U45" s="465"/>
      <c r="V45" s="465"/>
      <c r="W45" s="465"/>
      <c r="X45" s="465"/>
      <c r="Y45" s="465"/>
      <c r="Z45" s="465"/>
    </row>
    <row r="46" spans="1:26" ht="15.75" customHeight="1">
      <c r="A46" s="465"/>
      <c r="B46" s="465"/>
      <c r="C46" s="465"/>
      <c r="D46" s="465"/>
      <c r="E46" s="465"/>
      <c r="F46" s="465"/>
      <c r="G46" s="465"/>
      <c r="H46" s="465"/>
      <c r="I46" s="465"/>
      <c r="J46" s="465"/>
      <c r="K46" s="465"/>
      <c r="L46" s="465"/>
      <c r="M46" s="465"/>
      <c r="N46" s="465"/>
      <c r="O46" s="465"/>
      <c r="P46" s="465"/>
      <c r="Q46" s="465"/>
      <c r="R46" s="465"/>
      <c r="S46" s="465"/>
      <c r="T46" s="465"/>
      <c r="U46" s="465"/>
      <c r="V46" s="465"/>
      <c r="W46" s="465"/>
      <c r="X46" s="465"/>
      <c r="Y46" s="465"/>
      <c r="Z46" s="465"/>
    </row>
    <row r="47" spans="1:26" ht="15.75" customHeight="1">
      <c r="A47" s="465"/>
      <c r="B47" s="465"/>
      <c r="C47" s="465"/>
      <c r="D47" s="465"/>
      <c r="E47" s="465"/>
      <c r="F47" s="465"/>
      <c r="G47" s="465"/>
      <c r="H47" s="465"/>
      <c r="I47" s="465"/>
      <c r="J47" s="465"/>
      <c r="K47" s="465"/>
      <c r="L47" s="465"/>
      <c r="M47" s="465"/>
      <c r="N47" s="465"/>
      <c r="O47" s="465"/>
      <c r="P47" s="465"/>
      <c r="Q47" s="465"/>
      <c r="R47" s="465"/>
      <c r="S47" s="465"/>
      <c r="T47" s="465"/>
      <c r="U47" s="465"/>
      <c r="V47" s="465"/>
      <c r="W47" s="465"/>
      <c r="X47" s="465"/>
      <c r="Y47" s="465"/>
      <c r="Z47" s="465"/>
    </row>
    <row r="48" spans="1:26" ht="15.75" customHeight="1">
      <c r="A48" s="465"/>
      <c r="B48" s="465"/>
      <c r="C48" s="465"/>
      <c r="D48" s="465"/>
      <c r="E48" s="465"/>
      <c r="F48" s="465"/>
      <c r="G48" s="465"/>
      <c r="H48" s="465"/>
      <c r="I48" s="465"/>
      <c r="J48" s="465"/>
      <c r="K48" s="465"/>
      <c r="L48" s="465"/>
      <c r="M48" s="465"/>
      <c r="N48" s="465"/>
      <c r="O48" s="465"/>
      <c r="P48" s="465"/>
      <c r="Q48" s="465"/>
      <c r="R48" s="465"/>
      <c r="S48" s="465"/>
      <c r="T48" s="465"/>
      <c r="U48" s="465"/>
      <c r="V48" s="465"/>
      <c r="W48" s="465"/>
      <c r="X48" s="465"/>
      <c r="Y48" s="465"/>
      <c r="Z48" s="465"/>
    </row>
    <row r="49" spans="1:26" ht="15.75" customHeight="1">
      <c r="A49" s="465"/>
      <c r="B49" s="465"/>
      <c r="C49" s="465"/>
      <c r="D49" s="465"/>
      <c r="E49" s="465"/>
      <c r="F49" s="465"/>
      <c r="G49" s="465"/>
      <c r="H49" s="465"/>
      <c r="I49" s="465"/>
      <c r="J49" s="465"/>
      <c r="K49" s="465"/>
      <c r="L49" s="465"/>
      <c r="M49" s="465"/>
      <c r="N49" s="465"/>
      <c r="O49" s="465"/>
      <c r="P49" s="465"/>
      <c r="Q49" s="465"/>
      <c r="R49" s="465"/>
      <c r="S49" s="465"/>
      <c r="T49" s="465"/>
      <c r="U49" s="465"/>
      <c r="V49" s="465"/>
      <c r="W49" s="465"/>
      <c r="X49" s="465"/>
      <c r="Y49" s="465"/>
      <c r="Z49" s="465"/>
    </row>
    <row r="50" spans="1:26" ht="15.75" customHeight="1">
      <c r="A50" s="465"/>
      <c r="B50" s="465"/>
      <c r="C50" s="465"/>
      <c r="D50" s="465"/>
      <c r="E50" s="465"/>
      <c r="F50" s="465"/>
      <c r="G50" s="465"/>
      <c r="H50" s="465"/>
      <c r="I50" s="465"/>
      <c r="J50" s="465"/>
      <c r="K50" s="465"/>
      <c r="L50" s="465"/>
      <c r="M50" s="465"/>
      <c r="N50" s="465"/>
      <c r="O50" s="465"/>
      <c r="P50" s="465"/>
      <c r="Q50" s="465"/>
      <c r="R50" s="465"/>
      <c r="S50" s="465"/>
      <c r="T50" s="465"/>
      <c r="U50" s="465"/>
      <c r="V50" s="465"/>
      <c r="W50" s="465"/>
      <c r="X50" s="465"/>
      <c r="Y50" s="465"/>
      <c r="Z50" s="465"/>
    </row>
    <row r="51" spans="1:26" ht="15.75" customHeight="1">
      <c r="A51" s="465"/>
      <c r="B51" s="465"/>
      <c r="C51" s="465"/>
      <c r="D51" s="465"/>
      <c r="E51" s="465"/>
      <c r="F51" s="465"/>
      <c r="G51" s="465"/>
      <c r="H51" s="465"/>
      <c r="I51" s="465"/>
      <c r="J51" s="465"/>
      <c r="K51" s="465"/>
      <c r="L51" s="465"/>
      <c r="M51" s="465"/>
      <c r="N51" s="465"/>
      <c r="O51" s="465"/>
      <c r="P51" s="465"/>
      <c r="Q51" s="465"/>
      <c r="R51" s="465"/>
      <c r="S51" s="465"/>
      <c r="T51" s="465"/>
      <c r="U51" s="465"/>
      <c r="V51" s="465"/>
      <c r="W51" s="465"/>
      <c r="X51" s="465"/>
      <c r="Y51" s="465"/>
      <c r="Z51" s="465"/>
    </row>
    <row r="52" spans="1:26" ht="15.75" customHeight="1">
      <c r="A52" s="465"/>
      <c r="B52" s="465"/>
      <c r="C52" s="465"/>
      <c r="D52" s="465"/>
      <c r="E52" s="465"/>
      <c r="F52" s="465"/>
      <c r="G52" s="465"/>
      <c r="H52" s="465"/>
      <c r="I52" s="465"/>
      <c r="J52" s="465"/>
      <c r="K52" s="465"/>
      <c r="L52" s="465"/>
      <c r="M52" s="465"/>
      <c r="N52" s="465"/>
      <c r="O52" s="465"/>
      <c r="P52" s="465"/>
      <c r="Q52" s="465"/>
      <c r="R52" s="465"/>
      <c r="S52" s="465"/>
      <c r="T52" s="465"/>
      <c r="U52" s="465"/>
      <c r="V52" s="465"/>
      <c r="W52" s="465"/>
      <c r="X52" s="465"/>
      <c r="Y52" s="465"/>
      <c r="Z52" s="465"/>
    </row>
    <row r="53" spans="1:26" ht="15.75" customHeight="1">
      <c r="A53" s="465"/>
      <c r="B53" s="465"/>
      <c r="C53" s="465"/>
      <c r="D53" s="465"/>
      <c r="E53" s="465"/>
      <c r="F53" s="465"/>
      <c r="G53" s="465"/>
      <c r="H53" s="465"/>
      <c r="I53" s="465"/>
      <c r="J53" s="465"/>
      <c r="K53" s="465"/>
      <c r="L53" s="465"/>
      <c r="M53" s="465"/>
      <c r="N53" s="465"/>
      <c r="O53" s="465"/>
      <c r="P53" s="465"/>
      <c r="Q53" s="465"/>
      <c r="R53" s="465"/>
      <c r="S53" s="465"/>
      <c r="T53" s="465"/>
      <c r="U53" s="465"/>
      <c r="V53" s="465"/>
      <c r="W53" s="465"/>
      <c r="X53" s="465"/>
      <c r="Y53" s="465"/>
      <c r="Z53" s="465"/>
    </row>
    <row r="54" spans="1:26" ht="15.75" customHeight="1">
      <c r="A54" s="465"/>
      <c r="B54" s="465"/>
      <c r="C54" s="465"/>
      <c r="D54" s="465"/>
      <c r="E54" s="465"/>
      <c r="F54" s="465"/>
      <c r="G54" s="465"/>
      <c r="H54" s="465"/>
      <c r="I54" s="465"/>
      <c r="J54" s="465"/>
      <c r="K54" s="465"/>
      <c r="L54" s="465"/>
      <c r="M54" s="465"/>
      <c r="N54" s="465"/>
      <c r="O54" s="465"/>
      <c r="P54" s="465"/>
      <c r="Q54" s="465"/>
      <c r="R54" s="465"/>
      <c r="S54" s="465"/>
      <c r="T54" s="465"/>
      <c r="U54" s="465"/>
      <c r="V54" s="465"/>
      <c r="W54" s="465"/>
      <c r="X54" s="465"/>
      <c r="Y54" s="465"/>
      <c r="Z54" s="465"/>
    </row>
    <row r="55" spans="1:26" ht="15.75" customHeight="1">
      <c r="A55" s="465"/>
      <c r="B55" s="465"/>
      <c r="C55" s="465"/>
      <c r="D55" s="465"/>
      <c r="E55" s="465"/>
      <c r="F55" s="465"/>
      <c r="G55" s="465"/>
      <c r="H55" s="465"/>
      <c r="I55" s="465"/>
      <c r="J55" s="465"/>
      <c r="K55" s="465"/>
      <c r="L55" s="465"/>
      <c r="M55" s="465"/>
      <c r="N55" s="465"/>
      <c r="O55" s="465"/>
      <c r="P55" s="465"/>
      <c r="Q55" s="465"/>
      <c r="R55" s="465"/>
      <c r="S55" s="465"/>
      <c r="T55" s="465"/>
      <c r="U55" s="465"/>
      <c r="V55" s="465"/>
      <c r="W55" s="465"/>
      <c r="X55" s="465"/>
      <c r="Y55" s="465"/>
      <c r="Z55" s="465"/>
    </row>
    <row r="56" spans="1:26" ht="15.75" customHeight="1">
      <c r="A56" s="465"/>
      <c r="B56" s="465"/>
      <c r="C56" s="465"/>
      <c r="D56" s="465"/>
      <c r="E56" s="465"/>
      <c r="F56" s="465"/>
      <c r="G56" s="465"/>
      <c r="H56" s="465"/>
      <c r="I56" s="465"/>
      <c r="J56" s="465"/>
      <c r="K56" s="465"/>
      <c r="L56" s="465"/>
      <c r="M56" s="465"/>
      <c r="N56" s="465"/>
      <c r="O56" s="465"/>
      <c r="P56" s="465"/>
      <c r="Q56" s="465"/>
      <c r="R56" s="465"/>
      <c r="S56" s="465"/>
      <c r="T56" s="465"/>
      <c r="U56" s="465"/>
      <c r="V56" s="465"/>
      <c r="W56" s="465"/>
      <c r="X56" s="465"/>
      <c r="Y56" s="465"/>
      <c r="Z56" s="465"/>
    </row>
    <row r="57" spans="1:26" ht="15.75" customHeight="1">
      <c r="A57" s="465"/>
      <c r="B57" s="465"/>
      <c r="C57" s="465"/>
      <c r="D57" s="465"/>
      <c r="E57" s="465"/>
      <c r="F57" s="465"/>
      <c r="G57" s="465"/>
      <c r="H57" s="465"/>
      <c r="I57" s="465"/>
      <c r="J57" s="465"/>
      <c r="K57" s="465"/>
      <c r="L57" s="465"/>
      <c r="M57" s="465"/>
      <c r="N57" s="465"/>
      <c r="O57" s="465"/>
      <c r="P57" s="465"/>
      <c r="Q57" s="465"/>
      <c r="R57" s="465"/>
      <c r="S57" s="465"/>
      <c r="T57" s="465"/>
      <c r="U57" s="465"/>
      <c r="V57" s="465"/>
      <c r="W57" s="465"/>
      <c r="X57" s="465"/>
      <c r="Y57" s="465"/>
      <c r="Z57" s="465"/>
    </row>
    <row r="58" spans="1:26" ht="15.75" customHeight="1">
      <c r="A58" s="465"/>
      <c r="B58" s="465"/>
      <c r="C58" s="465"/>
      <c r="D58" s="465"/>
      <c r="E58" s="465"/>
      <c r="F58" s="465"/>
      <c r="G58" s="465"/>
      <c r="H58" s="465"/>
      <c r="I58" s="465"/>
      <c r="J58" s="465"/>
      <c r="K58" s="465"/>
      <c r="L58" s="465"/>
      <c r="M58" s="465"/>
      <c r="N58" s="465"/>
      <c r="O58" s="465"/>
      <c r="P58" s="465"/>
      <c r="Q58" s="465"/>
      <c r="R58" s="465"/>
      <c r="S58" s="465"/>
      <c r="T58" s="465"/>
      <c r="U58" s="465"/>
      <c r="V58" s="465"/>
      <c r="W58" s="465"/>
      <c r="X58" s="465"/>
      <c r="Y58" s="465"/>
      <c r="Z58" s="465"/>
    </row>
    <row r="59" spans="1:26" ht="15.75" customHeight="1">
      <c r="A59" s="465"/>
      <c r="B59" s="465"/>
      <c r="C59" s="465"/>
      <c r="D59" s="465"/>
      <c r="E59" s="465"/>
      <c r="F59" s="465"/>
      <c r="G59" s="465"/>
      <c r="H59" s="465"/>
      <c r="I59" s="465"/>
      <c r="J59" s="465"/>
      <c r="K59" s="465"/>
      <c r="L59" s="465"/>
      <c r="M59" s="465"/>
      <c r="N59" s="465"/>
      <c r="O59" s="465"/>
      <c r="P59" s="465"/>
      <c r="Q59" s="465"/>
      <c r="R59" s="465"/>
      <c r="S59" s="465"/>
      <c r="T59" s="465"/>
      <c r="U59" s="465"/>
      <c r="V59" s="465"/>
      <c r="W59" s="465"/>
      <c r="X59" s="465"/>
      <c r="Y59" s="465"/>
      <c r="Z59" s="465"/>
    </row>
    <row r="60" spans="1:26" ht="15.75" customHeight="1">
      <c r="A60" s="465"/>
      <c r="B60" s="465"/>
      <c r="C60" s="465"/>
      <c r="D60" s="465"/>
      <c r="E60" s="465"/>
      <c r="F60" s="465"/>
      <c r="G60" s="465"/>
      <c r="H60" s="465"/>
      <c r="I60" s="465"/>
      <c r="J60" s="465"/>
      <c r="K60" s="465"/>
      <c r="L60" s="465"/>
      <c r="M60" s="465"/>
      <c r="N60" s="465"/>
      <c r="O60" s="465"/>
      <c r="P60" s="465"/>
      <c r="Q60" s="465"/>
      <c r="R60" s="465"/>
      <c r="S60" s="465"/>
      <c r="T60" s="465"/>
      <c r="U60" s="465"/>
      <c r="V60" s="465"/>
      <c r="W60" s="465"/>
      <c r="X60" s="465"/>
      <c r="Y60" s="465"/>
      <c r="Z60" s="465"/>
    </row>
    <row r="61" spans="1:26" ht="15.75" customHeight="1">
      <c r="A61" s="465"/>
      <c r="B61" s="465"/>
      <c r="C61" s="465"/>
      <c r="D61" s="465"/>
      <c r="E61" s="465"/>
      <c r="F61" s="465"/>
      <c r="G61" s="465"/>
      <c r="H61" s="465"/>
      <c r="I61" s="465"/>
      <c r="J61" s="465"/>
      <c r="K61" s="465"/>
      <c r="L61" s="465"/>
      <c r="M61" s="465"/>
      <c r="N61" s="465"/>
      <c r="O61" s="465"/>
      <c r="P61" s="465"/>
      <c r="Q61" s="465"/>
      <c r="R61" s="465"/>
      <c r="S61" s="465"/>
      <c r="T61" s="465"/>
      <c r="U61" s="465"/>
      <c r="V61" s="465"/>
      <c r="W61" s="465"/>
      <c r="X61" s="465"/>
      <c r="Y61" s="465"/>
      <c r="Z61" s="465"/>
    </row>
    <row r="62" spans="1:26" ht="15.75" customHeight="1">
      <c r="A62" s="465"/>
      <c r="B62" s="465"/>
      <c r="C62" s="465"/>
      <c r="D62" s="465"/>
      <c r="E62" s="465"/>
      <c r="F62" s="465"/>
      <c r="G62" s="465"/>
      <c r="H62" s="465"/>
      <c r="I62" s="465"/>
      <c r="J62" s="465"/>
      <c r="K62" s="465"/>
      <c r="L62" s="465"/>
      <c r="M62" s="465"/>
      <c r="N62" s="465"/>
      <c r="O62" s="465"/>
      <c r="P62" s="465"/>
      <c r="Q62" s="465"/>
      <c r="R62" s="465"/>
      <c r="S62" s="465"/>
      <c r="T62" s="465"/>
      <c r="U62" s="465"/>
      <c r="V62" s="465"/>
      <c r="W62" s="465"/>
      <c r="X62" s="465"/>
      <c r="Y62" s="465"/>
      <c r="Z62" s="465"/>
    </row>
    <row r="63" spans="1:26" ht="15.75" customHeight="1">
      <c r="A63" s="465"/>
      <c r="B63" s="465"/>
      <c r="C63" s="465"/>
      <c r="D63" s="465"/>
      <c r="E63" s="465"/>
      <c r="F63" s="465"/>
      <c r="G63" s="465"/>
      <c r="H63" s="465"/>
      <c r="I63" s="465"/>
      <c r="J63" s="465"/>
      <c r="K63" s="465"/>
      <c r="L63" s="465"/>
      <c r="M63" s="465"/>
      <c r="N63" s="465"/>
      <c r="O63" s="465"/>
      <c r="P63" s="465"/>
      <c r="Q63" s="465"/>
      <c r="R63" s="465"/>
      <c r="S63" s="465"/>
      <c r="T63" s="465"/>
      <c r="U63" s="465"/>
      <c r="V63" s="465"/>
      <c r="W63" s="465"/>
      <c r="X63" s="465"/>
      <c r="Y63" s="465"/>
      <c r="Z63" s="465"/>
    </row>
    <row r="64" spans="1:26" ht="15.75" customHeight="1">
      <c r="A64" s="465"/>
      <c r="B64" s="465"/>
      <c r="C64" s="465"/>
      <c r="D64" s="465"/>
      <c r="E64" s="465"/>
      <c r="F64" s="465"/>
      <c r="G64" s="465"/>
      <c r="H64" s="465"/>
      <c r="I64" s="465"/>
      <c r="J64" s="465"/>
      <c r="K64" s="465"/>
      <c r="L64" s="465"/>
      <c r="M64" s="465"/>
      <c r="N64" s="465"/>
      <c r="O64" s="465"/>
      <c r="P64" s="465"/>
      <c r="Q64" s="465"/>
      <c r="R64" s="465"/>
      <c r="S64" s="465"/>
      <c r="T64" s="465"/>
      <c r="U64" s="465"/>
      <c r="V64" s="465"/>
      <c r="W64" s="465"/>
      <c r="X64" s="465"/>
      <c r="Y64" s="465"/>
      <c r="Z64" s="465"/>
    </row>
    <row r="65" spans="1:26" ht="15.75" customHeight="1">
      <c r="A65" s="465"/>
      <c r="B65" s="465"/>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row>
    <row r="66" spans="1:26" ht="15.75" customHeight="1">
      <c r="A66" s="465"/>
      <c r="B66" s="465"/>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row>
    <row r="67" spans="1:26" ht="15.75" customHeight="1">
      <c r="A67" s="465"/>
      <c r="B67" s="465"/>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row>
    <row r="68" spans="1:26" ht="15.75" customHeight="1">
      <c r="A68" s="465"/>
      <c r="B68" s="465"/>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row>
    <row r="69" spans="1:26" ht="15.75" customHeight="1">
      <c r="A69" s="465"/>
      <c r="B69" s="465"/>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row>
    <row r="70" spans="1:26" ht="15.75" customHeight="1">
      <c r="A70" s="465"/>
      <c r="B70" s="465"/>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row>
    <row r="71" spans="1:26" ht="15.75" customHeight="1">
      <c r="A71" s="465"/>
      <c r="B71" s="465"/>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row>
    <row r="72" spans="1:26" ht="15.75" customHeight="1">
      <c r="A72" s="465"/>
      <c r="B72" s="465"/>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row>
    <row r="73" spans="1:26" ht="15.75" customHeight="1">
      <c r="A73" s="465"/>
      <c r="B73" s="465"/>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row>
    <row r="74" spans="1:26" ht="15.75" customHeight="1">
      <c r="A74" s="465"/>
      <c r="B74" s="465"/>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row>
    <row r="75" spans="1:26" ht="15.75" customHeight="1">
      <c r="A75" s="465"/>
      <c r="B75" s="465"/>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row>
    <row r="76" spans="1:26" ht="15.75" customHeight="1">
      <c r="A76" s="465"/>
      <c r="B76" s="465"/>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row>
    <row r="77" spans="1:26" ht="15.75" customHeight="1">
      <c r="A77" s="465"/>
      <c r="B77" s="465"/>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row>
    <row r="78" spans="1:26" ht="15.75" customHeight="1">
      <c r="A78" s="465"/>
      <c r="B78" s="465"/>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row>
    <row r="79" spans="1:26" ht="15.75" customHeight="1">
      <c r="A79" s="465"/>
      <c r="B79" s="465"/>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row>
    <row r="80" spans="1:26" ht="15.75" customHeight="1">
      <c r="A80" s="465"/>
      <c r="B80" s="465"/>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row>
    <row r="81" spans="1:26" ht="15.75" customHeight="1">
      <c r="A81" s="465"/>
      <c r="B81" s="465"/>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row>
    <row r="82" spans="1:26" ht="15.75" customHeight="1">
      <c r="A82" s="465"/>
      <c r="B82" s="465"/>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row>
    <row r="83" spans="1:26" ht="15.75" customHeight="1">
      <c r="A83" s="465"/>
      <c r="B83" s="465"/>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row>
    <row r="84" spans="1:26" ht="15.75" customHeight="1">
      <c r="A84" s="465"/>
      <c r="B84" s="465"/>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row>
    <row r="85" spans="1:26" ht="15.75" customHeight="1">
      <c r="A85" s="465"/>
      <c r="B85" s="465"/>
      <c r="C85" s="465"/>
      <c r="D85" s="465"/>
      <c r="E85" s="465"/>
      <c r="F85" s="465"/>
      <c r="G85" s="465"/>
      <c r="H85" s="465"/>
      <c r="I85" s="465"/>
      <c r="J85" s="465"/>
      <c r="K85" s="465"/>
      <c r="L85" s="465"/>
      <c r="M85" s="465"/>
      <c r="N85" s="465"/>
      <c r="O85" s="465"/>
      <c r="P85" s="465"/>
      <c r="Q85" s="465"/>
      <c r="R85" s="465"/>
      <c r="S85" s="465"/>
      <c r="T85" s="465"/>
      <c r="U85" s="465"/>
      <c r="V85" s="465"/>
      <c r="W85" s="465"/>
      <c r="X85" s="465"/>
      <c r="Y85" s="465"/>
      <c r="Z85" s="465"/>
    </row>
    <row r="86" spans="1:26" ht="15.75" customHeight="1">
      <c r="A86" s="465"/>
      <c r="B86" s="465"/>
      <c r="C86" s="465"/>
      <c r="D86" s="465"/>
      <c r="E86" s="465"/>
      <c r="F86" s="465"/>
      <c r="G86" s="465"/>
      <c r="H86" s="465"/>
      <c r="I86" s="465"/>
      <c r="J86" s="465"/>
      <c r="K86" s="465"/>
      <c r="L86" s="465"/>
      <c r="M86" s="465"/>
      <c r="N86" s="465"/>
      <c r="O86" s="465"/>
      <c r="P86" s="465"/>
      <c r="Q86" s="465"/>
      <c r="R86" s="465"/>
      <c r="S86" s="465"/>
      <c r="T86" s="465"/>
      <c r="U86" s="465"/>
      <c r="V86" s="465"/>
      <c r="W86" s="465"/>
      <c r="X86" s="465"/>
      <c r="Y86" s="465"/>
      <c r="Z86" s="465"/>
    </row>
    <row r="87" spans="1:26" ht="15.75" customHeight="1">
      <c r="A87" s="465"/>
      <c r="B87" s="465"/>
      <c r="C87" s="465"/>
      <c r="D87" s="465"/>
      <c r="E87" s="465"/>
      <c r="F87" s="465"/>
      <c r="G87" s="465"/>
      <c r="H87" s="465"/>
      <c r="I87" s="465"/>
      <c r="J87" s="465"/>
      <c r="K87" s="465"/>
      <c r="L87" s="465"/>
      <c r="M87" s="465"/>
      <c r="N87" s="465"/>
      <c r="O87" s="465"/>
      <c r="P87" s="465"/>
      <c r="Q87" s="465"/>
      <c r="R87" s="465"/>
      <c r="S87" s="465"/>
      <c r="T87" s="465"/>
      <c r="U87" s="465"/>
      <c r="V87" s="465"/>
      <c r="W87" s="465"/>
      <c r="X87" s="465"/>
      <c r="Y87" s="465"/>
      <c r="Z87" s="465"/>
    </row>
    <row r="88" spans="1:26" ht="15.75" customHeight="1">
      <c r="A88" s="465"/>
      <c r="B88" s="465"/>
      <c r="C88" s="465"/>
      <c r="D88" s="465"/>
      <c r="E88" s="465"/>
      <c r="F88" s="465"/>
      <c r="G88" s="465"/>
      <c r="H88" s="465"/>
      <c r="I88" s="465"/>
      <c r="J88" s="465"/>
      <c r="K88" s="465"/>
      <c r="L88" s="465"/>
      <c r="M88" s="465"/>
      <c r="N88" s="465"/>
      <c r="O88" s="465"/>
      <c r="P88" s="465"/>
      <c r="Q88" s="465"/>
      <c r="R88" s="465"/>
      <c r="S88" s="465"/>
      <c r="T88" s="465"/>
      <c r="U88" s="465"/>
      <c r="V88" s="465"/>
      <c r="W88" s="465"/>
      <c r="X88" s="465"/>
      <c r="Y88" s="465"/>
      <c r="Z88" s="465"/>
    </row>
    <row r="89" spans="1:26" ht="15.75" customHeight="1">
      <c r="A89" s="465"/>
      <c r="B89" s="465"/>
      <c r="C89" s="465"/>
      <c r="D89" s="465"/>
      <c r="E89" s="465"/>
      <c r="F89" s="465"/>
      <c r="G89" s="465"/>
      <c r="H89" s="465"/>
      <c r="I89" s="465"/>
      <c r="J89" s="465"/>
      <c r="K89" s="465"/>
      <c r="L89" s="465"/>
      <c r="M89" s="465"/>
      <c r="N89" s="465"/>
      <c r="O89" s="465"/>
      <c r="P89" s="465"/>
      <c r="Q89" s="465"/>
      <c r="R89" s="465"/>
      <c r="S89" s="465"/>
      <c r="T89" s="465"/>
      <c r="U89" s="465"/>
      <c r="V89" s="465"/>
      <c r="W89" s="465"/>
      <c r="X89" s="465"/>
      <c r="Y89" s="465"/>
      <c r="Z89" s="465"/>
    </row>
    <row r="90" spans="1:26" ht="15.75" customHeight="1">
      <c r="A90" s="465"/>
      <c r="B90" s="465"/>
      <c r="C90" s="465"/>
      <c r="D90" s="465"/>
      <c r="E90" s="465"/>
      <c r="F90" s="465"/>
      <c r="G90" s="465"/>
      <c r="H90" s="465"/>
      <c r="I90" s="465"/>
      <c r="J90" s="465"/>
      <c r="K90" s="465"/>
      <c r="L90" s="465"/>
      <c r="M90" s="465"/>
      <c r="N90" s="465"/>
      <c r="O90" s="465"/>
      <c r="P90" s="465"/>
      <c r="Q90" s="465"/>
      <c r="R90" s="465"/>
      <c r="S90" s="465"/>
      <c r="T90" s="465"/>
      <c r="U90" s="465"/>
      <c r="V90" s="465"/>
      <c r="W90" s="465"/>
      <c r="X90" s="465"/>
      <c r="Y90" s="465"/>
      <c r="Z90" s="465"/>
    </row>
    <row r="91" spans="1:26" ht="15.75" customHeight="1">
      <c r="A91" s="465"/>
      <c r="B91" s="465"/>
      <c r="C91" s="465"/>
      <c r="D91" s="465"/>
      <c r="E91" s="465"/>
      <c r="F91" s="465"/>
      <c r="G91" s="465"/>
      <c r="H91" s="465"/>
      <c r="I91" s="465"/>
      <c r="J91" s="465"/>
      <c r="K91" s="465"/>
      <c r="L91" s="465"/>
      <c r="M91" s="465"/>
      <c r="N91" s="465"/>
      <c r="O91" s="465"/>
      <c r="P91" s="465"/>
      <c r="Q91" s="465"/>
      <c r="R91" s="465"/>
      <c r="S91" s="465"/>
      <c r="T91" s="465"/>
      <c r="U91" s="465"/>
      <c r="V91" s="465"/>
      <c r="W91" s="465"/>
      <c r="X91" s="465"/>
      <c r="Y91" s="465"/>
      <c r="Z91" s="465"/>
    </row>
    <row r="92" spans="1:26" ht="15.75" customHeight="1">
      <c r="A92" s="465"/>
      <c r="B92" s="465"/>
      <c r="C92" s="465"/>
      <c r="D92" s="465"/>
      <c r="E92" s="465"/>
      <c r="F92" s="465"/>
      <c r="G92" s="465"/>
      <c r="H92" s="465"/>
      <c r="I92" s="465"/>
      <c r="J92" s="465"/>
      <c r="K92" s="465"/>
      <c r="L92" s="465"/>
      <c r="M92" s="465"/>
      <c r="N92" s="465"/>
      <c r="O92" s="465"/>
      <c r="P92" s="465"/>
      <c r="Q92" s="465"/>
      <c r="R92" s="465"/>
      <c r="S92" s="465"/>
      <c r="T92" s="465"/>
      <c r="U92" s="465"/>
      <c r="V92" s="465"/>
      <c r="W92" s="465"/>
      <c r="X92" s="465"/>
      <c r="Y92" s="465"/>
      <c r="Z92" s="465"/>
    </row>
    <row r="93" spans="1:26" ht="15.75" customHeight="1">
      <c r="A93" s="465"/>
      <c r="B93" s="465"/>
      <c r="C93" s="465"/>
      <c r="D93" s="465"/>
      <c r="E93" s="465"/>
      <c r="F93" s="465"/>
      <c r="G93" s="465"/>
      <c r="H93" s="465"/>
      <c r="I93" s="465"/>
      <c r="J93" s="465"/>
      <c r="K93" s="465"/>
      <c r="L93" s="465"/>
      <c r="M93" s="465"/>
      <c r="N93" s="465"/>
      <c r="O93" s="465"/>
      <c r="P93" s="465"/>
      <c r="Q93" s="465"/>
      <c r="R93" s="465"/>
      <c r="S93" s="465"/>
      <c r="T93" s="465"/>
      <c r="U93" s="465"/>
      <c r="V93" s="465"/>
      <c r="W93" s="465"/>
      <c r="X93" s="465"/>
      <c r="Y93" s="465"/>
      <c r="Z93" s="465"/>
    </row>
    <row r="94" spans="1:26" ht="15.75" customHeight="1">
      <c r="A94" s="465"/>
      <c r="B94" s="465"/>
      <c r="C94" s="465"/>
      <c r="D94" s="465"/>
      <c r="E94" s="465"/>
      <c r="F94" s="465"/>
      <c r="G94" s="465"/>
      <c r="H94" s="465"/>
      <c r="I94" s="465"/>
      <c r="J94" s="465"/>
      <c r="K94" s="465"/>
      <c r="L94" s="465"/>
      <c r="M94" s="465"/>
      <c r="N94" s="465"/>
      <c r="O94" s="465"/>
      <c r="P94" s="465"/>
      <c r="Q94" s="465"/>
      <c r="R94" s="465"/>
      <c r="S94" s="465"/>
      <c r="T94" s="465"/>
      <c r="U94" s="465"/>
      <c r="V94" s="465"/>
      <c r="W94" s="465"/>
      <c r="X94" s="465"/>
      <c r="Y94" s="465"/>
      <c r="Z94" s="465"/>
    </row>
    <row r="95" spans="1:26" ht="15.75" customHeight="1">
      <c r="A95" s="465"/>
      <c r="B95" s="465"/>
      <c r="C95" s="465"/>
      <c r="D95" s="465"/>
      <c r="E95" s="465"/>
      <c r="F95" s="465"/>
      <c r="G95" s="465"/>
      <c r="H95" s="465"/>
      <c r="I95" s="465"/>
      <c r="J95" s="465"/>
      <c r="K95" s="465"/>
      <c r="L95" s="465"/>
      <c r="M95" s="465"/>
      <c r="N95" s="465"/>
      <c r="O95" s="465"/>
      <c r="P95" s="465"/>
      <c r="Q95" s="465"/>
      <c r="R95" s="465"/>
      <c r="S95" s="465"/>
      <c r="T95" s="465"/>
      <c r="U95" s="465"/>
      <c r="V95" s="465"/>
      <c r="W95" s="465"/>
      <c r="X95" s="465"/>
      <c r="Y95" s="465"/>
      <c r="Z95" s="465"/>
    </row>
    <row r="96" spans="1:26" ht="15.75" customHeight="1">
      <c r="A96" s="465"/>
      <c r="B96" s="465"/>
      <c r="C96" s="465"/>
      <c r="D96" s="465"/>
      <c r="E96" s="465"/>
      <c r="F96" s="465"/>
      <c r="G96" s="465"/>
      <c r="H96" s="465"/>
      <c r="I96" s="465"/>
      <c r="J96" s="465"/>
      <c r="K96" s="465"/>
      <c r="L96" s="465"/>
      <c r="M96" s="465"/>
      <c r="N96" s="465"/>
      <c r="O96" s="465"/>
      <c r="P96" s="465"/>
      <c r="Q96" s="465"/>
      <c r="R96" s="465"/>
      <c r="S96" s="465"/>
      <c r="T96" s="465"/>
      <c r="U96" s="465"/>
      <c r="V96" s="465"/>
      <c r="W96" s="465"/>
      <c r="X96" s="465"/>
      <c r="Y96" s="465"/>
      <c r="Z96" s="465"/>
    </row>
    <row r="97" spans="1:26" ht="15.75" customHeight="1">
      <c r="A97" s="465"/>
      <c r="B97" s="465"/>
      <c r="C97" s="465"/>
      <c r="D97" s="465"/>
      <c r="E97" s="465"/>
      <c r="F97" s="465"/>
      <c r="G97" s="465"/>
      <c r="H97" s="465"/>
      <c r="I97" s="465"/>
      <c r="J97" s="465"/>
      <c r="K97" s="465"/>
      <c r="L97" s="465"/>
      <c r="M97" s="465"/>
      <c r="N97" s="465"/>
      <c r="O97" s="465"/>
      <c r="P97" s="465"/>
      <c r="Q97" s="465"/>
      <c r="R97" s="465"/>
      <c r="S97" s="465"/>
      <c r="T97" s="465"/>
      <c r="U97" s="465"/>
      <c r="V97" s="465"/>
      <c r="W97" s="465"/>
      <c r="X97" s="465"/>
      <c r="Y97" s="465"/>
      <c r="Z97" s="465"/>
    </row>
    <row r="98" spans="1:26" ht="15.75" customHeight="1">
      <c r="A98" s="465"/>
      <c r="B98" s="465"/>
      <c r="C98" s="465"/>
      <c r="D98" s="465"/>
      <c r="E98" s="465"/>
      <c r="F98" s="465"/>
      <c r="G98" s="465"/>
      <c r="H98" s="465"/>
      <c r="I98" s="465"/>
      <c r="J98" s="465"/>
      <c r="K98" s="465"/>
      <c r="L98" s="465"/>
      <c r="M98" s="465"/>
      <c r="N98" s="465"/>
      <c r="O98" s="465"/>
      <c r="P98" s="465"/>
      <c r="Q98" s="465"/>
      <c r="R98" s="465"/>
      <c r="S98" s="465"/>
      <c r="T98" s="465"/>
      <c r="U98" s="465"/>
      <c r="V98" s="465"/>
      <c r="W98" s="465"/>
      <c r="X98" s="465"/>
      <c r="Y98" s="465"/>
      <c r="Z98" s="465"/>
    </row>
    <row r="99" spans="1:26" ht="15.75" customHeight="1">
      <c r="A99" s="465"/>
      <c r="B99" s="465"/>
      <c r="C99" s="465"/>
      <c r="D99" s="465"/>
      <c r="E99" s="465"/>
      <c r="F99" s="465"/>
      <c r="G99" s="465"/>
      <c r="H99" s="465"/>
      <c r="I99" s="465"/>
      <c r="J99" s="465"/>
      <c r="K99" s="465"/>
      <c r="L99" s="465"/>
      <c r="M99" s="465"/>
      <c r="N99" s="465"/>
      <c r="O99" s="465"/>
      <c r="P99" s="465"/>
      <c r="Q99" s="465"/>
      <c r="R99" s="465"/>
      <c r="S99" s="465"/>
      <c r="T99" s="465"/>
      <c r="U99" s="465"/>
      <c r="V99" s="465"/>
      <c r="W99" s="465"/>
      <c r="X99" s="465"/>
      <c r="Y99" s="465"/>
      <c r="Z99" s="465"/>
    </row>
    <row r="100" spans="1:26" ht="15.75" customHeight="1">
      <c r="A100" s="465"/>
      <c r="B100" s="465"/>
      <c r="C100" s="465"/>
      <c r="D100" s="465"/>
      <c r="E100" s="465"/>
      <c r="F100" s="465"/>
      <c r="G100" s="465"/>
      <c r="H100" s="465"/>
      <c r="I100" s="465"/>
      <c r="J100" s="465"/>
      <c r="K100" s="465"/>
      <c r="L100" s="465"/>
      <c r="M100" s="465"/>
      <c r="N100" s="465"/>
      <c r="O100" s="465"/>
      <c r="P100" s="465"/>
      <c r="Q100" s="465"/>
      <c r="R100" s="465"/>
      <c r="S100" s="465"/>
      <c r="T100" s="465"/>
      <c r="U100" s="465"/>
      <c r="V100" s="465"/>
      <c r="W100" s="465"/>
      <c r="X100" s="465"/>
      <c r="Y100" s="465"/>
      <c r="Z100" s="465"/>
    </row>
    <row r="101" spans="1:26" ht="15.75" customHeight="1">
      <c r="A101" s="465"/>
      <c r="B101" s="465"/>
      <c r="C101" s="465"/>
      <c r="D101" s="465"/>
      <c r="E101" s="465"/>
      <c r="F101" s="465"/>
      <c r="G101" s="465"/>
      <c r="H101" s="465"/>
      <c r="I101" s="465"/>
      <c r="J101" s="465"/>
      <c r="K101" s="465"/>
      <c r="L101" s="465"/>
      <c r="M101" s="465"/>
      <c r="N101" s="465"/>
      <c r="O101" s="465"/>
      <c r="P101" s="465"/>
      <c r="Q101" s="465"/>
      <c r="R101" s="465"/>
      <c r="S101" s="465"/>
      <c r="T101" s="465"/>
      <c r="U101" s="465"/>
      <c r="V101" s="465"/>
      <c r="W101" s="465"/>
      <c r="X101" s="465"/>
      <c r="Y101" s="465"/>
      <c r="Z101" s="465"/>
    </row>
    <row r="102" spans="1:26" ht="15.75" customHeight="1">
      <c r="A102" s="465"/>
      <c r="B102" s="465"/>
      <c r="C102" s="465"/>
      <c r="D102" s="465"/>
      <c r="E102" s="465"/>
      <c r="F102" s="465"/>
      <c r="G102" s="465"/>
      <c r="H102" s="465"/>
      <c r="I102" s="465"/>
      <c r="J102" s="465"/>
      <c r="K102" s="465"/>
      <c r="L102" s="465"/>
      <c r="M102" s="465"/>
      <c r="N102" s="465"/>
      <c r="O102" s="465"/>
      <c r="P102" s="465"/>
      <c r="Q102" s="465"/>
      <c r="R102" s="465"/>
      <c r="S102" s="465"/>
      <c r="T102" s="465"/>
      <c r="U102" s="465"/>
      <c r="V102" s="465"/>
      <c r="W102" s="465"/>
      <c r="X102" s="465"/>
      <c r="Y102" s="465"/>
      <c r="Z102" s="465"/>
    </row>
    <row r="103" spans="1:26" ht="15.75" customHeight="1">
      <c r="A103" s="465"/>
      <c r="B103" s="465"/>
      <c r="C103" s="465"/>
      <c r="D103" s="465"/>
      <c r="E103" s="465"/>
      <c r="F103" s="465"/>
      <c r="G103" s="465"/>
      <c r="H103" s="465"/>
      <c r="I103" s="465"/>
      <c r="J103" s="465"/>
      <c r="K103" s="465"/>
      <c r="L103" s="465"/>
      <c r="M103" s="465"/>
      <c r="N103" s="465"/>
      <c r="O103" s="465"/>
      <c r="P103" s="465"/>
      <c r="Q103" s="465"/>
      <c r="R103" s="465"/>
      <c r="S103" s="465"/>
      <c r="T103" s="465"/>
      <c r="U103" s="465"/>
      <c r="V103" s="465"/>
      <c r="W103" s="465"/>
      <c r="X103" s="465"/>
      <c r="Y103" s="465"/>
      <c r="Z103" s="465"/>
    </row>
    <row r="104" spans="1:26" ht="15.75" customHeight="1">
      <c r="A104" s="465"/>
      <c r="B104" s="465"/>
      <c r="C104" s="465"/>
      <c r="D104" s="465"/>
      <c r="E104" s="465"/>
      <c r="F104" s="465"/>
      <c r="G104" s="465"/>
      <c r="H104" s="465"/>
      <c r="I104" s="465"/>
      <c r="J104" s="465"/>
      <c r="K104" s="465"/>
      <c r="L104" s="465"/>
      <c r="M104" s="465"/>
      <c r="N104" s="465"/>
      <c r="O104" s="465"/>
      <c r="P104" s="465"/>
      <c r="Q104" s="465"/>
      <c r="R104" s="465"/>
      <c r="S104" s="465"/>
      <c r="T104" s="465"/>
      <c r="U104" s="465"/>
      <c r="V104" s="465"/>
      <c r="W104" s="465"/>
      <c r="X104" s="465"/>
      <c r="Y104" s="465"/>
      <c r="Z104" s="465"/>
    </row>
    <row r="105" spans="1:26" ht="15.75" customHeight="1">
      <c r="A105" s="465"/>
      <c r="B105" s="465"/>
      <c r="C105" s="465"/>
      <c r="D105" s="465"/>
      <c r="E105" s="465"/>
      <c r="F105" s="465"/>
      <c r="G105" s="465"/>
      <c r="H105" s="465"/>
      <c r="I105" s="465"/>
      <c r="J105" s="465"/>
      <c r="K105" s="465"/>
      <c r="L105" s="465"/>
      <c r="M105" s="465"/>
      <c r="N105" s="465"/>
      <c r="O105" s="465"/>
      <c r="P105" s="465"/>
      <c r="Q105" s="465"/>
      <c r="R105" s="465"/>
      <c r="S105" s="465"/>
      <c r="T105" s="465"/>
      <c r="U105" s="465"/>
      <c r="V105" s="465"/>
      <c r="W105" s="465"/>
      <c r="X105" s="465"/>
      <c r="Y105" s="465"/>
      <c r="Z105" s="465"/>
    </row>
    <row r="106" spans="1:26" ht="15.75" customHeight="1">
      <c r="A106" s="465"/>
      <c r="B106" s="465"/>
      <c r="C106" s="465"/>
      <c r="D106" s="465"/>
      <c r="E106" s="465"/>
      <c r="F106" s="465"/>
      <c r="G106" s="465"/>
      <c r="H106" s="465"/>
      <c r="I106" s="465"/>
      <c r="J106" s="465"/>
      <c r="K106" s="465"/>
      <c r="L106" s="465"/>
      <c r="M106" s="465"/>
      <c r="N106" s="465"/>
      <c r="O106" s="465"/>
      <c r="P106" s="465"/>
      <c r="Q106" s="465"/>
      <c r="R106" s="465"/>
      <c r="S106" s="465"/>
      <c r="T106" s="465"/>
      <c r="U106" s="465"/>
      <c r="V106" s="465"/>
      <c r="W106" s="465"/>
      <c r="X106" s="465"/>
      <c r="Y106" s="465"/>
      <c r="Z106" s="465"/>
    </row>
    <row r="107" spans="1:26" ht="15.75" customHeight="1">
      <c r="A107" s="465"/>
      <c r="B107" s="465"/>
      <c r="C107" s="465"/>
      <c r="D107" s="465"/>
      <c r="E107" s="465"/>
      <c r="F107" s="465"/>
      <c r="G107" s="465"/>
      <c r="H107" s="465"/>
      <c r="I107" s="465"/>
      <c r="J107" s="465"/>
      <c r="K107" s="465"/>
      <c r="L107" s="465"/>
      <c r="M107" s="465"/>
      <c r="N107" s="465"/>
      <c r="O107" s="465"/>
      <c r="P107" s="465"/>
      <c r="Q107" s="465"/>
      <c r="R107" s="465"/>
      <c r="S107" s="465"/>
      <c r="T107" s="465"/>
      <c r="U107" s="465"/>
      <c r="V107" s="465"/>
      <c r="W107" s="465"/>
      <c r="X107" s="465"/>
      <c r="Y107" s="465"/>
      <c r="Z107" s="465"/>
    </row>
    <row r="108" spans="1:26" ht="15.75" customHeight="1">
      <c r="A108" s="465"/>
      <c r="B108" s="465"/>
      <c r="C108" s="465"/>
      <c r="D108" s="465"/>
      <c r="E108" s="465"/>
      <c r="F108" s="465"/>
      <c r="G108" s="465"/>
      <c r="H108" s="465"/>
      <c r="I108" s="465"/>
      <c r="J108" s="465"/>
      <c r="K108" s="465"/>
      <c r="L108" s="465"/>
      <c r="M108" s="465"/>
      <c r="N108" s="465"/>
      <c r="O108" s="465"/>
      <c r="P108" s="465"/>
      <c r="Q108" s="465"/>
      <c r="R108" s="465"/>
      <c r="S108" s="465"/>
      <c r="T108" s="465"/>
      <c r="U108" s="465"/>
      <c r="V108" s="465"/>
      <c r="W108" s="465"/>
      <c r="X108" s="465"/>
      <c r="Y108" s="465"/>
      <c r="Z108" s="465"/>
    </row>
    <row r="109" spans="1:26" ht="15.75" customHeight="1">
      <c r="A109" s="465"/>
      <c r="B109" s="465"/>
      <c r="C109" s="465"/>
      <c r="D109" s="465"/>
      <c r="E109" s="465"/>
      <c r="F109" s="465"/>
      <c r="G109" s="465"/>
      <c r="H109" s="465"/>
      <c r="I109" s="465"/>
      <c r="J109" s="465"/>
      <c r="K109" s="465"/>
      <c r="L109" s="465"/>
      <c r="M109" s="465"/>
      <c r="N109" s="465"/>
      <c r="O109" s="465"/>
      <c r="P109" s="465"/>
      <c r="Q109" s="465"/>
      <c r="R109" s="465"/>
      <c r="S109" s="465"/>
      <c r="T109" s="465"/>
      <c r="U109" s="465"/>
      <c r="V109" s="465"/>
      <c r="W109" s="465"/>
      <c r="X109" s="465"/>
      <c r="Y109" s="465"/>
      <c r="Z109" s="465"/>
    </row>
    <row r="110" spans="1:26" ht="15.75" customHeight="1">
      <c r="A110" s="465"/>
      <c r="B110" s="465"/>
      <c r="C110" s="465"/>
      <c r="D110" s="465"/>
      <c r="E110" s="465"/>
      <c r="F110" s="465"/>
      <c r="G110" s="465"/>
      <c r="H110" s="465"/>
      <c r="I110" s="465"/>
      <c r="J110" s="465"/>
      <c r="K110" s="465"/>
      <c r="L110" s="465"/>
      <c r="M110" s="465"/>
      <c r="N110" s="465"/>
      <c r="O110" s="465"/>
      <c r="P110" s="465"/>
      <c r="Q110" s="465"/>
      <c r="R110" s="465"/>
      <c r="S110" s="465"/>
      <c r="T110" s="465"/>
      <c r="U110" s="465"/>
      <c r="V110" s="465"/>
      <c r="W110" s="465"/>
      <c r="X110" s="465"/>
      <c r="Y110" s="465"/>
      <c r="Z110" s="465"/>
    </row>
    <row r="111" spans="1:26" ht="15.75" customHeight="1">
      <c r="A111" s="465"/>
      <c r="B111" s="465"/>
      <c r="C111" s="465"/>
      <c r="D111" s="465"/>
      <c r="E111" s="465"/>
      <c r="F111" s="465"/>
      <c r="G111" s="465"/>
      <c r="H111" s="465"/>
      <c r="I111" s="465"/>
      <c r="J111" s="465"/>
      <c r="K111" s="465"/>
      <c r="L111" s="465"/>
      <c r="M111" s="465"/>
      <c r="N111" s="465"/>
      <c r="O111" s="465"/>
      <c r="P111" s="465"/>
      <c r="Q111" s="465"/>
      <c r="R111" s="465"/>
      <c r="S111" s="465"/>
      <c r="T111" s="465"/>
      <c r="U111" s="465"/>
      <c r="V111" s="465"/>
      <c r="W111" s="465"/>
      <c r="X111" s="465"/>
      <c r="Y111" s="465"/>
      <c r="Z111" s="465"/>
    </row>
    <row r="112" spans="1:26" ht="15.75" customHeight="1">
      <c r="A112" s="465"/>
      <c r="B112" s="465"/>
      <c r="C112" s="465"/>
      <c r="D112" s="465"/>
      <c r="E112" s="465"/>
      <c r="F112" s="465"/>
      <c r="G112" s="465"/>
      <c r="H112" s="465"/>
      <c r="I112" s="465"/>
      <c r="J112" s="465"/>
      <c r="K112" s="465"/>
      <c r="L112" s="465"/>
      <c r="M112" s="465"/>
      <c r="N112" s="465"/>
      <c r="O112" s="465"/>
      <c r="P112" s="465"/>
      <c r="Q112" s="465"/>
      <c r="R112" s="465"/>
      <c r="S112" s="465"/>
      <c r="T112" s="465"/>
      <c r="U112" s="465"/>
      <c r="V112" s="465"/>
      <c r="W112" s="465"/>
      <c r="X112" s="465"/>
      <c r="Y112" s="465"/>
      <c r="Z112" s="465"/>
    </row>
    <row r="113" spans="1:26" ht="15.75" customHeight="1">
      <c r="A113" s="465"/>
      <c r="B113" s="465"/>
      <c r="C113" s="465"/>
      <c r="D113" s="465"/>
      <c r="E113" s="465"/>
      <c r="F113" s="465"/>
      <c r="G113" s="465"/>
      <c r="H113" s="465"/>
      <c r="I113" s="465"/>
      <c r="J113" s="465"/>
      <c r="K113" s="465"/>
      <c r="L113" s="465"/>
      <c r="M113" s="465"/>
      <c r="N113" s="465"/>
      <c r="O113" s="465"/>
      <c r="P113" s="465"/>
      <c r="Q113" s="465"/>
      <c r="R113" s="465"/>
      <c r="S113" s="465"/>
      <c r="T113" s="465"/>
      <c r="U113" s="465"/>
      <c r="V113" s="465"/>
      <c r="W113" s="465"/>
      <c r="X113" s="465"/>
      <c r="Y113" s="465"/>
      <c r="Z113" s="465"/>
    </row>
    <row r="114" spans="1:26" ht="15.75" customHeight="1">
      <c r="A114" s="465"/>
      <c r="B114" s="465"/>
      <c r="C114" s="465"/>
      <c r="D114" s="465"/>
      <c r="E114" s="465"/>
      <c r="F114" s="465"/>
      <c r="G114" s="465"/>
      <c r="H114" s="465"/>
      <c r="I114" s="465"/>
      <c r="J114" s="465"/>
      <c r="K114" s="465"/>
      <c r="L114" s="465"/>
      <c r="M114" s="465"/>
      <c r="N114" s="465"/>
      <c r="O114" s="465"/>
      <c r="P114" s="465"/>
      <c r="Q114" s="465"/>
      <c r="R114" s="465"/>
      <c r="S114" s="465"/>
      <c r="T114" s="465"/>
      <c r="U114" s="465"/>
      <c r="V114" s="465"/>
      <c r="W114" s="465"/>
      <c r="X114" s="465"/>
      <c r="Y114" s="465"/>
      <c r="Z114" s="465"/>
    </row>
    <row r="115" spans="1:26" ht="15.75" customHeight="1">
      <c r="A115" s="465"/>
      <c r="B115" s="465"/>
      <c r="C115" s="465"/>
      <c r="D115" s="465"/>
      <c r="E115" s="465"/>
      <c r="F115" s="465"/>
      <c r="G115" s="465"/>
      <c r="H115" s="465"/>
      <c r="I115" s="465"/>
      <c r="J115" s="465"/>
      <c r="K115" s="465"/>
      <c r="L115" s="465"/>
      <c r="M115" s="465"/>
      <c r="N115" s="465"/>
      <c r="O115" s="465"/>
      <c r="P115" s="465"/>
      <c r="Q115" s="465"/>
      <c r="R115" s="465"/>
      <c r="S115" s="465"/>
      <c r="T115" s="465"/>
      <c r="U115" s="465"/>
      <c r="V115" s="465"/>
      <c r="W115" s="465"/>
      <c r="X115" s="465"/>
      <c r="Y115" s="465"/>
      <c r="Z115" s="465"/>
    </row>
    <row r="116" spans="1:26" ht="15.75" customHeight="1">
      <c r="A116" s="465"/>
      <c r="B116" s="465"/>
      <c r="C116" s="465"/>
      <c r="D116" s="465"/>
      <c r="E116" s="465"/>
      <c r="F116" s="465"/>
      <c r="G116" s="465"/>
      <c r="H116" s="465"/>
      <c r="I116" s="465"/>
      <c r="J116" s="465"/>
      <c r="K116" s="465"/>
      <c r="L116" s="465"/>
      <c r="M116" s="465"/>
      <c r="N116" s="465"/>
      <c r="O116" s="465"/>
      <c r="P116" s="465"/>
      <c r="Q116" s="465"/>
      <c r="R116" s="465"/>
      <c r="S116" s="465"/>
      <c r="T116" s="465"/>
      <c r="U116" s="465"/>
      <c r="V116" s="465"/>
      <c r="W116" s="465"/>
      <c r="X116" s="465"/>
      <c r="Y116" s="465"/>
      <c r="Z116" s="465"/>
    </row>
    <row r="117" spans="1:26" ht="15.75" customHeight="1">
      <c r="A117" s="465"/>
      <c r="B117" s="465"/>
      <c r="C117" s="465"/>
      <c r="D117" s="465"/>
      <c r="E117" s="465"/>
      <c r="F117" s="465"/>
      <c r="G117" s="465"/>
      <c r="H117" s="465"/>
      <c r="I117" s="465"/>
      <c r="J117" s="465"/>
      <c r="K117" s="465"/>
      <c r="L117" s="465"/>
      <c r="M117" s="465"/>
      <c r="N117" s="465"/>
      <c r="O117" s="465"/>
      <c r="P117" s="465"/>
      <c r="Q117" s="465"/>
      <c r="R117" s="465"/>
      <c r="S117" s="465"/>
      <c r="T117" s="465"/>
      <c r="U117" s="465"/>
      <c r="V117" s="465"/>
      <c r="W117" s="465"/>
      <c r="X117" s="465"/>
      <c r="Y117" s="465"/>
      <c r="Z117" s="465"/>
    </row>
    <row r="118" spans="1:26" ht="15.75" customHeight="1">
      <c r="A118" s="465"/>
      <c r="B118" s="465"/>
      <c r="C118" s="465"/>
      <c r="D118" s="465"/>
      <c r="E118" s="465"/>
      <c r="F118" s="465"/>
      <c r="G118" s="465"/>
      <c r="H118" s="465"/>
      <c r="I118" s="465"/>
      <c r="J118" s="465"/>
      <c r="K118" s="465"/>
      <c r="L118" s="465"/>
      <c r="M118" s="465"/>
      <c r="N118" s="465"/>
      <c r="O118" s="465"/>
      <c r="P118" s="465"/>
      <c r="Q118" s="465"/>
      <c r="R118" s="465"/>
      <c r="S118" s="465"/>
      <c r="T118" s="465"/>
      <c r="U118" s="465"/>
      <c r="V118" s="465"/>
      <c r="W118" s="465"/>
      <c r="X118" s="465"/>
      <c r="Y118" s="465"/>
      <c r="Z118" s="465"/>
    </row>
    <row r="119" spans="1:26" ht="15.75" customHeight="1">
      <c r="A119" s="465"/>
      <c r="B119" s="465"/>
      <c r="C119" s="465"/>
      <c r="D119" s="465"/>
      <c r="E119" s="465"/>
      <c r="F119" s="465"/>
      <c r="G119" s="465"/>
      <c r="H119" s="465"/>
      <c r="I119" s="465"/>
      <c r="J119" s="465"/>
      <c r="K119" s="465"/>
      <c r="L119" s="465"/>
      <c r="M119" s="465"/>
      <c r="N119" s="465"/>
      <c r="O119" s="465"/>
      <c r="P119" s="465"/>
      <c r="Q119" s="465"/>
      <c r="R119" s="465"/>
      <c r="S119" s="465"/>
      <c r="T119" s="465"/>
      <c r="U119" s="465"/>
      <c r="V119" s="465"/>
      <c r="W119" s="465"/>
      <c r="X119" s="465"/>
      <c r="Y119" s="465"/>
      <c r="Z119" s="465"/>
    </row>
    <row r="120" spans="1:26" ht="15.75" customHeight="1">
      <c r="A120" s="465"/>
      <c r="B120" s="465"/>
      <c r="C120" s="465"/>
      <c r="D120" s="465"/>
      <c r="E120" s="465"/>
      <c r="F120" s="465"/>
      <c r="G120" s="465"/>
      <c r="H120" s="465"/>
      <c r="I120" s="465"/>
      <c r="J120" s="465"/>
      <c r="K120" s="465"/>
      <c r="L120" s="465"/>
      <c r="M120" s="465"/>
      <c r="N120" s="465"/>
      <c r="O120" s="465"/>
      <c r="P120" s="465"/>
      <c r="Q120" s="465"/>
      <c r="R120" s="465"/>
      <c r="S120" s="465"/>
      <c r="T120" s="465"/>
      <c r="U120" s="465"/>
      <c r="V120" s="465"/>
      <c r="W120" s="465"/>
      <c r="X120" s="465"/>
      <c r="Y120" s="465"/>
      <c r="Z120" s="465"/>
    </row>
    <row r="121" spans="1:26" ht="15.75" customHeight="1">
      <c r="A121" s="465"/>
      <c r="B121" s="465"/>
      <c r="C121" s="465"/>
      <c r="D121" s="465"/>
      <c r="E121" s="465"/>
      <c r="F121" s="465"/>
      <c r="G121" s="465"/>
      <c r="H121" s="465"/>
      <c r="I121" s="465"/>
      <c r="J121" s="465"/>
      <c r="K121" s="465"/>
      <c r="L121" s="465"/>
      <c r="M121" s="465"/>
      <c r="N121" s="465"/>
      <c r="O121" s="465"/>
      <c r="P121" s="465"/>
      <c r="Q121" s="465"/>
      <c r="R121" s="465"/>
      <c r="S121" s="465"/>
      <c r="T121" s="465"/>
      <c r="U121" s="465"/>
      <c r="V121" s="465"/>
      <c r="W121" s="465"/>
      <c r="X121" s="465"/>
      <c r="Y121" s="465"/>
      <c r="Z121" s="465"/>
    </row>
    <row r="122" spans="1:26" ht="15.75" customHeight="1">
      <c r="A122" s="465"/>
      <c r="B122" s="465"/>
      <c r="C122" s="465"/>
      <c r="D122" s="465"/>
      <c r="E122" s="465"/>
      <c r="F122" s="465"/>
      <c r="G122" s="465"/>
      <c r="H122" s="465"/>
      <c r="I122" s="465"/>
      <c r="J122" s="465"/>
      <c r="K122" s="465"/>
      <c r="L122" s="465"/>
      <c r="M122" s="465"/>
      <c r="N122" s="465"/>
      <c r="O122" s="465"/>
      <c r="P122" s="465"/>
      <c r="Q122" s="465"/>
      <c r="R122" s="465"/>
      <c r="S122" s="465"/>
      <c r="T122" s="465"/>
      <c r="U122" s="465"/>
      <c r="V122" s="465"/>
      <c r="W122" s="465"/>
      <c r="X122" s="465"/>
      <c r="Y122" s="465"/>
      <c r="Z122" s="465"/>
    </row>
    <row r="123" spans="1:26" ht="15.75" customHeight="1">
      <c r="A123" s="465"/>
      <c r="B123" s="465"/>
      <c r="C123" s="465"/>
      <c r="D123" s="465"/>
      <c r="E123" s="465"/>
      <c r="F123" s="465"/>
      <c r="G123" s="465"/>
      <c r="H123" s="465"/>
      <c r="I123" s="465"/>
      <c r="J123" s="465"/>
      <c r="K123" s="465"/>
      <c r="L123" s="465"/>
      <c r="M123" s="465"/>
      <c r="N123" s="465"/>
      <c r="O123" s="465"/>
      <c r="P123" s="465"/>
      <c r="Q123" s="465"/>
      <c r="R123" s="465"/>
      <c r="S123" s="465"/>
      <c r="T123" s="465"/>
      <c r="U123" s="465"/>
      <c r="V123" s="465"/>
      <c r="W123" s="465"/>
      <c r="X123" s="465"/>
      <c r="Y123" s="465"/>
      <c r="Z123" s="465"/>
    </row>
    <row r="124" spans="1:26" ht="15.75" customHeight="1">
      <c r="A124" s="465"/>
      <c r="B124" s="465"/>
      <c r="C124" s="465"/>
      <c r="D124" s="465"/>
      <c r="E124" s="465"/>
      <c r="F124" s="465"/>
      <c r="G124" s="465"/>
      <c r="H124" s="465"/>
      <c r="I124" s="465"/>
      <c r="J124" s="465"/>
      <c r="K124" s="465"/>
      <c r="L124" s="465"/>
      <c r="M124" s="465"/>
      <c r="N124" s="465"/>
      <c r="O124" s="465"/>
      <c r="P124" s="465"/>
      <c r="Q124" s="465"/>
      <c r="R124" s="465"/>
      <c r="S124" s="465"/>
      <c r="T124" s="465"/>
      <c r="U124" s="465"/>
      <c r="V124" s="465"/>
      <c r="W124" s="465"/>
      <c r="X124" s="465"/>
      <c r="Y124" s="465"/>
      <c r="Z124" s="465"/>
    </row>
    <row r="125" spans="1:26" ht="15.75" customHeight="1">
      <c r="A125" s="465"/>
      <c r="B125" s="465"/>
      <c r="C125" s="465"/>
      <c r="D125" s="465"/>
      <c r="E125" s="465"/>
      <c r="F125" s="465"/>
      <c r="G125" s="465"/>
      <c r="H125" s="465"/>
      <c r="I125" s="465"/>
      <c r="J125" s="465"/>
      <c r="K125" s="465"/>
      <c r="L125" s="465"/>
      <c r="M125" s="465"/>
      <c r="N125" s="465"/>
      <c r="O125" s="465"/>
      <c r="P125" s="465"/>
      <c r="Q125" s="465"/>
      <c r="R125" s="465"/>
      <c r="S125" s="465"/>
      <c r="T125" s="465"/>
      <c r="U125" s="465"/>
      <c r="V125" s="465"/>
      <c r="W125" s="465"/>
      <c r="X125" s="465"/>
      <c r="Y125" s="465"/>
      <c r="Z125" s="465"/>
    </row>
    <row r="126" spans="1:26" ht="15.75" customHeight="1">
      <c r="A126" s="465"/>
      <c r="B126" s="465"/>
      <c r="C126" s="465"/>
      <c r="D126" s="465"/>
      <c r="E126" s="465"/>
      <c r="F126" s="465"/>
      <c r="G126" s="465"/>
      <c r="H126" s="465"/>
      <c r="I126" s="465"/>
      <c r="J126" s="465"/>
      <c r="K126" s="465"/>
      <c r="L126" s="465"/>
      <c r="M126" s="465"/>
      <c r="N126" s="465"/>
      <c r="O126" s="465"/>
      <c r="P126" s="465"/>
      <c r="Q126" s="465"/>
      <c r="R126" s="465"/>
      <c r="S126" s="465"/>
      <c r="T126" s="465"/>
      <c r="U126" s="465"/>
      <c r="V126" s="465"/>
      <c r="W126" s="465"/>
      <c r="X126" s="465"/>
      <c r="Y126" s="465"/>
      <c r="Z126" s="465"/>
    </row>
    <row r="127" spans="1:26" ht="15.75" customHeight="1">
      <c r="A127" s="465"/>
      <c r="B127" s="465"/>
      <c r="C127" s="465"/>
      <c r="D127" s="465"/>
      <c r="E127" s="465"/>
      <c r="F127" s="465"/>
      <c r="G127" s="465"/>
      <c r="H127" s="465"/>
      <c r="I127" s="465"/>
      <c r="J127" s="465"/>
      <c r="K127" s="465"/>
      <c r="L127" s="465"/>
      <c r="M127" s="465"/>
      <c r="N127" s="465"/>
      <c r="O127" s="465"/>
      <c r="P127" s="465"/>
      <c r="Q127" s="465"/>
      <c r="R127" s="465"/>
      <c r="S127" s="465"/>
      <c r="T127" s="465"/>
      <c r="U127" s="465"/>
      <c r="V127" s="465"/>
      <c r="W127" s="465"/>
      <c r="X127" s="465"/>
      <c r="Y127" s="465"/>
      <c r="Z127" s="465"/>
    </row>
    <row r="128" spans="1:26" ht="15.75" customHeight="1">
      <c r="A128" s="465"/>
      <c r="B128" s="465"/>
      <c r="C128" s="465"/>
      <c r="D128" s="465"/>
      <c r="E128" s="465"/>
      <c r="F128" s="465"/>
      <c r="G128" s="465"/>
      <c r="H128" s="465"/>
      <c r="I128" s="465"/>
      <c r="J128" s="465"/>
      <c r="K128" s="465"/>
      <c r="L128" s="465"/>
      <c r="M128" s="465"/>
      <c r="N128" s="465"/>
      <c r="O128" s="465"/>
      <c r="P128" s="465"/>
      <c r="Q128" s="465"/>
      <c r="R128" s="465"/>
      <c r="S128" s="465"/>
      <c r="T128" s="465"/>
      <c r="U128" s="465"/>
      <c r="V128" s="465"/>
      <c r="W128" s="465"/>
      <c r="X128" s="465"/>
      <c r="Y128" s="465"/>
      <c r="Z128" s="465"/>
    </row>
    <row r="129" spans="1:26" ht="15.75" customHeight="1">
      <c r="A129" s="465"/>
      <c r="B129" s="465"/>
      <c r="C129" s="465"/>
      <c r="D129" s="465"/>
      <c r="E129" s="465"/>
      <c r="F129" s="465"/>
      <c r="G129" s="465"/>
      <c r="H129" s="465"/>
      <c r="I129" s="465"/>
      <c r="J129" s="465"/>
      <c r="K129" s="465"/>
      <c r="L129" s="465"/>
      <c r="M129" s="465"/>
      <c r="N129" s="465"/>
      <c r="O129" s="465"/>
      <c r="P129" s="465"/>
      <c r="Q129" s="465"/>
      <c r="R129" s="465"/>
      <c r="S129" s="465"/>
      <c r="T129" s="465"/>
      <c r="U129" s="465"/>
      <c r="V129" s="465"/>
      <c r="W129" s="465"/>
      <c r="X129" s="465"/>
      <c r="Y129" s="465"/>
      <c r="Z129" s="465"/>
    </row>
    <row r="130" spans="1:26" ht="15.75" customHeight="1">
      <c r="A130" s="465"/>
      <c r="B130" s="465"/>
      <c r="C130" s="465"/>
      <c r="D130" s="465"/>
      <c r="E130" s="465"/>
      <c r="F130" s="465"/>
      <c r="G130" s="465"/>
      <c r="H130" s="465"/>
      <c r="I130" s="465"/>
      <c r="J130" s="465"/>
      <c r="K130" s="465"/>
      <c r="L130" s="465"/>
      <c r="M130" s="465"/>
      <c r="N130" s="465"/>
      <c r="O130" s="465"/>
      <c r="P130" s="465"/>
      <c r="Q130" s="465"/>
      <c r="R130" s="465"/>
      <c r="S130" s="465"/>
      <c r="T130" s="465"/>
      <c r="U130" s="465"/>
      <c r="V130" s="465"/>
      <c r="W130" s="465"/>
      <c r="X130" s="465"/>
      <c r="Y130" s="465"/>
      <c r="Z130" s="465"/>
    </row>
    <row r="131" spans="1:26" ht="15.75" customHeight="1">
      <c r="A131" s="465"/>
      <c r="B131" s="465"/>
      <c r="C131" s="465"/>
      <c r="D131" s="465"/>
      <c r="E131" s="465"/>
      <c r="F131" s="465"/>
      <c r="G131" s="465"/>
      <c r="H131" s="465"/>
      <c r="I131" s="465"/>
      <c r="J131" s="465"/>
      <c r="K131" s="465"/>
      <c r="L131" s="465"/>
      <c r="M131" s="465"/>
      <c r="N131" s="465"/>
      <c r="O131" s="465"/>
      <c r="P131" s="465"/>
      <c r="Q131" s="465"/>
      <c r="R131" s="465"/>
      <c r="S131" s="465"/>
      <c r="T131" s="465"/>
      <c r="U131" s="465"/>
      <c r="V131" s="465"/>
      <c r="W131" s="465"/>
      <c r="X131" s="465"/>
      <c r="Y131" s="465"/>
      <c r="Z131" s="465"/>
    </row>
    <row r="132" spans="1:26" ht="15.75" customHeight="1">
      <c r="A132" s="465"/>
      <c r="B132" s="465"/>
      <c r="C132" s="465"/>
      <c r="D132" s="465"/>
      <c r="E132" s="465"/>
      <c r="F132" s="465"/>
      <c r="G132" s="465"/>
      <c r="H132" s="465"/>
      <c r="I132" s="465"/>
      <c r="J132" s="465"/>
      <c r="K132" s="465"/>
      <c r="L132" s="465"/>
      <c r="M132" s="465"/>
      <c r="N132" s="465"/>
      <c r="O132" s="465"/>
      <c r="P132" s="465"/>
      <c r="Q132" s="465"/>
      <c r="R132" s="465"/>
      <c r="S132" s="465"/>
      <c r="T132" s="465"/>
      <c r="U132" s="465"/>
      <c r="V132" s="465"/>
      <c r="W132" s="465"/>
      <c r="X132" s="465"/>
      <c r="Y132" s="465"/>
      <c r="Z132" s="465"/>
    </row>
    <row r="133" spans="1:26" ht="15.75" customHeight="1">
      <c r="A133" s="465"/>
      <c r="B133" s="465"/>
      <c r="C133" s="465"/>
      <c r="D133" s="465"/>
      <c r="E133" s="465"/>
      <c r="F133" s="465"/>
      <c r="G133" s="465"/>
      <c r="H133" s="465"/>
      <c r="I133" s="465"/>
      <c r="J133" s="465"/>
      <c r="K133" s="465"/>
      <c r="L133" s="465"/>
      <c r="M133" s="465"/>
      <c r="N133" s="465"/>
      <c r="O133" s="465"/>
      <c r="P133" s="465"/>
      <c r="Q133" s="465"/>
      <c r="R133" s="465"/>
      <c r="S133" s="465"/>
      <c r="T133" s="465"/>
      <c r="U133" s="465"/>
      <c r="V133" s="465"/>
      <c r="W133" s="465"/>
      <c r="X133" s="465"/>
      <c r="Y133" s="465"/>
      <c r="Z133" s="465"/>
    </row>
    <row r="134" spans="1:26" ht="15.75" customHeight="1">
      <c r="A134" s="465"/>
      <c r="B134" s="465"/>
      <c r="C134" s="465"/>
      <c r="D134" s="465"/>
      <c r="E134" s="465"/>
      <c r="F134" s="465"/>
      <c r="G134" s="465"/>
      <c r="H134" s="465"/>
      <c r="I134" s="465"/>
      <c r="J134" s="465"/>
      <c r="K134" s="465"/>
      <c r="L134" s="465"/>
      <c r="M134" s="465"/>
      <c r="N134" s="465"/>
      <c r="O134" s="465"/>
      <c r="P134" s="465"/>
      <c r="Q134" s="465"/>
      <c r="R134" s="465"/>
      <c r="S134" s="465"/>
      <c r="T134" s="465"/>
      <c r="U134" s="465"/>
      <c r="V134" s="465"/>
      <c r="W134" s="465"/>
      <c r="X134" s="465"/>
      <c r="Y134" s="465"/>
      <c r="Z134" s="465"/>
    </row>
    <row r="135" spans="1:26" ht="15.75" customHeight="1">
      <c r="A135" s="465"/>
      <c r="B135" s="465"/>
      <c r="C135" s="465"/>
      <c r="D135" s="465"/>
      <c r="E135" s="465"/>
      <c r="F135" s="465"/>
      <c r="G135" s="465"/>
      <c r="H135" s="465"/>
      <c r="I135" s="465"/>
      <c r="J135" s="465"/>
      <c r="K135" s="465"/>
      <c r="L135" s="465"/>
      <c r="M135" s="465"/>
      <c r="N135" s="465"/>
      <c r="O135" s="465"/>
      <c r="P135" s="465"/>
      <c r="Q135" s="465"/>
      <c r="R135" s="465"/>
      <c r="S135" s="465"/>
      <c r="T135" s="465"/>
      <c r="U135" s="465"/>
      <c r="V135" s="465"/>
      <c r="W135" s="465"/>
      <c r="X135" s="465"/>
      <c r="Y135" s="465"/>
      <c r="Z135" s="465"/>
    </row>
    <row r="136" spans="1:26" ht="15.75" customHeight="1">
      <c r="A136" s="465"/>
      <c r="B136" s="465"/>
      <c r="C136" s="465"/>
      <c r="D136" s="465"/>
      <c r="E136" s="465"/>
      <c r="F136" s="465"/>
      <c r="G136" s="465"/>
      <c r="H136" s="465"/>
      <c r="I136" s="465"/>
      <c r="J136" s="465"/>
      <c r="K136" s="465"/>
      <c r="L136" s="465"/>
      <c r="M136" s="465"/>
      <c r="N136" s="465"/>
      <c r="O136" s="465"/>
      <c r="P136" s="465"/>
      <c r="Q136" s="465"/>
      <c r="R136" s="465"/>
      <c r="S136" s="465"/>
      <c r="T136" s="465"/>
      <c r="U136" s="465"/>
      <c r="V136" s="465"/>
      <c r="W136" s="465"/>
      <c r="X136" s="465"/>
      <c r="Y136" s="465"/>
      <c r="Z136" s="465"/>
    </row>
    <row r="137" spans="1:26" ht="15.75" customHeight="1">
      <c r="A137" s="465"/>
      <c r="B137" s="465"/>
      <c r="C137" s="465"/>
      <c r="D137" s="465"/>
      <c r="E137" s="465"/>
      <c r="F137" s="465"/>
      <c r="G137" s="465"/>
      <c r="H137" s="465"/>
      <c r="I137" s="465"/>
      <c r="J137" s="465"/>
      <c r="K137" s="465"/>
      <c r="L137" s="465"/>
      <c r="M137" s="465"/>
      <c r="N137" s="465"/>
      <c r="O137" s="465"/>
      <c r="P137" s="465"/>
      <c r="Q137" s="465"/>
      <c r="R137" s="465"/>
      <c r="S137" s="465"/>
      <c r="T137" s="465"/>
      <c r="U137" s="465"/>
      <c r="V137" s="465"/>
      <c r="W137" s="465"/>
      <c r="X137" s="465"/>
      <c r="Y137" s="465"/>
      <c r="Z137" s="465"/>
    </row>
    <row r="138" spans="1:26" ht="15.75" customHeight="1">
      <c r="A138" s="465"/>
      <c r="B138" s="465"/>
      <c r="C138" s="465"/>
      <c r="D138" s="465"/>
      <c r="E138" s="465"/>
      <c r="F138" s="465"/>
      <c r="G138" s="465"/>
      <c r="H138" s="465"/>
      <c r="I138" s="465"/>
      <c r="J138" s="465"/>
      <c r="K138" s="465"/>
      <c r="L138" s="465"/>
      <c r="M138" s="465"/>
      <c r="N138" s="465"/>
      <c r="O138" s="465"/>
      <c r="P138" s="465"/>
      <c r="Q138" s="465"/>
      <c r="R138" s="465"/>
      <c r="S138" s="465"/>
      <c r="T138" s="465"/>
      <c r="U138" s="465"/>
      <c r="V138" s="465"/>
      <c r="W138" s="465"/>
      <c r="X138" s="465"/>
      <c r="Y138" s="465"/>
      <c r="Z138" s="465"/>
    </row>
    <row r="139" spans="1:26" ht="15.75" customHeight="1">
      <c r="A139" s="465"/>
      <c r="B139" s="465"/>
      <c r="C139" s="465"/>
      <c r="D139" s="465"/>
      <c r="E139" s="465"/>
      <c r="F139" s="465"/>
      <c r="G139" s="465"/>
      <c r="H139" s="465"/>
      <c r="I139" s="465"/>
      <c r="J139" s="465"/>
      <c r="K139" s="465"/>
      <c r="L139" s="465"/>
      <c r="M139" s="465"/>
      <c r="N139" s="465"/>
      <c r="O139" s="465"/>
      <c r="P139" s="465"/>
      <c r="Q139" s="465"/>
      <c r="R139" s="465"/>
      <c r="S139" s="465"/>
      <c r="T139" s="465"/>
      <c r="U139" s="465"/>
      <c r="V139" s="465"/>
      <c r="W139" s="465"/>
      <c r="X139" s="465"/>
      <c r="Y139" s="465"/>
      <c r="Z139" s="465"/>
    </row>
    <row r="140" spans="1:26" ht="15.75" customHeight="1">
      <c r="A140" s="465"/>
      <c r="B140" s="465"/>
      <c r="C140" s="465"/>
      <c r="D140" s="465"/>
      <c r="E140" s="465"/>
      <c r="F140" s="465"/>
      <c r="G140" s="465"/>
      <c r="H140" s="465"/>
      <c r="I140" s="465"/>
      <c r="J140" s="465"/>
      <c r="K140" s="465"/>
      <c r="L140" s="465"/>
      <c r="M140" s="465"/>
      <c r="N140" s="465"/>
      <c r="O140" s="465"/>
      <c r="P140" s="465"/>
      <c r="Q140" s="465"/>
      <c r="R140" s="465"/>
      <c r="S140" s="465"/>
      <c r="T140" s="465"/>
      <c r="U140" s="465"/>
      <c r="V140" s="465"/>
      <c r="W140" s="465"/>
      <c r="X140" s="465"/>
      <c r="Y140" s="465"/>
      <c r="Z140" s="465"/>
    </row>
    <row r="141" spans="1:26" ht="15.75" customHeight="1">
      <c r="A141" s="465"/>
      <c r="B141" s="465"/>
      <c r="C141" s="465"/>
      <c r="D141" s="465"/>
      <c r="E141" s="465"/>
      <c r="F141" s="465"/>
      <c r="G141" s="465"/>
      <c r="H141" s="465"/>
      <c r="I141" s="465"/>
      <c r="J141" s="465"/>
      <c r="K141" s="465"/>
      <c r="L141" s="465"/>
      <c r="M141" s="465"/>
      <c r="N141" s="465"/>
      <c r="O141" s="465"/>
      <c r="P141" s="465"/>
      <c r="Q141" s="465"/>
      <c r="R141" s="465"/>
      <c r="S141" s="465"/>
      <c r="T141" s="465"/>
      <c r="U141" s="465"/>
      <c r="V141" s="465"/>
      <c r="W141" s="465"/>
      <c r="X141" s="465"/>
      <c r="Y141" s="465"/>
      <c r="Z141" s="465"/>
    </row>
    <row r="142" spans="1:26" ht="15.75" customHeight="1">
      <c r="A142" s="465"/>
      <c r="B142" s="465"/>
      <c r="C142" s="465"/>
      <c r="D142" s="465"/>
      <c r="E142" s="465"/>
      <c r="F142" s="465"/>
      <c r="G142" s="465"/>
      <c r="H142" s="465"/>
      <c r="I142" s="465"/>
      <c r="J142" s="465"/>
      <c r="K142" s="465"/>
      <c r="L142" s="465"/>
      <c r="M142" s="465"/>
      <c r="N142" s="465"/>
      <c r="O142" s="465"/>
      <c r="P142" s="465"/>
      <c r="Q142" s="465"/>
      <c r="R142" s="465"/>
      <c r="S142" s="465"/>
      <c r="T142" s="465"/>
      <c r="U142" s="465"/>
      <c r="V142" s="465"/>
      <c r="W142" s="465"/>
      <c r="X142" s="465"/>
      <c r="Y142" s="465"/>
      <c r="Z142" s="465"/>
    </row>
    <row r="143" spans="1:26" ht="15.75" customHeight="1">
      <c r="A143" s="465"/>
      <c r="B143" s="465"/>
      <c r="C143" s="465"/>
      <c r="D143" s="465"/>
      <c r="E143" s="465"/>
      <c r="F143" s="465"/>
      <c r="G143" s="465"/>
      <c r="H143" s="465"/>
      <c r="I143" s="465"/>
      <c r="J143" s="465"/>
      <c r="K143" s="465"/>
      <c r="L143" s="465"/>
      <c r="M143" s="465"/>
      <c r="N143" s="465"/>
      <c r="O143" s="465"/>
      <c r="P143" s="465"/>
      <c r="Q143" s="465"/>
      <c r="R143" s="465"/>
      <c r="S143" s="465"/>
      <c r="T143" s="465"/>
      <c r="U143" s="465"/>
      <c r="V143" s="465"/>
      <c r="W143" s="465"/>
      <c r="X143" s="465"/>
      <c r="Y143" s="465"/>
      <c r="Z143" s="465"/>
    </row>
    <row r="144" spans="1:26" ht="15.75" customHeight="1">
      <c r="A144" s="465"/>
      <c r="B144" s="465"/>
      <c r="C144" s="465"/>
      <c r="D144" s="465"/>
      <c r="E144" s="465"/>
      <c r="F144" s="465"/>
      <c r="G144" s="465"/>
      <c r="H144" s="465"/>
      <c r="I144" s="465"/>
      <c r="J144" s="465"/>
      <c r="K144" s="465"/>
      <c r="L144" s="465"/>
      <c r="M144" s="465"/>
      <c r="N144" s="465"/>
      <c r="O144" s="465"/>
      <c r="P144" s="465"/>
      <c r="Q144" s="465"/>
      <c r="R144" s="465"/>
      <c r="S144" s="465"/>
      <c r="T144" s="465"/>
      <c r="U144" s="465"/>
      <c r="V144" s="465"/>
      <c r="W144" s="465"/>
      <c r="X144" s="465"/>
      <c r="Y144" s="465"/>
      <c r="Z144" s="465"/>
    </row>
    <row r="145" spans="1:26" ht="15.75" customHeight="1">
      <c r="A145" s="465"/>
      <c r="B145" s="465"/>
      <c r="C145" s="465"/>
      <c r="D145" s="465"/>
      <c r="E145" s="465"/>
      <c r="F145" s="465"/>
      <c r="G145" s="465"/>
      <c r="H145" s="465"/>
      <c r="I145" s="465"/>
      <c r="J145" s="465"/>
      <c r="K145" s="465"/>
      <c r="L145" s="465"/>
      <c r="M145" s="465"/>
      <c r="N145" s="465"/>
      <c r="O145" s="465"/>
      <c r="P145" s="465"/>
      <c r="Q145" s="465"/>
      <c r="R145" s="465"/>
      <c r="S145" s="465"/>
      <c r="T145" s="465"/>
      <c r="U145" s="465"/>
      <c r="V145" s="465"/>
      <c r="W145" s="465"/>
      <c r="X145" s="465"/>
      <c r="Y145" s="465"/>
      <c r="Z145" s="465"/>
    </row>
    <row r="146" spans="1:26" ht="15.75" customHeight="1">
      <c r="A146" s="465"/>
      <c r="B146" s="465"/>
      <c r="C146" s="465"/>
      <c r="D146" s="465"/>
      <c r="E146" s="465"/>
      <c r="F146" s="465"/>
      <c r="G146" s="465"/>
      <c r="H146" s="465"/>
      <c r="I146" s="465"/>
      <c r="J146" s="465"/>
      <c r="K146" s="465"/>
      <c r="L146" s="465"/>
      <c r="M146" s="465"/>
      <c r="N146" s="465"/>
      <c r="O146" s="465"/>
      <c r="P146" s="465"/>
      <c r="Q146" s="465"/>
      <c r="R146" s="465"/>
      <c r="S146" s="465"/>
      <c r="T146" s="465"/>
      <c r="U146" s="465"/>
      <c r="V146" s="465"/>
      <c r="W146" s="465"/>
      <c r="X146" s="465"/>
      <c r="Y146" s="465"/>
      <c r="Z146" s="465"/>
    </row>
    <row r="147" spans="1:26" ht="15.75" customHeight="1">
      <c r="A147" s="465"/>
      <c r="B147" s="465"/>
      <c r="C147" s="465"/>
      <c r="D147" s="465"/>
      <c r="E147" s="465"/>
      <c r="F147" s="465"/>
      <c r="G147" s="465"/>
      <c r="H147" s="465"/>
      <c r="I147" s="465"/>
      <c r="J147" s="465"/>
      <c r="K147" s="465"/>
      <c r="L147" s="465"/>
      <c r="M147" s="465"/>
      <c r="N147" s="465"/>
      <c r="O147" s="465"/>
      <c r="P147" s="465"/>
      <c r="Q147" s="465"/>
      <c r="R147" s="465"/>
      <c r="S147" s="465"/>
      <c r="T147" s="465"/>
      <c r="U147" s="465"/>
      <c r="V147" s="465"/>
      <c r="W147" s="465"/>
      <c r="X147" s="465"/>
      <c r="Y147" s="465"/>
      <c r="Z147" s="465"/>
    </row>
    <row r="148" spans="1:26" ht="15.75" customHeight="1">
      <c r="A148" s="465"/>
      <c r="B148" s="465"/>
      <c r="C148" s="465"/>
      <c r="D148" s="465"/>
      <c r="E148" s="465"/>
      <c r="F148" s="465"/>
      <c r="G148" s="465"/>
      <c r="H148" s="465"/>
      <c r="I148" s="465"/>
      <c r="J148" s="465"/>
      <c r="K148" s="465"/>
      <c r="L148" s="465"/>
      <c r="M148" s="465"/>
      <c r="N148" s="465"/>
      <c r="O148" s="465"/>
      <c r="P148" s="465"/>
      <c r="Q148" s="465"/>
      <c r="R148" s="465"/>
      <c r="S148" s="465"/>
      <c r="T148" s="465"/>
      <c r="U148" s="465"/>
      <c r="V148" s="465"/>
      <c r="W148" s="465"/>
      <c r="X148" s="465"/>
      <c r="Y148" s="465"/>
      <c r="Z148" s="465"/>
    </row>
    <row r="149" spans="1:26" ht="15.75" customHeight="1">
      <c r="A149" s="465"/>
      <c r="B149" s="465"/>
      <c r="C149" s="465"/>
      <c r="D149" s="465"/>
      <c r="E149" s="465"/>
      <c r="F149" s="465"/>
      <c r="G149" s="465"/>
      <c r="H149" s="465"/>
      <c r="I149" s="465"/>
      <c r="J149" s="465"/>
      <c r="K149" s="465"/>
      <c r="L149" s="465"/>
      <c r="M149" s="465"/>
      <c r="N149" s="465"/>
      <c r="O149" s="465"/>
      <c r="P149" s="465"/>
      <c r="Q149" s="465"/>
      <c r="R149" s="465"/>
      <c r="S149" s="465"/>
      <c r="T149" s="465"/>
      <c r="U149" s="465"/>
      <c r="V149" s="465"/>
      <c r="W149" s="465"/>
      <c r="X149" s="465"/>
      <c r="Y149" s="465"/>
      <c r="Z149" s="465"/>
    </row>
    <row r="150" spans="1:26" ht="15.75" customHeight="1">
      <c r="A150" s="465"/>
      <c r="B150" s="465"/>
      <c r="C150" s="465"/>
      <c r="D150" s="465"/>
      <c r="E150" s="465"/>
      <c r="F150" s="465"/>
      <c r="G150" s="465"/>
      <c r="H150" s="465"/>
      <c r="I150" s="465"/>
      <c r="J150" s="465"/>
      <c r="K150" s="465"/>
      <c r="L150" s="465"/>
      <c r="M150" s="465"/>
      <c r="N150" s="465"/>
      <c r="O150" s="465"/>
      <c r="P150" s="465"/>
      <c r="Q150" s="465"/>
      <c r="R150" s="465"/>
      <c r="S150" s="465"/>
      <c r="T150" s="465"/>
      <c r="U150" s="465"/>
      <c r="V150" s="465"/>
      <c r="W150" s="465"/>
      <c r="X150" s="465"/>
      <c r="Y150" s="465"/>
      <c r="Z150" s="465"/>
    </row>
    <row r="151" spans="1:26" ht="15.75" customHeight="1">
      <c r="A151" s="465"/>
      <c r="B151" s="465"/>
      <c r="C151" s="465"/>
      <c r="D151" s="465"/>
      <c r="E151" s="465"/>
      <c r="F151" s="465"/>
      <c r="G151" s="465"/>
      <c r="H151" s="465"/>
      <c r="I151" s="465"/>
      <c r="J151" s="465"/>
      <c r="K151" s="465"/>
      <c r="L151" s="465"/>
      <c r="M151" s="465"/>
      <c r="N151" s="465"/>
      <c r="O151" s="465"/>
      <c r="P151" s="465"/>
      <c r="Q151" s="465"/>
      <c r="R151" s="465"/>
      <c r="S151" s="465"/>
      <c r="T151" s="465"/>
      <c r="U151" s="465"/>
      <c r="V151" s="465"/>
      <c r="W151" s="465"/>
      <c r="X151" s="465"/>
      <c r="Y151" s="465"/>
      <c r="Z151" s="465"/>
    </row>
    <row r="152" spans="1:26" ht="15.75" customHeight="1">
      <c r="A152" s="465"/>
      <c r="B152" s="465"/>
      <c r="C152" s="465"/>
      <c r="D152" s="465"/>
      <c r="E152" s="465"/>
      <c r="F152" s="465"/>
      <c r="G152" s="465"/>
      <c r="H152" s="465"/>
      <c r="I152" s="465"/>
      <c r="J152" s="465"/>
      <c r="K152" s="465"/>
      <c r="L152" s="465"/>
      <c r="M152" s="465"/>
      <c r="N152" s="465"/>
      <c r="O152" s="465"/>
      <c r="P152" s="465"/>
      <c r="Q152" s="465"/>
      <c r="R152" s="465"/>
      <c r="S152" s="465"/>
      <c r="T152" s="465"/>
      <c r="U152" s="465"/>
      <c r="V152" s="465"/>
      <c r="W152" s="465"/>
      <c r="X152" s="465"/>
      <c r="Y152" s="465"/>
      <c r="Z152" s="465"/>
    </row>
    <row r="153" spans="1:26" ht="15.75" customHeight="1">
      <c r="A153" s="465"/>
      <c r="B153" s="465"/>
      <c r="C153" s="465"/>
      <c r="D153" s="465"/>
      <c r="E153" s="465"/>
      <c r="F153" s="465"/>
      <c r="G153" s="465"/>
      <c r="H153" s="465"/>
      <c r="I153" s="465"/>
      <c r="J153" s="465"/>
      <c r="K153" s="465"/>
      <c r="L153" s="465"/>
      <c r="M153" s="465"/>
      <c r="N153" s="465"/>
      <c r="O153" s="465"/>
      <c r="P153" s="465"/>
      <c r="Q153" s="465"/>
      <c r="R153" s="465"/>
      <c r="S153" s="465"/>
      <c r="T153" s="465"/>
      <c r="U153" s="465"/>
      <c r="V153" s="465"/>
      <c r="W153" s="465"/>
      <c r="X153" s="465"/>
      <c r="Y153" s="465"/>
      <c r="Z153" s="465"/>
    </row>
    <row r="154" spans="1:26" ht="15.75" customHeight="1">
      <c r="A154" s="465"/>
      <c r="B154" s="465"/>
      <c r="C154" s="465"/>
      <c r="D154" s="465"/>
      <c r="E154" s="465"/>
      <c r="F154" s="465"/>
      <c r="G154" s="465"/>
      <c r="H154" s="465"/>
      <c r="I154" s="465"/>
      <c r="J154" s="465"/>
      <c r="K154" s="465"/>
      <c r="L154" s="465"/>
      <c r="M154" s="465"/>
      <c r="N154" s="465"/>
      <c r="O154" s="465"/>
      <c r="P154" s="465"/>
      <c r="Q154" s="465"/>
      <c r="R154" s="465"/>
      <c r="S154" s="465"/>
      <c r="T154" s="465"/>
      <c r="U154" s="465"/>
      <c r="V154" s="465"/>
      <c r="W154" s="465"/>
      <c r="X154" s="465"/>
      <c r="Y154" s="465"/>
      <c r="Z154" s="465"/>
    </row>
    <row r="155" spans="1:26" ht="15.75" customHeight="1">
      <c r="A155" s="465"/>
      <c r="B155" s="465"/>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row>
    <row r="156" spans="1:26" ht="15.75" customHeight="1">
      <c r="A156" s="465"/>
      <c r="B156" s="465"/>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row>
    <row r="157" spans="1:26" ht="15.75" customHeight="1">
      <c r="A157" s="465"/>
      <c r="B157" s="465"/>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row>
    <row r="158" spans="1:26" ht="15.75" customHeight="1">
      <c r="A158" s="465"/>
      <c r="B158" s="465"/>
      <c r="C158" s="465"/>
      <c r="D158" s="465"/>
      <c r="E158" s="465"/>
      <c r="F158" s="465"/>
      <c r="G158" s="465"/>
      <c r="H158" s="465"/>
      <c r="I158" s="465"/>
      <c r="J158" s="465"/>
      <c r="K158" s="465"/>
      <c r="L158" s="465"/>
      <c r="M158" s="465"/>
      <c r="N158" s="465"/>
      <c r="O158" s="465"/>
      <c r="P158" s="465"/>
      <c r="Q158" s="465"/>
      <c r="R158" s="465"/>
      <c r="S158" s="465"/>
      <c r="T158" s="465"/>
      <c r="U158" s="465"/>
      <c r="V158" s="465"/>
      <c r="W158" s="465"/>
      <c r="X158" s="465"/>
      <c r="Y158" s="465"/>
      <c r="Z158" s="465"/>
    </row>
    <row r="159" spans="1:26" ht="15.75" customHeight="1">
      <c r="A159" s="465"/>
      <c r="B159" s="465"/>
      <c r="C159" s="465"/>
      <c r="D159" s="465"/>
      <c r="E159" s="465"/>
      <c r="F159" s="465"/>
      <c r="G159" s="465"/>
      <c r="H159" s="465"/>
      <c r="I159" s="465"/>
      <c r="J159" s="465"/>
      <c r="K159" s="465"/>
      <c r="L159" s="465"/>
      <c r="M159" s="465"/>
      <c r="N159" s="465"/>
      <c r="O159" s="465"/>
      <c r="P159" s="465"/>
      <c r="Q159" s="465"/>
      <c r="R159" s="465"/>
      <c r="S159" s="465"/>
      <c r="T159" s="465"/>
      <c r="U159" s="465"/>
      <c r="V159" s="465"/>
      <c r="W159" s="465"/>
      <c r="X159" s="465"/>
      <c r="Y159" s="465"/>
      <c r="Z159" s="465"/>
    </row>
    <row r="160" spans="1:26" ht="15.75" customHeight="1">
      <c r="A160" s="465"/>
      <c r="B160" s="465"/>
      <c r="C160" s="465"/>
      <c r="D160" s="465"/>
      <c r="E160" s="465"/>
      <c r="F160" s="465"/>
      <c r="G160" s="465"/>
      <c r="H160" s="465"/>
      <c r="I160" s="465"/>
      <c r="J160" s="465"/>
      <c r="K160" s="465"/>
      <c r="L160" s="465"/>
      <c r="M160" s="465"/>
      <c r="N160" s="465"/>
      <c r="O160" s="465"/>
      <c r="P160" s="465"/>
      <c r="Q160" s="465"/>
      <c r="R160" s="465"/>
      <c r="S160" s="465"/>
      <c r="T160" s="465"/>
      <c r="U160" s="465"/>
      <c r="V160" s="465"/>
      <c r="W160" s="465"/>
      <c r="X160" s="465"/>
      <c r="Y160" s="465"/>
      <c r="Z160" s="465"/>
    </row>
    <row r="161" spans="1:26" ht="15.75" customHeight="1">
      <c r="A161" s="465"/>
      <c r="B161" s="465"/>
      <c r="C161" s="465"/>
      <c r="D161" s="465"/>
      <c r="E161" s="465"/>
      <c r="F161" s="465"/>
      <c r="G161" s="465"/>
      <c r="H161" s="465"/>
      <c r="I161" s="465"/>
      <c r="J161" s="465"/>
      <c r="K161" s="465"/>
      <c r="L161" s="465"/>
      <c r="M161" s="465"/>
      <c r="N161" s="465"/>
      <c r="O161" s="465"/>
      <c r="P161" s="465"/>
      <c r="Q161" s="465"/>
      <c r="R161" s="465"/>
      <c r="S161" s="465"/>
      <c r="T161" s="465"/>
      <c r="U161" s="465"/>
      <c r="V161" s="465"/>
      <c r="W161" s="465"/>
      <c r="X161" s="465"/>
      <c r="Y161" s="465"/>
      <c r="Z161" s="465"/>
    </row>
    <row r="162" spans="1:26" ht="15.75" customHeight="1">
      <c r="A162" s="465"/>
      <c r="B162" s="465"/>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row>
    <row r="163" spans="1:26" ht="15.75" customHeight="1">
      <c r="A163" s="465"/>
      <c r="B163" s="465"/>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row>
    <row r="164" spans="1:26" ht="15.75" customHeight="1">
      <c r="A164" s="465"/>
      <c r="B164" s="465"/>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row>
    <row r="165" spans="1:26" ht="15.75" customHeight="1">
      <c r="A165" s="465"/>
      <c r="B165" s="465"/>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row>
    <row r="166" spans="1:26" ht="15.75" customHeight="1">
      <c r="A166" s="465"/>
      <c r="B166" s="465"/>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row>
    <row r="167" spans="1:26" ht="15.75" customHeight="1">
      <c r="A167" s="465"/>
      <c r="B167" s="465"/>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row>
    <row r="168" spans="1:26" ht="15.75" customHeight="1">
      <c r="A168" s="465"/>
      <c r="B168" s="465"/>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row>
    <row r="169" spans="1:26" ht="15.75" customHeight="1">
      <c r="A169" s="465"/>
      <c r="B169" s="465"/>
      <c r="C169" s="465"/>
      <c r="D169" s="465"/>
      <c r="E169" s="465"/>
      <c r="F169" s="465"/>
      <c r="G169" s="465"/>
      <c r="H169" s="465"/>
      <c r="I169" s="465"/>
      <c r="J169" s="465"/>
      <c r="K169" s="465"/>
      <c r="L169" s="465"/>
      <c r="M169" s="465"/>
      <c r="N169" s="465"/>
      <c r="O169" s="465"/>
      <c r="P169" s="465"/>
      <c r="Q169" s="465"/>
      <c r="R169" s="465"/>
      <c r="S169" s="465"/>
      <c r="T169" s="465"/>
      <c r="U169" s="465"/>
      <c r="V169" s="465"/>
      <c r="W169" s="465"/>
      <c r="X169" s="465"/>
      <c r="Y169" s="465"/>
      <c r="Z169" s="465"/>
    </row>
    <row r="170" spans="1:26" ht="15.75" customHeight="1">
      <c r="A170" s="465"/>
      <c r="B170" s="465"/>
      <c r="C170" s="465"/>
      <c r="D170" s="465"/>
      <c r="E170" s="465"/>
      <c r="F170" s="465"/>
      <c r="G170" s="465"/>
      <c r="H170" s="465"/>
      <c r="I170" s="465"/>
      <c r="J170" s="465"/>
      <c r="K170" s="465"/>
      <c r="L170" s="465"/>
      <c r="M170" s="465"/>
      <c r="N170" s="465"/>
      <c r="O170" s="465"/>
      <c r="P170" s="465"/>
      <c r="Q170" s="465"/>
      <c r="R170" s="465"/>
      <c r="S170" s="465"/>
      <c r="T170" s="465"/>
      <c r="U170" s="465"/>
      <c r="V170" s="465"/>
      <c r="W170" s="465"/>
      <c r="X170" s="465"/>
      <c r="Y170" s="465"/>
      <c r="Z170" s="465"/>
    </row>
    <row r="171" spans="1:26" ht="15.75" customHeight="1">
      <c r="A171" s="465"/>
      <c r="B171" s="465"/>
      <c r="C171" s="465"/>
      <c r="D171" s="465"/>
      <c r="E171" s="465"/>
      <c r="F171" s="465"/>
      <c r="G171" s="465"/>
      <c r="H171" s="465"/>
      <c r="I171" s="465"/>
      <c r="J171" s="465"/>
      <c r="K171" s="465"/>
      <c r="L171" s="465"/>
      <c r="M171" s="465"/>
      <c r="N171" s="465"/>
      <c r="O171" s="465"/>
      <c r="P171" s="465"/>
      <c r="Q171" s="465"/>
      <c r="R171" s="465"/>
      <c r="S171" s="465"/>
      <c r="T171" s="465"/>
      <c r="U171" s="465"/>
      <c r="V171" s="465"/>
      <c r="W171" s="465"/>
      <c r="X171" s="465"/>
      <c r="Y171" s="465"/>
      <c r="Z171" s="465"/>
    </row>
    <row r="172" spans="1:26" ht="15.75" customHeight="1">
      <c r="A172" s="465"/>
      <c r="B172" s="465"/>
      <c r="C172" s="465"/>
      <c r="D172" s="465"/>
      <c r="E172" s="465"/>
      <c r="F172" s="465"/>
      <c r="G172" s="465"/>
      <c r="H172" s="465"/>
      <c r="I172" s="465"/>
      <c r="J172" s="465"/>
      <c r="K172" s="465"/>
      <c r="L172" s="465"/>
      <c r="M172" s="465"/>
      <c r="N172" s="465"/>
      <c r="O172" s="465"/>
      <c r="P172" s="465"/>
      <c r="Q172" s="465"/>
      <c r="R172" s="465"/>
      <c r="S172" s="465"/>
      <c r="T172" s="465"/>
      <c r="U172" s="465"/>
      <c r="V172" s="465"/>
      <c r="W172" s="465"/>
      <c r="X172" s="465"/>
      <c r="Y172" s="465"/>
      <c r="Z172" s="465"/>
    </row>
    <row r="173" spans="1:26" ht="15.75" customHeight="1">
      <c r="A173" s="465"/>
      <c r="B173" s="465"/>
      <c r="C173" s="465"/>
      <c r="D173" s="465"/>
      <c r="E173" s="465"/>
      <c r="F173" s="465"/>
      <c r="G173" s="465"/>
      <c r="H173" s="465"/>
      <c r="I173" s="465"/>
      <c r="J173" s="465"/>
      <c r="K173" s="465"/>
      <c r="L173" s="465"/>
      <c r="M173" s="465"/>
      <c r="N173" s="465"/>
      <c r="O173" s="465"/>
      <c r="P173" s="465"/>
      <c r="Q173" s="465"/>
      <c r="R173" s="465"/>
      <c r="S173" s="465"/>
      <c r="T173" s="465"/>
      <c r="U173" s="465"/>
      <c r="V173" s="465"/>
      <c r="W173" s="465"/>
      <c r="X173" s="465"/>
      <c r="Y173" s="465"/>
      <c r="Z173" s="465"/>
    </row>
    <row r="174" spans="1:26" ht="15.75" customHeight="1">
      <c r="A174" s="465"/>
      <c r="B174" s="465"/>
      <c r="C174" s="465"/>
      <c r="D174" s="465"/>
      <c r="E174" s="465"/>
      <c r="F174" s="465"/>
      <c r="G174" s="465"/>
      <c r="H174" s="465"/>
      <c r="I174" s="465"/>
      <c r="J174" s="465"/>
      <c r="K174" s="465"/>
      <c r="L174" s="465"/>
      <c r="M174" s="465"/>
      <c r="N174" s="465"/>
      <c r="O174" s="465"/>
      <c r="P174" s="465"/>
      <c r="Q174" s="465"/>
      <c r="R174" s="465"/>
      <c r="S174" s="465"/>
      <c r="T174" s="465"/>
      <c r="U174" s="465"/>
      <c r="V174" s="465"/>
      <c r="W174" s="465"/>
      <c r="X174" s="465"/>
      <c r="Y174" s="465"/>
      <c r="Z174" s="465"/>
    </row>
    <row r="175" spans="1:26" ht="15.75" customHeight="1">
      <c r="A175" s="465"/>
      <c r="B175" s="465"/>
      <c r="C175" s="465"/>
      <c r="D175" s="465"/>
      <c r="E175" s="465"/>
      <c r="F175" s="465"/>
      <c r="G175" s="465"/>
      <c r="H175" s="465"/>
      <c r="I175" s="465"/>
      <c r="J175" s="465"/>
      <c r="K175" s="465"/>
      <c r="L175" s="465"/>
      <c r="M175" s="465"/>
      <c r="N175" s="465"/>
      <c r="O175" s="465"/>
      <c r="P175" s="465"/>
      <c r="Q175" s="465"/>
      <c r="R175" s="465"/>
      <c r="S175" s="465"/>
      <c r="T175" s="465"/>
      <c r="U175" s="465"/>
      <c r="V175" s="465"/>
      <c r="W175" s="465"/>
      <c r="X175" s="465"/>
      <c r="Y175" s="465"/>
      <c r="Z175" s="465"/>
    </row>
    <row r="176" spans="1:26" ht="15.75" customHeight="1">
      <c r="A176" s="465"/>
      <c r="B176" s="465"/>
      <c r="C176" s="465"/>
      <c r="D176" s="465"/>
      <c r="E176" s="465"/>
      <c r="F176" s="465"/>
      <c r="G176" s="465"/>
      <c r="H176" s="465"/>
      <c r="I176" s="465"/>
      <c r="J176" s="465"/>
      <c r="K176" s="465"/>
      <c r="L176" s="465"/>
      <c r="M176" s="465"/>
      <c r="N176" s="465"/>
      <c r="O176" s="465"/>
      <c r="P176" s="465"/>
      <c r="Q176" s="465"/>
      <c r="R176" s="465"/>
      <c r="S176" s="465"/>
      <c r="T176" s="465"/>
      <c r="U176" s="465"/>
      <c r="V176" s="465"/>
      <c r="W176" s="465"/>
      <c r="X176" s="465"/>
      <c r="Y176" s="465"/>
      <c r="Z176" s="465"/>
    </row>
    <row r="177" spans="1:26" ht="15.75" customHeight="1">
      <c r="A177" s="465"/>
      <c r="B177" s="465"/>
      <c r="C177" s="465"/>
      <c r="D177" s="465"/>
      <c r="E177" s="465"/>
      <c r="F177" s="465"/>
      <c r="G177" s="465"/>
      <c r="H177" s="465"/>
      <c r="I177" s="465"/>
      <c r="J177" s="465"/>
      <c r="K177" s="465"/>
      <c r="L177" s="465"/>
      <c r="M177" s="465"/>
      <c r="N177" s="465"/>
      <c r="O177" s="465"/>
      <c r="P177" s="465"/>
      <c r="Q177" s="465"/>
      <c r="R177" s="465"/>
      <c r="S177" s="465"/>
      <c r="T177" s="465"/>
      <c r="U177" s="465"/>
      <c r="V177" s="465"/>
      <c r="W177" s="465"/>
      <c r="X177" s="465"/>
      <c r="Y177" s="465"/>
      <c r="Z177" s="465"/>
    </row>
    <row r="178" spans="1:26" ht="15.75" customHeight="1">
      <c r="A178" s="465"/>
      <c r="B178" s="465"/>
      <c r="C178" s="465"/>
      <c r="D178" s="465"/>
      <c r="E178" s="465"/>
      <c r="F178" s="465"/>
      <c r="G178" s="465"/>
      <c r="H178" s="465"/>
      <c r="I178" s="465"/>
      <c r="J178" s="465"/>
      <c r="K178" s="465"/>
      <c r="L178" s="465"/>
      <c r="M178" s="465"/>
      <c r="N178" s="465"/>
      <c r="O178" s="465"/>
      <c r="P178" s="465"/>
      <c r="Q178" s="465"/>
      <c r="R178" s="465"/>
      <c r="S178" s="465"/>
      <c r="T178" s="465"/>
      <c r="U178" s="465"/>
      <c r="V178" s="465"/>
      <c r="W178" s="465"/>
      <c r="X178" s="465"/>
      <c r="Y178" s="465"/>
      <c r="Z178" s="465"/>
    </row>
    <row r="179" spans="1:26" ht="15.75" customHeight="1">
      <c r="A179" s="465"/>
      <c r="B179" s="465"/>
      <c r="C179" s="465"/>
      <c r="D179" s="465"/>
      <c r="E179" s="465"/>
      <c r="F179" s="465"/>
      <c r="G179" s="465"/>
      <c r="H179" s="465"/>
      <c r="I179" s="465"/>
      <c r="J179" s="465"/>
      <c r="K179" s="465"/>
      <c r="L179" s="465"/>
      <c r="M179" s="465"/>
      <c r="N179" s="465"/>
      <c r="O179" s="465"/>
      <c r="P179" s="465"/>
      <c r="Q179" s="465"/>
      <c r="R179" s="465"/>
      <c r="S179" s="465"/>
      <c r="T179" s="465"/>
      <c r="U179" s="465"/>
      <c r="V179" s="465"/>
      <c r="W179" s="465"/>
      <c r="X179" s="465"/>
      <c r="Y179" s="465"/>
      <c r="Z179" s="465"/>
    </row>
    <row r="180" spans="1:26" ht="15.75" customHeight="1">
      <c r="A180" s="465"/>
      <c r="B180" s="465"/>
      <c r="C180" s="465"/>
      <c r="D180" s="465"/>
      <c r="E180" s="465"/>
      <c r="F180" s="465"/>
      <c r="G180" s="465"/>
      <c r="H180" s="465"/>
      <c r="I180" s="465"/>
      <c r="J180" s="465"/>
      <c r="K180" s="465"/>
      <c r="L180" s="465"/>
      <c r="M180" s="465"/>
      <c r="N180" s="465"/>
      <c r="O180" s="465"/>
      <c r="P180" s="465"/>
      <c r="Q180" s="465"/>
      <c r="R180" s="465"/>
      <c r="S180" s="465"/>
      <c r="T180" s="465"/>
      <c r="U180" s="465"/>
      <c r="V180" s="465"/>
      <c r="W180" s="465"/>
      <c r="X180" s="465"/>
      <c r="Y180" s="465"/>
      <c r="Z180" s="465"/>
    </row>
    <row r="181" spans="1:26" ht="15.75" customHeight="1">
      <c r="A181" s="465"/>
      <c r="B181" s="465"/>
      <c r="C181" s="465"/>
      <c r="D181" s="465"/>
      <c r="E181" s="465"/>
      <c r="F181" s="465"/>
      <c r="G181" s="465"/>
      <c r="H181" s="465"/>
      <c r="I181" s="465"/>
      <c r="J181" s="465"/>
      <c r="K181" s="465"/>
      <c r="L181" s="465"/>
      <c r="M181" s="465"/>
      <c r="N181" s="465"/>
      <c r="O181" s="465"/>
      <c r="P181" s="465"/>
      <c r="Q181" s="465"/>
      <c r="R181" s="465"/>
      <c r="S181" s="465"/>
      <c r="T181" s="465"/>
      <c r="U181" s="465"/>
      <c r="V181" s="465"/>
      <c r="W181" s="465"/>
      <c r="X181" s="465"/>
      <c r="Y181" s="465"/>
      <c r="Z181" s="465"/>
    </row>
    <row r="182" spans="1:26" ht="15.75" customHeight="1">
      <c r="A182" s="465"/>
      <c r="B182" s="465"/>
      <c r="C182" s="465"/>
      <c r="D182" s="465"/>
      <c r="E182" s="465"/>
      <c r="F182" s="465"/>
      <c r="G182" s="465"/>
      <c r="H182" s="465"/>
      <c r="I182" s="465"/>
      <c r="J182" s="465"/>
      <c r="K182" s="465"/>
      <c r="L182" s="465"/>
      <c r="M182" s="465"/>
      <c r="N182" s="465"/>
      <c r="O182" s="465"/>
      <c r="P182" s="465"/>
      <c r="Q182" s="465"/>
      <c r="R182" s="465"/>
      <c r="S182" s="465"/>
      <c r="T182" s="465"/>
      <c r="U182" s="465"/>
      <c r="V182" s="465"/>
      <c r="W182" s="465"/>
      <c r="X182" s="465"/>
      <c r="Y182" s="465"/>
      <c r="Z182" s="465"/>
    </row>
    <row r="183" spans="1:26" ht="15.75" customHeight="1">
      <c r="A183" s="465"/>
      <c r="B183" s="465"/>
      <c r="C183" s="465"/>
      <c r="D183" s="465"/>
      <c r="E183" s="465"/>
      <c r="F183" s="465"/>
      <c r="G183" s="465"/>
      <c r="H183" s="465"/>
      <c r="I183" s="465"/>
      <c r="J183" s="465"/>
      <c r="K183" s="465"/>
      <c r="L183" s="465"/>
      <c r="M183" s="465"/>
      <c r="N183" s="465"/>
      <c r="O183" s="465"/>
      <c r="P183" s="465"/>
      <c r="Q183" s="465"/>
      <c r="R183" s="465"/>
      <c r="S183" s="465"/>
      <c r="T183" s="465"/>
      <c r="U183" s="465"/>
      <c r="V183" s="465"/>
      <c r="W183" s="465"/>
      <c r="X183" s="465"/>
      <c r="Y183" s="465"/>
      <c r="Z183" s="465"/>
    </row>
    <row r="184" spans="1:26" ht="15.75" customHeight="1">
      <c r="A184" s="465"/>
      <c r="B184" s="465"/>
      <c r="C184" s="465"/>
      <c r="D184" s="465"/>
      <c r="E184" s="465"/>
      <c r="F184" s="465"/>
      <c r="G184" s="465"/>
      <c r="H184" s="465"/>
      <c r="I184" s="465"/>
      <c r="J184" s="465"/>
      <c r="K184" s="465"/>
      <c r="L184" s="465"/>
      <c r="M184" s="465"/>
      <c r="N184" s="465"/>
      <c r="O184" s="465"/>
      <c r="P184" s="465"/>
      <c r="Q184" s="465"/>
      <c r="R184" s="465"/>
      <c r="S184" s="465"/>
      <c r="T184" s="465"/>
      <c r="U184" s="465"/>
      <c r="V184" s="465"/>
      <c r="W184" s="465"/>
      <c r="X184" s="465"/>
      <c r="Y184" s="465"/>
      <c r="Z184" s="465"/>
    </row>
    <row r="185" spans="1:26" ht="15.75" customHeight="1">
      <c r="A185" s="465"/>
      <c r="B185" s="465"/>
      <c r="C185" s="465"/>
      <c r="D185" s="465"/>
      <c r="E185" s="465"/>
      <c r="F185" s="465"/>
      <c r="G185" s="465"/>
      <c r="H185" s="465"/>
      <c r="I185" s="465"/>
      <c r="J185" s="465"/>
      <c r="K185" s="465"/>
      <c r="L185" s="465"/>
      <c r="M185" s="465"/>
      <c r="N185" s="465"/>
      <c r="O185" s="465"/>
      <c r="P185" s="465"/>
      <c r="Q185" s="465"/>
      <c r="R185" s="465"/>
      <c r="S185" s="465"/>
      <c r="T185" s="465"/>
      <c r="U185" s="465"/>
      <c r="V185" s="465"/>
      <c r="W185" s="465"/>
      <c r="X185" s="465"/>
      <c r="Y185" s="465"/>
      <c r="Z185" s="465"/>
    </row>
    <row r="186" spans="1:26" ht="15.75" customHeight="1">
      <c r="A186" s="465"/>
      <c r="B186" s="465"/>
      <c r="C186" s="465"/>
      <c r="D186" s="465"/>
      <c r="E186" s="465"/>
      <c r="F186" s="465"/>
      <c r="G186" s="465"/>
      <c r="H186" s="465"/>
      <c r="I186" s="465"/>
      <c r="J186" s="465"/>
      <c r="K186" s="465"/>
      <c r="L186" s="465"/>
      <c r="M186" s="465"/>
      <c r="N186" s="465"/>
      <c r="O186" s="465"/>
      <c r="P186" s="465"/>
      <c r="Q186" s="465"/>
      <c r="R186" s="465"/>
      <c r="S186" s="465"/>
      <c r="T186" s="465"/>
      <c r="U186" s="465"/>
      <c r="V186" s="465"/>
      <c r="W186" s="465"/>
      <c r="X186" s="465"/>
      <c r="Y186" s="465"/>
      <c r="Z186" s="465"/>
    </row>
    <row r="187" spans="1:26" ht="15.75" customHeight="1">
      <c r="A187" s="465"/>
      <c r="B187" s="465"/>
      <c r="C187" s="465"/>
      <c r="D187" s="465"/>
      <c r="E187" s="465"/>
      <c r="F187" s="465"/>
      <c r="G187" s="465"/>
      <c r="H187" s="465"/>
      <c r="I187" s="465"/>
      <c r="J187" s="465"/>
      <c r="K187" s="465"/>
      <c r="L187" s="465"/>
      <c r="M187" s="465"/>
      <c r="N187" s="465"/>
      <c r="O187" s="465"/>
      <c r="P187" s="465"/>
      <c r="Q187" s="465"/>
      <c r="R187" s="465"/>
      <c r="S187" s="465"/>
      <c r="T187" s="465"/>
      <c r="U187" s="465"/>
      <c r="V187" s="465"/>
      <c r="W187" s="465"/>
      <c r="X187" s="465"/>
      <c r="Y187" s="465"/>
      <c r="Z187" s="465"/>
    </row>
    <row r="188" spans="1:26" ht="15.75" customHeight="1">
      <c r="A188" s="465"/>
      <c r="B188" s="465"/>
      <c r="C188" s="465"/>
      <c r="D188" s="465"/>
      <c r="E188" s="465"/>
      <c r="F188" s="465"/>
      <c r="G188" s="465"/>
      <c r="H188" s="465"/>
      <c r="I188" s="465"/>
      <c r="J188" s="465"/>
      <c r="K188" s="465"/>
      <c r="L188" s="465"/>
      <c r="M188" s="465"/>
      <c r="N188" s="465"/>
      <c r="O188" s="465"/>
      <c r="P188" s="465"/>
      <c r="Q188" s="465"/>
      <c r="R188" s="465"/>
      <c r="S188" s="465"/>
      <c r="T188" s="465"/>
      <c r="U188" s="465"/>
      <c r="V188" s="465"/>
      <c r="W188" s="465"/>
      <c r="X188" s="465"/>
      <c r="Y188" s="465"/>
      <c r="Z188" s="465"/>
    </row>
    <row r="189" spans="1:26" ht="15.75" customHeight="1">
      <c r="A189" s="465"/>
      <c r="B189" s="465"/>
      <c r="C189" s="465"/>
      <c r="D189" s="465"/>
      <c r="E189" s="465"/>
      <c r="F189" s="465"/>
      <c r="G189" s="465"/>
      <c r="H189" s="465"/>
      <c r="I189" s="465"/>
      <c r="J189" s="465"/>
      <c r="K189" s="465"/>
      <c r="L189" s="465"/>
      <c r="M189" s="465"/>
      <c r="N189" s="465"/>
      <c r="O189" s="465"/>
      <c r="P189" s="465"/>
      <c r="Q189" s="465"/>
      <c r="R189" s="465"/>
      <c r="S189" s="465"/>
      <c r="T189" s="465"/>
      <c r="U189" s="465"/>
      <c r="V189" s="465"/>
      <c r="W189" s="465"/>
      <c r="X189" s="465"/>
      <c r="Y189" s="465"/>
      <c r="Z189" s="465"/>
    </row>
    <row r="190" spans="1:26" ht="15.75" customHeight="1">
      <c r="A190" s="465"/>
      <c r="B190" s="465"/>
      <c r="C190" s="465"/>
      <c r="D190" s="465"/>
      <c r="E190" s="465"/>
      <c r="F190" s="465"/>
      <c r="G190" s="465"/>
      <c r="H190" s="465"/>
      <c r="I190" s="465"/>
      <c r="J190" s="465"/>
      <c r="K190" s="465"/>
      <c r="L190" s="465"/>
      <c r="M190" s="465"/>
      <c r="N190" s="465"/>
      <c r="O190" s="465"/>
      <c r="P190" s="465"/>
      <c r="Q190" s="465"/>
      <c r="R190" s="465"/>
      <c r="S190" s="465"/>
      <c r="T190" s="465"/>
      <c r="U190" s="465"/>
      <c r="V190" s="465"/>
      <c r="W190" s="465"/>
      <c r="X190" s="465"/>
      <c r="Y190" s="465"/>
      <c r="Z190" s="465"/>
    </row>
    <row r="191" spans="1:26" ht="15.75" customHeight="1">
      <c r="A191" s="465"/>
      <c r="B191" s="465"/>
      <c r="C191" s="465"/>
      <c r="D191" s="465"/>
      <c r="E191" s="465"/>
      <c r="F191" s="465"/>
      <c r="G191" s="465"/>
      <c r="H191" s="465"/>
      <c r="I191" s="465"/>
      <c r="J191" s="465"/>
      <c r="K191" s="465"/>
      <c r="L191" s="465"/>
      <c r="M191" s="465"/>
      <c r="N191" s="465"/>
      <c r="O191" s="465"/>
      <c r="P191" s="465"/>
      <c r="Q191" s="465"/>
      <c r="R191" s="465"/>
      <c r="S191" s="465"/>
      <c r="T191" s="465"/>
      <c r="U191" s="465"/>
      <c r="V191" s="465"/>
      <c r="W191" s="465"/>
      <c r="X191" s="465"/>
      <c r="Y191" s="465"/>
      <c r="Z191" s="465"/>
    </row>
    <row r="192" spans="1:26" ht="15.75" customHeight="1">
      <c r="A192" s="465"/>
      <c r="B192" s="465"/>
      <c r="C192" s="465"/>
      <c r="D192" s="465"/>
      <c r="E192" s="465"/>
      <c r="F192" s="465"/>
      <c r="G192" s="465"/>
      <c r="H192" s="465"/>
      <c r="I192" s="465"/>
      <c r="J192" s="465"/>
      <c r="K192" s="465"/>
      <c r="L192" s="465"/>
      <c r="M192" s="465"/>
      <c r="N192" s="465"/>
      <c r="O192" s="465"/>
      <c r="P192" s="465"/>
      <c r="Q192" s="465"/>
      <c r="R192" s="465"/>
      <c r="S192" s="465"/>
      <c r="T192" s="465"/>
      <c r="U192" s="465"/>
      <c r="V192" s="465"/>
      <c r="W192" s="465"/>
      <c r="X192" s="465"/>
      <c r="Y192" s="465"/>
      <c r="Z192" s="465"/>
    </row>
    <row r="193" spans="1:26" ht="15.75" customHeight="1">
      <c r="A193" s="465"/>
      <c r="B193" s="465"/>
      <c r="C193" s="465"/>
      <c r="D193" s="465"/>
      <c r="E193" s="465"/>
      <c r="F193" s="465"/>
      <c r="G193" s="465"/>
      <c r="H193" s="465"/>
      <c r="I193" s="465"/>
      <c r="J193" s="465"/>
      <c r="K193" s="465"/>
      <c r="L193" s="465"/>
      <c r="M193" s="465"/>
      <c r="N193" s="465"/>
      <c r="O193" s="465"/>
      <c r="P193" s="465"/>
      <c r="Q193" s="465"/>
      <c r="R193" s="465"/>
      <c r="S193" s="465"/>
      <c r="T193" s="465"/>
      <c r="U193" s="465"/>
      <c r="V193" s="465"/>
      <c r="W193" s="465"/>
      <c r="X193" s="465"/>
      <c r="Y193" s="465"/>
      <c r="Z193" s="465"/>
    </row>
    <row r="194" spans="1:26" ht="15.75" customHeight="1">
      <c r="A194" s="465"/>
      <c r="B194" s="465"/>
      <c r="C194" s="465"/>
      <c r="D194" s="465"/>
      <c r="E194" s="465"/>
      <c r="F194" s="465"/>
      <c r="G194" s="465"/>
      <c r="H194" s="465"/>
      <c r="I194" s="465"/>
      <c r="J194" s="465"/>
      <c r="K194" s="465"/>
      <c r="L194" s="465"/>
      <c r="M194" s="465"/>
      <c r="N194" s="465"/>
      <c r="O194" s="465"/>
      <c r="P194" s="465"/>
      <c r="Q194" s="465"/>
      <c r="R194" s="465"/>
      <c r="S194" s="465"/>
      <c r="T194" s="465"/>
      <c r="U194" s="465"/>
      <c r="V194" s="465"/>
      <c r="W194" s="465"/>
      <c r="X194" s="465"/>
      <c r="Y194" s="465"/>
      <c r="Z194" s="465"/>
    </row>
    <row r="195" spans="1:26" ht="15.75" customHeight="1">
      <c r="A195" s="465"/>
      <c r="B195" s="465"/>
      <c r="C195" s="465"/>
      <c r="D195" s="465"/>
      <c r="E195" s="465"/>
      <c r="F195" s="465"/>
      <c r="G195" s="465"/>
      <c r="H195" s="465"/>
      <c r="I195" s="465"/>
      <c r="J195" s="465"/>
      <c r="K195" s="465"/>
      <c r="L195" s="465"/>
      <c r="M195" s="465"/>
      <c r="N195" s="465"/>
      <c r="O195" s="465"/>
      <c r="P195" s="465"/>
      <c r="Q195" s="465"/>
      <c r="R195" s="465"/>
      <c r="S195" s="465"/>
      <c r="T195" s="465"/>
      <c r="U195" s="465"/>
      <c r="V195" s="465"/>
      <c r="W195" s="465"/>
      <c r="X195" s="465"/>
      <c r="Y195" s="465"/>
      <c r="Z195" s="465"/>
    </row>
    <row r="196" spans="1:26" ht="15.75" customHeight="1">
      <c r="A196" s="465"/>
      <c r="B196" s="465"/>
      <c r="C196" s="465"/>
      <c r="D196" s="465"/>
      <c r="E196" s="465"/>
      <c r="F196" s="465"/>
      <c r="G196" s="465"/>
      <c r="H196" s="465"/>
      <c r="I196" s="465"/>
      <c r="J196" s="465"/>
      <c r="K196" s="465"/>
      <c r="L196" s="465"/>
      <c r="M196" s="465"/>
      <c r="N196" s="465"/>
      <c r="O196" s="465"/>
      <c r="P196" s="465"/>
      <c r="Q196" s="465"/>
      <c r="R196" s="465"/>
      <c r="S196" s="465"/>
      <c r="T196" s="465"/>
      <c r="U196" s="465"/>
      <c r="V196" s="465"/>
      <c r="W196" s="465"/>
      <c r="X196" s="465"/>
      <c r="Y196" s="465"/>
      <c r="Z196" s="465"/>
    </row>
    <row r="197" spans="1:26" ht="15.75" customHeight="1">
      <c r="A197" s="465"/>
      <c r="B197" s="465"/>
      <c r="C197" s="465"/>
      <c r="D197" s="465"/>
      <c r="E197" s="465"/>
      <c r="F197" s="465"/>
      <c r="G197" s="465"/>
      <c r="H197" s="465"/>
      <c r="I197" s="465"/>
      <c r="J197" s="465"/>
      <c r="K197" s="465"/>
      <c r="L197" s="465"/>
      <c r="M197" s="465"/>
      <c r="N197" s="465"/>
      <c r="O197" s="465"/>
      <c r="P197" s="465"/>
      <c r="Q197" s="465"/>
      <c r="R197" s="465"/>
      <c r="S197" s="465"/>
      <c r="T197" s="465"/>
      <c r="U197" s="465"/>
      <c r="V197" s="465"/>
      <c r="W197" s="465"/>
      <c r="X197" s="465"/>
      <c r="Y197" s="465"/>
      <c r="Z197" s="465"/>
    </row>
    <row r="198" spans="1:26" ht="15.75" customHeight="1">
      <c r="A198" s="465"/>
      <c r="B198" s="465"/>
      <c r="C198" s="465"/>
      <c r="D198" s="465"/>
      <c r="E198" s="465"/>
      <c r="F198" s="465"/>
      <c r="G198" s="465"/>
      <c r="H198" s="465"/>
      <c r="I198" s="465"/>
      <c r="J198" s="465"/>
      <c r="K198" s="465"/>
      <c r="L198" s="465"/>
      <c r="M198" s="465"/>
      <c r="N198" s="465"/>
      <c r="O198" s="465"/>
      <c r="P198" s="465"/>
      <c r="Q198" s="465"/>
      <c r="R198" s="465"/>
      <c r="S198" s="465"/>
      <c r="T198" s="465"/>
      <c r="U198" s="465"/>
      <c r="V198" s="465"/>
      <c r="W198" s="465"/>
      <c r="X198" s="465"/>
      <c r="Y198" s="465"/>
      <c r="Z198" s="465"/>
    </row>
    <row r="199" spans="1:26" ht="15.75" customHeight="1">
      <c r="A199" s="465"/>
      <c r="B199" s="465"/>
      <c r="C199" s="465"/>
      <c r="D199" s="465"/>
      <c r="E199" s="465"/>
      <c r="F199" s="465"/>
      <c r="G199" s="465"/>
      <c r="H199" s="465"/>
      <c r="I199" s="465"/>
      <c r="J199" s="465"/>
      <c r="K199" s="465"/>
      <c r="L199" s="465"/>
      <c r="M199" s="465"/>
      <c r="N199" s="465"/>
      <c r="O199" s="465"/>
      <c r="P199" s="465"/>
      <c r="Q199" s="465"/>
      <c r="R199" s="465"/>
      <c r="S199" s="465"/>
      <c r="T199" s="465"/>
      <c r="U199" s="465"/>
      <c r="V199" s="465"/>
      <c r="W199" s="465"/>
      <c r="X199" s="465"/>
      <c r="Y199" s="465"/>
      <c r="Z199" s="465"/>
    </row>
    <row r="200" spans="1:26" ht="15.75" customHeight="1">
      <c r="A200" s="465"/>
      <c r="B200" s="465"/>
      <c r="C200" s="465"/>
      <c r="D200" s="465"/>
      <c r="E200" s="465"/>
      <c r="F200" s="465"/>
      <c r="G200" s="465"/>
      <c r="H200" s="465"/>
      <c r="I200" s="465"/>
      <c r="J200" s="465"/>
      <c r="K200" s="465"/>
      <c r="L200" s="465"/>
      <c r="M200" s="465"/>
      <c r="N200" s="465"/>
      <c r="O200" s="465"/>
      <c r="P200" s="465"/>
      <c r="Q200" s="465"/>
      <c r="R200" s="465"/>
      <c r="S200" s="465"/>
      <c r="T200" s="465"/>
      <c r="U200" s="465"/>
      <c r="V200" s="465"/>
      <c r="W200" s="465"/>
      <c r="X200" s="465"/>
      <c r="Y200" s="465"/>
      <c r="Z200" s="465"/>
    </row>
    <row r="201" spans="1:26" ht="15.75" customHeight="1">
      <c r="A201" s="465"/>
      <c r="B201" s="465"/>
      <c r="C201" s="465"/>
      <c r="D201" s="465"/>
      <c r="E201" s="465"/>
      <c r="F201" s="465"/>
      <c r="G201" s="465"/>
      <c r="H201" s="465"/>
      <c r="I201" s="465"/>
      <c r="J201" s="465"/>
      <c r="K201" s="465"/>
      <c r="L201" s="465"/>
      <c r="M201" s="465"/>
      <c r="N201" s="465"/>
      <c r="O201" s="465"/>
      <c r="P201" s="465"/>
      <c r="Q201" s="465"/>
      <c r="R201" s="465"/>
      <c r="S201" s="465"/>
      <c r="T201" s="465"/>
      <c r="U201" s="465"/>
      <c r="V201" s="465"/>
      <c r="W201" s="465"/>
      <c r="X201" s="465"/>
      <c r="Y201" s="465"/>
      <c r="Z201" s="465"/>
    </row>
    <row r="202" spans="1:26" ht="15.75" customHeight="1">
      <c r="A202" s="465"/>
      <c r="B202" s="465"/>
      <c r="C202" s="465"/>
      <c r="D202" s="465"/>
      <c r="E202" s="465"/>
      <c r="F202" s="465"/>
      <c r="G202" s="465"/>
      <c r="H202" s="465"/>
      <c r="I202" s="465"/>
      <c r="J202" s="465"/>
      <c r="K202" s="465"/>
      <c r="L202" s="465"/>
      <c r="M202" s="465"/>
      <c r="N202" s="465"/>
      <c r="O202" s="465"/>
      <c r="P202" s="465"/>
      <c r="Q202" s="465"/>
      <c r="R202" s="465"/>
      <c r="S202" s="465"/>
      <c r="T202" s="465"/>
      <c r="U202" s="465"/>
      <c r="V202" s="465"/>
      <c r="W202" s="465"/>
      <c r="X202" s="465"/>
      <c r="Y202" s="465"/>
      <c r="Z202" s="465"/>
    </row>
    <row r="203" spans="1:26" ht="15.75" customHeight="1">
      <c r="A203" s="465"/>
      <c r="B203" s="465"/>
      <c r="C203" s="465"/>
      <c r="D203" s="465"/>
      <c r="E203" s="465"/>
      <c r="F203" s="465"/>
      <c r="G203" s="465"/>
      <c r="H203" s="465"/>
      <c r="I203" s="465"/>
      <c r="J203" s="465"/>
      <c r="K203" s="465"/>
      <c r="L203" s="465"/>
      <c r="M203" s="465"/>
      <c r="N203" s="465"/>
      <c r="O203" s="465"/>
      <c r="P203" s="465"/>
      <c r="Q203" s="465"/>
      <c r="R203" s="465"/>
      <c r="S203" s="465"/>
      <c r="T203" s="465"/>
      <c r="U203" s="465"/>
      <c r="V203" s="465"/>
      <c r="W203" s="465"/>
      <c r="X203" s="465"/>
      <c r="Y203" s="465"/>
      <c r="Z203" s="465"/>
    </row>
    <row r="204" spans="1:26" ht="15.75" customHeight="1">
      <c r="A204" s="465"/>
      <c r="B204" s="465"/>
      <c r="C204" s="465"/>
      <c r="D204" s="465"/>
      <c r="E204" s="465"/>
      <c r="F204" s="465"/>
      <c r="G204" s="465"/>
      <c r="H204" s="465"/>
      <c r="I204" s="465"/>
      <c r="J204" s="465"/>
      <c r="K204" s="465"/>
      <c r="L204" s="465"/>
      <c r="M204" s="465"/>
      <c r="N204" s="465"/>
      <c r="O204" s="465"/>
      <c r="P204" s="465"/>
      <c r="Q204" s="465"/>
      <c r="R204" s="465"/>
      <c r="S204" s="465"/>
      <c r="T204" s="465"/>
      <c r="U204" s="465"/>
      <c r="V204" s="465"/>
      <c r="W204" s="465"/>
      <c r="X204" s="465"/>
      <c r="Y204" s="465"/>
      <c r="Z204" s="465"/>
    </row>
    <row r="205" spans="1:26" ht="15.75" customHeight="1">
      <c r="A205" s="465"/>
      <c r="B205" s="465"/>
      <c r="C205" s="465"/>
      <c r="D205" s="465"/>
      <c r="E205" s="465"/>
      <c r="F205" s="465"/>
      <c r="G205" s="465"/>
      <c r="H205" s="465"/>
      <c r="I205" s="465"/>
      <c r="J205" s="465"/>
      <c r="K205" s="465"/>
      <c r="L205" s="465"/>
      <c r="M205" s="465"/>
      <c r="N205" s="465"/>
      <c r="O205" s="465"/>
      <c r="P205" s="465"/>
      <c r="Q205" s="465"/>
      <c r="R205" s="465"/>
      <c r="S205" s="465"/>
      <c r="T205" s="465"/>
      <c r="U205" s="465"/>
      <c r="V205" s="465"/>
      <c r="W205" s="465"/>
      <c r="X205" s="465"/>
      <c r="Y205" s="465"/>
      <c r="Z205" s="465"/>
    </row>
    <row r="206" spans="1:26" ht="15.75" customHeight="1">
      <c r="A206" s="465"/>
      <c r="B206" s="465"/>
      <c r="C206" s="465"/>
      <c r="D206" s="465"/>
      <c r="E206" s="465"/>
      <c r="F206" s="465"/>
      <c r="G206" s="465"/>
      <c r="H206" s="465"/>
      <c r="I206" s="465"/>
      <c r="J206" s="465"/>
      <c r="K206" s="465"/>
      <c r="L206" s="465"/>
      <c r="M206" s="465"/>
      <c r="N206" s="465"/>
      <c r="O206" s="465"/>
      <c r="P206" s="465"/>
      <c r="Q206" s="465"/>
      <c r="R206" s="465"/>
      <c r="S206" s="465"/>
      <c r="T206" s="465"/>
      <c r="U206" s="465"/>
      <c r="V206" s="465"/>
      <c r="W206" s="465"/>
      <c r="X206" s="465"/>
      <c r="Y206" s="465"/>
      <c r="Z206" s="465"/>
    </row>
    <row r="207" spans="1:26" ht="15.75" customHeight="1">
      <c r="A207" s="465"/>
      <c r="B207" s="465"/>
      <c r="C207" s="465"/>
      <c r="D207" s="465"/>
      <c r="E207" s="465"/>
      <c r="F207" s="465"/>
      <c r="G207" s="465"/>
      <c r="H207" s="465"/>
      <c r="I207" s="465"/>
      <c r="J207" s="465"/>
      <c r="K207" s="465"/>
      <c r="L207" s="465"/>
      <c r="M207" s="465"/>
      <c r="N207" s="465"/>
      <c r="O207" s="465"/>
      <c r="P207" s="465"/>
      <c r="Q207" s="465"/>
      <c r="R207" s="465"/>
      <c r="S207" s="465"/>
      <c r="T207" s="465"/>
      <c r="U207" s="465"/>
      <c r="V207" s="465"/>
      <c r="W207" s="465"/>
      <c r="X207" s="465"/>
      <c r="Y207" s="465"/>
      <c r="Z207" s="465"/>
    </row>
    <row r="208" spans="1:26" ht="15.75" customHeight="1">
      <c r="A208" s="465"/>
      <c r="B208" s="465"/>
      <c r="C208" s="465"/>
      <c r="D208" s="465"/>
      <c r="E208" s="465"/>
      <c r="F208" s="465"/>
      <c r="G208" s="465"/>
      <c r="H208" s="465"/>
      <c r="I208" s="465"/>
      <c r="J208" s="465"/>
      <c r="K208" s="465"/>
      <c r="L208" s="465"/>
      <c r="M208" s="465"/>
      <c r="N208" s="465"/>
      <c r="O208" s="465"/>
      <c r="P208" s="465"/>
      <c r="Q208" s="465"/>
      <c r="R208" s="465"/>
      <c r="S208" s="465"/>
      <c r="T208" s="465"/>
      <c r="U208" s="465"/>
      <c r="V208" s="465"/>
      <c r="W208" s="465"/>
      <c r="X208" s="465"/>
      <c r="Y208" s="465"/>
      <c r="Z208" s="465"/>
    </row>
    <row r="209" spans="1:26" ht="15.75" customHeight="1">
      <c r="A209" s="465"/>
      <c r="B209" s="465"/>
      <c r="C209" s="465"/>
      <c r="D209" s="465"/>
      <c r="E209" s="465"/>
      <c r="F209" s="465"/>
      <c r="G209" s="465"/>
      <c r="H209" s="465"/>
      <c r="I209" s="465"/>
      <c r="J209" s="465"/>
      <c r="K209" s="465"/>
      <c r="L209" s="465"/>
      <c r="M209" s="465"/>
      <c r="N209" s="465"/>
      <c r="O209" s="465"/>
      <c r="P209" s="465"/>
      <c r="Q209" s="465"/>
      <c r="R209" s="465"/>
      <c r="S209" s="465"/>
      <c r="T209" s="465"/>
      <c r="U209" s="465"/>
      <c r="V209" s="465"/>
      <c r="W209" s="465"/>
      <c r="X209" s="465"/>
      <c r="Y209" s="465"/>
      <c r="Z209" s="465"/>
    </row>
    <row r="210" spans="1:26" ht="15.75" customHeight="1">
      <c r="A210" s="465"/>
      <c r="B210" s="465"/>
      <c r="C210" s="465"/>
      <c r="D210" s="465"/>
      <c r="E210" s="465"/>
      <c r="F210" s="465"/>
      <c r="G210" s="465"/>
      <c r="H210" s="465"/>
      <c r="I210" s="465"/>
      <c r="J210" s="465"/>
      <c r="K210" s="465"/>
      <c r="L210" s="465"/>
      <c r="M210" s="465"/>
      <c r="N210" s="465"/>
      <c r="O210" s="465"/>
      <c r="P210" s="465"/>
      <c r="Q210" s="465"/>
      <c r="R210" s="465"/>
      <c r="S210" s="465"/>
      <c r="T210" s="465"/>
      <c r="U210" s="465"/>
      <c r="V210" s="465"/>
      <c r="W210" s="465"/>
      <c r="X210" s="465"/>
      <c r="Y210" s="465"/>
      <c r="Z210" s="465"/>
    </row>
    <row r="211" spans="1:26" ht="15.75" customHeight="1">
      <c r="A211" s="465"/>
      <c r="B211" s="465"/>
      <c r="C211" s="465"/>
      <c r="D211" s="465"/>
      <c r="E211" s="465"/>
      <c r="F211" s="465"/>
      <c r="G211" s="465"/>
      <c r="H211" s="465"/>
      <c r="I211" s="465"/>
      <c r="J211" s="465"/>
      <c r="K211" s="465"/>
      <c r="L211" s="465"/>
      <c r="M211" s="465"/>
      <c r="N211" s="465"/>
      <c r="O211" s="465"/>
      <c r="P211" s="465"/>
      <c r="Q211" s="465"/>
      <c r="R211" s="465"/>
      <c r="S211" s="465"/>
      <c r="T211" s="465"/>
      <c r="U211" s="465"/>
      <c r="V211" s="465"/>
      <c r="W211" s="465"/>
      <c r="X211" s="465"/>
      <c r="Y211" s="465"/>
      <c r="Z211" s="465"/>
    </row>
    <row r="212" spans="1:26" ht="15.75" customHeight="1">
      <c r="A212" s="465"/>
      <c r="B212" s="465"/>
      <c r="C212" s="465"/>
      <c r="D212" s="465"/>
      <c r="E212" s="465"/>
      <c r="F212" s="465"/>
      <c r="G212" s="465"/>
      <c r="H212" s="465"/>
      <c r="I212" s="465"/>
      <c r="J212" s="465"/>
      <c r="K212" s="465"/>
      <c r="L212" s="465"/>
      <c r="M212" s="465"/>
      <c r="N212" s="465"/>
      <c r="O212" s="465"/>
      <c r="P212" s="465"/>
      <c r="Q212" s="465"/>
      <c r="R212" s="465"/>
      <c r="S212" s="465"/>
      <c r="T212" s="465"/>
      <c r="U212" s="465"/>
      <c r="V212" s="465"/>
      <c r="W212" s="465"/>
      <c r="X212" s="465"/>
      <c r="Y212" s="465"/>
      <c r="Z212" s="465"/>
    </row>
    <row r="213" spans="1:26" ht="15.75" customHeight="1">
      <c r="A213" s="465"/>
      <c r="B213" s="465"/>
      <c r="C213" s="465"/>
      <c r="D213" s="465"/>
      <c r="E213" s="465"/>
      <c r="F213" s="465"/>
      <c r="G213" s="465"/>
      <c r="H213" s="465"/>
      <c r="I213" s="465"/>
      <c r="J213" s="465"/>
      <c r="K213" s="465"/>
      <c r="L213" s="465"/>
      <c r="M213" s="465"/>
      <c r="N213" s="465"/>
      <c r="O213" s="465"/>
      <c r="P213" s="465"/>
      <c r="Q213" s="465"/>
      <c r="R213" s="465"/>
      <c r="S213" s="465"/>
      <c r="T213" s="465"/>
      <c r="U213" s="465"/>
      <c r="V213" s="465"/>
      <c r="W213" s="465"/>
      <c r="X213" s="465"/>
      <c r="Y213" s="465"/>
      <c r="Z213" s="465"/>
    </row>
    <row r="214" spans="1:26" ht="15.75" customHeight="1">
      <c r="A214" s="465"/>
      <c r="B214" s="465"/>
      <c r="C214" s="465"/>
      <c r="D214" s="465"/>
      <c r="E214" s="465"/>
      <c r="F214" s="465"/>
      <c r="G214" s="465"/>
      <c r="H214" s="465"/>
      <c r="I214" s="465"/>
      <c r="J214" s="465"/>
      <c r="K214" s="465"/>
      <c r="L214" s="465"/>
      <c r="M214" s="465"/>
      <c r="N214" s="465"/>
      <c r="O214" s="465"/>
      <c r="P214" s="465"/>
      <c r="Q214" s="465"/>
      <c r="R214" s="465"/>
      <c r="S214" s="465"/>
      <c r="T214" s="465"/>
      <c r="U214" s="465"/>
      <c r="V214" s="465"/>
      <c r="W214" s="465"/>
      <c r="X214" s="465"/>
      <c r="Y214" s="465"/>
      <c r="Z214" s="465"/>
    </row>
    <row r="215" spans="1:26" ht="15.75" customHeight="1">
      <c r="A215" s="465"/>
      <c r="B215" s="465"/>
      <c r="C215" s="465"/>
      <c r="D215" s="465"/>
      <c r="E215" s="465"/>
      <c r="F215" s="465"/>
      <c r="G215" s="465"/>
      <c r="H215" s="465"/>
      <c r="I215" s="465"/>
      <c r="J215" s="465"/>
      <c r="K215" s="465"/>
      <c r="L215" s="465"/>
      <c r="M215" s="465"/>
      <c r="N215" s="465"/>
      <c r="O215" s="465"/>
      <c r="P215" s="465"/>
      <c r="Q215" s="465"/>
      <c r="R215" s="465"/>
      <c r="S215" s="465"/>
      <c r="T215" s="465"/>
      <c r="U215" s="465"/>
      <c r="V215" s="465"/>
      <c r="W215" s="465"/>
      <c r="X215" s="465"/>
      <c r="Y215" s="465"/>
      <c r="Z215" s="465"/>
    </row>
    <row r="216" spans="1:26" ht="15.75" customHeight="1">
      <c r="A216" s="465"/>
      <c r="B216" s="465"/>
      <c r="C216" s="465"/>
      <c r="D216" s="465"/>
      <c r="E216" s="465"/>
      <c r="F216" s="465"/>
      <c r="G216" s="465"/>
      <c r="H216" s="465"/>
      <c r="I216" s="465"/>
      <c r="J216" s="465"/>
      <c r="K216" s="465"/>
      <c r="L216" s="465"/>
      <c r="M216" s="465"/>
      <c r="N216" s="465"/>
      <c r="O216" s="465"/>
      <c r="P216" s="465"/>
      <c r="Q216" s="465"/>
      <c r="R216" s="465"/>
      <c r="S216" s="465"/>
      <c r="T216" s="465"/>
      <c r="U216" s="465"/>
      <c r="V216" s="465"/>
      <c r="W216" s="465"/>
      <c r="X216" s="465"/>
      <c r="Y216" s="465"/>
      <c r="Z216" s="465"/>
    </row>
    <row r="217" spans="1:26" ht="15.75" customHeight="1">
      <c r="A217" s="465"/>
      <c r="B217" s="465"/>
      <c r="C217" s="465"/>
      <c r="D217" s="465"/>
      <c r="E217" s="465"/>
      <c r="F217" s="465"/>
      <c r="G217" s="465"/>
      <c r="H217" s="465"/>
      <c r="I217" s="465"/>
      <c r="J217" s="465"/>
      <c r="K217" s="465"/>
      <c r="L217" s="465"/>
      <c r="M217" s="465"/>
      <c r="N217" s="465"/>
      <c r="O217" s="465"/>
      <c r="P217" s="465"/>
      <c r="Q217" s="465"/>
      <c r="R217" s="465"/>
      <c r="S217" s="465"/>
      <c r="T217" s="465"/>
      <c r="U217" s="465"/>
      <c r="V217" s="465"/>
      <c r="W217" s="465"/>
      <c r="X217" s="465"/>
      <c r="Y217" s="465"/>
      <c r="Z217" s="465"/>
    </row>
    <row r="218" spans="1:26" ht="15.75" customHeight="1">
      <c r="A218" s="465"/>
      <c r="B218" s="465"/>
      <c r="C218" s="465"/>
      <c r="D218" s="465"/>
      <c r="E218" s="465"/>
      <c r="F218" s="465"/>
      <c r="G218" s="465"/>
      <c r="H218" s="465"/>
      <c r="I218" s="465"/>
      <c r="J218" s="465"/>
      <c r="K218" s="465"/>
      <c r="L218" s="465"/>
      <c r="M218" s="465"/>
      <c r="N218" s="465"/>
      <c r="O218" s="465"/>
      <c r="P218" s="465"/>
      <c r="Q218" s="465"/>
      <c r="R218" s="465"/>
      <c r="S218" s="465"/>
      <c r="T218" s="465"/>
      <c r="U218" s="465"/>
      <c r="V218" s="465"/>
      <c r="W218" s="465"/>
      <c r="X218" s="465"/>
      <c r="Y218" s="465"/>
      <c r="Z218" s="465"/>
    </row>
    <row r="219" spans="1:26" ht="15.75" customHeight="1">
      <c r="A219" s="465"/>
      <c r="B219" s="465"/>
      <c r="C219" s="465"/>
      <c r="D219" s="465"/>
      <c r="E219" s="465"/>
      <c r="F219" s="465"/>
      <c r="G219" s="465"/>
      <c r="H219" s="465"/>
      <c r="I219" s="465"/>
      <c r="J219" s="465"/>
      <c r="K219" s="465"/>
      <c r="L219" s="465"/>
      <c r="M219" s="465"/>
      <c r="N219" s="465"/>
      <c r="O219" s="465"/>
      <c r="P219" s="465"/>
      <c r="Q219" s="465"/>
      <c r="R219" s="465"/>
      <c r="S219" s="465"/>
      <c r="T219" s="465"/>
      <c r="U219" s="465"/>
      <c r="V219" s="465"/>
      <c r="W219" s="465"/>
      <c r="X219" s="465"/>
      <c r="Y219" s="465"/>
      <c r="Z219" s="465"/>
    </row>
    <row r="220" spans="1:26" ht="15.75" customHeight="1">
      <c r="A220" s="465"/>
      <c r="B220" s="465"/>
      <c r="C220" s="465"/>
      <c r="D220" s="465"/>
      <c r="E220" s="465"/>
      <c r="F220" s="465"/>
      <c r="G220" s="465"/>
      <c r="H220" s="465"/>
      <c r="I220" s="465"/>
      <c r="J220" s="465"/>
      <c r="K220" s="465"/>
      <c r="L220" s="465"/>
      <c r="M220" s="465"/>
      <c r="N220" s="465"/>
      <c r="O220" s="465"/>
      <c r="P220" s="465"/>
      <c r="Q220" s="465"/>
      <c r="R220" s="465"/>
      <c r="S220" s="465"/>
      <c r="T220" s="465"/>
      <c r="U220" s="465"/>
      <c r="V220" s="465"/>
      <c r="W220" s="465"/>
      <c r="X220" s="465"/>
      <c r="Y220" s="465"/>
      <c r="Z220" s="46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2026-03-06T21:31:30Z</dcterms:modified>
</cp:coreProperties>
</file>
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100" i="1" l="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<sst xmlns="http://schemas.openxmlformats.org/spreadsheetml/2006/main" count="750" uniqueCount="361">
  <si>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</si>
  <si>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</si>
  <si>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</si>
  <si>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</si>
  <si>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</si>
  <si>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</si>
  <si>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</si>
  <si>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</si>
  <si>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</si>
  <si>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</si>
  <si>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</si>
  <si>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</si>
  <si>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</si>
  <si>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</si>
  <si>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</si>
  <si>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</si>
  <si>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</si>
  <si>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</si>
  <si>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</si>
  <si>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</si>
  <si>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</si>
  <si>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</si>
  <si>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</si>
  <si>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</si>
  <si>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</si>
  <si>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</si>
  <si>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</si>
  <si>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</si>
  <si>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</si>
  <si>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</si>
  <si>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</si>
  <si>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</si>
  <si>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</si>
  <si>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</si>
  <si>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</si>
  <si>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</si>
  <si>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</si>
  <si>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</si>
  <si>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</si>
  <si>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</si>
  <si>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</si>
  <si>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</si>
  <si>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</si>
  <si>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</si>
  <si>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</si>
  <si>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</si>
  <si>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</si>
  <si>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</si>
  <si>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</si>
  <si>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</si>
  <si>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</si>
  <si>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</si>
  <si>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</si>
  <si>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</si>
  <si>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</si>
  <si>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</si>
  <si>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</si>
  <si>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</si>
  <si>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</si>
  <si>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</si>
  <si>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</si>
  <si>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</si>
  <si>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</si>
  <si>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</si>
  <si>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</si>
  <si>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</si>
  <si>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</si>
  <si>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</si>
  <si>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</si>
  <si>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</si>
  <si>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</si>
  <si>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</si>
  <si>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</si>
  <si>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</si>
  <si>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</si>
  <si>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</si>
  <si>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</si>
  <si>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</si>
  <si>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</si>
  <si>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</si>
  <si>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</si>
  <si>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</si>
  <si>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</si>
  <si>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</si>
  <si>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</si>
  <si>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</si>
  <si>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</si>
  <si>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</si>
  <si>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</si>
  <si>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</si>
  <si>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</si>
  <si>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</si>
  <si>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</si>
  <si>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</si>
  <si>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</si>
  <si>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</si>
  <si>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</si>
  <si>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</si>
  <si>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</si>
  <si>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</si>
  <si>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</si>
  <si>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</si>
  <si>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</si>
  <si>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</si>
  <si>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</si>
  <si>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</si>
  <si>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</si>
  <si>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</si>
  <si>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</si>
  <si>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</si>
  <si>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</si>
  <si>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</si>
  <si>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</si>
  <si>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</si>
  <si>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</si>
  <si>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</si>
  <si>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</si>
  <si>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</si>
  <si>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</si>
  <si>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</si>
  <si>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</si>
  <si>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</si>
  <si>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</si>
  <si>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</si>
  <si>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</si>
  <si>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</si>
  <si>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</si>
  <si>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</si>
  <si>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</si>
  <si>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</si>
  <si>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</si>
  <si>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</si>
  <si>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</si>
  <si>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</si>
  <si>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</si>
  <si>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</si>
  <si>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</si>
  <si>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</si>
  <si>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</si>
  <si>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</si>
  <si>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</si>
  <si>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</si>
  <si>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</si>
  <si>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</si>
  <si>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</si>
  <si>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</si>
  <si>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</si>
  <si>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</si>
  <si>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</si>
  <si>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</si>
  <si>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</si>
  <si>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</si>
  <si>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</si>
  <si>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</si>
  <si>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</si>
  <si>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</si>
  <si>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</si>
  <si>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</si>
  <si>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</si>
  <si>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</si>
  <si>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</si>
  <si>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EN PROCESO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</si>
  <si>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</si>
  <si>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</si>
  <si>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</si>
  <si>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</si>
  <si>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</si>
  <si>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</si>
  <si>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</si>
  <si>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</si>
  <si>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</si>
  <si>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</si>
  <si>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</si>
  <si>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</si>
  <si>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</si>
  <si>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</si>
  <si>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</si>
  <si>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</si>
  <si>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</si>
  <si>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</si>
  <si>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</si>
  <si>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</si>
  <si>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</si>
  <si>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</si>
  <si>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</si>
  <si>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</si>
  <si>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</si>
  <si>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</si>
  <si>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</si>
  <si>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</si>
  <si>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</si>
  <si>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</si>
  <si>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</si>
  <si>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</si>
  <si>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</si>
  <si>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</si>
  <si>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</si>
  <si>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</si>
  <si>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</si>
  <si>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</si>
  <si>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</si>
  <si>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</si>
  <si>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</si>
  <si>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</si>
  <si>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</si>
  <si>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</si>
  <si>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</si>
  <si>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</si>
  <si>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</si>
  <si>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</si>
  <si>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</si>
  <si>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</si>
  <si>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</si>
  <si>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</si>
  <si>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</si>
  <si>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</si>
  <si>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</si>
  <si>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</si>
  <si>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</si>
  <si>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</si>
  <si>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</si>
  <si>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</si>
  <si>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</si>
  <si>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</si>
  <si>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</si>
  <si>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</si>
  <si>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</si>
  <si>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</si>
  <si>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</si>
  <si>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</si>
  <si>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</si>
  <si>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</si>
  <si>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</si>
  <si>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</si>
  <si>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</si>
  <si>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</si>
  <si>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</si>
  <si>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</si>
  <si>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</si>
  <si>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</si>
  <si>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</si>
  <si>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</si>
  <si>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</si>
  <si>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</si>
  <si>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</si>
  <si>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</si>
  <si>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</si>
  <si>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</si>
  <si>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</si>
  <si>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</si>
  <si>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</si>
  <si>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</si>
  <si>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</si>
  <si>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</si>
  <si>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</si>
  <si>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</si>
  <si>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</si>
  <si>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</si>
  <si>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</si>
  <si>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</si>
  <si>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</si>
  <si>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</si>
  <si>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</si>
  <si>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</si>
  <si>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</si>
  <si>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</si>
  <si>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</si>
  <si>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</si>
  <si>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</si>
  <si>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</si>
  <si>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</si>
  <si>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</si>
  <si>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</si>
  <si>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</si>
  <si>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</si>
  <si>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</si>
  <si>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</si>
  <si>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</si>
  <si>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</si>
  <si>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</si>
  <si>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</si>
  <si>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</si>
  <si>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</si>
  <si>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</si>
  <si>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</si>
  <si>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</si>
  <si>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</si>
  <si>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</si>
  <si>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</si>
  <si>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</si>
  <si>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</si>
  <si>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</si>
  <si>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</si>
  <si>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</si>
  <si>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</si>
  <si>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</si>
  <si>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</si>
  <si>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</si>
  <si>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</si>
  <si>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</si>
  <si>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</si>
  <si>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</si>
  <si>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</si>
  <si>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</si>
  <si>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</si>
  <si>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</si>
  <si>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</si>
  <si>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</si>
  <si>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</si>
  <si>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</si>
  <si>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</si>
  <si>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</si>
  <si>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</si>
  <si>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</si>
  <si>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</si>
  <si>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</si>
  <si>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</si>
  <si>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</si>
  <si>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</si>
  <si>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Solicitud soportes y bases de morosos a corte 23 febrero</t>
  </si>
  <si>
    <t>26/02/2026: Se realiza proceso de generacion de documentación para el reporte de morosos del mes de Febrero de acuerdo a la solicitud, se entrega información.</t>
  </si>
  <si>
    <t>357</t>
  </si>
  <si>
    <t>02/03/2026: Se realiza la validación del caso, se reporta al área encargada ya que no es un error de Imagine y se da solución al usuario.</t>
  </si>
  <si>
    <t>358</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</si>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</sst>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s>
  <cellStyleXfs count="1">
    <xf numFmtId="0" fontId="0" fillId="0" borderId="0"/>
  </cellStyleXfs>
  <cellXfs count="13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00"/>
  <sheetViews>
    <sheetView tabSelected="1" workbookViewId="0">
      <pane ySplit="1" topLeftCell="A2" activePane="bottomLeft" state="frozen"/>
      <selection pane="bottomLeft" activeCell="A4" sqref="A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283</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283</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283</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283</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283</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283</v>
      </c>
      <c r="N7" s="40"/>
      <c r="O7" s="40"/>
      <c r="P7" s="40"/>
      <c r="Q7" s="36" t="s">
        <v>39</v>
      </c>
      <c r="R7" s="37" t="s">
        <v>40</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41</v>
      </c>
      <c r="C8" s="41" t="s">
        <v>42</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283</v>
      </c>
      <c r="N8" s="21"/>
      <c r="O8" s="21"/>
      <c r="P8" s="43"/>
      <c r="Q8" s="23" t="s">
        <v>39</v>
      </c>
      <c r="R8" s="24" t="s">
        <v>40</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43</v>
      </c>
      <c r="B9" s="27" t="s">
        <v>44</v>
      </c>
      <c r="C9" s="28" t="s">
        <v>45</v>
      </c>
      <c r="D9" s="28" t="s">
        <v>46</v>
      </c>
      <c r="E9" s="44"/>
      <c r="F9" s="39" t="s">
        <v>38</v>
      </c>
      <c r="G9" s="31">
        <v>100</v>
      </c>
      <c r="H9" s="32">
        <f>IF(OR(J9="",K9="",K9&lt;J9),0,NETWORKDAYS(J9,K9,Hoja2!$A$2:$A$53))</f>
        <v>0</v>
      </c>
      <c r="I9" s="33"/>
      <c r="J9" s="45">
        <v>45832</v>
      </c>
      <c r="K9" s="33"/>
      <c r="L9" s="33"/>
      <c r="M9" s="35">
        <f ca="1">IF(OR(J9="",AND(L9="",TODAY()&lt;J9),AND(L9&lt;&gt;"",L9&lt;J9)),0,
   IF(L9="",
      NETWORKDAYS(J9,TODAY(),Hoja2!$A$2:$A$53),
      NETWORKDAYS(J9,L9,Hoja2!$A$2:$A$53)
   )
)</f>
        <v>172</v>
      </c>
      <c r="N9" s="40"/>
      <c r="O9" s="40"/>
      <c r="P9" s="40"/>
      <c r="Q9" s="46" t="s">
        <v>47</v>
      </c>
      <c r="R9" s="37" t="s">
        <v>40</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43</v>
      </c>
      <c r="B10" s="14" t="s">
        <v>48</v>
      </c>
      <c r="C10" s="47" t="s">
        <v>49</v>
      </c>
      <c r="D10" s="48" t="s">
        <v>50</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172</v>
      </c>
      <c r="N10" s="21"/>
      <c r="O10" s="21"/>
      <c r="P10" s="43"/>
      <c r="Q10" s="52" t="s">
        <v>51</v>
      </c>
      <c r="R10" s="24" t="s">
        <v>40</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43</v>
      </c>
      <c r="B11" s="27" t="s">
        <v>52</v>
      </c>
      <c r="C11" s="53" t="s">
        <v>53</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172</v>
      </c>
      <c r="N11" s="34"/>
      <c r="O11" s="34"/>
      <c r="P11" s="40"/>
      <c r="Q11" s="46" t="s">
        <v>54</v>
      </c>
      <c r="R11" s="37" t="s">
        <v>40</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43</v>
      </c>
      <c r="B12" s="14" t="s">
        <v>55</v>
      </c>
      <c r="C12" s="47" t="s">
        <v>56</v>
      </c>
      <c r="D12" s="55" t="s">
        <v>57</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172</v>
      </c>
      <c r="N12" s="21"/>
      <c r="O12" s="21"/>
      <c r="P12" s="43"/>
      <c r="Q12" s="57" t="s">
        <v>58</v>
      </c>
      <c r="R12" s="24" t="s">
        <v>40</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43</v>
      </c>
      <c r="B13" s="27" t="s">
        <v>59</v>
      </c>
      <c r="C13" s="53" t="s">
        <v>60</v>
      </c>
      <c r="D13" s="54" t="s">
        <v>61</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62</v>
      </c>
      <c r="R13" s="37" t="s">
        <v>40</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63</v>
      </c>
      <c r="C14" s="47" t="s">
        <v>64</v>
      </c>
      <c r="D14" s="60" t="s">
        <v>65</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174</v>
      </c>
      <c r="N14" s="21"/>
      <c r="O14" s="21"/>
      <c r="P14" s="43"/>
      <c r="Q14" s="57" t="s">
        <v>66</v>
      </c>
      <c r="R14" s="24" t="s">
        <v>40</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67</v>
      </c>
      <c r="C15" s="53" t="s">
        <v>68</v>
      </c>
      <c r="D15" s="54" t="s">
        <v>69</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174</v>
      </c>
      <c r="N15" s="34"/>
      <c r="O15" s="34"/>
      <c r="P15" s="40"/>
      <c r="Q15" s="46" t="s">
        <v>66</v>
      </c>
      <c r="R15" s="37" t="s">
        <v>40</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70</v>
      </c>
      <c r="C16" s="15" t="s">
        <v>71</v>
      </c>
      <c r="D16" s="62" t="s">
        <v>72</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73</v>
      </c>
      <c r="R16" s="24" t="s">
        <v>40</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74</v>
      </c>
      <c r="C17" s="28" t="s">
        <v>75</v>
      </c>
      <c r="D17" s="66" t="s">
        <v>76</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173</v>
      </c>
      <c r="N17" s="34"/>
      <c r="O17" s="34"/>
      <c r="P17" s="40"/>
      <c r="Q17" s="69" t="s">
        <v>77</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78</v>
      </c>
      <c r="C18" s="70" t="s">
        <v>79</v>
      </c>
      <c r="D18" s="62" t="s">
        <v>80</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73</v>
      </c>
      <c r="R18" s="24" t="s">
        <v>40</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81</v>
      </c>
      <c r="C19" s="28" t="s">
        <v>82</v>
      </c>
      <c r="D19" s="66" t="s">
        <v>83</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84</v>
      </c>
      <c r="R19" s="37" t="s">
        <v>40</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85</v>
      </c>
      <c r="C20" s="15" t="s">
        <v>86</v>
      </c>
      <c r="D20" s="15" t="s">
        <v>87</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171</v>
      </c>
      <c r="N20" s="43"/>
      <c r="O20" s="43"/>
      <c r="P20" s="43"/>
      <c r="Q20" s="77" t="s">
        <v>77</v>
      </c>
      <c r="R20" s="24" t="s">
        <v>40</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88</v>
      </c>
      <c r="C21" s="78" t="s">
        <v>89</v>
      </c>
      <c r="D21" s="79" t="s">
        <v>90</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91</v>
      </c>
      <c r="R21" s="37" t="s">
        <v>40</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92</v>
      </c>
      <c r="C22" s="60" t="s">
        <v>93</v>
      </c>
      <c r="D22" s="60" t="s">
        <v>65</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94</v>
      </c>
      <c r="R22" s="24" t="s">
        <v>40</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95</v>
      </c>
      <c r="C23" s="78" t="s">
        <v>96</v>
      </c>
      <c r="D23" s="82" t="s">
        <v>97</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40</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98</v>
      </c>
      <c r="C24" s="60" t="s">
        <v>99</v>
      </c>
      <c r="D24" s="85" t="s">
        <v>100</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40</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101</v>
      </c>
      <c r="C25" s="82" t="s">
        <v>102</v>
      </c>
      <c r="D25" s="88" t="s">
        <v>103</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40</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104</v>
      </c>
      <c r="C26" s="85" t="s">
        <v>105</v>
      </c>
      <c r="D26" s="89" t="s">
        <v>106</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107</v>
      </c>
      <c r="R26" s="24" t="s">
        <v>40</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108</v>
      </c>
      <c r="B27" s="61" t="s">
        <v>109</v>
      </c>
      <c r="C27" s="82" t="s">
        <v>110</v>
      </c>
      <c r="D27" s="82" t="s">
        <v>111</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112</v>
      </c>
      <c r="R27" s="37" t="s">
        <v>40</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108</v>
      </c>
      <c r="B28" s="59" t="s">
        <v>113</v>
      </c>
      <c r="C28" s="85" t="s">
        <v>114</v>
      </c>
      <c r="D28" s="85" t="s">
        <v>111</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40</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108</v>
      </c>
      <c r="B29" s="61" t="s">
        <v>115</v>
      </c>
      <c r="C29" s="82" t="s">
        <v>116</v>
      </c>
      <c r="D29" s="88" t="s">
        <v>117</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118</v>
      </c>
      <c r="R29" s="37" t="s">
        <v>40</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119</v>
      </c>
      <c r="C30" s="85" t="s">
        <v>120</v>
      </c>
      <c r="D30" s="89" t="s">
        <v>121</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122</v>
      </c>
      <c r="R30" s="24" t="s">
        <v>40</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123</v>
      </c>
      <c r="C31" s="95" t="s">
        <v>124</v>
      </c>
      <c r="D31" s="88" t="s">
        <v>125</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40</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108</v>
      </c>
      <c r="B32" s="59" t="s">
        <v>126</v>
      </c>
      <c r="C32" s="85" t="s">
        <v>127</v>
      </c>
      <c r="D32" s="85" t="s">
        <v>111</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40</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128</v>
      </c>
      <c r="C33" s="82" t="s">
        <v>129</v>
      </c>
      <c r="D33" s="88" t="s">
        <v>130</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7" t="s">
        <v>131</v>
      </c>
      <c r="R33" s="37" t="s">
        <v>40</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108</v>
      </c>
      <c r="B34" s="14" t="s">
        <v>132</v>
      </c>
      <c r="C34" s="85" t="s">
        <v>133</v>
      </c>
      <c r="D34" s="85" t="s">
        <v>111</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40</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134</v>
      </c>
      <c r="C35" s="82" t="s">
        <v>135</v>
      </c>
      <c r="D35" s="98" t="s">
        <v>136</v>
      </c>
      <c r="E35" s="29"/>
      <c r="F35" s="67" t="s">
        <v>137</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106</v>
      </c>
      <c r="N35" s="73"/>
      <c r="O35" s="73">
        <v>45953</v>
      </c>
      <c r="P35" s="40"/>
      <c r="Q35" s="36" t="s">
        <v>138</v>
      </c>
      <c r="R35" s="37" t="s">
        <v>40</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108</v>
      </c>
      <c r="B36" s="14" t="s">
        <v>139</v>
      </c>
      <c r="C36" s="85" t="s">
        <v>140</v>
      </c>
      <c r="D36" s="99" t="s">
        <v>141</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73</v>
      </c>
      <c r="R36" s="24" t="s">
        <v>40</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142</v>
      </c>
      <c r="C37" s="82" t="s">
        <v>143</v>
      </c>
      <c r="D37" s="88" t="s">
        <v>144</v>
      </c>
      <c r="E37" s="93"/>
      <c r="F37" s="100" t="s">
        <v>38</v>
      </c>
      <c r="G37" s="101">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40</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145</v>
      </c>
      <c r="C38" s="85" t="s">
        <v>146</v>
      </c>
      <c r="D38" s="85" t="s">
        <v>111</v>
      </c>
      <c r="E38" s="91"/>
      <c r="F38" s="102" t="s">
        <v>38</v>
      </c>
      <c r="G38" s="103">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4" t="s">
        <v>147</v>
      </c>
      <c r="R38" s="24" t="s">
        <v>40</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148</v>
      </c>
      <c r="C39" s="82" t="s">
        <v>143</v>
      </c>
      <c r="D39" s="88" t="s">
        <v>149</v>
      </c>
      <c r="E39" s="93"/>
      <c r="F39" s="100" t="s">
        <v>38</v>
      </c>
      <c r="G39" s="101">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40</v>
      </c>
      <c r="S39" s="105"/>
      <c r="T39" s="105"/>
      <c r="U39" s="105"/>
      <c r="V39" s="105"/>
      <c r="W39" s="105"/>
      <c r="X39" s="105"/>
      <c r="Y39" s="105"/>
      <c r="Z39" s="105"/>
      <c r="AA39" s="105"/>
      <c r="AB39" s="105"/>
      <c r="AC39" s="105"/>
      <c r="AD39" s="105"/>
      <c r="AE39" s="105"/>
      <c r="AF39" s="105"/>
      <c r="AG39" s="105"/>
      <c r="AH39" s="105"/>
      <c r="AI39" s="105"/>
      <c r="AJ39" s="105"/>
      <c r="AK39" s="105"/>
      <c r="AL39" s="105"/>
      <c r="AM39" s="105"/>
      <c r="AN39" s="106"/>
    </row>
    <row r="40" spans="1:40" ht="25.5">
      <c r="A40" s="13" t="s">
        <v>18</v>
      </c>
      <c r="B40" s="14" t="s">
        <v>150</v>
      </c>
      <c r="C40" s="85" t="s">
        <v>143</v>
      </c>
      <c r="D40" s="89" t="s">
        <v>151</v>
      </c>
      <c r="E40" s="91"/>
      <c r="F40" s="102" t="s">
        <v>38</v>
      </c>
      <c r="G40" s="103">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4" t="s">
        <v>152</v>
      </c>
      <c r="R40" s="24" t="s">
        <v>40</v>
      </c>
      <c r="S40" s="107"/>
      <c r="T40" s="107"/>
      <c r="U40" s="107"/>
      <c r="V40" s="107"/>
      <c r="W40" s="107"/>
      <c r="X40" s="107"/>
      <c r="Y40" s="107"/>
      <c r="Z40" s="107"/>
      <c r="AA40" s="107"/>
      <c r="AB40" s="107"/>
      <c r="AC40" s="107"/>
      <c r="AD40" s="107"/>
      <c r="AE40" s="107"/>
      <c r="AF40" s="107"/>
      <c r="AG40" s="107"/>
      <c r="AH40" s="107"/>
      <c r="AI40" s="107"/>
      <c r="AJ40" s="107"/>
      <c r="AK40" s="107"/>
      <c r="AL40" s="107"/>
      <c r="AM40" s="107"/>
      <c r="AN40" s="108"/>
    </row>
    <row r="41" spans="1:40">
      <c r="A41" s="26" t="s">
        <v>25</v>
      </c>
      <c r="B41" s="27" t="s">
        <v>153</v>
      </c>
      <c r="C41" s="82" t="s">
        <v>154</v>
      </c>
      <c r="D41" s="88" t="s">
        <v>155</v>
      </c>
      <c r="E41" s="93"/>
      <c r="F41" s="100" t="s">
        <v>38</v>
      </c>
      <c r="G41" s="101">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7" t="s">
        <v>156</v>
      </c>
      <c r="R41" s="37" t="s">
        <v>40</v>
      </c>
      <c r="S41" s="105"/>
      <c r="T41" s="105"/>
      <c r="U41" s="105"/>
      <c r="V41" s="105"/>
      <c r="W41" s="105"/>
      <c r="X41" s="105"/>
      <c r="Y41" s="105"/>
      <c r="Z41" s="105"/>
      <c r="AA41" s="105"/>
      <c r="AB41" s="105"/>
      <c r="AC41" s="105"/>
      <c r="AD41" s="105"/>
      <c r="AE41" s="105"/>
      <c r="AF41" s="105"/>
      <c r="AG41" s="105"/>
      <c r="AH41" s="105"/>
      <c r="AI41" s="105"/>
      <c r="AJ41" s="105"/>
      <c r="AK41" s="105"/>
      <c r="AL41" s="105"/>
      <c r="AM41" s="105"/>
      <c r="AN41" s="106"/>
    </row>
    <row r="42" spans="1:40">
      <c r="A42" s="13" t="s">
        <v>25</v>
      </c>
      <c r="B42" s="14" t="s">
        <v>157</v>
      </c>
      <c r="C42" s="85" t="s">
        <v>154</v>
      </c>
      <c r="D42" s="89" t="s">
        <v>155</v>
      </c>
      <c r="E42" s="91"/>
      <c r="F42" s="102" t="s">
        <v>38</v>
      </c>
      <c r="G42" s="103">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4" t="s">
        <v>156</v>
      </c>
      <c r="R42" s="24" t="s">
        <v>40</v>
      </c>
      <c r="S42" s="107"/>
      <c r="T42" s="107"/>
      <c r="U42" s="107"/>
      <c r="V42" s="107"/>
      <c r="W42" s="107"/>
      <c r="X42" s="107"/>
      <c r="Y42" s="107"/>
      <c r="Z42" s="107"/>
      <c r="AA42" s="107"/>
      <c r="AB42" s="107"/>
      <c r="AC42" s="107"/>
      <c r="AD42" s="107"/>
      <c r="AE42" s="107"/>
      <c r="AF42" s="107"/>
      <c r="AG42" s="107"/>
      <c r="AH42" s="107"/>
      <c r="AI42" s="107"/>
      <c r="AJ42" s="107"/>
      <c r="AK42" s="107"/>
      <c r="AL42" s="107"/>
      <c r="AM42" s="107"/>
      <c r="AN42" s="108"/>
    </row>
    <row r="43" spans="1:40" ht="25.5">
      <c r="A43" s="26" t="s">
        <v>18</v>
      </c>
      <c r="B43" s="27" t="s">
        <v>158</v>
      </c>
      <c r="C43" s="82" t="s">
        <v>159</v>
      </c>
      <c r="D43" s="88" t="s">
        <v>160</v>
      </c>
      <c r="E43" s="93"/>
      <c r="F43" s="100" t="s">
        <v>161</v>
      </c>
      <c r="G43" s="101">
        <v>20</v>
      </c>
      <c r="H43" s="32">
        <f>IF(OR(J43="",K43="",K43&lt;J43),0,NETWORKDAYS(J43,K43,Hoja2!$A$2:$A$53))</f>
        <v>0</v>
      </c>
      <c r="I43" s="40"/>
      <c r="J43" s="94">
        <v>45931</v>
      </c>
      <c r="K43" s="40"/>
      <c r="L43" s="73"/>
      <c r="M43" s="35">
        <f ca="1">IF(OR(J43="",AND(L43="",TODAY()&lt;J43),AND(L43&lt;&gt;"",L43&lt;J43)),0,
   IF(L43="",
      NETWORKDAYS(J43,TODAY(),Hoja2!$A$2:$A$53),
      NETWORKDAYS(J43,L43,Hoja2!$A$2:$A$53)
   )
)</f>
        <v>104</v>
      </c>
      <c r="N43" s="40"/>
      <c r="O43" s="40"/>
      <c r="P43" s="40"/>
      <c r="Q43" s="97" t="s">
        <v>162</v>
      </c>
      <c r="R43" s="37" t="s">
        <v>40</v>
      </c>
      <c r="S43" s="105"/>
      <c r="T43" s="105"/>
      <c r="U43" s="105"/>
      <c r="V43" s="105"/>
      <c r="W43" s="105"/>
      <c r="X43" s="105"/>
      <c r="Y43" s="105"/>
      <c r="Z43" s="105"/>
      <c r="AA43" s="105"/>
      <c r="AB43" s="105"/>
      <c r="AC43" s="105"/>
      <c r="AD43" s="105"/>
      <c r="AE43" s="105"/>
      <c r="AF43" s="105"/>
      <c r="AG43" s="105"/>
      <c r="AH43" s="105"/>
      <c r="AI43" s="105"/>
      <c r="AJ43" s="105"/>
      <c r="AK43" s="105"/>
      <c r="AL43" s="105"/>
      <c r="AM43" s="105"/>
      <c r="AN43" s="106"/>
    </row>
    <row r="44" spans="1:40" ht="25.5">
      <c r="A44" s="13" t="s">
        <v>18</v>
      </c>
      <c r="B44" s="14" t="s">
        <v>163</v>
      </c>
      <c r="C44" s="85" t="s">
        <v>164</v>
      </c>
      <c r="D44" s="89" t="s">
        <v>165</v>
      </c>
      <c r="E44" s="91"/>
      <c r="F44" s="102" t="s">
        <v>38</v>
      </c>
      <c r="G44" s="103">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4" t="s">
        <v>166</v>
      </c>
      <c r="R44" s="24" t="s">
        <v>40</v>
      </c>
      <c r="S44" s="107"/>
      <c r="T44" s="107"/>
      <c r="U44" s="107"/>
      <c r="V44" s="107"/>
      <c r="W44" s="107"/>
      <c r="X44" s="107"/>
      <c r="Y44" s="107"/>
      <c r="Z44" s="107"/>
      <c r="AA44" s="107"/>
      <c r="AB44" s="107"/>
      <c r="AC44" s="107"/>
      <c r="AD44" s="107"/>
      <c r="AE44" s="107"/>
      <c r="AF44" s="107"/>
      <c r="AG44" s="107"/>
      <c r="AH44" s="107"/>
      <c r="AI44" s="107"/>
      <c r="AJ44" s="107"/>
      <c r="AK44" s="107"/>
      <c r="AL44" s="107"/>
      <c r="AM44" s="107"/>
      <c r="AN44" s="108"/>
    </row>
    <row r="45" spans="1:40">
      <c r="A45" s="109" t="s">
        <v>18</v>
      </c>
      <c r="B45" s="27" t="s">
        <v>167</v>
      </c>
      <c r="C45" s="82" t="s">
        <v>154</v>
      </c>
      <c r="D45" s="88" t="s">
        <v>155</v>
      </c>
      <c r="E45" s="93"/>
      <c r="F45" s="100" t="s">
        <v>38</v>
      </c>
      <c r="G45" s="101">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7" t="s">
        <v>168</v>
      </c>
      <c r="R45" s="37" t="s">
        <v>40</v>
      </c>
      <c r="S45" s="110"/>
      <c r="T45" s="111"/>
      <c r="U45" s="111"/>
      <c r="V45" s="111"/>
      <c r="W45" s="111"/>
      <c r="X45" s="111"/>
      <c r="Y45" s="111"/>
      <c r="Z45" s="111"/>
      <c r="AA45" s="111"/>
      <c r="AB45" s="111"/>
      <c r="AC45" s="111"/>
      <c r="AD45" s="111"/>
      <c r="AE45" s="111"/>
      <c r="AF45" s="111"/>
      <c r="AG45" s="111"/>
      <c r="AH45" s="111"/>
      <c r="AI45" s="111"/>
      <c r="AJ45" s="111"/>
      <c r="AK45" s="111"/>
      <c r="AL45" s="111"/>
      <c r="AM45" s="111"/>
      <c r="AN45" s="112"/>
    </row>
    <row r="46" spans="1:40" ht="25.5">
      <c r="A46" s="113" t="s">
        <v>18</v>
      </c>
      <c r="B46" s="14" t="s">
        <v>169</v>
      </c>
      <c r="C46" s="85" t="s">
        <v>170</v>
      </c>
      <c r="D46" s="89" t="s">
        <v>171</v>
      </c>
      <c r="E46" s="91"/>
      <c r="F46" s="102" t="s">
        <v>38</v>
      </c>
      <c r="G46" s="103">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4" t="s">
        <v>172</v>
      </c>
      <c r="R46" s="24" t="s">
        <v>40</v>
      </c>
      <c r="S46" s="114"/>
      <c r="T46" s="107"/>
      <c r="U46" s="107"/>
      <c r="V46" s="107"/>
      <c r="W46" s="107"/>
      <c r="X46" s="107"/>
      <c r="Y46" s="107"/>
      <c r="Z46" s="107"/>
      <c r="AA46" s="107"/>
      <c r="AB46" s="107"/>
      <c r="AC46" s="107"/>
      <c r="AD46" s="107"/>
      <c r="AE46" s="107"/>
      <c r="AF46" s="107"/>
      <c r="AG46" s="107"/>
      <c r="AH46" s="107"/>
      <c r="AI46" s="107"/>
      <c r="AJ46" s="107"/>
      <c r="AK46" s="107"/>
      <c r="AL46" s="107"/>
      <c r="AM46" s="107"/>
      <c r="AN46" s="108"/>
    </row>
    <row r="47" spans="1:40" ht="25.5">
      <c r="A47" s="26" t="s">
        <v>18</v>
      </c>
      <c r="B47" s="27" t="s">
        <v>173</v>
      </c>
      <c r="C47" s="82" t="s">
        <v>174</v>
      </c>
      <c r="D47" s="88" t="s">
        <v>175</v>
      </c>
      <c r="E47" s="93"/>
      <c r="F47" s="100" t="s">
        <v>38</v>
      </c>
      <c r="G47" s="101">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7"/>
      <c r="R47" s="37" t="s">
        <v>40</v>
      </c>
      <c r="S47" s="105"/>
      <c r="T47" s="105"/>
      <c r="U47" s="105"/>
      <c r="V47" s="105"/>
      <c r="W47" s="105"/>
      <c r="X47" s="105"/>
      <c r="Y47" s="105"/>
      <c r="Z47" s="105"/>
      <c r="AA47" s="105"/>
      <c r="AB47" s="105"/>
      <c r="AC47" s="105"/>
      <c r="AD47" s="105"/>
      <c r="AE47" s="105"/>
      <c r="AF47" s="105"/>
      <c r="AG47" s="105"/>
      <c r="AH47" s="105"/>
      <c r="AI47" s="105"/>
      <c r="AJ47" s="105"/>
      <c r="AK47" s="105"/>
      <c r="AL47" s="105"/>
      <c r="AM47" s="105"/>
      <c r="AN47" s="106"/>
    </row>
    <row r="48" spans="1:40" ht="24">
      <c r="A48" s="13" t="s">
        <v>108</v>
      </c>
      <c r="B48" s="14" t="s">
        <v>176</v>
      </c>
      <c r="C48" s="85" t="s">
        <v>177</v>
      </c>
      <c r="D48" s="89" t="s">
        <v>178</v>
      </c>
      <c r="E48" s="91"/>
      <c r="F48" s="102" t="s">
        <v>38</v>
      </c>
      <c r="G48" s="103">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4" t="s">
        <v>179</v>
      </c>
      <c r="R48" s="24" t="s">
        <v>40</v>
      </c>
      <c r="S48" s="107"/>
      <c r="T48" s="107"/>
      <c r="U48" s="107"/>
      <c r="V48" s="107"/>
      <c r="W48" s="107"/>
      <c r="X48" s="107"/>
      <c r="Y48" s="107"/>
      <c r="Z48" s="107"/>
      <c r="AA48" s="107"/>
      <c r="AB48" s="107"/>
      <c r="AC48" s="107"/>
      <c r="AD48" s="107"/>
      <c r="AE48" s="107"/>
      <c r="AF48" s="107"/>
      <c r="AG48" s="107"/>
      <c r="AH48" s="107"/>
      <c r="AI48" s="107"/>
      <c r="AJ48" s="107"/>
      <c r="AK48" s="107"/>
      <c r="AL48" s="107"/>
      <c r="AM48" s="107"/>
      <c r="AN48" s="108"/>
    </row>
    <row r="49" spans="1:40">
      <c r="A49" s="26" t="s">
        <v>18</v>
      </c>
      <c r="B49" s="27" t="s">
        <v>180</v>
      </c>
      <c r="C49" s="82" t="s">
        <v>177</v>
      </c>
      <c r="D49" s="88" t="s">
        <v>178</v>
      </c>
      <c r="E49" s="93"/>
      <c r="F49" s="100" t="s">
        <v>38</v>
      </c>
      <c r="G49" s="101">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7" t="s">
        <v>181</v>
      </c>
      <c r="R49" s="37" t="s">
        <v>40</v>
      </c>
      <c r="S49" s="105"/>
      <c r="T49" s="105"/>
      <c r="U49" s="105"/>
      <c r="V49" s="105"/>
      <c r="W49" s="105"/>
      <c r="X49" s="105"/>
      <c r="Y49" s="105"/>
      <c r="Z49" s="105"/>
      <c r="AA49" s="105"/>
      <c r="AB49" s="105"/>
      <c r="AC49" s="105"/>
      <c r="AD49" s="105"/>
      <c r="AE49" s="105"/>
      <c r="AF49" s="105"/>
      <c r="AG49" s="105"/>
      <c r="AH49" s="105"/>
      <c r="AI49" s="105"/>
      <c r="AJ49" s="105"/>
      <c r="AK49" s="105"/>
      <c r="AL49" s="105"/>
      <c r="AM49" s="105"/>
      <c r="AN49" s="106"/>
    </row>
    <row r="50" spans="1:40">
      <c r="A50" s="113" t="s">
        <v>18</v>
      </c>
      <c r="B50" s="14" t="s">
        <v>182</v>
      </c>
      <c r="C50" s="85" t="s">
        <v>183</v>
      </c>
      <c r="D50" s="89" t="s">
        <v>184</v>
      </c>
      <c r="E50" s="91"/>
      <c r="F50" s="102" t="s">
        <v>38</v>
      </c>
      <c r="G50" s="103">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4" t="s">
        <v>181</v>
      </c>
      <c r="R50" s="24" t="s">
        <v>40</v>
      </c>
      <c r="S50" s="114"/>
      <c r="T50" s="107"/>
      <c r="U50" s="107"/>
      <c r="V50" s="107"/>
      <c r="W50" s="107"/>
      <c r="X50" s="107"/>
      <c r="Y50" s="107"/>
      <c r="Z50" s="107"/>
      <c r="AA50" s="107"/>
      <c r="AB50" s="107"/>
      <c r="AC50" s="107"/>
      <c r="AD50" s="107"/>
      <c r="AE50" s="107"/>
      <c r="AF50" s="107"/>
      <c r="AG50" s="107"/>
      <c r="AH50" s="107"/>
      <c r="AI50" s="107"/>
      <c r="AJ50" s="107"/>
      <c r="AK50" s="107"/>
      <c r="AL50" s="107"/>
      <c r="AM50" s="107"/>
      <c r="AN50" s="108"/>
    </row>
    <row r="51" spans="1:40" ht="36">
      <c r="A51" s="26" t="s">
        <v>25</v>
      </c>
      <c r="B51" s="27" t="s">
        <v>185</v>
      </c>
      <c r="C51" s="82" t="s">
        <v>186</v>
      </c>
      <c r="D51" s="88" t="s">
        <v>187</v>
      </c>
      <c r="E51" s="93"/>
      <c r="F51" s="100" t="s">
        <v>38</v>
      </c>
      <c r="G51" s="101">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188</v>
      </c>
      <c r="R51" s="37" t="s">
        <v>40</v>
      </c>
      <c r="S51" s="110"/>
      <c r="T51" s="111"/>
      <c r="U51" s="111"/>
      <c r="V51" s="111"/>
      <c r="W51" s="111"/>
      <c r="X51" s="111"/>
      <c r="Y51" s="111"/>
      <c r="Z51" s="111"/>
      <c r="AA51" s="111"/>
      <c r="AB51" s="111"/>
      <c r="AC51" s="111"/>
      <c r="AD51" s="111"/>
      <c r="AE51" s="111"/>
      <c r="AF51" s="111"/>
      <c r="AG51" s="111"/>
      <c r="AH51" s="111"/>
      <c r="AI51" s="111"/>
      <c r="AJ51" s="111"/>
      <c r="AK51" s="111"/>
      <c r="AL51" s="111"/>
      <c r="AM51" s="111"/>
      <c r="AN51" s="112"/>
    </row>
    <row r="52" spans="1:40" ht="48">
      <c r="A52" s="113" t="s">
        <v>18</v>
      </c>
      <c r="B52" s="14" t="s">
        <v>189</v>
      </c>
      <c r="C52" s="85" t="s">
        <v>190</v>
      </c>
      <c r="D52" s="89" t="s">
        <v>191</v>
      </c>
      <c r="E52" s="91"/>
      <c r="F52" s="102" t="s">
        <v>38</v>
      </c>
      <c r="G52" s="103">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192</v>
      </c>
      <c r="R52" s="24" t="s">
        <v>40</v>
      </c>
      <c r="S52" s="115"/>
      <c r="T52" s="116"/>
      <c r="U52" s="116"/>
      <c r="V52" s="116"/>
      <c r="W52" s="116"/>
      <c r="X52" s="116"/>
      <c r="Y52" s="116"/>
      <c r="Z52" s="116"/>
      <c r="AA52" s="116"/>
      <c r="AB52" s="116"/>
      <c r="AC52" s="116"/>
      <c r="AD52" s="116"/>
      <c r="AE52" s="116"/>
      <c r="AF52" s="116"/>
      <c r="AG52" s="116"/>
      <c r="AH52" s="116"/>
      <c r="AI52" s="116"/>
      <c r="AJ52" s="116"/>
      <c r="AK52" s="116"/>
      <c r="AL52" s="116"/>
      <c r="AM52" s="116"/>
      <c r="AN52" s="117"/>
    </row>
    <row r="53" spans="1:40" ht="38.25">
      <c r="A53" s="109" t="s">
        <v>18</v>
      </c>
      <c r="B53" s="27" t="s">
        <v>193</v>
      </c>
      <c r="C53" s="82" t="s">
        <v>194</v>
      </c>
      <c r="D53" s="88" t="s">
        <v>195</v>
      </c>
      <c r="E53" s="93"/>
      <c r="F53" s="100" t="s">
        <v>38</v>
      </c>
      <c r="G53" s="101">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196</v>
      </c>
      <c r="R53" s="37" t="s">
        <v>40</v>
      </c>
      <c r="S53" s="118"/>
      <c r="T53" s="105"/>
      <c r="U53" s="105"/>
      <c r="V53" s="105"/>
      <c r="W53" s="105"/>
      <c r="X53" s="105"/>
      <c r="Y53" s="105"/>
      <c r="Z53" s="105"/>
      <c r="AA53" s="105"/>
      <c r="AB53" s="105"/>
      <c r="AC53" s="105"/>
      <c r="AD53" s="105"/>
      <c r="AE53" s="105"/>
      <c r="AF53" s="105"/>
      <c r="AG53" s="105"/>
      <c r="AH53" s="105"/>
      <c r="AI53" s="105"/>
      <c r="AJ53" s="105"/>
      <c r="AK53" s="105"/>
      <c r="AL53" s="105"/>
      <c r="AM53" s="105"/>
      <c r="AN53" s="106"/>
    </row>
    <row r="54" spans="1:40" ht="38.25">
      <c r="A54" s="13" t="s">
        <v>108</v>
      </c>
      <c r="B54" s="14" t="s">
        <v>197</v>
      </c>
      <c r="C54" s="85" t="s">
        <v>198</v>
      </c>
      <c r="D54" s="89" t="s">
        <v>111</v>
      </c>
      <c r="E54" s="91"/>
      <c r="F54" s="102" t="s">
        <v>38</v>
      </c>
      <c r="G54" s="103">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199</v>
      </c>
      <c r="R54" s="24" t="s">
        <v>40</v>
      </c>
      <c r="S54" s="115"/>
      <c r="T54" s="116"/>
      <c r="U54" s="116"/>
      <c r="V54" s="116"/>
      <c r="W54" s="116"/>
      <c r="X54" s="116"/>
      <c r="Y54" s="116"/>
      <c r="Z54" s="116"/>
      <c r="AA54" s="116"/>
      <c r="AB54" s="116"/>
      <c r="AC54" s="116"/>
      <c r="AD54" s="116"/>
      <c r="AE54" s="116"/>
      <c r="AF54" s="116"/>
      <c r="AG54" s="116"/>
      <c r="AH54" s="116"/>
      <c r="AI54" s="116"/>
      <c r="AJ54" s="116"/>
      <c r="AK54" s="116"/>
      <c r="AL54" s="116"/>
      <c r="AM54" s="116"/>
      <c r="AN54" s="117"/>
    </row>
    <row r="55" spans="1:40" ht="25.5">
      <c r="A55" s="109" t="s">
        <v>18</v>
      </c>
      <c r="B55" s="27" t="s">
        <v>200</v>
      </c>
      <c r="C55" s="82" t="s">
        <v>201</v>
      </c>
      <c r="D55" s="82" t="s">
        <v>202</v>
      </c>
      <c r="E55" s="93"/>
      <c r="F55" s="100" t="s">
        <v>38</v>
      </c>
      <c r="G55" s="101">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203</v>
      </c>
      <c r="R55" s="37" t="s">
        <v>40</v>
      </c>
      <c r="S55" s="110"/>
      <c r="T55" s="111"/>
      <c r="U55" s="111"/>
      <c r="V55" s="111"/>
      <c r="W55" s="111"/>
      <c r="X55" s="111"/>
      <c r="Y55" s="111"/>
      <c r="Z55" s="111"/>
      <c r="AA55" s="111"/>
      <c r="AB55" s="111"/>
      <c r="AC55" s="111"/>
      <c r="AD55" s="111"/>
      <c r="AE55" s="111"/>
      <c r="AF55" s="111"/>
      <c r="AG55" s="111"/>
      <c r="AH55" s="111"/>
      <c r="AI55" s="111"/>
      <c r="AJ55" s="111"/>
      <c r="AK55" s="111"/>
      <c r="AL55" s="111"/>
      <c r="AM55" s="111"/>
      <c r="AN55" s="112"/>
    </row>
    <row r="56" spans="1:40" ht="24">
      <c r="A56" s="13" t="s">
        <v>108</v>
      </c>
      <c r="B56" s="14" t="s">
        <v>204</v>
      </c>
      <c r="C56" s="85" t="s">
        <v>205</v>
      </c>
      <c r="D56" s="89" t="s">
        <v>155</v>
      </c>
      <c r="E56" s="91"/>
      <c r="F56" s="102" t="s">
        <v>38</v>
      </c>
      <c r="G56" s="103">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4" t="s">
        <v>206</v>
      </c>
      <c r="R56" s="24" t="s">
        <v>40</v>
      </c>
      <c r="S56" s="115"/>
      <c r="T56" s="116"/>
      <c r="U56" s="116"/>
      <c r="V56" s="116"/>
      <c r="W56" s="116"/>
      <c r="X56" s="116"/>
      <c r="Y56" s="116"/>
      <c r="Z56" s="116"/>
      <c r="AA56" s="116"/>
      <c r="AB56" s="116"/>
      <c r="AC56" s="116"/>
      <c r="AD56" s="116"/>
      <c r="AE56" s="116"/>
      <c r="AF56" s="116"/>
      <c r="AG56" s="116"/>
      <c r="AH56" s="116"/>
      <c r="AI56" s="116"/>
      <c r="AJ56" s="116"/>
      <c r="AK56" s="116"/>
      <c r="AL56" s="116"/>
      <c r="AM56" s="116"/>
      <c r="AN56" s="117"/>
    </row>
    <row r="57" spans="1:40">
      <c r="A57" s="26" t="s">
        <v>18</v>
      </c>
      <c r="B57" s="27" t="s">
        <v>207</v>
      </c>
      <c r="C57" s="82" t="s">
        <v>208</v>
      </c>
      <c r="D57" s="88" t="s">
        <v>209</v>
      </c>
      <c r="E57" s="93"/>
      <c r="F57" s="100" t="s">
        <v>38</v>
      </c>
      <c r="G57" s="101">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7" t="s">
        <v>210</v>
      </c>
      <c r="R57" s="37" t="s">
        <v>40</v>
      </c>
      <c r="S57" s="110"/>
      <c r="T57" s="111"/>
      <c r="U57" s="111"/>
      <c r="V57" s="111"/>
      <c r="W57" s="111"/>
      <c r="X57" s="111"/>
      <c r="Y57" s="111"/>
      <c r="Z57" s="111"/>
      <c r="AA57" s="111"/>
      <c r="AB57" s="111"/>
      <c r="AC57" s="111"/>
      <c r="AD57" s="111"/>
      <c r="AE57" s="111"/>
      <c r="AF57" s="111"/>
      <c r="AG57" s="111"/>
      <c r="AH57" s="111"/>
      <c r="AI57" s="111"/>
      <c r="AJ57" s="111"/>
      <c r="AK57" s="111"/>
      <c r="AL57" s="111"/>
      <c r="AM57" s="111"/>
      <c r="AN57" s="112"/>
    </row>
    <row r="58" spans="1:40">
      <c r="A58" s="13" t="s">
        <v>25</v>
      </c>
      <c r="B58" s="14" t="s">
        <v>211</v>
      </c>
      <c r="C58" s="85" t="s">
        <v>205</v>
      </c>
      <c r="D58" s="89" t="s">
        <v>212</v>
      </c>
      <c r="E58" s="91"/>
      <c r="F58" s="102" t="s">
        <v>38</v>
      </c>
      <c r="G58" s="103">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4" t="s">
        <v>206</v>
      </c>
      <c r="R58" s="24" t="s">
        <v>40</v>
      </c>
      <c r="S58" s="115"/>
      <c r="T58" s="116"/>
      <c r="U58" s="116"/>
      <c r="V58" s="116"/>
      <c r="W58" s="116"/>
      <c r="X58" s="116"/>
      <c r="Y58" s="116"/>
      <c r="Z58" s="116"/>
      <c r="AA58" s="116"/>
      <c r="AB58" s="116"/>
      <c r="AC58" s="116"/>
      <c r="AD58" s="116"/>
      <c r="AE58" s="116"/>
      <c r="AF58" s="116"/>
      <c r="AG58" s="116"/>
      <c r="AH58" s="116"/>
      <c r="AI58" s="116"/>
      <c r="AJ58" s="116"/>
      <c r="AK58" s="116"/>
      <c r="AL58" s="116"/>
      <c r="AM58" s="116"/>
      <c r="AN58" s="117"/>
    </row>
    <row r="59" spans="1:40" ht="24">
      <c r="A59" s="26" t="s">
        <v>108</v>
      </c>
      <c r="B59" s="27" t="s">
        <v>213</v>
      </c>
      <c r="C59" s="82" t="s">
        <v>205</v>
      </c>
      <c r="D59" s="88" t="s">
        <v>212</v>
      </c>
      <c r="E59" s="93"/>
      <c r="F59" s="100" t="s">
        <v>38</v>
      </c>
      <c r="G59" s="101">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7" t="s">
        <v>206</v>
      </c>
      <c r="R59" s="37" t="s">
        <v>40</v>
      </c>
      <c r="S59" s="110"/>
      <c r="T59" s="111"/>
      <c r="U59" s="111"/>
      <c r="V59" s="111"/>
      <c r="W59" s="111"/>
      <c r="X59" s="111"/>
      <c r="Y59" s="111"/>
      <c r="Z59" s="111"/>
      <c r="AA59" s="111"/>
      <c r="AB59" s="111"/>
      <c r="AC59" s="111"/>
      <c r="AD59" s="111"/>
      <c r="AE59" s="111"/>
      <c r="AF59" s="111"/>
      <c r="AG59" s="111"/>
      <c r="AH59" s="111"/>
      <c r="AI59" s="111"/>
      <c r="AJ59" s="111"/>
      <c r="AK59" s="111"/>
      <c r="AL59" s="111"/>
      <c r="AM59" s="111"/>
      <c r="AN59" s="112"/>
    </row>
    <row r="60" spans="1:40" ht="24">
      <c r="A60" s="13" t="s">
        <v>108</v>
      </c>
      <c r="B60" s="14" t="s">
        <v>214</v>
      </c>
      <c r="C60" s="85" t="s">
        <v>205</v>
      </c>
      <c r="D60" s="89" t="s">
        <v>212</v>
      </c>
      <c r="E60" s="91"/>
      <c r="F60" s="102" t="s">
        <v>38</v>
      </c>
      <c r="G60" s="103">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4" t="s">
        <v>206</v>
      </c>
      <c r="R60" s="24" t="s">
        <v>40</v>
      </c>
      <c r="S60" s="115"/>
      <c r="T60" s="116"/>
      <c r="U60" s="116"/>
      <c r="V60" s="116"/>
      <c r="W60" s="116"/>
      <c r="X60" s="116"/>
      <c r="Y60" s="116"/>
      <c r="Z60" s="116"/>
      <c r="AA60" s="116"/>
      <c r="AB60" s="116"/>
      <c r="AC60" s="116"/>
      <c r="AD60" s="116"/>
      <c r="AE60" s="116"/>
      <c r="AF60" s="116"/>
      <c r="AG60" s="116"/>
      <c r="AH60" s="116"/>
      <c r="AI60" s="116"/>
      <c r="AJ60" s="116"/>
      <c r="AK60" s="116"/>
      <c r="AL60" s="116"/>
      <c r="AM60" s="116"/>
      <c r="AN60" s="117"/>
    </row>
    <row r="61" spans="1:40" ht="25.5">
      <c r="A61" s="109" t="s">
        <v>18</v>
      </c>
      <c r="B61" s="27" t="s">
        <v>215</v>
      </c>
      <c r="C61" s="82" t="s">
        <v>216</v>
      </c>
      <c r="D61" s="88" t="s">
        <v>217</v>
      </c>
      <c r="E61" s="119"/>
      <c r="F61" s="100" t="s">
        <v>38</v>
      </c>
      <c r="G61" s="120">
        <v>100</v>
      </c>
      <c r="H61" s="32">
        <f>IF(OR(J61="",K61="",K61&lt;J61),0,NETWORKDAYS(J61,K61,Hoja2!$A$2:$A$53))</f>
        <v>0</v>
      </c>
      <c r="I61" s="121"/>
      <c r="J61" s="94">
        <v>46007</v>
      </c>
      <c r="K61" s="121"/>
      <c r="L61" s="94">
        <v>46007</v>
      </c>
      <c r="M61" s="35">
        <f ca="1">IF(OR(J61="",AND(L61="",TODAY()&lt;J61),AND(L61&lt;&gt;"",L61&lt;J61)),0,
   IF(L61="",
      NETWORKDAYS(J61,TODAY(),Hoja2!$A$2:$A$53),
      NETWORKDAYS(J61,L61,Hoja2!$A$2:$A$53)
   )
)</f>
        <v>1</v>
      </c>
      <c r="N61" s="121"/>
      <c r="O61" s="121"/>
      <c r="P61" s="121"/>
      <c r="Q61" s="122" t="s">
        <v>218</v>
      </c>
      <c r="R61" s="37" t="s">
        <v>40</v>
      </c>
      <c r="S61" s="123"/>
      <c r="T61" s="124"/>
      <c r="U61" s="124"/>
      <c r="V61" s="124"/>
      <c r="W61" s="124"/>
      <c r="X61" s="124"/>
      <c r="Y61" s="124"/>
      <c r="Z61" s="124"/>
      <c r="AA61" s="124"/>
      <c r="AB61" s="124"/>
      <c r="AC61" s="124"/>
      <c r="AD61" s="124"/>
      <c r="AE61" s="124"/>
      <c r="AF61" s="124"/>
      <c r="AG61" s="124"/>
      <c r="AH61" s="124"/>
      <c r="AI61" s="124"/>
      <c r="AJ61" s="124"/>
      <c r="AK61" s="124"/>
      <c r="AL61" s="124"/>
      <c r="AM61" s="124"/>
      <c r="AN61" s="125"/>
    </row>
    <row r="62" spans="1:40" ht="24">
      <c r="A62" s="13" t="s">
        <v>108</v>
      </c>
      <c r="B62" s="14" t="s">
        <v>219</v>
      </c>
      <c r="C62" s="85" t="s">
        <v>205</v>
      </c>
      <c r="D62" s="89" t="s">
        <v>212</v>
      </c>
      <c r="E62" s="91"/>
      <c r="F62" s="102" t="s">
        <v>38</v>
      </c>
      <c r="G62" s="103">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4" t="s">
        <v>206</v>
      </c>
      <c r="R62" s="24" t="s">
        <v>40</v>
      </c>
      <c r="S62" s="115"/>
      <c r="T62" s="116"/>
      <c r="U62" s="116"/>
      <c r="V62" s="116"/>
      <c r="W62" s="116"/>
      <c r="X62" s="116"/>
      <c r="Y62" s="116"/>
      <c r="Z62" s="116"/>
      <c r="AA62" s="116"/>
      <c r="AB62" s="116"/>
      <c r="AC62" s="116"/>
      <c r="AD62" s="116"/>
      <c r="AE62" s="116"/>
      <c r="AF62" s="116"/>
      <c r="AG62" s="116"/>
      <c r="AH62" s="116"/>
      <c r="AI62" s="116"/>
      <c r="AJ62" s="116"/>
      <c r="AK62" s="116"/>
      <c r="AL62" s="116"/>
      <c r="AM62" s="116"/>
      <c r="AN62" s="117"/>
    </row>
    <row r="63" spans="1:40" ht="25.5">
      <c r="A63" s="26" t="s">
        <v>108</v>
      </c>
      <c r="B63" s="27" t="s">
        <v>220</v>
      </c>
      <c r="C63" s="82" t="s">
        <v>221</v>
      </c>
      <c r="D63" s="88" t="s">
        <v>222</v>
      </c>
      <c r="E63" s="93"/>
      <c r="F63" s="100" t="s">
        <v>38</v>
      </c>
      <c r="G63" s="101">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7" t="s">
        <v>223</v>
      </c>
      <c r="R63" s="37" t="s">
        <v>40</v>
      </c>
      <c r="S63" s="110"/>
      <c r="T63" s="111"/>
      <c r="U63" s="111"/>
      <c r="V63" s="111"/>
      <c r="W63" s="111"/>
      <c r="X63" s="111"/>
      <c r="Y63" s="111"/>
      <c r="Z63" s="111"/>
      <c r="AA63" s="111"/>
      <c r="AB63" s="111"/>
      <c r="AC63" s="111"/>
      <c r="AD63" s="111"/>
      <c r="AE63" s="111"/>
      <c r="AF63" s="111"/>
      <c r="AG63" s="111"/>
      <c r="AH63" s="111"/>
      <c r="AI63" s="111"/>
      <c r="AJ63" s="111"/>
      <c r="AK63" s="111"/>
      <c r="AL63" s="111"/>
      <c r="AM63" s="111"/>
      <c r="AN63" s="112"/>
    </row>
    <row r="64" spans="1:40" ht="38.25">
      <c r="A64" s="13" t="s">
        <v>18</v>
      </c>
      <c r="B64" s="14" t="s">
        <v>224</v>
      </c>
      <c r="C64" s="85" t="s">
        <v>225</v>
      </c>
      <c r="D64" s="89" t="s">
        <v>226</v>
      </c>
      <c r="E64" s="91"/>
      <c r="F64" s="102" t="s">
        <v>38</v>
      </c>
      <c r="G64" s="103">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4" t="s">
        <v>227</v>
      </c>
      <c r="R64" s="24" t="s">
        <v>40</v>
      </c>
      <c r="S64" s="115"/>
      <c r="T64" s="116"/>
      <c r="U64" s="116"/>
      <c r="V64" s="116"/>
      <c r="W64" s="116"/>
      <c r="X64" s="116"/>
      <c r="Y64" s="116"/>
      <c r="Z64" s="116"/>
      <c r="AA64" s="116"/>
      <c r="AB64" s="116"/>
      <c r="AC64" s="116"/>
      <c r="AD64" s="116"/>
      <c r="AE64" s="116"/>
      <c r="AF64" s="116"/>
      <c r="AG64" s="116"/>
      <c r="AH64" s="116"/>
      <c r="AI64" s="116"/>
      <c r="AJ64" s="116"/>
      <c r="AK64" s="116"/>
      <c r="AL64" s="116"/>
      <c r="AM64" s="116"/>
      <c r="AN64" s="117"/>
    </row>
    <row r="65" spans="1:40" ht="38.25">
      <c r="A65" s="26" t="s">
        <v>108</v>
      </c>
      <c r="B65" s="27" t="s">
        <v>228</v>
      </c>
      <c r="C65" s="82" t="s">
        <v>229</v>
      </c>
      <c r="D65" s="88" t="s">
        <v>111</v>
      </c>
      <c r="E65" s="93"/>
      <c r="F65" s="100" t="s">
        <v>38</v>
      </c>
      <c r="G65" s="101">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7" t="s">
        <v>230</v>
      </c>
      <c r="R65" s="37" t="s">
        <v>40</v>
      </c>
      <c r="S65" s="110"/>
      <c r="T65" s="111"/>
      <c r="U65" s="111"/>
      <c r="V65" s="111"/>
      <c r="W65" s="111"/>
      <c r="X65" s="111"/>
      <c r="Y65" s="111"/>
      <c r="Z65" s="111"/>
      <c r="AA65" s="111"/>
      <c r="AB65" s="111"/>
      <c r="AC65" s="111"/>
      <c r="AD65" s="111"/>
      <c r="AE65" s="111"/>
      <c r="AF65" s="111"/>
      <c r="AG65" s="111"/>
      <c r="AH65" s="111"/>
      <c r="AI65" s="111"/>
      <c r="AJ65" s="111"/>
      <c r="AK65" s="111"/>
      <c r="AL65" s="111"/>
      <c r="AM65" s="111"/>
      <c r="AN65" s="112"/>
    </row>
    <row r="66" spans="1:40">
      <c r="A66" s="13" t="s">
        <v>25</v>
      </c>
      <c r="B66" s="14" t="s">
        <v>231</v>
      </c>
      <c r="C66" s="85" t="s">
        <v>205</v>
      </c>
      <c r="D66" s="89" t="s">
        <v>212</v>
      </c>
      <c r="E66" s="91"/>
      <c r="F66" s="102" t="s">
        <v>38</v>
      </c>
      <c r="G66" s="103">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4" t="s">
        <v>206</v>
      </c>
      <c r="R66" s="24" t="s">
        <v>40</v>
      </c>
      <c r="S66" s="115"/>
      <c r="T66" s="116"/>
      <c r="U66" s="116"/>
      <c r="V66" s="116"/>
      <c r="W66" s="116"/>
      <c r="X66" s="116"/>
      <c r="Y66" s="116"/>
      <c r="Z66" s="116"/>
      <c r="AA66" s="116"/>
      <c r="AB66" s="116"/>
      <c r="AC66" s="116"/>
      <c r="AD66" s="116"/>
      <c r="AE66" s="116"/>
      <c r="AF66" s="116"/>
      <c r="AG66" s="116"/>
      <c r="AH66" s="116"/>
      <c r="AI66" s="116"/>
      <c r="AJ66" s="116"/>
      <c r="AK66" s="116"/>
      <c r="AL66" s="116"/>
      <c r="AM66" s="116"/>
      <c r="AN66" s="117"/>
    </row>
    <row r="67" spans="1:40">
      <c r="A67" s="26" t="s">
        <v>25</v>
      </c>
      <c r="B67" s="27" t="s">
        <v>232</v>
      </c>
      <c r="C67" s="82" t="s">
        <v>205</v>
      </c>
      <c r="D67" s="88" t="s">
        <v>212</v>
      </c>
      <c r="E67" s="93"/>
      <c r="F67" s="100" t="s">
        <v>38</v>
      </c>
      <c r="G67" s="101">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7" t="s">
        <v>206</v>
      </c>
      <c r="R67" s="37" t="s">
        <v>40</v>
      </c>
      <c r="S67" s="110"/>
      <c r="T67" s="111"/>
      <c r="U67" s="111"/>
      <c r="V67" s="111"/>
      <c r="W67" s="111"/>
      <c r="X67" s="111"/>
      <c r="Y67" s="111"/>
      <c r="Z67" s="111"/>
      <c r="AA67" s="111"/>
      <c r="AB67" s="111"/>
      <c r="AC67" s="111"/>
      <c r="AD67" s="111"/>
      <c r="AE67" s="111"/>
      <c r="AF67" s="111"/>
      <c r="AG67" s="111"/>
      <c r="AH67" s="111"/>
      <c r="AI67" s="111"/>
      <c r="AJ67" s="111"/>
      <c r="AK67" s="111"/>
      <c r="AL67" s="111"/>
      <c r="AM67" s="111"/>
      <c r="AN67" s="112"/>
    </row>
    <row r="68" spans="1:40">
      <c r="A68" s="113" t="s">
        <v>233</v>
      </c>
      <c r="B68" s="14" t="s">
        <v>234</v>
      </c>
      <c r="C68" s="126" t="s">
        <v>205</v>
      </c>
      <c r="D68" s="89" t="s">
        <v>212</v>
      </c>
      <c r="E68" s="91"/>
      <c r="F68" s="102" t="s">
        <v>38</v>
      </c>
      <c r="G68" s="103">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7" t="s">
        <v>235</v>
      </c>
      <c r="R68" s="128" t="s">
        <v>40</v>
      </c>
      <c r="S68" s="114"/>
      <c r="T68" s="107"/>
      <c r="U68" s="107"/>
      <c r="V68" s="107"/>
      <c r="W68" s="107"/>
      <c r="X68" s="107"/>
      <c r="Y68" s="107"/>
      <c r="Z68" s="107"/>
      <c r="AA68" s="107"/>
      <c r="AB68" s="107"/>
      <c r="AC68" s="107"/>
      <c r="AD68" s="107"/>
      <c r="AE68" s="107"/>
      <c r="AF68" s="107"/>
      <c r="AG68" s="107"/>
      <c r="AH68" s="107"/>
      <c r="AI68" s="107"/>
      <c r="AJ68" s="107"/>
      <c r="AK68" s="107"/>
      <c r="AL68" s="107"/>
      <c r="AM68" s="107"/>
      <c r="AN68" s="108"/>
    </row>
    <row r="69" spans="1:40" ht="25.5">
      <c r="A69" s="109" t="s">
        <v>18</v>
      </c>
      <c r="B69" s="129" t="s">
        <v>236</v>
      </c>
      <c r="C69" s="130" t="s">
        <v>237</v>
      </c>
      <c r="D69" s="88" t="s">
        <v>238</v>
      </c>
      <c r="E69" s="93"/>
      <c r="F69" s="100" t="s">
        <v>38</v>
      </c>
      <c r="G69" s="101">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1" t="s">
        <v>239</v>
      </c>
      <c r="R69" s="132" t="s">
        <v>40</v>
      </c>
      <c r="S69" s="110"/>
      <c r="T69" s="111"/>
      <c r="U69" s="111"/>
      <c r="V69" s="111"/>
      <c r="W69" s="111"/>
      <c r="X69" s="111"/>
      <c r="Y69" s="111"/>
      <c r="Z69" s="111"/>
      <c r="AA69" s="111"/>
      <c r="AB69" s="111"/>
      <c r="AC69" s="111"/>
      <c r="AD69" s="111"/>
      <c r="AE69" s="111"/>
      <c r="AF69" s="111"/>
      <c r="AG69" s="111"/>
      <c r="AH69" s="111"/>
      <c r="AI69" s="111"/>
      <c r="AJ69" s="111"/>
      <c r="AK69" s="111"/>
      <c r="AL69" s="111"/>
      <c r="AM69" s="111"/>
      <c r="AN69" s="112"/>
    </row>
    <row r="70" spans="1:40" ht="25.5">
      <c r="A70" s="113" t="s">
        <v>18</v>
      </c>
      <c r="B70" s="133" t="s">
        <v>240</v>
      </c>
      <c r="C70" s="126" t="s">
        <v>241</v>
      </c>
      <c r="D70" s="89" t="s">
        <v>242</v>
      </c>
      <c r="E70" s="91"/>
      <c r="F70" s="102" t="s">
        <v>38</v>
      </c>
      <c r="G70" s="103">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7" t="s">
        <v>243</v>
      </c>
      <c r="R70" s="128" t="s">
        <v>40</v>
      </c>
      <c r="S70" s="114"/>
      <c r="T70" s="107"/>
      <c r="U70" s="107"/>
      <c r="V70" s="107"/>
      <c r="W70" s="107"/>
      <c r="X70" s="107"/>
      <c r="Y70" s="107"/>
      <c r="Z70" s="107"/>
      <c r="AA70" s="107"/>
      <c r="AB70" s="107"/>
      <c r="AC70" s="107"/>
      <c r="AD70" s="107"/>
      <c r="AE70" s="107"/>
      <c r="AF70" s="107"/>
      <c r="AG70" s="107"/>
      <c r="AH70" s="107"/>
      <c r="AI70" s="107"/>
      <c r="AJ70" s="107"/>
      <c r="AK70" s="107"/>
      <c r="AL70" s="107"/>
      <c r="AM70" s="107"/>
      <c r="AN70" s="108"/>
    </row>
    <row r="71" spans="1:40">
      <c r="A71" s="26" t="s">
        <v>25</v>
      </c>
      <c r="B71" s="27" t="s">
        <v>244</v>
      </c>
      <c r="C71" s="82" t="s">
        <v>205</v>
      </c>
      <c r="D71" s="88" t="s">
        <v>212</v>
      </c>
      <c r="E71" s="93"/>
      <c r="F71" s="100" t="s">
        <v>38</v>
      </c>
      <c r="G71" s="101">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7" t="s">
        <v>206</v>
      </c>
      <c r="R71" s="37" t="s">
        <v>40</v>
      </c>
      <c r="S71" s="110"/>
      <c r="T71" s="111"/>
      <c r="U71" s="111"/>
      <c r="V71" s="111"/>
      <c r="W71" s="111"/>
      <c r="X71" s="111"/>
      <c r="Y71" s="111"/>
      <c r="Z71" s="111"/>
      <c r="AA71" s="111"/>
      <c r="AB71" s="111"/>
      <c r="AC71" s="111"/>
      <c r="AD71" s="111"/>
      <c r="AE71" s="111"/>
      <c r="AF71" s="111"/>
      <c r="AG71" s="111"/>
      <c r="AH71" s="111"/>
      <c r="AI71" s="111"/>
      <c r="AJ71" s="111"/>
      <c r="AK71" s="111"/>
      <c r="AL71" s="111"/>
      <c r="AM71" s="111"/>
      <c r="AN71" s="112"/>
    </row>
    <row r="72" spans="1:40" ht="25.5">
      <c r="A72" s="113" t="s">
        <v>18</v>
      </c>
      <c r="B72" s="133" t="s">
        <v>245</v>
      </c>
      <c r="C72" s="126" t="s">
        <v>246</v>
      </c>
      <c r="D72" s="89" t="s">
        <v>247</v>
      </c>
      <c r="E72" s="91"/>
      <c r="F72" s="102" t="s">
        <v>38</v>
      </c>
      <c r="G72" s="103">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7" t="s">
        <v>248</v>
      </c>
      <c r="R72" s="128" t="s">
        <v>40</v>
      </c>
      <c r="S72" s="114"/>
      <c r="T72" s="107"/>
      <c r="U72" s="107"/>
      <c r="V72" s="107"/>
      <c r="W72" s="107"/>
      <c r="X72" s="107"/>
      <c r="Y72" s="107"/>
      <c r="Z72" s="107"/>
      <c r="AA72" s="107"/>
      <c r="AB72" s="107"/>
      <c r="AC72" s="107"/>
      <c r="AD72" s="107"/>
      <c r="AE72" s="107"/>
      <c r="AF72" s="107"/>
      <c r="AG72" s="107"/>
      <c r="AH72" s="107"/>
      <c r="AI72" s="107"/>
      <c r="AJ72" s="107"/>
      <c r="AK72" s="107"/>
      <c r="AL72" s="107"/>
      <c r="AM72" s="107"/>
      <c r="AN72" s="108"/>
    </row>
    <row r="73" spans="1:40" ht="51">
      <c r="A73" s="109" t="s">
        <v>18</v>
      </c>
      <c r="B73" s="129" t="s">
        <v>249</v>
      </c>
      <c r="C73" s="130" t="s">
        <v>250</v>
      </c>
      <c r="D73" s="88" t="s">
        <v>251</v>
      </c>
      <c r="E73" s="93"/>
      <c r="F73" s="100" t="s">
        <v>252</v>
      </c>
      <c r="G73" s="101"/>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4"/>
      <c r="R73" s="132" t="s">
        <v>40</v>
      </c>
      <c r="S73" s="110"/>
      <c r="T73" s="111"/>
      <c r="U73" s="111"/>
      <c r="V73" s="111"/>
      <c r="W73" s="111"/>
      <c r="X73" s="111"/>
      <c r="Y73" s="111"/>
      <c r="Z73" s="111"/>
      <c r="AA73" s="111"/>
      <c r="AB73" s="111"/>
      <c r="AC73" s="111"/>
      <c r="AD73" s="111"/>
      <c r="AE73" s="111"/>
      <c r="AF73" s="111"/>
      <c r="AG73" s="111"/>
      <c r="AH73" s="111"/>
      <c r="AI73" s="111"/>
      <c r="AJ73" s="111"/>
      <c r="AK73" s="111"/>
      <c r="AL73" s="111"/>
      <c r="AM73" s="111"/>
      <c r="AN73" s="112"/>
    </row>
    <row r="74" spans="1:40">
      <c r="A74" s="13" t="s">
        <v>25</v>
      </c>
      <c r="B74" s="14" t="s">
        <v>253</v>
      </c>
      <c r="C74" s="85" t="s">
        <v>254</v>
      </c>
      <c r="D74" s="89" t="s">
        <v>255</v>
      </c>
      <c r="E74" s="91"/>
      <c r="F74" s="102" t="s">
        <v>38</v>
      </c>
      <c r="G74" s="103">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4" t="s">
        <v>256</v>
      </c>
      <c r="R74" s="24" t="s">
        <v>40</v>
      </c>
      <c r="S74" s="115"/>
      <c r="T74" s="116"/>
      <c r="U74" s="116"/>
      <c r="V74" s="116"/>
      <c r="W74" s="116"/>
      <c r="X74" s="116"/>
      <c r="Y74" s="116"/>
      <c r="Z74" s="116"/>
      <c r="AA74" s="116"/>
      <c r="AB74" s="116"/>
      <c r="AC74" s="116"/>
      <c r="AD74" s="116"/>
      <c r="AE74" s="116"/>
      <c r="AF74" s="116"/>
      <c r="AG74" s="116"/>
      <c r="AH74" s="116"/>
      <c r="AI74" s="116"/>
      <c r="AJ74" s="116"/>
      <c r="AK74" s="116"/>
      <c r="AL74" s="116"/>
      <c r="AM74" s="116"/>
      <c r="AN74" s="117"/>
    </row>
    <row r="75" spans="1:40" ht="25.5">
      <c r="A75" s="109" t="s">
        <v>18</v>
      </c>
      <c r="B75" s="129" t="s">
        <v>257</v>
      </c>
      <c r="C75" s="82" t="s">
        <v>258</v>
      </c>
      <c r="D75" s="88" t="s">
        <v>259</v>
      </c>
      <c r="E75" s="93"/>
      <c r="F75" s="100" t="s">
        <v>38</v>
      </c>
      <c r="G75" s="101">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7" t="s">
        <v>260</v>
      </c>
      <c r="R75" s="132" t="s">
        <v>40</v>
      </c>
      <c r="S75" s="110"/>
      <c r="T75" s="111"/>
      <c r="U75" s="111"/>
      <c r="V75" s="111"/>
      <c r="W75" s="111"/>
      <c r="X75" s="111"/>
      <c r="Y75" s="111"/>
      <c r="Z75" s="111"/>
      <c r="AA75" s="111"/>
      <c r="AB75" s="111"/>
      <c r="AC75" s="111"/>
      <c r="AD75" s="111"/>
      <c r="AE75" s="111"/>
      <c r="AF75" s="111"/>
      <c r="AG75" s="111"/>
      <c r="AH75" s="111"/>
      <c r="AI75" s="111"/>
      <c r="AJ75" s="111"/>
      <c r="AK75" s="111"/>
      <c r="AL75" s="111"/>
      <c r="AM75" s="111"/>
      <c r="AN75" s="112"/>
    </row>
    <row r="76" spans="1:40" ht="25.5">
      <c r="A76" s="113" t="s">
        <v>18</v>
      </c>
      <c r="B76" s="133" t="s">
        <v>261</v>
      </c>
      <c r="C76" s="85" t="s">
        <v>258</v>
      </c>
      <c r="D76" s="89" t="s">
        <v>262</v>
      </c>
      <c r="E76" s="91"/>
      <c r="F76" s="102" t="s">
        <v>38</v>
      </c>
      <c r="G76" s="103">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4" t="s">
        <v>263</v>
      </c>
      <c r="R76" s="128" t="s">
        <v>40</v>
      </c>
      <c r="S76" s="115"/>
      <c r="T76" s="116"/>
      <c r="U76" s="116"/>
      <c r="V76" s="116"/>
      <c r="W76" s="116"/>
      <c r="X76" s="116"/>
      <c r="Y76" s="116"/>
      <c r="Z76" s="116"/>
      <c r="AA76" s="116"/>
      <c r="AB76" s="116"/>
      <c r="AC76" s="116"/>
      <c r="AD76" s="116"/>
      <c r="AE76" s="116"/>
      <c r="AF76" s="116"/>
      <c r="AG76" s="116"/>
      <c r="AH76" s="116"/>
      <c r="AI76" s="116"/>
      <c r="AJ76" s="116"/>
      <c r="AK76" s="116"/>
      <c r="AL76" s="116"/>
      <c r="AM76" s="116"/>
      <c r="AN76" s="117"/>
    </row>
    <row r="77" spans="1:40" ht="25.5">
      <c r="A77" s="109" t="s">
        <v>18</v>
      </c>
      <c r="B77" s="129" t="s">
        <v>264</v>
      </c>
      <c r="C77" s="82" t="s">
        <v>265</v>
      </c>
      <c r="D77" s="88" t="s">
        <v>266</v>
      </c>
      <c r="E77" s="93"/>
      <c r="F77" s="100" t="s">
        <v>38</v>
      </c>
      <c r="G77" s="101">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7" t="s">
        <v>263</v>
      </c>
      <c r="R77" s="132" t="s">
        <v>40</v>
      </c>
      <c r="S77" s="110"/>
      <c r="T77" s="111"/>
      <c r="U77" s="111"/>
      <c r="V77" s="111"/>
      <c r="W77" s="111"/>
      <c r="X77" s="111"/>
      <c r="Y77" s="111"/>
      <c r="Z77" s="111"/>
      <c r="AA77" s="111"/>
      <c r="AB77" s="111"/>
      <c r="AC77" s="111"/>
      <c r="AD77" s="111"/>
      <c r="AE77" s="111"/>
      <c r="AF77" s="111"/>
      <c r="AG77" s="111"/>
      <c r="AH77" s="111"/>
      <c r="AI77" s="111"/>
      <c r="AJ77" s="111"/>
      <c r="AK77" s="111"/>
      <c r="AL77" s="111"/>
      <c r="AM77" s="111"/>
      <c r="AN77" s="112"/>
    </row>
    <row r="78" spans="1:40">
      <c r="A78" s="113" t="s">
        <v>18</v>
      </c>
      <c r="B78" s="133" t="s">
        <v>267</v>
      </c>
      <c r="C78" s="85" t="s">
        <v>205</v>
      </c>
      <c r="D78" s="89" t="s">
        <v>212</v>
      </c>
      <c r="E78" s="91"/>
      <c r="F78" s="102" t="s">
        <v>38</v>
      </c>
      <c r="G78" s="103">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4" t="s">
        <v>268</v>
      </c>
      <c r="R78" s="128" t="s">
        <v>40</v>
      </c>
      <c r="S78" s="115"/>
      <c r="T78" s="116"/>
      <c r="U78" s="116"/>
      <c r="V78" s="116"/>
      <c r="W78" s="116"/>
      <c r="X78" s="116"/>
      <c r="Y78" s="116"/>
      <c r="Z78" s="116"/>
      <c r="AA78" s="116"/>
      <c r="AB78" s="116"/>
      <c r="AC78" s="116"/>
      <c r="AD78" s="116"/>
      <c r="AE78" s="116"/>
      <c r="AF78" s="116"/>
      <c r="AG78" s="116"/>
      <c r="AH78" s="116"/>
      <c r="AI78" s="116"/>
      <c r="AJ78" s="116"/>
      <c r="AK78" s="116"/>
      <c r="AL78" s="116"/>
      <c r="AM78" s="116"/>
      <c r="AN78" s="117"/>
    </row>
    <row r="79" spans="1:40">
      <c r="A79" s="109" t="s">
        <v>18</v>
      </c>
      <c r="B79" s="129" t="s">
        <v>269</v>
      </c>
      <c r="C79" s="82" t="s">
        <v>205</v>
      </c>
      <c r="D79" s="88" t="s">
        <v>212</v>
      </c>
      <c r="E79" s="93"/>
      <c r="F79" s="100" t="s">
        <v>38</v>
      </c>
      <c r="G79" s="101">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7" t="s">
        <v>270</v>
      </c>
      <c r="R79" s="132" t="s">
        <v>40</v>
      </c>
      <c r="S79" s="110"/>
      <c r="T79" s="111"/>
      <c r="U79" s="111"/>
      <c r="V79" s="111"/>
      <c r="W79" s="111"/>
      <c r="X79" s="111"/>
      <c r="Y79" s="111"/>
      <c r="Z79" s="111"/>
      <c r="AA79" s="111"/>
      <c r="AB79" s="111"/>
      <c r="AC79" s="111"/>
      <c r="AD79" s="111"/>
      <c r="AE79" s="111"/>
      <c r="AF79" s="111"/>
      <c r="AG79" s="111"/>
      <c r="AH79" s="111"/>
      <c r="AI79" s="111"/>
      <c r="AJ79" s="111"/>
      <c r="AK79" s="111"/>
      <c r="AL79" s="111"/>
      <c r="AM79" s="111"/>
      <c r="AN79" s="112"/>
    </row>
    <row r="80" spans="1:40" ht="51">
      <c r="A80" s="113" t="s">
        <v>18</v>
      </c>
      <c r="B80" s="133" t="s">
        <v>271</v>
      </c>
      <c r="C80" s="85" t="s">
        <v>272</v>
      </c>
      <c r="D80" s="89" t="s">
        <v>273</v>
      </c>
      <c r="E80" s="91"/>
      <c r="F80" s="102" t="s">
        <v>38</v>
      </c>
      <c r="G80" s="103">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4" t="s">
        <v>274</v>
      </c>
      <c r="R80" s="128" t="s">
        <v>40</v>
      </c>
      <c r="S80" s="115"/>
      <c r="T80" s="116"/>
      <c r="U80" s="116"/>
      <c r="V80" s="116"/>
      <c r="W80" s="116"/>
      <c r="X80" s="116"/>
      <c r="Y80" s="116"/>
      <c r="Z80" s="116"/>
      <c r="AA80" s="116"/>
      <c r="AB80" s="116"/>
      <c r="AC80" s="116"/>
      <c r="AD80" s="116"/>
      <c r="AE80" s="116"/>
      <c r="AF80" s="116"/>
      <c r="AG80" s="116"/>
      <c r="AH80" s="116"/>
      <c r="AI80" s="116"/>
      <c r="AJ80" s="116"/>
      <c r="AK80" s="116"/>
      <c r="AL80" s="116"/>
      <c r="AM80" s="116"/>
      <c r="AN80" s="117"/>
    </row>
    <row r="81" spans="1:40">
      <c r="A81" s="109" t="s">
        <v>233</v>
      </c>
      <c r="B81" s="129" t="s">
        <v>275</v>
      </c>
      <c r="C81" s="82" t="s">
        <v>205</v>
      </c>
      <c r="D81" s="88" t="s">
        <v>212</v>
      </c>
      <c r="E81" s="93"/>
      <c r="F81" s="100" t="s">
        <v>38</v>
      </c>
      <c r="G81" s="101">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7" t="s">
        <v>206</v>
      </c>
      <c r="R81" s="132" t="s">
        <v>40</v>
      </c>
      <c r="S81" s="110"/>
      <c r="T81" s="111"/>
      <c r="U81" s="111"/>
      <c r="V81" s="111"/>
      <c r="W81" s="111"/>
      <c r="X81" s="111"/>
      <c r="Y81" s="111"/>
      <c r="Z81" s="111"/>
      <c r="AA81" s="111"/>
      <c r="AB81" s="111"/>
      <c r="AC81" s="111"/>
      <c r="AD81" s="111"/>
      <c r="AE81" s="111"/>
      <c r="AF81" s="111"/>
      <c r="AG81" s="111"/>
      <c r="AH81" s="111"/>
      <c r="AI81" s="111"/>
      <c r="AJ81" s="111"/>
      <c r="AK81" s="111"/>
      <c r="AL81" s="111"/>
      <c r="AM81" s="111"/>
      <c r="AN81" s="112"/>
    </row>
    <row r="82" spans="1:40" ht="38.25">
      <c r="A82" s="113" t="s">
        <v>18</v>
      </c>
      <c r="B82" s="133" t="s">
        <v>276</v>
      </c>
      <c r="C82" s="85" t="s">
        <v>277</v>
      </c>
      <c r="D82" s="89" t="s">
        <v>278</v>
      </c>
      <c r="E82" s="91"/>
      <c r="F82" s="102" t="s">
        <v>38</v>
      </c>
      <c r="G82" s="103">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279</v>
      </c>
      <c r="R82" s="128" t="s">
        <v>40</v>
      </c>
      <c r="S82" s="115"/>
      <c r="T82" s="116"/>
      <c r="U82" s="116"/>
      <c r="V82" s="116"/>
      <c r="W82" s="116"/>
      <c r="X82" s="116"/>
      <c r="Y82" s="116"/>
      <c r="Z82" s="116"/>
      <c r="AA82" s="116"/>
      <c r="AB82" s="116"/>
      <c r="AC82" s="116"/>
      <c r="AD82" s="116"/>
      <c r="AE82" s="116"/>
      <c r="AF82" s="116"/>
      <c r="AG82" s="116"/>
      <c r="AH82" s="116"/>
      <c r="AI82" s="116"/>
      <c r="AJ82" s="116"/>
      <c r="AK82" s="116"/>
      <c r="AL82" s="116"/>
      <c r="AM82" s="116"/>
      <c r="AN82" s="117"/>
    </row>
    <row r="83" spans="1:40" ht="24">
      <c r="A83" s="109" t="s">
        <v>18</v>
      </c>
      <c r="B83" s="129" t="s">
        <v>280</v>
      </c>
      <c r="C83" s="82" t="s">
        <v>205</v>
      </c>
      <c r="D83" s="88" t="s">
        <v>212</v>
      </c>
      <c r="E83" s="93"/>
      <c r="F83" s="100" t="s">
        <v>38</v>
      </c>
      <c r="G83" s="101">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281</v>
      </c>
      <c r="R83" s="132" t="s">
        <v>40</v>
      </c>
      <c r="S83" s="110"/>
      <c r="T83" s="111"/>
      <c r="U83" s="111"/>
      <c r="V83" s="111"/>
      <c r="W83" s="111"/>
      <c r="X83" s="111"/>
      <c r="Y83" s="111"/>
      <c r="Z83" s="111"/>
      <c r="AA83" s="111"/>
      <c r="AB83" s="111"/>
      <c r="AC83" s="111"/>
      <c r="AD83" s="111"/>
      <c r="AE83" s="111"/>
      <c r="AF83" s="111"/>
      <c r="AG83" s="111"/>
      <c r="AH83" s="111"/>
      <c r="AI83" s="111"/>
      <c r="AJ83" s="111"/>
      <c r="AK83" s="111"/>
      <c r="AL83" s="111"/>
      <c r="AM83" s="111"/>
      <c r="AN83" s="112"/>
    </row>
    <row r="84" spans="1:40" ht="24">
      <c r="A84" s="113" t="s">
        <v>233</v>
      </c>
      <c r="B84" s="133" t="s">
        <v>282</v>
      </c>
      <c r="C84" s="85" t="s">
        <v>283</v>
      </c>
      <c r="D84" s="89" t="s">
        <v>284</v>
      </c>
      <c r="E84" s="91"/>
      <c r="F84" s="102" t="s">
        <v>38</v>
      </c>
      <c r="G84" s="103">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285</v>
      </c>
      <c r="R84" s="128" t="s">
        <v>40</v>
      </c>
      <c r="S84" s="115"/>
      <c r="T84" s="116"/>
      <c r="U84" s="116"/>
      <c r="V84" s="116"/>
      <c r="W84" s="116"/>
      <c r="X84" s="116"/>
      <c r="Y84" s="116"/>
      <c r="Z84" s="116"/>
      <c r="AA84" s="116"/>
      <c r="AB84" s="116"/>
      <c r="AC84" s="116"/>
      <c r="AD84" s="116"/>
      <c r="AE84" s="116"/>
      <c r="AF84" s="116"/>
      <c r="AG84" s="116"/>
      <c r="AH84" s="116"/>
      <c r="AI84" s="116"/>
      <c r="AJ84" s="116"/>
      <c r="AK84" s="116"/>
      <c r="AL84" s="116"/>
      <c r="AM84" s="116"/>
      <c r="AN84" s="117"/>
    </row>
    <row r="85" spans="1:40" ht="24">
      <c r="A85" s="109" t="s">
        <v>18</v>
      </c>
      <c r="B85" s="129" t="s">
        <v>286</v>
      </c>
      <c r="C85" s="82" t="s">
        <v>205</v>
      </c>
      <c r="D85" s="88" t="s">
        <v>212</v>
      </c>
      <c r="E85" s="93"/>
      <c r="F85" s="100" t="s">
        <v>38</v>
      </c>
      <c r="G85" s="101">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287</v>
      </c>
      <c r="R85" s="132" t="s">
        <v>40</v>
      </c>
      <c r="S85" s="110"/>
      <c r="T85" s="111"/>
      <c r="U85" s="111"/>
      <c r="V85" s="111"/>
      <c r="W85" s="111"/>
      <c r="X85" s="111"/>
      <c r="Y85" s="111"/>
      <c r="Z85" s="111"/>
      <c r="AA85" s="111"/>
      <c r="AB85" s="111"/>
      <c r="AC85" s="111"/>
      <c r="AD85" s="111"/>
      <c r="AE85" s="111"/>
      <c r="AF85" s="111"/>
      <c r="AG85" s="111"/>
      <c r="AH85" s="111"/>
      <c r="AI85" s="111"/>
      <c r="AJ85" s="111"/>
      <c r="AK85" s="111"/>
      <c r="AL85" s="111"/>
      <c r="AM85" s="111"/>
      <c r="AN85" s="112"/>
    </row>
    <row r="86" spans="1:40" ht="38.25">
      <c r="A86" s="113" t="s">
        <v>288</v>
      </c>
      <c r="B86" s="133" t="s">
        <v>289</v>
      </c>
      <c r="C86" s="85" t="s">
        <v>290</v>
      </c>
      <c r="D86" s="89" t="s">
        <v>111</v>
      </c>
      <c r="E86" s="91"/>
      <c r="F86" s="102" t="s">
        <v>38</v>
      </c>
      <c r="G86" s="103">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291</v>
      </c>
      <c r="R86" s="128" t="s">
        <v>40</v>
      </c>
      <c r="S86" s="115"/>
      <c r="T86" s="116"/>
      <c r="U86" s="116"/>
      <c r="V86" s="116"/>
      <c r="W86" s="116"/>
      <c r="X86" s="116"/>
      <c r="Y86" s="116"/>
      <c r="Z86" s="116"/>
      <c r="AA86" s="116"/>
      <c r="AB86" s="116"/>
      <c r="AC86" s="116"/>
      <c r="AD86" s="116"/>
      <c r="AE86" s="116"/>
      <c r="AF86" s="116"/>
      <c r="AG86" s="116"/>
      <c r="AH86" s="116"/>
      <c r="AI86" s="116"/>
      <c r="AJ86" s="116"/>
      <c r="AK86" s="116"/>
      <c r="AL86" s="116"/>
      <c r="AM86" s="116"/>
      <c r="AN86" s="117"/>
    </row>
    <row r="87" spans="1:40" ht="51">
      <c r="A87" s="109" t="s">
        <v>18</v>
      </c>
      <c r="B87" s="129" t="s">
        <v>292</v>
      </c>
      <c r="C87" s="82" t="s">
        <v>293</v>
      </c>
      <c r="D87" s="88" t="s">
        <v>294</v>
      </c>
      <c r="E87" s="93"/>
      <c r="F87" s="100" t="s">
        <v>252</v>
      </c>
      <c r="G87" s="101">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2" t="s">
        <v>40</v>
      </c>
      <c r="S87" s="110"/>
      <c r="T87" s="111"/>
      <c r="U87" s="111"/>
      <c r="V87" s="111"/>
      <c r="W87" s="111"/>
      <c r="X87" s="111"/>
      <c r="Y87" s="111"/>
      <c r="Z87" s="111"/>
      <c r="AA87" s="111"/>
      <c r="AB87" s="111"/>
      <c r="AC87" s="111"/>
      <c r="AD87" s="111"/>
      <c r="AE87" s="111"/>
      <c r="AF87" s="111"/>
      <c r="AG87" s="111"/>
      <c r="AH87" s="111"/>
      <c r="AI87" s="111"/>
      <c r="AJ87" s="111"/>
      <c r="AK87" s="111"/>
      <c r="AL87" s="111"/>
      <c r="AM87" s="111"/>
      <c r="AN87" s="112"/>
    </row>
    <row r="88" spans="1:40">
      <c r="A88" s="113" t="s">
        <v>18</v>
      </c>
      <c r="B88" s="133" t="s">
        <v>295</v>
      </c>
      <c r="C88" s="85" t="s">
        <v>205</v>
      </c>
      <c r="D88" s="89" t="s">
        <v>212</v>
      </c>
      <c r="E88" s="91"/>
      <c r="F88" s="102" t="s">
        <v>38</v>
      </c>
      <c r="G88" s="103">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296</v>
      </c>
      <c r="R88" s="128" t="s">
        <v>40</v>
      </c>
      <c r="S88" s="115"/>
      <c r="T88" s="116"/>
      <c r="U88" s="116"/>
      <c r="V88" s="116"/>
      <c r="W88" s="116"/>
      <c r="X88" s="116"/>
      <c r="Y88" s="116"/>
      <c r="Z88" s="116"/>
      <c r="AA88" s="116"/>
      <c r="AB88" s="116"/>
      <c r="AC88" s="116"/>
      <c r="AD88" s="116"/>
      <c r="AE88" s="116"/>
      <c r="AF88" s="116"/>
      <c r="AG88" s="116"/>
      <c r="AH88" s="116"/>
      <c r="AI88" s="116"/>
      <c r="AJ88" s="116"/>
      <c r="AK88" s="116"/>
      <c r="AL88" s="116"/>
      <c r="AM88" s="116"/>
      <c r="AN88" s="117"/>
    </row>
    <row r="89" spans="1:40" ht="63.75">
      <c r="A89" s="109" t="s">
        <v>18</v>
      </c>
      <c r="B89" s="129" t="s">
        <v>297</v>
      </c>
      <c r="C89" s="82" t="s">
        <v>298</v>
      </c>
      <c r="D89" s="88" t="s">
        <v>299</v>
      </c>
      <c r="E89" s="93"/>
      <c r="F89" s="100" t="s">
        <v>38</v>
      </c>
      <c r="G89" s="101">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300</v>
      </c>
      <c r="R89" s="132" t="s">
        <v>40</v>
      </c>
      <c r="S89" s="110"/>
      <c r="T89" s="111"/>
      <c r="U89" s="111"/>
      <c r="V89" s="111"/>
      <c r="W89" s="111"/>
      <c r="X89" s="111"/>
      <c r="Y89" s="111"/>
      <c r="Z89" s="111"/>
      <c r="AA89" s="111"/>
      <c r="AB89" s="111"/>
      <c r="AC89" s="111"/>
      <c r="AD89" s="111"/>
      <c r="AE89" s="111"/>
      <c r="AF89" s="111"/>
      <c r="AG89" s="111"/>
      <c r="AH89" s="111"/>
      <c r="AI89" s="111"/>
      <c r="AJ89" s="111"/>
      <c r="AK89" s="111"/>
      <c r="AL89" s="111"/>
      <c r="AM89" s="111"/>
      <c r="AN89" s="112"/>
    </row>
    <row r="90" spans="1:40">
      <c r="A90" s="113" t="s">
        <v>233</v>
      </c>
      <c r="B90" s="133" t="s">
        <v>301</v>
      </c>
      <c r="C90" s="85" t="s">
        <v>205</v>
      </c>
      <c r="D90" s="89" t="s">
        <v>212</v>
      </c>
      <c r="E90" s="91"/>
      <c r="F90" s="102" t="s">
        <v>38</v>
      </c>
      <c r="G90" s="103">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206</v>
      </c>
      <c r="R90" s="128" t="s">
        <v>40</v>
      </c>
      <c r="S90" s="115"/>
      <c r="T90" s="116"/>
      <c r="U90" s="116"/>
      <c r="V90" s="116"/>
      <c r="W90" s="116"/>
      <c r="X90" s="116"/>
      <c r="Y90" s="116"/>
      <c r="Z90" s="116"/>
      <c r="AA90" s="116"/>
      <c r="AB90" s="116"/>
      <c r="AC90" s="116"/>
      <c r="AD90" s="116"/>
      <c r="AE90" s="116"/>
      <c r="AF90" s="116"/>
      <c r="AG90" s="116"/>
      <c r="AH90" s="116"/>
      <c r="AI90" s="116"/>
      <c r="AJ90" s="116"/>
      <c r="AK90" s="116"/>
      <c r="AL90" s="116"/>
      <c r="AM90" s="116"/>
      <c r="AN90" s="117"/>
    </row>
    <row r="91" spans="1:40">
      <c r="A91" s="109" t="s">
        <v>25</v>
      </c>
      <c r="B91" s="129" t="s">
        <v>302</v>
      </c>
      <c r="C91" s="82" t="s">
        <v>205</v>
      </c>
      <c r="D91" s="88" t="s">
        <v>212</v>
      </c>
      <c r="E91" s="93"/>
      <c r="F91" s="100" t="s">
        <v>38</v>
      </c>
      <c r="G91" s="101">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206</v>
      </c>
      <c r="R91" s="132" t="s">
        <v>40</v>
      </c>
      <c r="S91" s="110"/>
      <c r="T91" s="111"/>
      <c r="U91" s="111"/>
      <c r="V91" s="111"/>
      <c r="W91" s="111"/>
      <c r="X91" s="111"/>
      <c r="Y91" s="111"/>
      <c r="Z91" s="111"/>
      <c r="AA91" s="111"/>
      <c r="AB91" s="111"/>
      <c r="AC91" s="111"/>
      <c r="AD91" s="111"/>
      <c r="AE91" s="111"/>
      <c r="AF91" s="111"/>
      <c r="AG91" s="111"/>
      <c r="AH91" s="111"/>
      <c r="AI91" s="111"/>
      <c r="AJ91" s="111"/>
      <c r="AK91" s="111"/>
      <c r="AL91" s="111"/>
      <c r="AM91" s="111"/>
      <c r="AN91" s="112"/>
    </row>
    <row r="92" spans="1:40" ht="38.25">
      <c r="A92" s="113" t="s">
        <v>303</v>
      </c>
      <c r="B92" s="133" t="s">
        <v>304</v>
      </c>
      <c r="C92" s="85" t="s">
        <v>305</v>
      </c>
      <c r="D92" s="89" t="s">
        <v>306</v>
      </c>
      <c r="E92" s="91"/>
      <c r="F92" s="102" t="s">
        <v>38</v>
      </c>
      <c r="G92" s="103">
        <v>100</v>
      </c>
      <c r="H92" s="19">
        <f>IF(OR(J92="",K92="",K92&lt;J92),0,NETWORKDAYS(J92,K92,Hoja2!$A$2:$A$53))</f>
        <v>0</v>
      </c>
      <c r="I92" s="43"/>
      <c r="J92" s="64">
        <v>46064</v>
      </c>
      <c r="K92" s="43"/>
      <c r="L92" s="64">
        <v>46064</v>
      </c>
      <c r="M92" s="22">
        <f ca="1">IF(OR(J92="",AND(L92="",TODAY()&lt;J92),AND(L92&lt;&gt;"",L92&lt;J92)),0,
   IF(L92="",
      NETWORKDAYS(J92,TODAY(),Hoja2!$A$2:$A$53),
      NETWORKDAYS(J92,L92,Hoja2!$A$2:$A$53)
   )
)</f>
        <v>1</v>
      </c>
      <c r="N92" s="43"/>
      <c r="O92" s="43"/>
      <c r="P92" s="43"/>
      <c r="Q92" s="52" t="s">
        <v>307</v>
      </c>
      <c r="R92" s="128" t="s">
        <v>40</v>
      </c>
      <c r="S92" s="115"/>
      <c r="T92" s="116"/>
      <c r="U92" s="116"/>
      <c r="V92" s="116"/>
      <c r="W92" s="116"/>
      <c r="X92" s="116"/>
      <c r="Y92" s="116"/>
      <c r="Z92" s="116"/>
      <c r="AA92" s="116"/>
      <c r="AB92" s="116"/>
      <c r="AC92" s="116"/>
      <c r="AD92" s="116"/>
      <c r="AE92" s="116"/>
      <c r="AF92" s="116"/>
      <c r="AG92" s="116"/>
      <c r="AH92" s="116"/>
      <c r="AI92" s="116"/>
      <c r="AJ92" s="116"/>
      <c r="AK92" s="116"/>
      <c r="AL92" s="116"/>
      <c r="AM92" s="116"/>
      <c r="AN92" s="117"/>
    </row>
    <row r="93" spans="1:40">
      <c r="A93" s="109" t="s">
        <v>233</v>
      </c>
      <c r="B93" s="129" t="s">
        <v>308</v>
      </c>
      <c r="C93" s="82" t="s">
        <v>205</v>
      </c>
      <c r="D93" s="88" t="s">
        <v>212</v>
      </c>
      <c r="E93" s="93"/>
      <c r="F93" s="100" t="s">
        <v>38</v>
      </c>
      <c r="G93" s="101">
        <v>100</v>
      </c>
      <c r="H93" s="32">
        <f>IF(OR(J93="",K93="",K93&lt;J93),0,NETWORKDAYS(J93,K93,Hoja2!$A$2:$A$53))</f>
        <v>0</v>
      </c>
      <c r="I93" s="40"/>
      <c r="J93" s="73">
        <v>46064</v>
      </c>
      <c r="K93" s="40"/>
      <c r="L93" s="73">
        <v>46064</v>
      </c>
      <c r="M93" s="35">
        <f ca="1">IF(OR(J93="",AND(L93="",TODAY()&lt;J93),AND(L93&lt;&gt;"",L93&lt;J93)),0,
   IF(L93="",
      NETWORKDAYS(J93,TODAY(),Hoja2!$A$2:$A$53),
      NETWORKDAYS(J93,L93,Hoja2!$A$2:$A$53)
   )
)</f>
        <v>1</v>
      </c>
      <c r="N93" s="40"/>
      <c r="O93" s="40"/>
      <c r="P93" s="40"/>
      <c r="Q93" s="90" t="s">
        <v>206</v>
      </c>
      <c r="R93" s="132" t="s">
        <v>40</v>
      </c>
      <c r="S93" s="110"/>
      <c r="T93" s="111"/>
      <c r="U93" s="111"/>
      <c r="V93" s="111"/>
      <c r="W93" s="111"/>
      <c r="X93" s="111"/>
      <c r="Y93" s="111"/>
      <c r="Z93" s="111"/>
      <c r="AA93" s="111"/>
      <c r="AB93" s="111"/>
      <c r="AC93" s="111"/>
      <c r="AD93" s="111"/>
      <c r="AE93" s="111"/>
      <c r="AF93" s="111"/>
      <c r="AG93" s="111"/>
      <c r="AH93" s="111"/>
      <c r="AI93" s="111"/>
      <c r="AJ93" s="111"/>
      <c r="AK93" s="111"/>
      <c r="AL93" s="111"/>
      <c r="AM93" s="111"/>
      <c r="AN93" s="112"/>
    </row>
    <row r="94" spans="1:40">
      <c r="A94" s="113" t="s">
        <v>18</v>
      </c>
      <c r="B94" s="133" t="s">
        <v>309</v>
      </c>
      <c r="C94" s="85" t="s">
        <v>205</v>
      </c>
      <c r="D94" s="89" t="s">
        <v>212</v>
      </c>
      <c r="E94" s="91"/>
      <c r="F94" s="102" t="s">
        <v>38</v>
      </c>
      <c r="G94" s="103">
        <v>100</v>
      </c>
      <c r="H94" s="19">
        <f>IF(OR(J94="",K94="",K94&lt;J94),0,NETWORKDAYS(J94,K94,Hoja2!$A$2:$A$53))</f>
        <v>0</v>
      </c>
      <c r="I94" s="43"/>
      <c r="J94" s="64">
        <v>46065</v>
      </c>
      <c r="K94" s="43"/>
      <c r="L94" s="64">
        <v>46065</v>
      </c>
      <c r="M94" s="22">
        <f ca="1">IF(OR(J94="",AND(L94="",TODAY()&lt;J94),AND(L94&lt;&gt;"",L94&lt;J94)),0,
   IF(L94="",
      NETWORKDAYS(J94,TODAY(),Hoja2!$A$2:$A$53),
      NETWORKDAYS(J94,L94,Hoja2!$A$2:$A$53)
   )
)</f>
        <v>1</v>
      </c>
      <c r="N94" s="43"/>
      <c r="O94" s="43"/>
      <c r="P94" s="43"/>
      <c r="Q94" s="52" t="s">
        <v>206</v>
      </c>
      <c r="R94" s="128" t="s">
        <v>40</v>
      </c>
      <c r="S94" s="115"/>
      <c r="T94" s="116"/>
      <c r="U94" s="116"/>
      <c r="V94" s="116"/>
      <c r="W94" s="116"/>
      <c r="X94" s="116"/>
      <c r="Y94" s="116"/>
      <c r="Z94" s="116"/>
      <c r="AA94" s="116"/>
      <c r="AB94" s="116"/>
      <c r="AC94" s="116"/>
      <c r="AD94" s="116"/>
      <c r="AE94" s="116"/>
      <c r="AF94" s="116"/>
      <c r="AG94" s="116"/>
      <c r="AH94" s="116"/>
      <c r="AI94" s="116"/>
      <c r="AJ94" s="116"/>
      <c r="AK94" s="116"/>
      <c r="AL94" s="116"/>
      <c r="AM94" s="116"/>
      <c r="AN94" s="117"/>
    </row>
    <row r="95" spans="1:40" ht="38.25">
      <c r="A95" s="109" t="s">
        <v>18</v>
      </c>
      <c r="B95" s="129" t="s">
        <v>310</v>
      </c>
      <c r="C95" s="82" t="s">
        <v>311</v>
      </c>
      <c r="D95" s="88" t="s">
        <v>312</v>
      </c>
      <c r="E95" s="93"/>
      <c r="F95" s="100" t="s">
        <v>38</v>
      </c>
      <c r="G95" s="101">
        <v>100</v>
      </c>
      <c r="H95" s="32">
        <f>IF(OR(J95="",K95="",K95&lt;J95),0,NETWORKDAYS(J95,K95,Hoja2!$A$2:$A$53))</f>
        <v>0</v>
      </c>
      <c r="I95" s="40"/>
      <c r="J95" s="73">
        <v>46066</v>
      </c>
      <c r="K95" s="40"/>
      <c r="L95" s="73">
        <v>46066</v>
      </c>
      <c r="M95" s="35">
        <f ca="1">IF(OR(J95="",AND(L95="",TODAY()&lt;J95),AND(L95&lt;&gt;"",L95&lt;J95)),0,
   IF(L95="",
      NETWORKDAYS(J95,TODAY(),Hoja2!$A$2:$A$53),
      NETWORKDAYS(J95,L95,Hoja2!$A$2:$A$53)
   )
)</f>
        <v>1</v>
      </c>
      <c r="N95" s="40"/>
      <c r="O95" s="40"/>
      <c r="P95" s="40"/>
      <c r="Q95" s="90" t="s">
        <v>313</v>
      </c>
      <c r="R95" s="132" t="s">
        <v>40</v>
      </c>
      <c r="S95" s="110"/>
      <c r="T95" s="111"/>
      <c r="U95" s="111"/>
      <c r="V95" s="111"/>
      <c r="W95" s="111"/>
      <c r="X95" s="111"/>
      <c r="Y95" s="111"/>
      <c r="Z95" s="111"/>
      <c r="AA95" s="111"/>
      <c r="AB95" s="111"/>
      <c r="AC95" s="111"/>
      <c r="AD95" s="111"/>
      <c r="AE95" s="111"/>
      <c r="AF95" s="111"/>
      <c r="AG95" s="111"/>
      <c r="AH95" s="111"/>
      <c r="AI95" s="111"/>
      <c r="AJ95" s="111"/>
      <c r="AK95" s="111"/>
      <c r="AL95" s="111"/>
      <c r="AM95" s="111"/>
      <c r="AN95" s="112"/>
    </row>
    <row r="96" spans="1:40">
      <c r="A96" s="113" t="s">
        <v>233</v>
      </c>
      <c r="B96" s="133" t="s">
        <v>314</v>
      </c>
      <c r="C96" s="85" t="s">
        <v>205</v>
      </c>
      <c r="D96" s="89" t="s">
        <v>212</v>
      </c>
      <c r="E96" s="91"/>
      <c r="F96" s="102" t="s">
        <v>38</v>
      </c>
      <c r="G96" s="103">
        <v>100</v>
      </c>
      <c r="H96" s="19">
        <f>IF(OR(J96="",K96="",K96&lt;J96),0,NETWORKDAYS(J96,K96,Hoja2!$A$2:$A$53))</f>
        <v>0</v>
      </c>
      <c r="I96" s="43"/>
      <c r="J96" s="64">
        <v>46069</v>
      </c>
      <c r="K96" s="43"/>
      <c r="L96" s="64">
        <v>46069</v>
      </c>
      <c r="M96" s="22">
        <f ca="1">IF(OR(J96="",AND(L96="",TODAY()&lt;J96),AND(L96&lt;&gt;"",L96&lt;J96)),0,
   IF(L96="",
      NETWORKDAYS(J96,TODAY(),Hoja2!$A$2:$A$53),
      NETWORKDAYS(J96,L96,Hoja2!$A$2:$A$53)
   )
)</f>
        <v>1</v>
      </c>
      <c r="N96" s="43"/>
      <c r="O96" s="43"/>
      <c r="P96" s="43"/>
      <c r="Q96" s="52" t="s">
        <v>206</v>
      </c>
      <c r="R96" s="128" t="s">
        <v>40</v>
      </c>
      <c r="S96" s="115"/>
      <c r="T96" s="116"/>
      <c r="U96" s="116"/>
      <c r="V96" s="116"/>
      <c r="W96" s="116"/>
      <c r="X96" s="116"/>
      <c r="Y96" s="116"/>
      <c r="Z96" s="116"/>
      <c r="AA96" s="116"/>
      <c r="AB96" s="116"/>
      <c r="AC96" s="116"/>
      <c r="AD96" s="116"/>
      <c r="AE96" s="116"/>
      <c r="AF96" s="116"/>
      <c r="AG96" s="116"/>
      <c r="AH96" s="116"/>
      <c r="AI96" s="116"/>
      <c r="AJ96" s="116"/>
      <c r="AK96" s="116"/>
      <c r="AL96" s="116"/>
      <c r="AM96" s="116"/>
      <c r="AN96" s="117"/>
    </row>
    <row r="97" spans="1:40" ht="25.5">
      <c r="A97" s="109" t="s">
        <v>18</v>
      </c>
      <c r="B97" s="129" t="s">
        <v>315</v>
      </c>
      <c r="C97" s="82" t="s">
        <v>316</v>
      </c>
      <c r="D97" s="88" t="s">
        <v>317</v>
      </c>
      <c r="E97" s="93"/>
      <c r="F97" s="100" t="s">
        <v>38</v>
      </c>
      <c r="G97" s="101">
        <v>100</v>
      </c>
      <c r="H97" s="32">
        <f>IF(OR(J97="",K97="",K97&lt;J97),0,NETWORKDAYS(J97,K97,Hoja2!$A$2:$A$53))</f>
        <v>0</v>
      </c>
      <c r="I97" s="40"/>
      <c r="J97" s="73">
        <v>46070</v>
      </c>
      <c r="K97" s="40"/>
      <c r="L97" s="73">
        <v>46073</v>
      </c>
      <c r="M97" s="35">
        <f ca="1">IF(OR(J97="",AND(L97="",TODAY()&lt;J97),AND(L97&lt;&gt;"",L97&lt;J97)),0,
   IF(L97="",
      NETWORKDAYS(J97,TODAY(),Hoja2!$A$2:$A$53),
      NETWORKDAYS(J97,L97,Hoja2!$A$2:$A$53)
   )
)</f>
        <v>4</v>
      </c>
      <c r="N97" s="40"/>
      <c r="O97" s="40"/>
      <c r="P97" s="40"/>
      <c r="Q97" s="90"/>
      <c r="R97" s="128" t="s">
        <v>40</v>
      </c>
      <c r="S97" s="110"/>
      <c r="T97" s="111"/>
      <c r="U97" s="111"/>
      <c r="V97" s="111"/>
      <c r="W97" s="111"/>
      <c r="X97" s="111"/>
      <c r="Y97" s="111"/>
      <c r="Z97" s="111"/>
      <c r="AA97" s="111"/>
      <c r="AB97" s="111"/>
      <c r="AC97" s="111"/>
      <c r="AD97" s="111"/>
      <c r="AE97" s="111"/>
      <c r="AF97" s="111"/>
      <c r="AG97" s="111"/>
      <c r="AH97" s="111"/>
      <c r="AI97" s="111"/>
      <c r="AJ97" s="111"/>
      <c r="AK97" s="111"/>
      <c r="AL97" s="111"/>
      <c r="AM97" s="111"/>
      <c r="AN97" s="112"/>
    </row>
    <row r="98" spans="1:40" ht="38.25">
      <c r="A98" s="113" t="s">
        <v>288</v>
      </c>
      <c r="B98" s="133" t="s">
        <v>318</v>
      </c>
      <c r="C98" s="85" t="s">
        <v>319</v>
      </c>
      <c r="D98" s="89" t="s">
        <v>111</v>
      </c>
      <c r="E98" s="91"/>
      <c r="F98" s="102" t="s">
        <v>38</v>
      </c>
      <c r="G98" s="103">
        <v>100</v>
      </c>
      <c r="H98" s="19">
        <f>IF(OR(J98="",K98="",K98&lt;J98),0,NETWORKDAYS(J98,K98,Hoja2!$A$2:$A$53))</f>
        <v>0</v>
      </c>
      <c r="I98" s="64">
        <v>46076</v>
      </c>
      <c r="J98" s="64">
        <v>46076</v>
      </c>
      <c r="K98" s="43"/>
      <c r="L98" s="64">
        <v>46079</v>
      </c>
      <c r="M98" s="22">
        <f ca="1">IF(OR(J98="",AND(L98="",TODAY()&lt;J98),AND(L98&lt;&gt;"",L98&lt;J98)),0,
   IF(L98="",
      NETWORKDAYS(J98,TODAY(),Hoja2!$A$2:$A$53),
      NETWORKDAYS(J98,L98,Hoja2!$A$2:$A$53)
   )
)</f>
        <v>4</v>
      </c>
      <c r="N98" s="43"/>
      <c r="O98" s="43"/>
      <c r="P98" s="43"/>
      <c r="Q98" s="52" t="s">
        <v>320</v>
      </c>
      <c r="R98" s="128" t="s">
        <v>40</v>
      </c>
      <c r="S98" s="115"/>
      <c r="T98" s="116"/>
      <c r="U98" s="116"/>
      <c r="V98" s="116"/>
      <c r="W98" s="116"/>
      <c r="X98" s="116"/>
      <c r="Y98" s="116"/>
      <c r="Z98" s="116"/>
      <c r="AA98" s="116"/>
      <c r="AB98" s="116"/>
      <c r="AC98" s="116"/>
      <c r="AD98" s="116"/>
      <c r="AE98" s="116"/>
      <c r="AF98" s="116"/>
      <c r="AG98" s="116"/>
      <c r="AH98" s="116"/>
      <c r="AI98" s="116"/>
      <c r="AJ98" s="116"/>
      <c r="AK98" s="116"/>
      <c r="AL98" s="116"/>
      <c r="AM98" s="116"/>
      <c r="AN98" s="117"/>
    </row>
    <row r="99" spans="1:40" ht="24">
      <c r="A99" s="109" t="s">
        <v>288</v>
      </c>
      <c r="B99" s="129" t="s">
        <v>321</v>
      </c>
      <c r="C99" s="82" t="s">
        <v>205</v>
      </c>
      <c r="D99" s="88" t="s">
        <v>212</v>
      </c>
      <c r="E99" s="93"/>
      <c r="F99" s="100" t="s">
        <v>38</v>
      </c>
      <c r="G99" s="101">
        <v>100</v>
      </c>
      <c r="H99" s="32">
        <f>IF(OR(J99="",K99="",K99&lt;J99),0,NETWORKDAYS(J99,K99,Hoja2!$A$2:$A$53))</f>
        <v>1</v>
      </c>
      <c r="I99" s="73">
        <v>46081</v>
      </c>
      <c r="J99" s="73">
        <v>46083</v>
      </c>
      <c r="K99" s="40">
        <v>46083</v>
      </c>
      <c r="L99" s="73">
        <v>46083</v>
      </c>
      <c r="M99" s="35">
        <f ca="1">IF(OR(J99="",AND(L99="",TODAY()&lt;J99),AND(L99&lt;&gt;"",L99&lt;J99)),0,
   IF(L99="",
      NETWORKDAYS(J99,TODAY(),Hoja2!$A$2:$A$53),
      NETWORKDAYS(J99,L99,Hoja2!$A$2:$A$53)
   )
)</f>
        <v>1</v>
      </c>
      <c r="N99" s="40"/>
      <c r="O99" s="40"/>
      <c r="P99" s="40"/>
      <c r="Q99" s="90" t="s">
        <v>322</v>
      </c>
      <c r="R99" s="132" t="s">
        <v>40</v>
      </c>
      <c r="S99" s="110"/>
      <c r="T99" s="111"/>
      <c r="U99" s="111"/>
      <c r="V99" s="111"/>
      <c r="W99" s="111"/>
      <c r="X99" s="111"/>
      <c r="Y99" s="111"/>
      <c r="Z99" s="111"/>
      <c r="AA99" s="111"/>
      <c r="AB99" s="111"/>
      <c r="AC99" s="111"/>
      <c r="AD99" s="111"/>
      <c r="AE99" s="111"/>
      <c r="AF99" s="111"/>
      <c r="AG99" s="111"/>
      <c r="AH99" s="111"/>
      <c r="AI99" s="111"/>
      <c r="AJ99" s="111"/>
      <c r="AK99" s="111"/>
      <c r="AL99" s="111"/>
      <c r="AM99" s="111"/>
      <c r="AN99" s="112"/>
    </row>
    <row r="100" spans="1:40" ht="24">
      <c r="A100" s="113" t="s">
        <v>25</v>
      </c>
      <c r="B100" s="133" t="s">
        <v>323</v>
      </c>
      <c r="C100" s="85" t="s">
        <v>205</v>
      </c>
      <c r="D100" s="89" t="s">
        <v>212</v>
      </c>
      <c r="E100" s="91"/>
      <c r="F100" s="102" t="s">
        <v>38</v>
      </c>
      <c r="G100" s="103">
        <v>100</v>
      </c>
      <c r="H100" s="19">
        <f>IF(OR(J100="",K100="",K100&lt;J100),0,NETWORKDAYS(J100,K100,Hoja2!$A$2:$A$53))</f>
        <v>1</v>
      </c>
      <c r="I100" s="64">
        <v>46085</v>
      </c>
      <c r="J100" s="64">
        <v>46085</v>
      </c>
      <c r="K100" s="64">
        <v>46085</v>
      </c>
      <c r="L100" s="64">
        <v>46085</v>
      </c>
      <c r="M100" s="22">
        <f ca="1">IF(OR(J100="",AND(L100="",TODAY()&lt;J100),AND(L100&lt;&gt;"",L100&lt;J100)),0,
   IF(L100="",
      NETWORKDAYS(J100,TODAY(),Hoja2!$A$2:$A$53),
      NETWORKDAYS(J100,L100,Hoja2!$A$2:$A$53)
   )
)</f>
        <v>1</v>
      </c>
      <c r="N100" s="43"/>
      <c r="O100" s="43"/>
      <c r="P100" s="43"/>
      <c r="Q100" s="52" t="s">
        <v>322</v>
      </c>
      <c r="R100" s="128" t="s">
        <v>40</v>
      </c>
      <c r="S100" s="115"/>
      <c r="T100" s="116"/>
      <c r="U100" s="116"/>
      <c r="V100" s="116"/>
      <c r="W100" s="116"/>
      <c r="X100" s="116"/>
      <c r="Y100" s="116"/>
      <c r="Z100" s="116"/>
      <c r="AA100" s="116"/>
      <c r="AB100" s="116"/>
      <c r="AC100" s="116"/>
      <c r="AD100" s="116"/>
      <c r="AE100" s="116"/>
      <c r="AF100" s="116"/>
      <c r="AG100" s="116"/>
      <c r="AH100" s="116"/>
      <c r="AI100" s="116"/>
      <c r="AJ100" s="116"/>
      <c r="AK100" s="116"/>
      <c r="AL100" s="116"/>
      <c r="AM100" s="116"/>
      <c r="AN100" s="117"/>
    </row>
  </sheetData>
  <autoFilter ref="A1:AN41"/>
  <conditionalFormatting sqref="B2:B100">
    <cfRule type="expression" dxfId="0" priority="1">
      <formula>COUNTIF(B$2:B$16,B2)&gt;1</formula>
    </cfRule>
  </conditionalFormatting>
  <dataValidations count="2">
    <dataValidation type="custom" allowBlank="1" showDropDown="1" sqref="I2:L9 J10:L10 I11:L54 N2:P54 I56:L100 N56:P100">
      <formula1>OR(NOT(ISERROR(DATEVALUE(I2))), AND(ISNUMBER(I2), LEFT(CELL("format", I2))="D"))</formula1>
    </dataValidation>
    <dataValidation type="list" allowBlank="1" sqref="F2:F100">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5">
        <v>45292</v>
      </c>
      <c r="B1" s="136" t="s">
        <v>324</v>
      </c>
    </row>
    <row r="2" spans="1:2" ht="17.25" customHeight="1">
      <c r="A2" s="135">
        <v>45299</v>
      </c>
      <c r="B2" s="136" t="s">
        <v>325</v>
      </c>
    </row>
    <row r="3" spans="1:2" ht="17.25" customHeight="1">
      <c r="A3" s="135">
        <v>45376</v>
      </c>
      <c r="B3" s="136" t="s">
        <v>326</v>
      </c>
    </row>
    <row r="4" spans="1:2" ht="17.25" customHeight="1">
      <c r="A4" s="135">
        <v>45379</v>
      </c>
      <c r="B4" s="136" t="s">
        <v>327</v>
      </c>
    </row>
    <row r="5" spans="1:2" ht="17.25" customHeight="1">
      <c r="A5" s="135">
        <v>45380</v>
      </c>
      <c r="B5" s="136" t="s">
        <v>328</v>
      </c>
    </row>
    <row r="6" spans="1:2" ht="17.25" customHeight="1">
      <c r="A6" s="135">
        <v>45413</v>
      </c>
      <c r="B6" s="136" t="s">
        <v>329</v>
      </c>
    </row>
    <row r="7" spans="1:2" ht="17.25" customHeight="1">
      <c r="A7" s="135">
        <v>45425</v>
      </c>
      <c r="B7" s="136" t="s">
        <v>330</v>
      </c>
    </row>
    <row r="8" spans="1:2" ht="17.25" customHeight="1">
      <c r="A8" s="135">
        <v>45446</v>
      </c>
      <c r="B8" s="136" t="s">
        <v>331</v>
      </c>
    </row>
    <row r="9" spans="1:2" ht="17.25" customHeight="1">
      <c r="A9" s="135">
        <v>45453</v>
      </c>
      <c r="B9" s="136" t="s">
        <v>332</v>
      </c>
    </row>
    <row r="10" spans="1:2" ht="17.25" customHeight="1">
      <c r="A10" s="135">
        <v>45474</v>
      </c>
      <c r="B10" s="136" t="s">
        <v>333</v>
      </c>
    </row>
    <row r="11" spans="1:2" ht="17.25" customHeight="1">
      <c r="A11" s="135">
        <v>45493</v>
      </c>
      <c r="B11" s="136" t="s">
        <v>334</v>
      </c>
    </row>
    <row r="12" spans="1:2" ht="17.25" customHeight="1">
      <c r="A12" s="135">
        <v>45511</v>
      </c>
      <c r="B12" s="136" t="s">
        <v>335</v>
      </c>
    </row>
    <row r="13" spans="1:2" ht="17.25" customHeight="1">
      <c r="A13" s="135">
        <v>45523</v>
      </c>
      <c r="B13" s="136" t="s">
        <v>336</v>
      </c>
    </row>
    <row r="14" spans="1:2" ht="17.25" customHeight="1">
      <c r="A14" s="135">
        <v>45579</v>
      </c>
      <c r="B14" s="136" t="s">
        <v>337</v>
      </c>
    </row>
    <row r="15" spans="1:2" ht="17.25" customHeight="1">
      <c r="A15" s="135">
        <v>45600</v>
      </c>
      <c r="B15" s="136" t="s">
        <v>338</v>
      </c>
    </row>
    <row r="16" spans="1:2" ht="17.25" customHeight="1">
      <c r="A16" s="135">
        <v>45607</v>
      </c>
      <c r="B16" s="136" t="s">
        <v>339</v>
      </c>
    </row>
    <row r="17" spans="1:2" ht="17.25" customHeight="1">
      <c r="A17" s="135">
        <v>45634</v>
      </c>
      <c r="B17" s="136" t="s">
        <v>340</v>
      </c>
    </row>
    <row r="18" spans="1:2" ht="17.25" customHeight="1">
      <c r="A18" s="135">
        <v>45651</v>
      </c>
      <c r="B18" s="136" t="s">
        <v>341</v>
      </c>
    </row>
    <row r="19" spans="1:2" ht="17.25" customHeight="1">
      <c r="A19" s="135">
        <v>45658</v>
      </c>
      <c r="B19" s="137" t="s">
        <v>342</v>
      </c>
    </row>
    <row r="20" spans="1:2" ht="17.25" customHeight="1">
      <c r="A20" s="135">
        <v>45663</v>
      </c>
      <c r="B20" s="137" t="s">
        <v>343</v>
      </c>
    </row>
    <row r="21" spans="1:2" ht="17.25" customHeight="1">
      <c r="A21" s="135">
        <v>45740</v>
      </c>
      <c r="B21" s="137" t="s">
        <v>344</v>
      </c>
    </row>
    <row r="22" spans="1:2" ht="17.25" customHeight="1">
      <c r="A22" s="135">
        <v>45764</v>
      </c>
      <c r="B22" s="137" t="s">
        <v>345</v>
      </c>
    </row>
    <row r="23" spans="1:2" ht="17.25" customHeight="1">
      <c r="A23" s="135">
        <v>45765</v>
      </c>
      <c r="B23" s="137" t="s">
        <v>346</v>
      </c>
    </row>
    <row r="24" spans="1:2" ht="17.25" customHeight="1">
      <c r="A24" s="135">
        <v>45778</v>
      </c>
      <c r="B24" s="137" t="s">
        <v>347</v>
      </c>
    </row>
    <row r="25" spans="1:2" ht="17.25" customHeight="1">
      <c r="A25" s="135">
        <v>45810</v>
      </c>
      <c r="B25" s="137" t="s">
        <v>348</v>
      </c>
    </row>
    <row r="26" spans="1:2" ht="17.25" customHeight="1">
      <c r="A26" s="135">
        <v>45831</v>
      </c>
      <c r="B26" s="137" t="s">
        <v>349</v>
      </c>
    </row>
    <row r="27" spans="1:2" ht="17.25" customHeight="1">
      <c r="A27" s="135">
        <v>45838</v>
      </c>
      <c r="B27" s="137" t="s">
        <v>350</v>
      </c>
    </row>
    <row r="28" spans="1:2" ht="17.25" customHeight="1">
      <c r="A28" s="135">
        <v>45858</v>
      </c>
      <c r="B28" s="137" t="s">
        <v>351</v>
      </c>
    </row>
    <row r="29" spans="1:2" ht="17.25" customHeight="1">
      <c r="A29" s="135">
        <v>45876</v>
      </c>
      <c r="B29" s="137" t="s">
        <v>352</v>
      </c>
    </row>
    <row r="30" spans="1:2" ht="17.25" customHeight="1">
      <c r="A30" s="135">
        <v>45887</v>
      </c>
      <c r="B30" s="137" t="s">
        <v>353</v>
      </c>
    </row>
    <row r="31" spans="1:2" ht="17.25" customHeight="1">
      <c r="A31" s="135">
        <v>45943</v>
      </c>
      <c r="B31" s="137" t="s">
        <v>354</v>
      </c>
    </row>
    <row r="32" spans="1:2" ht="17.25" customHeight="1">
      <c r="A32" s="135">
        <v>45964</v>
      </c>
      <c r="B32" s="137" t="s">
        <v>355</v>
      </c>
    </row>
    <row r="33" spans="1:2" ht="17.25" customHeight="1">
      <c r="A33" s="135">
        <v>45978</v>
      </c>
      <c r="B33" s="137" t="s">
        <v>356</v>
      </c>
    </row>
    <row r="34" spans="1:2" ht="17.25" customHeight="1">
      <c r="A34" s="135">
        <v>45999</v>
      </c>
      <c r="B34" s="137" t="s">
        <v>357</v>
      </c>
    </row>
    <row r="35" spans="1:2" ht="17.25" customHeight="1">
      <c r="A35" s="135">
        <v>46016</v>
      </c>
      <c r="B35" s="137" t="s">
        <v>358</v>
      </c>
    </row>
    <row r="36" spans="1:2" ht="17.25" customHeight="1">
      <c r="A36" s="135">
        <v>46023</v>
      </c>
      <c r="B36" s="137" t="s">
        <v>342</v>
      </c>
    </row>
    <row r="37" spans="1:2" ht="17.25" customHeight="1">
      <c r="A37" s="135">
        <v>46034</v>
      </c>
      <c r="B37" s="137" t="s">
        <v>343</v>
      </c>
    </row>
    <row r="38" spans="1:2" ht="17.25" customHeight="1">
      <c r="A38" s="135">
        <v>46104</v>
      </c>
      <c r="B38" s="137" t="s">
        <v>344</v>
      </c>
    </row>
    <row r="39" spans="1:2" ht="17.25" customHeight="1">
      <c r="A39" s="135">
        <v>46114</v>
      </c>
      <c r="B39" s="137" t="s">
        <v>345</v>
      </c>
    </row>
    <row r="40" spans="1:2" ht="17.25" customHeight="1">
      <c r="A40" s="135">
        <v>46115</v>
      </c>
      <c r="B40" s="137" t="s">
        <v>346</v>
      </c>
    </row>
    <row r="41" spans="1:2" ht="17.25" customHeight="1">
      <c r="A41" s="135">
        <v>46143</v>
      </c>
      <c r="B41" s="137" t="s">
        <v>347</v>
      </c>
    </row>
    <row r="42" spans="1:2" ht="17.25" customHeight="1">
      <c r="A42" s="135">
        <v>46160</v>
      </c>
      <c r="B42" s="137" t="s">
        <v>348</v>
      </c>
    </row>
    <row r="43" spans="1:2" ht="17.25" customHeight="1">
      <c r="A43" s="135">
        <v>46181</v>
      </c>
      <c r="B43" s="137" t="s">
        <v>349</v>
      </c>
    </row>
    <row r="44" spans="1:2" ht="17.25" customHeight="1">
      <c r="A44" s="135">
        <v>46188</v>
      </c>
      <c r="B44" s="137" t="s">
        <v>359</v>
      </c>
    </row>
    <row r="45" spans="1:2" ht="17.25" customHeight="1">
      <c r="A45" s="135">
        <v>46202</v>
      </c>
      <c r="B45" s="137" t="s">
        <v>360</v>
      </c>
    </row>
    <row r="46" spans="1:2" ht="17.25" customHeight="1">
      <c r="A46" s="135">
        <v>46223</v>
      </c>
      <c r="B46" s="137" t="s">
        <v>351</v>
      </c>
    </row>
    <row r="47" spans="1:2" ht="17.25" customHeight="1">
      <c r="A47" s="135">
        <v>46241</v>
      </c>
      <c r="B47" s="137" t="s">
        <v>352</v>
      </c>
    </row>
    <row r="48" spans="1:2" ht="17.25" customHeight="1">
      <c r="A48" s="135">
        <v>46251</v>
      </c>
      <c r="B48" s="137" t="s">
        <v>353</v>
      </c>
    </row>
    <row r="49" spans="1:2" ht="17.25" customHeight="1">
      <c r="A49" s="135">
        <v>46307</v>
      </c>
      <c r="B49" s="137" t="s">
        <v>354</v>
      </c>
    </row>
    <row r="50" spans="1:2" ht="17.25" customHeight="1">
      <c r="A50" s="135">
        <v>46328</v>
      </c>
      <c r="B50" s="137" t="s">
        <v>355</v>
      </c>
    </row>
    <row r="51" spans="1:2" ht="17.25" customHeight="1">
      <c r="A51" s="135">
        <v>46342</v>
      </c>
      <c r="B51" s="137" t="s">
        <v>356</v>
      </c>
    </row>
    <row r="52" spans="1:2" ht="17.25" customHeight="1">
      <c r="A52" s="135">
        <v>46364</v>
      </c>
      <c r="B52" s="137" t="s">
        <v>357</v>
      </c>
    </row>
    <row r="53" spans="1:2" ht="17.25" customHeight="1">
      <c r="A53" s="135">
        <v>46381</v>
      </c>
      <c r="B53" s="137" t="s">
        <v>358</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2026-03-04T23:22:14Z</dcterms:modified>
</cp:coreProperties>
</file>
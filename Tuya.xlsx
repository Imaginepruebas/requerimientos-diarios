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79220621\Documents\REPORTEDIARIO\REPORTEDIARIO\"/>
    </mc:Choice>
  </mc:AlternateContent>
  <bookViews>
    <workbookView xWindow="0" yWindow="0" windowWidth="28800" windowHeight="12135"/>
  </bookViews>
  <sheets>
    <sheet name="EN PROCESO (Tuya)" sheetId="1" r:id="rId1"/>
    <sheet name="Hoja2" sheetId="2" state="hidden" r:id="rId2"/>
  </sheets>
  <definedNames>
    <definedName name="_xlnm._FilterDatabase" localSheetId="0" hidden="1">'EN PROCESO (Tuya)'!$A$1:$AN$138</definedName>
  </definedNames>
  <calcPr calcId="162913"/>
  <extLst>
    <ext uri="GoogleSheetsCustomDataVersion2">
      <go:sheetsCustomData xmlns:go="http://customooxmlschemas.google.com/" r:id="rId6" roundtripDataChecksum="lvSOJAmnbJl513UOCE1rD7zdD+BjojPjmdJyAbwqJUg="/>
    </ext>
  </extLst>
</workbook>
</file>

<file path=xl/calcChain.xml><?xml version="1.0" encoding="utf-8"?>
<calcChain xmlns="http://schemas.openxmlformats.org/spreadsheetml/2006/main">
  <c r="M138" i="1" l="1"/>
  <c r="H138" i="1"/>
  <c r="M137" i="1"/>
  <c r="H137" i="1"/>
  <c r="M136" i="1"/>
  <c r="H136" i="1"/>
  <c r="M135" i="1"/>
  <c r="H135" i="1"/>
  <c r="M134" i="1"/>
  <c r="H134" i="1"/>
  <c r="M133" i="1"/>
  <c r="H133" i="1"/>
  <c r="M132" i="1"/>
  <c r="H132" i="1"/>
  <c r="M131" i="1"/>
  <c r="H131" i="1"/>
  <c r="M130" i="1"/>
  <c r="H130" i="1"/>
  <c r="M129" i="1"/>
  <c r="H129" i="1"/>
  <c r="M128" i="1"/>
  <c r="H128" i="1"/>
  <c r="M127" i="1"/>
  <c r="H127" i="1"/>
  <c r="M126" i="1"/>
  <c r="H126" i="1"/>
  <c r="M125" i="1"/>
  <c r="H125" i="1"/>
  <c r="M124" i="1"/>
  <c r="H124" i="1"/>
  <c r="M123" i="1"/>
  <c r="H123" i="1"/>
  <c r="M122" i="1"/>
  <c r="H122" i="1"/>
  <c r="M121" i="1"/>
  <c r="H121" i="1"/>
  <c r="M120" i="1"/>
  <c r="H120" i="1"/>
  <c r="M119" i="1"/>
  <c r="H119" i="1"/>
  <c r="M118" i="1"/>
  <c r="H118" i="1"/>
  <c r="M117" i="1"/>
  <c r="H117" i="1"/>
  <c r="M116" i="1"/>
  <c r="H116" i="1"/>
  <c r="M115" i="1"/>
  <c r="H115" i="1"/>
  <c r="M114" i="1"/>
  <c r="H114" i="1"/>
  <c r="M113" i="1"/>
  <c r="H113" i="1"/>
  <c r="M112" i="1"/>
  <c r="H112" i="1"/>
  <c r="M111" i="1"/>
  <c r="H111" i="1"/>
  <c r="M110" i="1"/>
  <c r="H110" i="1"/>
  <c r="M109" i="1"/>
  <c r="H109" i="1"/>
  <c r="M108" i="1"/>
  <c r="H108" i="1"/>
  <c r="M107" i="1"/>
  <c r="H107" i="1"/>
  <c r="M106" i="1"/>
  <c r="H106" i="1"/>
  <c r="M105" i="1"/>
  <c r="H105" i="1"/>
  <c r="M104" i="1"/>
  <c r="H104" i="1"/>
  <c r="M103" i="1"/>
  <c r="H103" i="1"/>
  <c r="M102" i="1"/>
  <c r="H102" i="1"/>
  <c r="M101" i="1"/>
  <c r="H101" i="1"/>
  <c r="M100" i="1"/>
  <c r="H100" i="1"/>
  <c r="M99" i="1"/>
  <c r="H99" i="1"/>
  <c r="M98" i="1"/>
  <c r="H98" i="1"/>
  <c r="M97" i="1"/>
  <c r="H97" i="1"/>
  <c r="M96" i="1"/>
  <c r="H96" i="1"/>
  <c r="M95" i="1"/>
  <c r="H95" i="1"/>
  <c r="M94" i="1"/>
  <c r="H94" i="1"/>
  <c r="M93" i="1"/>
  <c r="H93" i="1"/>
  <c r="M92" i="1"/>
  <c r="H92" i="1"/>
  <c r="M91" i="1"/>
  <c r="H91" i="1"/>
  <c r="M90" i="1"/>
  <c r="H90" i="1"/>
  <c r="M89" i="1"/>
  <c r="H89" i="1"/>
  <c r="M88" i="1"/>
  <c r="H88" i="1"/>
  <c r="M87" i="1"/>
  <c r="H87" i="1"/>
  <c r="M86" i="1"/>
  <c r="H86" i="1"/>
  <c r="M85" i="1"/>
  <c r="H85" i="1"/>
  <c r="M84" i="1"/>
  <c r="H84" i="1"/>
  <c r="M83" i="1"/>
  <c r="H83" i="1"/>
  <c r="M82" i="1"/>
  <c r="H82" i="1"/>
  <c r="M81" i="1"/>
  <c r="H81" i="1"/>
  <c r="M80" i="1"/>
  <c r="H80" i="1"/>
  <c r="M79" i="1"/>
  <c r="H79" i="1"/>
  <c r="M78" i="1"/>
  <c r="H78" i="1"/>
  <c r="M77" i="1"/>
  <c r="H77" i="1"/>
  <c r="M76" i="1"/>
  <c r="H76" i="1"/>
  <c r="M75" i="1"/>
  <c r="H75" i="1"/>
  <c r="M74" i="1"/>
  <c r="H74" i="1"/>
  <c r="M73" i="1"/>
  <c r="H73" i="1"/>
  <c r="M72" i="1"/>
  <c r="H72" i="1"/>
  <c r="M71" i="1"/>
  <c r="H71" i="1"/>
  <c r="M70" i="1"/>
  <c r="H70" i="1"/>
  <c r="M69" i="1"/>
  <c r="H69" i="1"/>
  <c r="M68" i="1"/>
  <c r="H68" i="1"/>
  <c r="M67" i="1"/>
  <c r="H67" i="1"/>
  <c r="M66" i="1"/>
  <c r="H66" i="1"/>
  <c r="M65" i="1"/>
  <c r="H65" i="1"/>
  <c r="M64" i="1"/>
  <c r="H64" i="1"/>
  <c r="M63" i="1"/>
  <c r="H63" i="1"/>
  <c r="M62" i="1"/>
  <c r="H62" i="1"/>
  <c r="M61" i="1"/>
  <c r="H61" i="1"/>
  <c r="M60" i="1"/>
  <c r="H60" i="1"/>
  <c r="M59" i="1"/>
  <c r="H59" i="1"/>
  <c r="M58" i="1"/>
  <c r="H58" i="1"/>
  <c r="M57" i="1"/>
  <c r="H57" i="1"/>
  <c r="M56" i="1"/>
  <c r="H56" i="1"/>
  <c r="M55" i="1"/>
  <c r="H55" i="1"/>
  <c r="M54" i="1"/>
  <c r="H54" i="1"/>
  <c r="M53" i="1"/>
  <c r="H53" i="1"/>
  <c r="M52" i="1"/>
  <c r="H52" i="1"/>
  <c r="M51" i="1"/>
  <c r="H51" i="1"/>
  <c r="M50" i="1"/>
  <c r="H50" i="1"/>
  <c r="M49" i="1"/>
  <c r="H49" i="1"/>
  <c r="M48" i="1"/>
  <c r="H48" i="1"/>
  <c r="M47" i="1"/>
  <c r="H47" i="1"/>
  <c r="M46" i="1"/>
  <c r="H46" i="1"/>
  <c r="M45" i="1"/>
  <c r="H45" i="1"/>
  <c r="M44" i="1"/>
  <c r="H44" i="1"/>
  <c r="M43" i="1"/>
  <c r="H43" i="1"/>
  <c r="M42" i="1"/>
  <c r="H42" i="1"/>
  <c r="M41" i="1"/>
  <c r="H41" i="1"/>
  <c r="M40" i="1"/>
  <c r="H40" i="1"/>
  <c r="M39" i="1"/>
  <c r="H39" i="1"/>
  <c r="M38" i="1"/>
  <c r="H38" i="1"/>
  <c r="M37" i="1"/>
  <c r="H37" i="1"/>
  <c r="M36" i="1"/>
  <c r="H36" i="1"/>
  <c r="M35" i="1"/>
  <c r="H35" i="1"/>
  <c r="M34" i="1"/>
  <c r="H34" i="1"/>
  <c r="M33" i="1"/>
  <c r="H33" i="1"/>
  <c r="M32" i="1"/>
  <c r="H32" i="1"/>
  <c r="M31" i="1"/>
  <c r="H31" i="1"/>
  <c r="M30" i="1"/>
  <c r="H30" i="1"/>
  <c r="M29" i="1"/>
  <c r="H29" i="1"/>
  <c r="M28" i="1"/>
  <c r="H28" i="1"/>
  <c r="M27" i="1"/>
  <c r="H27" i="1"/>
  <c r="M26" i="1"/>
  <c r="H26" i="1"/>
  <c r="M25" i="1"/>
  <c r="H25" i="1"/>
  <c r="M24" i="1"/>
  <c r="H24" i="1"/>
  <c r="M23" i="1"/>
  <c r="H23" i="1"/>
  <c r="M22" i="1"/>
  <c r="H22" i="1"/>
  <c r="M21" i="1"/>
  <c r="H21" i="1"/>
  <c r="M20" i="1"/>
  <c r="H20" i="1"/>
  <c r="M19" i="1"/>
  <c r="H19" i="1"/>
  <c r="M18" i="1"/>
  <c r="H18" i="1"/>
  <c r="M17" i="1"/>
  <c r="H17" i="1"/>
  <c r="M16" i="1"/>
  <c r="H16" i="1"/>
  <c r="M15" i="1"/>
  <c r="H15" i="1"/>
  <c r="M14" i="1"/>
  <c r="H14" i="1"/>
  <c r="M13" i="1"/>
  <c r="H13" i="1"/>
  <c r="M12" i="1"/>
  <c r="H12" i="1"/>
  <c r="M11" i="1"/>
  <c r="H11" i="1"/>
  <c r="M10" i="1"/>
  <c r="H10" i="1"/>
  <c r="M9" i="1"/>
  <c r="H9" i="1"/>
  <c r="M8" i="1"/>
  <c r="H8" i="1"/>
  <c r="M7" i="1"/>
  <c r="H7" i="1"/>
  <c r="M6" i="1"/>
  <c r="H6" i="1"/>
  <c r="M5" i="1"/>
  <c r="H5" i="1"/>
  <c r="M4" i="1"/>
  <c r="H4" i="1"/>
  <c r="M3" i="1"/>
  <c r="H3" i="1"/>
  <c r="M2" i="1"/>
  <c r="H2" i="1"/>
</calcChain>
</file>

<file path=xl/sharedStrings.xml><?xml version="1.0" encoding="utf-8"?>
<sst xmlns="http://schemas.openxmlformats.org/spreadsheetml/2006/main" count="1016" uniqueCount="489">
  <si>
    <t>Asignado a</t>
  </si>
  <si>
    <t>ID REQ</t>
  </si>
  <si>
    <t xml:space="preserve">Requerimiento </t>
  </si>
  <si>
    <t xml:space="preserve">Descripcion req </t>
  </si>
  <si>
    <t>Actividad</t>
  </si>
  <si>
    <t>ESTADO</t>
  </si>
  <si>
    <t>% Avance</t>
  </si>
  <si>
    <t>Dias estimados desarrollo</t>
  </si>
  <si>
    <t>F.Asignado</t>
  </si>
  <si>
    <t>Fecha inicio</t>
  </si>
  <si>
    <t>F. estimada de entrega</t>
  </si>
  <si>
    <t>Finalizado</t>
  </si>
  <si>
    <t>Dias total desarrollo</t>
  </si>
  <si>
    <t>Fecha compromiso cliente</t>
  </si>
  <si>
    <t>FECHA PASO A TEST</t>
  </si>
  <si>
    <t>FECHA PASO A PRODUCCION</t>
  </si>
  <si>
    <t>DESCRIPCION DEL AVANCE</t>
  </si>
  <si>
    <t>Visible</t>
  </si>
  <si>
    <t>Faver</t>
  </si>
  <si>
    <t>1</t>
  </si>
  <si>
    <t>Migración Gestión Documental, Ajustar módulos</t>
  </si>
  <si>
    <t>Sistema Operativo, PHP</t>
  </si>
  <si>
    <t>PAUSADO</t>
  </si>
  <si>
    <t>Se encuentra pausado por el momendo debido a temas de definición de contrato con el cliente</t>
  </si>
  <si>
    <t>False</t>
  </si>
  <si>
    <t>Natalia</t>
  </si>
  <si>
    <t>1-1</t>
  </si>
  <si>
    <t>Pruebas Migración Gestión Documental</t>
  </si>
  <si>
    <t>Realizar pruebas con el fin de validar el correcto funcionamiento del aplicativo</t>
  </si>
  <si>
    <t>2</t>
  </si>
  <si>
    <t>Migración Legalizaciones y Anticipos Ajustar módulos</t>
  </si>
  <si>
    <t>2-1</t>
  </si>
  <si>
    <t>Pruebas Migración Leg y Anticipos</t>
  </si>
  <si>
    <t>9</t>
  </si>
  <si>
    <t>Reporte y validación de 9 incidentes via email</t>
  </si>
  <si>
    <t>Se realiza reporte de 9 incidentes luego de pruebas realizadas en el aplicativo
 Se valida y a la fecha han sido solucionados 5 incidentes</t>
  </si>
  <si>
    <t>3</t>
  </si>
  <si>
    <t>Migración Virtualización, Ajustar módulos</t>
  </si>
  <si>
    <t>Se encuentra pausado por el momendo debido a temas de definición de contrato con el cliente
02/12/2025: Este aplicativo ya se encuentra deshabilitado, no se tiene mas contrato con el cliente</t>
  </si>
  <si>
    <t>True</t>
  </si>
  <si>
    <t>3-1</t>
  </si>
  <si>
    <t>Pruebas Migración Virtualización</t>
  </si>
  <si>
    <t>Wilson</t>
  </si>
  <si>
    <t>4</t>
  </si>
  <si>
    <t>Incluir en la operación de anexos el API de pendiente catt</t>
  </si>
  <si>
    <t xml:space="preserve">Crear un cliente en nodejs que una vez que se detecten los tipos de anexo envíe vía API el detalle de acuerdo a cada solicitud.
</t>
  </si>
  <si>
    <t>FINALIZADO</t>
  </si>
  <si>
    <t>"Estamos a la espera de la instalación de una librería para conexión a PCO, pero es Tuya quien hace dicha instalación, pero aún no hay fecha.
11/07/2025: se tuvo una reunión en la cual realizaron una ampliación de requerimiento para que los anexos que no tengan una solicitud se queden en cola dos o tres días máximo, y cuando llegue la solicitud se indexen"</t>
  </si>
  <si>
    <t>5</t>
  </si>
  <si>
    <t>El código de oficina no debe ser obligatorio para indexar documentos desde la API</t>
  </si>
  <si>
    <t>El viernes 11 de julio, se tuvo una reunión en la cual realizaron una ampliación de requerimiento para que los anexos que no tengan una solicitud se queden en cola dos o tres días máximo, y cuando llegue la solicitud se indexen"</t>
  </si>
  <si>
    <t>27/06/2025: Se realizó modificación del codigo de oficina como opcional</t>
  </si>
  <si>
    <t>6</t>
  </si>
  <si>
    <t>Actualizar documentación para la operación de anexos</t>
  </si>
  <si>
    <t>27/06/2025: Se realizaron ajustes necesarios y se modificó el documento con respecto a mensajes de error</t>
  </si>
  <si>
    <t>7</t>
  </si>
  <si>
    <t>Se requiere una nueva operación que reciba la solicitud y sus anexos</t>
  </si>
  <si>
    <t>Este proceso en una unica operación, la cual debe consumir el API de pendientes para registrar los documentos enviados</t>
  </si>
  <si>
    <r>
      <rPr>
        <b/>
        <sz val="9"/>
        <color theme="1"/>
        <rFont val="Arial"/>
      </rPr>
      <t>24/07/2025:</t>
    </r>
    <r>
      <rPr>
        <sz val="9"/>
        <color theme="1"/>
        <rFont val="Arial"/>
      </rPr>
      <t xml:space="preserve"> Este pundo depende del cliente que se construye con el punto 1. la funcionalidad de envio a pendientes serviria para ambos servicios.
</t>
    </r>
    <r>
      <rPr>
        <b/>
        <sz val="9"/>
        <color theme="1"/>
        <rFont val="Arial"/>
      </rPr>
      <t>13/08/2025:</t>
    </r>
    <r>
      <rPr>
        <sz val="9"/>
        <color theme="1"/>
        <rFont val="Arial"/>
      </rPr>
      <t xml:space="preserve"> en el momento el cliente se encuentra haciendo pruebas de la indexación de anexos, y la cola de espera.
En cuanto el 3 punto, estamos en espera de la instalación de una libreria para el consumo de un servicio de Soap, esto ya que por medio de métodos manuales no fue posible para todos los casos. Apenas tenga la autorización lo único que haría falta es desarrollar el cliente y traer los datos que se requieren para indexar la solicitud y sus anexos.
También en la reunión de entrega surgieron unas validaciones adicionales, pero de esa parte no nos han enviado el requerimiento ya que depende de definiciones de ellos.</t>
    </r>
    <r>
      <rPr>
        <b/>
        <sz val="9"/>
        <color theme="1"/>
        <rFont val="Arial"/>
      </rPr>
      <t xml:space="preserve">
20/08/2025:</t>
    </r>
    <r>
      <rPr>
        <sz val="9"/>
        <color theme="1"/>
        <rFont val="Arial"/>
      </rPr>
      <t xml:space="preserve"> con respecto a el desarrollo del Api, se realizó lo requerido, sin embargo surgió un cambio muy necesario al recibir los documentos, es el siguiente: "Espero que te encuentres bien. Después de revisar la duda planteada, te cuento que:
El control para la operación de .zip
Si la solicitud existe - no se vuelve a indexar
Si los anexos existen – no se vuelven a indexar
Si los anexos no existen – se adicionan a los documentos.
En caso de que todos los documentos existan devolver:  No se requieren agregar nuevamente los documentos.
Si, se agrega al menos un documento: Los anexos faltantes fueron agregados a la solicitud.
Si, todos se agregan: Proceso exitoso."
Voy a agregar la lógica para estas validaciones y realizar pruebas nuevamente con la usuaria, con esto daríamos por finalizado este desarrollo, solo quedaría actualizar la documentación y el paso a producción.
</t>
    </r>
    <r>
      <rPr>
        <b/>
        <sz val="9"/>
        <color theme="1"/>
        <rFont val="Arial"/>
      </rPr>
      <t>22/08/2025:</t>
    </r>
    <r>
      <rPr>
        <sz val="9"/>
        <color theme="1"/>
        <rFont val="Arial"/>
      </rPr>
      <t xml:space="preserve"> en cuanto al Api, se realizó la entrega del último método con todos los ajustes y validaciones requeridas, adicionalmente se entregó la documentación técnica al día
Queda la implementación por parte de ellos, pruebas de integración y paso a producción.
</t>
    </r>
    <r>
      <rPr>
        <b/>
        <sz val="9"/>
        <color theme="1"/>
        <rFont val="Arial"/>
      </rPr>
      <t xml:space="preserve">27/08/2025: </t>
    </r>
    <r>
      <rPr>
        <sz val="9"/>
        <color theme="1"/>
        <rFont val="Arial"/>
      </rPr>
      <t>Se revisa en conjunto con el cliente  de funcionamiento del ultimo método, punto 4, se realizan ajustes de forma en la generación de mensajes de éxito y se ajusta documentación 
Se realiza ajuste para q reciba solamente documentación de la solicitud sin anexo, esto en caso de falla al momento de la generación de los anexos.</t>
    </r>
  </si>
  <si>
    <t>8</t>
  </si>
  <si>
    <t>Quitar conexiones y modificar método para recibir los datos nuevos:</t>
  </si>
  <si>
    <t>Ddefinieron que no vamos a realizar la conexión si no que ellos nos envían los datos necesarios,</t>
  </si>
  <si>
    <r>
      <rPr>
        <b/>
        <sz val="9"/>
        <color theme="1"/>
        <rFont val="Arial"/>
      </rPr>
      <t xml:space="preserve">14/08/2025: </t>
    </r>
    <r>
      <rPr>
        <sz val="9"/>
        <color theme="1"/>
        <rFont val="Arial"/>
      </rPr>
      <t>En cuanto a los desarrollo del Api, ayer definieron que no vamos a realizar la conexión si no que ellos nos envían los datos necesarios, les expliqué la lógica al respecto y como nos deben enviar los datos, surge el cambio en el servicio para recibir y validar los datos.
En este caso no quisieron avalar la librería solicitada y para poder poner la que nos ofrecieron nos tocaba migrar todo el Api.
En este caso ellos deben validar y enviar la información del producto a ingresar, realmente no es mucho lo que deben hacer para consultar y traer los datos que requerimos
En otras palabras es algo que genera un impacto muy bajo de quien lo deba hacer.</t>
    </r>
  </si>
  <si>
    <t>101</t>
  </si>
  <si>
    <t>Consulta Solicitudes Pendientes por Validar Venta Cartera Junio</t>
  </si>
  <si>
    <t>Se requiere que con la base de datos que comparten, identificar si tienen documento de solicitud de crédito en Imagine</t>
  </si>
  <si>
    <t>Se realiza validación en el sistema y se envía respuesta al usuario solicitante</t>
  </si>
  <si>
    <t>111</t>
  </si>
  <si>
    <t>Validación Clientes con autorización tratamiento de datos</t>
  </si>
  <si>
    <t>Validación de 36665 clientes, por medio de archivo adjunto, donde se pueda identificar que clientes cuentan con una autorización de tratamiento de datos personales</t>
  </si>
  <si>
    <t>121</t>
  </si>
  <si>
    <t>Nueva operación que reciba solicitud y anexos</t>
  </si>
  <si>
    <t>En la opción de Consulta Área de crédito, validar si es posible, donde se realiza la comparación que se pueda discriminar cuando en una misma familia el cliente tenga varias solicitudes.</t>
  </si>
  <si>
    <t>oct 01: se tuvo reunión con usuarios para alcaración de dudas con respecto a requerimientos
oct 2: se determina un tiempo de desarrollo de 4 semanas
oct 10: se realizan pruebas de cambios ejecutados en el aplicativo
oct 16: se realiza envio de evidencias de pruebas realizadas al cliente, con el fin de inicio de pruebas por parte de ellos. 
oct 21: el cliente indica que se finalizan pruebas por parte de ellos, siendo exitosas; estamos a la espera de fecha y aval para paso a producción
nov 13: se realiza el paso a producción, siendo exitoso</t>
  </si>
  <si>
    <t>131</t>
  </si>
  <si>
    <t>Crear opción para generación informe Morosos</t>
  </si>
  <si>
    <t>Usuario envía archivo con clientes mororos de créditos, para validar soportes existentes en Imagine para los números de cédula enviados. Los documentos son Solicitud de crédito o actualización de datos del deudor y Anexo1 aceptación, autorización.</t>
  </si>
  <si>
    <t>Esta pendiente de aprobación por Tuya</t>
  </si>
  <si>
    <t>141</t>
  </si>
  <si>
    <t>Realizar trazabilidad de las solicitudes que anulan y desanulan de los documentos en los anexos.</t>
  </si>
  <si>
    <t>Hoy en día se cuenta con un log de solo 10 días, pero en el nuevo requerimiento se solicita que no tenga tiempo límite.</t>
  </si>
  <si>
    <t>151</t>
  </si>
  <si>
    <t>Retirar candado consulta</t>
  </si>
  <si>
    <t>Se solicita retirar el candado que se tiene actualmente en la consulta inicial, debido a que dicha opción no se encuentra actualizada y se tiene “consulta área de crédito“ para realizar el proceso de comparación</t>
  </si>
  <si>
    <t>oct 01: se tuvo reunión con usuarios para alcaración de dudas con respecto a requerimientos
oct 10: se realizan pruebas de cambios ejecutados en el aplicativo
oct 16: se realiza envio de evidencias de pruebas realizadas al cliente, con el fin de inicio de pruebas por parte de ellos. 
oct 21: el cliente indica que se finalizan pruebas por parte de ellos, siendo exitosas; estamos a la espera de fecha y aval para paso a producción
nov 13: se realiza el paso a producción, siendo exitoso</t>
  </si>
  <si>
    <t>161</t>
  </si>
  <si>
    <t>Nueva opción consulta área crédito</t>
  </si>
  <si>
    <t>Se debe crear un nuevo método en el API en el cual se recibe archivo .zip y adicional el listado de tipos de documento que contiene de manera que se agregue un nuevo lote con un documento principal y sus anexos y adicionalmente se reporte a PCO vía API REST los documentos según configuración.</t>
  </si>
  <si>
    <t>171</t>
  </si>
  <si>
    <t>Solicitud jhon Humberto</t>
  </si>
  <si>
    <t>Ayudar a Jhon Humberto para validar una solicitud en Ambiente de pruebas por que tiene malo el causal desde PCO</t>
  </si>
  <si>
    <t xml:space="preserve">16/07/2025: se tuvo reunión en la cual dieron contexto de las pruebas que realizaron y que les esta fallando
17/07/2025: Se realiza validaciones, se determina que en las p ruebas que realizaron se esta recibiendo codigos no parametrizados para la solicitud que tratan de procesar. </t>
  </si>
  <si>
    <t>181</t>
  </si>
  <si>
    <t>Consulta solicitudes Venta Cartera</t>
  </si>
  <si>
    <t>16/07/2025: se tuvo reunión para validación con el usuario para validar bien la informaciòn que requieren.
17/07/2025: luego de validar la información que se brindo en la reunión se genero el informe y se envío al usuario solicitante</t>
  </si>
  <si>
    <t>191</t>
  </si>
  <si>
    <t>Urgente FGA y FNG Solicitud soportes y base morosos</t>
  </si>
  <si>
    <t>Generar por favor link de descarga de documentos que requeire el equipo de operaiones para un proceso de la compañia. Adjuntan archivo</t>
  </si>
  <si>
    <t>201</t>
  </si>
  <si>
    <t xml:space="preserve">Creación Ofiicna </t>
  </si>
  <si>
    <t>Se solicita creación de nueva oficina por apertura de nueva sede</t>
  </si>
  <si>
    <t>211</t>
  </si>
  <si>
    <t>Solicitud de encriptar un cliente secret que se usa consumcir un Api, es para solventar un riesgo de vulnerabilidad</t>
  </si>
  <si>
    <t>Es una solicitud para mitigar una vulnerabilidad en un client secret, este se usa para consumir las APIs, por politicas de seguridad se pidio que no se almacene en texto plano, se debe encriptar para evitar la exposición del valor real del secret.</t>
  </si>
  <si>
    <t>221</t>
  </si>
  <si>
    <t>Solicitud de validación de unos host de servidores linux de producción, preguntan que si son necesario para funcionar o que si se pueden quitar.</t>
  </si>
  <si>
    <t>Es un reporte que nos realizan desde infraestructura que en los ambientes productivos se tiene asociado a la IP local de lo servidores un hostname personalizado, nos indican que si no es necesario para nuestros procesos deben retirarlo.</t>
  </si>
  <si>
    <t>22/07/2025: se valida la solicitud del cliente, se socializa con Don Hernan y Jenry, y se les indica que nosotros solo debemos confirmar si se usa o si pueden retirarlo, ya que no deberia estar configurado, ya que ellos tienen unas configuraciones ya establecidas para los nombres de host en los servidores.</t>
  </si>
  <si>
    <t>Faver y 
Natalia</t>
  </si>
  <si>
    <t>231</t>
  </si>
  <si>
    <t>Solicitud soportes y bases de morosos a corte 23 julio</t>
  </si>
  <si>
    <t>Solicitud de usuario para generar base de morosos...como este es un reporte que se genera dos veces al mes, ya se tiene el query para generar la información</t>
  </si>
  <si>
    <t>25/07/2025: Este requerimiento no se pudo validar dado atender hoy debido a que se ha realizado el acompañamiento y seguimiento en Colpatria por la novedad presentada</t>
  </si>
  <si>
    <t>241</t>
  </si>
  <si>
    <t>Solicitud soportes y bases de morosos a corte 31 julio</t>
  </si>
  <si>
    <t>251</t>
  </si>
  <si>
    <t>Certificados digitales</t>
  </si>
  <si>
    <t>certificados digitales para los aplicativos de virtualizacion y legalizaciones para el día 13 de agosto con tecnología</t>
  </si>
  <si>
    <t>14/08/2025: Se informa que el día 13 de agosto, se hizo el cambio de los certificados,  pero un certificado estaba mal, ya se reporto y esperamos nos envien de nuevo para realizar el ajuste antes del 16 de agosto</t>
  </si>
  <si>
    <t>261</t>
  </si>
  <si>
    <t>Base de datos para recolección de extractos bancarios</t>
  </si>
  <si>
    <t>Nos solitan entregar un paquete con los extractos bancarios de 10mil solicitudes, para un proceso del cliente de un modelo que van a probar</t>
  </si>
  <si>
    <t xml:space="preserve">19/08/2025: se realiza sesión para la generaciónn de la información pero estaba quedando muy pesado el archivo, ya que eran demasiados registros,  por lo que la entrega se va a realizar por paquetes para evitar problemas con la red
20/08/2025: se realiza generación de varios paquetes para entregar información al usuario.
</t>
  </si>
  <si>
    <t>271</t>
  </si>
  <si>
    <t>solicitud para generar un informe para temas de venta de cartea</t>
  </si>
  <si>
    <t>Realizar consulta de clientes del mes de junio.</t>
  </si>
  <si>
    <t>281</t>
  </si>
  <si>
    <t>Solicitud soportes y bases de morosos a corte 31 agosto</t>
  </si>
  <si>
    <t>291</t>
  </si>
  <si>
    <t>Creacion anexo</t>
  </si>
  <si>
    <t>Creación documento para varias familias</t>
  </si>
  <si>
    <t>Se realiza la asignación del anexo en las familias y se le informa al usuario</t>
  </si>
  <si>
    <t>292</t>
  </si>
  <si>
    <t>Solicitud soportes y bases de morosos a corte 23 septiembre</t>
  </si>
  <si>
    <t>293</t>
  </si>
  <si>
    <t>Habilitar función de anular el pagaré</t>
  </si>
  <si>
    <t>se requiere esta opción en el aparte de anexos, con el fin de que no se devuelva la acción de anulación. Se debe informar al usuario si esta seguro de realizar la anulación.</t>
  </si>
  <si>
    <t>PRUEBAS CLIENTE</t>
  </si>
  <si>
    <t>oct 01: se tuvo reunión con usuarios para alcaración de dudas con respecto a requerimientos
oct 2: se determina un tiempo de desarrollo de 4 semanas
oct 16: Faver realiza validación del requerimiento, con el fin de tener mas claridad de la solicitud por parte del cliente y el impacto que genera en el aplicativo 
oct 23: Se realizan pruebas y se envían evidencias al cliente para pruebas por parte de ellos
oct 31: el cliente informa que las pruebas por parte de ellos fueron exitosas, se esta a la espera del paso a producción
Marzo 06:De parte del cliente completaron las pruebas pero solo se paso una parte a producción
Ellos deben terminar un ajuste y volver a probar el pendiente</t>
  </si>
  <si>
    <t>294</t>
  </si>
  <si>
    <t>Ampliar plazo</t>
  </si>
  <si>
    <t>en la opción de informe de documentos eliminados, se requiere que sea de al menos 6 meses hacia atrás, para revisión de anulación de documentos</t>
  </si>
  <si>
    <t>295</t>
  </si>
  <si>
    <t>Solicitudes Venta Cartera en Imagine</t>
  </si>
  <si>
    <t>Realizar consulta de clientes.</t>
  </si>
  <si>
    <t>296</t>
  </si>
  <si>
    <t>Solicitud soportes y bases de morosos a corte 23 octubre</t>
  </si>
  <si>
    <t>Se realizo gestión de proceso y se envío informacion al usuario</t>
  </si>
  <si>
    <t>297</t>
  </si>
  <si>
    <t>Realizar consulta de clientes., primer paquete</t>
  </si>
  <si>
    <t>298</t>
  </si>
  <si>
    <t>Realizar consulta de clientes., segundo paquete</t>
  </si>
  <si>
    <t>Se deben coordinar tiempos con Tuya</t>
  </si>
  <si>
    <t>299</t>
  </si>
  <si>
    <t>Soporte Caso Sarita</t>
  </si>
  <si>
    <t xml:space="preserve">Cliente radica caso en plataforma </t>
  </si>
  <si>
    <t>Se valida caso y se genera respuesta, indicando que no es error de nosotros.</t>
  </si>
  <si>
    <t>300</t>
  </si>
  <si>
    <t>301</t>
  </si>
  <si>
    <t>Cambiar Servidor</t>
  </si>
  <si>
    <t>Se debe realilzar cambio de servidor donde se encuenta aplicativo</t>
  </si>
  <si>
    <t>Se deben coordinar tiempos con Tuya
24/02/2026: Se trae copia del aplicativo al servidor donde va a quedar</t>
  </si>
  <si>
    <t>302</t>
  </si>
  <si>
    <t>Montar nuevo volumen</t>
  </si>
  <si>
    <t>Se debe realizar montaje de nuevo volumen de almacenamiento</t>
  </si>
  <si>
    <t>Se deben solicitar permisos para los servidores de almacenamiento
01/12/2025: Se realiza modificación de las configuraciones de los aplicativos y API para que tomen el nuevo volumen de almacenamiento</t>
  </si>
  <si>
    <t>303</t>
  </si>
  <si>
    <t>oct 04: Se informa que son temas de permisos y deben solicitarlos</t>
  </si>
  <si>
    <t>304</t>
  </si>
  <si>
    <t>Soporte Documentos Venta Cartera</t>
  </si>
  <si>
    <t>Se revisa con el area de soporte documentos que se entregaron para la venta de cartera</t>
  </si>
  <si>
    <t>oct 04: Se revisan los documentos indicados por el usuario, se validan y se da respuesta a las inquietudes que se presentaban</t>
  </si>
  <si>
    <t>305</t>
  </si>
  <si>
    <t>Reporte Clientes con Guia ed Financiera</t>
  </si>
  <si>
    <t>Solicitud de usuario para validar documentos para cobros</t>
  </si>
  <si>
    <t>306</t>
  </si>
  <si>
    <t xml:space="preserve">Soporte </t>
  </si>
  <si>
    <t xml:space="preserve">Radican caso </t>
  </si>
  <si>
    <t>21/11/2025:Usuario radica caso con inconvenientes con solicitud, se valida y se evidencia que fue eliminada por parte de Tuya</t>
  </si>
  <si>
    <t>307</t>
  </si>
  <si>
    <t>24/11/2025: Se da respuesta al caso, no son fallas ni errores de Imagine, se solicita valdiar con el area encargada.</t>
  </si>
  <si>
    <t>308</t>
  </si>
  <si>
    <t>Soporte</t>
  </si>
  <si>
    <t>Racican caso</t>
  </si>
  <si>
    <t>309</t>
  </si>
  <si>
    <t>Actualizar documentación conexiones externas</t>
  </si>
  <si>
    <t>Se requiere actualizar documentación de conexiones con el cliente</t>
  </si>
  <si>
    <t>26/11/2025: A raiz del retiro de workflow del cliente, se esta llevando a cabo la actualización de la documentación correspondiente
26/11/2025: se realiza el envío de la información a la usuaria</t>
  </si>
  <si>
    <t>310</t>
  </si>
  <si>
    <t>Ajustar Reporte Documentos</t>
  </si>
  <si>
    <t>Se solicita adicionar un documento que no esta saliendo en el reporte por documento</t>
  </si>
  <si>
    <t>12/12/2025: Se realiza ajuste del proceso de egeneración de los informes por documentos, familias y otras, el problema se debia al campo de anulado que no solo tenia en cuenta valores null y no los que estaban en 0. De acuerdo con las pruebas todo quedo de forma correcta</t>
  </si>
  <si>
    <t>311</t>
  </si>
  <si>
    <t>Ajustes API</t>
  </si>
  <si>
    <t>Se requiere realizar ajustes del API, los anexos que quedan como pendientes se agregan cuando llega la solicitud, pero no se esta enviando el reporta al API del Cliente.</t>
  </si>
  <si>
    <t>01/12/2025: Se realizo ajustes del API, se realiza el paso a producción con pruebas exitosas</t>
  </si>
  <si>
    <t>312</t>
  </si>
  <si>
    <t>Solicitud soportes y bases de morosos a corte 25 noviembre</t>
  </si>
  <si>
    <t>27/11/2025:Se realiza la generación del reporte y se envía al usuario solicitante</t>
  </si>
  <si>
    <t>313</t>
  </si>
  <si>
    <t>Solicitud busqueda de documentos</t>
  </si>
  <si>
    <t>Radican solicitud para busqueda de 183 mil clientes para preventa de cartera</t>
  </si>
  <si>
    <t>01/12/2025: Se genera el reporte y se envia correo al usuario solicitante</t>
  </si>
  <si>
    <t>314</t>
  </si>
  <si>
    <t>Soporte Casos Sarita</t>
  </si>
  <si>
    <t>Se validan casos y se genera respuesta, indicando que no es error de nosotros.</t>
  </si>
  <si>
    <t>315</t>
  </si>
  <si>
    <t>Inactivación Aplicativo</t>
  </si>
  <si>
    <t>Se realiza inactivacion aplicativo</t>
  </si>
  <si>
    <t>Se realiza la inactivacion del aplicativo por terminación de contrato</t>
  </si>
  <si>
    <t>316</t>
  </si>
  <si>
    <t xml:space="preserve">Clientes radican casos en plataforma </t>
  </si>
  <si>
    <t>317</t>
  </si>
  <si>
    <t>318</t>
  </si>
  <si>
    <t>319</t>
  </si>
  <si>
    <t>Solicitud busqueda de documentos Preventa</t>
  </si>
  <si>
    <t>Solicitud de usuario para consultar lista clientes para preventas</t>
  </si>
  <si>
    <t>Se gestiona solicitud del cliente</t>
  </si>
  <si>
    <t>320</t>
  </si>
  <si>
    <t>321</t>
  </si>
  <si>
    <t>Reunión para validación de Caso reportado por usuario en aplicativo</t>
  </si>
  <si>
    <t>Se realiza reunión con usuario para explicación de respuesta enviada a caso radicado</t>
  </si>
  <si>
    <t>Se realiza reunión con usuario</t>
  </si>
  <si>
    <t>322</t>
  </si>
  <si>
    <t>Reunión para Revision de Solicitudes Indexadas con una Familia que no corresponde</t>
  </si>
  <si>
    <t>Se realiza reunión las personas del proceso, se revisan como es el proceso de PCO y la información que se enctrega al consultar una solicitud</t>
  </si>
  <si>
    <t>18/12/2025: Se realiza reunión con las personas del cliente, se da claridad en el proceso, se hace seguimiento de varios casos y asi determinar en donde se esta presentando el problema</t>
  </si>
  <si>
    <t>323</t>
  </si>
  <si>
    <t>Solicitud soportes y bases de morosos a corte 20 diciembre</t>
  </si>
  <si>
    <t xml:space="preserve">Se realiza envio de informe a usuario con información </t>
  </si>
  <si>
    <t>324</t>
  </si>
  <si>
    <t>325</t>
  </si>
  <si>
    <t>Natalia y Faver</t>
  </si>
  <si>
    <t>326</t>
  </si>
  <si>
    <t>Se validan casos y se genera respuesta</t>
  </si>
  <si>
    <t>327</t>
  </si>
  <si>
    <t>Transferencia Codigo Imagine</t>
  </si>
  <si>
    <t>Tarea para el proceso de extracción del código fuente de los aplicativos para custodia de Imagine de forma externa</t>
  </si>
  <si>
    <t>30/12/2025: Se realizo el proceso para la carga y transferencia del codigo de Imagine fuera del entorno del cliente</t>
  </si>
  <si>
    <t>328</t>
  </si>
  <si>
    <t>Soporte Servidor Contigencia</t>
  </si>
  <si>
    <t>Solicitan ayuda a Imagine para revisar el estado del servicio de backups de un servidor de contingencia</t>
  </si>
  <si>
    <t>31/12/2025: Se realiza la validación con el area encargada y se brinda colaboración para volver a inciar el servicio el cual quedo inactivo luego de un reinicio</t>
  </si>
  <si>
    <t>329</t>
  </si>
  <si>
    <t>330</t>
  </si>
  <si>
    <t>Soporte Imagine</t>
  </si>
  <si>
    <t>Solicitaron revision de reporte de imagenes eliminadas ya que no encuentran las imagenes</t>
  </si>
  <si>
    <t>05/01/2026: Se realizan las validaciones sobre las solicitudes reprotadas, se hace un analisis de los los y se brinda la información sobre el proceso para las imagenes eliminadas y como funciona la revisión de los logs.</t>
  </si>
  <si>
    <t>331</t>
  </si>
  <si>
    <t>Ajuste Log API Imagine</t>
  </si>
  <si>
    <t>Se recibe requerimiento en el cual se solicita ajustar los logs del API de Imagine para que guarde el body que se esta enviando en las peticiones que fallan al entregar documentos al servicio del cliente</t>
  </si>
  <si>
    <t>PENDIENTE</t>
  </si>
  <si>
    <t>332</t>
  </si>
  <si>
    <t>Soporte Usuario</t>
  </si>
  <si>
    <t>Reunion con Usuario</t>
  </si>
  <si>
    <t>Se realiza reunion con usuario para validación de caso presentado en aplicativo, se da solucion</t>
  </si>
  <si>
    <t>333</t>
  </si>
  <si>
    <t>Solicitud Reporte de Existencia Guia Financiera</t>
  </si>
  <si>
    <t>Se solicita un reporte de existencias de guias financieras para temas de cobranza</t>
  </si>
  <si>
    <t>09/01/2026: Se genera el reporte con la información y se envia al usuario.</t>
  </si>
  <si>
    <t>334</t>
  </si>
  <si>
    <t>Se solicita un reporte de existencias de guias financieras</t>
  </si>
  <si>
    <t>15/01/2026: Se genera el reporte con la información y se envia al usuario.</t>
  </si>
  <si>
    <t>335</t>
  </si>
  <si>
    <t xml:space="preserve">Solicitud Reporte de Existencia Guia Financiera </t>
  </si>
  <si>
    <t>Se solicita un reporte de existencias de guias financieras, para analisis</t>
  </si>
  <si>
    <t>336</t>
  </si>
  <si>
    <t>13/01/2026: Se validan casos y se genera respuesta</t>
  </si>
  <si>
    <t>337</t>
  </si>
  <si>
    <t>19/01/2026: Se validan casos y se genera respuesta</t>
  </si>
  <si>
    <t>338</t>
  </si>
  <si>
    <t>Eliminar Documentos</t>
  </si>
  <si>
    <t>Se recibe un requerimiento con aprobación del área de credito para que se eliminen documentos de una solicitud que fueron cargados de forma erronea a la solicitud que eran de otra</t>
  </si>
  <si>
    <t>19/01/2026: Se realiza proceso de eliminación de las imagenes en la base de datos y se cierra el requerimiento del cliente.</t>
  </si>
  <si>
    <t>339</t>
  </si>
  <si>
    <t>340</t>
  </si>
  <si>
    <t>Modicar Tarea Programada</t>
  </si>
  <si>
    <t>Se solicita la modificación de los tiempos de ejecución de la tarea programada para el procesamiento de los ADTP (Autorizacion de Tratamiento Datos Personales)</t>
  </si>
  <si>
    <t>21/01/2026: Se realiza ajuste en la secuencia de ejecucion de la tarea programda, de acuerdo con lo solicitado en el requerimiento.</t>
  </si>
  <si>
    <t>341</t>
  </si>
  <si>
    <t>26/01/2026: Se realiza validacion del caso, se realizan pruebas, se hace un escalamiento y con ayuda del cliente se da solución y se cierra el caso.</t>
  </si>
  <si>
    <t>342</t>
  </si>
  <si>
    <t>Reunión Seguimiento</t>
  </si>
  <si>
    <t xml:space="preserve">Se realiza reunión con cliente para seguimiento </t>
  </si>
  <si>
    <t xml:space="preserve">26/01/2026: Se realiza reunión con el cliente en la cual se lleva a cabo seguimiento de casos radicados en plataforma, y requerimientos pendientes. </t>
  </si>
  <si>
    <t>343</t>
  </si>
  <si>
    <t>27/01/2026: Se realiza validacion del caso, se hace un escalamiento debido a la falta de evidencia e información para poder revisar.</t>
  </si>
  <si>
    <t>Faver y Natalia</t>
  </si>
  <si>
    <t>344</t>
  </si>
  <si>
    <t>Solicitud soportes y bases de morosos a corte 22 Enero</t>
  </si>
  <si>
    <t>28/01/2026: Se realiza proceso de generacion de documentación para el reporte de morosos del mes de Enero de acuerdo a la solicitud, se entrega información.</t>
  </si>
  <si>
    <t>345</t>
  </si>
  <si>
    <t>Validación Reglas de Indexacion API</t>
  </si>
  <si>
    <t>Se solicita la revision de la regla del API de Imagine para la radicación de anexos, se busca saber si un anexo de una solicitud fue cargado el sistema no lo deja radicar nuevamente</t>
  </si>
  <si>
    <t>346</t>
  </si>
  <si>
    <t>30/01/2026: Se realiza validación del caso y se da respuesta al incidente reportado.</t>
  </si>
  <si>
    <t>347</t>
  </si>
  <si>
    <t>Documentos Creditos Personal</t>
  </si>
  <si>
    <t>Se solicita por parte del cliente unos documentos de creditos de personal que no estan en Gestion DOcumental, por lo cual se requiere obtenerlos desde la fuente donde se gardaron en el aplicativo de Creditos de Personal. Esto es para atender una solicitudes de evicencia para revisoria.</t>
  </si>
  <si>
    <t>30/01/2026: Se realiza la consulta y se envian los documentos como respuesta al correo con la solicitud para atender temas de revisoria.</t>
  </si>
  <si>
    <t>348</t>
  </si>
  <si>
    <t>349</t>
  </si>
  <si>
    <t>Faver Lopez</t>
  </si>
  <si>
    <t>350</t>
  </si>
  <si>
    <t>Solicitud Investigacion</t>
  </si>
  <si>
    <t>Se requiere información relacionado a la anulacion de unos documentos, esto por una investigacion del area de antifraude</t>
  </si>
  <si>
    <t xml:space="preserve">11/02/2026: Se realiza la consulta de información y se da respuesta a quien solicita los datos sobre el cliente y el usuario que proceso la solicitud </t>
  </si>
  <si>
    <t>351</t>
  </si>
  <si>
    <t>352</t>
  </si>
  <si>
    <t>353</t>
  </si>
  <si>
    <t>Reunion Area Anti Fraude</t>
  </si>
  <si>
    <t>Se tuvo reunion con persona del area antifraude para ver informes y log que se les puede proporcionara cceso para los procesos que ellos realizan</t>
  </si>
  <si>
    <t>13/02/2025: Se queda pendiente definir si se pueden mejorar algunos reportes</t>
  </si>
  <si>
    <t>354</t>
  </si>
  <si>
    <t>355</t>
  </si>
  <si>
    <t>Reporte Venta Cartera</t>
  </si>
  <si>
    <t>Solicitan entregar un reporte de documentos para validar la posibilidad para venta de cartera</t>
  </si>
  <si>
    <t>356</t>
  </si>
  <si>
    <t>Solicitud soportes y bases de morosos a corte 23 febrero</t>
  </si>
  <si>
    <t>26/02/2026: Se realiza proceso de generacion de documentación para el reporte de morosos del mes de Febrero de acuerdo a la solicitud, se entrega información.</t>
  </si>
  <si>
    <t>357</t>
  </si>
  <si>
    <t>02/03/2026: Se realiza la validación del caso, se reporta al área encargada ya que no es un error de Imagine y se da solución al usuario.</t>
  </si>
  <si>
    <t>358</t>
  </si>
  <si>
    <t>359</t>
  </si>
  <si>
    <t>Reunión Seguimiento Febrero</t>
  </si>
  <si>
    <t>Reunión mensual de seguimiento a incidentes radicados a Imagine</t>
  </si>
  <si>
    <t>05/03/2026: Se da siguimiento con el cliente a los casos recibidos el mes de febrero, se establecen compromisos de Imagine para entregar informacion de casos frecuentes.</t>
  </si>
  <si>
    <t>360</t>
  </si>
  <si>
    <t>Enviar Reporte Casos Mas Escalados a Imagine</t>
  </si>
  <si>
    <t>Se enviara un reporte detallado en el que informara la casuistica mas escaladas en Servicenow, en las cuales el usuario es el responsable directo de dar la solución sin necesidad de realizar un escalamiento adicional</t>
  </si>
  <si>
    <t>06/03/2026: se realiza informe y se envia al usuario solicitante, se esta a la espera de revisión.</t>
  </si>
  <si>
    <t>Faver Y Natalia</t>
  </si>
  <si>
    <t>361</t>
  </si>
  <si>
    <t>Soporte 3 Casos Sarita</t>
  </si>
  <si>
    <t>Clientes radican 3 casos en plataforma de servicenow</t>
  </si>
  <si>
    <t>09/03/2026: Se realiza la revision y validacion de cada uno de los casos asignados a Imagine, se realizan las gestiones correspondientes ya que no eran tema de Imagine, el cliente realiza las correcciones y se procede a dar respuesta a los usuarios que radicaron los incidentes.</t>
  </si>
  <si>
    <t>362</t>
  </si>
  <si>
    <t>Revision Servicios en Sala AZUL</t>
  </si>
  <si>
    <t>el cliente solicita a imagine en sala azul para revisar incidente de afectacion general en las dematerialización de pagares</t>
  </si>
  <si>
    <t>09/03/2026: Se realiza el acompañamineto por parte de Imagine, se realizan todas las validaciones y se descarta fallas de nuestro aplicativo, se entregan evidencias de los errores de consumo del servicio de pagare el cual es de otro proveedor.</t>
  </si>
  <si>
    <t>363</t>
  </si>
  <si>
    <t>12/03/2026: Se realiza la validación del caso y se da solución al usuario.</t>
  </si>
  <si>
    <t>364</t>
  </si>
  <si>
    <t>Plan de Continuidad</t>
  </si>
  <si>
    <t>Se requiere realizar el proceso de pruebas del plan de continuidad con el cliente, por lo cual se estara trabajando en contingencia por 24 horas</t>
  </si>
  <si>
    <t>16/03/2026: Cliente se comunica para validar disponibilidad para agendamiento de proceso contingencia, se esta a la espera del email por parte de ellos
17/03/2026: Notifican agendamiento prueba de continuidad para el 24/03/2026
24/03/2026: Se realiza el proceso de activacion de plan de continuidad, de acuerdo a lo planeado.
25/03/2026: Se revierte el plan de continuidad debido a incidente con el aplicativo en el visor de Imagenes por lo que se cancela la prueba y se vuelve al ambiente productivo a las 10am</t>
  </si>
  <si>
    <t>365</t>
  </si>
  <si>
    <t>Validación con cliente</t>
  </si>
  <si>
    <t>Se atiende llamada de usuario para validar proceso de unos permisos que requería para unas consultas</t>
  </si>
  <si>
    <t>19/03/2026: Se realizó consulta vía telefónica con el usuario para aclarar dudas que tenía de permisos en aplicativo</t>
  </si>
  <si>
    <t>366</t>
  </si>
  <si>
    <t>Solicitud soportes y bases de morosos a corte 25 Marzo</t>
  </si>
  <si>
    <t>Se genera reporte y se envía información al usuario</t>
  </si>
  <si>
    <t>367</t>
  </si>
  <si>
    <t>Se realiza la validación del caso y se da solución al usuario.</t>
  </si>
  <si>
    <t>368</t>
  </si>
  <si>
    <t>31/03/2026: Se realiza la validación del caso y se da solución al usuario.</t>
  </si>
  <si>
    <t>369</t>
  </si>
  <si>
    <t>Gestión Usuario red</t>
  </si>
  <si>
    <t>Se solicita desbloqueo usuario red</t>
  </si>
  <si>
    <t>30/03/2026: Se realiza solicitud con el cliente para desbloqueo de usuario de red
31/03/2026: se realiza validación con usuario afectado y se avanza en gestión con el cliente para desbloqueo. se logra desbloqueo de usuario de red</t>
  </si>
  <si>
    <t>370</t>
  </si>
  <si>
    <t>Se realiza la validación de casos y se da solución al usuario.</t>
  </si>
  <si>
    <t>371</t>
  </si>
  <si>
    <t>372</t>
  </si>
  <si>
    <t>Validación Permisos</t>
  </si>
  <si>
    <t>Se realiza validación y actualización de permisos para enviar al cliente y gestionar activación de usuario red</t>
  </si>
  <si>
    <t xml:space="preserve">Se realiza solicitud de creación de permisos para usuario de red
Queda solucionado permisos para el usuario </t>
  </si>
  <si>
    <t>373</t>
  </si>
  <si>
    <t>Evaluación de Riesgos de Proveedores</t>
  </si>
  <si>
    <t>Se requiere diligenciamiento de archivo para evaluación riesgo proveedores</t>
  </si>
  <si>
    <t>EN PROCESO</t>
  </si>
  <si>
    <t>07/04/2026: Se recibe solicitud por parte del cliente para realizar Evalluación de Riesgos proveedores; se esta revisando la información para entrega posterior al cliente
16/0472026: Se realiza envío de documentación para validación por parte del cliente. Quedamos a la espera de aprobación y confirmación de agendamiento para reunión el 30 de abril de 2026
17/0472026: El cliente realiza agendamiento de reunión para el 30/04/2026
30/04/2026: Se presento la evaluación de proveedores sin novedades, se reciben pendientes para enviarles
04/05/2026: se envían pendientes al cliente, quedamos a la espera de la retroalimentación</t>
  </si>
  <si>
    <t>374</t>
  </si>
  <si>
    <t>Se solicito un informe para saber los clientes que no se tiene soportes</t>
  </si>
  <si>
    <t>10/04/2026: Se genera el reporte y se entrega al area encargada.</t>
  </si>
  <si>
    <t>Natalia y Danilo</t>
  </si>
  <si>
    <t>375</t>
  </si>
  <si>
    <t>Validación Información</t>
  </si>
  <si>
    <t>Usuario solicita información de familias</t>
  </si>
  <si>
    <t>Se realiza validación de información y se comparte al usuario solicitante</t>
  </si>
  <si>
    <t>true</t>
  </si>
  <si>
    <t>376</t>
  </si>
  <si>
    <t>Solicitud soportes y bases de morosos a corte 22 de abril</t>
  </si>
  <si>
    <t>Solicitud de usuario para generar base de morosos</t>
  </si>
  <si>
    <t>Usuario envía email solicitando la generación del reporte
24/04/2026: se genera informe y se realiza el envio al usuario solicitante</t>
  </si>
  <si>
    <t>377</t>
  </si>
  <si>
    <t>Usuario solicita información de familias y permisos</t>
  </si>
  <si>
    <t xml:space="preserve">24/04/2026:Se realiza reunión con el cliente para aclarar dudas sobre permisos para gestionar familias </t>
  </si>
  <si>
    <t>378</t>
  </si>
  <si>
    <t xml:space="preserve">Cliente radican casos en plataforma </t>
  </si>
  <si>
    <t>04/05/2026: Se realiza la validación del caso, se valida con el area del cliente involucrada en el caso y se da solución al usuario.</t>
  </si>
  <si>
    <t>Faver, Natalia y Danilo</t>
  </si>
  <si>
    <t>379</t>
  </si>
  <si>
    <t>Evaluacion de proveedores</t>
  </si>
  <si>
    <t>Se solicita presentar la evaluacion de proveedores</t>
  </si>
  <si>
    <t>30/04/2026: Se realiza visita a las instalaciones del cliente y se presenta las evaluaciones correspondientes en todo el transcurso del día.</t>
  </si>
  <si>
    <t>380</t>
  </si>
  <si>
    <t>Ejecutar Prueba de Continuidad</t>
  </si>
  <si>
    <t>Se requiere repetira la prueba de continuidad, ya que la prueba anterior no fue satisfactoria y se tuvo que realizar un rollback</t>
  </si>
  <si>
    <t>04/05/2026: Se tiene reunion con el área tecnica del cliente y se programa la prueba para el 11 de Mayo hasta el 12 de Mayo de 2026 
11/05/2026: Se realiza el proceso de PLan continuidad se ejecutó en la noche el paso y tuvo exito,
12/05/2026: se trabaja todo el día en contingencia sin errores reporados por el usuario. el día de hoy en la noche se finaliza la prueba de continuidad
Se finailizo el proceso de continuidad sin errores</t>
  </si>
  <si>
    <t>381</t>
  </si>
  <si>
    <t>Reporte hojas de vida en aplicativo</t>
  </si>
  <si>
    <t>Usuario realiza consulta de cómo se puede gestionar la extracción de información de hojas de vida del aplicativo  nuestro para uno de ellos</t>
  </si>
  <si>
    <t>08/05/2026: Se tiene reunion con el cliente, área implicada de la solicitud (nomina) donde nos indican que requieren la entrega de la hojas de vida que quedaron en el sistema nuestro 
11/05/2026: agendan reunión con áreas implicadas para validar cómo sería el proceso de generación y entrega de la información
11/0572026: se tiene nuevamente reunión con el cliente para validación de autorizaciones para generar y enviar la información, se realizara prueba con un documento. El cliente envía email con autorizaicón para gestion y a la espera de respuesta de si se reciben los ddocumentos correctamente
12/0572026: Se realizo el envío de la información al usuario.
27/05/2026: Se recibe base para consultar Hv para determinar el tamaño del paquete de datos a transferir
29/05/2026: Se genera el reporte y se envia la información de los documentos y su peso de todos los documentos.</t>
  </si>
  <si>
    <t>Danilo</t>
  </si>
  <si>
    <t>382</t>
  </si>
  <si>
    <t>Reporte por cliente file sysstema llenos en Imagine</t>
  </si>
  <si>
    <t>Cliente reporta alerta de almacenamiento</t>
  </si>
  <si>
    <t>11/05/2026: Se recibe email por parte del cliente donde nos reportan alertas de almacenamiento en servidor
se realiza validación y se liberó espacio en los dos discos, se dio respuesta al cliente</t>
  </si>
  <si>
    <t>383</t>
  </si>
  <si>
    <t>12/05/2026: Se valida y se da respuesta al usuario a caso reportado</t>
  </si>
  <si>
    <t>384</t>
  </si>
  <si>
    <t xml:space="preserve">Solicitud soporte base moroso </t>
  </si>
  <si>
    <t>Cliente envía solicitud de archivos para un documento en especifico</t>
  </si>
  <si>
    <t>12/05/2026: Se realiza envío de información a la usuaria solicitante</t>
  </si>
  <si>
    <t>385</t>
  </si>
  <si>
    <t>Reporte Alerta Disco</t>
  </si>
  <si>
    <t>Reportan discos llenos</t>
  </si>
  <si>
    <t xml:space="preserve">Reportan alera por discos llenos, se realiza validacion y se eliminan </t>
  </si>
  <si>
    <t>386</t>
  </si>
  <si>
    <t>Solicitud información usuarios</t>
  </si>
  <si>
    <t>Usuario solicita información de usuarios en ciertas opciones del aplicativo</t>
  </si>
  <si>
    <t xml:space="preserve">14/05/2026: Usuario envia email con usuarios para validar si han realizado operaciones en el aplicativo
20/05/2026: Se esta realizando la validación de la información para enviar al usuario
20/05/2026: Se realiza la validación de los usuarios, no se encuentran datos y se envia respuesta al usuario solicitante </t>
  </si>
  <si>
    <t>387</t>
  </si>
  <si>
    <t>20/05/2026: Usuario envía email solicitando información
27/05/2026: Se genera el reporte de los documentos solicitados para planear venta de cartera, se envia inforamción al usuario solicitante.</t>
  </si>
  <si>
    <t>388</t>
  </si>
  <si>
    <t>24//05/2026: Se valida caso asigndo y se da solución requerida</t>
  </si>
  <si>
    <t>389</t>
  </si>
  <si>
    <t>Cliente envía solicitud de archivos para un documento en especifico a 25 de mayo</t>
  </si>
  <si>
    <t>26/05/2026: Cliente envia email con solicitud morosos
29/05/2026: Se genera reprote con los archivos solicitados y se entrega información al cliente</t>
  </si>
  <si>
    <t>390</t>
  </si>
  <si>
    <t>27//05/2026: Se valida caso asigndo y se da solución requerida</t>
  </si>
  <si>
    <t>391</t>
  </si>
  <si>
    <t>Reunión implementación</t>
  </si>
  <si>
    <t>Reunión Iniciativa</t>
  </si>
  <si>
    <t xml:space="preserve">usuario cita para validacion iniciativa </t>
  </si>
  <si>
    <t>392</t>
  </si>
  <si>
    <t>02/0672026: se realiza validación de casos asigndos, se contacta a usuarios que realizan repore y se da solución requerida</t>
  </si>
  <si>
    <t>393</t>
  </si>
  <si>
    <t>Revision Alertas Almacenamiento</t>
  </si>
  <si>
    <t>Se requiere revision volumenes de almacenamiento</t>
  </si>
  <si>
    <t>04/06/2026: Se realiza revision de los volumenes de almacenamiento.</t>
  </si>
  <si>
    <t>394</t>
  </si>
  <si>
    <t>Solicitud Revision Permisos Usuario</t>
  </si>
  <si>
    <t>Desde seguridad solicitan entregar un informe de uso de pemrisos en el aplicativo de Imagine sobre varios usuarios</t>
  </si>
  <si>
    <t>04/06/2026: Se realiza reunión con los usuarios para aclarar el alcance de la solicitud.</t>
  </si>
  <si>
    <t>396</t>
  </si>
  <si>
    <t>Agendamiento reunión con cliente de seguiimiento</t>
  </si>
  <si>
    <t xml:space="preserve">19/06/2026: Se asiste a reunión de seguimiento con el cliente </t>
  </si>
  <si>
    <t>395</t>
  </si>
  <si>
    <t xml:space="preserve">19/06/2026: Se realiza validación de caso radicado por el usuario, se da solución </t>
  </si>
  <si>
    <t xml:space="preserve"> Año Nuevo</t>
  </si>
  <si>
    <t xml:space="preserve"> Día de los Reyes Magos</t>
  </si>
  <si>
    <t xml:space="preserve"> Día de San José</t>
  </si>
  <si>
    <t xml:space="preserve"> Jueves Santo (Semana Santa)</t>
  </si>
  <si>
    <t xml:space="preserve"> Viernes Santo (Semana Santa)</t>
  </si>
  <si>
    <t xml:space="preserve"> Día del Trabajo</t>
  </si>
  <si>
    <t xml:space="preserve"> Día de la Ascensión</t>
  </si>
  <si>
    <t xml:space="preserve"> Corpus Christi</t>
  </si>
  <si>
    <t xml:space="preserve"> Sagrado Corazón</t>
  </si>
  <si>
    <t xml:space="preserve"> San Pedro y San Pablo</t>
  </si>
  <si>
    <t xml:space="preserve"> Día de la Independencia</t>
  </si>
  <si>
    <t xml:space="preserve"> Batalla de Boyacá</t>
  </si>
  <si>
    <t xml:space="preserve"> La Asunción de la Virgen</t>
  </si>
  <si>
    <t xml:space="preserve"> Día de la Raza</t>
  </si>
  <si>
    <t xml:space="preserve"> Día de Todos los Santos</t>
  </si>
  <si>
    <t xml:space="preserve"> Independencia de Cartagena</t>
  </si>
  <si>
    <t xml:space="preserve"> Día de la Inmaculada Concepción</t>
  </si>
  <si>
    <t xml:space="preserve"> Navidad</t>
  </si>
  <si>
    <t>Año Nuevo</t>
  </si>
  <si>
    <t>Día de los Reyes Magos</t>
  </si>
  <si>
    <t>Día de San José</t>
  </si>
  <si>
    <t>Jueves Santo</t>
  </si>
  <si>
    <t>Viernes Santo</t>
  </si>
  <si>
    <t>Día del Trabajo</t>
  </si>
  <si>
    <t>Ascensión de Jesús</t>
  </si>
  <si>
    <t>Corpus Christi</t>
  </si>
  <si>
    <t>Sagrado Corazón de Jesús / San Pedro y San Pablo</t>
  </si>
  <si>
    <t>Independencia de Colombia</t>
  </si>
  <si>
    <t>Batalla de Boyacá</t>
  </si>
  <si>
    <t>Asunción de la Virgen</t>
  </si>
  <si>
    <t>Día de la Raza</t>
  </si>
  <si>
    <t>Día de Todos los Santos</t>
  </si>
  <si>
    <t>Independencia de Cartagena</t>
  </si>
  <si>
    <t>Inmaculada Concepción</t>
  </si>
  <si>
    <t>Navidad</t>
  </si>
  <si>
    <t>Sagrado Corazón de Jesús</t>
  </si>
  <si>
    <t>San Pedro y San Pablo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</si>
</sst>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quot;/&quot;mm&quot;/&quot;yyyy"/>
    <numFmt numFmtId="165" formatCode="dd/mm/yyyy"/>
  </numFmts>
  <fonts count="39">
    <font>
      <sz val="12"/>
      <color theme="1"/>
      <name val="Quattrocento Sans"/>
      <scheme val="minor"/>
    </font>
    <font>
      <b/>
      <u/>
      <sz val="9"/>
      <color rgb="FFFFFFFF"/>
      <name val="Arial"/>
    </font>
    <font>
      <b/>
      <u/>
      <sz val="9"/>
      <color rgb="FFFFFFFF"/>
      <name val="Arial"/>
    </font>
    <font>
      <u/>
      <sz val="9"/>
      <color rgb="FFFFFFFF"/>
      <name val="Arial"/>
    </font>
    <font>
      <sz val="9"/>
      <color rgb="FFFFFFFF"/>
      <name val="Arial"/>
    </font>
    <font>
      <b/>
      <u/>
      <sz val="9"/>
      <color rgb="FFFFFFFF"/>
      <name val="Arial"/>
    </font>
    <font>
      <u/>
      <sz val="9"/>
      <color rgb="FFFFFFFF"/>
      <name val="Arial"/>
    </font>
    <font>
      <b/>
      <sz val="8"/>
      <color rgb="FFFFFFFF"/>
      <name val="Arial"/>
    </font>
    <font>
      <b/>
      <sz val="9"/>
      <color rgb="FFFFFFFF"/>
      <name val="Arial"/>
    </font>
    <font>
      <b/>
      <sz val="10"/>
      <color rgb="FF000000"/>
      <name val="Quattrocento Sans"/>
    </font>
    <font>
      <sz val="12"/>
      <color theme="1"/>
      <name val="Arial"/>
    </font>
    <font>
      <b/>
      <u/>
      <sz val="9"/>
      <color theme="1"/>
      <name val="Arial"/>
    </font>
    <font>
      <sz val="10"/>
      <color theme="1"/>
      <name val="Arial"/>
    </font>
    <font>
      <sz val="10"/>
      <color rgb="FF000000"/>
      <name val="Arial"/>
    </font>
    <font>
      <b/>
      <u/>
      <sz val="10"/>
      <color theme="1"/>
      <name val="Arial"/>
    </font>
    <font>
      <u/>
      <sz val="10"/>
      <color theme="1"/>
      <name val="Arial"/>
    </font>
    <font>
      <b/>
      <sz val="10"/>
      <color theme="1"/>
      <name val="Arial"/>
    </font>
    <font>
      <sz val="9"/>
      <color theme="1"/>
      <name val="Arial"/>
    </font>
    <font>
      <b/>
      <u/>
      <sz val="9"/>
      <color theme="1"/>
      <name val="Arial"/>
    </font>
    <font>
      <b/>
      <u/>
      <sz val="10"/>
      <color theme="1"/>
      <name val="Arial"/>
    </font>
    <font>
      <u/>
      <sz val="10"/>
      <color theme="1"/>
      <name val="Arial"/>
    </font>
    <font>
      <u/>
      <sz val="10"/>
      <color theme="1"/>
      <name val="Arial"/>
    </font>
    <font>
      <u/>
      <sz val="10"/>
      <color theme="1"/>
      <name val="Arial"/>
    </font>
    <font>
      <b/>
      <u/>
      <sz val="10"/>
      <color theme="1"/>
      <name val="Arial"/>
    </font>
    <font>
      <b/>
      <u/>
      <sz val="10"/>
      <color theme="1"/>
      <name val="Arial"/>
    </font>
    <font>
      <u/>
      <sz val="10"/>
      <color theme="1"/>
      <name val="Arial"/>
    </font>
    <font>
      <b/>
      <u/>
      <sz val="10"/>
      <color theme="1"/>
      <name val="Arial"/>
    </font>
    <font>
      <b/>
      <u/>
      <sz val="10"/>
      <color theme="1"/>
      <name val="Arial"/>
    </font>
    <font>
      <b/>
      <u/>
      <sz val="10"/>
      <color rgb="FF000000"/>
      <name val="Arial"/>
    </font>
    <font>
      <u/>
      <sz val="10"/>
      <color theme="1"/>
      <name val="Arial"/>
    </font>
    <font>
      <u/>
      <sz val="10"/>
      <color theme="1"/>
      <name val="Arial"/>
    </font>
    <font>
      <u/>
      <sz val="10"/>
      <color theme="1"/>
      <name val="Arial"/>
    </font>
    <font>
      <u/>
      <sz val="10"/>
      <color theme="1"/>
      <name val="Arial"/>
    </font>
    <font>
      <u/>
      <sz val="10"/>
      <color theme="1"/>
      <name val="Arial"/>
    </font>
    <font>
      <sz val="12"/>
      <color rgb="FF000000"/>
      <name val="Arial"/>
    </font>
    <font>
      <b/>
      <sz val="9"/>
      <color theme="1"/>
      <name val="Arial"/>
    </font>
    <font>
      <sz val="12"/>
      <color theme="1"/>
      <name val="Quattrocento Sans"/>
    </font>
    <font>
      <sz val="12"/>
      <color theme="1"/>
      <name val="Arial"/>
    </font>
    <font>
      <sz val="11"/>
      <color theme="1"/>
      <name val="Arial"/>
    </font>
  </fonts>
  <fills count="6">
    <fill>
      <patternFill patternType="none"/>
    </fill>
    <fill>
      <patternFill patternType="gray125"/>
    </fill>
    <fill>
      <patternFill patternType="solid">
        <fgColor rgb="FF356854"/>
        <bgColor rgb="FF356854"/>
      </patternFill>
    </fill>
    <fill>
      <patternFill patternType="solid">
        <fgColor rgb="FFF4CCCC"/>
        <bgColor rgb="FFF4CCCC"/>
      </patternFill>
    </fill>
    <fill>
      <patternFill patternType="solid">
        <fgColor rgb="FFFFFFFF"/>
        <bgColor rgb="FFFFFFFF"/>
      </patternFill>
    </fill>
    <fill>
      <patternFill patternType="solid">
        <fgColor rgb="FFF6F8F9"/>
        <bgColor rgb="FFF6F8F9"/>
      </patternFill>
    </fill>
  </fills>
  <borders count="12">
    <border>
      <left/>
      <right/>
      <top/>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diagonal/>
    </border>
    <border>
      <left/>
      <right/>
      <top/>
      <bottom/>
      <diagonal/>
    </border>
    <border>
      <left style="thin">
        <color rgb="FF356854"/>
      </left>
      <right style="thin">
        <color rgb="FF356854"/>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s>
  <cellStyleXfs count="1">
    <xf numFmtId="0" fontId="0" fillId="0" borderId="0"/>
  </cellStyleXfs>
  <cellXfs count="142">
    <xf numFmtId="0" fontId="0" fillId="0" borderId="0" xfId="0" applyFont="1" applyAlignment="1"/>
    <xf numFmtId="0" fontId="1"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2" borderId="2" xfId="0" applyFont="1" applyFill="1" applyBorder="1" applyAlignment="1">
      <alignment horizontal="left" vertical="center" wrapText="1"/>
    </xf>
    <xf numFmtId="3" fontId="7" fillId="2" borderId="4" xfId="0" applyNumberFormat="1" applyFont="1" applyFill="1" applyBorder="1" applyAlignment="1">
      <alignment horizontal="center" vertical="center" wrapText="1"/>
    </xf>
    <xf numFmtId="3" fontId="8" fillId="2" borderId="4" xfId="0" applyNumberFormat="1" applyFont="1" applyFill="1" applyBorder="1" applyAlignment="1">
      <alignment horizontal="center" vertical="center" wrapText="1"/>
    </xf>
    <xf numFmtId="164" fontId="8" fillId="2" borderId="4" xfId="0" applyNumberFormat="1" applyFont="1" applyFill="1" applyBorder="1" applyAlignment="1">
      <alignment horizontal="center" vertical="center" wrapText="1"/>
    </xf>
    <xf numFmtId="164" fontId="9" fillId="3" borderId="0" xfId="0" applyNumberFormat="1" applyFont="1" applyFill="1" applyAlignment="1">
      <alignment horizontal="center" vertical="center" wrapText="1"/>
    </xf>
    <xf numFmtId="0" fontId="8" fillId="2" borderId="4" xfId="0" applyFont="1" applyFill="1" applyBorder="1" applyAlignment="1">
      <alignment horizontal="center" vertical="center" wrapText="1"/>
    </xf>
    <xf numFmtId="49" fontId="4" fillId="2" borderId="0" xfId="0" applyNumberFormat="1" applyFont="1" applyFill="1" applyAlignment="1">
      <alignment horizontal="center" vertical="center"/>
    </xf>
    <xf numFmtId="0" fontId="10" fillId="2" borderId="0" xfId="0" applyFont="1" applyFill="1" applyAlignment="1">
      <alignment horizontal="center" wrapText="1"/>
    </xf>
    <xf numFmtId="0" fontId="11" fillId="4" borderId="5" xfId="0" applyFont="1" applyFill="1" applyBorder="1" applyAlignment="1">
      <alignment horizontal="center" vertical="center" wrapText="1"/>
    </xf>
    <xf numFmtId="49" fontId="12" fillId="4" borderId="5" xfId="0" applyNumberFormat="1" applyFont="1" applyFill="1" applyBorder="1" applyAlignment="1">
      <alignment horizontal="center" vertical="center" wrapText="1"/>
    </xf>
    <xf numFmtId="0" fontId="13" fillId="4" borderId="5" xfId="0" applyFont="1" applyFill="1" applyBorder="1" applyAlignment="1">
      <alignment vertical="center" wrapText="1"/>
    </xf>
    <xf numFmtId="0" fontId="14" fillId="4" borderId="5" xfId="0" applyFont="1" applyFill="1" applyBorder="1" applyAlignment="1">
      <alignment horizontal="center" vertical="center" wrapText="1"/>
    </xf>
    <xf numFmtId="0" fontId="15" fillId="4" borderId="5" xfId="0" applyFont="1" applyFill="1" applyBorder="1" applyAlignment="1">
      <alignment vertical="center" wrapText="1"/>
    </xf>
    <xf numFmtId="3" fontId="12" fillId="4" borderId="5" xfId="0" applyNumberFormat="1" applyFont="1" applyFill="1" applyBorder="1" applyAlignment="1">
      <alignment horizontal="center" vertical="center" wrapText="1"/>
    </xf>
    <xf numFmtId="3" fontId="16" fillId="4" borderId="5" xfId="0" applyNumberFormat="1" applyFont="1" applyFill="1" applyBorder="1" applyAlignment="1">
      <alignment horizontal="center" vertical="center"/>
    </xf>
    <xf numFmtId="164" fontId="12" fillId="4" borderId="5" xfId="0" applyNumberFormat="1" applyFont="1" applyFill="1" applyBorder="1" applyAlignment="1">
      <alignment vertical="center" wrapText="1"/>
    </xf>
    <xf numFmtId="164" fontId="16" fillId="4" borderId="5" xfId="0" applyNumberFormat="1" applyFont="1" applyFill="1" applyBorder="1" applyAlignment="1">
      <alignment vertical="center"/>
    </xf>
    <xf numFmtId="3" fontId="12" fillId="4" borderId="5" xfId="0" applyNumberFormat="1" applyFont="1" applyFill="1" applyBorder="1" applyAlignment="1">
      <alignment horizontal="center" vertical="center" wrapText="1"/>
    </xf>
    <xf numFmtId="0" fontId="17" fillId="4" borderId="5" xfId="0" applyFont="1" applyFill="1" applyBorder="1" applyAlignment="1">
      <alignment horizontal="left" vertical="center" wrapText="1"/>
    </xf>
    <xf numFmtId="49" fontId="12" fillId="4" borderId="5" xfId="0" applyNumberFormat="1" applyFont="1" applyFill="1" applyBorder="1" applyAlignment="1"/>
    <xf numFmtId="0" fontId="10" fillId="4" borderId="0" xfId="0" applyFont="1" applyFill="1"/>
    <xf numFmtId="0" fontId="18" fillId="5" borderId="5" xfId="0" applyFont="1" applyFill="1" applyBorder="1" applyAlignment="1">
      <alignment horizontal="center" vertical="center" wrapText="1"/>
    </xf>
    <xf numFmtId="49" fontId="12" fillId="5" borderId="5" xfId="0" applyNumberFormat="1" applyFont="1" applyFill="1" applyBorder="1" applyAlignment="1">
      <alignment horizontal="center" vertical="center" wrapText="1"/>
    </xf>
    <xf numFmtId="0" fontId="13" fillId="5" borderId="5" xfId="0" applyFont="1" applyFill="1" applyBorder="1" applyAlignment="1">
      <alignment vertical="center" wrapText="1"/>
    </xf>
    <xf numFmtId="0" fontId="19" fillId="5" borderId="5" xfId="0" applyFont="1" applyFill="1" applyBorder="1" applyAlignment="1">
      <alignment horizontal="center" vertical="center" wrapText="1"/>
    </xf>
    <xf numFmtId="0" fontId="20" fillId="5" borderId="5" xfId="0" applyFont="1" applyFill="1" applyBorder="1" applyAlignment="1">
      <alignment vertical="center" wrapText="1"/>
    </xf>
    <xf numFmtId="3" fontId="12" fillId="5" borderId="5" xfId="0" applyNumberFormat="1" applyFont="1" applyFill="1" applyBorder="1" applyAlignment="1">
      <alignment horizontal="center" vertical="center" wrapText="1"/>
    </xf>
    <xf numFmtId="3" fontId="16" fillId="5" borderId="5" xfId="0" applyNumberFormat="1" applyFont="1" applyFill="1" applyBorder="1" applyAlignment="1">
      <alignment horizontal="center" vertical="center"/>
    </xf>
    <xf numFmtId="164" fontId="12" fillId="5" borderId="5" xfId="0" applyNumberFormat="1" applyFont="1" applyFill="1" applyBorder="1" applyAlignment="1">
      <alignment vertical="center" wrapText="1"/>
    </xf>
    <xf numFmtId="164" fontId="16" fillId="5" borderId="5" xfId="0" applyNumberFormat="1" applyFont="1" applyFill="1" applyBorder="1" applyAlignment="1">
      <alignment vertical="center"/>
    </xf>
    <xf numFmtId="3" fontId="12" fillId="5" borderId="5" xfId="0" applyNumberFormat="1" applyFont="1" applyFill="1" applyBorder="1" applyAlignment="1">
      <alignment horizontal="center" vertical="center" wrapText="1"/>
    </xf>
    <xf numFmtId="0" fontId="17" fillId="5" borderId="5" xfId="0" applyFont="1" applyFill="1" applyBorder="1" applyAlignment="1">
      <alignment horizontal="left" vertical="center" wrapText="1"/>
    </xf>
    <xf numFmtId="49" fontId="12" fillId="5" borderId="5" xfId="0" applyNumberFormat="1" applyFont="1" applyFill="1" applyBorder="1" applyAlignment="1"/>
    <xf numFmtId="0" fontId="10" fillId="5" borderId="0" xfId="0" applyFont="1" applyFill="1"/>
    <xf numFmtId="0" fontId="21" fillId="5" borderId="5" xfId="0" applyFont="1" applyFill="1" applyBorder="1" applyAlignment="1">
      <alignment vertical="center" wrapText="1"/>
    </xf>
    <xf numFmtId="164" fontId="12" fillId="5" borderId="5" xfId="0" applyNumberFormat="1" applyFont="1" applyFill="1" applyBorder="1" applyAlignment="1">
      <alignment vertical="center"/>
    </xf>
    <xf numFmtId="0" fontId="13" fillId="4" borderId="5" xfId="0" applyFont="1" applyFill="1" applyBorder="1" applyAlignment="1">
      <alignment vertical="center"/>
    </xf>
    <xf numFmtId="0" fontId="22" fillId="4" borderId="5" xfId="0" applyFont="1" applyFill="1" applyBorder="1" applyAlignment="1">
      <alignment vertical="center" wrapText="1"/>
    </xf>
    <xf numFmtId="164" fontId="12" fillId="4" borderId="5" xfId="0" applyNumberFormat="1" applyFont="1" applyFill="1" applyBorder="1" applyAlignment="1">
      <alignment vertical="center"/>
    </xf>
    <xf numFmtId="0" fontId="23" fillId="5" borderId="5" xfId="0" applyFont="1" applyFill="1" applyBorder="1" applyAlignment="1">
      <alignment vertical="center"/>
    </xf>
    <xf numFmtId="164" fontId="13" fillId="5" borderId="5" xfId="0" applyNumberFormat="1" applyFont="1" applyFill="1" applyBorder="1" applyAlignment="1">
      <alignment horizontal="right" vertical="center" wrapText="1"/>
    </xf>
    <xf numFmtId="164" fontId="12" fillId="5" borderId="5" xfId="0" applyNumberFormat="1" applyFont="1" applyFill="1" applyBorder="1" applyAlignment="1">
      <alignment vertical="center" wrapText="1"/>
    </xf>
    <xf numFmtId="0" fontId="17" fillId="5" borderId="5" xfId="0" applyFont="1" applyFill="1" applyBorder="1" applyAlignment="1">
      <alignment vertical="center" wrapText="1"/>
    </xf>
    <xf numFmtId="0" fontId="13" fillId="4" borderId="5" xfId="0" applyFont="1" applyFill="1" applyBorder="1" applyAlignment="1">
      <alignment vertical="center" wrapText="1"/>
    </xf>
    <xf numFmtId="0" fontId="12" fillId="4" borderId="5" xfId="0" applyFont="1" applyFill="1" applyBorder="1" applyAlignment="1">
      <alignment vertical="center" wrapText="1"/>
    </xf>
    <xf numFmtId="0" fontId="12" fillId="4" borderId="5" xfId="0" applyFont="1" applyFill="1" applyBorder="1"/>
    <xf numFmtId="164" fontId="12" fillId="4" borderId="5" xfId="0" applyNumberFormat="1" applyFont="1" applyFill="1" applyBorder="1"/>
    <xf numFmtId="164" fontId="13" fillId="4" borderId="5" xfId="0" applyNumberFormat="1" applyFont="1" applyFill="1" applyBorder="1" applyAlignment="1">
      <alignment horizontal="right" vertical="center" wrapText="1"/>
    </xf>
    <xf numFmtId="164" fontId="16" fillId="4" borderId="5" xfId="0" applyNumberFormat="1" applyFont="1" applyFill="1" applyBorder="1" applyAlignment="1">
      <alignment vertical="center"/>
    </xf>
    <xf numFmtId="0" fontId="17" fillId="4" borderId="5" xfId="0" applyFont="1" applyFill="1" applyBorder="1" applyAlignment="1">
      <alignment horizontal="left" vertical="top" wrapText="1"/>
    </xf>
    <xf numFmtId="0" fontId="13" fillId="5" borderId="5" xfId="0" applyFont="1" applyFill="1" applyBorder="1" applyAlignment="1">
      <alignment vertical="center" wrapText="1"/>
    </xf>
    <xf numFmtId="0" fontId="13" fillId="5" borderId="5" xfId="0" applyFont="1" applyFill="1" applyBorder="1" applyAlignment="1">
      <alignment horizontal="left" vertical="center" wrapText="1"/>
    </xf>
    <xf numFmtId="164" fontId="16" fillId="5" borderId="5" xfId="0" applyNumberFormat="1" applyFont="1" applyFill="1" applyBorder="1" applyAlignment="1">
      <alignment vertical="center"/>
    </xf>
    <xf numFmtId="0" fontId="13" fillId="4" borderId="5" xfId="0" applyFont="1" applyFill="1" applyBorder="1" applyAlignment="1">
      <alignment horizontal="left" vertical="center" wrapText="1"/>
    </xf>
    <xf numFmtId="0" fontId="24" fillId="4" borderId="5" xfId="0" applyFont="1" applyFill="1" applyBorder="1" applyAlignment="1">
      <alignment vertical="center"/>
    </xf>
    <xf numFmtId="0" fontId="17" fillId="4" borderId="5" xfId="0" applyFont="1" applyFill="1" applyBorder="1" applyAlignment="1">
      <alignment vertical="center" wrapText="1"/>
    </xf>
    <xf numFmtId="0" fontId="17" fillId="5" borderId="0" xfId="0" applyFont="1" applyFill="1" applyAlignment="1">
      <alignment wrapText="1"/>
    </xf>
    <xf numFmtId="49" fontId="12" fillId="4" borderId="5" xfId="0" applyNumberFormat="1" applyFont="1" applyFill="1" applyBorder="1" applyAlignment="1">
      <alignment horizontal="center" vertical="center" wrapText="1"/>
    </xf>
    <xf numFmtId="0" fontId="12" fillId="4" borderId="5" xfId="0" applyFont="1" applyFill="1" applyBorder="1" applyAlignment="1">
      <alignment horizontal="left" vertical="center" wrapText="1"/>
    </xf>
    <xf numFmtId="49" fontId="12" fillId="5" borderId="5" xfId="0" applyNumberFormat="1" applyFont="1" applyFill="1" applyBorder="1" applyAlignment="1">
      <alignment horizontal="center" vertical="center" wrapText="1"/>
    </xf>
    <xf numFmtId="0" fontId="13" fillId="4" borderId="5" xfId="0" applyFont="1" applyFill="1" applyBorder="1" applyAlignment="1">
      <alignment horizontal="left" vertical="center" wrapText="1"/>
    </xf>
    <xf numFmtId="164" fontId="13" fillId="4" borderId="5" xfId="0" applyNumberFormat="1" applyFont="1" applyFill="1" applyBorder="1" applyAlignment="1">
      <alignment horizontal="right" vertical="center" wrapText="1"/>
    </xf>
    <xf numFmtId="164" fontId="12" fillId="4" borderId="5" xfId="0" applyNumberFormat="1" applyFont="1" applyFill="1" applyBorder="1" applyAlignment="1">
      <alignment vertical="center"/>
    </xf>
    <xf numFmtId="0" fontId="13" fillId="5" borderId="5" xfId="0" applyFont="1" applyFill="1" applyBorder="1" applyAlignment="1">
      <alignment horizontal="left" vertical="center" wrapText="1"/>
    </xf>
    <xf numFmtId="0" fontId="25" fillId="5" borderId="5" xfId="0" applyFont="1" applyFill="1" applyBorder="1" applyAlignment="1">
      <alignment vertical="center"/>
    </xf>
    <xf numFmtId="164" fontId="13" fillId="5" borderId="5" xfId="0" applyNumberFormat="1" applyFont="1" applyFill="1" applyBorder="1" applyAlignment="1">
      <alignment horizontal="right" vertical="center" wrapText="1"/>
    </xf>
    <xf numFmtId="0" fontId="17" fillId="5" borderId="5" xfId="0" applyFont="1" applyFill="1" applyBorder="1" applyAlignment="1">
      <alignment horizontal="left" vertical="center" wrapText="1"/>
    </xf>
    <xf numFmtId="0" fontId="13" fillId="4" borderId="5" xfId="0" applyFont="1" applyFill="1" applyBorder="1" applyAlignment="1">
      <alignment vertical="top" wrapText="1"/>
    </xf>
    <xf numFmtId="0" fontId="26" fillId="4" borderId="5" xfId="0" applyFont="1" applyFill="1" applyBorder="1" applyAlignment="1">
      <alignment vertical="center" wrapText="1"/>
    </xf>
    <xf numFmtId="0" fontId="27" fillId="5" borderId="5" xfId="0" applyFont="1" applyFill="1" applyBorder="1" applyAlignment="1">
      <alignment horizontal="left" vertical="center" wrapText="1"/>
    </xf>
    <xf numFmtId="164" fontId="12" fillId="5" borderId="5" xfId="0" applyNumberFormat="1" applyFont="1" applyFill="1" applyBorder="1" applyAlignment="1">
      <alignment vertical="center"/>
    </xf>
    <xf numFmtId="0" fontId="28" fillId="4" borderId="5" xfId="0" applyFont="1" applyFill="1" applyBorder="1" applyAlignment="1">
      <alignment vertical="center" wrapText="1"/>
    </xf>
    <xf numFmtId="0" fontId="29" fillId="4" borderId="5" xfId="0" applyFont="1" applyFill="1" applyBorder="1" applyAlignment="1">
      <alignment vertical="center"/>
    </xf>
    <xf numFmtId="0" fontId="17" fillId="4" borderId="5" xfId="0" applyFont="1" applyFill="1" applyBorder="1" applyAlignment="1">
      <alignment horizontal="left" vertical="center"/>
    </xf>
    <xf numFmtId="0" fontId="12" fillId="5" borderId="5" xfId="0" applyFont="1" applyFill="1" applyBorder="1" applyAlignment="1">
      <alignment horizontal="left" vertical="center" wrapText="1"/>
    </xf>
    <xf numFmtId="0" fontId="12" fillId="5" borderId="0" xfId="0" applyFont="1" applyFill="1" applyAlignment="1">
      <alignment vertical="center" wrapText="1"/>
    </xf>
    <xf numFmtId="0" fontId="30" fillId="5" borderId="5" xfId="0" applyFont="1" applyFill="1" applyBorder="1" applyAlignment="1">
      <alignment vertical="center"/>
    </xf>
    <xf numFmtId="0" fontId="31" fillId="4" borderId="5" xfId="0" applyFont="1" applyFill="1" applyBorder="1" applyAlignment="1">
      <alignment vertical="center"/>
    </xf>
    <xf numFmtId="0" fontId="12" fillId="5" borderId="5" xfId="0" applyFont="1" applyFill="1" applyBorder="1" applyAlignment="1">
      <alignment horizontal="left" vertical="center" wrapText="1"/>
    </xf>
    <xf numFmtId="0" fontId="32" fillId="5" borderId="5" xfId="0" applyFont="1" applyFill="1" applyBorder="1" applyAlignment="1">
      <alignment horizontal="left" vertical="center"/>
    </xf>
    <xf numFmtId="0" fontId="17" fillId="5" borderId="5" xfId="0" applyFont="1" applyFill="1" applyBorder="1" applyAlignment="1">
      <alignment horizontal="left" vertical="top"/>
    </xf>
    <xf numFmtId="0" fontId="12" fillId="4" borderId="5" xfId="0" applyFont="1" applyFill="1" applyBorder="1" applyAlignment="1">
      <alignment horizontal="left" vertical="center" wrapText="1"/>
    </xf>
    <xf numFmtId="0" fontId="33" fillId="4" borderId="5" xfId="0" applyFont="1" applyFill="1" applyBorder="1" applyAlignment="1">
      <alignment horizontal="left" vertical="center"/>
    </xf>
    <xf numFmtId="0" fontId="17" fillId="4" borderId="5" xfId="0" applyFont="1" applyFill="1" applyBorder="1" applyAlignment="1">
      <alignment horizontal="left" vertical="top"/>
    </xf>
    <xf numFmtId="0" fontId="12" fillId="5" borderId="5" xfId="0" applyFont="1" applyFill="1" applyBorder="1" applyAlignment="1">
      <alignment horizontal="left" vertical="center" wrapText="1"/>
    </xf>
    <xf numFmtId="0" fontId="12" fillId="4" borderId="5" xfId="0" applyFont="1" applyFill="1" applyBorder="1" applyAlignment="1">
      <alignment horizontal="left" vertical="center" wrapText="1"/>
    </xf>
    <xf numFmtId="0" fontId="17" fillId="5" borderId="5" xfId="0" applyFont="1" applyFill="1" applyBorder="1" applyAlignment="1">
      <alignment horizontal="left" vertical="top" wrapText="1"/>
    </xf>
    <xf numFmtId="0" fontId="12" fillId="4" borderId="5" xfId="0" applyFont="1" applyFill="1" applyBorder="1" applyAlignment="1">
      <alignment horizontal="left" vertical="center"/>
    </xf>
    <xf numFmtId="164" fontId="12" fillId="4" borderId="5" xfId="0" applyNumberFormat="1" applyFont="1" applyFill="1" applyBorder="1" applyAlignment="1">
      <alignment vertical="center" wrapText="1"/>
    </xf>
    <xf numFmtId="0" fontId="12" fillId="5" borderId="5" xfId="0" applyFont="1" applyFill="1" applyBorder="1" applyAlignment="1">
      <alignment horizontal="left" vertical="center"/>
    </xf>
    <xf numFmtId="0" fontId="12" fillId="5" borderId="5" xfId="0" applyFont="1" applyFill="1" applyBorder="1" applyAlignment="1">
      <alignment horizontal="left" vertical="top" wrapText="1"/>
    </xf>
    <xf numFmtId="0" fontId="34" fillId="4" borderId="5" xfId="0" applyFont="1" applyFill="1" applyBorder="1" applyAlignment="1">
      <alignment vertical="center"/>
    </xf>
    <xf numFmtId="0" fontId="17" fillId="5" borderId="5" xfId="0" applyFont="1" applyFill="1" applyBorder="1" applyAlignment="1">
      <alignment horizontal="left" vertical="top"/>
    </xf>
    <xf numFmtId="0" fontId="12" fillId="5" borderId="0" xfId="0" applyFont="1" applyFill="1" applyAlignment="1">
      <alignment vertical="center" wrapText="1"/>
    </xf>
    <xf numFmtId="0" fontId="12" fillId="4" borderId="0" xfId="0" applyFont="1" applyFill="1" applyAlignment="1">
      <alignment vertical="center" wrapText="1"/>
    </xf>
    <xf numFmtId="0" fontId="12" fillId="5" borderId="5" xfId="0" applyFont="1" applyFill="1" applyBorder="1" applyAlignment="1">
      <alignment vertical="center"/>
    </xf>
    <xf numFmtId="3" fontId="12" fillId="5" borderId="5" xfId="0" applyNumberFormat="1" applyFont="1" applyFill="1" applyBorder="1" applyAlignment="1">
      <alignment horizontal="center" vertical="center"/>
    </xf>
    <xf numFmtId="0" fontId="12" fillId="4" borderId="5" xfId="0" applyFont="1" applyFill="1" applyBorder="1" applyAlignment="1">
      <alignment vertical="center"/>
    </xf>
    <xf numFmtId="3" fontId="12" fillId="4" borderId="5" xfId="0" applyNumberFormat="1" applyFont="1" applyFill="1" applyBorder="1" applyAlignment="1">
      <alignment horizontal="center" vertical="center"/>
    </xf>
    <xf numFmtId="0" fontId="17" fillId="4" borderId="5" xfId="0" applyFont="1" applyFill="1" applyBorder="1" applyAlignment="1">
      <alignment horizontal="left" vertical="top"/>
    </xf>
    <xf numFmtId="0" fontId="12" fillId="5" borderId="6" xfId="0" applyFont="1" applyFill="1" applyBorder="1" applyAlignment="1">
      <alignment horizontal="left" vertical="top"/>
    </xf>
    <xf numFmtId="0" fontId="12" fillId="5" borderId="7" xfId="0" applyFont="1" applyFill="1" applyBorder="1" applyAlignment="1">
      <alignment horizontal="left" vertical="top"/>
    </xf>
    <xf numFmtId="0" fontId="12" fillId="5" borderId="8" xfId="0" applyFont="1" applyFill="1" applyBorder="1" applyAlignment="1">
      <alignment horizontal="left" vertical="top"/>
    </xf>
    <xf numFmtId="0" fontId="12" fillId="4" borderId="6" xfId="0" applyFont="1" applyFill="1" applyBorder="1" applyAlignment="1">
      <alignment horizontal="left" vertical="top"/>
    </xf>
    <xf numFmtId="0" fontId="12" fillId="4" borderId="7" xfId="0" applyFont="1" applyFill="1" applyBorder="1" applyAlignment="1">
      <alignment horizontal="left" vertical="top"/>
    </xf>
    <xf numFmtId="0" fontId="12" fillId="4" borderId="8" xfId="0" applyFont="1" applyFill="1" applyBorder="1" applyAlignment="1">
      <alignment horizontal="left" vertical="top"/>
    </xf>
    <xf numFmtId="0" fontId="35" fillId="5" borderId="5" xfId="0" applyFont="1" applyFill="1" applyBorder="1" applyAlignment="1">
      <alignment horizontal="center" vertical="center"/>
    </xf>
    <xf numFmtId="0" fontId="12" fillId="5" borderId="9" xfId="0" applyFont="1" applyFill="1" applyBorder="1" applyAlignment="1">
      <alignment horizontal="left" vertical="top"/>
    </xf>
    <xf numFmtId="0" fontId="12" fillId="5" borderId="10" xfId="0" applyFont="1" applyFill="1" applyBorder="1" applyAlignment="1">
      <alignment horizontal="left" vertical="top"/>
    </xf>
    <xf numFmtId="0" fontId="12" fillId="5" borderId="11" xfId="0" applyFont="1" applyFill="1" applyBorder="1" applyAlignment="1">
      <alignment horizontal="left" vertical="top"/>
    </xf>
    <xf numFmtId="0" fontId="35" fillId="4" borderId="5" xfId="0" applyFont="1" applyFill="1" applyBorder="1" applyAlignment="1">
      <alignment horizontal="center" vertical="center"/>
    </xf>
    <xf numFmtId="0" fontId="12" fillId="4" borderId="9" xfId="0" applyFont="1" applyFill="1" applyBorder="1" applyAlignment="1">
      <alignment horizontal="left" vertical="top"/>
    </xf>
    <xf numFmtId="0" fontId="12" fillId="4" borderId="10" xfId="0" applyFont="1" applyFill="1" applyBorder="1" applyAlignment="1">
      <alignment horizontal="left" vertical="top"/>
    </xf>
    <xf numFmtId="0" fontId="12" fillId="4" borderId="11" xfId="0" applyFont="1" applyFill="1" applyBorder="1" applyAlignment="1">
      <alignment horizontal="left" vertical="top"/>
    </xf>
    <xf numFmtId="0" fontId="36" fillId="5" borderId="5" xfId="0" applyFont="1" applyFill="1" applyBorder="1"/>
    <xf numFmtId="3" fontId="37" fillId="5" borderId="5" xfId="0" applyNumberFormat="1" applyFont="1" applyFill="1" applyBorder="1" applyAlignment="1">
      <alignment horizontal="center"/>
    </xf>
    <xf numFmtId="164" fontId="36" fillId="5" borderId="5" xfId="0" applyNumberFormat="1" applyFont="1" applyFill="1" applyBorder="1"/>
    <xf numFmtId="0" fontId="17" fillId="5" borderId="5" xfId="0" applyFont="1" applyFill="1" applyBorder="1" applyAlignment="1">
      <alignment vertical="top"/>
    </xf>
    <xf numFmtId="0" fontId="36" fillId="5" borderId="9" xfId="0" applyFont="1" applyFill="1" applyBorder="1" applyAlignment="1">
      <alignment vertical="top"/>
    </xf>
    <xf numFmtId="0" fontId="36" fillId="5" borderId="10" xfId="0" applyFont="1" applyFill="1" applyBorder="1" applyAlignment="1">
      <alignment vertical="top"/>
    </xf>
    <xf numFmtId="0" fontId="36" fillId="5" borderId="11" xfId="0" applyFont="1" applyFill="1" applyBorder="1" applyAlignment="1">
      <alignment vertical="top"/>
    </xf>
    <xf numFmtId="0" fontId="38" fillId="4" borderId="5" xfId="0" applyFont="1" applyFill="1" applyBorder="1" applyAlignment="1">
      <alignment horizontal="left" vertical="center"/>
    </xf>
    <xf numFmtId="0" fontId="12" fillId="4" borderId="5" xfId="0" applyFont="1" applyFill="1" applyBorder="1" applyAlignment="1">
      <alignment horizontal="left" vertical="top"/>
    </xf>
    <xf numFmtId="49" fontId="12" fillId="4" borderId="5" xfId="0" applyNumberFormat="1" applyFont="1" applyFill="1" applyBorder="1" applyAlignment="1">
      <alignment horizontal="left" vertical="top"/>
    </xf>
    <xf numFmtId="49" fontId="17" fillId="5" borderId="5" xfId="0" applyNumberFormat="1" applyFont="1" applyFill="1" applyBorder="1" applyAlignment="1">
      <alignment horizontal="center" vertical="center"/>
    </xf>
    <xf numFmtId="0" fontId="38" fillId="5" borderId="5" xfId="0" applyFont="1" applyFill="1" applyBorder="1" applyAlignment="1">
      <alignment horizontal="left" vertical="center"/>
    </xf>
    <xf numFmtId="0" fontId="12" fillId="5" borderId="5" xfId="0" applyFont="1" applyFill="1" applyBorder="1" applyAlignment="1">
      <alignment horizontal="left" vertical="top"/>
    </xf>
    <xf numFmtId="49" fontId="12" fillId="5" borderId="5" xfId="0" applyNumberFormat="1" applyFont="1" applyFill="1" applyBorder="1" applyAlignment="1">
      <alignment horizontal="left" vertical="top"/>
    </xf>
    <xf numFmtId="49" fontId="17" fillId="4" borderId="5" xfId="0" applyNumberFormat="1" applyFont="1" applyFill="1" applyBorder="1" applyAlignment="1">
      <alignment horizontal="center" vertical="center"/>
    </xf>
    <xf numFmtId="0" fontId="12" fillId="5" borderId="5" xfId="0" applyFont="1" applyFill="1" applyBorder="1" applyAlignment="1">
      <alignment horizontal="left" vertical="top"/>
    </xf>
    <xf numFmtId="165" fontId="12" fillId="4" borderId="5" xfId="0" applyNumberFormat="1" applyFont="1" applyFill="1" applyBorder="1" applyAlignment="1">
      <alignment vertical="center"/>
    </xf>
    <xf numFmtId="14" fontId="12" fillId="5" borderId="5" xfId="0" applyNumberFormat="1" applyFont="1" applyFill="1" applyBorder="1" applyAlignment="1">
      <alignment vertical="center"/>
    </xf>
    <xf numFmtId="49" fontId="12" fillId="4" borderId="5" xfId="0" applyNumberFormat="1" applyFont="1" applyFill="1" applyBorder="1" applyAlignment="1">
      <alignment horizontal="left" vertical="top"/>
    </xf>
    <xf numFmtId="14" fontId="36" fillId="0" borderId="0" xfId="0" applyNumberFormat="1" applyFont="1" applyAlignment="1">
      <alignment horizontal="right"/>
    </xf>
    <xf numFmtId="0" fontId="36" fillId="0" borderId="0" xfId="0" applyFont="1" applyAlignment="1"/>
    <xf numFmtId="0" fontId="36" fillId="0" borderId="0" xfId="0" applyFont="1" applyAlignment="1"/>
  </cellXfs>
  <cellStyles count="1">
    <cellStyle name="Normal" xfId="0" builtinId="0"/>
  </cellStyles>
  <dxfs count="1">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47D"/>
  </sheetPr>
  <dimension ref="A1:AN138"/>
  <sheetViews>
    <sheetView tabSelected="1" workbookViewId="0">
      <pane ySplit="1" topLeftCell="A124" activePane="bottomLeft" state="frozen"/>
      <selection pane="bottomLeft" activeCell="A139" sqref="A139"/>
    </sheetView>
  </sheetViews>
  <sheetFormatPr baseColWidth="10" defaultColWidth="11.21875" defaultRowHeight="15" customHeight="1"/>
  <cols>
    <col min="1" max="1" width="16" customWidth="1"/>
    <col min="2" max="2" width="10.6640625" customWidth="1"/>
    <col min="3" max="3" width="26.44140625" customWidth="1"/>
    <col min="4" max="4" width="40.33203125" customWidth="1"/>
    <col min="5" max="5" width="19.5546875" hidden="1" customWidth="1"/>
    <col min="6" max="6" width="13.33203125" customWidth="1"/>
    <col min="7" max="7" width="9.77734375" customWidth="1"/>
    <col min="8" max="8" width="10.21875" customWidth="1"/>
    <col min="9" max="9" width="12.88671875" customWidth="1"/>
    <col min="10" max="10" width="12.21875" customWidth="1"/>
    <col min="11" max="11" width="12" customWidth="1"/>
    <col min="12" max="12" width="11.77734375" customWidth="1"/>
    <col min="13" max="13" width="10.109375" customWidth="1"/>
    <col min="14" max="14" width="12.33203125" customWidth="1"/>
    <col min="15" max="15" width="11" customWidth="1"/>
    <col min="16" max="16" width="17.21875" customWidth="1"/>
    <col min="17" max="17" width="56.88671875" customWidth="1"/>
    <col min="18" max="18" width="8.109375" customWidth="1"/>
    <col min="19" max="40" width="10.5546875" customWidth="1"/>
  </cols>
  <sheetData>
    <row r="1" spans="1:40" ht="38.25">
      <c r="A1" s="1" t="s">
        <v>0</v>
      </c>
      <c r="B1" s="2" t="s">
        <v>1</v>
      </c>
      <c r="C1" s="3" t="s">
        <v>2</v>
      </c>
      <c r="D1" s="4" t="s">
        <v>3</v>
      </c>
      <c r="E1" s="5" t="s">
        <v>4</v>
      </c>
      <c r="F1" s="6" t="s">
        <v>5</v>
      </c>
      <c r="G1" s="7" t="s">
        <v>6</v>
      </c>
      <c r="H1" s="8" t="s">
        <v>7</v>
      </c>
      <c r="I1" s="9" t="s">
        <v>8</v>
      </c>
      <c r="J1" s="9" t="s">
        <v>9</v>
      </c>
      <c r="K1" s="9" t="s">
        <v>10</v>
      </c>
      <c r="L1" s="9" t="s">
        <v>11</v>
      </c>
      <c r="M1" s="8" t="s">
        <v>12</v>
      </c>
      <c r="N1" s="10" t="s">
        <v>13</v>
      </c>
      <c r="O1" s="9" t="s">
        <v>14</v>
      </c>
      <c r="P1" s="9" t="s">
        <v>15</v>
      </c>
      <c r="Q1" s="11" t="s">
        <v>16</v>
      </c>
      <c r="R1" s="12" t="s">
        <v>17</v>
      </c>
      <c r="S1" s="13"/>
      <c r="T1" s="13"/>
      <c r="U1" s="13"/>
      <c r="V1" s="13"/>
      <c r="W1" s="13"/>
      <c r="X1" s="13"/>
      <c r="Y1" s="13"/>
      <c r="Z1" s="13"/>
      <c r="AA1" s="13"/>
      <c r="AB1" s="13"/>
      <c r="AC1" s="13"/>
      <c r="AD1" s="13"/>
      <c r="AE1" s="13"/>
      <c r="AF1" s="13"/>
      <c r="AG1" s="13"/>
      <c r="AH1" s="13"/>
      <c r="AI1" s="13"/>
      <c r="AJ1" s="13"/>
      <c r="AK1" s="13"/>
      <c r="AL1" s="13"/>
      <c r="AM1" s="13"/>
      <c r="AN1" s="13"/>
    </row>
    <row r="2" spans="1:40" ht="53.25" customHeight="1">
      <c r="A2" s="14" t="s">
        <v>18</v>
      </c>
      <c r="B2" s="15" t="s">
        <v>19</v>
      </c>
      <c r="C2" s="16" t="s">
        <v>20</v>
      </c>
      <c r="D2" s="16" t="s">
        <v>21</v>
      </c>
      <c r="E2" s="17"/>
      <c r="F2" s="18" t="s">
        <v>22</v>
      </c>
      <c r="G2" s="19">
        <v>5</v>
      </c>
      <c r="H2" s="20">
        <f>IF(OR(J2="",K2="",K2&lt;J2),0,NETWORKDAYS(J2,K2,Hoja2!$A$2:$A$53))</f>
        <v>0</v>
      </c>
      <c r="I2" s="21"/>
      <c r="J2" s="21">
        <v>45667</v>
      </c>
      <c r="K2" s="22"/>
      <c r="L2" s="22"/>
      <c r="M2" s="23">
        <f ca="1">IF(OR(J2="",AND(L2="",TODAY()&lt;J2),AND(L2&lt;&gt;"",L2&lt;J2)),0,
   IF(L2="",
      NETWORKDAYS(J2,TODAY(),Hoja2!$A$2:$A$53),
      NETWORKDAYS(J2,L2,Hoja2!$A$2:$A$53)
   )
)</f>
        <v>354</v>
      </c>
      <c r="N2" s="21"/>
      <c r="O2" s="21"/>
      <c r="P2" s="22"/>
      <c r="Q2" s="24" t="s">
        <v>23</v>
      </c>
      <c r="R2" s="25" t="s">
        <v>24</v>
      </c>
      <c r="S2" s="26"/>
      <c r="T2" s="26"/>
      <c r="U2" s="26"/>
      <c r="V2" s="26"/>
      <c r="W2" s="26"/>
      <c r="X2" s="26"/>
      <c r="Y2" s="26"/>
      <c r="Z2" s="26"/>
      <c r="AA2" s="26"/>
      <c r="AB2" s="26"/>
      <c r="AC2" s="26"/>
      <c r="AD2" s="26"/>
      <c r="AE2" s="26"/>
      <c r="AF2" s="26"/>
      <c r="AG2" s="26"/>
      <c r="AH2" s="26"/>
      <c r="AI2" s="26"/>
      <c r="AJ2" s="26"/>
      <c r="AK2" s="26"/>
      <c r="AL2" s="26"/>
      <c r="AM2" s="26"/>
      <c r="AN2" s="26"/>
    </row>
    <row r="3" spans="1:40" ht="53.25" customHeight="1">
      <c r="A3" s="27" t="s">
        <v>25</v>
      </c>
      <c r="B3" s="28" t="s">
        <v>26</v>
      </c>
      <c r="C3" s="29" t="s">
        <v>27</v>
      </c>
      <c r="D3" s="29" t="s">
        <v>28</v>
      </c>
      <c r="E3" s="30"/>
      <c r="F3" s="31" t="s">
        <v>22</v>
      </c>
      <c r="G3" s="32"/>
      <c r="H3" s="33">
        <f>IF(OR(J3="",K3="",K3&lt;J3),0,NETWORKDAYS(J3,K3,Hoja2!$A$2:$A$53))</f>
        <v>0</v>
      </c>
      <c r="I3" s="34"/>
      <c r="J3" s="34">
        <v>45667</v>
      </c>
      <c r="K3" s="35"/>
      <c r="L3" s="35"/>
      <c r="M3" s="36">
        <f ca="1">IF(OR(J3="",AND(L3="",TODAY()&lt;J3),AND(L3&lt;&gt;"",L3&lt;J3)),0,
   IF(L3="",
      NETWORKDAYS(J3,TODAY(),Hoja2!$A$2:$A$53),
      NETWORKDAYS(J3,L3,Hoja2!$A$2:$A$53)
   )
)</f>
        <v>354</v>
      </c>
      <c r="N3" s="34"/>
      <c r="O3" s="34"/>
      <c r="P3" s="35"/>
      <c r="Q3" s="37" t="s">
        <v>23</v>
      </c>
      <c r="R3" s="38" t="s">
        <v>24</v>
      </c>
      <c r="S3" s="39"/>
      <c r="T3" s="39"/>
      <c r="U3" s="39"/>
      <c r="V3" s="39"/>
      <c r="W3" s="39"/>
      <c r="X3" s="39"/>
      <c r="Y3" s="39"/>
      <c r="Z3" s="39"/>
      <c r="AA3" s="39"/>
      <c r="AB3" s="39"/>
      <c r="AC3" s="39"/>
      <c r="AD3" s="39"/>
      <c r="AE3" s="39"/>
      <c r="AF3" s="39"/>
      <c r="AG3" s="39"/>
      <c r="AH3" s="39"/>
      <c r="AI3" s="39"/>
      <c r="AJ3" s="39"/>
      <c r="AK3" s="39"/>
      <c r="AL3" s="39"/>
      <c r="AM3" s="39"/>
      <c r="AN3" s="39"/>
    </row>
    <row r="4" spans="1:40" ht="53.25" customHeight="1">
      <c r="A4" s="14" t="s">
        <v>18</v>
      </c>
      <c r="B4" s="15" t="s">
        <v>29</v>
      </c>
      <c r="C4" s="16" t="s">
        <v>30</v>
      </c>
      <c r="D4" s="16" t="s">
        <v>21</v>
      </c>
      <c r="E4" s="17"/>
      <c r="F4" s="18" t="s">
        <v>22</v>
      </c>
      <c r="G4" s="19">
        <v>60</v>
      </c>
      <c r="H4" s="20">
        <f>IF(OR(J4="",K4="",K4&lt;J4),0,NETWORKDAYS(J4,K4,Hoja2!$A$2:$A$53))</f>
        <v>0</v>
      </c>
      <c r="I4" s="21"/>
      <c r="J4" s="21">
        <v>45667</v>
      </c>
      <c r="K4" s="22"/>
      <c r="L4" s="22"/>
      <c r="M4" s="23">
        <f ca="1">IF(OR(J4="",AND(L4="",TODAY()&lt;J4),AND(L4&lt;&gt;"",L4&lt;J4)),0,
   IF(L4="",
      NETWORKDAYS(J4,TODAY(),Hoja2!$A$2:$A$53),
      NETWORKDAYS(J4,L4,Hoja2!$A$2:$A$53)
   )
)</f>
        <v>354</v>
      </c>
      <c r="N4" s="22"/>
      <c r="O4" s="22"/>
      <c r="P4" s="22"/>
      <c r="Q4" s="24" t="s">
        <v>23</v>
      </c>
      <c r="R4" s="25" t="s">
        <v>24</v>
      </c>
      <c r="S4" s="26"/>
      <c r="T4" s="26"/>
      <c r="U4" s="26"/>
      <c r="V4" s="26"/>
      <c r="W4" s="26"/>
      <c r="X4" s="26"/>
      <c r="Y4" s="26"/>
      <c r="Z4" s="26"/>
      <c r="AA4" s="26"/>
      <c r="AB4" s="26"/>
      <c r="AC4" s="26"/>
      <c r="AD4" s="26"/>
      <c r="AE4" s="26"/>
      <c r="AF4" s="26"/>
      <c r="AG4" s="26"/>
      <c r="AH4" s="26"/>
      <c r="AI4" s="26"/>
      <c r="AJ4" s="26"/>
      <c r="AK4" s="26"/>
      <c r="AL4" s="26"/>
      <c r="AM4" s="26"/>
      <c r="AN4" s="26"/>
    </row>
    <row r="5" spans="1:40" ht="53.25" customHeight="1">
      <c r="A5" s="27" t="s">
        <v>25</v>
      </c>
      <c r="B5" s="28" t="s">
        <v>31</v>
      </c>
      <c r="C5" s="29" t="s">
        <v>32</v>
      </c>
      <c r="D5" s="29" t="s">
        <v>28</v>
      </c>
      <c r="E5" s="30"/>
      <c r="F5" s="31" t="s">
        <v>22</v>
      </c>
      <c r="G5" s="32">
        <v>60</v>
      </c>
      <c r="H5" s="33">
        <f>IF(OR(J5="",K5="",K5&lt;J5),0,NETWORKDAYS(J5,K5,Hoja2!$A$2:$A$53))</f>
        <v>0</v>
      </c>
      <c r="I5" s="34"/>
      <c r="J5" s="34">
        <v>45667</v>
      </c>
      <c r="K5" s="35"/>
      <c r="L5" s="34"/>
      <c r="M5" s="36">
        <f ca="1">IF(OR(J5="",AND(L5="",TODAY()&lt;J5),AND(L5&lt;&gt;"",L5&lt;J5)),0,
   IF(L5="",
      NETWORKDAYS(J5,TODAY(),Hoja2!$A$2:$A$53),
      NETWORKDAYS(J5,L5,Hoja2!$A$2:$A$53)
   )
)</f>
        <v>354</v>
      </c>
      <c r="N5" s="34"/>
      <c r="O5" s="34"/>
      <c r="P5" s="35"/>
      <c r="Q5" s="37" t="s">
        <v>23</v>
      </c>
      <c r="R5" s="38" t="s">
        <v>24</v>
      </c>
      <c r="S5" s="39"/>
      <c r="T5" s="39"/>
      <c r="U5" s="39"/>
      <c r="V5" s="39"/>
      <c r="W5" s="39"/>
      <c r="X5" s="39"/>
      <c r="Y5" s="39"/>
      <c r="Z5" s="39"/>
      <c r="AA5" s="39"/>
      <c r="AB5" s="39"/>
      <c r="AC5" s="39"/>
      <c r="AD5" s="39"/>
      <c r="AE5" s="39"/>
      <c r="AF5" s="39"/>
      <c r="AG5" s="39"/>
      <c r="AH5" s="39"/>
      <c r="AI5" s="39"/>
      <c r="AJ5" s="39"/>
      <c r="AK5" s="39"/>
      <c r="AL5" s="39"/>
      <c r="AM5" s="39"/>
      <c r="AN5" s="39"/>
    </row>
    <row r="6" spans="1:40" ht="53.25" customHeight="1">
      <c r="A6" s="14" t="s">
        <v>25</v>
      </c>
      <c r="B6" s="15" t="s">
        <v>33</v>
      </c>
      <c r="C6" s="16" t="s">
        <v>34</v>
      </c>
      <c r="D6" s="16" t="s">
        <v>35</v>
      </c>
      <c r="E6" s="17"/>
      <c r="F6" s="18" t="s">
        <v>22</v>
      </c>
      <c r="G6" s="19">
        <v>50</v>
      </c>
      <c r="H6" s="20">
        <f>IF(OR(J6="",K6="",K6&lt;J6),0,NETWORKDAYS(J6,K6,Hoja2!$A$2:$A$53))</f>
        <v>0</v>
      </c>
      <c r="I6" s="21"/>
      <c r="J6" s="21">
        <v>45667</v>
      </c>
      <c r="K6" s="22"/>
      <c r="L6" s="22"/>
      <c r="M6" s="23">
        <f ca="1">IF(OR(J6="",AND(L6="",TODAY()&lt;J6),AND(L6&lt;&gt;"",L6&lt;J6)),0,
   IF(L6="",
      NETWORKDAYS(J6,TODAY(),Hoja2!$A$2:$A$53),
      NETWORKDAYS(J6,L6,Hoja2!$A$2:$A$53)
   )
)</f>
        <v>354</v>
      </c>
      <c r="N6" s="21"/>
      <c r="O6" s="21"/>
      <c r="P6" s="22"/>
      <c r="Q6" s="24" t="s">
        <v>23</v>
      </c>
      <c r="R6" s="25" t="s">
        <v>24</v>
      </c>
      <c r="S6" s="26"/>
      <c r="T6" s="26"/>
      <c r="U6" s="26"/>
      <c r="V6" s="26"/>
      <c r="W6" s="26"/>
      <c r="X6" s="26"/>
      <c r="Y6" s="26"/>
      <c r="Z6" s="26"/>
      <c r="AA6" s="26"/>
      <c r="AB6" s="26"/>
      <c r="AC6" s="26"/>
      <c r="AD6" s="26"/>
      <c r="AE6" s="26"/>
      <c r="AF6" s="26"/>
      <c r="AG6" s="26"/>
      <c r="AH6" s="26"/>
      <c r="AI6" s="26"/>
      <c r="AJ6" s="26"/>
      <c r="AK6" s="26"/>
      <c r="AL6" s="26"/>
      <c r="AM6" s="26"/>
      <c r="AN6" s="26"/>
    </row>
    <row r="7" spans="1:40" ht="53.25" customHeight="1">
      <c r="A7" s="27" t="s">
        <v>18</v>
      </c>
      <c r="B7" s="28" t="s">
        <v>36</v>
      </c>
      <c r="C7" s="29" t="s">
        <v>37</v>
      </c>
      <c r="D7" s="29" t="s">
        <v>21</v>
      </c>
      <c r="E7" s="30"/>
      <c r="F7" s="40" t="s">
        <v>22</v>
      </c>
      <c r="G7" s="32">
        <v>100</v>
      </c>
      <c r="H7" s="33">
        <f>IF(OR(J7="",K7="",K7&lt;J7),0,NETWORKDAYS(J7,K7,Hoja2!$A$2:$A$53))</f>
        <v>0</v>
      </c>
      <c r="I7" s="34"/>
      <c r="J7" s="34">
        <v>45667</v>
      </c>
      <c r="K7" s="41"/>
      <c r="L7" s="41"/>
      <c r="M7" s="36">
        <f ca="1">IF(OR(J7="",AND(L7="",TODAY()&lt;J7),AND(L7&lt;&gt;"",L7&lt;J7)),0,
   IF(L7="",
      NETWORKDAYS(J7,TODAY(),Hoja2!$A$2:$A$53),
      NETWORKDAYS(J7,L7,Hoja2!$A$2:$A$53)
   )
)</f>
        <v>354</v>
      </c>
      <c r="N7" s="41"/>
      <c r="O7" s="41"/>
      <c r="P7" s="41"/>
      <c r="Q7" s="37" t="s">
        <v>38</v>
      </c>
      <c r="R7" s="38" t="s">
        <v>39</v>
      </c>
      <c r="S7" s="39"/>
      <c r="T7" s="39"/>
      <c r="U7" s="39"/>
      <c r="V7" s="39"/>
      <c r="W7" s="39"/>
      <c r="X7" s="39"/>
      <c r="Y7" s="39"/>
      <c r="Z7" s="39"/>
      <c r="AA7" s="39"/>
      <c r="AB7" s="39"/>
      <c r="AC7" s="39"/>
      <c r="AD7" s="39"/>
      <c r="AE7" s="39"/>
      <c r="AF7" s="39"/>
      <c r="AG7" s="39"/>
      <c r="AH7" s="39"/>
      <c r="AI7" s="39"/>
      <c r="AJ7" s="39"/>
      <c r="AK7" s="39"/>
      <c r="AL7" s="39"/>
      <c r="AM7" s="39"/>
      <c r="AN7" s="39"/>
    </row>
    <row r="8" spans="1:40" ht="53.25" customHeight="1">
      <c r="A8" s="14" t="s">
        <v>25</v>
      </c>
      <c r="B8" s="15" t="s">
        <v>40</v>
      </c>
      <c r="C8" s="42" t="s">
        <v>41</v>
      </c>
      <c r="D8" s="16" t="s">
        <v>28</v>
      </c>
      <c r="E8" s="17"/>
      <c r="F8" s="43" t="s">
        <v>22</v>
      </c>
      <c r="G8" s="19">
        <v>100</v>
      </c>
      <c r="H8" s="20">
        <f>IF(OR(J8="",K8="",K8&lt;J8),0,NETWORKDAYS(J8,K8,Hoja2!$A$2:$A$53))</f>
        <v>0</v>
      </c>
      <c r="I8" s="21"/>
      <c r="J8" s="21">
        <v>45667</v>
      </c>
      <c r="K8" s="22"/>
      <c r="L8" s="22"/>
      <c r="M8" s="23">
        <f ca="1">IF(OR(J8="",AND(L8="",TODAY()&lt;J8),AND(L8&lt;&gt;"",L8&lt;J8)),0,
   IF(L8="",
      NETWORKDAYS(J8,TODAY(),Hoja2!$A$2:$A$53),
      NETWORKDAYS(J8,L8,Hoja2!$A$2:$A$53)
   )
)</f>
        <v>354</v>
      </c>
      <c r="N8" s="22"/>
      <c r="O8" s="22"/>
      <c r="P8" s="44"/>
      <c r="Q8" s="24" t="s">
        <v>38</v>
      </c>
      <c r="R8" s="25" t="s">
        <v>39</v>
      </c>
      <c r="S8" s="26"/>
      <c r="T8" s="26"/>
      <c r="U8" s="26"/>
      <c r="V8" s="26"/>
      <c r="W8" s="26"/>
      <c r="X8" s="26"/>
      <c r="Y8" s="26"/>
      <c r="Z8" s="26"/>
      <c r="AA8" s="26"/>
      <c r="AB8" s="26"/>
      <c r="AC8" s="26"/>
      <c r="AD8" s="26"/>
      <c r="AE8" s="26"/>
      <c r="AF8" s="26"/>
      <c r="AG8" s="26"/>
      <c r="AH8" s="26"/>
      <c r="AI8" s="26"/>
      <c r="AJ8" s="26"/>
      <c r="AK8" s="26"/>
      <c r="AL8" s="26"/>
      <c r="AM8" s="26"/>
      <c r="AN8" s="26"/>
    </row>
    <row r="9" spans="1:40" ht="53.25" customHeight="1">
      <c r="A9" s="27" t="s">
        <v>42</v>
      </c>
      <c r="B9" s="28" t="s">
        <v>43</v>
      </c>
      <c r="C9" s="29" t="s">
        <v>44</v>
      </c>
      <c r="D9" s="29" t="s">
        <v>45</v>
      </c>
      <c r="E9" s="45"/>
      <c r="F9" s="40" t="s">
        <v>46</v>
      </c>
      <c r="G9" s="32">
        <v>100</v>
      </c>
      <c r="H9" s="33">
        <f>IF(OR(J9="",K9="",K9&lt;J9),0,NETWORKDAYS(J9,K9,Hoja2!$A$2:$A$53))</f>
        <v>0</v>
      </c>
      <c r="I9" s="34"/>
      <c r="J9" s="46">
        <v>45832</v>
      </c>
      <c r="K9" s="34"/>
      <c r="L9" s="47">
        <v>45835</v>
      </c>
      <c r="M9" s="36">
        <f ca="1">IF(OR(J9="",AND(L9="",TODAY()&lt;J9),AND(L9&lt;&gt;"",L9&lt;J9)),0,
   IF(L9="",
      NETWORKDAYS(J9,TODAY(),Hoja2!$A$2:$A$53),
      NETWORKDAYS(J9,L9,Hoja2!$A$2:$A$53)
   )
)</f>
        <v>4</v>
      </c>
      <c r="N9" s="41"/>
      <c r="O9" s="41"/>
      <c r="P9" s="41"/>
      <c r="Q9" s="48" t="s">
        <v>47</v>
      </c>
      <c r="R9" s="38" t="s">
        <v>39</v>
      </c>
      <c r="S9" s="39"/>
      <c r="T9" s="39"/>
      <c r="U9" s="39"/>
      <c r="V9" s="39"/>
      <c r="W9" s="39"/>
      <c r="X9" s="39"/>
      <c r="Y9" s="39"/>
      <c r="Z9" s="39"/>
      <c r="AA9" s="39"/>
      <c r="AB9" s="39"/>
      <c r="AC9" s="39"/>
      <c r="AD9" s="39"/>
      <c r="AE9" s="39"/>
      <c r="AF9" s="39"/>
      <c r="AG9" s="39"/>
      <c r="AH9" s="39"/>
      <c r="AI9" s="39"/>
      <c r="AJ9" s="39"/>
      <c r="AK9" s="39"/>
      <c r="AL9" s="39"/>
      <c r="AM9" s="39"/>
      <c r="AN9" s="39"/>
    </row>
    <row r="10" spans="1:40" ht="53.25" customHeight="1">
      <c r="A10" s="14" t="s">
        <v>42</v>
      </c>
      <c r="B10" s="15" t="s">
        <v>48</v>
      </c>
      <c r="C10" s="49" t="s">
        <v>49</v>
      </c>
      <c r="D10" s="50" t="s">
        <v>50</v>
      </c>
      <c r="E10" s="51"/>
      <c r="F10" s="43" t="s">
        <v>46</v>
      </c>
      <c r="G10" s="19">
        <v>100</v>
      </c>
      <c r="H10" s="20">
        <f>IF(OR(J10="",K10="",K10&lt;J10),0,NETWORKDAYS(J10,K10,Hoja2!$A$2:$A$53))</f>
        <v>0</v>
      </c>
      <c r="I10" s="52"/>
      <c r="J10" s="53">
        <v>45832</v>
      </c>
      <c r="K10" s="22"/>
      <c r="L10" s="54">
        <v>45835</v>
      </c>
      <c r="M10" s="23">
        <f ca="1">IF(OR(J10="",AND(L10="",TODAY()&lt;J10),AND(L10&lt;&gt;"",L10&lt;J10)),0,
   IF(L10="",
      NETWORKDAYS(J10,TODAY(),Hoja2!$A$2:$A$53),
      NETWORKDAYS(J10,L10,Hoja2!$A$2:$A$53)
   )
)</f>
        <v>4</v>
      </c>
      <c r="N10" s="22"/>
      <c r="O10" s="22"/>
      <c r="P10" s="44"/>
      <c r="Q10" s="55" t="s">
        <v>51</v>
      </c>
      <c r="R10" s="25" t="s">
        <v>39</v>
      </c>
      <c r="S10" s="26"/>
      <c r="T10" s="26"/>
      <c r="U10" s="26"/>
      <c r="V10" s="26"/>
      <c r="W10" s="26"/>
      <c r="X10" s="26"/>
      <c r="Y10" s="26"/>
      <c r="Z10" s="26"/>
      <c r="AA10" s="26"/>
      <c r="AB10" s="26"/>
      <c r="AC10" s="26"/>
      <c r="AD10" s="26"/>
      <c r="AE10" s="26"/>
      <c r="AF10" s="26"/>
      <c r="AG10" s="26"/>
      <c r="AH10" s="26"/>
      <c r="AI10" s="26"/>
      <c r="AJ10" s="26"/>
      <c r="AK10" s="26"/>
      <c r="AL10" s="26"/>
      <c r="AM10" s="26"/>
      <c r="AN10" s="26"/>
    </row>
    <row r="11" spans="1:40" ht="25.5">
      <c r="A11" s="27" t="s">
        <v>42</v>
      </c>
      <c r="B11" s="28" t="s">
        <v>52</v>
      </c>
      <c r="C11" s="56" t="s">
        <v>53</v>
      </c>
      <c r="D11" s="57"/>
      <c r="E11" s="45"/>
      <c r="F11" s="40" t="s">
        <v>46</v>
      </c>
      <c r="G11" s="32">
        <v>100</v>
      </c>
      <c r="H11" s="33">
        <f>IF(OR(J11="",K11="",K11&lt;J11),0,NETWORKDAYS(J11,K11,Hoja2!$A$2:$A$53))</f>
        <v>0</v>
      </c>
      <c r="I11" s="34"/>
      <c r="J11" s="46">
        <v>45832</v>
      </c>
      <c r="K11" s="46"/>
      <c r="L11" s="58">
        <v>45835</v>
      </c>
      <c r="M11" s="36">
        <f ca="1">IF(OR(J11="",AND(L11="",TODAY()&lt;J11),AND(L11&lt;&gt;"",L11&lt;J11)),0,
   IF(L11="",
      NETWORKDAYS(J11,TODAY(),Hoja2!$A$2:$A$53),
      NETWORKDAYS(J11,L11,Hoja2!$A$2:$A$53)
   )
)</f>
        <v>4</v>
      </c>
      <c r="N11" s="35"/>
      <c r="O11" s="35"/>
      <c r="P11" s="41"/>
      <c r="Q11" s="48" t="s">
        <v>54</v>
      </c>
      <c r="R11" s="38" t="s">
        <v>39</v>
      </c>
      <c r="S11" s="39"/>
      <c r="T11" s="39"/>
      <c r="U11" s="39"/>
      <c r="V11" s="39"/>
      <c r="W11" s="39"/>
      <c r="X11" s="39"/>
      <c r="Y11" s="39"/>
      <c r="Z11" s="39"/>
      <c r="AA11" s="39"/>
      <c r="AB11" s="39"/>
      <c r="AC11" s="39"/>
      <c r="AD11" s="39"/>
      <c r="AE11" s="39"/>
      <c r="AF11" s="39"/>
      <c r="AG11" s="39"/>
      <c r="AH11" s="39"/>
      <c r="AI11" s="39"/>
      <c r="AJ11" s="39"/>
      <c r="AK11" s="39"/>
      <c r="AL11" s="39"/>
      <c r="AM11" s="39"/>
      <c r="AN11" s="39"/>
    </row>
    <row r="12" spans="1:40" ht="408">
      <c r="A12" s="14" t="s">
        <v>42</v>
      </c>
      <c r="B12" s="15" t="s">
        <v>55</v>
      </c>
      <c r="C12" s="49" t="s">
        <v>56</v>
      </c>
      <c r="D12" s="59" t="s">
        <v>57</v>
      </c>
      <c r="E12" s="60"/>
      <c r="F12" s="43" t="s">
        <v>46</v>
      </c>
      <c r="G12" s="19">
        <v>100</v>
      </c>
      <c r="H12" s="20">
        <f>IF(OR(J12="",K12="",K12&lt;J12),0,NETWORKDAYS(J12,K12,Hoja2!$A$2:$A$53))</f>
        <v>0</v>
      </c>
      <c r="I12" s="21"/>
      <c r="J12" s="53">
        <v>45832</v>
      </c>
      <c r="K12" s="53"/>
      <c r="L12" s="54">
        <v>45896</v>
      </c>
      <c r="M12" s="23">
        <f ca="1">IF(OR(J12="",AND(L12="",TODAY()&lt;J12),AND(L12&lt;&gt;"",L12&lt;J12)),0,
   IF(L12="",
      NETWORKDAYS(J12,TODAY(),Hoja2!$A$2:$A$53),
      NETWORKDAYS(J12,L12,Hoja2!$A$2:$A$53)
   )
)</f>
        <v>44</v>
      </c>
      <c r="N12" s="22"/>
      <c r="O12" s="22"/>
      <c r="P12" s="44"/>
      <c r="Q12" s="61" t="s">
        <v>58</v>
      </c>
      <c r="R12" s="25" t="s">
        <v>39</v>
      </c>
      <c r="S12" s="26"/>
      <c r="T12" s="26"/>
      <c r="U12" s="26"/>
      <c r="V12" s="26"/>
      <c r="W12" s="26"/>
      <c r="X12" s="26"/>
      <c r="Y12" s="26"/>
      <c r="Z12" s="26"/>
      <c r="AA12" s="26"/>
      <c r="AB12" s="26"/>
      <c r="AC12" s="26"/>
      <c r="AD12" s="26"/>
      <c r="AE12" s="26"/>
      <c r="AF12" s="26"/>
      <c r="AG12" s="26"/>
      <c r="AH12" s="26"/>
      <c r="AI12" s="26"/>
      <c r="AJ12" s="26"/>
      <c r="AK12" s="26"/>
      <c r="AL12" s="26"/>
      <c r="AM12" s="26"/>
      <c r="AN12" s="26"/>
    </row>
    <row r="13" spans="1:40" ht="108">
      <c r="A13" s="27" t="s">
        <v>42</v>
      </c>
      <c r="B13" s="28" t="s">
        <v>59</v>
      </c>
      <c r="C13" s="56" t="s">
        <v>60</v>
      </c>
      <c r="D13" s="57" t="s">
        <v>61</v>
      </c>
      <c r="E13" s="45"/>
      <c r="F13" s="40" t="s">
        <v>46</v>
      </c>
      <c r="G13" s="32">
        <v>100</v>
      </c>
      <c r="H13" s="33">
        <f>IF(OR(J13="",K13="",K13&lt;J13),0,NETWORKDAYS(J13,K13,Hoja2!$A$2:$A$53))</f>
        <v>0</v>
      </c>
      <c r="I13" s="34"/>
      <c r="J13" s="46">
        <v>45870</v>
      </c>
      <c r="K13" s="46"/>
      <c r="L13" s="58">
        <v>45883</v>
      </c>
      <c r="M13" s="36">
        <f ca="1">IF(OR(J13="",AND(L13="",TODAY()&lt;J13),AND(L13&lt;&gt;"",L13&lt;J13)),0,
   IF(L13="",
      NETWORKDAYS(J13,TODAY(),Hoja2!$A$2:$A$53),
      NETWORKDAYS(J13,L13,Hoja2!$A$2:$A$53)
   )
)</f>
        <v>9</v>
      </c>
      <c r="N13" s="35"/>
      <c r="O13" s="35"/>
      <c r="P13" s="41"/>
      <c r="Q13" s="62" t="s">
        <v>62</v>
      </c>
      <c r="R13" s="38" t="s">
        <v>39</v>
      </c>
      <c r="S13" s="39"/>
      <c r="T13" s="39"/>
      <c r="U13" s="39"/>
      <c r="V13" s="39"/>
      <c r="W13" s="39"/>
      <c r="X13" s="39"/>
      <c r="Y13" s="39"/>
      <c r="Z13" s="39"/>
      <c r="AA13" s="39"/>
      <c r="AB13" s="39"/>
      <c r="AC13" s="39"/>
      <c r="AD13" s="39"/>
      <c r="AE13" s="39"/>
      <c r="AF13" s="39"/>
      <c r="AG13" s="39"/>
      <c r="AH13" s="39"/>
      <c r="AI13" s="39"/>
      <c r="AJ13" s="39"/>
      <c r="AK13" s="39"/>
      <c r="AL13" s="39"/>
      <c r="AM13" s="39"/>
      <c r="AN13" s="39"/>
    </row>
    <row r="14" spans="1:40" ht="38.25">
      <c r="A14" s="14" t="s">
        <v>18</v>
      </c>
      <c r="B14" s="63" t="s">
        <v>63</v>
      </c>
      <c r="C14" s="49" t="s">
        <v>64</v>
      </c>
      <c r="D14" s="64" t="s">
        <v>65</v>
      </c>
      <c r="E14" s="60"/>
      <c r="F14" s="43" t="s">
        <v>46</v>
      </c>
      <c r="G14" s="19">
        <v>100</v>
      </c>
      <c r="H14" s="20">
        <f>IF(OR(J14="",K14="",K14&lt;J14),0,NETWORKDAYS(J14,K14,Hoja2!$A$2:$A$53))</f>
        <v>3</v>
      </c>
      <c r="I14" s="21"/>
      <c r="J14" s="53">
        <v>45827</v>
      </c>
      <c r="K14" s="53">
        <v>45832</v>
      </c>
      <c r="L14" s="53">
        <v>45832</v>
      </c>
      <c r="M14" s="23">
        <f ca="1">IF(OR(J14="",AND(L14="",TODAY()&lt;J14),AND(L14&lt;&gt;"",L14&lt;J14)),0,
   IF(L14="",
      NETWORKDAYS(J14,TODAY(),Hoja2!$A$2:$A$53),
      NETWORKDAYS(J14,L14,Hoja2!$A$2:$A$53)
   )
)</f>
        <v>3</v>
      </c>
      <c r="N14" s="22"/>
      <c r="O14" s="22"/>
      <c r="P14" s="44"/>
      <c r="Q14" s="61" t="s">
        <v>66</v>
      </c>
      <c r="R14" s="25" t="s">
        <v>39</v>
      </c>
      <c r="S14" s="26"/>
      <c r="T14" s="26"/>
      <c r="U14" s="26"/>
      <c r="V14" s="26"/>
      <c r="W14" s="26"/>
      <c r="X14" s="26"/>
      <c r="Y14" s="26"/>
      <c r="Z14" s="26"/>
      <c r="AA14" s="26"/>
      <c r="AB14" s="26"/>
      <c r="AC14" s="26"/>
      <c r="AD14" s="26"/>
      <c r="AE14" s="26"/>
      <c r="AF14" s="26"/>
      <c r="AG14" s="26"/>
      <c r="AH14" s="26"/>
      <c r="AI14" s="26"/>
      <c r="AJ14" s="26"/>
      <c r="AK14" s="26"/>
      <c r="AL14" s="26"/>
      <c r="AM14" s="26"/>
      <c r="AN14" s="26"/>
    </row>
    <row r="15" spans="1:40" ht="38.25">
      <c r="A15" s="27" t="s">
        <v>18</v>
      </c>
      <c r="B15" s="65" t="s">
        <v>67</v>
      </c>
      <c r="C15" s="56" t="s">
        <v>68</v>
      </c>
      <c r="D15" s="57" t="s">
        <v>69</v>
      </c>
      <c r="E15" s="45"/>
      <c r="F15" s="40" t="s">
        <v>46</v>
      </c>
      <c r="G15" s="32">
        <v>100</v>
      </c>
      <c r="H15" s="33">
        <f>IF(OR(J15="",K15="",K15&lt;J15),0,NETWORKDAYS(J15,K15,Hoja2!$A$2:$A$53))</f>
        <v>3</v>
      </c>
      <c r="I15" s="34"/>
      <c r="J15" s="46">
        <v>45827</v>
      </c>
      <c r="K15" s="46">
        <v>45832</v>
      </c>
      <c r="L15" s="46">
        <v>45832</v>
      </c>
      <c r="M15" s="36">
        <f ca="1">IF(OR(J15="",AND(L15="",TODAY()&lt;J15),AND(L15&lt;&gt;"",L15&lt;J15)),0,
   IF(L15="",
      NETWORKDAYS(J15,TODAY(),Hoja2!$A$2:$A$53),
      NETWORKDAYS(J15,L15,Hoja2!$A$2:$A$53)
   )
)</f>
        <v>3</v>
      </c>
      <c r="N15" s="35"/>
      <c r="O15" s="35"/>
      <c r="P15" s="41"/>
      <c r="Q15" s="48" t="s">
        <v>66</v>
      </c>
      <c r="R15" s="38" t="s">
        <v>39</v>
      </c>
      <c r="S15" s="39"/>
      <c r="T15" s="39"/>
      <c r="U15" s="39"/>
      <c r="V15" s="39"/>
      <c r="W15" s="39"/>
      <c r="X15" s="39"/>
      <c r="Y15" s="39"/>
      <c r="Z15" s="39"/>
      <c r="AA15" s="39"/>
      <c r="AB15" s="39"/>
      <c r="AC15" s="39"/>
      <c r="AD15" s="39"/>
      <c r="AE15" s="39"/>
      <c r="AF15" s="39"/>
      <c r="AG15" s="39"/>
      <c r="AH15" s="39"/>
      <c r="AI15" s="39"/>
      <c r="AJ15" s="39"/>
      <c r="AK15" s="39"/>
      <c r="AL15" s="39"/>
      <c r="AM15" s="39"/>
      <c r="AN15" s="39"/>
    </row>
    <row r="16" spans="1:40" ht="108">
      <c r="A16" s="14" t="s">
        <v>18</v>
      </c>
      <c r="B16" s="63" t="s">
        <v>70</v>
      </c>
      <c r="C16" s="16" t="s">
        <v>71</v>
      </c>
      <c r="D16" s="66" t="s">
        <v>72</v>
      </c>
      <c r="E16" s="60"/>
      <c r="F16" s="43" t="s">
        <v>46</v>
      </c>
      <c r="G16" s="19">
        <v>100</v>
      </c>
      <c r="H16" s="20">
        <f>IF(OR(J16="",K16="",K16&lt;J16),0,NETWORKDAYS(J16,K16,Hoja2!$A$2:$A$53))</f>
        <v>76</v>
      </c>
      <c r="I16" s="21"/>
      <c r="J16" s="67">
        <v>45828</v>
      </c>
      <c r="K16" s="68">
        <v>45939</v>
      </c>
      <c r="L16" s="54">
        <v>45974</v>
      </c>
      <c r="M16" s="23">
        <f ca="1">IF(OR(J16="",AND(L16="",TODAY()&lt;J16),AND(L16&lt;&gt;"",L16&lt;J16)),0,
   IF(L16="",
      NETWORKDAYS(J16,TODAY(),Hoja2!$A$2:$A$53),
      NETWORKDAYS(J16,L16,Hoja2!$A$2:$A$53)
   )
)</f>
        <v>99</v>
      </c>
      <c r="N16" s="68"/>
      <c r="O16" s="68">
        <v>45940</v>
      </c>
      <c r="P16" s="68">
        <v>45974</v>
      </c>
      <c r="Q16" s="24" t="s">
        <v>73</v>
      </c>
      <c r="R16" s="25" t="s">
        <v>39</v>
      </c>
      <c r="S16" s="26"/>
      <c r="T16" s="26"/>
      <c r="U16" s="26"/>
      <c r="V16" s="26"/>
      <c r="W16" s="26"/>
      <c r="X16" s="26"/>
      <c r="Y16" s="26"/>
      <c r="Z16" s="26"/>
      <c r="AA16" s="26"/>
      <c r="AB16" s="26"/>
      <c r="AC16" s="26"/>
      <c r="AD16" s="26"/>
      <c r="AE16" s="26"/>
      <c r="AF16" s="26"/>
      <c r="AG16" s="26"/>
      <c r="AH16" s="26"/>
      <c r="AI16" s="26"/>
      <c r="AJ16" s="26"/>
      <c r="AK16" s="26"/>
      <c r="AL16" s="26"/>
      <c r="AM16" s="26"/>
      <c r="AN16" s="26"/>
    </row>
    <row r="17" spans="1:40" ht="63.75">
      <c r="A17" s="27" t="s">
        <v>18</v>
      </c>
      <c r="B17" s="65" t="s">
        <v>74</v>
      </c>
      <c r="C17" s="29" t="s">
        <v>75</v>
      </c>
      <c r="D17" s="69" t="s">
        <v>76</v>
      </c>
      <c r="E17" s="30"/>
      <c r="F17" s="70" t="s">
        <v>22</v>
      </c>
      <c r="G17" s="36"/>
      <c r="H17" s="33">
        <f>IF(OR(J17="",K17="",K17&lt;J17),0,NETWORKDAYS(J17,K17,Hoja2!$A$2:$A$53))</f>
        <v>0</v>
      </c>
      <c r="I17" s="41"/>
      <c r="J17" s="71">
        <v>45828</v>
      </c>
      <c r="K17" s="35"/>
      <c r="L17" s="35"/>
      <c r="M17" s="36">
        <f ca="1">IF(OR(J17="",AND(L17="",TODAY()&lt;J17),AND(L17&lt;&gt;"",L17&lt;J17)),0,
   IF(L17="",
      NETWORKDAYS(J17,TODAY(),Hoja2!$A$2:$A$53),
      NETWORKDAYS(J17,L17,Hoja2!$A$2:$A$53)
   )
)</f>
        <v>244</v>
      </c>
      <c r="N17" s="35"/>
      <c r="O17" s="35"/>
      <c r="P17" s="41"/>
      <c r="Q17" s="72" t="s">
        <v>77</v>
      </c>
      <c r="R17" s="38" t="s">
        <v>24</v>
      </c>
      <c r="S17" s="39"/>
      <c r="T17" s="39"/>
      <c r="U17" s="39"/>
      <c r="V17" s="39"/>
      <c r="W17" s="39"/>
      <c r="X17" s="39"/>
      <c r="Y17" s="39"/>
      <c r="Z17" s="39"/>
      <c r="AA17" s="39"/>
      <c r="AB17" s="39"/>
      <c r="AC17" s="39"/>
      <c r="AD17" s="39"/>
      <c r="AE17" s="39"/>
      <c r="AF17" s="39"/>
      <c r="AG17" s="39"/>
      <c r="AH17" s="39"/>
      <c r="AI17" s="39"/>
      <c r="AJ17" s="39"/>
      <c r="AK17" s="39"/>
      <c r="AL17" s="39"/>
      <c r="AM17" s="39"/>
      <c r="AN17" s="39"/>
    </row>
    <row r="18" spans="1:40" ht="108">
      <c r="A18" s="14" t="s">
        <v>18</v>
      </c>
      <c r="B18" s="63" t="s">
        <v>78</v>
      </c>
      <c r="C18" s="73" t="s">
        <v>79</v>
      </c>
      <c r="D18" s="66" t="s">
        <v>80</v>
      </c>
      <c r="E18" s="74"/>
      <c r="F18" s="43" t="s">
        <v>46</v>
      </c>
      <c r="G18" s="19">
        <v>100</v>
      </c>
      <c r="H18" s="20">
        <f>IF(OR(J18="",K18="",K18&lt;J18),0,NETWORKDAYS(J18,K18,Hoja2!$A$2:$A$53))</f>
        <v>74</v>
      </c>
      <c r="I18" s="44"/>
      <c r="J18" s="67">
        <v>45833</v>
      </c>
      <c r="K18" s="68">
        <v>45939</v>
      </c>
      <c r="L18" s="54">
        <v>45974</v>
      </c>
      <c r="M18" s="23">
        <f ca="1">IF(OR(J18="",AND(L18="",TODAY()&lt;J18),AND(L18&lt;&gt;"",L18&lt;J18)),0,
   IF(L18="",
      NETWORKDAYS(J18,TODAY(),Hoja2!$A$2:$A$53),
      NETWORKDAYS(J18,L18,Hoja2!$A$2:$A$53)
   )
)</f>
        <v>97</v>
      </c>
      <c r="N18" s="68"/>
      <c r="O18" s="68">
        <v>45940</v>
      </c>
      <c r="P18" s="68">
        <v>45974</v>
      </c>
      <c r="Q18" s="24" t="s">
        <v>73</v>
      </c>
      <c r="R18" s="25" t="s">
        <v>39</v>
      </c>
      <c r="S18" s="26"/>
      <c r="T18" s="26"/>
      <c r="U18" s="26"/>
      <c r="V18" s="26"/>
      <c r="W18" s="26"/>
      <c r="X18" s="26"/>
      <c r="Y18" s="26"/>
      <c r="Z18" s="26"/>
      <c r="AA18" s="26"/>
      <c r="AB18" s="26"/>
      <c r="AC18" s="26"/>
      <c r="AD18" s="26"/>
      <c r="AE18" s="26"/>
      <c r="AF18" s="26"/>
      <c r="AG18" s="26"/>
      <c r="AH18" s="26"/>
      <c r="AI18" s="26"/>
      <c r="AJ18" s="26"/>
      <c r="AK18" s="26"/>
      <c r="AL18" s="26"/>
      <c r="AM18" s="26"/>
      <c r="AN18" s="26"/>
    </row>
    <row r="19" spans="1:40" ht="96">
      <c r="A19" s="27" t="s">
        <v>18</v>
      </c>
      <c r="B19" s="65" t="s">
        <v>81</v>
      </c>
      <c r="C19" s="29" t="s">
        <v>82</v>
      </c>
      <c r="D19" s="69" t="s">
        <v>83</v>
      </c>
      <c r="E19" s="75"/>
      <c r="F19" s="40" t="s">
        <v>46</v>
      </c>
      <c r="G19" s="32">
        <v>100</v>
      </c>
      <c r="H19" s="33">
        <f>IF(OR(J19="",K19="",K19&lt;J19),0,NETWORKDAYS(J19,K19,Hoja2!$A$2:$A$53))</f>
        <v>74</v>
      </c>
      <c r="I19" s="41"/>
      <c r="J19" s="71">
        <v>45833</v>
      </c>
      <c r="K19" s="76">
        <v>45939</v>
      </c>
      <c r="L19" s="58">
        <v>45974</v>
      </c>
      <c r="M19" s="36">
        <f ca="1">IF(OR(J19="",AND(L19="",TODAY()&lt;J19),AND(L19&lt;&gt;"",L19&lt;J19)),0,
   IF(L19="",
      NETWORKDAYS(J19,TODAY(),Hoja2!$A$2:$A$53),
      NETWORKDAYS(J19,L19,Hoja2!$A$2:$A$53)
   )
)</f>
        <v>97</v>
      </c>
      <c r="N19" s="76"/>
      <c r="O19" s="76">
        <v>45940</v>
      </c>
      <c r="P19" s="76">
        <v>45974</v>
      </c>
      <c r="Q19" s="37" t="s">
        <v>84</v>
      </c>
      <c r="R19" s="38" t="s">
        <v>39</v>
      </c>
      <c r="S19" s="39"/>
      <c r="T19" s="39"/>
      <c r="U19" s="39"/>
      <c r="V19" s="39"/>
      <c r="W19" s="39"/>
      <c r="X19" s="39"/>
      <c r="Y19" s="39"/>
      <c r="Z19" s="39"/>
      <c r="AA19" s="39"/>
      <c r="AB19" s="39"/>
      <c r="AC19" s="39"/>
      <c r="AD19" s="39"/>
      <c r="AE19" s="39"/>
      <c r="AF19" s="39"/>
      <c r="AG19" s="39"/>
      <c r="AH19" s="39"/>
      <c r="AI19" s="39"/>
      <c r="AJ19" s="39"/>
      <c r="AK19" s="39"/>
      <c r="AL19" s="39"/>
      <c r="AM19" s="39"/>
      <c r="AN19" s="39"/>
    </row>
    <row r="20" spans="1:40" ht="76.5">
      <c r="A20" s="14" t="s">
        <v>18</v>
      </c>
      <c r="B20" s="63" t="s">
        <v>85</v>
      </c>
      <c r="C20" s="16" t="s">
        <v>86</v>
      </c>
      <c r="D20" s="16" t="s">
        <v>87</v>
      </c>
      <c r="E20" s="77"/>
      <c r="F20" s="78" t="s">
        <v>46</v>
      </c>
      <c r="G20" s="19">
        <v>100</v>
      </c>
      <c r="H20" s="20">
        <f>IF(OR(J20="",K20="",K20&lt;J20),0,NETWORKDAYS(J20,K20,Hoja2!$A$2:$A$53))</f>
        <v>0</v>
      </c>
      <c r="I20" s="44"/>
      <c r="J20" s="67">
        <v>45833</v>
      </c>
      <c r="K20" s="44"/>
      <c r="L20" s="68">
        <v>45974</v>
      </c>
      <c r="M20" s="23">
        <f ca="1">IF(OR(J20="",AND(L20="",TODAY()&lt;J20),AND(L20&lt;&gt;"",L20&lt;J20)),0,
   IF(L20="",
      NETWORKDAYS(J20,TODAY(),Hoja2!$A$2:$A$53),
      NETWORKDAYS(J20,L20,Hoja2!$A$2:$A$53)
   )
)</f>
        <v>97</v>
      </c>
      <c r="N20" s="44"/>
      <c r="O20" s="44"/>
      <c r="P20" s="68">
        <v>45974</v>
      </c>
      <c r="Q20" s="79" t="s">
        <v>77</v>
      </c>
      <c r="R20" s="25" t="s">
        <v>39</v>
      </c>
      <c r="S20" s="26"/>
      <c r="T20" s="26"/>
      <c r="U20" s="26"/>
      <c r="V20" s="26"/>
      <c r="W20" s="26"/>
      <c r="X20" s="26"/>
      <c r="Y20" s="26"/>
      <c r="Z20" s="26"/>
      <c r="AA20" s="26"/>
      <c r="AB20" s="26"/>
      <c r="AC20" s="26"/>
      <c r="AD20" s="26"/>
      <c r="AE20" s="26"/>
      <c r="AF20" s="26"/>
      <c r="AG20" s="26"/>
      <c r="AH20" s="26"/>
      <c r="AI20" s="26"/>
      <c r="AJ20" s="26"/>
      <c r="AK20" s="26"/>
      <c r="AL20" s="26"/>
      <c r="AM20" s="26"/>
      <c r="AN20" s="26"/>
    </row>
    <row r="21" spans="1:40" ht="48">
      <c r="A21" s="27" t="s">
        <v>18</v>
      </c>
      <c r="B21" s="65" t="s">
        <v>88</v>
      </c>
      <c r="C21" s="80" t="s">
        <v>89</v>
      </c>
      <c r="D21" s="81" t="s">
        <v>90</v>
      </c>
      <c r="E21" s="30"/>
      <c r="F21" s="82" t="s">
        <v>46</v>
      </c>
      <c r="G21" s="32">
        <v>100</v>
      </c>
      <c r="H21" s="33">
        <f>IF(OR(J21="",K21="",K21&lt;J21),0,NETWORKDAYS(J21,K21,Hoja2!$A$2:$A$53))</f>
        <v>0</v>
      </c>
      <c r="I21" s="41"/>
      <c r="J21" s="71">
        <v>45852</v>
      </c>
      <c r="K21" s="35"/>
      <c r="L21" s="41">
        <v>45855</v>
      </c>
      <c r="M21" s="36">
        <f ca="1">IF(OR(J21="",AND(L21="",TODAY()&lt;J21),AND(L21&lt;&gt;"",L21&lt;J21)),0,
   IF(L21="",
      NETWORKDAYS(J21,TODAY(),Hoja2!$A$2:$A$53),
      NETWORKDAYS(J21,L21,Hoja2!$A$2:$A$53)
   )
)</f>
        <v>4</v>
      </c>
      <c r="N21" s="35"/>
      <c r="O21" s="35"/>
      <c r="P21" s="41"/>
      <c r="Q21" s="37" t="s">
        <v>91</v>
      </c>
      <c r="R21" s="38" t="s">
        <v>39</v>
      </c>
      <c r="S21" s="39"/>
      <c r="T21" s="39"/>
      <c r="U21" s="39"/>
      <c r="V21" s="39"/>
      <c r="W21" s="39"/>
      <c r="X21" s="39"/>
      <c r="Y21" s="39"/>
      <c r="Z21" s="39"/>
      <c r="AA21" s="39"/>
      <c r="AB21" s="39"/>
      <c r="AC21" s="39"/>
      <c r="AD21" s="39"/>
      <c r="AE21" s="39"/>
      <c r="AF21" s="39"/>
      <c r="AG21" s="39"/>
      <c r="AH21" s="39"/>
      <c r="AI21" s="39"/>
      <c r="AJ21" s="39"/>
      <c r="AK21" s="39"/>
      <c r="AL21" s="39"/>
      <c r="AM21" s="39"/>
      <c r="AN21" s="39"/>
    </row>
    <row r="22" spans="1:40" ht="48">
      <c r="A22" s="14" t="s">
        <v>18</v>
      </c>
      <c r="B22" s="63" t="s">
        <v>92</v>
      </c>
      <c r="C22" s="64" t="s">
        <v>93</v>
      </c>
      <c r="D22" s="64" t="s">
        <v>65</v>
      </c>
      <c r="E22" s="17"/>
      <c r="F22" s="83" t="s">
        <v>46</v>
      </c>
      <c r="G22" s="19">
        <v>100</v>
      </c>
      <c r="H22" s="20">
        <f>IF(OR(J22="",K22="",K22&lt;J22),0,NETWORKDAYS(J22,K22,Hoja2!$A$2:$A$53))</f>
        <v>0</v>
      </c>
      <c r="I22" s="44"/>
      <c r="J22" s="67">
        <v>45852</v>
      </c>
      <c r="K22" s="22"/>
      <c r="L22" s="44">
        <v>45855</v>
      </c>
      <c r="M22" s="23">
        <f ca="1">IF(OR(J22="",AND(L22="",TODAY()&lt;J22),AND(L22&lt;&gt;"",L22&lt;J22)),0,
   IF(L22="",
      NETWORKDAYS(J22,TODAY(),Hoja2!$A$2:$A$53),
      NETWORKDAYS(J22,L22,Hoja2!$A$2:$A$53)
   )
)</f>
        <v>4</v>
      </c>
      <c r="N22" s="22"/>
      <c r="O22" s="22"/>
      <c r="P22" s="44"/>
      <c r="Q22" s="24" t="s">
        <v>94</v>
      </c>
      <c r="R22" s="25" t="s">
        <v>39</v>
      </c>
      <c r="S22" s="26"/>
      <c r="T22" s="26"/>
      <c r="U22" s="26"/>
      <c r="V22" s="26"/>
      <c r="W22" s="26"/>
      <c r="X22" s="26"/>
      <c r="Y22" s="26"/>
      <c r="Z22" s="26"/>
      <c r="AA22" s="26"/>
      <c r="AB22" s="26"/>
      <c r="AC22" s="26"/>
      <c r="AD22" s="26"/>
      <c r="AE22" s="26"/>
      <c r="AF22" s="26"/>
      <c r="AG22" s="26"/>
      <c r="AH22" s="26"/>
      <c r="AI22" s="26"/>
      <c r="AJ22" s="26"/>
      <c r="AK22" s="26"/>
      <c r="AL22" s="26"/>
      <c r="AM22" s="26"/>
      <c r="AN22" s="26"/>
    </row>
    <row r="23" spans="1:40" ht="38.25">
      <c r="A23" s="27" t="s">
        <v>18</v>
      </c>
      <c r="B23" s="65" t="s">
        <v>95</v>
      </c>
      <c r="C23" s="80" t="s">
        <v>96</v>
      </c>
      <c r="D23" s="84" t="s">
        <v>97</v>
      </c>
      <c r="E23" s="85"/>
      <c r="F23" s="82" t="s">
        <v>46</v>
      </c>
      <c r="G23" s="32">
        <v>100</v>
      </c>
      <c r="H23" s="33">
        <f>IF(OR(J23="",K23="",K23&lt;J23),0,NETWORKDAYS(J23,K23,Hoja2!$A$2:$A$53))</f>
        <v>0</v>
      </c>
      <c r="I23" s="41"/>
      <c r="J23" s="71">
        <v>45852</v>
      </c>
      <c r="K23" s="41"/>
      <c r="L23" s="41">
        <v>45853</v>
      </c>
      <c r="M23" s="36">
        <f ca="1">IF(OR(J23="",AND(L23="",TODAY()&lt;J23),AND(L23&lt;&gt;"",L23&lt;J23)),0,
   IF(L23="",
      NETWORKDAYS(J23,TODAY(),Hoja2!$A$2:$A$53),
      NETWORKDAYS(J23,L23,Hoja2!$A$2:$A$53)
   )
)</f>
        <v>2</v>
      </c>
      <c r="N23" s="41"/>
      <c r="O23" s="41"/>
      <c r="P23" s="41"/>
      <c r="Q23" s="86"/>
      <c r="R23" s="38" t="s">
        <v>39</v>
      </c>
      <c r="S23" s="39"/>
      <c r="T23" s="39"/>
      <c r="U23" s="39"/>
      <c r="V23" s="39"/>
      <c r="W23" s="39"/>
      <c r="X23" s="39"/>
      <c r="Y23" s="39"/>
      <c r="Z23" s="39"/>
      <c r="AA23" s="39"/>
      <c r="AB23" s="39"/>
      <c r="AC23" s="39"/>
      <c r="AD23" s="39"/>
      <c r="AE23" s="39"/>
      <c r="AF23" s="39"/>
      <c r="AG23" s="39"/>
      <c r="AH23" s="39"/>
      <c r="AI23" s="39"/>
      <c r="AJ23" s="39"/>
      <c r="AK23" s="39"/>
      <c r="AL23" s="39"/>
      <c r="AM23" s="39"/>
      <c r="AN23" s="39"/>
    </row>
    <row r="24" spans="1:40" ht="25.5">
      <c r="A24" s="14" t="s">
        <v>25</v>
      </c>
      <c r="B24" s="63" t="s">
        <v>98</v>
      </c>
      <c r="C24" s="64" t="s">
        <v>99</v>
      </c>
      <c r="D24" s="87" t="s">
        <v>100</v>
      </c>
      <c r="E24" s="88"/>
      <c r="F24" s="83" t="s">
        <v>46</v>
      </c>
      <c r="G24" s="19">
        <v>100</v>
      </c>
      <c r="H24" s="20">
        <f>IF(OR(J24="",K24="",K24&lt;J24),0,NETWORKDAYS(J24,K24,Hoja2!$A$2:$A$53))</f>
        <v>0</v>
      </c>
      <c r="I24" s="44"/>
      <c r="J24" s="53">
        <v>45860</v>
      </c>
      <c r="K24" s="44"/>
      <c r="L24" s="68">
        <v>45860</v>
      </c>
      <c r="M24" s="23">
        <f ca="1">IF(OR(J24="",AND(L24="",TODAY()&lt;J24),AND(L24&lt;&gt;"",L24&lt;J24)),0,
   IF(L24="",
      NETWORKDAYS(J24,TODAY(),Hoja2!$A$2:$A$53),
      NETWORKDAYS(J24,L24,Hoja2!$A$2:$A$53)
   )
)</f>
        <v>1</v>
      </c>
      <c r="N24" s="44"/>
      <c r="O24" s="44"/>
      <c r="P24" s="44"/>
      <c r="Q24" s="89"/>
      <c r="R24" s="25" t="s">
        <v>39</v>
      </c>
      <c r="S24" s="26"/>
      <c r="T24" s="26"/>
      <c r="U24" s="26"/>
      <c r="V24" s="26"/>
      <c r="W24" s="26"/>
      <c r="X24" s="26"/>
      <c r="Y24" s="26"/>
      <c r="Z24" s="26"/>
      <c r="AA24" s="26"/>
      <c r="AB24" s="26"/>
      <c r="AC24" s="26"/>
      <c r="AD24" s="26"/>
      <c r="AE24" s="26"/>
      <c r="AF24" s="26"/>
      <c r="AG24" s="26"/>
      <c r="AH24" s="26"/>
      <c r="AI24" s="26"/>
      <c r="AJ24" s="26"/>
      <c r="AK24" s="26"/>
      <c r="AL24" s="26"/>
      <c r="AM24" s="26"/>
      <c r="AN24" s="26"/>
    </row>
    <row r="25" spans="1:40" ht="63.75">
      <c r="A25" s="27" t="s">
        <v>18</v>
      </c>
      <c r="B25" s="65" t="s">
        <v>101</v>
      </c>
      <c r="C25" s="84" t="s">
        <v>102</v>
      </c>
      <c r="D25" s="90" t="s">
        <v>103</v>
      </c>
      <c r="E25" s="85"/>
      <c r="F25" s="82" t="s">
        <v>46</v>
      </c>
      <c r="G25" s="32">
        <v>100</v>
      </c>
      <c r="H25" s="33">
        <f>IF(OR(J25="",K25="",K25&lt;J25),0,NETWORKDAYS(J25,K25,Hoja2!$A$2:$A$53))</f>
        <v>0</v>
      </c>
      <c r="I25" s="41"/>
      <c r="J25" s="71"/>
      <c r="K25" s="41"/>
      <c r="L25" s="41">
        <v>45860</v>
      </c>
      <c r="M25" s="36">
        <f ca="1">IF(OR(J25="",AND(L25="",TODAY()&lt;J25),AND(L25&lt;&gt;"",L25&lt;J25)),0,
   IF(L25="",
      NETWORKDAYS(J25,TODAY(),Hoja2!$A$2:$A$53),
      NETWORKDAYS(J25,L25,Hoja2!$A$2:$A$53)
   )
)</f>
        <v>0</v>
      </c>
      <c r="N25" s="41"/>
      <c r="O25" s="41"/>
      <c r="P25" s="41"/>
      <c r="Q25" s="37"/>
      <c r="R25" s="38" t="s">
        <v>39</v>
      </c>
      <c r="S25" s="39"/>
      <c r="T25" s="39"/>
      <c r="U25" s="39"/>
      <c r="V25" s="39"/>
      <c r="W25" s="39"/>
      <c r="X25" s="39"/>
      <c r="Y25" s="39"/>
      <c r="Z25" s="39"/>
      <c r="AA25" s="39"/>
      <c r="AB25" s="39"/>
      <c r="AC25" s="39"/>
      <c r="AD25" s="39"/>
      <c r="AE25" s="39"/>
      <c r="AF25" s="39"/>
      <c r="AG25" s="39"/>
      <c r="AH25" s="39"/>
      <c r="AI25" s="39"/>
      <c r="AJ25" s="39"/>
      <c r="AK25" s="39"/>
      <c r="AL25" s="39"/>
      <c r="AM25" s="39"/>
      <c r="AN25" s="39"/>
    </row>
    <row r="26" spans="1:40" ht="51">
      <c r="A26" s="14" t="s">
        <v>18</v>
      </c>
      <c r="B26" s="63" t="s">
        <v>104</v>
      </c>
      <c r="C26" s="87" t="s">
        <v>105</v>
      </c>
      <c r="D26" s="91" t="s">
        <v>106</v>
      </c>
      <c r="E26" s="88"/>
      <c r="F26" s="83" t="s">
        <v>46</v>
      </c>
      <c r="G26" s="19">
        <v>100</v>
      </c>
      <c r="H26" s="20">
        <f>IF(OR(J26="",K26="",K26&lt;J26),0,NETWORKDAYS(J26,K26,Hoja2!$A$2:$A$53))</f>
        <v>0</v>
      </c>
      <c r="I26" s="44"/>
      <c r="J26" s="53">
        <v>45856</v>
      </c>
      <c r="K26" s="44"/>
      <c r="L26" s="68">
        <v>45861</v>
      </c>
      <c r="M26" s="23">
        <f ca="1">IF(OR(J26="",AND(L26="",TODAY()&lt;J26),AND(L26&lt;&gt;"",L26&lt;J26)),0,
   IF(L26="",
      NETWORKDAYS(J26,TODAY(),Hoja2!$A$2:$A$53),
      NETWORKDAYS(J26,L26,Hoja2!$A$2:$A$53)
   )
)</f>
        <v>4</v>
      </c>
      <c r="N26" s="44"/>
      <c r="O26" s="44"/>
      <c r="P26" s="44"/>
      <c r="Q26" s="55" t="s">
        <v>107</v>
      </c>
      <c r="R26" s="25" t="s">
        <v>39</v>
      </c>
      <c r="S26" s="26"/>
      <c r="T26" s="26"/>
      <c r="U26" s="26"/>
      <c r="V26" s="26"/>
      <c r="W26" s="26"/>
      <c r="X26" s="26"/>
      <c r="Y26" s="26"/>
      <c r="Z26" s="26"/>
      <c r="AA26" s="26"/>
      <c r="AB26" s="26"/>
      <c r="AC26" s="26"/>
      <c r="AD26" s="26"/>
      <c r="AE26" s="26"/>
      <c r="AF26" s="26"/>
      <c r="AG26" s="26"/>
      <c r="AH26" s="26"/>
      <c r="AI26" s="26"/>
      <c r="AJ26" s="26"/>
      <c r="AK26" s="26"/>
      <c r="AL26" s="26"/>
      <c r="AM26" s="26"/>
      <c r="AN26" s="26"/>
    </row>
    <row r="27" spans="1:40" ht="38.25">
      <c r="A27" s="27" t="s">
        <v>108</v>
      </c>
      <c r="B27" s="65" t="s">
        <v>109</v>
      </c>
      <c r="C27" s="84" t="s">
        <v>110</v>
      </c>
      <c r="D27" s="84" t="s">
        <v>111</v>
      </c>
      <c r="E27" s="85"/>
      <c r="F27" s="82" t="s">
        <v>46</v>
      </c>
      <c r="G27" s="32">
        <v>100</v>
      </c>
      <c r="H27" s="33">
        <f>IF(OR(J27="",K27="",K27&lt;J27),0,NETWORKDAYS(J27,K27,Hoja2!$A$2:$A$53))</f>
        <v>0</v>
      </c>
      <c r="I27" s="41"/>
      <c r="J27" s="76">
        <v>45861</v>
      </c>
      <c r="K27" s="41"/>
      <c r="L27" s="76">
        <v>45866</v>
      </c>
      <c r="M27" s="36">
        <f ca="1">IF(OR(J27="",AND(L27="",TODAY()&lt;J27),AND(L27&lt;&gt;"",L27&lt;J27)),0,
   IF(L27="",
      NETWORKDAYS(J27,TODAY(),Hoja2!$A$2:$A$53),
      NETWORKDAYS(J27,L27,Hoja2!$A$2:$A$53)
   )
)</f>
        <v>4</v>
      </c>
      <c r="N27" s="41"/>
      <c r="O27" s="41"/>
      <c r="P27" s="41"/>
      <c r="Q27" s="92" t="s">
        <v>112</v>
      </c>
      <c r="R27" s="38" t="s">
        <v>39</v>
      </c>
      <c r="S27" s="39"/>
      <c r="T27" s="39"/>
      <c r="U27" s="39"/>
      <c r="V27" s="39"/>
      <c r="W27" s="39"/>
      <c r="X27" s="39"/>
      <c r="Y27" s="39"/>
      <c r="Z27" s="39"/>
      <c r="AA27" s="39"/>
      <c r="AB27" s="39"/>
      <c r="AC27" s="39"/>
      <c r="AD27" s="39"/>
      <c r="AE27" s="39"/>
      <c r="AF27" s="39"/>
      <c r="AG27" s="39"/>
      <c r="AH27" s="39"/>
      <c r="AI27" s="39"/>
      <c r="AJ27" s="39"/>
      <c r="AK27" s="39"/>
      <c r="AL27" s="39"/>
      <c r="AM27" s="39"/>
      <c r="AN27" s="39"/>
    </row>
    <row r="28" spans="1:40" ht="38.25">
      <c r="A28" s="14" t="s">
        <v>108</v>
      </c>
      <c r="B28" s="63" t="s">
        <v>113</v>
      </c>
      <c r="C28" s="87" t="s">
        <v>114</v>
      </c>
      <c r="D28" s="87" t="s">
        <v>111</v>
      </c>
      <c r="E28" s="93"/>
      <c r="F28" s="83" t="s">
        <v>46</v>
      </c>
      <c r="G28" s="19">
        <v>100</v>
      </c>
      <c r="H28" s="20">
        <f>IF(OR(J28="",K28="",K28&lt;J28),0,NETWORKDAYS(J28,K28,Hoja2!$A$2:$A$53))</f>
        <v>0</v>
      </c>
      <c r="I28" s="44"/>
      <c r="J28" s="94">
        <v>45874</v>
      </c>
      <c r="K28" s="44"/>
      <c r="L28" s="68">
        <v>45875</v>
      </c>
      <c r="M28" s="23">
        <f ca="1">IF(OR(J28="",AND(L28="",TODAY()&lt;J28),AND(L28&lt;&gt;"",L28&lt;J28)),0,
   IF(L28="",
      NETWORKDAYS(J28,TODAY(),Hoja2!$A$2:$A$53),
      NETWORKDAYS(J28,L28,Hoja2!$A$2:$A$53)
   )
)</f>
        <v>2</v>
      </c>
      <c r="N28" s="44"/>
      <c r="O28" s="44"/>
      <c r="P28" s="44"/>
      <c r="Q28" s="89"/>
      <c r="R28" s="25" t="s">
        <v>39</v>
      </c>
      <c r="S28" s="26"/>
      <c r="T28" s="26"/>
      <c r="U28" s="26"/>
      <c r="V28" s="26"/>
      <c r="W28" s="26"/>
      <c r="X28" s="26"/>
      <c r="Y28" s="26"/>
      <c r="Z28" s="26"/>
      <c r="AA28" s="26"/>
      <c r="AB28" s="26"/>
      <c r="AC28" s="26"/>
      <c r="AD28" s="26"/>
      <c r="AE28" s="26"/>
      <c r="AF28" s="26"/>
      <c r="AG28" s="26"/>
      <c r="AH28" s="26"/>
      <c r="AI28" s="26"/>
      <c r="AJ28" s="26"/>
      <c r="AK28" s="26"/>
      <c r="AL28" s="26"/>
      <c r="AM28" s="26"/>
      <c r="AN28" s="26"/>
    </row>
    <row r="29" spans="1:40" ht="36">
      <c r="A29" s="27" t="s">
        <v>108</v>
      </c>
      <c r="B29" s="65" t="s">
        <v>115</v>
      </c>
      <c r="C29" s="84" t="s">
        <v>116</v>
      </c>
      <c r="D29" s="90" t="s">
        <v>117</v>
      </c>
      <c r="E29" s="95"/>
      <c r="F29" s="82" t="s">
        <v>46</v>
      </c>
      <c r="G29" s="32">
        <v>100</v>
      </c>
      <c r="H29" s="33">
        <f>IF(OR(J29="",K29="",K29&lt;J29),0,NETWORKDAYS(J29,K29,Hoja2!$A$2:$A$53))</f>
        <v>0</v>
      </c>
      <c r="I29" s="41"/>
      <c r="J29" s="47">
        <v>45882</v>
      </c>
      <c r="K29" s="41"/>
      <c r="L29" s="76">
        <v>45883</v>
      </c>
      <c r="M29" s="36">
        <f ca="1">IF(OR(J29="",AND(L29="",TODAY()&lt;J29),AND(L29&lt;&gt;"",L29&lt;J29)),0,
   IF(L29="",
      NETWORKDAYS(J29,TODAY(),Hoja2!$A$2:$A$53),
      NETWORKDAYS(J29,L29,Hoja2!$A$2:$A$53)
   )
)</f>
        <v>2</v>
      </c>
      <c r="N29" s="41"/>
      <c r="O29" s="41"/>
      <c r="P29" s="41"/>
      <c r="Q29" s="92" t="s">
        <v>118</v>
      </c>
      <c r="R29" s="38" t="s">
        <v>39</v>
      </c>
      <c r="S29" s="39"/>
      <c r="T29" s="39"/>
      <c r="U29" s="39"/>
      <c r="V29" s="39"/>
      <c r="W29" s="39"/>
      <c r="X29" s="39"/>
      <c r="Y29" s="39"/>
      <c r="Z29" s="39"/>
      <c r="AA29" s="39"/>
      <c r="AB29" s="39"/>
      <c r="AC29" s="39"/>
      <c r="AD29" s="39"/>
      <c r="AE29" s="39"/>
      <c r="AF29" s="39"/>
      <c r="AG29" s="39"/>
      <c r="AH29" s="39"/>
      <c r="AI29" s="39"/>
      <c r="AJ29" s="39"/>
      <c r="AK29" s="39"/>
      <c r="AL29" s="39"/>
      <c r="AM29" s="39"/>
      <c r="AN29" s="39"/>
    </row>
    <row r="30" spans="1:40" ht="72">
      <c r="A30" s="14" t="s">
        <v>18</v>
      </c>
      <c r="B30" s="63" t="s">
        <v>119</v>
      </c>
      <c r="C30" s="87" t="s">
        <v>120</v>
      </c>
      <c r="D30" s="91" t="s">
        <v>121</v>
      </c>
      <c r="E30" s="93"/>
      <c r="F30" s="83" t="s">
        <v>46</v>
      </c>
      <c r="G30" s="19">
        <v>100</v>
      </c>
      <c r="H30" s="20">
        <f>IF(OR(J30="",K30="",K30&lt;J30),0,NETWORKDAYS(J30,K30,Hoja2!$A$2:$A$53))</f>
        <v>0</v>
      </c>
      <c r="I30" s="44"/>
      <c r="J30" s="94">
        <v>45884</v>
      </c>
      <c r="K30" s="44"/>
      <c r="L30" s="68">
        <v>45889</v>
      </c>
      <c r="M30" s="23">
        <f ca="1">IF(OR(J30="",AND(L30="",TODAY()&lt;J30),AND(L30&lt;&gt;"",L30&lt;J30)),0,
   IF(L30="",
      NETWORKDAYS(J30,TODAY(),Hoja2!$A$2:$A$53),
      NETWORKDAYS(J30,L30,Hoja2!$A$2:$A$53)
   )
)</f>
        <v>3</v>
      </c>
      <c r="N30" s="44"/>
      <c r="O30" s="44"/>
      <c r="P30" s="44"/>
      <c r="Q30" s="55" t="s">
        <v>122</v>
      </c>
      <c r="R30" s="25" t="s">
        <v>39</v>
      </c>
      <c r="S30" s="26"/>
      <c r="T30" s="26"/>
      <c r="U30" s="26"/>
      <c r="V30" s="26"/>
      <c r="W30" s="26"/>
      <c r="X30" s="26"/>
      <c r="Y30" s="26"/>
      <c r="Z30" s="26"/>
      <c r="AA30" s="26"/>
      <c r="AB30" s="26"/>
      <c r="AC30" s="26"/>
      <c r="AD30" s="26"/>
      <c r="AE30" s="26"/>
      <c r="AF30" s="26"/>
      <c r="AG30" s="26"/>
      <c r="AH30" s="26"/>
      <c r="AI30" s="26"/>
      <c r="AJ30" s="26"/>
      <c r="AK30" s="26"/>
      <c r="AL30" s="26"/>
      <c r="AM30" s="26"/>
      <c r="AN30" s="26"/>
    </row>
    <row r="31" spans="1:40" ht="25.5">
      <c r="A31" s="27" t="s">
        <v>18</v>
      </c>
      <c r="B31" s="65" t="s">
        <v>123</v>
      </c>
      <c r="C31" s="96" t="s">
        <v>124</v>
      </c>
      <c r="D31" s="90" t="s">
        <v>125</v>
      </c>
      <c r="E31" s="95"/>
      <c r="F31" s="82" t="s">
        <v>46</v>
      </c>
      <c r="G31" s="32">
        <v>100</v>
      </c>
      <c r="H31" s="33">
        <f>IF(OR(J31="",K31="",K31&lt;J31),0,NETWORKDAYS(J31,K31,Hoja2!$A$2:$A$53))</f>
        <v>0</v>
      </c>
      <c r="I31" s="41"/>
      <c r="J31" s="47">
        <v>45891</v>
      </c>
      <c r="K31" s="41"/>
      <c r="L31" s="76">
        <v>45894</v>
      </c>
      <c r="M31" s="36">
        <f ca="1">IF(OR(J31="",AND(L31="",TODAY()&lt;J31),AND(L31&lt;&gt;"",L31&lt;J31)),0,
   IF(L31="",
      NETWORKDAYS(J31,TODAY(),Hoja2!$A$2:$A$53),
      NETWORKDAYS(J31,L31,Hoja2!$A$2:$A$53)
   )
)</f>
        <v>2</v>
      </c>
      <c r="N31" s="41"/>
      <c r="O31" s="41"/>
      <c r="P31" s="41"/>
      <c r="Q31" s="92"/>
      <c r="R31" s="38" t="s">
        <v>39</v>
      </c>
      <c r="S31" s="39"/>
      <c r="T31" s="39"/>
      <c r="U31" s="39"/>
      <c r="V31" s="39"/>
      <c r="W31" s="39"/>
      <c r="X31" s="39"/>
      <c r="Y31" s="39"/>
      <c r="Z31" s="39"/>
      <c r="AA31" s="39"/>
      <c r="AB31" s="39"/>
      <c r="AC31" s="39"/>
      <c r="AD31" s="39"/>
      <c r="AE31" s="39"/>
      <c r="AF31" s="39"/>
      <c r="AG31" s="39"/>
      <c r="AH31" s="39"/>
      <c r="AI31" s="39"/>
      <c r="AJ31" s="39"/>
      <c r="AK31" s="39"/>
      <c r="AL31" s="39"/>
      <c r="AM31" s="39"/>
      <c r="AN31" s="39"/>
    </row>
    <row r="32" spans="1:40" ht="38.25">
      <c r="A32" s="14" t="s">
        <v>108</v>
      </c>
      <c r="B32" s="63" t="s">
        <v>126</v>
      </c>
      <c r="C32" s="87" t="s">
        <v>127</v>
      </c>
      <c r="D32" s="87" t="s">
        <v>111</v>
      </c>
      <c r="E32" s="97"/>
      <c r="F32" s="83" t="s">
        <v>46</v>
      </c>
      <c r="G32" s="19">
        <v>100</v>
      </c>
      <c r="H32" s="20">
        <f>IF(OR(J32="",K32="",K32&lt;J32),0,NETWORKDAYS(J32,K32,Hoja2!$A$2:$A$53))</f>
        <v>0</v>
      </c>
      <c r="I32" s="44"/>
      <c r="J32" s="94">
        <v>45904</v>
      </c>
      <c r="K32" s="44"/>
      <c r="L32" s="94">
        <v>45904</v>
      </c>
      <c r="M32" s="23">
        <f ca="1">IF(OR(J32="",AND(L32="",TODAY()&lt;J32),AND(L32&lt;&gt;"",L32&lt;J32)),0,
   IF(L32="",
      NETWORKDAYS(J32,TODAY(),Hoja2!$A$2:$A$53),
      NETWORKDAYS(J32,L32,Hoja2!$A$2:$A$53)
   )
)</f>
        <v>1</v>
      </c>
      <c r="N32" s="44"/>
      <c r="O32" s="44"/>
      <c r="P32" s="44"/>
      <c r="Q32" s="89"/>
      <c r="R32" s="25" t="s">
        <v>39</v>
      </c>
      <c r="S32" s="26"/>
      <c r="T32" s="26"/>
      <c r="U32" s="26"/>
      <c r="V32" s="26"/>
      <c r="W32" s="26"/>
      <c r="X32" s="26"/>
      <c r="Y32" s="26"/>
      <c r="Z32" s="26"/>
      <c r="AA32" s="26"/>
      <c r="AB32" s="26"/>
      <c r="AC32" s="26"/>
      <c r="AD32" s="26"/>
      <c r="AE32" s="26"/>
      <c r="AF32" s="26"/>
      <c r="AG32" s="26"/>
      <c r="AH32" s="26"/>
      <c r="AI32" s="26"/>
      <c r="AJ32" s="26"/>
      <c r="AK32" s="26"/>
      <c r="AL32" s="26"/>
      <c r="AM32" s="26"/>
      <c r="AN32" s="26"/>
    </row>
    <row r="33" spans="1:40">
      <c r="A33" s="27" t="s">
        <v>18</v>
      </c>
      <c r="B33" s="28" t="s">
        <v>128</v>
      </c>
      <c r="C33" s="84" t="s">
        <v>129</v>
      </c>
      <c r="D33" s="90" t="s">
        <v>130</v>
      </c>
      <c r="E33" s="95"/>
      <c r="F33" s="82" t="s">
        <v>46</v>
      </c>
      <c r="G33" s="32">
        <v>100</v>
      </c>
      <c r="H33" s="33">
        <f>IF(OR(J33="",K33="",K33&lt;J33),0,NETWORKDAYS(J33,K33,Hoja2!$A$2:$A$53))</f>
        <v>0</v>
      </c>
      <c r="I33" s="41"/>
      <c r="J33" s="47">
        <v>45916</v>
      </c>
      <c r="K33" s="41"/>
      <c r="L33" s="76">
        <v>45918</v>
      </c>
      <c r="M33" s="36">
        <f ca="1">IF(OR(J33="",AND(L33="",TODAY()&lt;J33),AND(L33&lt;&gt;"",L33&lt;J33)),0,
   IF(L33="",
      NETWORKDAYS(J33,TODAY(),Hoja2!$A$2:$A$53),
      NETWORKDAYS(J33,L33,Hoja2!$A$2:$A$53)
   )
)</f>
        <v>3</v>
      </c>
      <c r="N33" s="41"/>
      <c r="O33" s="41"/>
      <c r="P33" s="41"/>
      <c r="Q33" s="98" t="s">
        <v>131</v>
      </c>
      <c r="R33" s="38" t="s">
        <v>39</v>
      </c>
      <c r="S33" s="39"/>
      <c r="T33" s="39"/>
      <c r="U33" s="39"/>
      <c r="V33" s="39"/>
      <c r="W33" s="39"/>
      <c r="X33" s="39"/>
      <c r="Y33" s="39"/>
      <c r="Z33" s="39"/>
      <c r="AA33" s="39"/>
      <c r="AB33" s="39"/>
      <c r="AC33" s="39"/>
      <c r="AD33" s="39"/>
      <c r="AE33" s="39"/>
      <c r="AF33" s="39"/>
      <c r="AG33" s="39"/>
      <c r="AH33" s="39"/>
      <c r="AI33" s="39"/>
      <c r="AJ33" s="39"/>
      <c r="AK33" s="39"/>
      <c r="AL33" s="39"/>
      <c r="AM33" s="39"/>
      <c r="AN33" s="39"/>
    </row>
    <row r="34" spans="1:40" ht="38.25">
      <c r="A34" s="14" t="s">
        <v>108</v>
      </c>
      <c r="B34" s="15" t="s">
        <v>132</v>
      </c>
      <c r="C34" s="87" t="s">
        <v>133</v>
      </c>
      <c r="D34" s="87" t="s">
        <v>111</v>
      </c>
      <c r="E34" s="93"/>
      <c r="F34" s="83" t="s">
        <v>46</v>
      </c>
      <c r="G34" s="19">
        <v>100</v>
      </c>
      <c r="H34" s="20">
        <f>IF(OR(J34="",K34="",K34&lt;J34),0,NETWORKDAYS(J34,K34,Hoja2!$A$2:$A$53))</f>
        <v>0</v>
      </c>
      <c r="I34" s="44"/>
      <c r="J34" s="94">
        <v>45924</v>
      </c>
      <c r="K34" s="44"/>
      <c r="L34" s="68">
        <v>45926</v>
      </c>
      <c r="M34" s="23">
        <f ca="1">IF(OR(J34="",AND(L34="",TODAY()&lt;J34),AND(L34&lt;&gt;"",L34&lt;J34)),0,
   IF(L34="",
      NETWORKDAYS(J34,TODAY(),Hoja2!$A$2:$A$53),
      NETWORKDAYS(J34,L34,Hoja2!$A$2:$A$53)
   )
)</f>
        <v>3</v>
      </c>
      <c r="N34" s="44"/>
      <c r="O34" s="44"/>
      <c r="P34" s="44"/>
      <c r="Q34" s="89"/>
      <c r="R34" s="25" t="s">
        <v>39</v>
      </c>
      <c r="S34" s="26"/>
      <c r="T34" s="26"/>
      <c r="U34" s="26"/>
      <c r="V34" s="26"/>
      <c r="W34" s="26"/>
      <c r="X34" s="26"/>
      <c r="Y34" s="26"/>
      <c r="Z34" s="26"/>
      <c r="AA34" s="26"/>
      <c r="AB34" s="26"/>
      <c r="AC34" s="26"/>
      <c r="AD34" s="26"/>
      <c r="AE34" s="26"/>
      <c r="AF34" s="26"/>
      <c r="AG34" s="26"/>
      <c r="AH34" s="26"/>
      <c r="AI34" s="26"/>
      <c r="AJ34" s="26"/>
      <c r="AK34" s="26"/>
      <c r="AL34" s="26"/>
      <c r="AM34" s="26"/>
      <c r="AN34" s="26"/>
    </row>
    <row r="35" spans="1:40" ht="144">
      <c r="A35" s="27" t="s">
        <v>18</v>
      </c>
      <c r="B35" s="28" t="s">
        <v>134</v>
      </c>
      <c r="C35" s="84" t="s">
        <v>135</v>
      </c>
      <c r="D35" s="99" t="s">
        <v>136</v>
      </c>
      <c r="E35" s="30"/>
      <c r="F35" s="70" t="s">
        <v>137</v>
      </c>
      <c r="G35" s="32">
        <v>95</v>
      </c>
      <c r="H35" s="33">
        <f>IF(OR(J35="",K35="",K35&lt;J35),0,NETWORKDAYS(J35,K35,Hoja2!$A$2:$A$53))</f>
        <v>18</v>
      </c>
      <c r="I35" s="41"/>
      <c r="J35" s="46">
        <v>45929</v>
      </c>
      <c r="K35" s="76">
        <v>45953</v>
      </c>
      <c r="L35" s="41"/>
      <c r="M35" s="36">
        <f ca="1">IF(OR(J35="",AND(L35="",TODAY()&lt;J35),AND(L35&lt;&gt;"",L35&lt;J35)),0,
   IF(L35="",
      NETWORKDAYS(J35,TODAY(),Hoja2!$A$2:$A$53),
      NETWORKDAYS(J35,L35,Hoja2!$A$2:$A$53)
   )
)</f>
        <v>177</v>
      </c>
      <c r="N35" s="76"/>
      <c r="O35" s="76">
        <v>45953</v>
      </c>
      <c r="P35" s="41"/>
      <c r="Q35" s="37" t="s">
        <v>138</v>
      </c>
      <c r="R35" s="38" t="s">
        <v>39</v>
      </c>
      <c r="S35" s="39"/>
      <c r="T35" s="39"/>
      <c r="U35" s="39"/>
      <c r="V35" s="39"/>
      <c r="W35" s="39"/>
      <c r="X35" s="39"/>
      <c r="Y35" s="39"/>
      <c r="Z35" s="39"/>
      <c r="AA35" s="39"/>
      <c r="AB35" s="39"/>
      <c r="AC35" s="39"/>
      <c r="AD35" s="39"/>
      <c r="AE35" s="39"/>
      <c r="AF35" s="39"/>
      <c r="AG35" s="39"/>
      <c r="AH35" s="39"/>
      <c r="AI35" s="39"/>
      <c r="AJ35" s="39"/>
      <c r="AK35" s="39"/>
      <c r="AL35" s="39"/>
      <c r="AM35" s="39"/>
      <c r="AN35" s="39"/>
    </row>
    <row r="36" spans="1:40" ht="108">
      <c r="A36" s="14" t="s">
        <v>108</v>
      </c>
      <c r="B36" s="15" t="s">
        <v>139</v>
      </c>
      <c r="C36" s="87" t="s">
        <v>140</v>
      </c>
      <c r="D36" s="100" t="s">
        <v>141</v>
      </c>
      <c r="E36" s="17"/>
      <c r="F36" s="43" t="s">
        <v>46</v>
      </c>
      <c r="G36" s="19">
        <v>100</v>
      </c>
      <c r="H36" s="20">
        <f>IF(OR(J36="",K36="",K36&lt;J36),0,NETWORKDAYS(J36,K36,Hoja2!$A$2:$A$53))</f>
        <v>9</v>
      </c>
      <c r="I36" s="44"/>
      <c r="J36" s="53">
        <v>45929</v>
      </c>
      <c r="K36" s="68">
        <v>45939</v>
      </c>
      <c r="L36" s="68">
        <v>45974</v>
      </c>
      <c r="M36" s="23">
        <f ca="1">IF(OR(J36="",AND(L36="",TODAY()&lt;J36),AND(L36&lt;&gt;"",L36&lt;J36)),0,
   IF(L36="",
      NETWORKDAYS(J36,TODAY(),Hoja2!$A$2:$A$53),
      NETWORKDAYS(J36,L36,Hoja2!$A$2:$A$53)
   )
)</f>
        <v>32</v>
      </c>
      <c r="N36" s="68"/>
      <c r="O36" s="68">
        <v>45940</v>
      </c>
      <c r="P36" s="68">
        <v>45974</v>
      </c>
      <c r="Q36" s="24" t="s">
        <v>73</v>
      </c>
      <c r="R36" s="25" t="s">
        <v>39</v>
      </c>
      <c r="S36" s="26"/>
      <c r="T36" s="26"/>
      <c r="U36" s="26"/>
      <c r="V36" s="26"/>
      <c r="W36" s="26"/>
      <c r="X36" s="26"/>
      <c r="Y36" s="26"/>
      <c r="Z36" s="26"/>
      <c r="AA36" s="26"/>
      <c r="AB36" s="26"/>
      <c r="AC36" s="26"/>
      <c r="AD36" s="26"/>
      <c r="AE36" s="26"/>
      <c r="AF36" s="26"/>
      <c r="AG36" s="26"/>
      <c r="AH36" s="26"/>
      <c r="AI36" s="26"/>
      <c r="AJ36" s="26"/>
      <c r="AK36" s="26"/>
      <c r="AL36" s="26"/>
      <c r="AM36" s="26"/>
      <c r="AN36" s="26"/>
    </row>
    <row r="37" spans="1:40">
      <c r="A37" s="27" t="s">
        <v>18</v>
      </c>
      <c r="B37" s="28" t="s">
        <v>142</v>
      </c>
      <c r="C37" s="84" t="s">
        <v>143</v>
      </c>
      <c r="D37" s="90" t="s">
        <v>144</v>
      </c>
      <c r="E37" s="95"/>
      <c r="F37" s="101" t="s">
        <v>46</v>
      </c>
      <c r="G37" s="102">
        <v>100</v>
      </c>
      <c r="H37" s="33">
        <f>IF(OR(J37="",K37="",K37&lt;J37),0,NETWORKDAYS(J37,K37,Hoja2!$A$2:$A$53))</f>
        <v>0</v>
      </c>
      <c r="I37" s="41"/>
      <c r="J37" s="47">
        <v>45953</v>
      </c>
      <c r="K37" s="41"/>
      <c r="L37" s="76">
        <v>45953</v>
      </c>
      <c r="M37" s="36">
        <f ca="1">IF(OR(J37="",AND(L37="",TODAY()&lt;J37),AND(L37&lt;&gt;"",L37&lt;J37)),0,
   IF(L37="",
      NETWORKDAYS(J37,TODAY(),Hoja2!$A$2:$A$53),
      NETWORKDAYS(J37,L37,Hoja2!$A$2:$A$53)
   )
)</f>
        <v>1</v>
      </c>
      <c r="N37" s="41"/>
      <c r="O37" s="41"/>
      <c r="P37" s="41"/>
      <c r="Q37" s="86"/>
      <c r="R37" s="38" t="s">
        <v>39</v>
      </c>
      <c r="S37" s="39"/>
      <c r="T37" s="39"/>
      <c r="U37" s="39"/>
      <c r="V37" s="39"/>
      <c r="W37" s="39"/>
      <c r="X37" s="39"/>
      <c r="Y37" s="39"/>
      <c r="Z37" s="39"/>
      <c r="AA37" s="39"/>
      <c r="AB37" s="39"/>
      <c r="AC37" s="39"/>
      <c r="AD37" s="39"/>
      <c r="AE37" s="39"/>
      <c r="AF37" s="39"/>
      <c r="AG37" s="39"/>
      <c r="AH37" s="39"/>
      <c r="AI37" s="39"/>
      <c r="AJ37" s="39"/>
      <c r="AK37" s="39"/>
      <c r="AL37" s="39"/>
      <c r="AM37" s="39"/>
      <c r="AN37" s="39"/>
    </row>
    <row r="38" spans="1:40" ht="38.25">
      <c r="A38" s="14" t="s">
        <v>18</v>
      </c>
      <c r="B38" s="15" t="s">
        <v>145</v>
      </c>
      <c r="C38" s="87" t="s">
        <v>146</v>
      </c>
      <c r="D38" s="87" t="s">
        <v>111</v>
      </c>
      <c r="E38" s="93"/>
      <c r="F38" s="103" t="s">
        <v>46</v>
      </c>
      <c r="G38" s="104">
        <v>100</v>
      </c>
      <c r="H38" s="20">
        <f>IF(OR(J38="",K38="",K38&lt;J38),0,NETWORKDAYS(J38,K38,Hoja2!$A$2:$A$53))</f>
        <v>0</v>
      </c>
      <c r="I38" s="44"/>
      <c r="J38" s="94">
        <v>45953</v>
      </c>
      <c r="K38" s="44"/>
      <c r="L38" s="68">
        <v>45954</v>
      </c>
      <c r="M38" s="23">
        <f ca="1">IF(OR(J38="",AND(L38="",TODAY()&lt;J38),AND(L38&lt;&gt;"",L38&lt;J38)),0,
   IF(L38="",
      NETWORKDAYS(J38,TODAY(),Hoja2!$A$2:$A$53),
      NETWORKDAYS(J38,L38,Hoja2!$A$2:$A$53)
   )
)</f>
        <v>2</v>
      </c>
      <c r="N38" s="44"/>
      <c r="O38" s="44"/>
      <c r="P38" s="44"/>
      <c r="Q38" s="105" t="s">
        <v>147</v>
      </c>
      <c r="R38" s="25" t="s">
        <v>39</v>
      </c>
      <c r="S38" s="26"/>
      <c r="T38" s="26"/>
      <c r="U38" s="26"/>
      <c r="V38" s="26"/>
      <c r="W38" s="26"/>
      <c r="X38" s="26"/>
      <c r="Y38" s="26"/>
      <c r="Z38" s="26"/>
      <c r="AA38" s="26"/>
      <c r="AB38" s="26"/>
      <c r="AC38" s="26"/>
      <c r="AD38" s="26"/>
      <c r="AE38" s="26"/>
      <c r="AF38" s="26"/>
      <c r="AG38" s="26"/>
      <c r="AH38" s="26"/>
      <c r="AI38" s="26"/>
      <c r="AJ38" s="26"/>
      <c r="AK38" s="26"/>
      <c r="AL38" s="26"/>
      <c r="AM38" s="26"/>
      <c r="AN38" s="26"/>
    </row>
    <row r="39" spans="1:40">
      <c r="A39" s="27" t="s">
        <v>18</v>
      </c>
      <c r="B39" s="28" t="s">
        <v>148</v>
      </c>
      <c r="C39" s="84" t="s">
        <v>143</v>
      </c>
      <c r="D39" s="90" t="s">
        <v>149</v>
      </c>
      <c r="E39" s="95"/>
      <c r="F39" s="101" t="s">
        <v>46</v>
      </c>
      <c r="G39" s="102">
        <v>100</v>
      </c>
      <c r="H39" s="33">
        <f>IF(OR(J39="",K39="",K39&lt;J39),0,NETWORKDAYS(J39,K39,Hoja2!$A$2:$A$53))</f>
        <v>0</v>
      </c>
      <c r="I39" s="41"/>
      <c r="J39" s="47">
        <v>45954</v>
      </c>
      <c r="K39" s="41"/>
      <c r="L39" s="76">
        <v>45954</v>
      </c>
      <c r="M39" s="36">
        <f ca="1">IF(OR(J39="",AND(L39="",TODAY()&lt;J39),AND(L39&lt;&gt;"",L39&lt;J39)),0,
   IF(L39="",
      NETWORKDAYS(J39,TODAY(),Hoja2!$A$2:$A$53),
      NETWORKDAYS(J39,L39,Hoja2!$A$2:$A$53)
   )
)</f>
        <v>1</v>
      </c>
      <c r="N39" s="41"/>
      <c r="O39" s="41"/>
      <c r="P39" s="41"/>
      <c r="Q39" s="86"/>
      <c r="R39" s="38" t="s">
        <v>39</v>
      </c>
      <c r="S39" s="106"/>
      <c r="T39" s="107"/>
      <c r="U39" s="107"/>
      <c r="V39" s="107"/>
      <c r="W39" s="107"/>
      <c r="X39" s="107"/>
      <c r="Y39" s="107"/>
      <c r="Z39" s="107"/>
      <c r="AA39" s="107"/>
      <c r="AB39" s="107"/>
      <c r="AC39" s="107"/>
      <c r="AD39" s="107"/>
      <c r="AE39" s="107"/>
      <c r="AF39" s="107"/>
      <c r="AG39" s="107"/>
      <c r="AH39" s="107"/>
      <c r="AI39" s="107"/>
      <c r="AJ39" s="107"/>
      <c r="AK39" s="107"/>
      <c r="AL39" s="107"/>
      <c r="AM39" s="107"/>
      <c r="AN39" s="108"/>
    </row>
    <row r="40" spans="1:40">
      <c r="A40" s="14" t="s">
        <v>18</v>
      </c>
      <c r="B40" s="15" t="s">
        <v>150</v>
      </c>
      <c r="C40" s="87" t="s">
        <v>143</v>
      </c>
      <c r="D40" s="91" t="s">
        <v>151</v>
      </c>
      <c r="E40" s="93"/>
      <c r="F40" s="103" t="s">
        <v>46</v>
      </c>
      <c r="G40" s="104">
        <v>100</v>
      </c>
      <c r="H40" s="20">
        <f>IF(OR(J40="",K40="",K40&lt;J40),0,NETWORKDAYS(J40,K40,Hoja2!$A$2:$A$53))</f>
        <v>0</v>
      </c>
      <c r="I40" s="44"/>
      <c r="J40" s="94">
        <v>45954</v>
      </c>
      <c r="K40" s="44"/>
      <c r="L40" s="68">
        <v>45954</v>
      </c>
      <c r="M40" s="23">
        <f ca="1">IF(OR(J40="",AND(L40="",TODAY()&lt;J40),AND(L40&lt;&gt;"",L40&lt;J40)),0,
   IF(L40="",
      NETWORKDAYS(J40,TODAY(),Hoja2!$A$2:$A$53),
      NETWORKDAYS(J40,L40,Hoja2!$A$2:$A$53)
   )
)</f>
        <v>1</v>
      </c>
      <c r="N40" s="44"/>
      <c r="O40" s="44"/>
      <c r="P40" s="44"/>
      <c r="Q40" s="105" t="s">
        <v>152</v>
      </c>
      <c r="R40" s="25" t="s">
        <v>39</v>
      </c>
      <c r="S40" s="109"/>
      <c r="T40" s="110"/>
      <c r="U40" s="110"/>
      <c r="V40" s="110"/>
      <c r="W40" s="110"/>
      <c r="X40" s="110"/>
      <c r="Y40" s="110"/>
      <c r="Z40" s="110"/>
      <c r="AA40" s="110"/>
      <c r="AB40" s="110"/>
      <c r="AC40" s="110"/>
      <c r="AD40" s="110"/>
      <c r="AE40" s="110"/>
      <c r="AF40" s="110"/>
      <c r="AG40" s="110"/>
      <c r="AH40" s="110"/>
      <c r="AI40" s="110"/>
      <c r="AJ40" s="110"/>
      <c r="AK40" s="110"/>
      <c r="AL40" s="110"/>
      <c r="AM40" s="110"/>
      <c r="AN40" s="111"/>
    </row>
    <row r="41" spans="1:40">
      <c r="A41" s="27" t="s">
        <v>25</v>
      </c>
      <c r="B41" s="28" t="s">
        <v>153</v>
      </c>
      <c r="C41" s="84" t="s">
        <v>154</v>
      </c>
      <c r="D41" s="90" t="s">
        <v>155</v>
      </c>
      <c r="E41" s="95"/>
      <c r="F41" s="101" t="s">
        <v>46</v>
      </c>
      <c r="G41" s="102">
        <v>100</v>
      </c>
      <c r="H41" s="33">
        <f>IF(OR(J41="",K41="",K41&lt;J41),0,NETWORKDAYS(J41,K41,Hoja2!$A$2:$A$53))</f>
        <v>0</v>
      </c>
      <c r="I41" s="41"/>
      <c r="J41" s="47">
        <v>45960</v>
      </c>
      <c r="K41" s="41"/>
      <c r="L41" s="47">
        <v>45960</v>
      </c>
      <c r="M41" s="36">
        <f ca="1">IF(OR(J41="",AND(L41="",TODAY()&lt;J41),AND(L41&lt;&gt;"",L41&lt;J41)),0,
   IF(L41="",
      NETWORKDAYS(J41,TODAY(),Hoja2!$A$2:$A$53),
      NETWORKDAYS(J41,L41,Hoja2!$A$2:$A$53)
   )
)</f>
        <v>1</v>
      </c>
      <c r="N41" s="41"/>
      <c r="O41" s="41"/>
      <c r="P41" s="41"/>
      <c r="Q41" s="98" t="s">
        <v>156</v>
      </c>
      <c r="R41" s="38" t="s">
        <v>39</v>
      </c>
      <c r="S41" s="106"/>
      <c r="T41" s="107"/>
      <c r="U41" s="107"/>
      <c r="V41" s="107"/>
      <c r="W41" s="107"/>
      <c r="X41" s="107"/>
      <c r="Y41" s="107"/>
      <c r="Z41" s="107"/>
      <c r="AA41" s="107"/>
      <c r="AB41" s="107"/>
      <c r="AC41" s="107"/>
      <c r="AD41" s="107"/>
      <c r="AE41" s="107"/>
      <c r="AF41" s="107"/>
      <c r="AG41" s="107"/>
      <c r="AH41" s="107"/>
      <c r="AI41" s="107"/>
      <c r="AJ41" s="107"/>
      <c r="AK41" s="107"/>
      <c r="AL41" s="107"/>
      <c r="AM41" s="107"/>
      <c r="AN41" s="108"/>
    </row>
    <row r="42" spans="1:40">
      <c r="A42" s="14" t="s">
        <v>25</v>
      </c>
      <c r="B42" s="15" t="s">
        <v>157</v>
      </c>
      <c r="C42" s="87" t="s">
        <v>154</v>
      </c>
      <c r="D42" s="91" t="s">
        <v>155</v>
      </c>
      <c r="E42" s="93"/>
      <c r="F42" s="103" t="s">
        <v>46</v>
      </c>
      <c r="G42" s="104">
        <v>100</v>
      </c>
      <c r="H42" s="20">
        <f>IF(OR(J42="",K42="",K42&lt;J42),0,NETWORKDAYS(J42,K42,Hoja2!$A$2:$A$53))</f>
        <v>0</v>
      </c>
      <c r="I42" s="44"/>
      <c r="J42" s="94">
        <v>45961</v>
      </c>
      <c r="K42" s="44"/>
      <c r="L42" s="94">
        <v>45961</v>
      </c>
      <c r="M42" s="23">
        <f ca="1">IF(OR(J42="",AND(L42="",TODAY()&lt;J42),AND(L42&lt;&gt;"",L42&lt;J42)),0,
   IF(L42="",
      NETWORKDAYS(J42,TODAY(),Hoja2!$A$2:$A$53),
      NETWORKDAYS(J42,L42,Hoja2!$A$2:$A$53)
   )
)</f>
        <v>1</v>
      </c>
      <c r="N42" s="44"/>
      <c r="O42" s="44"/>
      <c r="P42" s="44"/>
      <c r="Q42" s="105" t="s">
        <v>156</v>
      </c>
      <c r="R42" s="25" t="s">
        <v>39</v>
      </c>
      <c r="S42" s="109"/>
      <c r="T42" s="110"/>
      <c r="U42" s="110"/>
      <c r="V42" s="110"/>
      <c r="W42" s="110"/>
      <c r="X42" s="110"/>
      <c r="Y42" s="110"/>
      <c r="Z42" s="110"/>
      <c r="AA42" s="110"/>
      <c r="AB42" s="110"/>
      <c r="AC42" s="110"/>
      <c r="AD42" s="110"/>
      <c r="AE42" s="110"/>
      <c r="AF42" s="110"/>
      <c r="AG42" s="110"/>
      <c r="AH42" s="110"/>
      <c r="AI42" s="110"/>
      <c r="AJ42" s="110"/>
      <c r="AK42" s="110"/>
      <c r="AL42" s="110"/>
      <c r="AM42" s="110"/>
      <c r="AN42" s="111"/>
    </row>
    <row r="43" spans="1:40" ht="25.5">
      <c r="A43" s="27" t="s">
        <v>18</v>
      </c>
      <c r="B43" s="28" t="s">
        <v>158</v>
      </c>
      <c r="C43" s="84" t="s">
        <v>159</v>
      </c>
      <c r="D43" s="90" t="s">
        <v>160</v>
      </c>
      <c r="E43" s="95"/>
      <c r="F43" s="101" t="s">
        <v>22</v>
      </c>
      <c r="G43" s="102">
        <v>20</v>
      </c>
      <c r="H43" s="33">
        <f>IF(OR(J43="",K43="",K43&lt;J43),0,NETWORKDAYS(J43,K43,Hoja2!$A$2:$A$53))</f>
        <v>0</v>
      </c>
      <c r="I43" s="41"/>
      <c r="J43" s="47">
        <v>45931</v>
      </c>
      <c r="K43" s="41"/>
      <c r="L43" s="76"/>
      <c r="M43" s="36">
        <f ca="1">IF(OR(J43="",AND(L43="",TODAY()&lt;J43),AND(L43&lt;&gt;"",L43&lt;J43)),0,
   IF(L43="",
      NETWORKDAYS(J43,TODAY(),Hoja2!$A$2:$A$53),
      NETWORKDAYS(J43,L43,Hoja2!$A$2:$A$53)
   )
)</f>
        <v>175</v>
      </c>
      <c r="N43" s="41"/>
      <c r="O43" s="41"/>
      <c r="P43" s="41"/>
      <c r="Q43" s="98" t="s">
        <v>161</v>
      </c>
      <c r="R43" s="38" t="s">
        <v>39</v>
      </c>
      <c r="S43" s="106"/>
      <c r="T43" s="107"/>
      <c r="U43" s="107"/>
      <c r="V43" s="107"/>
      <c r="W43" s="107"/>
      <c r="X43" s="107"/>
      <c r="Y43" s="107"/>
      <c r="Z43" s="107"/>
      <c r="AA43" s="107"/>
      <c r="AB43" s="107"/>
      <c r="AC43" s="107"/>
      <c r="AD43" s="107"/>
      <c r="AE43" s="107"/>
      <c r="AF43" s="107"/>
      <c r="AG43" s="107"/>
      <c r="AH43" s="107"/>
      <c r="AI43" s="107"/>
      <c r="AJ43" s="107"/>
      <c r="AK43" s="107"/>
      <c r="AL43" s="107"/>
      <c r="AM43" s="107"/>
      <c r="AN43" s="108"/>
    </row>
    <row r="44" spans="1:40" ht="25.5">
      <c r="A44" s="14" t="s">
        <v>18</v>
      </c>
      <c r="B44" s="15" t="s">
        <v>162</v>
      </c>
      <c r="C44" s="87" t="s">
        <v>163</v>
      </c>
      <c r="D44" s="91" t="s">
        <v>164</v>
      </c>
      <c r="E44" s="93"/>
      <c r="F44" s="103" t="s">
        <v>46</v>
      </c>
      <c r="G44" s="104">
        <v>100</v>
      </c>
      <c r="H44" s="20">
        <f>IF(OR(J44="",K44="",K44&lt;J44),0,NETWORKDAYS(J44,K44,Hoja2!$A$2:$A$53))</f>
        <v>0</v>
      </c>
      <c r="I44" s="44"/>
      <c r="J44" s="94">
        <v>45961</v>
      </c>
      <c r="K44" s="44"/>
      <c r="L44" s="68">
        <v>45992</v>
      </c>
      <c r="M44" s="23">
        <f ca="1">IF(OR(J44="",AND(L44="",TODAY()&lt;J44),AND(L44&lt;&gt;"",L44&lt;J44)),0,
   IF(L44="",
      NETWORKDAYS(J44,TODAY(),Hoja2!$A$2:$A$53),
      NETWORKDAYS(J44,L44,Hoja2!$A$2:$A$53)
   )
)</f>
        <v>20</v>
      </c>
      <c r="N44" s="44"/>
      <c r="O44" s="44"/>
      <c r="P44" s="44"/>
      <c r="Q44" s="105" t="s">
        <v>165</v>
      </c>
      <c r="R44" s="25" t="s">
        <v>39</v>
      </c>
      <c r="S44" s="109"/>
      <c r="T44" s="110"/>
      <c r="U44" s="110"/>
      <c r="V44" s="110"/>
      <c r="W44" s="110"/>
      <c r="X44" s="110"/>
      <c r="Y44" s="110"/>
      <c r="Z44" s="110"/>
      <c r="AA44" s="110"/>
      <c r="AB44" s="110"/>
      <c r="AC44" s="110"/>
      <c r="AD44" s="110"/>
      <c r="AE44" s="110"/>
      <c r="AF44" s="110"/>
      <c r="AG44" s="110"/>
      <c r="AH44" s="110"/>
      <c r="AI44" s="110"/>
      <c r="AJ44" s="110"/>
      <c r="AK44" s="110"/>
      <c r="AL44" s="110"/>
      <c r="AM44" s="110"/>
      <c r="AN44" s="111"/>
    </row>
    <row r="45" spans="1:40">
      <c r="A45" s="112" t="s">
        <v>18</v>
      </c>
      <c r="B45" s="28" t="s">
        <v>166</v>
      </c>
      <c r="C45" s="84" t="s">
        <v>154</v>
      </c>
      <c r="D45" s="90" t="s">
        <v>155</v>
      </c>
      <c r="E45" s="95"/>
      <c r="F45" s="101" t="s">
        <v>46</v>
      </c>
      <c r="G45" s="102">
        <v>100</v>
      </c>
      <c r="H45" s="33">
        <f>IF(OR(J45="",K45="",K45&lt;J45),0,NETWORKDAYS(J45,K45,Hoja2!$A$2:$A$53))</f>
        <v>0</v>
      </c>
      <c r="I45" s="41"/>
      <c r="J45" s="47">
        <v>45965</v>
      </c>
      <c r="K45" s="41"/>
      <c r="L45" s="76">
        <v>45965</v>
      </c>
      <c r="M45" s="36">
        <f ca="1">IF(OR(J45="",AND(L45="",TODAY()&lt;J45),AND(L45&lt;&gt;"",L45&lt;J45)),0,
   IF(L45="",
      NETWORKDAYS(J45,TODAY(),Hoja2!$A$2:$A$53),
      NETWORKDAYS(J45,L45,Hoja2!$A$2:$A$53)
   )
)</f>
        <v>1</v>
      </c>
      <c r="N45" s="41"/>
      <c r="O45" s="41"/>
      <c r="P45" s="76">
        <v>45992</v>
      </c>
      <c r="Q45" s="98" t="s">
        <v>167</v>
      </c>
      <c r="R45" s="38" t="s">
        <v>39</v>
      </c>
      <c r="S45" s="113"/>
      <c r="T45" s="114"/>
      <c r="U45" s="114"/>
      <c r="V45" s="114"/>
      <c r="W45" s="114"/>
      <c r="X45" s="114"/>
      <c r="Y45" s="114"/>
      <c r="Z45" s="114"/>
      <c r="AA45" s="114"/>
      <c r="AB45" s="114"/>
      <c r="AC45" s="114"/>
      <c r="AD45" s="114"/>
      <c r="AE45" s="114"/>
      <c r="AF45" s="114"/>
      <c r="AG45" s="114"/>
      <c r="AH45" s="114"/>
      <c r="AI45" s="114"/>
      <c r="AJ45" s="114"/>
      <c r="AK45" s="114"/>
      <c r="AL45" s="114"/>
      <c r="AM45" s="114"/>
      <c r="AN45" s="115"/>
    </row>
    <row r="46" spans="1:40" ht="25.5">
      <c r="A46" s="116" t="s">
        <v>18</v>
      </c>
      <c r="B46" s="15" t="s">
        <v>168</v>
      </c>
      <c r="C46" s="87" t="s">
        <v>169</v>
      </c>
      <c r="D46" s="91" t="s">
        <v>170</v>
      </c>
      <c r="E46" s="93"/>
      <c r="F46" s="103" t="s">
        <v>46</v>
      </c>
      <c r="G46" s="104">
        <v>100</v>
      </c>
      <c r="H46" s="20">
        <f>IF(OR(J46="",K46="",K46&lt;J46),0,NETWORKDAYS(J46,K46,Hoja2!$A$2:$A$53))</f>
        <v>0</v>
      </c>
      <c r="I46" s="44"/>
      <c r="J46" s="94">
        <v>45965</v>
      </c>
      <c r="K46" s="44"/>
      <c r="L46" s="68">
        <v>45965</v>
      </c>
      <c r="M46" s="23">
        <f ca="1">IF(OR(J46="",AND(L46="",TODAY()&lt;J46),AND(L46&lt;&gt;"",L46&lt;J46)),0,
   IF(L46="",
      NETWORKDAYS(J46,TODAY(),Hoja2!$A$2:$A$53),
      NETWORKDAYS(J46,L46,Hoja2!$A$2:$A$53)
   )
)</f>
        <v>1</v>
      </c>
      <c r="N46" s="44"/>
      <c r="O46" s="44"/>
      <c r="P46" s="44"/>
      <c r="Q46" s="105" t="s">
        <v>171</v>
      </c>
      <c r="R46" s="25" t="s">
        <v>39</v>
      </c>
      <c r="S46" s="109"/>
      <c r="T46" s="110"/>
      <c r="U46" s="110"/>
      <c r="V46" s="110"/>
      <c r="W46" s="110"/>
      <c r="X46" s="110"/>
      <c r="Y46" s="110"/>
      <c r="Z46" s="110"/>
      <c r="AA46" s="110"/>
      <c r="AB46" s="110"/>
      <c r="AC46" s="110"/>
      <c r="AD46" s="110"/>
      <c r="AE46" s="110"/>
      <c r="AF46" s="110"/>
      <c r="AG46" s="110"/>
      <c r="AH46" s="110"/>
      <c r="AI46" s="110"/>
      <c r="AJ46" s="110"/>
      <c r="AK46" s="110"/>
      <c r="AL46" s="110"/>
      <c r="AM46" s="110"/>
      <c r="AN46" s="111"/>
    </row>
    <row r="47" spans="1:40" ht="25.5">
      <c r="A47" s="27" t="s">
        <v>18</v>
      </c>
      <c r="B47" s="28" t="s">
        <v>172</v>
      </c>
      <c r="C47" s="84" t="s">
        <v>173</v>
      </c>
      <c r="D47" s="90" t="s">
        <v>174</v>
      </c>
      <c r="E47" s="95"/>
      <c r="F47" s="101" t="s">
        <v>46</v>
      </c>
      <c r="G47" s="102">
        <v>100</v>
      </c>
      <c r="H47" s="33">
        <f>IF(OR(J47="",K47="",K47&lt;J47),0,NETWORKDAYS(J47,K47,Hoja2!$A$2:$A$53))</f>
        <v>0</v>
      </c>
      <c r="I47" s="41"/>
      <c r="J47" s="47">
        <v>45980</v>
      </c>
      <c r="K47" s="41"/>
      <c r="L47" s="76">
        <v>45982</v>
      </c>
      <c r="M47" s="36">
        <f ca="1">IF(OR(J47="",AND(L47="",TODAY()&lt;J47),AND(L47&lt;&gt;"",L47&lt;J47)),0,
   IF(L47="",
      NETWORKDAYS(J47,TODAY(),Hoja2!$A$2:$A$53),
      NETWORKDAYS(J47,L47,Hoja2!$A$2:$A$53)
   )
)</f>
        <v>3</v>
      </c>
      <c r="N47" s="41"/>
      <c r="O47" s="41"/>
      <c r="P47" s="41"/>
      <c r="Q47" s="98"/>
      <c r="R47" s="38" t="s">
        <v>39</v>
      </c>
      <c r="S47" s="106"/>
      <c r="T47" s="107"/>
      <c r="U47" s="107"/>
      <c r="V47" s="107"/>
      <c r="W47" s="107"/>
      <c r="X47" s="107"/>
      <c r="Y47" s="107"/>
      <c r="Z47" s="107"/>
      <c r="AA47" s="107"/>
      <c r="AB47" s="107"/>
      <c r="AC47" s="107"/>
      <c r="AD47" s="107"/>
      <c r="AE47" s="107"/>
      <c r="AF47" s="107"/>
      <c r="AG47" s="107"/>
      <c r="AH47" s="107"/>
      <c r="AI47" s="107"/>
      <c r="AJ47" s="107"/>
      <c r="AK47" s="107"/>
      <c r="AL47" s="107"/>
      <c r="AM47" s="107"/>
      <c r="AN47" s="108"/>
    </row>
    <row r="48" spans="1:40" ht="24">
      <c r="A48" s="14" t="s">
        <v>108</v>
      </c>
      <c r="B48" s="15" t="s">
        <v>175</v>
      </c>
      <c r="C48" s="87" t="s">
        <v>176</v>
      </c>
      <c r="D48" s="91" t="s">
        <v>177</v>
      </c>
      <c r="E48" s="93"/>
      <c r="F48" s="103" t="s">
        <v>46</v>
      </c>
      <c r="G48" s="104">
        <v>100</v>
      </c>
      <c r="H48" s="20">
        <f>IF(OR(J48="",K48="",K48&lt;J48),0,NETWORKDAYS(J48,K48,Hoja2!$A$2:$A$53))</f>
        <v>0</v>
      </c>
      <c r="I48" s="44"/>
      <c r="J48" s="94">
        <v>45982</v>
      </c>
      <c r="K48" s="44"/>
      <c r="L48" s="68">
        <v>45982</v>
      </c>
      <c r="M48" s="23">
        <f ca="1">IF(OR(J48="",AND(L48="",TODAY()&lt;J48),AND(L48&lt;&gt;"",L48&lt;J48)),0,
   IF(L48="",
      NETWORKDAYS(J48,TODAY(),Hoja2!$A$2:$A$53),
      NETWORKDAYS(J48,L48,Hoja2!$A$2:$A$53)
   )
)</f>
        <v>1</v>
      </c>
      <c r="N48" s="44"/>
      <c r="O48" s="44"/>
      <c r="P48" s="44"/>
      <c r="Q48" s="105" t="s">
        <v>178</v>
      </c>
      <c r="R48" s="25" t="s">
        <v>39</v>
      </c>
      <c r="S48" s="109"/>
      <c r="T48" s="110"/>
      <c r="U48" s="110"/>
      <c r="V48" s="110"/>
      <c r="W48" s="110"/>
      <c r="X48" s="110"/>
      <c r="Y48" s="110"/>
      <c r="Z48" s="110"/>
      <c r="AA48" s="110"/>
      <c r="AB48" s="110"/>
      <c r="AC48" s="110"/>
      <c r="AD48" s="110"/>
      <c r="AE48" s="110"/>
      <c r="AF48" s="110"/>
      <c r="AG48" s="110"/>
      <c r="AH48" s="110"/>
      <c r="AI48" s="110"/>
      <c r="AJ48" s="110"/>
      <c r="AK48" s="110"/>
      <c r="AL48" s="110"/>
      <c r="AM48" s="110"/>
      <c r="AN48" s="111"/>
    </row>
    <row r="49" spans="1:40">
      <c r="A49" s="27" t="s">
        <v>18</v>
      </c>
      <c r="B49" s="28" t="s">
        <v>179</v>
      </c>
      <c r="C49" s="84" t="s">
        <v>176</v>
      </c>
      <c r="D49" s="90" t="s">
        <v>177</v>
      </c>
      <c r="E49" s="95"/>
      <c r="F49" s="101" t="s">
        <v>46</v>
      </c>
      <c r="G49" s="102">
        <v>100</v>
      </c>
      <c r="H49" s="33">
        <f>IF(OR(J49="",K49="",K49&lt;J49),0,NETWORKDAYS(J49,K49,Hoja2!$A$2:$A$53))</f>
        <v>0</v>
      </c>
      <c r="I49" s="41"/>
      <c r="J49" s="47">
        <v>45982</v>
      </c>
      <c r="K49" s="41"/>
      <c r="L49" s="76">
        <v>45982</v>
      </c>
      <c r="M49" s="36">
        <f ca="1">IF(OR(J49="",AND(L49="",TODAY()&lt;J49),AND(L49&lt;&gt;"",L49&lt;J49)),0,
   IF(L49="",
      NETWORKDAYS(J49,TODAY(),Hoja2!$A$2:$A$53),
      NETWORKDAYS(J49,L49,Hoja2!$A$2:$A$53)
   )
)</f>
        <v>1</v>
      </c>
      <c r="N49" s="41"/>
      <c r="O49" s="41"/>
      <c r="P49" s="41"/>
      <c r="Q49" s="98" t="s">
        <v>180</v>
      </c>
      <c r="R49" s="38" t="s">
        <v>39</v>
      </c>
      <c r="S49" s="106"/>
      <c r="T49" s="107"/>
      <c r="U49" s="107"/>
      <c r="V49" s="107"/>
      <c r="W49" s="107"/>
      <c r="X49" s="107"/>
      <c r="Y49" s="107"/>
      <c r="Z49" s="107"/>
      <c r="AA49" s="107"/>
      <c r="AB49" s="107"/>
      <c r="AC49" s="107"/>
      <c r="AD49" s="107"/>
      <c r="AE49" s="107"/>
      <c r="AF49" s="107"/>
      <c r="AG49" s="107"/>
      <c r="AH49" s="107"/>
      <c r="AI49" s="107"/>
      <c r="AJ49" s="107"/>
      <c r="AK49" s="107"/>
      <c r="AL49" s="107"/>
      <c r="AM49" s="107"/>
      <c r="AN49" s="108"/>
    </row>
    <row r="50" spans="1:40">
      <c r="A50" s="116" t="s">
        <v>18</v>
      </c>
      <c r="B50" s="15" t="s">
        <v>181</v>
      </c>
      <c r="C50" s="87" t="s">
        <v>182</v>
      </c>
      <c r="D50" s="91" t="s">
        <v>183</v>
      </c>
      <c r="E50" s="93"/>
      <c r="F50" s="103" t="s">
        <v>46</v>
      </c>
      <c r="G50" s="104">
        <v>100</v>
      </c>
      <c r="H50" s="20">
        <f>IF(OR(J50="",K50="",K50&lt;J50),0,NETWORKDAYS(J50,K50,Hoja2!$A$2:$A$53))</f>
        <v>0</v>
      </c>
      <c r="I50" s="68">
        <v>45985</v>
      </c>
      <c r="J50" s="94">
        <v>45985</v>
      </c>
      <c r="K50" s="44"/>
      <c r="L50" s="68">
        <v>45985</v>
      </c>
      <c r="M50" s="23">
        <f ca="1">IF(OR(J50="",AND(L50="",TODAY()&lt;J50),AND(L50&lt;&gt;"",L50&lt;J50)),0,
   IF(L50="",
      NETWORKDAYS(J50,TODAY(),Hoja2!$A$2:$A$53),
      NETWORKDAYS(J50,L50,Hoja2!$A$2:$A$53)
   )
)</f>
        <v>1</v>
      </c>
      <c r="N50" s="44"/>
      <c r="O50" s="44"/>
      <c r="P50" s="44"/>
      <c r="Q50" s="105" t="s">
        <v>180</v>
      </c>
      <c r="R50" s="25" t="s">
        <v>39</v>
      </c>
      <c r="S50" s="109"/>
      <c r="T50" s="110"/>
      <c r="U50" s="110"/>
      <c r="V50" s="110"/>
      <c r="W50" s="110"/>
      <c r="X50" s="110"/>
      <c r="Y50" s="110"/>
      <c r="Z50" s="110"/>
      <c r="AA50" s="110"/>
      <c r="AB50" s="110"/>
      <c r="AC50" s="110"/>
      <c r="AD50" s="110"/>
      <c r="AE50" s="110"/>
      <c r="AF50" s="110"/>
      <c r="AG50" s="110"/>
      <c r="AH50" s="110"/>
      <c r="AI50" s="110"/>
      <c r="AJ50" s="110"/>
      <c r="AK50" s="110"/>
      <c r="AL50" s="110"/>
      <c r="AM50" s="110"/>
      <c r="AN50" s="111"/>
    </row>
    <row r="51" spans="1:40" ht="36">
      <c r="A51" s="27" t="s">
        <v>25</v>
      </c>
      <c r="B51" s="28" t="s">
        <v>184</v>
      </c>
      <c r="C51" s="84" t="s">
        <v>185</v>
      </c>
      <c r="D51" s="90" t="s">
        <v>186</v>
      </c>
      <c r="E51" s="95"/>
      <c r="F51" s="101" t="s">
        <v>46</v>
      </c>
      <c r="G51" s="102">
        <v>100</v>
      </c>
      <c r="H51" s="33">
        <f>IF(OR(J51="",K51="",K51&lt;J51),0,NETWORKDAYS(J51,K51,Hoja2!$A$2:$A$53))</f>
        <v>0</v>
      </c>
      <c r="I51" s="76">
        <v>45982</v>
      </c>
      <c r="J51" s="76">
        <v>45982</v>
      </c>
      <c r="K51" s="41"/>
      <c r="L51" s="76">
        <v>45987</v>
      </c>
      <c r="M51" s="36">
        <f ca="1">IF(OR(J51="",AND(L51="",TODAY()&lt;J51),AND(L51&lt;&gt;"",L51&lt;J51)),0,
   IF(L51="",
      NETWORKDAYS(J51,TODAY(),Hoja2!$A$2:$A$53),
      NETWORKDAYS(J51,L51,Hoja2!$A$2:$A$53)
   )
)</f>
        <v>4</v>
      </c>
      <c r="N51" s="41"/>
      <c r="O51" s="41"/>
      <c r="P51" s="41"/>
      <c r="Q51" s="37" t="s">
        <v>187</v>
      </c>
      <c r="R51" s="38" t="s">
        <v>39</v>
      </c>
      <c r="S51" s="113"/>
      <c r="T51" s="114"/>
      <c r="U51" s="114"/>
      <c r="V51" s="114"/>
      <c r="W51" s="114"/>
      <c r="X51" s="114"/>
      <c r="Y51" s="114"/>
      <c r="Z51" s="114"/>
      <c r="AA51" s="114"/>
      <c r="AB51" s="114"/>
      <c r="AC51" s="114"/>
      <c r="AD51" s="114"/>
      <c r="AE51" s="114"/>
      <c r="AF51" s="114"/>
      <c r="AG51" s="114"/>
      <c r="AH51" s="114"/>
      <c r="AI51" s="114"/>
      <c r="AJ51" s="114"/>
      <c r="AK51" s="114"/>
      <c r="AL51" s="114"/>
      <c r="AM51" s="114"/>
      <c r="AN51" s="115"/>
    </row>
    <row r="52" spans="1:40" ht="48">
      <c r="A52" s="116" t="s">
        <v>18</v>
      </c>
      <c r="B52" s="15" t="s">
        <v>188</v>
      </c>
      <c r="C52" s="87" t="s">
        <v>189</v>
      </c>
      <c r="D52" s="91" t="s">
        <v>190</v>
      </c>
      <c r="E52" s="93"/>
      <c r="F52" s="103" t="s">
        <v>46</v>
      </c>
      <c r="G52" s="104">
        <v>100</v>
      </c>
      <c r="H52" s="20">
        <f>IF(OR(J52="",K52="",K52&lt;J52),0,NETWORKDAYS(J52,K52,Hoja2!$A$2:$A$53))</f>
        <v>0</v>
      </c>
      <c r="I52" s="68">
        <v>45985</v>
      </c>
      <c r="J52" s="94">
        <v>45988</v>
      </c>
      <c r="K52" s="68"/>
      <c r="L52" s="68">
        <v>46002</v>
      </c>
      <c r="M52" s="23">
        <f ca="1">IF(OR(J52="",AND(L52="",TODAY()&lt;J52),AND(L52&lt;&gt;"",L52&lt;J52)),0,
   IF(L52="",
      NETWORKDAYS(J52,TODAY(),Hoja2!$A$2:$A$53),
      NETWORKDAYS(J52,L52,Hoja2!$A$2:$A$53)
   )
)</f>
        <v>10</v>
      </c>
      <c r="N52" s="68"/>
      <c r="O52" s="68">
        <v>46002</v>
      </c>
      <c r="P52" s="68">
        <v>46002</v>
      </c>
      <c r="Q52" s="24" t="s">
        <v>191</v>
      </c>
      <c r="R52" s="25" t="s">
        <v>39</v>
      </c>
      <c r="S52" s="117"/>
      <c r="T52" s="118"/>
      <c r="U52" s="118"/>
      <c r="V52" s="118"/>
      <c r="W52" s="118"/>
      <c r="X52" s="118"/>
      <c r="Y52" s="118"/>
      <c r="Z52" s="118"/>
      <c r="AA52" s="118"/>
      <c r="AB52" s="118"/>
      <c r="AC52" s="118"/>
      <c r="AD52" s="118"/>
      <c r="AE52" s="118"/>
      <c r="AF52" s="118"/>
      <c r="AG52" s="118"/>
      <c r="AH52" s="118"/>
      <c r="AI52" s="118"/>
      <c r="AJ52" s="118"/>
      <c r="AK52" s="118"/>
      <c r="AL52" s="118"/>
      <c r="AM52" s="118"/>
      <c r="AN52" s="119"/>
    </row>
    <row r="53" spans="1:40" ht="38.25">
      <c r="A53" s="112" t="s">
        <v>18</v>
      </c>
      <c r="B53" s="28" t="s">
        <v>192</v>
      </c>
      <c r="C53" s="84" t="s">
        <v>193</v>
      </c>
      <c r="D53" s="90" t="s">
        <v>194</v>
      </c>
      <c r="E53" s="95"/>
      <c r="F53" s="101" t="s">
        <v>46</v>
      </c>
      <c r="G53" s="102">
        <v>100</v>
      </c>
      <c r="H53" s="33">
        <f>IF(OR(J53="",K53="",K53&lt;J53),0,NETWORKDAYS(J53,K53,Hoja2!$A$2:$A$53))</f>
        <v>3</v>
      </c>
      <c r="I53" s="76">
        <v>45985</v>
      </c>
      <c r="J53" s="47">
        <v>45988</v>
      </c>
      <c r="K53" s="76">
        <v>45992</v>
      </c>
      <c r="L53" s="76">
        <v>45992</v>
      </c>
      <c r="M53" s="36">
        <f ca="1">IF(OR(J53="",AND(L53="",TODAY()&lt;J53),AND(L53&lt;&gt;"",L53&lt;J53)),0,
   IF(L53="",
      NETWORKDAYS(J53,TODAY(),Hoja2!$A$2:$A$53),
      NETWORKDAYS(J53,L53,Hoja2!$A$2:$A$53)
   )
)</f>
        <v>3</v>
      </c>
      <c r="N53" s="76"/>
      <c r="O53" s="76">
        <v>45992</v>
      </c>
      <c r="P53" s="76">
        <v>45992</v>
      </c>
      <c r="Q53" s="37" t="s">
        <v>195</v>
      </c>
      <c r="R53" s="38" t="s">
        <v>39</v>
      </c>
      <c r="S53" s="106"/>
      <c r="T53" s="107"/>
      <c r="U53" s="107"/>
      <c r="V53" s="107"/>
      <c r="W53" s="107"/>
      <c r="X53" s="107"/>
      <c r="Y53" s="107"/>
      <c r="Z53" s="107"/>
      <c r="AA53" s="107"/>
      <c r="AB53" s="107"/>
      <c r="AC53" s="107"/>
      <c r="AD53" s="107"/>
      <c r="AE53" s="107"/>
      <c r="AF53" s="107"/>
      <c r="AG53" s="107"/>
      <c r="AH53" s="107"/>
      <c r="AI53" s="107"/>
      <c r="AJ53" s="107"/>
      <c r="AK53" s="107"/>
      <c r="AL53" s="107"/>
      <c r="AM53" s="107"/>
      <c r="AN53" s="108"/>
    </row>
    <row r="54" spans="1:40" ht="38.25">
      <c r="A54" s="14" t="s">
        <v>108</v>
      </c>
      <c r="B54" s="15" t="s">
        <v>196</v>
      </c>
      <c r="C54" s="87" t="s">
        <v>197</v>
      </c>
      <c r="D54" s="91" t="s">
        <v>111</v>
      </c>
      <c r="E54" s="93"/>
      <c r="F54" s="103" t="s">
        <v>46</v>
      </c>
      <c r="G54" s="104">
        <v>100</v>
      </c>
      <c r="H54" s="20">
        <f>IF(OR(J54="",K54="",K54&lt;J54),0,NETWORKDAYS(J54,K54,Hoja2!$A$2:$A$53))</f>
        <v>0</v>
      </c>
      <c r="I54" s="68">
        <v>45986</v>
      </c>
      <c r="J54" s="94">
        <v>45988</v>
      </c>
      <c r="K54" s="44"/>
      <c r="L54" s="68">
        <v>45988</v>
      </c>
      <c r="M54" s="23">
        <f ca="1">IF(OR(J54="",AND(L54="",TODAY()&lt;J54),AND(L54&lt;&gt;"",L54&lt;J54)),0,
   IF(L54="",
      NETWORKDAYS(J54,TODAY(),Hoja2!$A$2:$A$53),
      NETWORKDAYS(J54,L54,Hoja2!$A$2:$A$53)
   )
)</f>
        <v>1</v>
      </c>
      <c r="N54" s="44"/>
      <c r="O54" s="44"/>
      <c r="P54" s="44"/>
      <c r="Q54" s="24" t="s">
        <v>198</v>
      </c>
      <c r="R54" s="25" t="s">
        <v>39</v>
      </c>
      <c r="S54" s="117"/>
      <c r="T54" s="118"/>
      <c r="U54" s="118"/>
      <c r="V54" s="118"/>
      <c r="W54" s="118"/>
      <c r="X54" s="118"/>
      <c r="Y54" s="118"/>
      <c r="Z54" s="118"/>
      <c r="AA54" s="118"/>
      <c r="AB54" s="118"/>
      <c r="AC54" s="118"/>
      <c r="AD54" s="118"/>
      <c r="AE54" s="118"/>
      <c r="AF54" s="118"/>
      <c r="AG54" s="118"/>
      <c r="AH54" s="118"/>
      <c r="AI54" s="118"/>
      <c r="AJ54" s="118"/>
      <c r="AK54" s="118"/>
      <c r="AL54" s="118"/>
      <c r="AM54" s="118"/>
      <c r="AN54" s="119"/>
    </row>
    <row r="55" spans="1:40" ht="25.5">
      <c r="A55" s="112" t="s">
        <v>18</v>
      </c>
      <c r="B55" s="28" t="s">
        <v>199</v>
      </c>
      <c r="C55" s="84" t="s">
        <v>200</v>
      </c>
      <c r="D55" s="84" t="s">
        <v>201</v>
      </c>
      <c r="E55" s="95"/>
      <c r="F55" s="101" t="s">
        <v>46</v>
      </c>
      <c r="G55" s="102">
        <v>100</v>
      </c>
      <c r="H55" s="33">
        <f>IF(OR(J55="",K55="",K55&lt;J55),0,NETWORKDAYS(J55,K55,Hoja2!$A$2:$A$53))</f>
        <v>1</v>
      </c>
      <c r="I55" s="76">
        <v>45989</v>
      </c>
      <c r="J55" s="76">
        <v>45992</v>
      </c>
      <c r="K55" s="76">
        <v>45992</v>
      </c>
      <c r="L55" s="76">
        <v>45992</v>
      </c>
      <c r="M55" s="36">
        <f ca="1">IF(OR(J55="",AND(L55="",TODAY()&lt;J55),AND(L55&lt;&gt;"",L55&lt;J55)),0,
   IF(L55="",
      NETWORKDAYS(J55,TODAY(),Hoja2!$A$2:$A$53),
      NETWORKDAYS(J55,L55,Hoja2!$A$2:$A$53)
   )
)</f>
        <v>1</v>
      </c>
      <c r="N55" s="76"/>
      <c r="O55" s="76">
        <v>45992</v>
      </c>
      <c r="P55" s="41"/>
      <c r="Q55" s="37" t="s">
        <v>202</v>
      </c>
      <c r="R55" s="38" t="s">
        <v>39</v>
      </c>
      <c r="S55" s="113"/>
      <c r="T55" s="114"/>
      <c r="U55" s="114"/>
      <c r="V55" s="114"/>
      <c r="W55" s="114"/>
      <c r="X55" s="114"/>
      <c r="Y55" s="114"/>
      <c r="Z55" s="114"/>
      <c r="AA55" s="114"/>
      <c r="AB55" s="114"/>
      <c r="AC55" s="114"/>
      <c r="AD55" s="114"/>
      <c r="AE55" s="114"/>
      <c r="AF55" s="114"/>
      <c r="AG55" s="114"/>
      <c r="AH55" s="114"/>
      <c r="AI55" s="114"/>
      <c r="AJ55" s="114"/>
      <c r="AK55" s="114"/>
      <c r="AL55" s="114"/>
      <c r="AM55" s="114"/>
      <c r="AN55" s="115"/>
    </row>
    <row r="56" spans="1:40" ht="24">
      <c r="A56" s="14" t="s">
        <v>108</v>
      </c>
      <c r="B56" s="15" t="s">
        <v>203</v>
      </c>
      <c r="C56" s="87" t="s">
        <v>204</v>
      </c>
      <c r="D56" s="91" t="s">
        <v>155</v>
      </c>
      <c r="E56" s="93"/>
      <c r="F56" s="103" t="s">
        <v>46</v>
      </c>
      <c r="G56" s="104">
        <v>100</v>
      </c>
      <c r="H56" s="20">
        <f>IF(OR(J56="",K56="",K56&lt;J56),0,NETWORKDAYS(J56,K56,Hoja2!$A$2:$A$53))</f>
        <v>0</v>
      </c>
      <c r="I56" s="44"/>
      <c r="J56" s="94">
        <v>45992</v>
      </c>
      <c r="K56" s="44"/>
      <c r="L56" s="94">
        <v>45992</v>
      </c>
      <c r="M56" s="23">
        <f ca="1">IF(OR(J56="",AND(L56="",TODAY()&lt;J56),AND(L56&lt;&gt;"",L56&lt;J56)),0,
   IF(L56="",
      NETWORKDAYS(J56,TODAY(),Hoja2!$A$2:$A$53),
      NETWORKDAYS(J56,L56,Hoja2!$A$2:$A$53)
   )
)</f>
        <v>1</v>
      </c>
      <c r="N56" s="44"/>
      <c r="O56" s="44"/>
      <c r="P56" s="44"/>
      <c r="Q56" s="105" t="s">
        <v>205</v>
      </c>
      <c r="R56" s="25" t="s">
        <v>39</v>
      </c>
      <c r="S56" s="117"/>
      <c r="T56" s="118"/>
      <c r="U56" s="118"/>
      <c r="V56" s="118"/>
      <c r="W56" s="118"/>
      <c r="X56" s="118"/>
      <c r="Y56" s="118"/>
      <c r="Z56" s="118"/>
      <c r="AA56" s="118"/>
      <c r="AB56" s="118"/>
      <c r="AC56" s="118"/>
      <c r="AD56" s="118"/>
      <c r="AE56" s="118"/>
      <c r="AF56" s="118"/>
      <c r="AG56" s="118"/>
      <c r="AH56" s="118"/>
      <c r="AI56" s="118"/>
      <c r="AJ56" s="118"/>
      <c r="AK56" s="118"/>
      <c r="AL56" s="118"/>
      <c r="AM56" s="118"/>
      <c r="AN56" s="119"/>
    </row>
    <row r="57" spans="1:40">
      <c r="A57" s="27" t="s">
        <v>18</v>
      </c>
      <c r="B57" s="28" t="s">
        <v>206</v>
      </c>
      <c r="C57" s="84" t="s">
        <v>207</v>
      </c>
      <c r="D57" s="90" t="s">
        <v>208</v>
      </c>
      <c r="E57" s="95"/>
      <c r="F57" s="101" t="s">
        <v>46</v>
      </c>
      <c r="G57" s="102">
        <v>100</v>
      </c>
      <c r="H57" s="33">
        <f>IF(OR(J57="",K57="",K57&lt;J57),0,NETWORKDAYS(J57,K57,Hoja2!$A$2:$A$53))</f>
        <v>0</v>
      </c>
      <c r="I57" s="41"/>
      <c r="J57" s="47">
        <v>45992</v>
      </c>
      <c r="K57" s="41"/>
      <c r="L57" s="47">
        <v>45992</v>
      </c>
      <c r="M57" s="36">
        <f ca="1">IF(OR(J57="",AND(L57="",TODAY()&lt;J57),AND(L57&lt;&gt;"",L57&lt;J57)),0,
   IF(L57="",
      NETWORKDAYS(J57,TODAY(),Hoja2!$A$2:$A$53),
      NETWORKDAYS(J57,L57,Hoja2!$A$2:$A$53)
   )
)</f>
        <v>1</v>
      </c>
      <c r="N57" s="41"/>
      <c r="O57" s="41"/>
      <c r="P57" s="41"/>
      <c r="Q57" s="98" t="s">
        <v>209</v>
      </c>
      <c r="R57" s="38" t="s">
        <v>39</v>
      </c>
      <c r="S57" s="113"/>
      <c r="T57" s="114"/>
      <c r="U57" s="114"/>
      <c r="V57" s="114"/>
      <c r="W57" s="114"/>
      <c r="X57" s="114"/>
      <c r="Y57" s="114"/>
      <c r="Z57" s="114"/>
      <c r="AA57" s="114"/>
      <c r="AB57" s="114"/>
      <c r="AC57" s="114"/>
      <c r="AD57" s="114"/>
      <c r="AE57" s="114"/>
      <c r="AF57" s="114"/>
      <c r="AG57" s="114"/>
      <c r="AH57" s="114"/>
      <c r="AI57" s="114"/>
      <c r="AJ57" s="114"/>
      <c r="AK57" s="114"/>
      <c r="AL57" s="114"/>
      <c r="AM57" s="114"/>
      <c r="AN57" s="115"/>
    </row>
    <row r="58" spans="1:40">
      <c r="A58" s="14" t="s">
        <v>25</v>
      </c>
      <c r="B58" s="15" t="s">
        <v>210</v>
      </c>
      <c r="C58" s="87" t="s">
        <v>204</v>
      </c>
      <c r="D58" s="91" t="s">
        <v>211</v>
      </c>
      <c r="E58" s="93"/>
      <c r="F58" s="103" t="s">
        <v>46</v>
      </c>
      <c r="G58" s="104">
        <v>100</v>
      </c>
      <c r="H58" s="20">
        <f>IF(OR(J58="",K58="",K58&lt;J58),0,NETWORKDAYS(J58,K58,Hoja2!$A$2:$A$53))</f>
        <v>0</v>
      </c>
      <c r="I58" s="44"/>
      <c r="J58" s="94">
        <v>46001</v>
      </c>
      <c r="K58" s="44"/>
      <c r="L58" s="94">
        <v>46001</v>
      </c>
      <c r="M58" s="23">
        <f ca="1">IF(OR(J58="",AND(L58="",TODAY()&lt;J58),AND(L58&lt;&gt;"",L58&lt;J58)),0,
   IF(L58="",
      NETWORKDAYS(J58,TODAY(),Hoja2!$A$2:$A$53),
      NETWORKDAYS(J58,L58,Hoja2!$A$2:$A$53)
   )
)</f>
        <v>1</v>
      </c>
      <c r="N58" s="44"/>
      <c r="O58" s="44"/>
      <c r="P58" s="44"/>
      <c r="Q58" s="105" t="s">
        <v>205</v>
      </c>
      <c r="R58" s="25" t="s">
        <v>39</v>
      </c>
      <c r="S58" s="117"/>
      <c r="T58" s="118"/>
      <c r="U58" s="118"/>
      <c r="V58" s="118"/>
      <c r="W58" s="118"/>
      <c r="X58" s="118"/>
      <c r="Y58" s="118"/>
      <c r="Z58" s="118"/>
      <c r="AA58" s="118"/>
      <c r="AB58" s="118"/>
      <c r="AC58" s="118"/>
      <c r="AD58" s="118"/>
      <c r="AE58" s="118"/>
      <c r="AF58" s="118"/>
      <c r="AG58" s="118"/>
      <c r="AH58" s="118"/>
      <c r="AI58" s="118"/>
      <c r="AJ58" s="118"/>
      <c r="AK58" s="118"/>
      <c r="AL58" s="118"/>
      <c r="AM58" s="118"/>
      <c r="AN58" s="119"/>
    </row>
    <row r="59" spans="1:40" ht="24">
      <c r="A59" s="27" t="s">
        <v>108</v>
      </c>
      <c r="B59" s="28" t="s">
        <v>212</v>
      </c>
      <c r="C59" s="84" t="s">
        <v>204</v>
      </c>
      <c r="D59" s="90" t="s">
        <v>211</v>
      </c>
      <c r="E59" s="95"/>
      <c r="F59" s="101" t="s">
        <v>46</v>
      </c>
      <c r="G59" s="102">
        <v>100</v>
      </c>
      <c r="H59" s="33">
        <f>IF(OR(J59="",K59="",K59&lt;J59),0,NETWORKDAYS(J59,K59,Hoja2!$A$2:$A$53))</f>
        <v>0</v>
      </c>
      <c r="I59" s="41"/>
      <c r="J59" s="47">
        <v>46006</v>
      </c>
      <c r="K59" s="41"/>
      <c r="L59" s="47">
        <v>46006</v>
      </c>
      <c r="M59" s="36">
        <f ca="1">IF(OR(J59="",AND(L59="",TODAY()&lt;J59),AND(L59&lt;&gt;"",L59&lt;J59)),0,
   IF(L59="",
      NETWORKDAYS(J59,TODAY(),Hoja2!$A$2:$A$53),
      NETWORKDAYS(J59,L59,Hoja2!$A$2:$A$53)
   )
)</f>
        <v>1</v>
      </c>
      <c r="N59" s="41"/>
      <c r="O59" s="41"/>
      <c r="P59" s="41"/>
      <c r="Q59" s="98" t="s">
        <v>205</v>
      </c>
      <c r="R59" s="38" t="s">
        <v>39</v>
      </c>
      <c r="S59" s="113"/>
      <c r="T59" s="114"/>
      <c r="U59" s="114"/>
      <c r="V59" s="114"/>
      <c r="W59" s="114"/>
      <c r="X59" s="114"/>
      <c r="Y59" s="114"/>
      <c r="Z59" s="114"/>
      <c r="AA59" s="114"/>
      <c r="AB59" s="114"/>
      <c r="AC59" s="114"/>
      <c r="AD59" s="114"/>
      <c r="AE59" s="114"/>
      <c r="AF59" s="114"/>
      <c r="AG59" s="114"/>
      <c r="AH59" s="114"/>
      <c r="AI59" s="114"/>
      <c r="AJ59" s="114"/>
      <c r="AK59" s="114"/>
      <c r="AL59" s="114"/>
      <c r="AM59" s="114"/>
      <c r="AN59" s="115"/>
    </row>
    <row r="60" spans="1:40" ht="24">
      <c r="A60" s="14" t="s">
        <v>108</v>
      </c>
      <c r="B60" s="15" t="s">
        <v>213</v>
      </c>
      <c r="C60" s="87" t="s">
        <v>204</v>
      </c>
      <c r="D60" s="91" t="s">
        <v>211</v>
      </c>
      <c r="E60" s="93"/>
      <c r="F60" s="103" t="s">
        <v>46</v>
      </c>
      <c r="G60" s="104">
        <v>100</v>
      </c>
      <c r="H60" s="20">
        <f>IF(OR(J60="",K60="",K60&lt;J60),0,NETWORKDAYS(J60,K60,Hoja2!$A$2:$A$53))</f>
        <v>0</v>
      </c>
      <c r="I60" s="44"/>
      <c r="J60" s="94">
        <v>46007</v>
      </c>
      <c r="K60" s="44"/>
      <c r="L60" s="94">
        <v>46007</v>
      </c>
      <c r="M60" s="23">
        <f ca="1">IF(OR(J60="",AND(L60="",TODAY()&lt;J60),AND(L60&lt;&gt;"",L60&lt;J60)),0,
   IF(L60="",
      NETWORKDAYS(J60,TODAY(),Hoja2!$A$2:$A$53),
      NETWORKDAYS(J60,L60,Hoja2!$A$2:$A$53)
   )
)</f>
        <v>1</v>
      </c>
      <c r="N60" s="44"/>
      <c r="O60" s="44"/>
      <c r="P60" s="44"/>
      <c r="Q60" s="105" t="s">
        <v>205</v>
      </c>
      <c r="R60" s="25" t="s">
        <v>39</v>
      </c>
      <c r="S60" s="117"/>
      <c r="T60" s="118"/>
      <c r="U60" s="118"/>
      <c r="V60" s="118"/>
      <c r="W60" s="118"/>
      <c r="X60" s="118"/>
      <c r="Y60" s="118"/>
      <c r="Z60" s="118"/>
      <c r="AA60" s="118"/>
      <c r="AB60" s="118"/>
      <c r="AC60" s="118"/>
      <c r="AD60" s="118"/>
      <c r="AE60" s="118"/>
      <c r="AF60" s="118"/>
      <c r="AG60" s="118"/>
      <c r="AH60" s="118"/>
      <c r="AI60" s="118"/>
      <c r="AJ60" s="118"/>
      <c r="AK60" s="118"/>
      <c r="AL60" s="118"/>
      <c r="AM60" s="118"/>
      <c r="AN60" s="119"/>
    </row>
    <row r="61" spans="1:40" ht="25.5">
      <c r="A61" s="112" t="s">
        <v>18</v>
      </c>
      <c r="B61" s="28" t="s">
        <v>214</v>
      </c>
      <c r="C61" s="84" t="s">
        <v>215</v>
      </c>
      <c r="D61" s="90" t="s">
        <v>216</v>
      </c>
      <c r="E61" s="120"/>
      <c r="F61" s="101" t="s">
        <v>46</v>
      </c>
      <c r="G61" s="121">
        <v>100</v>
      </c>
      <c r="H61" s="33">
        <f>IF(OR(J61="",K61="",K61&lt;J61),0,NETWORKDAYS(J61,K61,Hoja2!$A$2:$A$53))</f>
        <v>0</v>
      </c>
      <c r="I61" s="122"/>
      <c r="J61" s="47">
        <v>46007</v>
      </c>
      <c r="K61" s="122"/>
      <c r="L61" s="47">
        <v>46007</v>
      </c>
      <c r="M61" s="36">
        <f ca="1">IF(OR(J61="",AND(L61="",TODAY()&lt;J61),AND(L61&lt;&gt;"",L61&lt;J61)),0,
   IF(L61="",
      NETWORKDAYS(J61,TODAY(),Hoja2!$A$2:$A$53),
      NETWORKDAYS(J61,L61,Hoja2!$A$2:$A$53)
   )
)</f>
        <v>1</v>
      </c>
      <c r="N61" s="122"/>
      <c r="O61" s="122"/>
      <c r="P61" s="122"/>
      <c r="Q61" s="123" t="s">
        <v>217</v>
      </c>
      <c r="R61" s="38" t="s">
        <v>39</v>
      </c>
      <c r="S61" s="124"/>
      <c r="T61" s="125"/>
      <c r="U61" s="125"/>
      <c r="V61" s="125"/>
      <c r="W61" s="125"/>
      <c r="X61" s="125"/>
      <c r="Y61" s="125"/>
      <c r="Z61" s="125"/>
      <c r="AA61" s="125"/>
      <c r="AB61" s="125"/>
      <c r="AC61" s="125"/>
      <c r="AD61" s="125"/>
      <c r="AE61" s="125"/>
      <c r="AF61" s="125"/>
      <c r="AG61" s="125"/>
      <c r="AH61" s="125"/>
      <c r="AI61" s="125"/>
      <c r="AJ61" s="125"/>
      <c r="AK61" s="125"/>
      <c r="AL61" s="125"/>
      <c r="AM61" s="125"/>
      <c r="AN61" s="126"/>
    </row>
    <row r="62" spans="1:40" ht="24">
      <c r="A62" s="14" t="s">
        <v>108</v>
      </c>
      <c r="B62" s="15" t="s">
        <v>218</v>
      </c>
      <c r="C62" s="87" t="s">
        <v>204</v>
      </c>
      <c r="D62" s="91" t="s">
        <v>211</v>
      </c>
      <c r="E62" s="93"/>
      <c r="F62" s="103" t="s">
        <v>46</v>
      </c>
      <c r="G62" s="104">
        <v>100</v>
      </c>
      <c r="H62" s="20">
        <f>IF(OR(J62="",K62="",K62&lt;J62),0,NETWORKDAYS(J62,K62,Hoja2!$A$2:$A$53))</f>
        <v>0</v>
      </c>
      <c r="I62" s="44"/>
      <c r="J62" s="94">
        <v>46008</v>
      </c>
      <c r="K62" s="44"/>
      <c r="L62" s="94">
        <v>46008</v>
      </c>
      <c r="M62" s="23">
        <f ca="1">IF(OR(J62="",AND(L62="",TODAY()&lt;J62),AND(L62&lt;&gt;"",L62&lt;J62)),0,
   IF(L62="",
      NETWORKDAYS(J62,TODAY(),Hoja2!$A$2:$A$53),
      NETWORKDAYS(J62,L62,Hoja2!$A$2:$A$53)
   )
)</f>
        <v>1</v>
      </c>
      <c r="N62" s="44"/>
      <c r="O62" s="44"/>
      <c r="P62" s="44"/>
      <c r="Q62" s="105" t="s">
        <v>205</v>
      </c>
      <c r="R62" s="25" t="s">
        <v>39</v>
      </c>
      <c r="S62" s="117"/>
      <c r="T62" s="118"/>
      <c r="U62" s="118"/>
      <c r="V62" s="118"/>
      <c r="W62" s="118"/>
      <c r="X62" s="118"/>
      <c r="Y62" s="118"/>
      <c r="Z62" s="118"/>
      <c r="AA62" s="118"/>
      <c r="AB62" s="118"/>
      <c r="AC62" s="118"/>
      <c r="AD62" s="118"/>
      <c r="AE62" s="118"/>
      <c r="AF62" s="118"/>
      <c r="AG62" s="118"/>
      <c r="AH62" s="118"/>
      <c r="AI62" s="118"/>
      <c r="AJ62" s="118"/>
      <c r="AK62" s="118"/>
      <c r="AL62" s="118"/>
      <c r="AM62" s="118"/>
      <c r="AN62" s="119"/>
    </row>
    <row r="63" spans="1:40" ht="25.5">
      <c r="A63" s="27" t="s">
        <v>108</v>
      </c>
      <c r="B63" s="28" t="s">
        <v>219</v>
      </c>
      <c r="C63" s="84" t="s">
        <v>220</v>
      </c>
      <c r="D63" s="90" t="s">
        <v>221</v>
      </c>
      <c r="E63" s="95"/>
      <c r="F63" s="101" t="s">
        <v>46</v>
      </c>
      <c r="G63" s="102">
        <v>100</v>
      </c>
      <c r="H63" s="33">
        <f>IF(OR(J63="",K63="",K63&lt;J63),0,NETWORKDAYS(J63,K63,Hoja2!$A$2:$A$53))</f>
        <v>0</v>
      </c>
      <c r="I63" s="41"/>
      <c r="J63" s="47">
        <v>46009</v>
      </c>
      <c r="K63" s="41"/>
      <c r="L63" s="47">
        <v>46009</v>
      </c>
      <c r="M63" s="36">
        <f ca="1">IF(OR(J63="",AND(L63="",TODAY()&lt;J63),AND(L63&lt;&gt;"",L63&lt;J63)),0,
   IF(L63="",
      NETWORKDAYS(J63,TODAY(),Hoja2!$A$2:$A$53),
      NETWORKDAYS(J63,L63,Hoja2!$A$2:$A$53)
   )
)</f>
        <v>1</v>
      </c>
      <c r="N63" s="41"/>
      <c r="O63" s="41"/>
      <c r="P63" s="41"/>
      <c r="Q63" s="98" t="s">
        <v>222</v>
      </c>
      <c r="R63" s="38" t="s">
        <v>39</v>
      </c>
      <c r="S63" s="113"/>
      <c r="T63" s="114"/>
      <c r="U63" s="114"/>
      <c r="V63" s="114"/>
      <c r="W63" s="114"/>
      <c r="X63" s="114"/>
      <c r="Y63" s="114"/>
      <c r="Z63" s="114"/>
      <c r="AA63" s="114"/>
      <c r="AB63" s="114"/>
      <c r="AC63" s="114"/>
      <c r="AD63" s="114"/>
      <c r="AE63" s="114"/>
      <c r="AF63" s="114"/>
      <c r="AG63" s="114"/>
      <c r="AH63" s="114"/>
      <c r="AI63" s="114"/>
      <c r="AJ63" s="114"/>
      <c r="AK63" s="114"/>
      <c r="AL63" s="114"/>
      <c r="AM63" s="114"/>
      <c r="AN63" s="115"/>
    </row>
    <row r="64" spans="1:40" ht="38.25">
      <c r="A64" s="14" t="s">
        <v>18</v>
      </c>
      <c r="B64" s="15" t="s">
        <v>223</v>
      </c>
      <c r="C64" s="87" t="s">
        <v>224</v>
      </c>
      <c r="D64" s="91" t="s">
        <v>225</v>
      </c>
      <c r="E64" s="93"/>
      <c r="F64" s="103" t="s">
        <v>46</v>
      </c>
      <c r="G64" s="104">
        <v>100</v>
      </c>
      <c r="H64" s="20">
        <f>IF(OR(J64="",K64="",K64&lt;J64),0,NETWORKDAYS(J64,K64,Hoja2!$A$2:$A$53))</f>
        <v>0</v>
      </c>
      <c r="I64" s="44"/>
      <c r="J64" s="94">
        <v>46009</v>
      </c>
      <c r="K64" s="44"/>
      <c r="L64" s="94">
        <v>46009</v>
      </c>
      <c r="M64" s="23">
        <f ca="1">IF(OR(J64="",AND(L64="",TODAY()&lt;J64),AND(L64&lt;&gt;"",L64&lt;J64)),0,
   IF(L64="",
      NETWORKDAYS(J64,TODAY(),Hoja2!$A$2:$A$53),
      NETWORKDAYS(J64,L64,Hoja2!$A$2:$A$53)
   )
)</f>
        <v>1</v>
      </c>
      <c r="N64" s="44"/>
      <c r="O64" s="44"/>
      <c r="P64" s="44"/>
      <c r="Q64" s="105" t="s">
        <v>226</v>
      </c>
      <c r="R64" s="25" t="s">
        <v>39</v>
      </c>
      <c r="S64" s="117"/>
      <c r="T64" s="118"/>
      <c r="U64" s="118"/>
      <c r="V64" s="118"/>
      <c r="W64" s="118"/>
      <c r="X64" s="118"/>
      <c r="Y64" s="118"/>
      <c r="Z64" s="118"/>
      <c r="AA64" s="118"/>
      <c r="AB64" s="118"/>
      <c r="AC64" s="118"/>
      <c r="AD64" s="118"/>
      <c r="AE64" s="118"/>
      <c r="AF64" s="118"/>
      <c r="AG64" s="118"/>
      <c r="AH64" s="118"/>
      <c r="AI64" s="118"/>
      <c r="AJ64" s="118"/>
      <c r="AK64" s="118"/>
      <c r="AL64" s="118"/>
      <c r="AM64" s="118"/>
      <c r="AN64" s="119"/>
    </row>
    <row r="65" spans="1:40" ht="38.25">
      <c r="A65" s="27" t="s">
        <v>108</v>
      </c>
      <c r="B65" s="28" t="s">
        <v>227</v>
      </c>
      <c r="C65" s="84" t="s">
        <v>228</v>
      </c>
      <c r="D65" s="90" t="s">
        <v>111</v>
      </c>
      <c r="E65" s="95"/>
      <c r="F65" s="101" t="s">
        <v>46</v>
      </c>
      <c r="G65" s="102">
        <v>100</v>
      </c>
      <c r="H65" s="33">
        <f>IF(OR(J65="",K65="",K65&lt;J65),0,NETWORKDAYS(J65,K65,Hoja2!$A$2:$A$53))</f>
        <v>0</v>
      </c>
      <c r="I65" s="41"/>
      <c r="J65" s="47">
        <v>46013</v>
      </c>
      <c r="K65" s="41"/>
      <c r="L65" s="47">
        <v>46014</v>
      </c>
      <c r="M65" s="36">
        <f ca="1">IF(OR(J65="",AND(L65="",TODAY()&lt;J65),AND(L65&lt;&gt;"",L65&lt;J65)),0,
   IF(L65="",
      NETWORKDAYS(J65,TODAY(),Hoja2!$A$2:$A$53),
      NETWORKDAYS(J65,L65,Hoja2!$A$2:$A$53)
   )
)</f>
        <v>2</v>
      </c>
      <c r="N65" s="41"/>
      <c r="O65" s="41"/>
      <c r="P65" s="41"/>
      <c r="Q65" s="98" t="s">
        <v>229</v>
      </c>
      <c r="R65" s="38" t="s">
        <v>39</v>
      </c>
      <c r="S65" s="113"/>
      <c r="T65" s="114"/>
      <c r="U65" s="114"/>
      <c r="V65" s="114"/>
      <c r="W65" s="114"/>
      <c r="X65" s="114"/>
      <c r="Y65" s="114"/>
      <c r="Z65" s="114"/>
      <c r="AA65" s="114"/>
      <c r="AB65" s="114"/>
      <c r="AC65" s="114"/>
      <c r="AD65" s="114"/>
      <c r="AE65" s="114"/>
      <c r="AF65" s="114"/>
      <c r="AG65" s="114"/>
      <c r="AH65" s="114"/>
      <c r="AI65" s="114"/>
      <c r="AJ65" s="114"/>
      <c r="AK65" s="114"/>
      <c r="AL65" s="114"/>
      <c r="AM65" s="114"/>
      <c r="AN65" s="115"/>
    </row>
    <row r="66" spans="1:40">
      <c r="A66" s="14" t="s">
        <v>25</v>
      </c>
      <c r="B66" s="15" t="s">
        <v>230</v>
      </c>
      <c r="C66" s="87" t="s">
        <v>204</v>
      </c>
      <c r="D66" s="91" t="s">
        <v>211</v>
      </c>
      <c r="E66" s="93"/>
      <c r="F66" s="103" t="s">
        <v>46</v>
      </c>
      <c r="G66" s="104">
        <v>100</v>
      </c>
      <c r="H66" s="20">
        <f>IF(OR(J66="",K66="",K66&lt;J66),0,NETWORKDAYS(J66,K66,Hoja2!$A$2:$A$53))</f>
        <v>0</v>
      </c>
      <c r="I66" s="44"/>
      <c r="J66" s="94">
        <v>46017</v>
      </c>
      <c r="K66" s="44"/>
      <c r="L66" s="94">
        <v>46017</v>
      </c>
      <c r="M66" s="23">
        <f ca="1">IF(OR(J66="",AND(L66="",TODAY()&lt;J66),AND(L66&lt;&gt;"",L66&lt;J66)),0,
   IF(L66="",
      NETWORKDAYS(J66,TODAY(),Hoja2!$A$2:$A$53),
      NETWORKDAYS(J66,L66,Hoja2!$A$2:$A$53)
   )
)</f>
        <v>1</v>
      </c>
      <c r="N66" s="44"/>
      <c r="O66" s="44"/>
      <c r="P66" s="44"/>
      <c r="Q66" s="105" t="s">
        <v>205</v>
      </c>
      <c r="R66" s="25" t="s">
        <v>39</v>
      </c>
      <c r="S66" s="117"/>
      <c r="T66" s="118"/>
      <c r="U66" s="118"/>
      <c r="V66" s="118"/>
      <c r="W66" s="118"/>
      <c r="X66" s="118"/>
      <c r="Y66" s="118"/>
      <c r="Z66" s="118"/>
      <c r="AA66" s="118"/>
      <c r="AB66" s="118"/>
      <c r="AC66" s="118"/>
      <c r="AD66" s="118"/>
      <c r="AE66" s="118"/>
      <c r="AF66" s="118"/>
      <c r="AG66" s="118"/>
      <c r="AH66" s="118"/>
      <c r="AI66" s="118"/>
      <c r="AJ66" s="118"/>
      <c r="AK66" s="118"/>
      <c r="AL66" s="118"/>
      <c r="AM66" s="118"/>
      <c r="AN66" s="119"/>
    </row>
    <row r="67" spans="1:40">
      <c r="A67" s="27" t="s">
        <v>25</v>
      </c>
      <c r="B67" s="28" t="s">
        <v>231</v>
      </c>
      <c r="C67" s="84" t="s">
        <v>204</v>
      </c>
      <c r="D67" s="90" t="s">
        <v>211</v>
      </c>
      <c r="E67" s="95"/>
      <c r="F67" s="101" t="s">
        <v>46</v>
      </c>
      <c r="G67" s="102">
        <v>100</v>
      </c>
      <c r="H67" s="33">
        <f>IF(OR(J67="",K67="",K67&lt;J67),0,NETWORKDAYS(J67,K67,Hoja2!$A$2:$A$53))</f>
        <v>0</v>
      </c>
      <c r="I67" s="41"/>
      <c r="J67" s="47">
        <v>46020</v>
      </c>
      <c r="K67" s="41"/>
      <c r="L67" s="47">
        <v>46020</v>
      </c>
      <c r="M67" s="36">
        <f ca="1">IF(OR(J67="",AND(L67="",TODAY()&lt;J67),AND(L67&lt;&gt;"",L67&lt;J67)),0,
   IF(L67="",
      NETWORKDAYS(J67,TODAY(),Hoja2!$A$2:$A$53),
      NETWORKDAYS(J67,L67,Hoja2!$A$2:$A$53)
   )
)</f>
        <v>1</v>
      </c>
      <c r="N67" s="41"/>
      <c r="O67" s="41"/>
      <c r="P67" s="41"/>
      <c r="Q67" s="98" t="s">
        <v>205</v>
      </c>
      <c r="R67" s="38" t="s">
        <v>39</v>
      </c>
      <c r="S67" s="113"/>
      <c r="T67" s="114"/>
      <c r="U67" s="114"/>
      <c r="V67" s="114"/>
      <c r="W67" s="114"/>
      <c r="X67" s="114"/>
      <c r="Y67" s="114"/>
      <c r="Z67" s="114"/>
      <c r="AA67" s="114"/>
      <c r="AB67" s="114"/>
      <c r="AC67" s="114"/>
      <c r="AD67" s="114"/>
      <c r="AE67" s="114"/>
      <c r="AF67" s="114"/>
      <c r="AG67" s="114"/>
      <c r="AH67" s="114"/>
      <c r="AI67" s="114"/>
      <c r="AJ67" s="114"/>
      <c r="AK67" s="114"/>
      <c r="AL67" s="114"/>
      <c r="AM67" s="114"/>
      <c r="AN67" s="115"/>
    </row>
    <row r="68" spans="1:40">
      <c r="A68" s="116" t="s">
        <v>232</v>
      </c>
      <c r="B68" s="15" t="s">
        <v>233</v>
      </c>
      <c r="C68" s="127" t="s">
        <v>204</v>
      </c>
      <c r="D68" s="91" t="s">
        <v>211</v>
      </c>
      <c r="E68" s="93"/>
      <c r="F68" s="103" t="s">
        <v>46</v>
      </c>
      <c r="G68" s="104">
        <v>100</v>
      </c>
      <c r="H68" s="20">
        <f>IF(OR(J68="",K68="",K68&lt;J68),0,NETWORKDAYS(J68,K68,Hoja2!$A$2:$A$53))</f>
        <v>0</v>
      </c>
      <c r="I68" s="44"/>
      <c r="J68" s="68">
        <v>46021</v>
      </c>
      <c r="K68" s="44"/>
      <c r="L68" s="68">
        <v>46021</v>
      </c>
      <c r="M68" s="23">
        <f ca="1">IF(OR(J68="",AND(L68="",TODAY()&lt;J68),AND(L68&lt;&gt;"",L68&lt;J68)),0,
   IF(L68="",
      NETWORKDAYS(J68,TODAY(),Hoja2!$A$2:$A$53),
      NETWORKDAYS(J68,L68,Hoja2!$A$2:$A$53)
   )
)</f>
        <v>1</v>
      </c>
      <c r="N68" s="44"/>
      <c r="O68" s="44"/>
      <c r="P68" s="44"/>
      <c r="Q68" s="128" t="s">
        <v>234</v>
      </c>
      <c r="R68" s="129" t="s">
        <v>39</v>
      </c>
      <c r="S68" s="109"/>
      <c r="T68" s="110"/>
      <c r="U68" s="110"/>
      <c r="V68" s="110"/>
      <c r="W68" s="110"/>
      <c r="X68" s="110"/>
      <c r="Y68" s="110"/>
      <c r="Z68" s="110"/>
      <c r="AA68" s="110"/>
      <c r="AB68" s="110"/>
      <c r="AC68" s="110"/>
      <c r="AD68" s="110"/>
      <c r="AE68" s="110"/>
      <c r="AF68" s="110"/>
      <c r="AG68" s="110"/>
      <c r="AH68" s="110"/>
      <c r="AI68" s="110"/>
      <c r="AJ68" s="110"/>
      <c r="AK68" s="110"/>
      <c r="AL68" s="110"/>
      <c r="AM68" s="110"/>
      <c r="AN68" s="111"/>
    </row>
    <row r="69" spans="1:40" ht="25.5">
      <c r="A69" s="112" t="s">
        <v>18</v>
      </c>
      <c r="B69" s="130" t="s">
        <v>235</v>
      </c>
      <c r="C69" s="131" t="s">
        <v>236</v>
      </c>
      <c r="D69" s="90" t="s">
        <v>237</v>
      </c>
      <c r="E69" s="95"/>
      <c r="F69" s="101" t="s">
        <v>46</v>
      </c>
      <c r="G69" s="102">
        <v>100</v>
      </c>
      <c r="H69" s="33">
        <f>IF(OR(J69="",K69="",K69&lt;J69),0,NETWORKDAYS(J69,K69,Hoja2!$A$2:$A$53))</f>
        <v>0</v>
      </c>
      <c r="I69" s="41"/>
      <c r="J69" s="76">
        <v>46020</v>
      </c>
      <c r="K69" s="41"/>
      <c r="L69" s="76">
        <v>46021</v>
      </c>
      <c r="M69" s="36">
        <f ca="1">IF(OR(J69="",AND(L69="",TODAY()&lt;J69),AND(L69&lt;&gt;"",L69&lt;J69)),0,
   IF(L69="",
      NETWORKDAYS(J69,TODAY(),Hoja2!$A$2:$A$53),
      NETWORKDAYS(J69,L69,Hoja2!$A$2:$A$53)
   )
)</f>
        <v>2</v>
      </c>
      <c r="N69" s="41"/>
      <c r="O69" s="41"/>
      <c r="P69" s="41"/>
      <c r="Q69" s="132" t="s">
        <v>238</v>
      </c>
      <c r="R69" s="133" t="s">
        <v>39</v>
      </c>
      <c r="S69" s="113"/>
      <c r="T69" s="114"/>
      <c r="U69" s="114"/>
      <c r="V69" s="114"/>
      <c r="W69" s="114"/>
      <c r="X69" s="114"/>
      <c r="Y69" s="114"/>
      <c r="Z69" s="114"/>
      <c r="AA69" s="114"/>
      <c r="AB69" s="114"/>
      <c r="AC69" s="114"/>
      <c r="AD69" s="114"/>
      <c r="AE69" s="114"/>
      <c r="AF69" s="114"/>
      <c r="AG69" s="114"/>
      <c r="AH69" s="114"/>
      <c r="AI69" s="114"/>
      <c r="AJ69" s="114"/>
      <c r="AK69" s="114"/>
      <c r="AL69" s="114"/>
      <c r="AM69" s="114"/>
      <c r="AN69" s="115"/>
    </row>
    <row r="70" spans="1:40" ht="25.5">
      <c r="A70" s="116" t="s">
        <v>18</v>
      </c>
      <c r="B70" s="134" t="s">
        <v>239</v>
      </c>
      <c r="C70" s="127" t="s">
        <v>240</v>
      </c>
      <c r="D70" s="91" t="s">
        <v>241</v>
      </c>
      <c r="E70" s="93"/>
      <c r="F70" s="103" t="s">
        <v>46</v>
      </c>
      <c r="G70" s="104">
        <v>100</v>
      </c>
      <c r="H70" s="20">
        <f>IF(OR(J70="",K70="",K70&lt;J70),0,NETWORKDAYS(J70,K70,Hoja2!$A$2:$A$53))</f>
        <v>0</v>
      </c>
      <c r="I70" s="44"/>
      <c r="J70" s="68">
        <v>46022</v>
      </c>
      <c r="K70" s="44"/>
      <c r="L70" s="68">
        <v>46022</v>
      </c>
      <c r="M70" s="23">
        <f ca="1">IF(OR(J70="",AND(L70="",TODAY()&lt;J70),AND(L70&lt;&gt;"",L70&lt;J70)),0,
   IF(L70="",
      NETWORKDAYS(J70,TODAY(),Hoja2!$A$2:$A$53),
      NETWORKDAYS(J70,L70,Hoja2!$A$2:$A$53)
   )
)</f>
        <v>1</v>
      </c>
      <c r="N70" s="44"/>
      <c r="O70" s="44"/>
      <c r="P70" s="44"/>
      <c r="Q70" s="128" t="s">
        <v>242</v>
      </c>
      <c r="R70" s="129" t="s">
        <v>39</v>
      </c>
      <c r="S70" s="109"/>
      <c r="T70" s="110"/>
      <c r="U70" s="110"/>
      <c r="V70" s="110"/>
      <c r="W70" s="110"/>
      <c r="X70" s="110"/>
      <c r="Y70" s="110"/>
      <c r="Z70" s="110"/>
      <c r="AA70" s="110"/>
      <c r="AB70" s="110"/>
      <c r="AC70" s="110"/>
      <c r="AD70" s="110"/>
      <c r="AE70" s="110"/>
      <c r="AF70" s="110"/>
      <c r="AG70" s="110"/>
      <c r="AH70" s="110"/>
      <c r="AI70" s="110"/>
      <c r="AJ70" s="110"/>
      <c r="AK70" s="110"/>
      <c r="AL70" s="110"/>
      <c r="AM70" s="110"/>
      <c r="AN70" s="111"/>
    </row>
    <row r="71" spans="1:40">
      <c r="A71" s="27" t="s">
        <v>25</v>
      </c>
      <c r="B71" s="28" t="s">
        <v>243</v>
      </c>
      <c r="C71" s="84" t="s">
        <v>204</v>
      </c>
      <c r="D71" s="90" t="s">
        <v>211</v>
      </c>
      <c r="E71" s="95"/>
      <c r="F71" s="101" t="s">
        <v>46</v>
      </c>
      <c r="G71" s="102">
        <v>100</v>
      </c>
      <c r="H71" s="33">
        <f>IF(OR(J71="",K71="",K71&lt;J71),0,NETWORKDAYS(J71,K71,Hoja2!$A$2:$A$53))</f>
        <v>0</v>
      </c>
      <c r="I71" s="41"/>
      <c r="J71" s="47">
        <v>45662</v>
      </c>
      <c r="K71" s="41"/>
      <c r="L71" s="47">
        <v>45662</v>
      </c>
      <c r="M71" s="36">
        <f ca="1">IF(OR(J71="",AND(L71="",TODAY()&lt;J71),AND(L71&lt;&gt;"",L71&lt;J71)),0,
   IF(L71="",
      NETWORKDAYS(J71,TODAY(),Hoja2!$A$2:$A$53),
      NETWORKDAYS(J71,L71,Hoja2!$A$2:$A$53)
   )
)</f>
        <v>0</v>
      </c>
      <c r="N71" s="41"/>
      <c r="O71" s="41"/>
      <c r="P71" s="41"/>
      <c r="Q71" s="98" t="s">
        <v>205</v>
      </c>
      <c r="R71" s="38" t="s">
        <v>39</v>
      </c>
      <c r="S71" s="113"/>
      <c r="T71" s="114"/>
      <c r="U71" s="114"/>
      <c r="V71" s="114"/>
      <c r="W71" s="114"/>
      <c r="X71" s="114"/>
      <c r="Y71" s="114"/>
      <c r="Z71" s="114"/>
      <c r="AA71" s="114"/>
      <c r="AB71" s="114"/>
      <c r="AC71" s="114"/>
      <c r="AD71" s="114"/>
      <c r="AE71" s="114"/>
      <c r="AF71" s="114"/>
      <c r="AG71" s="114"/>
      <c r="AH71" s="114"/>
      <c r="AI71" s="114"/>
      <c r="AJ71" s="114"/>
      <c r="AK71" s="114"/>
      <c r="AL71" s="114"/>
      <c r="AM71" s="114"/>
      <c r="AN71" s="115"/>
    </row>
    <row r="72" spans="1:40" ht="25.5">
      <c r="A72" s="116" t="s">
        <v>18</v>
      </c>
      <c r="B72" s="134" t="s">
        <v>244</v>
      </c>
      <c r="C72" s="127" t="s">
        <v>245</v>
      </c>
      <c r="D72" s="91" t="s">
        <v>246</v>
      </c>
      <c r="E72" s="93"/>
      <c r="F72" s="103" t="s">
        <v>46</v>
      </c>
      <c r="G72" s="104">
        <v>100</v>
      </c>
      <c r="H72" s="20">
        <f>IF(OR(J72="",K72="",K72&lt;J72),0,NETWORKDAYS(J72,K72,Hoja2!$A$2:$A$53))</f>
        <v>0</v>
      </c>
      <c r="I72" s="44"/>
      <c r="J72" s="68">
        <v>46027</v>
      </c>
      <c r="K72" s="44"/>
      <c r="L72" s="68">
        <v>46034</v>
      </c>
      <c r="M72" s="23">
        <f ca="1">IF(OR(J72="",AND(L72="",TODAY()&lt;J72),AND(L72&lt;&gt;"",L72&lt;J72)),0,
   IF(L72="",
      NETWORKDAYS(J72,TODAY(),Hoja2!$A$2:$A$53),
      NETWORKDAYS(J72,L72,Hoja2!$A$2:$A$53)
   )
)</f>
        <v>5</v>
      </c>
      <c r="N72" s="44"/>
      <c r="O72" s="44"/>
      <c r="P72" s="44"/>
      <c r="Q72" s="128" t="s">
        <v>247</v>
      </c>
      <c r="R72" s="129" t="s">
        <v>39</v>
      </c>
      <c r="S72" s="109"/>
      <c r="T72" s="110"/>
      <c r="U72" s="110"/>
      <c r="V72" s="110"/>
      <c r="W72" s="110"/>
      <c r="X72" s="110"/>
      <c r="Y72" s="110"/>
      <c r="Z72" s="110"/>
      <c r="AA72" s="110"/>
      <c r="AB72" s="110"/>
      <c r="AC72" s="110"/>
      <c r="AD72" s="110"/>
      <c r="AE72" s="110"/>
      <c r="AF72" s="110"/>
      <c r="AG72" s="110"/>
      <c r="AH72" s="110"/>
      <c r="AI72" s="110"/>
      <c r="AJ72" s="110"/>
      <c r="AK72" s="110"/>
      <c r="AL72" s="110"/>
      <c r="AM72" s="110"/>
      <c r="AN72" s="111"/>
    </row>
    <row r="73" spans="1:40" ht="51">
      <c r="A73" s="112" t="s">
        <v>18</v>
      </c>
      <c r="B73" s="130" t="s">
        <v>248</v>
      </c>
      <c r="C73" s="131" t="s">
        <v>249</v>
      </c>
      <c r="D73" s="90" t="s">
        <v>250</v>
      </c>
      <c r="E73" s="95"/>
      <c r="F73" s="101" t="s">
        <v>251</v>
      </c>
      <c r="G73" s="102">
        <v>0</v>
      </c>
      <c r="H73" s="33">
        <f>IF(OR(J73="",K73="",K73&lt;J73),0,NETWORKDAYS(J73,K73,Hoja2!$A$2:$A$53))</f>
        <v>0</v>
      </c>
      <c r="I73" s="41"/>
      <c r="J73" s="41"/>
      <c r="K73" s="41"/>
      <c r="L73" s="41"/>
      <c r="M73" s="36">
        <f ca="1">IF(OR(J73="",AND(L73="",TODAY()&lt;J73),AND(L73&lt;&gt;"",L73&lt;J73)),0,
   IF(L73="",
      NETWORKDAYS(J73,TODAY(),Hoja2!$A$2:$A$53),
      NETWORKDAYS(J73,L73,Hoja2!$A$2:$A$53)
   )
)</f>
        <v>0</v>
      </c>
      <c r="N73" s="41"/>
      <c r="O73" s="41"/>
      <c r="P73" s="41"/>
      <c r="Q73" s="135"/>
      <c r="R73" s="133" t="s">
        <v>39</v>
      </c>
      <c r="S73" s="113"/>
      <c r="T73" s="114"/>
      <c r="U73" s="114"/>
      <c r="V73" s="114"/>
      <c r="W73" s="114"/>
      <c r="X73" s="114"/>
      <c r="Y73" s="114"/>
      <c r="Z73" s="114"/>
      <c r="AA73" s="114"/>
      <c r="AB73" s="114"/>
      <c r="AC73" s="114"/>
      <c r="AD73" s="114"/>
      <c r="AE73" s="114"/>
      <c r="AF73" s="114"/>
      <c r="AG73" s="114"/>
      <c r="AH73" s="114"/>
      <c r="AI73" s="114"/>
      <c r="AJ73" s="114"/>
      <c r="AK73" s="114"/>
      <c r="AL73" s="114"/>
      <c r="AM73" s="114"/>
      <c r="AN73" s="115"/>
    </row>
    <row r="74" spans="1:40">
      <c r="A74" s="14" t="s">
        <v>25</v>
      </c>
      <c r="B74" s="15" t="s">
        <v>252</v>
      </c>
      <c r="C74" s="87" t="s">
        <v>253</v>
      </c>
      <c r="D74" s="91" t="s">
        <v>254</v>
      </c>
      <c r="E74" s="93"/>
      <c r="F74" s="103" t="s">
        <v>46</v>
      </c>
      <c r="G74" s="104">
        <v>100</v>
      </c>
      <c r="H74" s="20">
        <f>IF(OR(J74="",K74="",K74&lt;J74),0,NETWORKDAYS(J74,K74,Hoja2!$A$2:$A$53))</f>
        <v>0</v>
      </c>
      <c r="I74" s="44"/>
      <c r="J74" s="94">
        <v>45666</v>
      </c>
      <c r="K74" s="44"/>
      <c r="L74" s="94">
        <v>45666</v>
      </c>
      <c r="M74" s="23">
        <f ca="1">IF(OR(J74="",AND(L74="",TODAY()&lt;J74),AND(L74&lt;&gt;"",L74&lt;J74)),0,
   IF(L74="",
      NETWORKDAYS(J74,TODAY(),Hoja2!$A$2:$A$53),
      NETWORKDAYS(J74,L74,Hoja2!$A$2:$A$53)
   )
)</f>
        <v>1</v>
      </c>
      <c r="N74" s="44"/>
      <c r="O74" s="44"/>
      <c r="P74" s="44"/>
      <c r="Q74" s="105" t="s">
        <v>255</v>
      </c>
      <c r="R74" s="25" t="s">
        <v>39</v>
      </c>
      <c r="S74" s="117"/>
      <c r="T74" s="118"/>
      <c r="U74" s="118"/>
      <c r="V74" s="118"/>
      <c r="W74" s="118"/>
      <c r="X74" s="118"/>
      <c r="Y74" s="118"/>
      <c r="Z74" s="118"/>
      <c r="AA74" s="118"/>
      <c r="AB74" s="118"/>
      <c r="AC74" s="118"/>
      <c r="AD74" s="118"/>
      <c r="AE74" s="118"/>
      <c r="AF74" s="118"/>
      <c r="AG74" s="118"/>
      <c r="AH74" s="118"/>
      <c r="AI74" s="118"/>
      <c r="AJ74" s="118"/>
      <c r="AK74" s="118"/>
      <c r="AL74" s="118"/>
      <c r="AM74" s="118"/>
      <c r="AN74" s="119"/>
    </row>
    <row r="75" spans="1:40" ht="25.5">
      <c r="A75" s="112" t="s">
        <v>18</v>
      </c>
      <c r="B75" s="130" t="s">
        <v>256</v>
      </c>
      <c r="C75" s="84" t="s">
        <v>257</v>
      </c>
      <c r="D75" s="90" t="s">
        <v>258</v>
      </c>
      <c r="E75" s="95"/>
      <c r="F75" s="101" t="s">
        <v>46</v>
      </c>
      <c r="G75" s="102">
        <v>100</v>
      </c>
      <c r="H75" s="33">
        <f>IF(OR(J75="",K75="",K75&lt;J75),0,NETWORKDAYS(J75,K75,Hoja2!$A$2:$A$53))</f>
        <v>1</v>
      </c>
      <c r="I75" s="41">
        <v>46031</v>
      </c>
      <c r="J75" s="76">
        <v>46031</v>
      </c>
      <c r="K75" s="41">
        <v>46031</v>
      </c>
      <c r="L75" s="76">
        <v>46031</v>
      </c>
      <c r="M75" s="36">
        <f ca="1">IF(OR(J75="",AND(L75="",TODAY()&lt;J75),AND(L75&lt;&gt;"",L75&lt;J75)),0,
   IF(L75="",
      NETWORKDAYS(J75,TODAY(),Hoja2!$A$2:$A$53),
      NETWORKDAYS(J75,L75,Hoja2!$A$2:$A$53)
   )
)</f>
        <v>1</v>
      </c>
      <c r="N75" s="41"/>
      <c r="O75" s="41"/>
      <c r="P75" s="41"/>
      <c r="Q75" s="98" t="s">
        <v>259</v>
      </c>
      <c r="R75" s="133" t="s">
        <v>39</v>
      </c>
      <c r="S75" s="113"/>
      <c r="T75" s="114"/>
      <c r="U75" s="114"/>
      <c r="V75" s="114"/>
      <c r="W75" s="114"/>
      <c r="X75" s="114"/>
      <c r="Y75" s="114"/>
      <c r="Z75" s="114"/>
      <c r="AA75" s="114"/>
      <c r="AB75" s="114"/>
      <c r="AC75" s="114"/>
      <c r="AD75" s="114"/>
      <c r="AE75" s="114"/>
      <c r="AF75" s="114"/>
      <c r="AG75" s="114"/>
      <c r="AH75" s="114"/>
      <c r="AI75" s="114"/>
      <c r="AJ75" s="114"/>
      <c r="AK75" s="114"/>
      <c r="AL75" s="114"/>
      <c r="AM75" s="114"/>
      <c r="AN75" s="115"/>
    </row>
    <row r="76" spans="1:40" ht="25.5">
      <c r="A76" s="116" t="s">
        <v>18</v>
      </c>
      <c r="B76" s="134" t="s">
        <v>260</v>
      </c>
      <c r="C76" s="87" t="s">
        <v>257</v>
      </c>
      <c r="D76" s="91" t="s">
        <v>261</v>
      </c>
      <c r="E76" s="93"/>
      <c r="F76" s="103" t="s">
        <v>46</v>
      </c>
      <c r="G76" s="104">
        <v>100</v>
      </c>
      <c r="H76" s="20">
        <f>IF(OR(J76="",K76="",K76&lt;J76),0,NETWORKDAYS(J76,K76,Hoja2!$A$2:$A$53))</f>
        <v>1</v>
      </c>
      <c r="I76" s="44"/>
      <c r="J76" s="68">
        <v>46037</v>
      </c>
      <c r="K76" s="44">
        <v>46037</v>
      </c>
      <c r="L76" s="68">
        <v>46037</v>
      </c>
      <c r="M76" s="23">
        <f ca="1">IF(OR(J76="",AND(L76="",TODAY()&lt;J76),AND(L76&lt;&gt;"",L76&lt;J76)),0,
   IF(L76="",
      NETWORKDAYS(J76,TODAY(),Hoja2!$A$2:$A$53),
      NETWORKDAYS(J76,L76,Hoja2!$A$2:$A$53)
   )
)</f>
        <v>1</v>
      </c>
      <c r="N76" s="44"/>
      <c r="O76" s="44"/>
      <c r="P76" s="44"/>
      <c r="Q76" s="105" t="s">
        <v>262</v>
      </c>
      <c r="R76" s="129" t="s">
        <v>39</v>
      </c>
      <c r="S76" s="117"/>
      <c r="T76" s="118"/>
      <c r="U76" s="118"/>
      <c r="V76" s="118"/>
      <c r="W76" s="118"/>
      <c r="X76" s="118"/>
      <c r="Y76" s="118"/>
      <c r="Z76" s="118"/>
      <c r="AA76" s="118"/>
      <c r="AB76" s="118"/>
      <c r="AC76" s="118"/>
      <c r="AD76" s="118"/>
      <c r="AE76" s="118"/>
      <c r="AF76" s="118"/>
      <c r="AG76" s="118"/>
      <c r="AH76" s="118"/>
      <c r="AI76" s="118"/>
      <c r="AJ76" s="118"/>
      <c r="AK76" s="118"/>
      <c r="AL76" s="118"/>
      <c r="AM76" s="118"/>
      <c r="AN76" s="119"/>
    </row>
    <row r="77" spans="1:40" ht="25.5">
      <c r="A77" s="112" t="s">
        <v>18</v>
      </c>
      <c r="B77" s="130" t="s">
        <v>263</v>
      </c>
      <c r="C77" s="84" t="s">
        <v>264</v>
      </c>
      <c r="D77" s="90" t="s">
        <v>265</v>
      </c>
      <c r="E77" s="95"/>
      <c r="F77" s="101" t="s">
        <v>46</v>
      </c>
      <c r="G77" s="102">
        <v>100</v>
      </c>
      <c r="H77" s="33">
        <f>IF(OR(J77="",K77="",K77&lt;J77),0,NETWORKDAYS(J77,K77,Hoja2!$A$2:$A$53))</f>
        <v>1</v>
      </c>
      <c r="I77" s="41"/>
      <c r="J77" s="76">
        <v>46037</v>
      </c>
      <c r="K77" s="41">
        <v>46037</v>
      </c>
      <c r="L77" s="76">
        <v>46037</v>
      </c>
      <c r="M77" s="36">
        <f ca="1">IF(OR(J77="",AND(L77="",TODAY()&lt;J77),AND(L77&lt;&gt;"",L77&lt;J77)),0,
   IF(L77="",
      NETWORKDAYS(J77,TODAY(),Hoja2!$A$2:$A$53),
      NETWORKDAYS(J77,L77,Hoja2!$A$2:$A$53)
   )
)</f>
        <v>1</v>
      </c>
      <c r="N77" s="41"/>
      <c r="O77" s="41"/>
      <c r="P77" s="41"/>
      <c r="Q77" s="98" t="s">
        <v>262</v>
      </c>
      <c r="R77" s="133" t="s">
        <v>39</v>
      </c>
      <c r="S77" s="113"/>
      <c r="T77" s="114"/>
      <c r="U77" s="114"/>
      <c r="V77" s="114"/>
      <c r="W77" s="114"/>
      <c r="X77" s="114"/>
      <c r="Y77" s="114"/>
      <c r="Z77" s="114"/>
      <c r="AA77" s="114"/>
      <c r="AB77" s="114"/>
      <c r="AC77" s="114"/>
      <c r="AD77" s="114"/>
      <c r="AE77" s="114"/>
      <c r="AF77" s="114"/>
      <c r="AG77" s="114"/>
      <c r="AH77" s="114"/>
      <c r="AI77" s="114"/>
      <c r="AJ77" s="114"/>
      <c r="AK77" s="114"/>
      <c r="AL77" s="114"/>
      <c r="AM77" s="114"/>
      <c r="AN77" s="115"/>
    </row>
    <row r="78" spans="1:40">
      <c r="A78" s="116" t="s">
        <v>18</v>
      </c>
      <c r="B78" s="134" t="s">
        <v>266</v>
      </c>
      <c r="C78" s="87" t="s">
        <v>204</v>
      </c>
      <c r="D78" s="91" t="s">
        <v>211</v>
      </c>
      <c r="E78" s="93"/>
      <c r="F78" s="103" t="s">
        <v>46</v>
      </c>
      <c r="G78" s="104">
        <v>100</v>
      </c>
      <c r="H78" s="20">
        <f>IF(OR(J78="",K78="",K78&lt;J78),0,NETWORKDAYS(J78,K78,Hoja2!$A$2:$A$53))</f>
        <v>0</v>
      </c>
      <c r="I78" s="44"/>
      <c r="J78" s="68">
        <v>46035</v>
      </c>
      <c r="K78" s="44"/>
      <c r="L78" s="68">
        <v>46035</v>
      </c>
      <c r="M78" s="23">
        <f ca="1">IF(OR(J78="",AND(L78="",TODAY()&lt;J78),AND(L78&lt;&gt;"",L78&lt;J78)),0,
   IF(L78="",
      NETWORKDAYS(J78,TODAY(),Hoja2!$A$2:$A$53),
      NETWORKDAYS(J78,L78,Hoja2!$A$2:$A$53)
   )
)</f>
        <v>1</v>
      </c>
      <c r="N78" s="44"/>
      <c r="O78" s="44"/>
      <c r="P78" s="44"/>
      <c r="Q78" s="105" t="s">
        <v>267</v>
      </c>
      <c r="R78" s="129" t="s">
        <v>39</v>
      </c>
      <c r="S78" s="117"/>
      <c r="T78" s="118"/>
      <c r="U78" s="118"/>
      <c r="V78" s="118"/>
      <c r="W78" s="118"/>
      <c r="X78" s="118"/>
      <c r="Y78" s="118"/>
      <c r="Z78" s="118"/>
      <c r="AA78" s="118"/>
      <c r="AB78" s="118"/>
      <c r="AC78" s="118"/>
      <c r="AD78" s="118"/>
      <c r="AE78" s="118"/>
      <c r="AF78" s="118"/>
      <c r="AG78" s="118"/>
      <c r="AH78" s="118"/>
      <c r="AI78" s="118"/>
      <c r="AJ78" s="118"/>
      <c r="AK78" s="118"/>
      <c r="AL78" s="118"/>
      <c r="AM78" s="118"/>
      <c r="AN78" s="119"/>
    </row>
    <row r="79" spans="1:40">
      <c r="A79" s="112" t="s">
        <v>18</v>
      </c>
      <c r="B79" s="130" t="s">
        <v>268</v>
      </c>
      <c r="C79" s="84" t="s">
        <v>204</v>
      </c>
      <c r="D79" s="90" t="s">
        <v>211</v>
      </c>
      <c r="E79" s="95"/>
      <c r="F79" s="101" t="s">
        <v>46</v>
      </c>
      <c r="G79" s="102">
        <v>100</v>
      </c>
      <c r="H79" s="33">
        <f>IF(OR(J79="",K79="",K79&lt;J79),0,NETWORKDAYS(J79,K79,Hoja2!$A$2:$A$53))</f>
        <v>0</v>
      </c>
      <c r="I79" s="41"/>
      <c r="J79" s="76">
        <v>46041</v>
      </c>
      <c r="K79" s="41"/>
      <c r="L79" s="76">
        <v>46041</v>
      </c>
      <c r="M79" s="36">
        <f ca="1">IF(OR(J79="",AND(L79="",TODAY()&lt;J79),AND(L79&lt;&gt;"",L79&lt;J79)),0,
   IF(L79="",
      NETWORKDAYS(J79,TODAY(),Hoja2!$A$2:$A$53),
      NETWORKDAYS(J79,L79,Hoja2!$A$2:$A$53)
   )
)</f>
        <v>1</v>
      </c>
      <c r="N79" s="41"/>
      <c r="O79" s="41"/>
      <c r="P79" s="41"/>
      <c r="Q79" s="98" t="s">
        <v>269</v>
      </c>
      <c r="R79" s="133" t="s">
        <v>39</v>
      </c>
      <c r="S79" s="113"/>
      <c r="T79" s="114"/>
      <c r="U79" s="114"/>
      <c r="V79" s="114"/>
      <c r="W79" s="114"/>
      <c r="X79" s="114"/>
      <c r="Y79" s="114"/>
      <c r="Z79" s="114"/>
      <c r="AA79" s="114"/>
      <c r="AB79" s="114"/>
      <c r="AC79" s="114"/>
      <c r="AD79" s="114"/>
      <c r="AE79" s="114"/>
      <c r="AF79" s="114"/>
      <c r="AG79" s="114"/>
      <c r="AH79" s="114"/>
      <c r="AI79" s="114"/>
      <c r="AJ79" s="114"/>
      <c r="AK79" s="114"/>
      <c r="AL79" s="114"/>
      <c r="AM79" s="114"/>
      <c r="AN79" s="115"/>
    </row>
    <row r="80" spans="1:40" ht="51">
      <c r="A80" s="116" t="s">
        <v>18</v>
      </c>
      <c r="B80" s="134" t="s">
        <v>270</v>
      </c>
      <c r="C80" s="87" t="s">
        <v>271</v>
      </c>
      <c r="D80" s="91" t="s">
        <v>272</v>
      </c>
      <c r="E80" s="93"/>
      <c r="F80" s="103" t="s">
        <v>46</v>
      </c>
      <c r="G80" s="104">
        <v>100</v>
      </c>
      <c r="H80" s="20">
        <f>IF(OR(J80="",K80="",K80&lt;J80),0,NETWORKDAYS(J80,K80,Hoja2!$A$2:$A$53))</f>
        <v>1</v>
      </c>
      <c r="I80" s="44">
        <v>46042</v>
      </c>
      <c r="J80" s="68">
        <v>46043</v>
      </c>
      <c r="K80" s="44">
        <v>46043</v>
      </c>
      <c r="L80" s="68">
        <v>46043</v>
      </c>
      <c r="M80" s="23">
        <f ca="1">IF(OR(J80="",AND(L80="",TODAY()&lt;J80),AND(L80&lt;&gt;"",L80&lt;J80)),0,
   IF(L80="",
      NETWORKDAYS(J80,TODAY(),Hoja2!$A$2:$A$53),
      NETWORKDAYS(J80,L80,Hoja2!$A$2:$A$53)
   )
)</f>
        <v>1</v>
      </c>
      <c r="N80" s="44"/>
      <c r="O80" s="44"/>
      <c r="P80" s="44">
        <v>46043</v>
      </c>
      <c r="Q80" s="105" t="s">
        <v>273</v>
      </c>
      <c r="R80" s="129" t="s">
        <v>39</v>
      </c>
      <c r="S80" s="117"/>
      <c r="T80" s="118"/>
      <c r="U80" s="118"/>
      <c r="V80" s="118"/>
      <c r="W80" s="118"/>
      <c r="X80" s="118"/>
      <c r="Y80" s="118"/>
      <c r="Z80" s="118"/>
      <c r="AA80" s="118"/>
      <c r="AB80" s="118"/>
      <c r="AC80" s="118"/>
      <c r="AD80" s="118"/>
      <c r="AE80" s="118"/>
      <c r="AF80" s="118"/>
      <c r="AG80" s="118"/>
      <c r="AH80" s="118"/>
      <c r="AI80" s="118"/>
      <c r="AJ80" s="118"/>
      <c r="AK80" s="118"/>
      <c r="AL80" s="118"/>
      <c r="AM80" s="118"/>
      <c r="AN80" s="119"/>
    </row>
    <row r="81" spans="1:40">
      <c r="A81" s="112" t="s">
        <v>232</v>
      </c>
      <c r="B81" s="130" t="s">
        <v>274</v>
      </c>
      <c r="C81" s="84" t="s">
        <v>204</v>
      </c>
      <c r="D81" s="90" t="s">
        <v>211</v>
      </c>
      <c r="E81" s="95"/>
      <c r="F81" s="101" t="s">
        <v>46</v>
      </c>
      <c r="G81" s="102">
        <v>100</v>
      </c>
      <c r="H81" s="33">
        <f>IF(OR(J81="",K81="",K81&lt;J81),0,NETWORKDAYS(J81,K81,Hoja2!$A$2:$A$53))</f>
        <v>0</v>
      </c>
      <c r="I81" s="41"/>
      <c r="J81" s="76">
        <v>46042</v>
      </c>
      <c r="K81" s="41"/>
      <c r="L81" s="76">
        <v>46042</v>
      </c>
      <c r="M81" s="36">
        <f ca="1">IF(OR(J81="",AND(L81="",TODAY()&lt;J81),AND(L81&lt;&gt;"",L81&lt;J81)),0,
   IF(L81="",
      NETWORKDAYS(J81,TODAY(),Hoja2!$A$2:$A$53),
      NETWORKDAYS(J81,L81,Hoja2!$A$2:$A$53)
   )
)</f>
        <v>1</v>
      </c>
      <c r="N81" s="41"/>
      <c r="O81" s="41"/>
      <c r="P81" s="41"/>
      <c r="Q81" s="98" t="s">
        <v>205</v>
      </c>
      <c r="R81" s="133" t="s">
        <v>39</v>
      </c>
      <c r="S81" s="113"/>
      <c r="T81" s="114"/>
      <c r="U81" s="114"/>
      <c r="V81" s="114"/>
      <c r="W81" s="114"/>
      <c r="X81" s="114"/>
      <c r="Y81" s="114"/>
      <c r="Z81" s="114"/>
      <c r="AA81" s="114"/>
      <c r="AB81" s="114"/>
      <c r="AC81" s="114"/>
      <c r="AD81" s="114"/>
      <c r="AE81" s="114"/>
      <c r="AF81" s="114"/>
      <c r="AG81" s="114"/>
      <c r="AH81" s="114"/>
      <c r="AI81" s="114"/>
      <c r="AJ81" s="114"/>
      <c r="AK81" s="114"/>
      <c r="AL81" s="114"/>
      <c r="AM81" s="114"/>
      <c r="AN81" s="115"/>
    </row>
    <row r="82" spans="1:40" ht="38.25">
      <c r="A82" s="116" t="s">
        <v>18</v>
      </c>
      <c r="B82" s="134" t="s">
        <v>275</v>
      </c>
      <c r="C82" s="87" t="s">
        <v>276</v>
      </c>
      <c r="D82" s="91" t="s">
        <v>277</v>
      </c>
      <c r="E82" s="93"/>
      <c r="F82" s="103" t="s">
        <v>46</v>
      </c>
      <c r="G82" s="104">
        <v>100</v>
      </c>
      <c r="H82" s="20">
        <f>IF(OR(J82="",K82="",K82&lt;J82),0,NETWORKDAYS(J82,K82,Hoja2!$A$2:$A$53))</f>
        <v>1</v>
      </c>
      <c r="I82" s="44">
        <v>46043</v>
      </c>
      <c r="J82" s="68">
        <v>46043</v>
      </c>
      <c r="K82" s="44">
        <v>46043</v>
      </c>
      <c r="L82" s="68">
        <v>46043</v>
      </c>
      <c r="M82" s="23">
        <f ca="1">IF(OR(J82="",AND(L82="",TODAY()&lt;J82),AND(L82&lt;&gt;"",L82&lt;J82)),0,
   IF(L82="",
      NETWORKDAYS(J82,TODAY(),Hoja2!$A$2:$A$53),
      NETWORKDAYS(J82,L82,Hoja2!$A$2:$A$53)
   )
)</f>
        <v>1</v>
      </c>
      <c r="N82" s="44"/>
      <c r="O82" s="44">
        <v>46043</v>
      </c>
      <c r="P82" s="44">
        <v>46043</v>
      </c>
      <c r="Q82" s="55" t="s">
        <v>278</v>
      </c>
      <c r="R82" s="129" t="s">
        <v>39</v>
      </c>
      <c r="S82" s="117"/>
      <c r="T82" s="118"/>
      <c r="U82" s="118"/>
      <c r="V82" s="118"/>
      <c r="W82" s="118"/>
      <c r="X82" s="118"/>
      <c r="Y82" s="118"/>
      <c r="Z82" s="118"/>
      <c r="AA82" s="118"/>
      <c r="AB82" s="118"/>
      <c r="AC82" s="118"/>
      <c r="AD82" s="118"/>
      <c r="AE82" s="118"/>
      <c r="AF82" s="118"/>
      <c r="AG82" s="118"/>
      <c r="AH82" s="118"/>
      <c r="AI82" s="118"/>
      <c r="AJ82" s="118"/>
      <c r="AK82" s="118"/>
      <c r="AL82" s="118"/>
      <c r="AM82" s="118"/>
      <c r="AN82" s="119"/>
    </row>
    <row r="83" spans="1:40" ht="24">
      <c r="A83" s="112" t="s">
        <v>18</v>
      </c>
      <c r="B83" s="130" t="s">
        <v>279</v>
      </c>
      <c r="C83" s="84" t="s">
        <v>204</v>
      </c>
      <c r="D83" s="90" t="s">
        <v>211</v>
      </c>
      <c r="E83" s="95"/>
      <c r="F83" s="101" t="s">
        <v>46</v>
      </c>
      <c r="G83" s="102">
        <v>100</v>
      </c>
      <c r="H83" s="33">
        <f>IF(OR(J83="",K83="",K83&lt;J83),0,NETWORKDAYS(J83,K83,Hoja2!$A$2:$A$53))</f>
        <v>0</v>
      </c>
      <c r="I83" s="41">
        <v>46045</v>
      </c>
      <c r="J83" s="76">
        <v>46048</v>
      </c>
      <c r="K83" s="41"/>
      <c r="L83" s="76">
        <v>46048</v>
      </c>
      <c r="M83" s="36">
        <f ca="1">IF(OR(J83="",AND(L83="",TODAY()&lt;J83),AND(L83&lt;&gt;"",L83&lt;J83)),0,
   IF(L83="",
      NETWORKDAYS(J83,TODAY(),Hoja2!$A$2:$A$53),
      NETWORKDAYS(J83,L83,Hoja2!$A$2:$A$53)
   )
)</f>
        <v>1</v>
      </c>
      <c r="N83" s="41"/>
      <c r="O83" s="41"/>
      <c r="P83" s="41"/>
      <c r="Q83" s="92" t="s">
        <v>280</v>
      </c>
      <c r="R83" s="133" t="s">
        <v>39</v>
      </c>
      <c r="S83" s="113"/>
      <c r="T83" s="114"/>
      <c r="U83" s="114"/>
      <c r="V83" s="114"/>
      <c r="W83" s="114"/>
      <c r="X83" s="114"/>
      <c r="Y83" s="114"/>
      <c r="Z83" s="114"/>
      <c r="AA83" s="114"/>
      <c r="AB83" s="114"/>
      <c r="AC83" s="114"/>
      <c r="AD83" s="114"/>
      <c r="AE83" s="114"/>
      <c r="AF83" s="114"/>
      <c r="AG83" s="114"/>
      <c r="AH83" s="114"/>
      <c r="AI83" s="114"/>
      <c r="AJ83" s="114"/>
      <c r="AK83" s="114"/>
      <c r="AL83" s="114"/>
      <c r="AM83" s="114"/>
      <c r="AN83" s="115"/>
    </row>
    <row r="84" spans="1:40" ht="24">
      <c r="A84" s="116" t="s">
        <v>232</v>
      </c>
      <c r="B84" s="134" t="s">
        <v>281</v>
      </c>
      <c r="C84" s="87" t="s">
        <v>282</v>
      </c>
      <c r="D84" s="91" t="s">
        <v>283</v>
      </c>
      <c r="E84" s="93"/>
      <c r="F84" s="103" t="s">
        <v>46</v>
      </c>
      <c r="G84" s="104">
        <v>100</v>
      </c>
      <c r="H84" s="20">
        <f>IF(OR(J84="",K84="",K84&lt;J84),0,NETWORKDAYS(J84,K84,Hoja2!$A$2:$A$53))</f>
        <v>0</v>
      </c>
      <c r="I84" s="44"/>
      <c r="J84" s="68">
        <v>46048</v>
      </c>
      <c r="K84" s="44"/>
      <c r="L84" s="68">
        <v>46048</v>
      </c>
      <c r="M84" s="23">
        <f ca="1">IF(OR(J84="",AND(L84="",TODAY()&lt;J84),AND(L84&lt;&gt;"",L84&lt;J84)),0,
   IF(L84="",
      NETWORKDAYS(J84,TODAY(),Hoja2!$A$2:$A$53),
      NETWORKDAYS(J84,L84,Hoja2!$A$2:$A$53)
   )
)</f>
        <v>1</v>
      </c>
      <c r="N84" s="44"/>
      <c r="O84" s="44"/>
      <c r="P84" s="44"/>
      <c r="Q84" s="55" t="s">
        <v>284</v>
      </c>
      <c r="R84" s="129" t="s">
        <v>39</v>
      </c>
      <c r="S84" s="117"/>
      <c r="T84" s="118"/>
      <c r="U84" s="118"/>
      <c r="V84" s="118"/>
      <c r="W84" s="118"/>
      <c r="X84" s="118"/>
      <c r="Y84" s="118"/>
      <c r="Z84" s="118"/>
      <c r="AA84" s="118"/>
      <c r="AB84" s="118"/>
      <c r="AC84" s="118"/>
      <c r="AD84" s="118"/>
      <c r="AE84" s="118"/>
      <c r="AF84" s="118"/>
      <c r="AG84" s="118"/>
      <c r="AH84" s="118"/>
      <c r="AI84" s="118"/>
      <c r="AJ84" s="118"/>
      <c r="AK84" s="118"/>
      <c r="AL84" s="118"/>
      <c r="AM84" s="118"/>
      <c r="AN84" s="119"/>
    </row>
    <row r="85" spans="1:40" ht="24">
      <c r="A85" s="112" t="s">
        <v>18</v>
      </c>
      <c r="B85" s="130" t="s">
        <v>285</v>
      </c>
      <c r="C85" s="84" t="s">
        <v>204</v>
      </c>
      <c r="D85" s="90" t="s">
        <v>211</v>
      </c>
      <c r="E85" s="95"/>
      <c r="F85" s="101" t="s">
        <v>46</v>
      </c>
      <c r="G85" s="102">
        <v>100</v>
      </c>
      <c r="H85" s="33">
        <f>IF(OR(J85="",K85="",K85&lt;J85),0,NETWORKDAYS(J85,K85,Hoja2!$A$2:$A$53))</f>
        <v>0</v>
      </c>
      <c r="I85" s="41"/>
      <c r="J85" s="76">
        <v>46049</v>
      </c>
      <c r="K85" s="41"/>
      <c r="L85" s="76">
        <v>46049</v>
      </c>
      <c r="M85" s="36">
        <f ca="1">IF(OR(J85="",AND(L85="",TODAY()&lt;J85),AND(L85&lt;&gt;"",L85&lt;J85)),0,
   IF(L85="",
      NETWORKDAYS(J85,TODAY(),Hoja2!$A$2:$A$53),
      NETWORKDAYS(J85,L85,Hoja2!$A$2:$A$53)
   )
)</f>
        <v>1</v>
      </c>
      <c r="N85" s="41"/>
      <c r="O85" s="41"/>
      <c r="P85" s="41"/>
      <c r="Q85" s="92" t="s">
        <v>286</v>
      </c>
      <c r="R85" s="133" t="s">
        <v>39</v>
      </c>
      <c r="S85" s="113"/>
      <c r="T85" s="114"/>
      <c r="U85" s="114"/>
      <c r="V85" s="114"/>
      <c r="W85" s="114"/>
      <c r="X85" s="114"/>
      <c r="Y85" s="114"/>
      <c r="Z85" s="114"/>
      <c r="AA85" s="114"/>
      <c r="AB85" s="114"/>
      <c r="AC85" s="114"/>
      <c r="AD85" s="114"/>
      <c r="AE85" s="114"/>
      <c r="AF85" s="114"/>
      <c r="AG85" s="114"/>
      <c r="AH85" s="114"/>
      <c r="AI85" s="114"/>
      <c r="AJ85" s="114"/>
      <c r="AK85" s="114"/>
      <c r="AL85" s="114"/>
      <c r="AM85" s="114"/>
      <c r="AN85" s="115"/>
    </row>
    <row r="86" spans="1:40" ht="38.25">
      <c r="A86" s="116" t="s">
        <v>287</v>
      </c>
      <c r="B86" s="134" t="s">
        <v>288</v>
      </c>
      <c r="C86" s="87" t="s">
        <v>289</v>
      </c>
      <c r="D86" s="91" t="s">
        <v>111</v>
      </c>
      <c r="E86" s="93"/>
      <c r="F86" s="103" t="s">
        <v>46</v>
      </c>
      <c r="G86" s="104">
        <v>100</v>
      </c>
      <c r="H86" s="20">
        <f>IF(OR(J86="",K86="",K86&lt;J86),0,NETWORKDAYS(J86,K86,Hoja2!$A$2:$A$53))</f>
        <v>0</v>
      </c>
      <c r="I86" s="44"/>
      <c r="J86" s="68">
        <v>46050</v>
      </c>
      <c r="K86" s="44"/>
      <c r="L86" s="68">
        <v>46050</v>
      </c>
      <c r="M86" s="23">
        <f ca="1">IF(OR(J86="",AND(L86="",TODAY()&lt;J86),AND(L86&lt;&gt;"",L86&lt;J86)),0,
   IF(L86="",
      NETWORKDAYS(J86,TODAY(),Hoja2!$A$2:$A$53),
      NETWORKDAYS(J86,L86,Hoja2!$A$2:$A$53)
   )
)</f>
        <v>1</v>
      </c>
      <c r="N86" s="44"/>
      <c r="O86" s="44"/>
      <c r="P86" s="44"/>
      <c r="Q86" s="55" t="s">
        <v>290</v>
      </c>
      <c r="R86" s="129" t="s">
        <v>39</v>
      </c>
      <c r="S86" s="117"/>
      <c r="T86" s="118"/>
      <c r="U86" s="118"/>
      <c r="V86" s="118"/>
      <c r="W86" s="118"/>
      <c r="X86" s="118"/>
      <c r="Y86" s="118"/>
      <c r="Z86" s="118"/>
      <c r="AA86" s="118"/>
      <c r="AB86" s="118"/>
      <c r="AC86" s="118"/>
      <c r="AD86" s="118"/>
      <c r="AE86" s="118"/>
      <c r="AF86" s="118"/>
      <c r="AG86" s="118"/>
      <c r="AH86" s="118"/>
      <c r="AI86" s="118"/>
      <c r="AJ86" s="118"/>
      <c r="AK86" s="118"/>
      <c r="AL86" s="118"/>
      <c r="AM86" s="118"/>
      <c r="AN86" s="119"/>
    </row>
    <row r="87" spans="1:40" ht="51">
      <c r="A87" s="112" t="s">
        <v>18</v>
      </c>
      <c r="B87" s="130" t="s">
        <v>291</v>
      </c>
      <c r="C87" s="84" t="s">
        <v>292</v>
      </c>
      <c r="D87" s="90" t="s">
        <v>293</v>
      </c>
      <c r="E87" s="95"/>
      <c r="F87" s="101" t="s">
        <v>251</v>
      </c>
      <c r="G87" s="102">
        <v>0</v>
      </c>
      <c r="H87" s="33">
        <f>IF(OR(J87="",K87="",K87&lt;J87),0,NETWORKDAYS(J87,K87,Hoja2!$A$2:$A$53))</f>
        <v>0</v>
      </c>
      <c r="I87" s="41"/>
      <c r="J87" s="76"/>
      <c r="K87" s="41"/>
      <c r="L87" s="76"/>
      <c r="M87" s="36">
        <f ca="1">IF(OR(J87="",AND(L87="",TODAY()&lt;J87),AND(L87&lt;&gt;"",L87&lt;J87)),0,
   IF(L87="",
      NETWORKDAYS(J87,TODAY(),Hoja2!$A$2:$A$53),
      NETWORKDAYS(J87,L87,Hoja2!$A$2:$A$53)
   )
)</f>
        <v>0</v>
      </c>
      <c r="N87" s="41"/>
      <c r="O87" s="41"/>
      <c r="P87" s="41"/>
      <c r="Q87" s="92"/>
      <c r="R87" s="133" t="s">
        <v>39</v>
      </c>
      <c r="S87" s="113"/>
      <c r="T87" s="114"/>
      <c r="U87" s="114"/>
      <c r="V87" s="114"/>
      <c r="W87" s="114"/>
      <c r="X87" s="114"/>
      <c r="Y87" s="114"/>
      <c r="Z87" s="114"/>
      <c r="AA87" s="114"/>
      <c r="AB87" s="114"/>
      <c r="AC87" s="114"/>
      <c r="AD87" s="114"/>
      <c r="AE87" s="114"/>
      <c r="AF87" s="114"/>
      <c r="AG87" s="114"/>
      <c r="AH87" s="114"/>
      <c r="AI87" s="114"/>
      <c r="AJ87" s="114"/>
      <c r="AK87" s="114"/>
      <c r="AL87" s="114"/>
      <c r="AM87" s="114"/>
      <c r="AN87" s="115"/>
    </row>
    <row r="88" spans="1:40">
      <c r="A88" s="116" t="s">
        <v>18</v>
      </c>
      <c r="B88" s="134" t="s">
        <v>294</v>
      </c>
      <c r="C88" s="87" t="s">
        <v>204</v>
      </c>
      <c r="D88" s="91" t="s">
        <v>211</v>
      </c>
      <c r="E88" s="93"/>
      <c r="F88" s="103" t="s">
        <v>46</v>
      </c>
      <c r="G88" s="104">
        <v>100</v>
      </c>
      <c r="H88" s="20">
        <f>IF(OR(J88="",K88="",K88&lt;J88),0,NETWORKDAYS(J88,K88,Hoja2!$A$2:$A$53))</f>
        <v>0</v>
      </c>
      <c r="I88" s="44">
        <v>46052</v>
      </c>
      <c r="J88" s="68">
        <v>46052</v>
      </c>
      <c r="K88" s="44"/>
      <c r="L88" s="68">
        <v>46052</v>
      </c>
      <c r="M88" s="23">
        <f ca="1">IF(OR(J88="",AND(L88="",TODAY()&lt;J88),AND(L88&lt;&gt;"",L88&lt;J88)),0,
   IF(L88="",
      NETWORKDAYS(J88,TODAY(),Hoja2!$A$2:$A$53),
      NETWORKDAYS(J88,L88,Hoja2!$A$2:$A$53)
   )
)</f>
        <v>1</v>
      </c>
      <c r="N88" s="44"/>
      <c r="O88" s="44"/>
      <c r="P88" s="44"/>
      <c r="Q88" s="55" t="s">
        <v>295</v>
      </c>
      <c r="R88" s="129" t="s">
        <v>39</v>
      </c>
      <c r="S88" s="117"/>
      <c r="T88" s="118"/>
      <c r="U88" s="118"/>
      <c r="V88" s="118"/>
      <c r="W88" s="118"/>
      <c r="X88" s="118"/>
      <c r="Y88" s="118"/>
      <c r="Z88" s="118"/>
      <c r="AA88" s="118"/>
      <c r="AB88" s="118"/>
      <c r="AC88" s="118"/>
      <c r="AD88" s="118"/>
      <c r="AE88" s="118"/>
      <c r="AF88" s="118"/>
      <c r="AG88" s="118"/>
      <c r="AH88" s="118"/>
      <c r="AI88" s="118"/>
      <c r="AJ88" s="118"/>
      <c r="AK88" s="118"/>
      <c r="AL88" s="118"/>
      <c r="AM88" s="118"/>
      <c r="AN88" s="119"/>
    </row>
    <row r="89" spans="1:40" ht="63.75">
      <c r="A89" s="112" t="s">
        <v>18</v>
      </c>
      <c r="B89" s="130" t="s">
        <v>296</v>
      </c>
      <c r="C89" s="84" t="s">
        <v>297</v>
      </c>
      <c r="D89" s="90" t="s">
        <v>298</v>
      </c>
      <c r="E89" s="95"/>
      <c r="F89" s="101" t="s">
        <v>46</v>
      </c>
      <c r="G89" s="102">
        <v>100</v>
      </c>
      <c r="H89" s="33">
        <f>IF(OR(J89="",K89="",K89&lt;J89),0,NETWORKDAYS(J89,K89,Hoja2!$A$2:$A$53))</f>
        <v>1</v>
      </c>
      <c r="I89" s="41">
        <v>46052</v>
      </c>
      <c r="J89" s="76">
        <v>46052</v>
      </c>
      <c r="K89" s="41">
        <v>46052</v>
      </c>
      <c r="L89" s="76">
        <v>46052</v>
      </c>
      <c r="M89" s="36">
        <f ca="1">IF(OR(J89="",AND(L89="",TODAY()&lt;J89),AND(L89&lt;&gt;"",L89&lt;J89)),0,
   IF(L89="",
      NETWORKDAYS(J89,TODAY(),Hoja2!$A$2:$A$53),
      NETWORKDAYS(J89,L89,Hoja2!$A$2:$A$53)
   )
)</f>
        <v>1</v>
      </c>
      <c r="N89" s="41"/>
      <c r="O89" s="41"/>
      <c r="P89" s="41"/>
      <c r="Q89" s="92" t="s">
        <v>299</v>
      </c>
      <c r="R89" s="133" t="s">
        <v>39</v>
      </c>
      <c r="S89" s="113"/>
      <c r="T89" s="114"/>
      <c r="U89" s="114"/>
      <c r="V89" s="114"/>
      <c r="W89" s="114"/>
      <c r="X89" s="114"/>
      <c r="Y89" s="114"/>
      <c r="Z89" s="114"/>
      <c r="AA89" s="114"/>
      <c r="AB89" s="114"/>
      <c r="AC89" s="114"/>
      <c r="AD89" s="114"/>
      <c r="AE89" s="114"/>
      <c r="AF89" s="114"/>
      <c r="AG89" s="114"/>
      <c r="AH89" s="114"/>
      <c r="AI89" s="114"/>
      <c r="AJ89" s="114"/>
      <c r="AK89" s="114"/>
      <c r="AL89" s="114"/>
      <c r="AM89" s="114"/>
      <c r="AN89" s="115"/>
    </row>
    <row r="90" spans="1:40">
      <c r="A90" s="116" t="s">
        <v>232</v>
      </c>
      <c r="B90" s="134" t="s">
        <v>300</v>
      </c>
      <c r="C90" s="87" t="s">
        <v>204</v>
      </c>
      <c r="D90" s="91" t="s">
        <v>211</v>
      </c>
      <c r="E90" s="93"/>
      <c r="F90" s="103" t="s">
        <v>46</v>
      </c>
      <c r="G90" s="104">
        <v>100</v>
      </c>
      <c r="H90" s="20">
        <f>IF(OR(J90="",K90="",K90&lt;J90),0,NETWORKDAYS(J90,K90,Hoja2!$A$2:$A$53))</f>
        <v>0</v>
      </c>
      <c r="I90" s="44"/>
      <c r="J90" s="68">
        <v>46055</v>
      </c>
      <c r="K90" s="44"/>
      <c r="L90" s="68">
        <v>46055</v>
      </c>
      <c r="M90" s="23">
        <f ca="1">IF(OR(J90="",AND(L90="",TODAY()&lt;J90),AND(L90&lt;&gt;"",L90&lt;J90)),0,
   IF(L90="",
      NETWORKDAYS(J90,TODAY(),Hoja2!$A$2:$A$53),
      NETWORKDAYS(J90,L90,Hoja2!$A$2:$A$53)
   )
)</f>
        <v>1</v>
      </c>
      <c r="N90" s="44"/>
      <c r="O90" s="44"/>
      <c r="P90" s="44"/>
      <c r="Q90" s="55" t="s">
        <v>205</v>
      </c>
      <c r="R90" s="129" t="s">
        <v>39</v>
      </c>
      <c r="S90" s="117"/>
      <c r="T90" s="118"/>
      <c r="U90" s="118"/>
      <c r="V90" s="118"/>
      <c r="W90" s="118"/>
      <c r="X90" s="118"/>
      <c r="Y90" s="118"/>
      <c r="Z90" s="118"/>
      <c r="AA90" s="118"/>
      <c r="AB90" s="118"/>
      <c r="AC90" s="118"/>
      <c r="AD90" s="118"/>
      <c r="AE90" s="118"/>
      <c r="AF90" s="118"/>
      <c r="AG90" s="118"/>
      <c r="AH90" s="118"/>
      <c r="AI90" s="118"/>
      <c r="AJ90" s="118"/>
      <c r="AK90" s="118"/>
      <c r="AL90" s="118"/>
      <c r="AM90" s="118"/>
      <c r="AN90" s="119"/>
    </row>
    <row r="91" spans="1:40">
      <c r="A91" s="112" t="s">
        <v>25</v>
      </c>
      <c r="B91" s="130" t="s">
        <v>301</v>
      </c>
      <c r="C91" s="84" t="s">
        <v>204</v>
      </c>
      <c r="D91" s="90" t="s">
        <v>211</v>
      </c>
      <c r="E91" s="95"/>
      <c r="F91" s="101" t="s">
        <v>46</v>
      </c>
      <c r="G91" s="102">
        <v>100</v>
      </c>
      <c r="H91" s="33">
        <f>IF(OR(J91="",K91="",K91&lt;J91),0,NETWORKDAYS(J91,K91,Hoja2!$A$2:$A$53))</f>
        <v>0</v>
      </c>
      <c r="I91" s="41"/>
      <c r="J91" s="76">
        <v>46056</v>
      </c>
      <c r="K91" s="41"/>
      <c r="L91" s="76">
        <v>46056</v>
      </c>
      <c r="M91" s="36">
        <f ca="1">IF(OR(J91="",AND(L91="",TODAY()&lt;J91),AND(L91&lt;&gt;"",L91&lt;J91)),0,
   IF(L91="",
      NETWORKDAYS(J91,TODAY(),Hoja2!$A$2:$A$53),
      NETWORKDAYS(J91,L91,Hoja2!$A$2:$A$53)
   )
)</f>
        <v>1</v>
      </c>
      <c r="N91" s="41"/>
      <c r="O91" s="41"/>
      <c r="P91" s="41"/>
      <c r="Q91" s="92" t="s">
        <v>205</v>
      </c>
      <c r="R91" s="133" t="s">
        <v>39</v>
      </c>
      <c r="S91" s="113"/>
      <c r="T91" s="114"/>
      <c r="U91" s="114"/>
      <c r="V91" s="114"/>
      <c r="W91" s="114"/>
      <c r="X91" s="114"/>
      <c r="Y91" s="114"/>
      <c r="Z91" s="114"/>
      <c r="AA91" s="114"/>
      <c r="AB91" s="114"/>
      <c r="AC91" s="114"/>
      <c r="AD91" s="114"/>
      <c r="AE91" s="114"/>
      <c r="AF91" s="114"/>
      <c r="AG91" s="114"/>
      <c r="AH91" s="114"/>
      <c r="AI91" s="114"/>
      <c r="AJ91" s="114"/>
      <c r="AK91" s="114"/>
      <c r="AL91" s="114"/>
      <c r="AM91" s="114"/>
      <c r="AN91" s="115"/>
    </row>
    <row r="92" spans="1:40" ht="38.25">
      <c r="A92" s="116" t="s">
        <v>302</v>
      </c>
      <c r="B92" s="134" t="s">
        <v>303</v>
      </c>
      <c r="C92" s="87" t="s">
        <v>304</v>
      </c>
      <c r="D92" s="91" t="s">
        <v>305</v>
      </c>
      <c r="E92" s="93"/>
      <c r="F92" s="103" t="s">
        <v>46</v>
      </c>
      <c r="G92" s="104">
        <v>100</v>
      </c>
      <c r="H92" s="20">
        <f>IF(OR(J92="",K92="",K92&lt;J92),0,NETWORKDAYS(J92,K92,Hoja2!$A$2:$A$53))</f>
        <v>0</v>
      </c>
      <c r="I92" s="44"/>
      <c r="J92" s="68">
        <v>46064</v>
      </c>
      <c r="K92" s="44"/>
      <c r="L92" s="68">
        <v>46064</v>
      </c>
      <c r="M92" s="23">
        <f ca="1">IF(OR(J92="",AND(L92="",TODAY()&lt;J92),AND(L92&lt;&gt;"",L92&lt;J92)),0,
   IF(L92="",
      NETWORKDAYS(J92,TODAY(),Hoja2!$A$2:$A$53),
      NETWORKDAYS(J92,L92,Hoja2!$A$2:$A$53)
   )
)</f>
        <v>1</v>
      </c>
      <c r="N92" s="44"/>
      <c r="O92" s="44"/>
      <c r="P92" s="44"/>
      <c r="Q92" s="55" t="s">
        <v>306</v>
      </c>
      <c r="R92" s="129" t="s">
        <v>39</v>
      </c>
      <c r="S92" s="117"/>
      <c r="T92" s="118"/>
      <c r="U92" s="118"/>
      <c r="V92" s="118"/>
      <c r="W92" s="118"/>
      <c r="X92" s="118"/>
      <c r="Y92" s="118"/>
      <c r="Z92" s="118"/>
      <c r="AA92" s="118"/>
      <c r="AB92" s="118"/>
      <c r="AC92" s="118"/>
      <c r="AD92" s="118"/>
      <c r="AE92" s="118"/>
      <c r="AF92" s="118"/>
      <c r="AG92" s="118"/>
      <c r="AH92" s="118"/>
      <c r="AI92" s="118"/>
      <c r="AJ92" s="118"/>
      <c r="AK92" s="118"/>
      <c r="AL92" s="118"/>
      <c r="AM92" s="118"/>
      <c r="AN92" s="119"/>
    </row>
    <row r="93" spans="1:40">
      <c r="A93" s="112" t="s">
        <v>232</v>
      </c>
      <c r="B93" s="130" t="s">
        <v>307</v>
      </c>
      <c r="C93" s="84" t="s">
        <v>204</v>
      </c>
      <c r="D93" s="90" t="s">
        <v>211</v>
      </c>
      <c r="E93" s="95"/>
      <c r="F93" s="101" t="s">
        <v>46</v>
      </c>
      <c r="G93" s="102">
        <v>100</v>
      </c>
      <c r="H93" s="33">
        <f>IF(OR(J93="",K93="",K93&lt;J93),0,NETWORKDAYS(J93,K93,Hoja2!$A$2:$A$53))</f>
        <v>0</v>
      </c>
      <c r="I93" s="41"/>
      <c r="J93" s="76">
        <v>46064</v>
      </c>
      <c r="K93" s="41"/>
      <c r="L93" s="76">
        <v>46064</v>
      </c>
      <c r="M93" s="36">
        <f ca="1">IF(OR(J93="",AND(L93="",TODAY()&lt;J93),AND(L93&lt;&gt;"",L93&lt;J93)),0,
   IF(L93="",
      NETWORKDAYS(J93,TODAY(),Hoja2!$A$2:$A$53),
      NETWORKDAYS(J93,L93,Hoja2!$A$2:$A$53)
   )
)</f>
        <v>1</v>
      </c>
      <c r="N93" s="41"/>
      <c r="O93" s="41"/>
      <c r="P93" s="41"/>
      <c r="Q93" s="92" t="s">
        <v>205</v>
      </c>
      <c r="R93" s="133" t="s">
        <v>39</v>
      </c>
      <c r="S93" s="113"/>
      <c r="T93" s="114"/>
      <c r="U93" s="114"/>
      <c r="V93" s="114"/>
      <c r="W93" s="114"/>
      <c r="X93" s="114"/>
      <c r="Y93" s="114"/>
      <c r="Z93" s="114"/>
      <c r="AA93" s="114"/>
      <c r="AB93" s="114"/>
      <c r="AC93" s="114"/>
      <c r="AD93" s="114"/>
      <c r="AE93" s="114"/>
      <c r="AF93" s="114"/>
      <c r="AG93" s="114"/>
      <c r="AH93" s="114"/>
      <c r="AI93" s="114"/>
      <c r="AJ93" s="114"/>
      <c r="AK93" s="114"/>
      <c r="AL93" s="114"/>
      <c r="AM93" s="114"/>
      <c r="AN93" s="115"/>
    </row>
    <row r="94" spans="1:40">
      <c r="A94" s="116" t="s">
        <v>18</v>
      </c>
      <c r="B94" s="134" t="s">
        <v>308</v>
      </c>
      <c r="C94" s="87" t="s">
        <v>204</v>
      </c>
      <c r="D94" s="91" t="s">
        <v>211</v>
      </c>
      <c r="E94" s="93"/>
      <c r="F94" s="103" t="s">
        <v>46</v>
      </c>
      <c r="G94" s="104">
        <v>100</v>
      </c>
      <c r="H94" s="20">
        <f>IF(OR(J94="",K94="",K94&lt;J94),0,NETWORKDAYS(J94,K94,Hoja2!$A$2:$A$53))</f>
        <v>0</v>
      </c>
      <c r="I94" s="44"/>
      <c r="J94" s="68">
        <v>46065</v>
      </c>
      <c r="K94" s="44"/>
      <c r="L94" s="68">
        <v>46065</v>
      </c>
      <c r="M94" s="23">
        <f ca="1">IF(OR(J94="",AND(L94="",TODAY()&lt;J94),AND(L94&lt;&gt;"",L94&lt;J94)),0,
   IF(L94="",
      NETWORKDAYS(J94,TODAY(),Hoja2!$A$2:$A$53),
      NETWORKDAYS(J94,L94,Hoja2!$A$2:$A$53)
   )
)</f>
        <v>1</v>
      </c>
      <c r="N94" s="44"/>
      <c r="O94" s="44"/>
      <c r="P94" s="44"/>
      <c r="Q94" s="55" t="s">
        <v>205</v>
      </c>
      <c r="R94" s="129" t="s">
        <v>39</v>
      </c>
      <c r="S94" s="117"/>
      <c r="T94" s="118"/>
      <c r="U94" s="118"/>
      <c r="V94" s="118"/>
      <c r="W94" s="118"/>
      <c r="X94" s="118"/>
      <c r="Y94" s="118"/>
      <c r="Z94" s="118"/>
      <c r="AA94" s="118"/>
      <c r="AB94" s="118"/>
      <c r="AC94" s="118"/>
      <c r="AD94" s="118"/>
      <c r="AE94" s="118"/>
      <c r="AF94" s="118"/>
      <c r="AG94" s="118"/>
      <c r="AH94" s="118"/>
      <c r="AI94" s="118"/>
      <c r="AJ94" s="118"/>
      <c r="AK94" s="118"/>
      <c r="AL94" s="118"/>
      <c r="AM94" s="118"/>
      <c r="AN94" s="119"/>
    </row>
    <row r="95" spans="1:40" ht="38.25">
      <c r="A95" s="112" t="s">
        <v>18</v>
      </c>
      <c r="B95" s="130" t="s">
        <v>309</v>
      </c>
      <c r="C95" s="84" t="s">
        <v>310</v>
      </c>
      <c r="D95" s="90" t="s">
        <v>311</v>
      </c>
      <c r="E95" s="95"/>
      <c r="F95" s="101" t="s">
        <v>46</v>
      </c>
      <c r="G95" s="102">
        <v>100</v>
      </c>
      <c r="H95" s="33">
        <f>IF(OR(J95="",K95="",K95&lt;J95),0,NETWORKDAYS(J95,K95,Hoja2!$A$2:$A$53))</f>
        <v>0</v>
      </c>
      <c r="I95" s="41"/>
      <c r="J95" s="76">
        <v>46066</v>
      </c>
      <c r="K95" s="41"/>
      <c r="L95" s="76">
        <v>46066</v>
      </c>
      <c r="M95" s="36">
        <f ca="1">IF(OR(J95="",AND(L95="",TODAY()&lt;J95),AND(L95&lt;&gt;"",L95&lt;J95)),0,
   IF(L95="",
      NETWORKDAYS(J95,TODAY(),Hoja2!$A$2:$A$53),
      NETWORKDAYS(J95,L95,Hoja2!$A$2:$A$53)
   )
)</f>
        <v>1</v>
      </c>
      <c r="N95" s="41"/>
      <c r="O95" s="41"/>
      <c r="P95" s="41"/>
      <c r="Q95" s="92" t="s">
        <v>312</v>
      </c>
      <c r="R95" s="133" t="s">
        <v>39</v>
      </c>
      <c r="S95" s="113"/>
      <c r="T95" s="114"/>
      <c r="U95" s="114"/>
      <c r="V95" s="114"/>
      <c r="W95" s="114"/>
      <c r="X95" s="114"/>
      <c r="Y95" s="114"/>
      <c r="Z95" s="114"/>
      <c r="AA95" s="114"/>
      <c r="AB95" s="114"/>
      <c r="AC95" s="114"/>
      <c r="AD95" s="114"/>
      <c r="AE95" s="114"/>
      <c r="AF95" s="114"/>
      <c r="AG95" s="114"/>
      <c r="AH95" s="114"/>
      <c r="AI95" s="114"/>
      <c r="AJ95" s="114"/>
      <c r="AK95" s="114"/>
      <c r="AL95" s="114"/>
      <c r="AM95" s="114"/>
      <c r="AN95" s="115"/>
    </row>
    <row r="96" spans="1:40">
      <c r="A96" s="116" t="s">
        <v>232</v>
      </c>
      <c r="B96" s="134" t="s">
        <v>313</v>
      </c>
      <c r="C96" s="87" t="s">
        <v>204</v>
      </c>
      <c r="D96" s="91" t="s">
        <v>211</v>
      </c>
      <c r="E96" s="93"/>
      <c r="F96" s="103" t="s">
        <v>46</v>
      </c>
      <c r="G96" s="104">
        <v>100</v>
      </c>
      <c r="H96" s="20">
        <f>IF(OR(J96="",K96="",K96&lt;J96),0,NETWORKDAYS(J96,K96,Hoja2!$A$2:$A$53))</f>
        <v>0</v>
      </c>
      <c r="I96" s="44"/>
      <c r="J96" s="68">
        <v>46069</v>
      </c>
      <c r="K96" s="44"/>
      <c r="L96" s="68">
        <v>46069</v>
      </c>
      <c r="M96" s="23">
        <f ca="1">IF(OR(J96="",AND(L96="",TODAY()&lt;J96),AND(L96&lt;&gt;"",L96&lt;J96)),0,
   IF(L96="",
      NETWORKDAYS(J96,TODAY(),Hoja2!$A$2:$A$53),
      NETWORKDAYS(J96,L96,Hoja2!$A$2:$A$53)
   )
)</f>
        <v>1</v>
      </c>
      <c r="N96" s="44"/>
      <c r="O96" s="44"/>
      <c r="P96" s="44"/>
      <c r="Q96" s="55" t="s">
        <v>205</v>
      </c>
      <c r="R96" s="129" t="s">
        <v>39</v>
      </c>
      <c r="S96" s="117"/>
      <c r="T96" s="118"/>
      <c r="U96" s="118"/>
      <c r="V96" s="118"/>
      <c r="W96" s="118"/>
      <c r="X96" s="118"/>
      <c r="Y96" s="118"/>
      <c r="Z96" s="118"/>
      <c r="AA96" s="118"/>
      <c r="AB96" s="118"/>
      <c r="AC96" s="118"/>
      <c r="AD96" s="118"/>
      <c r="AE96" s="118"/>
      <c r="AF96" s="118"/>
      <c r="AG96" s="118"/>
      <c r="AH96" s="118"/>
      <c r="AI96" s="118"/>
      <c r="AJ96" s="118"/>
      <c r="AK96" s="118"/>
      <c r="AL96" s="118"/>
      <c r="AM96" s="118"/>
      <c r="AN96" s="119"/>
    </row>
    <row r="97" spans="1:40" ht="25.5">
      <c r="A97" s="112" t="s">
        <v>18</v>
      </c>
      <c r="B97" s="130" t="s">
        <v>314</v>
      </c>
      <c r="C97" s="84" t="s">
        <v>315</v>
      </c>
      <c r="D97" s="90" t="s">
        <v>316</v>
      </c>
      <c r="E97" s="95"/>
      <c r="F97" s="101" t="s">
        <v>46</v>
      </c>
      <c r="G97" s="102">
        <v>100</v>
      </c>
      <c r="H97" s="33">
        <f>IF(OR(J97="",K97="",K97&lt;J97),0,NETWORKDAYS(J97,K97,Hoja2!$A$2:$A$53))</f>
        <v>0</v>
      </c>
      <c r="I97" s="41"/>
      <c r="J97" s="76">
        <v>46070</v>
      </c>
      <c r="K97" s="41"/>
      <c r="L97" s="76">
        <v>46073</v>
      </c>
      <c r="M97" s="36">
        <f ca="1">IF(OR(J97="",AND(L97="",TODAY()&lt;J97),AND(L97&lt;&gt;"",L97&lt;J97)),0,
   IF(L97="",
      NETWORKDAYS(J97,TODAY(),Hoja2!$A$2:$A$53),
      NETWORKDAYS(J97,L97,Hoja2!$A$2:$A$53)
   )
)</f>
        <v>4</v>
      </c>
      <c r="N97" s="41"/>
      <c r="O97" s="41"/>
      <c r="P97" s="41"/>
      <c r="Q97" s="92"/>
      <c r="R97" s="133" t="s">
        <v>39</v>
      </c>
      <c r="S97" s="113"/>
      <c r="T97" s="114"/>
      <c r="U97" s="114"/>
      <c r="V97" s="114"/>
      <c r="W97" s="114"/>
      <c r="X97" s="114"/>
      <c r="Y97" s="114"/>
      <c r="Z97" s="114"/>
      <c r="AA97" s="114"/>
      <c r="AB97" s="114"/>
      <c r="AC97" s="114"/>
      <c r="AD97" s="114"/>
      <c r="AE97" s="114"/>
      <c r="AF97" s="114"/>
      <c r="AG97" s="114"/>
      <c r="AH97" s="114"/>
      <c r="AI97" s="114"/>
      <c r="AJ97" s="114"/>
      <c r="AK97" s="114"/>
      <c r="AL97" s="114"/>
      <c r="AM97" s="114"/>
      <c r="AN97" s="115"/>
    </row>
    <row r="98" spans="1:40" ht="38.25">
      <c r="A98" s="116" t="s">
        <v>287</v>
      </c>
      <c r="B98" s="134" t="s">
        <v>317</v>
      </c>
      <c r="C98" s="87" t="s">
        <v>318</v>
      </c>
      <c r="D98" s="91" t="s">
        <v>111</v>
      </c>
      <c r="E98" s="93"/>
      <c r="F98" s="103" t="s">
        <v>46</v>
      </c>
      <c r="G98" s="104">
        <v>100</v>
      </c>
      <c r="H98" s="20">
        <f>IF(OR(J98="",K98="",K98&lt;J98),0,NETWORKDAYS(J98,K98,Hoja2!$A$2:$A$53))</f>
        <v>0</v>
      </c>
      <c r="I98" s="68">
        <v>46076</v>
      </c>
      <c r="J98" s="68">
        <v>46076</v>
      </c>
      <c r="K98" s="44"/>
      <c r="L98" s="68">
        <v>46079</v>
      </c>
      <c r="M98" s="23">
        <f ca="1">IF(OR(J98="",AND(L98="",TODAY()&lt;J98),AND(L98&lt;&gt;"",L98&lt;J98)),0,
   IF(L98="",
      NETWORKDAYS(J98,TODAY(),Hoja2!$A$2:$A$53),
      NETWORKDAYS(J98,L98,Hoja2!$A$2:$A$53)
   )
)</f>
        <v>4</v>
      </c>
      <c r="N98" s="44"/>
      <c r="O98" s="44"/>
      <c r="P98" s="44"/>
      <c r="Q98" s="55" t="s">
        <v>319</v>
      </c>
      <c r="R98" s="129" t="s">
        <v>39</v>
      </c>
      <c r="S98" s="117"/>
      <c r="T98" s="118"/>
      <c r="U98" s="118"/>
      <c r="V98" s="118"/>
      <c r="W98" s="118"/>
      <c r="X98" s="118"/>
      <c r="Y98" s="118"/>
      <c r="Z98" s="118"/>
      <c r="AA98" s="118"/>
      <c r="AB98" s="118"/>
      <c r="AC98" s="118"/>
      <c r="AD98" s="118"/>
      <c r="AE98" s="118"/>
      <c r="AF98" s="118"/>
      <c r="AG98" s="118"/>
      <c r="AH98" s="118"/>
      <c r="AI98" s="118"/>
      <c r="AJ98" s="118"/>
      <c r="AK98" s="118"/>
      <c r="AL98" s="118"/>
      <c r="AM98" s="118"/>
      <c r="AN98" s="119"/>
    </row>
    <row r="99" spans="1:40" ht="24">
      <c r="A99" s="112" t="s">
        <v>287</v>
      </c>
      <c r="B99" s="130" t="s">
        <v>320</v>
      </c>
      <c r="C99" s="84" t="s">
        <v>204</v>
      </c>
      <c r="D99" s="90" t="s">
        <v>211</v>
      </c>
      <c r="E99" s="95"/>
      <c r="F99" s="101" t="s">
        <v>46</v>
      </c>
      <c r="G99" s="102">
        <v>100</v>
      </c>
      <c r="H99" s="33">
        <f>IF(OR(J99="",K99="",K99&lt;J99),0,NETWORKDAYS(J99,K99,Hoja2!$A$2:$A$53))</f>
        <v>1</v>
      </c>
      <c r="I99" s="76">
        <v>46081</v>
      </c>
      <c r="J99" s="76">
        <v>46083</v>
      </c>
      <c r="K99" s="41">
        <v>46083</v>
      </c>
      <c r="L99" s="76">
        <v>46083</v>
      </c>
      <c r="M99" s="36">
        <f ca="1">IF(OR(J99="",AND(L99="",TODAY()&lt;J99),AND(L99&lt;&gt;"",L99&lt;J99)),0,
   IF(L99="",
      NETWORKDAYS(J99,TODAY(),Hoja2!$A$2:$A$53),
      NETWORKDAYS(J99,L99,Hoja2!$A$2:$A$53)
   )
)</f>
        <v>1</v>
      </c>
      <c r="N99" s="41"/>
      <c r="O99" s="41"/>
      <c r="P99" s="41"/>
      <c r="Q99" s="92" t="s">
        <v>321</v>
      </c>
      <c r="R99" s="133" t="s">
        <v>39</v>
      </c>
      <c r="S99" s="113"/>
      <c r="T99" s="114"/>
      <c r="U99" s="114"/>
      <c r="V99" s="114"/>
      <c r="W99" s="114"/>
      <c r="X99" s="114"/>
      <c r="Y99" s="114"/>
      <c r="Z99" s="114"/>
      <c r="AA99" s="114"/>
      <c r="AB99" s="114"/>
      <c r="AC99" s="114"/>
      <c r="AD99" s="114"/>
      <c r="AE99" s="114"/>
      <c r="AF99" s="114"/>
      <c r="AG99" s="114"/>
      <c r="AH99" s="114"/>
      <c r="AI99" s="114"/>
      <c r="AJ99" s="114"/>
      <c r="AK99" s="114"/>
      <c r="AL99" s="114"/>
      <c r="AM99" s="114"/>
      <c r="AN99" s="115"/>
    </row>
    <row r="100" spans="1:40" ht="24">
      <c r="A100" s="116" t="s">
        <v>25</v>
      </c>
      <c r="B100" s="134" t="s">
        <v>322</v>
      </c>
      <c r="C100" s="87" t="s">
        <v>204</v>
      </c>
      <c r="D100" s="91" t="s">
        <v>211</v>
      </c>
      <c r="E100" s="93"/>
      <c r="F100" s="103" t="s">
        <v>46</v>
      </c>
      <c r="G100" s="104">
        <v>100</v>
      </c>
      <c r="H100" s="20">
        <f>IF(OR(J100="",K100="",K100&lt;J100),0,NETWORKDAYS(J100,K100,Hoja2!$A$2:$A$53))</f>
        <v>1</v>
      </c>
      <c r="I100" s="68">
        <v>46085</v>
      </c>
      <c r="J100" s="68">
        <v>46085</v>
      </c>
      <c r="K100" s="68">
        <v>46085</v>
      </c>
      <c r="L100" s="68">
        <v>46085</v>
      </c>
      <c r="M100" s="23">
        <f ca="1">IF(OR(J100="",AND(L100="",TODAY()&lt;J100),AND(L100&lt;&gt;"",L100&lt;J100)),0,
   IF(L100="",
      NETWORKDAYS(J100,TODAY(),Hoja2!$A$2:$A$53),
      NETWORKDAYS(J100,L100,Hoja2!$A$2:$A$53)
   )
)</f>
        <v>1</v>
      </c>
      <c r="N100" s="44"/>
      <c r="O100" s="44"/>
      <c r="P100" s="44"/>
      <c r="Q100" s="55" t="s">
        <v>321</v>
      </c>
      <c r="R100" s="129" t="s">
        <v>39</v>
      </c>
      <c r="S100" s="117"/>
      <c r="T100" s="118"/>
      <c r="U100" s="118"/>
      <c r="V100" s="118"/>
      <c r="W100" s="118"/>
      <c r="X100" s="118"/>
      <c r="Y100" s="118"/>
      <c r="Z100" s="118"/>
      <c r="AA100" s="118"/>
      <c r="AB100" s="118"/>
      <c r="AC100" s="118"/>
      <c r="AD100" s="118"/>
      <c r="AE100" s="118"/>
      <c r="AF100" s="118"/>
      <c r="AG100" s="118"/>
      <c r="AH100" s="118"/>
      <c r="AI100" s="118"/>
      <c r="AJ100" s="118"/>
      <c r="AK100" s="118"/>
      <c r="AL100" s="118"/>
      <c r="AM100" s="118"/>
      <c r="AN100" s="119"/>
    </row>
    <row r="101" spans="1:40" ht="25.5">
      <c r="A101" s="112" t="s">
        <v>287</v>
      </c>
      <c r="B101" s="130" t="s">
        <v>323</v>
      </c>
      <c r="C101" s="84" t="s">
        <v>324</v>
      </c>
      <c r="D101" s="90" t="s">
        <v>325</v>
      </c>
      <c r="E101" s="95"/>
      <c r="F101" s="101" t="s">
        <v>46</v>
      </c>
      <c r="G101" s="102">
        <v>100</v>
      </c>
      <c r="H101" s="33">
        <f>IF(OR(J101="",K101="",K101&lt;J101),0,NETWORKDAYS(J101,K101,Hoja2!$A$2:$A$53))</f>
        <v>0</v>
      </c>
      <c r="I101" s="76">
        <v>46086</v>
      </c>
      <c r="J101" s="76">
        <v>46086</v>
      </c>
      <c r="K101" s="41"/>
      <c r="L101" s="76">
        <v>46086</v>
      </c>
      <c r="M101" s="36">
        <f ca="1">IF(OR(J101="",AND(L101="",TODAY()&lt;J101),AND(L101&lt;&gt;"",L101&lt;J101)),0,
   IF(L101="",
      NETWORKDAYS(J101,TODAY(),Hoja2!$A$2:$A$53),
      NETWORKDAYS(J101,L101,Hoja2!$A$2:$A$53)
   )
)</f>
        <v>1</v>
      </c>
      <c r="N101" s="41"/>
      <c r="O101" s="41"/>
      <c r="P101" s="41"/>
      <c r="Q101" s="92" t="s">
        <v>326</v>
      </c>
      <c r="R101" s="133" t="s">
        <v>39</v>
      </c>
      <c r="S101" s="106"/>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08"/>
    </row>
    <row r="102" spans="1:40" ht="51">
      <c r="A102" s="116" t="s">
        <v>287</v>
      </c>
      <c r="B102" s="134" t="s">
        <v>327</v>
      </c>
      <c r="C102" s="87" t="s">
        <v>328</v>
      </c>
      <c r="D102" s="91" t="s">
        <v>329</v>
      </c>
      <c r="E102" s="93"/>
      <c r="F102" s="103" t="s">
        <v>46</v>
      </c>
      <c r="G102" s="104">
        <v>100</v>
      </c>
      <c r="H102" s="20">
        <f>IF(OR(J102="",K102="",K102&lt;J102),0,NETWORKDAYS(J102,K102,Hoja2!$A$2:$A$53))</f>
        <v>3</v>
      </c>
      <c r="I102" s="68">
        <v>46086</v>
      </c>
      <c r="J102" s="68">
        <v>46087</v>
      </c>
      <c r="K102" s="68">
        <v>46091</v>
      </c>
      <c r="L102" s="68">
        <v>46087</v>
      </c>
      <c r="M102" s="23">
        <f ca="1">IF(OR(J102="",AND(L102="",TODAY()&lt;J102),AND(L102&lt;&gt;"",L102&lt;J102)),0,
   IF(L102="",
      NETWORKDAYS(J102,TODAY(),Hoja2!$A$2:$A$53),
      NETWORKDAYS(J102,L102,Hoja2!$A$2:$A$53)
   )
)</f>
        <v>1</v>
      </c>
      <c r="N102" s="68">
        <v>46091</v>
      </c>
      <c r="O102" s="44"/>
      <c r="P102" s="68">
        <v>46087</v>
      </c>
      <c r="Q102" s="55" t="s">
        <v>330</v>
      </c>
      <c r="R102" s="129" t="s">
        <v>39</v>
      </c>
      <c r="S102" s="117"/>
      <c r="T102" s="118"/>
      <c r="U102" s="118"/>
      <c r="V102" s="118"/>
      <c r="W102" s="118"/>
      <c r="X102" s="118"/>
      <c r="Y102" s="118"/>
      <c r="Z102" s="118"/>
      <c r="AA102" s="118"/>
      <c r="AB102" s="118"/>
      <c r="AC102" s="118"/>
      <c r="AD102" s="118"/>
      <c r="AE102" s="118"/>
      <c r="AF102" s="118"/>
      <c r="AG102" s="118"/>
      <c r="AH102" s="118"/>
      <c r="AI102" s="118"/>
      <c r="AJ102" s="118"/>
      <c r="AK102" s="118"/>
      <c r="AL102" s="118"/>
      <c r="AM102" s="118"/>
      <c r="AN102" s="119"/>
    </row>
    <row r="103" spans="1:40" ht="48">
      <c r="A103" s="112" t="s">
        <v>331</v>
      </c>
      <c r="B103" s="130" t="s">
        <v>332</v>
      </c>
      <c r="C103" s="84" t="s">
        <v>333</v>
      </c>
      <c r="D103" s="90" t="s">
        <v>334</v>
      </c>
      <c r="E103" s="95"/>
      <c r="F103" s="101" t="s">
        <v>46</v>
      </c>
      <c r="G103" s="102">
        <v>100</v>
      </c>
      <c r="H103" s="33">
        <f>IF(OR(J103="",K103="",K103&lt;J103),0,NETWORKDAYS(J103,K103,Hoja2!$A$2:$A$53))</f>
        <v>1</v>
      </c>
      <c r="I103" s="76">
        <v>46090</v>
      </c>
      <c r="J103" s="76">
        <v>46090</v>
      </c>
      <c r="K103" s="76">
        <v>46090</v>
      </c>
      <c r="L103" s="76">
        <v>46090</v>
      </c>
      <c r="M103" s="36">
        <f ca="1">IF(OR(J103="",AND(L103="",TODAY()&lt;J103),AND(L103&lt;&gt;"",L103&lt;J103)),0,
   IF(L103="",
      NETWORKDAYS(J103,TODAY(),Hoja2!$A$2:$A$53),
      NETWORKDAYS(J103,L103,Hoja2!$A$2:$A$53)
   )
)</f>
        <v>1</v>
      </c>
      <c r="N103" s="41"/>
      <c r="O103" s="41"/>
      <c r="P103" s="41"/>
      <c r="Q103" s="92" t="s">
        <v>335</v>
      </c>
      <c r="R103" s="133" t="s">
        <v>39</v>
      </c>
      <c r="S103" s="106"/>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08"/>
    </row>
    <row r="104" spans="1:40" ht="38.25">
      <c r="A104" s="116" t="s">
        <v>18</v>
      </c>
      <c r="B104" s="134" t="s">
        <v>336</v>
      </c>
      <c r="C104" s="87" t="s">
        <v>337</v>
      </c>
      <c r="D104" s="91" t="s">
        <v>338</v>
      </c>
      <c r="E104" s="93"/>
      <c r="F104" s="103" t="s">
        <v>46</v>
      </c>
      <c r="G104" s="104">
        <v>100</v>
      </c>
      <c r="H104" s="20">
        <f>IF(OR(J104="",K104="",K104&lt;J104),0,NETWORKDAYS(J104,K104,Hoja2!$A$2:$A$53))</f>
        <v>0</v>
      </c>
      <c r="I104" s="68">
        <v>46090</v>
      </c>
      <c r="J104" s="68">
        <v>46090</v>
      </c>
      <c r="K104" s="44"/>
      <c r="L104" s="68">
        <v>46090</v>
      </c>
      <c r="M104" s="23">
        <f ca="1">IF(OR(J104="",AND(L104="",TODAY()&lt;J104),AND(L104&lt;&gt;"",L104&lt;J104)),0,
   IF(L104="",
      NETWORKDAYS(J104,TODAY(),Hoja2!$A$2:$A$53),
      NETWORKDAYS(J104,L104,Hoja2!$A$2:$A$53)
   )
)</f>
        <v>1</v>
      </c>
      <c r="N104" s="44"/>
      <c r="O104" s="44"/>
      <c r="P104" s="44"/>
      <c r="Q104" s="55" t="s">
        <v>339</v>
      </c>
      <c r="R104" s="129" t="s">
        <v>39</v>
      </c>
      <c r="S104" s="117"/>
      <c r="T104" s="118"/>
      <c r="U104" s="118"/>
      <c r="V104" s="118"/>
      <c r="W104" s="118"/>
      <c r="X104" s="118"/>
      <c r="Y104" s="118"/>
      <c r="Z104" s="118"/>
      <c r="AA104" s="118"/>
      <c r="AB104" s="118"/>
      <c r="AC104" s="118"/>
      <c r="AD104" s="118"/>
      <c r="AE104" s="118"/>
      <c r="AF104" s="118"/>
      <c r="AG104" s="118"/>
      <c r="AH104" s="118"/>
      <c r="AI104" s="118"/>
      <c r="AJ104" s="118"/>
      <c r="AK104" s="118"/>
      <c r="AL104" s="118"/>
      <c r="AM104" s="118"/>
      <c r="AN104" s="119"/>
    </row>
    <row r="105" spans="1:40">
      <c r="A105" s="112" t="s">
        <v>287</v>
      </c>
      <c r="B105" s="130" t="s">
        <v>340</v>
      </c>
      <c r="C105" s="84" t="s">
        <v>204</v>
      </c>
      <c r="D105" s="90" t="s">
        <v>211</v>
      </c>
      <c r="E105" s="95"/>
      <c r="F105" s="101" t="s">
        <v>46</v>
      </c>
      <c r="G105" s="102">
        <v>100</v>
      </c>
      <c r="H105" s="33">
        <f>IF(OR(J105="",K105="",K105&lt;J105),0,NETWORKDAYS(J105,K105,Hoja2!$A$2:$A$53))</f>
        <v>1</v>
      </c>
      <c r="I105" s="76">
        <v>46092</v>
      </c>
      <c r="J105" s="76">
        <v>46093</v>
      </c>
      <c r="K105" s="76">
        <v>46093</v>
      </c>
      <c r="L105" s="76">
        <v>46093</v>
      </c>
      <c r="M105" s="36">
        <f ca="1">IF(OR(J105="",AND(L105="",TODAY()&lt;J105),AND(L105&lt;&gt;"",L105&lt;J105)),0,
   IF(L105="",
      NETWORKDAYS(J105,TODAY(),Hoja2!$A$2:$A$53),
      NETWORKDAYS(J105,L105,Hoja2!$A$2:$A$53)
   )
)</f>
        <v>1</v>
      </c>
      <c r="N105" s="41"/>
      <c r="O105" s="41"/>
      <c r="P105" s="41"/>
      <c r="Q105" s="92" t="s">
        <v>341</v>
      </c>
      <c r="R105" s="133" t="s">
        <v>39</v>
      </c>
      <c r="S105" s="113"/>
      <c r="T105" s="114"/>
      <c r="U105" s="114"/>
      <c r="V105" s="114"/>
      <c r="W105" s="114"/>
      <c r="X105" s="114"/>
      <c r="Y105" s="114"/>
      <c r="Z105" s="114"/>
      <c r="AA105" s="114"/>
      <c r="AB105" s="114"/>
      <c r="AC105" s="114"/>
      <c r="AD105" s="114"/>
      <c r="AE105" s="114"/>
      <c r="AF105" s="114"/>
      <c r="AG105" s="114"/>
      <c r="AH105" s="114"/>
      <c r="AI105" s="114"/>
      <c r="AJ105" s="114"/>
      <c r="AK105" s="114"/>
      <c r="AL105" s="114"/>
      <c r="AM105" s="114"/>
      <c r="AN105" s="115"/>
    </row>
    <row r="106" spans="1:40" ht="96">
      <c r="A106" s="116" t="s">
        <v>287</v>
      </c>
      <c r="B106" s="134" t="s">
        <v>342</v>
      </c>
      <c r="C106" s="87" t="s">
        <v>343</v>
      </c>
      <c r="D106" s="91" t="s">
        <v>344</v>
      </c>
      <c r="E106" s="93"/>
      <c r="F106" s="103" t="s">
        <v>46</v>
      </c>
      <c r="G106" s="104">
        <v>100</v>
      </c>
      <c r="H106" s="20">
        <f>IF(OR(J106="",K106="",K106&lt;J106),0,NETWORKDAYS(J106,K106,Hoja2!$A$2:$A$53))</f>
        <v>2</v>
      </c>
      <c r="I106" s="68">
        <v>46097</v>
      </c>
      <c r="J106" s="68">
        <v>46105</v>
      </c>
      <c r="K106" s="68">
        <v>46106</v>
      </c>
      <c r="L106" s="68">
        <v>46106</v>
      </c>
      <c r="M106" s="23">
        <f ca="1">IF(OR(J106="",AND(L106="",TODAY()&lt;J106),AND(L106&lt;&gt;"",L106&lt;J106)),0,
   IF(L106="",
      NETWORKDAYS(J106,TODAY(),Hoja2!$A$2:$A$53),
      NETWORKDAYS(J106,L106,Hoja2!$A$2:$A$53)
   )
)</f>
        <v>2</v>
      </c>
      <c r="N106" s="68">
        <v>46105</v>
      </c>
      <c r="O106" s="44"/>
      <c r="P106" s="68">
        <v>46106</v>
      </c>
      <c r="Q106" s="55" t="s">
        <v>345</v>
      </c>
      <c r="R106" s="129" t="s">
        <v>39</v>
      </c>
      <c r="S106" s="117"/>
      <c r="T106" s="118"/>
      <c r="U106" s="118"/>
      <c r="V106" s="118"/>
      <c r="W106" s="118"/>
      <c r="X106" s="118"/>
      <c r="Y106" s="118"/>
      <c r="Z106" s="118"/>
      <c r="AA106" s="118"/>
      <c r="AB106" s="118"/>
      <c r="AC106" s="118"/>
      <c r="AD106" s="118"/>
      <c r="AE106" s="118"/>
      <c r="AF106" s="118"/>
      <c r="AG106" s="118"/>
      <c r="AH106" s="118"/>
      <c r="AI106" s="118"/>
      <c r="AJ106" s="118"/>
      <c r="AK106" s="118"/>
      <c r="AL106" s="118"/>
      <c r="AM106" s="118"/>
      <c r="AN106" s="119"/>
    </row>
    <row r="107" spans="1:40" ht="25.5">
      <c r="A107" s="112" t="s">
        <v>25</v>
      </c>
      <c r="B107" s="130" t="s">
        <v>346</v>
      </c>
      <c r="C107" s="84" t="s">
        <v>347</v>
      </c>
      <c r="D107" s="90" t="s">
        <v>348</v>
      </c>
      <c r="E107" s="95"/>
      <c r="F107" s="101" t="s">
        <v>46</v>
      </c>
      <c r="G107" s="102">
        <v>100</v>
      </c>
      <c r="H107" s="33">
        <f>IF(OR(J107="",K107="",K107&lt;J107),0,NETWORKDAYS(J107,K107,Hoja2!$A$2:$A$53))</f>
        <v>1</v>
      </c>
      <c r="I107" s="76">
        <v>46100</v>
      </c>
      <c r="J107" s="76">
        <v>46100</v>
      </c>
      <c r="K107" s="76">
        <v>46100</v>
      </c>
      <c r="L107" s="41"/>
      <c r="M107" s="36">
        <f ca="1">IF(OR(J107="",AND(L107="",TODAY()&lt;J107),AND(L107&lt;&gt;"",L107&lt;J107)),0,
   IF(L107="",
      NETWORKDAYS(J107,TODAY(),Hoja2!$A$2:$A$53),
      NETWORKDAYS(J107,L107,Hoja2!$A$2:$A$53)
   )
)</f>
        <v>61</v>
      </c>
      <c r="N107" s="41"/>
      <c r="O107" s="41"/>
      <c r="P107" s="41"/>
      <c r="Q107" s="92" t="s">
        <v>349</v>
      </c>
      <c r="R107" s="133" t="s">
        <v>39</v>
      </c>
      <c r="S107" s="106"/>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8"/>
    </row>
    <row r="108" spans="1:40" ht="38.25">
      <c r="A108" s="116" t="s">
        <v>18</v>
      </c>
      <c r="B108" s="134" t="s">
        <v>350</v>
      </c>
      <c r="C108" s="87" t="s">
        <v>351</v>
      </c>
      <c r="D108" s="91" t="s">
        <v>111</v>
      </c>
      <c r="E108" s="93"/>
      <c r="F108" s="103" t="s">
        <v>46</v>
      </c>
      <c r="G108" s="104">
        <v>0</v>
      </c>
      <c r="H108" s="20">
        <f>IF(OR(J108="",K108="",K108&lt;J108),0,NETWORKDAYS(J108,K108,Hoja2!$A$2:$A$53))</f>
        <v>0</v>
      </c>
      <c r="I108" s="68">
        <v>46106</v>
      </c>
      <c r="J108" s="44"/>
      <c r="K108" s="68">
        <v>46108</v>
      </c>
      <c r="L108" s="136">
        <v>46111</v>
      </c>
      <c r="M108" s="23">
        <f ca="1">IF(OR(J108="",AND(L108="",TODAY()&lt;J108),AND(L108&lt;&gt;"",L108&lt;J108)),0,
   IF(L108="",
      NETWORKDAYS(J108,TODAY(),Hoja2!$A$2:$A$53),
      NETWORKDAYS(J108,L108,Hoja2!$A$2:$A$53)
   )
)</f>
        <v>0</v>
      </c>
      <c r="N108" s="44"/>
      <c r="O108" s="44"/>
      <c r="P108" s="44"/>
      <c r="Q108" s="128" t="s">
        <v>352</v>
      </c>
      <c r="R108" s="129" t="s">
        <v>39</v>
      </c>
      <c r="S108" s="117"/>
      <c r="T108" s="118"/>
      <c r="U108" s="118"/>
      <c r="V108" s="118"/>
      <c r="W108" s="118"/>
      <c r="X108" s="118"/>
      <c r="Y108" s="118"/>
      <c r="Z108" s="118"/>
      <c r="AA108" s="118"/>
      <c r="AB108" s="118"/>
      <c r="AC108" s="118"/>
      <c r="AD108" s="118"/>
      <c r="AE108" s="118"/>
      <c r="AF108" s="118"/>
      <c r="AG108" s="118"/>
      <c r="AH108" s="118"/>
      <c r="AI108" s="118"/>
      <c r="AJ108" s="118"/>
      <c r="AK108" s="118"/>
      <c r="AL108" s="118"/>
      <c r="AM108" s="118"/>
      <c r="AN108" s="119"/>
    </row>
    <row r="109" spans="1:40">
      <c r="A109" s="112" t="s">
        <v>25</v>
      </c>
      <c r="B109" s="130" t="s">
        <v>353</v>
      </c>
      <c r="C109" s="84" t="s">
        <v>204</v>
      </c>
      <c r="D109" s="90" t="s">
        <v>211</v>
      </c>
      <c r="E109" s="95"/>
      <c r="F109" s="101" t="s">
        <v>46</v>
      </c>
      <c r="G109" s="102">
        <v>100</v>
      </c>
      <c r="H109" s="33">
        <f>IF(OR(J109="",K109="",K109&lt;J109),0,NETWORKDAYS(J109,K109,Hoja2!$A$2:$A$53))</f>
        <v>1</v>
      </c>
      <c r="I109" s="76">
        <v>46108</v>
      </c>
      <c r="J109" s="76">
        <v>46108</v>
      </c>
      <c r="K109" s="76">
        <v>46108</v>
      </c>
      <c r="L109" s="76">
        <v>46108</v>
      </c>
      <c r="M109" s="36">
        <f ca="1">IF(OR(J109="",AND(L109="",TODAY()&lt;J109),AND(L109&lt;&gt;"",L109&lt;J109)),0,
   IF(L109="",
      NETWORKDAYS(J109,TODAY(),Hoja2!$A$2:$A$53),
      NETWORKDAYS(J109,L109,Hoja2!$A$2:$A$53)
   )
)</f>
        <v>1</v>
      </c>
      <c r="N109" s="41"/>
      <c r="O109" s="41"/>
      <c r="P109" s="41"/>
      <c r="Q109" s="92" t="s">
        <v>354</v>
      </c>
      <c r="R109" s="133" t="s">
        <v>39</v>
      </c>
      <c r="S109" s="113"/>
      <c r="T109" s="114"/>
      <c r="U109" s="114"/>
      <c r="V109" s="114"/>
      <c r="W109" s="114"/>
      <c r="X109" s="114"/>
      <c r="Y109" s="114"/>
      <c r="Z109" s="114"/>
      <c r="AA109" s="114"/>
      <c r="AB109" s="114"/>
      <c r="AC109" s="114"/>
      <c r="AD109" s="114"/>
      <c r="AE109" s="114"/>
      <c r="AF109" s="114"/>
      <c r="AG109" s="114"/>
      <c r="AH109" s="114"/>
      <c r="AI109" s="114"/>
      <c r="AJ109" s="114"/>
      <c r="AK109" s="114"/>
      <c r="AL109" s="114"/>
      <c r="AM109" s="114"/>
      <c r="AN109" s="115"/>
    </row>
    <row r="110" spans="1:40">
      <c r="A110" s="116" t="s">
        <v>287</v>
      </c>
      <c r="B110" s="134" t="s">
        <v>355</v>
      </c>
      <c r="C110" s="87" t="s">
        <v>204</v>
      </c>
      <c r="D110" s="91" t="s">
        <v>211</v>
      </c>
      <c r="E110" s="93"/>
      <c r="F110" s="103" t="s">
        <v>46</v>
      </c>
      <c r="G110" s="104">
        <v>100</v>
      </c>
      <c r="H110" s="20">
        <f>IF(OR(J110="",K110="",K110&lt;J110),0,NETWORKDAYS(J110,K110,Hoja2!$A$2:$A$53))</f>
        <v>1</v>
      </c>
      <c r="I110" s="68">
        <v>46112</v>
      </c>
      <c r="J110" s="68">
        <v>46112</v>
      </c>
      <c r="K110" s="68">
        <v>46112</v>
      </c>
      <c r="L110" s="68">
        <v>46112</v>
      </c>
      <c r="M110" s="23">
        <f ca="1">IF(OR(J110="",AND(L110="",TODAY()&lt;J110),AND(L110&lt;&gt;"",L110&lt;J110)),0,
   IF(L110="",
      NETWORKDAYS(J110,TODAY(),Hoja2!$A$2:$A$53),
      NETWORKDAYS(J110,L110,Hoja2!$A$2:$A$53)
   )
)</f>
        <v>1</v>
      </c>
      <c r="N110" s="44"/>
      <c r="O110" s="44"/>
      <c r="P110" s="44"/>
      <c r="Q110" s="55" t="s">
        <v>356</v>
      </c>
      <c r="R110" s="129" t="s">
        <v>39</v>
      </c>
      <c r="S110" s="117"/>
      <c r="T110" s="118"/>
      <c r="U110" s="118"/>
      <c r="V110" s="118"/>
      <c r="W110" s="118"/>
      <c r="X110" s="118"/>
      <c r="Y110" s="118"/>
      <c r="Z110" s="118"/>
      <c r="AA110" s="118"/>
      <c r="AB110" s="118"/>
      <c r="AC110" s="118"/>
      <c r="AD110" s="118"/>
      <c r="AE110" s="118"/>
      <c r="AF110" s="118"/>
      <c r="AG110" s="118"/>
      <c r="AH110" s="118"/>
      <c r="AI110" s="118"/>
      <c r="AJ110" s="118"/>
      <c r="AK110" s="118"/>
      <c r="AL110" s="118"/>
      <c r="AM110" s="118"/>
      <c r="AN110" s="119"/>
    </row>
    <row r="111" spans="1:40" ht="36">
      <c r="A111" s="112" t="s">
        <v>25</v>
      </c>
      <c r="B111" s="130" t="s">
        <v>357</v>
      </c>
      <c r="C111" s="84" t="s">
        <v>358</v>
      </c>
      <c r="D111" s="90" t="s">
        <v>359</v>
      </c>
      <c r="E111" s="95"/>
      <c r="F111" s="101" t="s">
        <v>46</v>
      </c>
      <c r="G111" s="102">
        <v>100</v>
      </c>
      <c r="H111" s="33">
        <f>IF(OR(J111="",K111="",K111&lt;J111),0,NETWORKDAYS(J111,K111,Hoja2!$A$2:$A$53))</f>
        <v>0</v>
      </c>
      <c r="I111" s="76">
        <v>46111</v>
      </c>
      <c r="J111" s="76"/>
      <c r="K111" s="76">
        <v>46112</v>
      </c>
      <c r="L111" s="76">
        <v>46112</v>
      </c>
      <c r="M111" s="36">
        <f ca="1">IF(OR(J111="",AND(L111="",TODAY()&lt;J111),AND(L111&lt;&gt;"",L111&lt;J111)),0,
   IF(L111="",
      NETWORKDAYS(J111,TODAY(),Hoja2!$A$2:$A$53),
      NETWORKDAYS(J111,L111,Hoja2!$A$2:$A$53)
   )
)</f>
        <v>0</v>
      </c>
      <c r="N111" s="41"/>
      <c r="O111" s="41"/>
      <c r="P111" s="41"/>
      <c r="Q111" s="92" t="s">
        <v>360</v>
      </c>
      <c r="R111" s="133" t="s">
        <v>39</v>
      </c>
      <c r="S111" s="113"/>
      <c r="T111" s="114"/>
      <c r="U111" s="114"/>
      <c r="V111" s="114"/>
      <c r="W111" s="114"/>
      <c r="X111" s="114"/>
      <c r="Y111" s="114"/>
      <c r="Z111" s="114"/>
      <c r="AA111" s="114"/>
      <c r="AB111" s="114"/>
      <c r="AC111" s="114"/>
      <c r="AD111" s="114"/>
      <c r="AE111" s="114"/>
      <c r="AF111" s="114"/>
      <c r="AG111" s="114"/>
      <c r="AH111" s="114"/>
      <c r="AI111" s="114"/>
      <c r="AJ111" s="114"/>
      <c r="AK111" s="114"/>
      <c r="AL111" s="114"/>
      <c r="AM111" s="114"/>
      <c r="AN111" s="115"/>
    </row>
    <row r="112" spans="1:40">
      <c r="A112" s="116" t="s">
        <v>25</v>
      </c>
      <c r="B112" s="134" t="s">
        <v>361</v>
      </c>
      <c r="C112" s="87" t="s">
        <v>204</v>
      </c>
      <c r="D112" s="91" t="s">
        <v>211</v>
      </c>
      <c r="E112" s="93"/>
      <c r="F112" s="103" t="s">
        <v>46</v>
      </c>
      <c r="G112" s="104">
        <v>100</v>
      </c>
      <c r="H112" s="20">
        <f>IF(OR(J112="",K112="",K112&lt;J112),0,NETWORKDAYS(J112,K112,Hoja2!$A$2:$A$53))</f>
        <v>0</v>
      </c>
      <c r="I112" s="68">
        <v>46113</v>
      </c>
      <c r="J112" s="68"/>
      <c r="K112" s="68">
        <v>46113</v>
      </c>
      <c r="L112" s="68">
        <v>46113</v>
      </c>
      <c r="M112" s="23">
        <f ca="1">IF(OR(J112="",AND(L112="",TODAY()&lt;J112),AND(L112&lt;&gt;"",L112&lt;J112)),0,
   IF(L112="",
      NETWORKDAYS(J112,TODAY(),Hoja2!$A$2:$A$53),
      NETWORKDAYS(J112,L112,Hoja2!$A$2:$A$53)
   )
)</f>
        <v>0</v>
      </c>
      <c r="N112" s="44"/>
      <c r="O112" s="44"/>
      <c r="P112" s="44"/>
      <c r="Q112" s="55" t="s">
        <v>362</v>
      </c>
      <c r="R112" s="129" t="s">
        <v>39</v>
      </c>
      <c r="S112" s="117"/>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9"/>
    </row>
    <row r="113" spans="1:40">
      <c r="A113" s="112" t="s">
        <v>25</v>
      </c>
      <c r="B113" s="130" t="s">
        <v>363</v>
      </c>
      <c r="C113" s="84" t="s">
        <v>204</v>
      </c>
      <c r="D113" s="90" t="s">
        <v>211</v>
      </c>
      <c r="E113" s="95"/>
      <c r="F113" s="101" t="s">
        <v>46</v>
      </c>
      <c r="G113" s="102">
        <v>100</v>
      </c>
      <c r="H113" s="33">
        <f>IF(OR(J113="",K113="",K113&lt;J113),0,NETWORKDAYS(J113,K113,Hoja2!$A$2:$A$53))</f>
        <v>0</v>
      </c>
      <c r="I113" s="76">
        <v>46118</v>
      </c>
      <c r="J113" s="76"/>
      <c r="K113" s="76">
        <v>46118</v>
      </c>
      <c r="L113" s="76">
        <v>46118</v>
      </c>
      <c r="M113" s="36">
        <f ca="1">IF(OR(J113="",AND(L113="",TODAY()&lt;J113),AND(L113&lt;&gt;"",L113&lt;J113)),0,
   IF(L113="",
      NETWORKDAYS(J113,TODAY(),Hoja2!$A$2:$A$53),
      NETWORKDAYS(J113,L113,Hoja2!$A$2:$A$53)
   )
)</f>
        <v>0</v>
      </c>
      <c r="N113" s="41"/>
      <c r="O113" s="41"/>
      <c r="P113" s="41"/>
      <c r="Q113" s="92" t="s">
        <v>362</v>
      </c>
      <c r="R113" s="133" t="s">
        <v>39</v>
      </c>
      <c r="S113" s="113"/>
      <c r="T113" s="114"/>
      <c r="U113" s="114"/>
      <c r="V113" s="114"/>
      <c r="W113" s="114"/>
      <c r="X113" s="114"/>
      <c r="Y113" s="114"/>
      <c r="Z113" s="114"/>
      <c r="AA113" s="114"/>
      <c r="AB113" s="114"/>
      <c r="AC113" s="114"/>
      <c r="AD113" s="114"/>
      <c r="AE113" s="114"/>
      <c r="AF113" s="114"/>
      <c r="AG113" s="114"/>
      <c r="AH113" s="114"/>
      <c r="AI113" s="114"/>
      <c r="AJ113" s="114"/>
      <c r="AK113" s="114"/>
      <c r="AL113" s="114"/>
      <c r="AM113" s="114"/>
      <c r="AN113" s="115"/>
    </row>
    <row r="114" spans="1:40" ht="25.5">
      <c r="A114" s="116" t="s">
        <v>287</v>
      </c>
      <c r="B114" s="134" t="s">
        <v>364</v>
      </c>
      <c r="C114" s="87" t="s">
        <v>365</v>
      </c>
      <c r="D114" s="91" t="s">
        <v>366</v>
      </c>
      <c r="E114" s="93"/>
      <c r="F114" s="103" t="s">
        <v>46</v>
      </c>
      <c r="G114" s="104">
        <v>100</v>
      </c>
      <c r="H114" s="20">
        <f>IF(OR(J114="",K114="",K114&lt;J114),0,NETWORKDAYS(J114,K114,Hoja2!$A$2:$A$53))</f>
        <v>0</v>
      </c>
      <c r="I114" s="68">
        <v>46119</v>
      </c>
      <c r="J114" s="68"/>
      <c r="K114" s="68">
        <v>46119</v>
      </c>
      <c r="L114" s="68">
        <v>46119</v>
      </c>
      <c r="M114" s="23">
        <f ca="1">IF(OR(J114="",AND(L114="",TODAY()&lt;J114),AND(L114&lt;&gt;"",L114&lt;J114)),0,
   IF(L114="",
      NETWORKDAYS(J114,TODAY(),Hoja2!$A$2:$A$53),
      NETWORKDAYS(J114,L114,Hoja2!$A$2:$A$53)
   )
)</f>
        <v>0</v>
      </c>
      <c r="N114" s="44"/>
      <c r="O114" s="44"/>
      <c r="P114" s="44"/>
      <c r="Q114" s="55" t="s">
        <v>367</v>
      </c>
      <c r="R114" s="129" t="s">
        <v>39</v>
      </c>
      <c r="S114" s="117"/>
      <c r="T114" s="118"/>
      <c r="U114" s="118"/>
      <c r="V114" s="118"/>
      <c r="W114" s="118"/>
      <c r="X114" s="118"/>
      <c r="Y114" s="118"/>
      <c r="Z114" s="118"/>
      <c r="AA114" s="118"/>
      <c r="AB114" s="118"/>
      <c r="AC114" s="118"/>
      <c r="AD114" s="118"/>
      <c r="AE114" s="118"/>
      <c r="AF114" s="118"/>
      <c r="AG114" s="118"/>
      <c r="AH114" s="118"/>
      <c r="AI114" s="118"/>
      <c r="AJ114" s="118"/>
      <c r="AK114" s="118"/>
      <c r="AL114" s="118"/>
      <c r="AM114" s="118"/>
      <c r="AN114" s="119"/>
    </row>
    <row r="115" spans="1:40" ht="120">
      <c r="A115" s="112" t="s">
        <v>25</v>
      </c>
      <c r="B115" s="130" t="s">
        <v>368</v>
      </c>
      <c r="C115" s="84" t="s">
        <v>369</v>
      </c>
      <c r="D115" s="90" t="s">
        <v>370</v>
      </c>
      <c r="E115" s="95"/>
      <c r="F115" s="101" t="s">
        <v>371</v>
      </c>
      <c r="G115" s="102">
        <v>90</v>
      </c>
      <c r="H115" s="33">
        <f>IF(OR(J115="",K115="",K115&lt;J115),0,NETWORKDAYS(J115,K115,Hoja2!$A$2:$A$53))</f>
        <v>0</v>
      </c>
      <c r="I115" s="76">
        <v>46119</v>
      </c>
      <c r="J115" s="76"/>
      <c r="K115" s="76">
        <v>46135</v>
      </c>
      <c r="L115" s="76"/>
      <c r="M115" s="36">
        <f ca="1">IF(OR(J115="",AND(L115="",TODAY()&lt;J115),AND(L115&lt;&gt;"",L115&lt;J115)),0,
   IF(L115="",
      NETWORKDAYS(J115,TODAY(),Hoja2!$A$2:$A$53),
      NETWORKDAYS(J115,L115,Hoja2!$A$2:$A$53)
   )
)</f>
        <v>0</v>
      </c>
      <c r="N115" s="41"/>
      <c r="O115" s="41"/>
      <c r="P115" s="41"/>
      <c r="Q115" s="92" t="s">
        <v>372</v>
      </c>
      <c r="R115" s="133" t="s">
        <v>39</v>
      </c>
      <c r="S115" s="113"/>
      <c r="T115" s="114"/>
      <c r="U115" s="114"/>
      <c r="V115" s="114"/>
      <c r="W115" s="114"/>
      <c r="X115" s="114"/>
      <c r="Y115" s="114"/>
      <c r="Z115" s="114"/>
      <c r="AA115" s="114"/>
      <c r="AB115" s="114"/>
      <c r="AC115" s="114"/>
      <c r="AD115" s="114"/>
      <c r="AE115" s="114"/>
      <c r="AF115" s="114"/>
      <c r="AG115" s="114"/>
      <c r="AH115" s="114"/>
      <c r="AI115" s="114"/>
      <c r="AJ115" s="114"/>
      <c r="AK115" s="114"/>
      <c r="AL115" s="114"/>
      <c r="AM115" s="114"/>
      <c r="AN115" s="115"/>
    </row>
    <row r="116" spans="1:40" ht="25.5">
      <c r="A116" s="116" t="s">
        <v>18</v>
      </c>
      <c r="B116" s="134" t="s">
        <v>373</v>
      </c>
      <c r="C116" s="87" t="s">
        <v>315</v>
      </c>
      <c r="D116" s="91" t="s">
        <v>374</v>
      </c>
      <c r="E116" s="93"/>
      <c r="F116" s="103" t="s">
        <v>46</v>
      </c>
      <c r="G116" s="104">
        <v>100</v>
      </c>
      <c r="H116" s="20">
        <f>IF(OR(J116="",K116="",K116&lt;J116),0,NETWORKDAYS(J116,K116,Hoja2!$A$2:$A$53))</f>
        <v>1</v>
      </c>
      <c r="I116" s="68">
        <v>46122</v>
      </c>
      <c r="J116" s="68">
        <v>46122</v>
      </c>
      <c r="K116" s="68">
        <v>46122</v>
      </c>
      <c r="L116" s="68">
        <v>46122</v>
      </c>
      <c r="M116" s="23">
        <f ca="1">IF(OR(J116="",AND(L116="",TODAY()&lt;J116),AND(L116&lt;&gt;"",L116&lt;J116)),0,
   IF(L116="",
      NETWORKDAYS(J116,TODAY(),Hoja2!$A$2:$A$53),
      NETWORKDAYS(J116,L116,Hoja2!$A$2:$A$53)
   )
)</f>
        <v>1</v>
      </c>
      <c r="N116" s="44">
        <v>46122</v>
      </c>
      <c r="O116" s="44"/>
      <c r="P116" s="44"/>
      <c r="Q116" s="55" t="s">
        <v>375</v>
      </c>
      <c r="R116" s="129" t="s">
        <v>39</v>
      </c>
      <c r="S116" s="117"/>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9"/>
    </row>
    <row r="117" spans="1:40">
      <c r="A117" s="112" t="s">
        <v>376</v>
      </c>
      <c r="B117" s="130" t="s">
        <v>377</v>
      </c>
      <c r="C117" s="84" t="s">
        <v>378</v>
      </c>
      <c r="D117" s="90" t="s">
        <v>379</v>
      </c>
      <c r="E117" s="95"/>
      <c r="F117" s="101" t="s">
        <v>46</v>
      </c>
      <c r="G117" s="102">
        <v>100</v>
      </c>
      <c r="H117" s="33">
        <f>IF(OR(J117="",K117="",K117&lt;J117),0,NETWORKDAYS(J117,K117,Hoja2!$A$2:$A$53))</f>
        <v>1</v>
      </c>
      <c r="I117" s="76">
        <v>46134</v>
      </c>
      <c r="J117" s="76">
        <v>46134</v>
      </c>
      <c r="K117" s="76">
        <v>46134</v>
      </c>
      <c r="L117" s="76">
        <v>46134</v>
      </c>
      <c r="M117" s="36">
        <f ca="1">IF(OR(J117="",AND(L117="",TODAY()&lt;J117),AND(L117&lt;&gt;"",L117&lt;J117)),0,
   IF(L117="",
      NETWORKDAYS(J117,TODAY(),Hoja2!$A$2:$A$53),
      NETWORKDAYS(J117,L117,Hoja2!$A$2:$A$53)
   )
)</f>
        <v>1</v>
      </c>
      <c r="N117" s="41"/>
      <c r="O117" s="41"/>
      <c r="P117" s="41"/>
      <c r="Q117" s="92" t="s">
        <v>380</v>
      </c>
      <c r="R117" s="133" t="s">
        <v>381</v>
      </c>
      <c r="S117" s="113"/>
      <c r="T117" s="114"/>
      <c r="U117" s="114"/>
      <c r="V117" s="114"/>
      <c r="W117" s="114"/>
      <c r="X117" s="114"/>
      <c r="Y117" s="114"/>
      <c r="Z117" s="114"/>
      <c r="AA117" s="114"/>
      <c r="AB117" s="114"/>
      <c r="AC117" s="114"/>
      <c r="AD117" s="114"/>
      <c r="AE117" s="114"/>
      <c r="AF117" s="114"/>
      <c r="AG117" s="114"/>
      <c r="AH117" s="114"/>
      <c r="AI117" s="114"/>
      <c r="AJ117" s="114"/>
      <c r="AK117" s="114"/>
      <c r="AL117" s="114"/>
      <c r="AM117" s="114"/>
      <c r="AN117" s="115"/>
    </row>
    <row r="118" spans="1:40" ht="25.5">
      <c r="A118" s="116" t="s">
        <v>376</v>
      </c>
      <c r="B118" s="134" t="s">
        <v>382</v>
      </c>
      <c r="C118" s="87" t="s">
        <v>383</v>
      </c>
      <c r="D118" s="91" t="s">
        <v>384</v>
      </c>
      <c r="E118" s="93"/>
      <c r="F118" s="103" t="s">
        <v>46</v>
      </c>
      <c r="G118" s="104">
        <v>100</v>
      </c>
      <c r="H118" s="20">
        <f>IF(OR(J118="",K118="",K118&lt;J118),0,NETWORKDAYS(J118,K118,Hoja2!$A$2:$A$53))</f>
        <v>0</v>
      </c>
      <c r="I118" s="68">
        <v>46135</v>
      </c>
      <c r="J118" s="68"/>
      <c r="K118" s="68">
        <v>46136</v>
      </c>
      <c r="L118" s="68">
        <v>46136</v>
      </c>
      <c r="M118" s="23">
        <f ca="1">IF(OR(J118="",AND(L118="",TODAY()&lt;J118),AND(L118&lt;&gt;"",L118&lt;J118)),0,
   IF(L118="",
      NETWORKDAYS(J118,TODAY(),Hoja2!$A$2:$A$53),
      NETWORKDAYS(J118,L118,Hoja2!$A$2:$A$53)
   )
)</f>
        <v>0</v>
      </c>
      <c r="N118" s="44"/>
      <c r="O118" s="44"/>
      <c r="P118" s="44"/>
      <c r="Q118" s="55" t="s">
        <v>385</v>
      </c>
      <c r="R118" s="129" t="s">
        <v>39</v>
      </c>
      <c r="S118" s="117"/>
      <c r="T118" s="118"/>
      <c r="U118" s="118"/>
      <c r="V118" s="118"/>
      <c r="W118" s="118"/>
      <c r="X118" s="118"/>
      <c r="Y118" s="118"/>
      <c r="Z118" s="118"/>
      <c r="AA118" s="118"/>
      <c r="AB118" s="118"/>
      <c r="AC118" s="118"/>
      <c r="AD118" s="118"/>
      <c r="AE118" s="118"/>
      <c r="AF118" s="118"/>
      <c r="AG118" s="118"/>
      <c r="AH118" s="118"/>
      <c r="AI118" s="118"/>
      <c r="AJ118" s="118"/>
      <c r="AK118" s="118"/>
      <c r="AL118" s="118"/>
      <c r="AM118" s="118"/>
      <c r="AN118" s="119"/>
    </row>
    <row r="119" spans="1:40" ht="24">
      <c r="A119" s="112" t="s">
        <v>25</v>
      </c>
      <c r="B119" s="130" t="s">
        <v>386</v>
      </c>
      <c r="C119" s="84" t="s">
        <v>378</v>
      </c>
      <c r="D119" s="90" t="s">
        <v>387</v>
      </c>
      <c r="E119" s="95"/>
      <c r="F119" s="101" t="s">
        <v>46</v>
      </c>
      <c r="G119" s="102">
        <v>100</v>
      </c>
      <c r="H119" s="33">
        <f>IF(OR(J119="",K119="",K119&lt;J119),0,NETWORKDAYS(J119,K119,Hoja2!$A$2:$A$53))</f>
        <v>0</v>
      </c>
      <c r="I119" s="76">
        <v>46136</v>
      </c>
      <c r="J119" s="76">
        <v>46136</v>
      </c>
      <c r="K119" s="76"/>
      <c r="L119" s="76">
        <v>46136</v>
      </c>
      <c r="M119" s="36">
        <f ca="1">IF(OR(J119="",AND(L119="",TODAY()&lt;J119),AND(L119&lt;&gt;"",L119&lt;J119)),0,
   IF(L119="",
      NETWORKDAYS(J119,TODAY(),Hoja2!$A$2:$A$53),
      NETWORKDAYS(J119,L119,Hoja2!$A$2:$A$53)
   )
)</f>
        <v>1</v>
      </c>
      <c r="N119" s="41"/>
      <c r="O119" s="41"/>
      <c r="P119" s="41"/>
      <c r="Q119" s="92" t="s">
        <v>388</v>
      </c>
      <c r="R119" s="133" t="s">
        <v>381</v>
      </c>
      <c r="S119" s="113"/>
      <c r="T119" s="114"/>
      <c r="U119" s="114"/>
      <c r="V119" s="114"/>
      <c r="W119" s="114"/>
      <c r="X119" s="114"/>
      <c r="Y119" s="114"/>
      <c r="Z119" s="114"/>
      <c r="AA119" s="114"/>
      <c r="AB119" s="114"/>
      <c r="AC119" s="114"/>
      <c r="AD119" s="114"/>
      <c r="AE119" s="114"/>
      <c r="AF119" s="114"/>
      <c r="AG119" s="114"/>
      <c r="AH119" s="114"/>
      <c r="AI119" s="114"/>
      <c r="AJ119" s="114"/>
      <c r="AK119" s="114"/>
      <c r="AL119" s="114"/>
      <c r="AM119" s="114"/>
      <c r="AN119" s="115"/>
    </row>
    <row r="120" spans="1:40" ht="24">
      <c r="A120" s="116" t="s">
        <v>287</v>
      </c>
      <c r="B120" s="134" t="s">
        <v>389</v>
      </c>
      <c r="C120" s="87" t="s">
        <v>204</v>
      </c>
      <c r="D120" s="91" t="s">
        <v>390</v>
      </c>
      <c r="E120" s="93"/>
      <c r="F120" s="103" t="s">
        <v>46</v>
      </c>
      <c r="G120" s="104">
        <v>100</v>
      </c>
      <c r="H120" s="20">
        <f>IF(OR(J120="",K120="",K120&lt;J120),0,NETWORKDAYS(J120,K120,Hoja2!$A$2:$A$53))</f>
        <v>1</v>
      </c>
      <c r="I120" s="68">
        <v>46146</v>
      </c>
      <c r="J120" s="68">
        <v>46146</v>
      </c>
      <c r="K120" s="68">
        <v>46146</v>
      </c>
      <c r="L120" s="68">
        <v>46146</v>
      </c>
      <c r="M120" s="23">
        <f ca="1">IF(OR(J120="",AND(L120="",TODAY()&lt;J120),AND(L120&lt;&gt;"",L120&lt;J120)),0,
   IF(L120="",
      NETWORKDAYS(J120,TODAY(),Hoja2!$A$2:$A$53),
      NETWORKDAYS(J120,L120,Hoja2!$A$2:$A$53)
   )
)</f>
        <v>1</v>
      </c>
      <c r="N120" s="44"/>
      <c r="O120" s="44"/>
      <c r="P120" s="44"/>
      <c r="Q120" s="55" t="s">
        <v>391</v>
      </c>
      <c r="R120" s="129" t="s">
        <v>39</v>
      </c>
      <c r="S120" s="117"/>
      <c r="T120" s="118"/>
      <c r="U120" s="118"/>
      <c r="V120" s="118"/>
      <c r="W120" s="118"/>
      <c r="X120" s="118"/>
      <c r="Y120" s="118"/>
      <c r="Z120" s="118"/>
      <c r="AA120" s="118"/>
      <c r="AB120" s="118"/>
      <c r="AC120" s="118"/>
      <c r="AD120" s="118"/>
      <c r="AE120" s="118"/>
      <c r="AF120" s="118"/>
      <c r="AG120" s="118"/>
      <c r="AH120" s="118"/>
      <c r="AI120" s="118"/>
      <c r="AJ120" s="118"/>
      <c r="AK120" s="118"/>
      <c r="AL120" s="118"/>
      <c r="AM120" s="118"/>
      <c r="AN120" s="119"/>
    </row>
    <row r="121" spans="1:40" ht="24">
      <c r="A121" s="112" t="s">
        <v>392</v>
      </c>
      <c r="B121" s="130" t="s">
        <v>393</v>
      </c>
      <c r="C121" s="84" t="s">
        <v>394</v>
      </c>
      <c r="D121" s="90" t="s">
        <v>395</v>
      </c>
      <c r="E121" s="95"/>
      <c r="F121" s="101" t="s">
        <v>46</v>
      </c>
      <c r="G121" s="102">
        <v>100</v>
      </c>
      <c r="H121" s="33">
        <f>IF(OR(J121="",K121="",K121&lt;J121),0,NETWORKDAYS(J121,K121,Hoja2!$A$2:$A$53))</f>
        <v>1</v>
      </c>
      <c r="I121" s="76">
        <v>46142</v>
      </c>
      <c r="J121" s="76">
        <v>46142</v>
      </c>
      <c r="K121" s="76">
        <v>46142</v>
      </c>
      <c r="L121" s="76">
        <v>46142</v>
      </c>
      <c r="M121" s="36">
        <f ca="1">IF(OR(J121="",AND(L121="",TODAY()&lt;J121),AND(L121&lt;&gt;"",L121&lt;J121)),0,
   IF(L121="",
      NETWORKDAYS(J121,TODAY(),Hoja2!$A$2:$A$53),
      NETWORKDAYS(J121,L121,Hoja2!$A$2:$A$53)
   )
)</f>
        <v>1</v>
      </c>
      <c r="N121" s="41"/>
      <c r="O121" s="41"/>
      <c r="P121" s="41"/>
      <c r="Q121" s="92" t="s">
        <v>396</v>
      </c>
      <c r="R121" s="133" t="s">
        <v>39</v>
      </c>
      <c r="S121" s="113"/>
      <c r="T121" s="114"/>
      <c r="U121" s="114"/>
      <c r="V121" s="114"/>
      <c r="W121" s="114"/>
      <c r="X121" s="114"/>
      <c r="Y121" s="114"/>
      <c r="Z121" s="114"/>
      <c r="AA121" s="114"/>
      <c r="AB121" s="114"/>
      <c r="AC121" s="114"/>
      <c r="AD121" s="114"/>
      <c r="AE121" s="114"/>
      <c r="AF121" s="114"/>
      <c r="AG121" s="114"/>
      <c r="AH121" s="114"/>
      <c r="AI121" s="114"/>
      <c r="AJ121" s="114"/>
      <c r="AK121" s="114"/>
      <c r="AL121" s="114"/>
      <c r="AM121" s="114"/>
      <c r="AN121" s="115"/>
    </row>
    <row r="122" spans="1:40" ht="84">
      <c r="A122" s="116" t="s">
        <v>392</v>
      </c>
      <c r="B122" s="134" t="s">
        <v>397</v>
      </c>
      <c r="C122" s="87" t="s">
        <v>398</v>
      </c>
      <c r="D122" s="91" t="s">
        <v>399</v>
      </c>
      <c r="E122" s="93"/>
      <c r="F122" s="103" t="s">
        <v>46</v>
      </c>
      <c r="G122" s="104">
        <v>50</v>
      </c>
      <c r="H122" s="20">
        <f>IF(OR(J122="",K122="",K122&lt;J122),0,NETWORKDAYS(J122,K122,Hoja2!$A$2:$A$53))</f>
        <v>2</v>
      </c>
      <c r="I122" s="68">
        <v>46146</v>
      </c>
      <c r="J122" s="68">
        <v>46153</v>
      </c>
      <c r="K122" s="68">
        <v>46154</v>
      </c>
      <c r="L122" s="68">
        <v>46154</v>
      </c>
      <c r="M122" s="23">
        <f ca="1">IF(OR(J122="",AND(L122="",TODAY()&lt;J122),AND(L122&lt;&gt;"",L122&lt;J122)),0,
   IF(L122="",
      NETWORKDAYS(J122,TODAY(),Hoja2!$A$2:$A$53),
      NETWORKDAYS(J122,L122,Hoja2!$A$2:$A$53)
   )
)</f>
        <v>2</v>
      </c>
      <c r="N122" s="44">
        <v>46154</v>
      </c>
      <c r="O122" s="44"/>
      <c r="P122" s="44"/>
      <c r="Q122" s="55" t="s">
        <v>400</v>
      </c>
      <c r="R122" s="129" t="s">
        <v>39</v>
      </c>
      <c r="S122" s="117"/>
      <c r="T122" s="118"/>
      <c r="U122" s="118"/>
      <c r="V122" s="118"/>
      <c r="W122" s="118"/>
      <c r="X122" s="118"/>
      <c r="Y122" s="118"/>
      <c r="Z122" s="118"/>
      <c r="AA122" s="118"/>
      <c r="AB122" s="118"/>
      <c r="AC122" s="118"/>
      <c r="AD122" s="118"/>
      <c r="AE122" s="118"/>
      <c r="AF122" s="118"/>
      <c r="AG122" s="118"/>
      <c r="AH122" s="118"/>
      <c r="AI122" s="118"/>
      <c r="AJ122" s="118"/>
      <c r="AK122" s="118"/>
      <c r="AL122" s="118"/>
      <c r="AM122" s="118"/>
      <c r="AN122" s="119"/>
    </row>
    <row r="123" spans="1:40" ht="168">
      <c r="A123" s="112" t="s">
        <v>287</v>
      </c>
      <c r="B123" s="130" t="s">
        <v>401</v>
      </c>
      <c r="C123" s="84" t="s">
        <v>402</v>
      </c>
      <c r="D123" s="90" t="s">
        <v>403</v>
      </c>
      <c r="E123" s="95"/>
      <c r="F123" s="101" t="s">
        <v>46</v>
      </c>
      <c r="G123" s="102">
        <v>100</v>
      </c>
      <c r="H123" s="33">
        <f>IF(OR(J123="",K123="",K123&lt;J123),0,NETWORKDAYS(J123,K123,Hoja2!$A$2:$A$53))</f>
        <v>0</v>
      </c>
      <c r="I123" s="76">
        <v>46150</v>
      </c>
      <c r="J123" s="76">
        <v>46150</v>
      </c>
      <c r="K123" s="76"/>
      <c r="L123" s="76">
        <v>46171</v>
      </c>
      <c r="M123" s="36">
        <f ca="1">IF(OR(J123="",AND(L123="",TODAY()&lt;J123),AND(L123&lt;&gt;"",L123&lt;J123)),0,
   IF(L123="",
      NETWORKDAYS(J123,TODAY(),Hoja2!$A$2:$A$53),
      NETWORKDAYS(J123,L123,Hoja2!$A$2:$A$53)
   )
)</f>
        <v>15</v>
      </c>
      <c r="N123" s="76"/>
      <c r="O123" s="41"/>
      <c r="P123" s="41"/>
      <c r="Q123" s="92" t="s">
        <v>404</v>
      </c>
      <c r="R123" s="133" t="s">
        <v>39</v>
      </c>
      <c r="S123" s="113"/>
      <c r="T123" s="114"/>
      <c r="U123" s="114"/>
      <c r="V123" s="114"/>
      <c r="W123" s="114"/>
      <c r="X123" s="114"/>
      <c r="Y123" s="114"/>
      <c r="Z123" s="114"/>
      <c r="AA123" s="114"/>
      <c r="AB123" s="114"/>
      <c r="AC123" s="114"/>
      <c r="AD123" s="114"/>
      <c r="AE123" s="114"/>
      <c r="AF123" s="114"/>
      <c r="AG123" s="114"/>
      <c r="AH123" s="114"/>
      <c r="AI123" s="114"/>
      <c r="AJ123" s="114"/>
      <c r="AK123" s="114"/>
      <c r="AL123" s="114"/>
      <c r="AM123" s="114"/>
      <c r="AN123" s="115"/>
    </row>
    <row r="124" spans="1:40" ht="36">
      <c r="A124" s="116" t="s">
        <v>405</v>
      </c>
      <c r="B124" s="134" t="s">
        <v>406</v>
      </c>
      <c r="C124" s="87" t="s">
        <v>407</v>
      </c>
      <c r="D124" s="91" t="s">
        <v>408</v>
      </c>
      <c r="E124" s="93"/>
      <c r="F124" s="103" t="s">
        <v>46</v>
      </c>
      <c r="G124" s="104">
        <v>100</v>
      </c>
      <c r="H124" s="20">
        <f>IF(OR(J124="",K124="",K124&lt;J124),0,NETWORKDAYS(J124,K124,Hoja2!$A$2:$A$53))</f>
        <v>0</v>
      </c>
      <c r="I124" s="68">
        <v>46153</v>
      </c>
      <c r="J124" s="68">
        <v>46153</v>
      </c>
      <c r="K124" s="44"/>
      <c r="L124" s="68">
        <v>46153</v>
      </c>
      <c r="M124" s="23">
        <f ca="1">IF(OR(J124="",AND(L124="",TODAY()&lt;J124),AND(L124&lt;&gt;"",L124&lt;J124)),0,
   IF(L124="",
      NETWORKDAYS(J124,TODAY(),Hoja2!$A$2:$A$53),
      NETWORKDAYS(J124,L124,Hoja2!$A$2:$A$53)
   )
)</f>
        <v>1</v>
      </c>
      <c r="N124" s="44"/>
      <c r="O124" s="44"/>
      <c r="P124" s="44"/>
      <c r="Q124" s="55" t="s">
        <v>409</v>
      </c>
      <c r="R124" s="129" t="s">
        <v>39</v>
      </c>
      <c r="S124" s="117"/>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9"/>
    </row>
    <row r="125" spans="1:40">
      <c r="A125" s="112" t="s">
        <v>287</v>
      </c>
      <c r="B125" s="130" t="s">
        <v>410</v>
      </c>
      <c r="C125" s="84" t="s">
        <v>204</v>
      </c>
      <c r="D125" s="90" t="s">
        <v>390</v>
      </c>
      <c r="E125" s="95"/>
      <c r="F125" s="101" t="s">
        <v>46</v>
      </c>
      <c r="G125" s="102">
        <v>100</v>
      </c>
      <c r="H125" s="33">
        <f>IF(OR(J125="",K125="",K125&lt;J125),0,NETWORKDAYS(J125,K125,Hoja2!$A$2:$A$53))</f>
        <v>0</v>
      </c>
      <c r="I125" s="76">
        <v>46154</v>
      </c>
      <c r="J125" s="76"/>
      <c r="K125" s="76"/>
      <c r="L125" s="76">
        <v>46154</v>
      </c>
      <c r="M125" s="36">
        <f ca="1">IF(OR(J125="",AND(L125="",TODAY()&lt;J125),AND(L125&lt;&gt;"",L125&lt;J125)),0,
   IF(L125="",
      NETWORKDAYS(J125,TODAY(),Hoja2!$A$2:$A$53),
      NETWORKDAYS(J125,L125,Hoja2!$A$2:$A$53)
   )
)</f>
        <v>0</v>
      </c>
      <c r="N125" s="41"/>
      <c r="O125" s="41"/>
      <c r="P125" s="41"/>
      <c r="Q125" s="92" t="s">
        <v>411</v>
      </c>
      <c r="R125" s="133" t="s">
        <v>39</v>
      </c>
      <c r="S125" s="113"/>
      <c r="T125" s="114"/>
      <c r="U125" s="114"/>
      <c r="V125" s="114"/>
      <c r="W125" s="114"/>
      <c r="X125" s="114"/>
      <c r="Y125" s="114"/>
      <c r="Z125" s="114"/>
      <c r="AA125" s="114"/>
      <c r="AB125" s="114"/>
      <c r="AC125" s="114"/>
      <c r="AD125" s="114"/>
      <c r="AE125" s="114"/>
      <c r="AF125" s="114"/>
      <c r="AG125" s="114"/>
      <c r="AH125" s="114"/>
      <c r="AI125" s="114"/>
      <c r="AJ125" s="114"/>
      <c r="AK125" s="114"/>
      <c r="AL125" s="114"/>
      <c r="AM125" s="114"/>
      <c r="AN125" s="115"/>
    </row>
    <row r="126" spans="1:40" ht="25.5">
      <c r="A126" s="116" t="s">
        <v>287</v>
      </c>
      <c r="B126" s="134" t="s">
        <v>412</v>
      </c>
      <c r="C126" s="87" t="s">
        <v>413</v>
      </c>
      <c r="D126" s="91" t="s">
        <v>414</v>
      </c>
      <c r="E126" s="93"/>
      <c r="F126" s="103" t="s">
        <v>46</v>
      </c>
      <c r="G126" s="104">
        <v>0</v>
      </c>
      <c r="H126" s="20">
        <f>IF(OR(J126="",K126="",K126&lt;J126),0,NETWORKDAYS(J126,K126,Hoja2!$A$2:$A$53))</f>
        <v>0</v>
      </c>
      <c r="I126" s="68">
        <v>46154</v>
      </c>
      <c r="J126" s="68"/>
      <c r="K126" s="68"/>
      <c r="L126" s="68">
        <v>46154</v>
      </c>
      <c r="M126" s="23">
        <f ca="1">IF(OR(J126="",AND(L126="",TODAY()&lt;J126),AND(L126&lt;&gt;"",L126&lt;J126)),0,
   IF(L126="",
      NETWORKDAYS(J126,TODAY(),Hoja2!$A$2:$A$53),
      NETWORKDAYS(J126,L126,Hoja2!$A$2:$A$53)
   )
)</f>
        <v>0</v>
      </c>
      <c r="N126" s="44"/>
      <c r="O126" s="44"/>
      <c r="P126" s="44"/>
      <c r="Q126" s="55" t="s">
        <v>415</v>
      </c>
      <c r="R126" s="129" t="s">
        <v>39</v>
      </c>
      <c r="S126" s="117"/>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9"/>
    </row>
    <row r="127" spans="1:40">
      <c r="A127" s="112" t="s">
        <v>18</v>
      </c>
      <c r="B127" s="130" t="s">
        <v>416</v>
      </c>
      <c r="C127" s="84" t="s">
        <v>417</v>
      </c>
      <c r="D127" s="90" t="s">
        <v>418</v>
      </c>
      <c r="E127" s="95"/>
      <c r="F127" s="101" t="s">
        <v>46</v>
      </c>
      <c r="G127" s="102">
        <v>100</v>
      </c>
      <c r="H127" s="33">
        <f>IF(OR(J127="",K127="",K127&lt;J127),0,NETWORKDAYS(J127,K127,Hoja2!$A$2:$A$53))</f>
        <v>0</v>
      </c>
      <c r="I127" s="76">
        <v>46155</v>
      </c>
      <c r="J127" s="41"/>
      <c r="K127" s="41"/>
      <c r="L127" s="76">
        <v>46156</v>
      </c>
      <c r="M127" s="36">
        <f ca="1">IF(OR(J127="",AND(L127="",TODAY()&lt;J127),AND(L127&lt;&gt;"",L127&lt;J127)),0,
   IF(L127="",
      NETWORKDAYS(J127,TODAY(),Hoja2!$A$2:$A$53),
      NETWORKDAYS(J127,L127,Hoja2!$A$2:$A$53)
   )
)</f>
        <v>0</v>
      </c>
      <c r="N127" s="41"/>
      <c r="O127" s="41"/>
      <c r="P127" s="41"/>
      <c r="Q127" s="92" t="s">
        <v>419</v>
      </c>
      <c r="R127" s="133" t="s">
        <v>39</v>
      </c>
      <c r="S127" s="106"/>
      <c r="T127" s="107"/>
      <c r="U127" s="107"/>
      <c r="V127" s="107"/>
      <c r="W127" s="107"/>
      <c r="X127" s="107"/>
      <c r="Y127" s="107"/>
      <c r="Z127" s="107"/>
      <c r="AA127" s="107"/>
      <c r="AB127" s="107"/>
      <c r="AC127" s="107"/>
      <c r="AD127" s="107"/>
      <c r="AE127" s="107"/>
      <c r="AF127" s="107"/>
      <c r="AG127" s="107"/>
      <c r="AH127" s="107"/>
      <c r="AI127" s="107"/>
      <c r="AJ127" s="107"/>
      <c r="AK127" s="107"/>
      <c r="AL127" s="107"/>
      <c r="AM127" s="107"/>
      <c r="AN127" s="108"/>
    </row>
    <row r="128" spans="1:40" ht="60">
      <c r="A128" s="116" t="s">
        <v>287</v>
      </c>
      <c r="B128" s="134" t="s">
        <v>420</v>
      </c>
      <c r="C128" s="87" t="s">
        <v>421</v>
      </c>
      <c r="D128" s="91" t="s">
        <v>422</v>
      </c>
      <c r="E128" s="93"/>
      <c r="F128" s="103" t="s">
        <v>46</v>
      </c>
      <c r="G128" s="104">
        <v>100</v>
      </c>
      <c r="H128" s="20">
        <f>IF(OR(J128="",K128="",K128&lt;J128),0,NETWORKDAYS(J128,K128,Hoja2!$A$2:$A$53))</f>
        <v>0</v>
      </c>
      <c r="I128" s="68">
        <v>46156</v>
      </c>
      <c r="J128" s="68">
        <v>46162</v>
      </c>
      <c r="K128" s="44"/>
      <c r="L128" s="68">
        <v>46162</v>
      </c>
      <c r="M128" s="23">
        <f ca="1">IF(OR(J128="",AND(L128="",TODAY()&lt;J128),AND(L128&lt;&gt;"",L128&lt;J128)),0,
   IF(L128="",
      NETWORKDAYS(J128,TODAY(),Hoja2!$A$2:$A$53),
      NETWORKDAYS(J128,L128,Hoja2!$A$2:$A$53)
   )
)</f>
        <v>1</v>
      </c>
      <c r="N128" s="44"/>
      <c r="O128" s="44"/>
      <c r="P128" s="44"/>
      <c r="Q128" s="55" t="s">
        <v>423</v>
      </c>
      <c r="R128" s="129" t="s">
        <v>39</v>
      </c>
      <c r="S128" s="117"/>
      <c r="T128" s="118"/>
      <c r="U128" s="118"/>
      <c r="V128" s="118"/>
      <c r="W128" s="118"/>
      <c r="X128" s="118"/>
      <c r="Y128" s="118"/>
      <c r="Z128" s="118"/>
      <c r="AA128" s="118"/>
      <c r="AB128" s="118"/>
      <c r="AC128" s="118"/>
      <c r="AD128" s="118"/>
      <c r="AE128" s="118"/>
      <c r="AF128" s="118"/>
      <c r="AG128" s="118"/>
      <c r="AH128" s="118"/>
      <c r="AI128" s="118"/>
      <c r="AJ128" s="118"/>
      <c r="AK128" s="118"/>
      <c r="AL128" s="118"/>
      <c r="AM128" s="118"/>
      <c r="AN128" s="119"/>
    </row>
    <row r="129" spans="1:40" ht="36">
      <c r="A129" s="112" t="s">
        <v>18</v>
      </c>
      <c r="B129" s="130" t="s">
        <v>424</v>
      </c>
      <c r="C129" s="84" t="s">
        <v>315</v>
      </c>
      <c r="D129" s="90" t="s">
        <v>316</v>
      </c>
      <c r="E129" s="95"/>
      <c r="F129" s="101" t="s">
        <v>46</v>
      </c>
      <c r="G129" s="102">
        <v>100</v>
      </c>
      <c r="H129" s="33">
        <f>IF(OR(J129="",K129="",K129&lt;J129),0,NETWORKDAYS(J129,K129,Hoja2!$A$2:$A$53))</f>
        <v>2</v>
      </c>
      <c r="I129" s="76">
        <v>46162</v>
      </c>
      <c r="J129" s="76">
        <v>46169</v>
      </c>
      <c r="K129" s="76">
        <v>46170</v>
      </c>
      <c r="L129" s="76">
        <v>46169</v>
      </c>
      <c r="M129" s="36">
        <f ca="1">IF(OR(J129="",AND(L129="",TODAY()&lt;J129),AND(L129&lt;&gt;"",L129&lt;J129)),0,
   IF(L129="",
      NETWORKDAYS(J129,TODAY(),Hoja2!$A$2:$A$53),
      NETWORKDAYS(J129,L129,Hoja2!$A$2:$A$53)
   )
)</f>
        <v>1</v>
      </c>
      <c r="N129" s="76">
        <v>46170</v>
      </c>
      <c r="O129" s="41"/>
      <c r="P129" s="41"/>
      <c r="Q129" s="92" t="s">
        <v>425</v>
      </c>
      <c r="R129" s="133" t="s">
        <v>39</v>
      </c>
      <c r="S129" s="113"/>
      <c r="T129" s="114"/>
      <c r="U129" s="114"/>
      <c r="V129" s="114"/>
      <c r="W129" s="114"/>
      <c r="X129" s="114"/>
      <c r="Y129" s="114"/>
      <c r="Z129" s="114"/>
      <c r="AA129" s="114"/>
      <c r="AB129" s="114"/>
      <c r="AC129" s="114"/>
      <c r="AD129" s="114"/>
      <c r="AE129" s="114"/>
      <c r="AF129" s="114"/>
      <c r="AG129" s="114"/>
      <c r="AH129" s="114"/>
      <c r="AI129" s="114"/>
      <c r="AJ129" s="114"/>
      <c r="AK129" s="114"/>
      <c r="AL129" s="114"/>
      <c r="AM129" s="114"/>
      <c r="AN129" s="115"/>
    </row>
    <row r="130" spans="1:40">
      <c r="A130" s="116" t="s">
        <v>18</v>
      </c>
      <c r="B130" s="134" t="s">
        <v>426</v>
      </c>
      <c r="C130" s="87" t="s">
        <v>204</v>
      </c>
      <c r="D130" s="91" t="s">
        <v>390</v>
      </c>
      <c r="E130" s="93"/>
      <c r="F130" s="103" t="s">
        <v>46</v>
      </c>
      <c r="G130" s="104">
        <v>100</v>
      </c>
      <c r="H130" s="20">
        <f>IF(OR(J130="",K130="",K130&lt;J130),0,NETWORKDAYS(J130,K130,Hoja2!$A$2:$A$53))</f>
        <v>0</v>
      </c>
      <c r="I130" s="68">
        <v>46167</v>
      </c>
      <c r="J130" s="68">
        <v>46167</v>
      </c>
      <c r="K130" s="44"/>
      <c r="L130" s="68">
        <v>46167</v>
      </c>
      <c r="M130" s="23">
        <f ca="1">IF(OR(J130="",AND(L130="",TODAY()&lt;J130),AND(L130&lt;&gt;"",L130&lt;J130)),0,
   IF(L130="",
      NETWORKDAYS(J130,TODAY(),Hoja2!$A$2:$A$53),
      NETWORKDAYS(J130,L130,Hoja2!$A$2:$A$53)
   )
)</f>
        <v>1</v>
      </c>
      <c r="N130" s="44"/>
      <c r="O130" s="44"/>
      <c r="P130" s="44"/>
      <c r="Q130" s="55" t="s">
        <v>427</v>
      </c>
      <c r="R130" s="129" t="s">
        <v>39</v>
      </c>
      <c r="S130" s="117"/>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9"/>
    </row>
    <row r="131" spans="1:40" ht="36">
      <c r="A131" s="112" t="s">
        <v>287</v>
      </c>
      <c r="B131" s="130" t="s">
        <v>428</v>
      </c>
      <c r="C131" s="84" t="s">
        <v>413</v>
      </c>
      <c r="D131" s="90" t="s">
        <v>429</v>
      </c>
      <c r="E131" s="95"/>
      <c r="F131" s="101" t="s">
        <v>46</v>
      </c>
      <c r="G131" s="102">
        <v>100</v>
      </c>
      <c r="H131" s="33">
        <f>IF(OR(J131="",K131="",K131&lt;J131),0,NETWORKDAYS(J131,K131,Hoja2!$A$2:$A$53))</f>
        <v>0</v>
      </c>
      <c r="I131" s="137">
        <v>46168</v>
      </c>
      <c r="J131" s="76">
        <v>46171</v>
      </c>
      <c r="K131" s="76"/>
      <c r="L131" s="76">
        <v>46171</v>
      </c>
      <c r="M131" s="36">
        <f ca="1">IF(OR(J131="",AND(L131="",TODAY()&lt;J131),AND(L131&lt;&gt;"",L131&lt;J131)),0,
   IF(L131="",
      NETWORKDAYS(J131,TODAY(),Hoja2!$A$2:$A$53),
      NETWORKDAYS(J131,L131,Hoja2!$A$2:$A$53)
   )
)</f>
        <v>1</v>
      </c>
      <c r="N131" s="41"/>
      <c r="O131" s="41"/>
      <c r="P131" s="41"/>
      <c r="Q131" s="92" t="s">
        <v>430</v>
      </c>
      <c r="R131" s="133" t="s">
        <v>39</v>
      </c>
      <c r="S131" s="113"/>
      <c r="T131" s="114"/>
      <c r="U131" s="114"/>
      <c r="V131" s="114"/>
      <c r="W131" s="114"/>
      <c r="X131" s="114"/>
      <c r="Y131" s="114"/>
      <c r="Z131" s="114"/>
      <c r="AA131" s="114"/>
      <c r="AB131" s="114"/>
      <c r="AC131" s="114"/>
      <c r="AD131" s="114"/>
      <c r="AE131" s="114"/>
      <c r="AF131" s="114"/>
      <c r="AG131" s="114"/>
      <c r="AH131" s="114"/>
      <c r="AI131" s="114"/>
      <c r="AJ131" s="114"/>
      <c r="AK131" s="114"/>
      <c r="AL131" s="114"/>
      <c r="AM131" s="114"/>
      <c r="AN131" s="115"/>
    </row>
    <row r="132" spans="1:40">
      <c r="A132" s="116" t="s">
        <v>287</v>
      </c>
      <c r="B132" s="134" t="s">
        <v>431</v>
      </c>
      <c r="C132" s="87" t="s">
        <v>204</v>
      </c>
      <c r="D132" s="91" t="s">
        <v>390</v>
      </c>
      <c r="E132" s="93"/>
      <c r="F132" s="103" t="s">
        <v>46</v>
      </c>
      <c r="G132" s="104">
        <v>100</v>
      </c>
      <c r="H132" s="20">
        <f>IF(OR(J132="",K132="",K132&lt;J132),0,NETWORKDAYS(J132,K132,Hoja2!$A$2:$A$53))</f>
        <v>0</v>
      </c>
      <c r="I132" s="68">
        <v>46169</v>
      </c>
      <c r="J132" s="68">
        <v>46169</v>
      </c>
      <c r="K132" s="44"/>
      <c r="L132" s="68">
        <v>46169</v>
      </c>
      <c r="M132" s="23">
        <f ca="1">IF(OR(J132="",AND(L132="",TODAY()&lt;J132),AND(L132&lt;&gt;"",L132&lt;J132)),0,
   IF(L132="",
      NETWORKDAYS(J132,TODAY(),Hoja2!$A$2:$A$53),
      NETWORKDAYS(J132,L132,Hoja2!$A$2:$A$53)
   )
)</f>
        <v>1</v>
      </c>
      <c r="N132" s="44"/>
      <c r="O132" s="44"/>
      <c r="P132" s="44"/>
      <c r="Q132" s="55" t="s">
        <v>432</v>
      </c>
      <c r="R132" s="129" t="s">
        <v>39</v>
      </c>
      <c r="S132" s="109"/>
      <c r="T132" s="110"/>
      <c r="U132" s="110"/>
      <c r="V132" s="110"/>
      <c r="W132" s="110"/>
      <c r="X132" s="110"/>
      <c r="Y132" s="110"/>
      <c r="Z132" s="110"/>
      <c r="AA132" s="110"/>
      <c r="AB132" s="110"/>
      <c r="AC132" s="110"/>
      <c r="AD132" s="110"/>
      <c r="AE132" s="110"/>
      <c r="AF132" s="110"/>
      <c r="AG132" s="110"/>
      <c r="AH132" s="110"/>
      <c r="AI132" s="110"/>
      <c r="AJ132" s="110"/>
      <c r="AK132" s="110"/>
      <c r="AL132" s="110"/>
      <c r="AM132" s="110"/>
      <c r="AN132" s="111"/>
    </row>
    <row r="133" spans="1:40">
      <c r="A133" s="112" t="s">
        <v>287</v>
      </c>
      <c r="B133" s="130" t="s">
        <v>433</v>
      </c>
      <c r="C133" s="84" t="s">
        <v>434</v>
      </c>
      <c r="D133" s="90" t="s">
        <v>435</v>
      </c>
      <c r="E133" s="95"/>
      <c r="F133" s="101" t="s">
        <v>46</v>
      </c>
      <c r="G133" s="102">
        <v>100</v>
      </c>
      <c r="H133" s="33">
        <f>IF(OR(J133="",K133="",K133&lt;J133),0,NETWORKDAYS(J133,K133,Hoja2!$A$2:$A$53))</f>
        <v>0</v>
      </c>
      <c r="I133" s="76">
        <v>46174</v>
      </c>
      <c r="J133" s="76">
        <v>46174</v>
      </c>
      <c r="K133" s="41"/>
      <c r="L133" s="76">
        <v>46174</v>
      </c>
      <c r="M133" s="36">
        <f ca="1">IF(OR(J133="",AND(L133="",TODAY()&lt;J133),AND(L133&lt;&gt;"",L133&lt;J133)),0,
   IF(L133="",
      NETWORKDAYS(J133,TODAY(),Hoja2!$A$2:$A$53),
      NETWORKDAYS(J133,L133,Hoja2!$A$2:$A$53)
   )
)</f>
        <v>1</v>
      </c>
      <c r="N133" s="41"/>
      <c r="O133" s="41"/>
      <c r="P133" s="41"/>
      <c r="Q133" s="92" t="s">
        <v>436</v>
      </c>
      <c r="R133" s="133" t="s">
        <v>39</v>
      </c>
      <c r="S133" s="106"/>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8"/>
    </row>
    <row r="134" spans="1:40" ht="24">
      <c r="A134" s="116" t="s">
        <v>287</v>
      </c>
      <c r="B134" s="134" t="s">
        <v>437</v>
      </c>
      <c r="C134" s="87" t="s">
        <v>204</v>
      </c>
      <c r="D134" s="91" t="s">
        <v>390</v>
      </c>
      <c r="E134" s="93"/>
      <c r="F134" s="103" t="s">
        <v>46</v>
      </c>
      <c r="G134" s="104">
        <v>100</v>
      </c>
      <c r="H134" s="20">
        <f>IF(OR(J134="",K134="",K134&lt;J134),0,NETWORKDAYS(J134,K134,Hoja2!$A$2:$A$53))</f>
        <v>0</v>
      </c>
      <c r="I134" s="68">
        <v>46175</v>
      </c>
      <c r="J134" s="68">
        <v>46175</v>
      </c>
      <c r="K134" s="44"/>
      <c r="L134" s="68">
        <v>46175</v>
      </c>
      <c r="M134" s="23">
        <f ca="1">IF(OR(J134="",AND(L134="",TODAY()&lt;J134),AND(L134&lt;&gt;"",L134&lt;J134)),0,
   IF(L134="",
      NETWORKDAYS(J134,TODAY(),Hoja2!$A$2:$A$53),
      NETWORKDAYS(J134,L134,Hoja2!$A$2:$A$53)
   )
)</f>
        <v>1</v>
      </c>
      <c r="N134" s="44"/>
      <c r="O134" s="44"/>
      <c r="P134" s="44"/>
      <c r="Q134" s="55" t="s">
        <v>438</v>
      </c>
      <c r="R134" s="129" t="s">
        <v>39</v>
      </c>
      <c r="S134" s="109"/>
      <c r="T134" s="110"/>
      <c r="U134" s="110"/>
      <c r="V134" s="110"/>
      <c r="W134" s="110"/>
      <c r="X134" s="110"/>
      <c r="Y134" s="110"/>
      <c r="Z134" s="110"/>
      <c r="AA134" s="110"/>
      <c r="AB134" s="110"/>
      <c r="AC134" s="110"/>
      <c r="AD134" s="110"/>
      <c r="AE134" s="110"/>
      <c r="AF134" s="110"/>
      <c r="AG134" s="110"/>
      <c r="AH134" s="110"/>
      <c r="AI134" s="110"/>
      <c r="AJ134" s="110"/>
      <c r="AK134" s="110"/>
      <c r="AL134" s="110"/>
      <c r="AM134" s="110"/>
      <c r="AN134" s="111"/>
    </row>
    <row r="135" spans="1:40">
      <c r="A135" s="112" t="s">
        <v>18</v>
      </c>
      <c r="B135" s="130" t="s">
        <v>439</v>
      </c>
      <c r="C135" s="131" t="s">
        <v>440</v>
      </c>
      <c r="D135" s="90" t="s">
        <v>441</v>
      </c>
      <c r="E135" s="95"/>
      <c r="F135" s="101" t="s">
        <v>46</v>
      </c>
      <c r="G135" s="102">
        <v>100</v>
      </c>
      <c r="H135" s="33">
        <f>IF(OR(J135="",K135="",K135&lt;J135),0,NETWORKDAYS(J135,K135,Hoja2!$A$2:$A$53))</f>
        <v>0</v>
      </c>
      <c r="I135" s="76">
        <v>46177</v>
      </c>
      <c r="J135" s="76">
        <v>46177</v>
      </c>
      <c r="K135" s="41"/>
      <c r="L135" s="76">
        <v>46177</v>
      </c>
      <c r="M135" s="36">
        <f ca="1">IF(OR(J135="",AND(L135="",TODAY()&lt;J135),AND(L135&lt;&gt;"",L135&lt;J135)),0,
   IF(L135="",
      NETWORKDAYS(J135,TODAY(),Hoja2!$A$2:$A$53),
      NETWORKDAYS(J135,L135,Hoja2!$A$2:$A$53)
   )
)</f>
        <v>1</v>
      </c>
      <c r="N135" s="41"/>
      <c r="O135" s="41"/>
      <c r="P135" s="41"/>
      <c r="Q135" s="92" t="s">
        <v>442</v>
      </c>
      <c r="R135" s="133" t="s">
        <v>39</v>
      </c>
      <c r="S135" s="113"/>
      <c r="T135" s="114"/>
      <c r="U135" s="114"/>
      <c r="V135" s="114"/>
      <c r="W135" s="114"/>
      <c r="X135" s="114"/>
      <c r="Y135" s="114"/>
      <c r="Z135" s="114"/>
      <c r="AA135" s="114"/>
      <c r="AB135" s="114"/>
      <c r="AC135" s="114"/>
      <c r="AD135" s="114"/>
      <c r="AE135" s="114"/>
      <c r="AF135" s="114"/>
      <c r="AG135" s="114"/>
      <c r="AH135" s="114"/>
      <c r="AI135" s="114"/>
      <c r="AJ135" s="114"/>
      <c r="AK135" s="114"/>
      <c r="AL135" s="114"/>
      <c r="AM135" s="114"/>
      <c r="AN135" s="115"/>
    </row>
    <row r="136" spans="1:40" ht="25.5">
      <c r="A136" s="116" t="s">
        <v>18</v>
      </c>
      <c r="B136" s="134" t="s">
        <v>443</v>
      </c>
      <c r="C136" s="127" t="s">
        <v>444</v>
      </c>
      <c r="D136" s="91" t="s">
        <v>445</v>
      </c>
      <c r="E136" s="93"/>
      <c r="F136" s="103" t="s">
        <v>251</v>
      </c>
      <c r="G136" s="104">
        <v>0</v>
      </c>
      <c r="H136" s="20">
        <f>IF(OR(J136="",K136="",K136&lt;J136),0,NETWORKDAYS(J136,K136,Hoja2!$A$2:$A$53))</f>
        <v>0</v>
      </c>
      <c r="I136" s="68">
        <v>46177</v>
      </c>
      <c r="J136" s="44"/>
      <c r="K136" s="44"/>
      <c r="L136" s="44"/>
      <c r="M136" s="23">
        <f ca="1">IF(OR(J136="",AND(L136="",TODAY()&lt;J136),AND(L136&lt;&gt;"",L136&lt;J136)),0,
   IF(L136="",
      NETWORKDAYS(J136,TODAY(),Hoja2!$A$2:$A$53),
      NETWORKDAYS(J136,L136,Hoja2!$A$2:$A$53)
   )
)</f>
        <v>0</v>
      </c>
      <c r="N136" s="68">
        <v>46183</v>
      </c>
      <c r="O136" s="44"/>
      <c r="P136" s="44"/>
      <c r="Q136" s="55" t="s">
        <v>446</v>
      </c>
      <c r="R136" s="138" t="s">
        <v>39</v>
      </c>
      <c r="S136" s="109"/>
      <c r="T136" s="110"/>
      <c r="U136" s="110"/>
      <c r="V136" s="110"/>
      <c r="W136" s="110"/>
      <c r="X136" s="110"/>
      <c r="Y136" s="110"/>
      <c r="Z136" s="110"/>
      <c r="AA136" s="110"/>
      <c r="AB136" s="110"/>
      <c r="AC136" s="110"/>
      <c r="AD136" s="110"/>
      <c r="AE136" s="110"/>
      <c r="AF136" s="110"/>
      <c r="AG136" s="110"/>
      <c r="AH136" s="110"/>
      <c r="AI136" s="110"/>
      <c r="AJ136" s="110"/>
      <c r="AK136" s="110"/>
      <c r="AL136" s="110"/>
      <c r="AM136" s="110"/>
      <c r="AN136" s="111"/>
    </row>
    <row r="137" spans="1:40">
      <c r="A137" s="112" t="s">
        <v>25</v>
      </c>
      <c r="B137" s="130" t="s">
        <v>447</v>
      </c>
      <c r="C137" s="84" t="s">
        <v>282</v>
      </c>
      <c r="D137" s="90" t="s">
        <v>448</v>
      </c>
      <c r="E137" s="95"/>
      <c r="F137" s="101" t="s">
        <v>46</v>
      </c>
      <c r="G137" s="102">
        <v>100</v>
      </c>
      <c r="H137" s="33">
        <f>IF(OR(J137="",K137="",K137&lt;J137),0,NETWORKDAYS(J137,K137,Hoja2!$A$2:$A$53))</f>
        <v>0</v>
      </c>
      <c r="I137" s="76">
        <v>46191</v>
      </c>
      <c r="J137" s="76">
        <v>46191</v>
      </c>
      <c r="K137" s="41"/>
      <c r="L137" s="76">
        <v>46191</v>
      </c>
      <c r="M137" s="36">
        <f ca="1">IF(OR(J137="",AND(L137="",TODAY()&lt;J137),AND(L137&lt;&gt;"",L137&lt;J137)),0,
   IF(L137="",
      NETWORKDAYS(J137,TODAY(),Hoja2!$A$2:$A$53),
      NETWORKDAYS(J137,L137,Hoja2!$A$2:$A$53)
   )
)</f>
        <v>1</v>
      </c>
      <c r="N137" s="41"/>
      <c r="O137" s="41"/>
      <c r="P137" s="41"/>
      <c r="Q137" s="92" t="s">
        <v>449</v>
      </c>
      <c r="R137" s="133" t="s">
        <v>39</v>
      </c>
      <c r="S137" s="106"/>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8"/>
    </row>
    <row r="138" spans="1:40">
      <c r="A138" s="116" t="s">
        <v>25</v>
      </c>
      <c r="B138" s="134" t="s">
        <v>450</v>
      </c>
      <c r="C138" s="87" t="s">
        <v>204</v>
      </c>
      <c r="D138" s="91" t="s">
        <v>390</v>
      </c>
      <c r="E138" s="93"/>
      <c r="F138" s="103" t="s">
        <v>46</v>
      </c>
      <c r="G138" s="104">
        <v>100</v>
      </c>
      <c r="H138" s="20">
        <f>IF(OR(J138="",K138="",K138&lt;J138),0,NETWORKDAYS(J138,K138,Hoja2!$A$2:$A$53))</f>
        <v>0</v>
      </c>
      <c r="I138" s="68">
        <v>46192</v>
      </c>
      <c r="J138" s="68">
        <v>46192</v>
      </c>
      <c r="K138" s="44"/>
      <c r="L138" s="68">
        <v>46192</v>
      </c>
      <c r="M138" s="23">
        <f ca="1">IF(OR(J138="",AND(L138="",TODAY()&lt;J138),AND(L138&lt;&gt;"",L138&lt;J138)),0,
   IF(L138="",
      NETWORKDAYS(J138,TODAY(),Hoja2!$A$2:$A$53),
      NETWORKDAYS(J138,L138,Hoja2!$A$2:$A$53)
   )
)</f>
        <v>1</v>
      </c>
      <c r="N138" s="44"/>
      <c r="O138" s="44"/>
      <c r="P138" s="44"/>
      <c r="Q138" s="55" t="s">
        <v>451</v>
      </c>
      <c r="R138" s="129" t="s">
        <v>39</v>
      </c>
      <c r="S138" s="109"/>
      <c r="T138" s="110"/>
      <c r="U138" s="110"/>
      <c r="V138" s="110"/>
      <c r="W138" s="110"/>
      <c r="X138" s="110"/>
      <c r="Y138" s="110"/>
      <c r="Z138" s="110"/>
      <c r="AA138" s="110"/>
      <c r="AB138" s="110"/>
      <c r="AC138" s="110"/>
      <c r="AD138" s="110"/>
      <c r="AE138" s="110"/>
      <c r="AF138" s="110"/>
      <c r="AG138" s="110"/>
      <c r="AH138" s="110"/>
      <c r="AI138" s="110"/>
      <c r="AJ138" s="110"/>
      <c r="AK138" s="110"/>
      <c r="AL138" s="110"/>
      <c r="AM138" s="110"/>
      <c r="AN138" s="111"/>
    </row>
  </sheetData>
  <autoFilter ref="A1:AN138"/>
  <conditionalFormatting sqref="B2:B138">
    <cfRule type="expression" dxfId="0" priority="1">
      <formula>COUNTIF(B$2:B$16,B2)&gt;1</formula>
    </cfRule>
  </conditionalFormatting>
  <dataValidations count="2">
    <dataValidation type="custom" allowBlank="1" showDropDown="1" sqref="I2:L9 J10:L10 I11:L54 N2:P54 I56:L138 N56:P138">
      <formula1>OR(NOT(ISERROR(DATEVALUE(I2))), AND(ISNUMBER(I2), LEFT(CELL("format", I2))="D"))</formula1>
    </dataValidation>
    <dataValidation type="list" allowBlank="1" sqref="F2:F138">
      <formula1>"FINALIZADO,EN PROCESO,PAUSADO,EN TEST,PENDIENTE,PRUEBAS CLIENTE,PRUEBAS IMAGINE,PASO A PRODUCCION"</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1.21875" defaultRowHeight="15" customHeight="1"/>
  <cols>
    <col min="1" max="6" width="10.5546875" customWidth="1"/>
  </cols>
  <sheetData>
    <row r="1" spans="1:2" ht="17.25" customHeight="1">
      <c r="A1" s="139">
        <v>45292</v>
      </c>
      <c r="B1" s="140" t="s">
        <v>452</v>
      </c>
    </row>
    <row r="2" spans="1:2" ht="17.25" customHeight="1">
      <c r="A2" s="139">
        <v>45299</v>
      </c>
      <c r="B2" s="140" t="s">
        <v>453</v>
      </c>
    </row>
    <row r="3" spans="1:2" ht="17.25" customHeight="1">
      <c r="A3" s="139">
        <v>45376</v>
      </c>
      <c r="B3" s="140" t="s">
        <v>454</v>
      </c>
    </row>
    <row r="4" spans="1:2" ht="17.25" customHeight="1">
      <c r="A4" s="139">
        <v>45379</v>
      </c>
      <c r="B4" s="140" t="s">
        <v>455</v>
      </c>
    </row>
    <row r="5" spans="1:2" ht="17.25" customHeight="1">
      <c r="A5" s="139">
        <v>45380</v>
      </c>
      <c r="B5" s="140" t="s">
        <v>456</v>
      </c>
    </row>
    <row r="6" spans="1:2" ht="17.25" customHeight="1">
      <c r="A6" s="139">
        <v>45413</v>
      </c>
      <c r="B6" s="140" t="s">
        <v>457</v>
      </c>
    </row>
    <row r="7" spans="1:2" ht="17.25" customHeight="1">
      <c r="A7" s="139">
        <v>45425</v>
      </c>
      <c r="B7" s="140" t="s">
        <v>458</v>
      </c>
    </row>
    <row r="8" spans="1:2" ht="17.25" customHeight="1">
      <c r="A8" s="139">
        <v>45446</v>
      </c>
      <c r="B8" s="140" t="s">
        <v>459</v>
      </c>
    </row>
    <row r="9" spans="1:2" ht="17.25" customHeight="1">
      <c r="A9" s="139">
        <v>45453</v>
      </c>
      <c r="B9" s="140" t="s">
        <v>460</v>
      </c>
    </row>
    <row r="10" spans="1:2" ht="17.25" customHeight="1">
      <c r="A10" s="139">
        <v>45474</v>
      </c>
      <c r="B10" s="140" t="s">
        <v>461</v>
      </c>
    </row>
    <row r="11" spans="1:2" ht="17.25" customHeight="1">
      <c r="A11" s="139">
        <v>45493</v>
      </c>
      <c r="B11" s="140" t="s">
        <v>462</v>
      </c>
    </row>
    <row r="12" spans="1:2" ht="17.25" customHeight="1">
      <c r="A12" s="139">
        <v>45511</v>
      </c>
      <c r="B12" s="140" t="s">
        <v>463</v>
      </c>
    </row>
    <row r="13" spans="1:2" ht="17.25" customHeight="1">
      <c r="A13" s="139">
        <v>45523</v>
      </c>
      <c r="B13" s="140" t="s">
        <v>464</v>
      </c>
    </row>
    <row r="14" spans="1:2" ht="17.25" customHeight="1">
      <c r="A14" s="139">
        <v>45579</v>
      </c>
      <c r="B14" s="140" t="s">
        <v>465</v>
      </c>
    </row>
    <row r="15" spans="1:2" ht="17.25" customHeight="1">
      <c r="A15" s="139">
        <v>45600</v>
      </c>
      <c r="B15" s="140" t="s">
        <v>466</v>
      </c>
    </row>
    <row r="16" spans="1:2" ht="17.25" customHeight="1">
      <c r="A16" s="139">
        <v>45607</v>
      </c>
      <c r="B16" s="140" t="s">
        <v>467</v>
      </c>
    </row>
    <row r="17" spans="1:2" ht="17.25" customHeight="1">
      <c r="A17" s="139">
        <v>45634</v>
      </c>
      <c r="B17" s="140" t="s">
        <v>468</v>
      </c>
    </row>
    <row r="18" spans="1:2" ht="17.25" customHeight="1">
      <c r="A18" s="139">
        <v>45651</v>
      </c>
      <c r="B18" s="140" t="s">
        <v>469</v>
      </c>
    </row>
    <row r="19" spans="1:2" ht="17.25" customHeight="1">
      <c r="A19" s="139">
        <v>45658</v>
      </c>
      <c r="B19" s="141" t="s">
        <v>470</v>
      </c>
    </row>
    <row r="20" spans="1:2" ht="17.25" customHeight="1">
      <c r="A20" s="139">
        <v>45663</v>
      </c>
      <c r="B20" s="141" t="s">
        <v>471</v>
      </c>
    </row>
    <row r="21" spans="1:2" ht="17.25" customHeight="1">
      <c r="A21" s="139">
        <v>45740</v>
      </c>
      <c r="B21" s="141" t="s">
        <v>472</v>
      </c>
    </row>
    <row r="22" spans="1:2" ht="17.25" customHeight="1">
      <c r="A22" s="139">
        <v>45764</v>
      </c>
      <c r="B22" s="141" t="s">
        <v>473</v>
      </c>
    </row>
    <row r="23" spans="1:2" ht="17.25" customHeight="1">
      <c r="A23" s="139">
        <v>45765</v>
      </c>
      <c r="B23" s="141" t="s">
        <v>474</v>
      </c>
    </row>
    <row r="24" spans="1:2" ht="17.25" customHeight="1">
      <c r="A24" s="139">
        <v>45778</v>
      </c>
      <c r="B24" s="141" t="s">
        <v>475</v>
      </c>
    </row>
    <row r="25" spans="1:2" ht="17.25" customHeight="1">
      <c r="A25" s="139">
        <v>45810</v>
      </c>
      <c r="B25" s="141" t="s">
        <v>476</v>
      </c>
    </row>
    <row r="26" spans="1:2" ht="17.25" customHeight="1">
      <c r="A26" s="139">
        <v>45831</v>
      </c>
      <c r="B26" s="141" t="s">
        <v>477</v>
      </c>
    </row>
    <row r="27" spans="1:2" ht="17.25" customHeight="1">
      <c r="A27" s="139">
        <v>45838</v>
      </c>
      <c r="B27" s="141" t="s">
        <v>478</v>
      </c>
    </row>
    <row r="28" spans="1:2" ht="17.25" customHeight="1">
      <c r="A28" s="139">
        <v>45858</v>
      </c>
      <c r="B28" s="141" t="s">
        <v>479</v>
      </c>
    </row>
    <row r="29" spans="1:2" ht="17.25" customHeight="1">
      <c r="A29" s="139">
        <v>45876</v>
      </c>
      <c r="B29" s="141" t="s">
        <v>480</v>
      </c>
    </row>
    <row r="30" spans="1:2" ht="17.25" customHeight="1">
      <c r="A30" s="139">
        <v>45887</v>
      </c>
      <c r="B30" s="141" t="s">
        <v>481</v>
      </c>
    </row>
    <row r="31" spans="1:2" ht="17.25" customHeight="1">
      <c r="A31" s="139">
        <v>45943</v>
      </c>
      <c r="B31" s="141" t="s">
        <v>482</v>
      </c>
    </row>
    <row r="32" spans="1:2" ht="17.25" customHeight="1">
      <c r="A32" s="139">
        <v>45964</v>
      </c>
      <c r="B32" s="141" t="s">
        <v>483</v>
      </c>
    </row>
    <row r="33" spans="1:2" ht="17.25" customHeight="1">
      <c r="A33" s="139">
        <v>45978</v>
      </c>
      <c r="B33" s="141" t="s">
        <v>484</v>
      </c>
    </row>
    <row r="34" spans="1:2" ht="17.25" customHeight="1">
      <c r="A34" s="139">
        <v>45999</v>
      </c>
      <c r="B34" s="141" t="s">
        <v>485</v>
      </c>
    </row>
    <row r="35" spans="1:2" ht="17.25" customHeight="1">
      <c r="A35" s="139">
        <v>46016</v>
      </c>
      <c r="B35" s="141" t="s">
        <v>486</v>
      </c>
    </row>
    <row r="36" spans="1:2" ht="17.25" customHeight="1">
      <c r="A36" s="139">
        <v>46023</v>
      </c>
      <c r="B36" s="141" t="s">
        <v>470</v>
      </c>
    </row>
    <row r="37" spans="1:2" ht="17.25" customHeight="1">
      <c r="A37" s="139">
        <v>46034</v>
      </c>
      <c r="B37" s="141" t="s">
        <v>471</v>
      </c>
    </row>
    <row r="38" spans="1:2" ht="17.25" customHeight="1">
      <c r="A38" s="139">
        <v>46104</v>
      </c>
      <c r="B38" s="141" t="s">
        <v>472</v>
      </c>
    </row>
    <row r="39" spans="1:2" ht="17.25" customHeight="1">
      <c r="A39" s="139">
        <v>46114</v>
      </c>
      <c r="B39" s="141" t="s">
        <v>473</v>
      </c>
    </row>
    <row r="40" spans="1:2" ht="17.25" customHeight="1">
      <c r="A40" s="139">
        <v>46115</v>
      </c>
      <c r="B40" s="141" t="s">
        <v>474</v>
      </c>
    </row>
    <row r="41" spans="1:2" ht="17.25" customHeight="1">
      <c r="A41" s="139">
        <v>46143</v>
      </c>
      <c r="B41" s="141" t="s">
        <v>475</v>
      </c>
    </row>
    <row r="42" spans="1:2" ht="17.25" customHeight="1">
      <c r="A42" s="139">
        <v>46160</v>
      </c>
      <c r="B42" s="141" t="s">
        <v>476</v>
      </c>
    </row>
    <row r="43" spans="1:2" ht="17.25" customHeight="1">
      <c r="A43" s="139">
        <v>46181</v>
      </c>
      <c r="B43" s="141" t="s">
        <v>477</v>
      </c>
    </row>
    <row r="44" spans="1:2" ht="17.25" customHeight="1">
      <c r="A44" s="139">
        <v>46188</v>
      </c>
      <c r="B44" s="141" t="s">
        <v>487</v>
      </c>
    </row>
    <row r="45" spans="1:2" ht="17.25" customHeight="1">
      <c r="A45" s="139">
        <v>46202</v>
      </c>
      <c r="B45" s="141" t="s">
        <v>488</v>
      </c>
    </row>
    <row r="46" spans="1:2" ht="17.25" customHeight="1">
      <c r="A46" s="139">
        <v>46223</v>
      </c>
      <c r="B46" s="141" t="s">
        <v>479</v>
      </c>
    </row>
    <row r="47" spans="1:2" ht="17.25" customHeight="1">
      <c r="A47" s="139">
        <v>46241</v>
      </c>
      <c r="B47" s="141" t="s">
        <v>480</v>
      </c>
    </row>
    <row r="48" spans="1:2" ht="17.25" customHeight="1">
      <c r="A48" s="139">
        <v>46251</v>
      </c>
      <c r="B48" s="141" t="s">
        <v>481</v>
      </c>
    </row>
    <row r="49" spans="1:2" ht="17.25" customHeight="1">
      <c r="A49" s="139">
        <v>46307</v>
      </c>
      <c r="B49" s="141" t="s">
        <v>482</v>
      </c>
    </row>
    <row r="50" spans="1:2" ht="17.25" customHeight="1">
      <c r="A50" s="139">
        <v>46328</v>
      </c>
      <c r="B50" s="141" t="s">
        <v>483</v>
      </c>
    </row>
    <row r="51" spans="1:2" ht="17.25" customHeight="1">
      <c r="A51" s="139">
        <v>46342</v>
      </c>
      <c r="B51" s="141" t="s">
        <v>484</v>
      </c>
    </row>
    <row r="52" spans="1:2" ht="17.25" customHeight="1">
      <c r="A52" s="139">
        <v>46364</v>
      </c>
      <c r="B52" s="141" t="s">
        <v>485</v>
      </c>
    </row>
    <row r="53" spans="1:2" ht="17.25" customHeight="1">
      <c r="A53" s="139">
        <v>46381</v>
      </c>
      <c r="B53" s="141" t="s">
        <v>486</v>
      </c>
    </row>
    <row r="54" spans="1:2" ht="17.25" customHeight="1"/>
    <row r="55" spans="1:2" ht="17.25" customHeight="1"/>
    <row r="56" spans="1:2" ht="17.25" customHeight="1"/>
    <row r="57" spans="1:2" ht="17.25" customHeight="1"/>
    <row r="58" spans="1:2" ht="17.25" customHeight="1"/>
    <row r="59" spans="1:2" ht="17.25" customHeight="1"/>
    <row r="60" spans="1:2" ht="17.25" customHeight="1"/>
    <row r="61" spans="1:2" ht="17.25" customHeight="1"/>
    <row r="62" spans="1:2" ht="17.25" customHeight="1"/>
    <row r="63" spans="1:2" ht="17.25" customHeight="1"/>
    <row r="64" spans="1:2"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 PROCESO (Tuya)</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HERNAN FORERO GARZON</dc:creator>
  <cp:lastModifiedBy>FABIO HERNAN FORERO GARZON</cp:lastModifiedBy>
  <dcterms:created xsi:type="dcterms:W3CDTF">2024-10-01T20:42:53Z</dcterms:created>
  <dcterms:modified xsi:type="dcterms:W3CDTF">2026-06-22T21:58:59Z</dcterms:modified>
</cp:coreProperties>
</file>
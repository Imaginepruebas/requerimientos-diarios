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mena)" sheetId="1" r:id="rId1"/>
    <sheet name="Hoja2" sheetId="2" state="hidden" r:id="rId2"/>
    <sheet name="ASISTENCIA" sheetId="3" state="hidden" r:id="rId3"/>
    <sheet name="pruebas i" sheetId="4" state="hidden" r:id="rId4"/>
  </sheets>
  <calcPr calcId="162913"/>
  <extLst>
    <ext uri="GoogleSheetsCustomDataVersion2">
      <go:sheetsCustomData xmlns:go="http://customooxmlschemas.google.com/" r:id="rId8" roundtripDataChecksum="AiVbnYF89mdw8q6gUERUg5q4Au9zxD4PrM+vEIhDJwM="/>
    </ext>
  </extLst>
</workbook>
</file>

<file path=xl/calcChain.xml><?xml version="1.0" encoding="utf-8"?>
<calcChain xmlns="http://schemas.openxmlformats.org/spreadsheetml/2006/main">
  <c r="I5" i="4" l="1"/>
  <c r="I4" i="4"/>
  <c r="I3" i="4"/>
  <c r="I2" i="4"/>
  <c r="M31" i="1"/>
  <c r="H31" i="1"/>
  <c r="M30" i="1"/>
  <c r="H30" i="1"/>
  <c r="M29" i="1"/>
  <c r="H29" i="1"/>
  <c r="M28" i="1"/>
  <c r="H28" i="1"/>
  <c r="M27" i="1"/>
  <c r="H27" i="1"/>
  <c r="M26" i="1"/>
  <c r="H26" i="1"/>
  <c r="H25" i="1"/>
  <c r="M24" i="1"/>
  <c r="H24" i="1"/>
  <c r="M23" i="1"/>
  <c r="H23" i="1"/>
  <c r="M21" i="1"/>
  <c r="H21"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<sst xmlns="http://schemas.openxmlformats.org/spreadsheetml/2006/main" count="1070" uniqueCount="213">
  <si>
    <t xml:space="preserve"> Asignado a</t>
  </si>
  <si>
    <t>ID REQ</t>
  </si>
  <si>
    <t xml:space="preserve">Requerimiento </t>
  </si>
  <si>
    <t xml:space="preserve">Descripcion req </t>
  </si>
  <si>
    <t>Actividad</t>
  </si>
  <si>
    <t>ESTADO</t>
  </si>
  <si>
    <t>% AVANCE</t>
  </si>
  <si>
    <t>Dias estimados desarrollo</t>
  </si>
  <si>
    <t>F.Asignado</t>
  </si>
  <si>
    <t>Fecha inicio</t>
  </si>
  <si>
    <t>F. estimada de entrega</t>
  </si>
  <si>
    <t>Finalizado</t>
  </si>
  <si>
    <t>Dias total desarrollo</t>
  </si>
  <si>
    <t>Fecha compromiso cliente</t>
  </si>
  <si>
    <t>FECHA PASO A TEST</t>
  </si>
  <si>
    <t>FECHA PASO A PRODUCCION</t>
  </si>
  <si>
    <t>DESCRIPCION DEL AVANCE</t>
  </si>
  <si>
    <t xml:space="preserve">visible </t>
  </si>
  <si>
    <t>Brayan Diaz</t>
  </si>
  <si>
    <t>SCTASK0316185</t>
  </si>
  <si>
    <t>Actualizacion informacion beneficiario final</t>
  </si>
  <si>
    <t>Se solicita que al momento de capturar la informacion del formato de beneficiario final, el formulario que este marcado como NO tome los nuevos campos</t>
  </si>
  <si>
    <t>FINALIZADO</t>
  </si>
  <si>
    <t>Se entrega el requerimiento de acuerdo con la solicitud del cliente</t>
  </si>
  <si>
    <t>SCTASK0315640</t>
  </si>
  <si>
    <t>Ajustes informe Zehux</t>
  </si>
  <si>
    <t>El archivo originalmente enviado por Imagine incluye el historial completo de devoluciones, incluyendo aquellas dirigidas a áreas como Configuración, Sistemas, entre otros. Es necesario depurar este documento, dejando únicamente las observaciones de devolución que correspondan a la Sucursal en cada caso. 
Reemplazar el campo de Sucursal por Regionales</t>
  </si>
  <si>
    <t>se entrega en produccion modificacion de informe de la manera solicitada</t>
  </si>
  <si>
    <t>SCTASK0339311</t>
  </si>
  <si>
    <t>Cargue masivo de afiliaciones de contratos no vinculados</t>
  </si>
  <si>
    <t>Se requiere la creacion de un (chek) para cargue de afiliaciones contratos no vinculados que permita seleccionar varios contratos y de esta manera me genere los planos de los contratos seleccionaos en un solo LOG para garantizar un solo cargue que evite las demoras que actualmente se presentan al cargar estos contratos.</t>
  </si>
  <si>
    <t>20251218 sigue en espera la  confimacion del cliente para paso a produccion</t>
  </si>
  <si>
    <t>SCTASK0339314</t>
  </si>
  <si>
    <t>Actualizacion campos telefonos</t>
  </si>
  <si>
    <t>CAMPO TELEFONOS 
Se requiere que en los casos donde los campos de teléfono para contratos dependientes y no vinculados  vengan vacíos y/o relacionen  información inconsistente como números repetidos o caracteres especiales se tome por defecto el numero de la empresa para evitar errores de cargue al momento de vincular contratos en APOLO.</t>
  </si>
  <si>
    <t>PRUEBAS ClIENTE</t>
  </si>
  <si>
    <t>25/02/2026: A la espera que el cliente aproebe el paso aproduccion del layaut, Se realizara cambio de correo. en espera desde novienbre 2025</t>
  </si>
  <si>
    <t>SCTASK0340882</t>
  </si>
  <si>
    <t>Envio masivo de correos</t>
  </si>
  <si>
    <t>Solicitamos su atención con  con el envío masivo de correos electrónicos - adjuntamos correo formal</t>
  </si>
  <si>
    <t>Danilo Ramirez</t>
  </si>
  <si>
    <t>AUT0_2</t>
  </si>
  <si>
    <t>Lectura, clasificación y extracción de información desde imágenes de incapacidades</t>
  </si>
  <si>
    <t>Requerimiento:
Se necesita que el sistema identifique, clasifique y extraiga automáticamente la información contenida en las imágenes de incapacidades médicas  radicadas, para agilizar la validación y registro de estos documentos dentro del flujo de gestión de incapacidades.
El proceso debe utilizar modelos de inteligencia artificial y procesamiento de imágenes (OCR) para reconocer los tipos de documento incluidos en los archivos PDF (por ejemplo: incapacidades, historias clínicas, cédulas, otros anexos) y tomar únicamente las páginas que correspondan a incapacidades médicas, almacenando la información validada y su respectiva hoja de origen.
Justificación:
Actualmente, los documentos  contienen múltiples tipos de imágenes dentro de un mismo archivo, lo que dificulta la extracción manual de la información requerida para el análisis de incapacidades.
Este requerimiento busca automatizar la clasificación y extracción de datos relevantes, mejorando la precisión del proceso, reduciendo tiempos de validación y evitando errores humanos en la identificación de archivos.</t>
  </si>
  <si>
    <t>CANCELADO</t>
  </si>
  <si>
    <t xml:space="preserve">28/10/2025: Se han realizado las primeras extracciones con muy poco entrenamiento y ajustando regex como filtro inicial.
31/10/2025: Se continúa trabajando en la extracción automatizada de información de documentos. Se prevé la entrega parcial de resultados durante la jornada, con la funcionalidad lista para validar en ambiente local.
05/11/2025: El modelo ya identifica correctamente cuándo un documento corresponde a una incapacidad y cuándo no.
Además, devuelve la información clave de la incapacidad, incluyendo el número de la hoja en la que se encuentra dentro del documento.
Se implementó también el nuevo campo “Prórroga”, el cual está siendo extraído correctamente por el modelo durante el proceso de análisis.
Actualmente, se planea realizar la implementación en el ambiente de test para validar el comportamiento integral del desarrollo.
24/11/2025: Se recibió información inicial y hubo primera reunión. Aún no se ha analizado la documentación recibida; avance estimado en 5%. Pendiente estructurar el análisis y organizar los insumos.
Se presentó fallo por conflicto con una librería y cambios no deseados en la IP pública. Se desinstaló la VPN afectada. Hoy se destinará tiempo para intentar reinstalar paquetes o aprovechar el ambiente test existente.
26/11/2025: Pendiente retomar los ajustes solicitados por Colmena. Se dedicará parte del día a trabajar con Jenry para avanzar, ya que no se pudo atender este requerimiento en días anteriores por priorización de otros temas.
03/12/2025: El ambiente ya está funcional y con los paquetes listos. Se inicia la revisión de las tablas involucradas para identificar dónde se insertan las incapacidades. La idea es automatizar la extracción de datos mediante un trigger para sincronizarlas con la aplicación del tercero. Se avanza en paralelo mientras se trabajan tareas de desarrollo de Bolívar.
05/12/2025: Se continúa avanzando pero con dificultad debido a la disponibilidad de la VPN, que es compartida por varios usuarios. Se realizaron avances parciales, pero no se ha podido dedicar tiempo continuo al requerimiento.
17/12/2025: Se trabajó parcialmente en el requerimiento de incapacidades. El avance se vio afectado por múltiples problemas de conexión VPN y acceso a equipos remotos (especialmente el equipo asignado a Henry), lo que obligó a reinstalar clientes y usar equipos alternos.
A pesar de las dificultades, se avanzó en la implementación de una nueva tabla para almacenar la información extraída, logrando un progreso adicional estimado del 5%. El avance fue menor al esperado debido a los bloqueos técnicos.
13/02/2026: Danilo informa que el requerimiento lo continua ejecunatando Jhon </t>
  </si>
  <si>
    <t>Jhon Bermudez</t>
  </si>
  <si>
    <t>AUT0_1</t>
  </si>
  <si>
    <t>Digitación Data SBS</t>
  </si>
  <si>
    <t>Requerimiento:
Se requiere desarrollar un proceso que permita ingresar a la plataforma SBSeguros utilizando credenciales de autenticación válidas, con el propósito de consultar, validar y extraer información asociada a un documento específico.
El proceso deberá realizar las siguientes acciones:
1.  Autenticación: Ingresar a la plataforma SBSeguros empleando las credenciales de inicio de sesión autorizadas para el proceso de consulta.
2. Validación de información: Verificar si el documento consultado cuenta con información registrada en la plataforma.
3. Extracción de datos:
*Desde la sección “Información Básica” o “RUT”, obtener y almacenar el código CIIU correspondiente.
*Desde la sección “Información Financiera”, recuperar el valor reportado en el campo “Ingresos Mensuales”.
4.Resultado del proceso: Registrar y/o devolver los datos obtenidos para su uso en procesos posteriores de validación o integración.</t>
  </si>
  <si>
    <t>28/10/2025 Se valida método de consulta de manera manual y se descubre que a partir del consumo de una URL se puede hacer la consulta completa con los resultados que la plataforma retorna de manera visual
29/10/2025 Se ajusta script para filtrar y trasformar la información de tal manera que sea útil para utilizarla
30/10/2025 Ajuste del scritp para mejorar el la respuesta
31/10/2025 Se ejecutan la lista de NIT´s pendientes</t>
  </si>
  <si>
    <t>MEJORA_1</t>
  </si>
  <si>
    <t>causales devolucion zehux</t>
  </si>
  <si>
    <t>Unificar las causales de devolución y que se vean reflajadas en el informe</t>
  </si>
  <si>
    <t xml:space="preserve">16/12/2025 se realizaron los cambios solicitados </t>
  </si>
  <si>
    <t>MEJORA_2</t>
  </si>
  <si>
    <t>modulo punteo</t>
  </si>
  <si>
    <t>Hacer un modulo de punteo de los PTC y EHB</t>
  </si>
  <si>
    <t xml:space="preserve">se requiere reunion para aclaracion del requerimiento
29/12/2025 se entrega implementado en produccion </t>
  </si>
  <si>
    <t>MEJORA_3</t>
  </si>
  <si>
    <t>Automatizacion de SAT independientes</t>
  </si>
  <si>
    <t>PAUSADO</t>
  </si>
  <si>
    <t>20251218, se requiere permisos para conmexion a las urls de consumo del api, se valida con
 tecnologia de colmena, aun no dan el permiso solicitado, por lo tanto se mantiene en espera 
20260116 ya se concedieron permisos para la conexion a la url de preubas de la consulta, se probo conexiones y funciona, se indica a colmena para identificar el apso a seguir 
25/02/2026: Pausado por el gobierno</t>
  </si>
  <si>
    <t>MEJORA_4</t>
  </si>
  <si>
    <t>mejoras Enfermedad Laboral</t>
  </si>
  <si>
    <t>mejorar las vistas de gestion del modulo de enfermedad laboral</t>
  </si>
  <si>
    <t xml:space="preserve">20260105 se realiza paso a produccion
20260106 se realizan ajustes por errores presentados en el paso a produccion </t>
  </si>
  <si>
    <t>MEJORA_5</t>
  </si>
  <si>
    <t>opcion modificar radicados zehux</t>
  </si>
  <si>
    <t>MEJORA_6</t>
  </si>
  <si>
    <t>validacion error separacion imagenes</t>
  </si>
  <si>
    <t>MEJORA_7</t>
  </si>
  <si>
    <t xml:space="preserve">actualizacion cargue masivo listados </t>
  </si>
  <si>
    <t>MEJORA_8</t>
  </si>
  <si>
    <t>mejora informe estadisticos imagine</t>
  </si>
  <si>
    <t>PRUEBAS IMAGINE</t>
  </si>
  <si>
    <t>25/02/2026: Se entrego en test a rocio el 18 de enero y pendiente ajustes solicitados por rocio.</t>
  </si>
  <si>
    <t>MEJORA_9</t>
  </si>
  <si>
    <t>ajustes boton digital</t>
  </si>
  <si>
    <t>creacion nuevos campos y tablas para el proceso de afiliacion boton digital</t>
  </si>
  <si>
    <t xml:space="preserve">2026/01/26 Se espera la instruccion por parte de colmena para el paso a produccion de los cambios. </t>
  </si>
  <si>
    <t>automatizacion</t>
  </si>
  <si>
    <t>counsulta automatica senda</t>
  </si>
  <si>
    <t xml:space="preserve">validacion de consulta automatico en senda medico para el proceso de enfermedad laboral </t>
  </si>
  <si>
    <t>EN PROCESO</t>
  </si>
  <si>
    <t>20260119 se deben hacer mas validaciones para identificar las tablas y campos necesarios para la automatizacion de la conuslta</t>
  </si>
  <si>
    <t>MEJORA_10</t>
  </si>
  <si>
    <t>nueva  marcacion de entrada y salida</t>
  </si>
  <si>
    <t>MEJORA_11</t>
  </si>
  <si>
    <t>mejora importador de lotes</t>
  </si>
  <si>
    <t xml:space="preserve">20260205 se hace el apso a produccion definitivo con las nuevasa mejoras de masivo y se poone en ejecucion </t>
  </si>
  <si>
    <t>MEJORA_12</t>
  </si>
  <si>
    <t xml:space="preserve">Lectura Excel Afiliaciones </t>
  </si>
  <si>
    <t xml:space="preserve">pasar la lectura de excel a python/php para mejorar validaciones y no depender demasiado  de acces </t>
  </si>
  <si>
    <t xml:space="preserve">20260202 se hace muestra del desarrollo se identifican nuevas validaciones, se inicia implementacion de las nuevas indicaciones a validar </t>
  </si>
  <si>
    <t>MEJORA_13</t>
  </si>
  <si>
    <t>mejora acces novedades</t>
  </si>
  <si>
    <t>habilitar en php la opcion de modificacion en tablas temporales que actualmente se hacie en access</t>
  </si>
  <si>
    <t xml:space="preserve">20260205 se deja para la realizacion de pruebas </t>
  </si>
  <si>
    <t>MEJORA_14</t>
  </si>
  <si>
    <t>migracion modulo cartera</t>
  </si>
  <si>
    <t xml:space="preserve">migracion del modulo y opciones de cartera de php a python </t>
  </si>
  <si>
    <t xml:space="preserve">25/02/2026: Pausado  por gerencia </t>
  </si>
  <si>
    <t>MEJORA_15</t>
  </si>
  <si>
    <t>migracion reembolsos</t>
  </si>
  <si>
    <t xml:space="preserve">migracion de la opcion de reembolsos a python </t>
  </si>
  <si>
    <t xml:space="preserve">25/02/2026: Desarrollo en local </t>
  </si>
  <si>
    <t>MEJORA_16</t>
  </si>
  <si>
    <t>requerimiento zehux</t>
  </si>
  <si>
    <t xml:space="preserve">solicitud de cambio de formulario de radicacion de fcc en zehux y ajuste para no permitir cierre de casos sin adjuntar archivo nombrado calidad renovacion </t>
  </si>
  <si>
    <t>MEJORA_17</t>
  </si>
  <si>
    <t>requerimiento sat 1 y 2</t>
  </si>
  <si>
    <t>En este caso se solicita la creación o poblar los campos de los layout  de acuerdo a la estructura del SAT de los servicios "3.1 Afiliación de un empleador a una ARL
En este caso se solicita la creación o poblar los campos de los layout de acuerdo a la estructura del SAT de los servicios "3.2 Novedades de Sede (Creación, Actualización e Inactivación)", donde en los documentos adjuntos se especifica las tablas temporales en las cuales viajara la información que ingrese a través de SAT.</t>
  </si>
  <si>
    <t>PENDIENTE</t>
  </si>
  <si>
    <t>MEJORA_19</t>
  </si>
  <si>
    <t>migracion aviatur</t>
  </si>
  <si>
    <t>Aviatur falta tema alojamientos migrarlo a solicitudes adm</t>
  </si>
  <si>
    <t>req arl</t>
  </si>
  <si>
    <t>ajuste pila</t>
  </si>
  <si>
    <t>no tomar la novedad de retiro registrada en la planilla, cuando el tipo de cotizante en la planilla sea (19 Aprendices en etapa productiva), esto aplica cuando viene solamente novedad de retiro e ingreso y retiro en la misma planilla. Este tipo de cotizante viene registrado en la planilla tipo E y tipo N.</t>
  </si>
  <si>
    <t>MEJORA_21</t>
  </si>
  <si>
    <t>ajute recaudo</t>
  </si>
  <si>
    <t>se solicita implementar un botón para el descargue de planos, para el proceso de traslado a otras ARL.</t>
  </si>
  <si>
    <t>MEJORA_22</t>
  </si>
  <si>
    <t>log sp</t>
  </si>
  <si>
    <t>Revisar el log de las actividades de buzonSP</t>
  </si>
  <si>
    <t>MEJORA_23</t>
  </si>
  <si>
    <t xml:space="preserve">mejora bandeja enfermedad laboral </t>
  </si>
  <si>
    <t>se solicita mejorar la bandeja de trabajo de enfermedad laboral agraganod los filtros por cedula, juntas tipo servicio</t>
  </si>
  <si>
    <t xml:space="preserve">20260304 se implementa y se pasa a produccion despues de la revision de jennifer </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</si>
  <si>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</si>
  <si>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</si>
  <si>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</si>
  <si>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</si>
  <si>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</si>
  <si>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</si>
  <si>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</si>
  <si>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</si>
  <si>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</si>
  <si>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</si>
  <si>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</si>
  <si>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</si>
  <si>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</si>
  <si>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</si>
  <si>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</si>
  <si>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</si>
  <si>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</si>
  <si>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</si>
  <si>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</si>
  <si>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</si>
  <si>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</si>
  <si>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</si>
  <si>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</si>
  <si>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</si>
  <si>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</si>
  <si>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</si>
  <si>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</si>
  <si>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</si>
  <si>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</si>
  <si>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</si>
  <si>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</si>
  <si>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</si>
  <si>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</si>
  <si>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</si>
  <si>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</si>
  <si>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</si>
  <si>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</si>
  <si>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</si>
  <si>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</si>
  <si>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</si>
  <si>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</si>
  <si>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</si>
  <si>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</si>
  <si>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</si>
  <si>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</si>
  <si>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</si>
  <si>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</si>
  <si>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</si>
  <si>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</si>
  <si>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</si>
  <si>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</si>
  <si>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</si>
  <si>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</si>
  <si>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</si>
  <si>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</si>
  <si>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</si>
  <si>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</si>
  <si>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</si>
  <si>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</si>
  <si>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</si>
  <si>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</si>
  <si>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</si>
  <si>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</si>
  <si>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</si>
  <si>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</si>
  <si>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</si>
  <si>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</si>
  <si>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Dias</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</si>
  <si>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</si>
  <si>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</si>
  <si>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</si>
  <si>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</si>
  <si>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</si>
  <si>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</si>
  <si>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</si>
  <si>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</si>
  <si>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</si>
  <si>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</si>
  <si>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</si>
  <si>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</si>
  <si>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</si>
  <si>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False</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</si>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</sst>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mm/yyyy"/>
  </numFmts>
  <fonts count="33">
    <font>
      <sz val="12"/>
      <color theme="1"/>
      <name val="Quattrocento Sans"/>
      <scheme val="minor"/>
    </font>
    <font>
      <b/>
      <u/>
      <sz val="9"/>
      <color rgb="FFFFFFFF"/>
      <name val="Quattrocento Sans"/>
    </font>
    <font>
      <b/>
      <u/>
      <sz val="10"/>
      <color rgb="FFFFFFFF"/>
      <name val="Quattrocento Sans"/>
    </font>
    <font>
      <sz val="12"/>
      <color rgb="FFFFFFFF"/>
      <name val="Quattrocento Sans"/>
      <scheme val="minor"/>
    </font>
    <font>
      <sz val="12"/>
      <color rgb="FFFFFFFF"/>
      <name val="Quattrocento Sans"/>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theme="1"/>
      <name val="Quattrocento Sans"/>
    </font>
    <font>
      <b/>
      <u/>
      <sz val="9"/>
      <color theme="1"/>
      <name val="Quattrocento Sans"/>
    </font>
    <font>
      <sz val="12"/>
      <color theme="1"/>
      <name val="Quattrocento Sans"/>
      <scheme val="minor"/>
    </font>
    <font>
      <b/>
      <u/>
      <sz val="10"/>
      <color theme="1"/>
      <name val="Quattrocento Sans"/>
    </font>
    <font>
      <b/>
      <u/>
      <sz val="10"/>
      <color theme="1"/>
      <name val="Quattrocento Sans"/>
    </font>
    <font>
      <u/>
      <sz val="10"/>
      <color theme="1"/>
      <name val="Quattrocento Sans"/>
    </font>
    <font>
      <sz val="10"/>
      <color theme="1"/>
      <name val="Quattrocento Sans"/>
    </font>
    <font>
      <b/>
      <sz val="10"/>
      <color theme="1"/>
      <name val="Quattrocento Sans"/>
    </font>
    <font>
      <b/>
      <u/>
      <sz val="10"/>
      <color theme="1"/>
      <name val="Quattrocento Sans"/>
    </font>
    <font>
      <sz val="12"/>
      <color rgb="FF0A1D30"/>
      <name val="&quot;Gill Sans MT&quot;"/>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b/>
      <u/>
      <sz val="9"/>
      <color theme="1"/>
      <name val="Quattrocento Sans"/>
    </font>
    <font>
      <sz val="12"/>
      <color rgb="FF000000"/>
      <name val="Quattrocento Sans"/>
    </font>
    <font>
      <sz val="12"/>
      <color rgb="FF000000"/>
      <name val="Arial"/>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CFE2F3"/>
        <bgColor rgb="FFCFE2F3"/>
      </patternFill>
    </fill>
    <fill>
      <patternFill patternType="solid">
        <fgColor rgb="FFD9EAD3"/>
        <bgColor rgb="FFD9EAD3"/>
      </patternFill>
    </fill>
    <fill>
      <patternFill patternType="solid">
        <fgColor rgb="FFF4CCCC"/>
        <bgColor rgb="FFF4CCCC"/>
      </patternFill>
    </fill>
    <fill>
      <patternFill patternType="solid">
        <fgColor rgb="FF4A86E8"/>
        <bgColor rgb="FF4A86E8"/>
      </patternFill>
    </fill>
    <fill>
      <patternFill patternType="solid">
        <fgColor rgb="FFFFFFFF"/>
        <bgColor rgb="FFFFFFFF"/>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2">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02">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0" borderId="0" xfId="0" applyFont="1"/>
    <xf numFmtId="0" fontId="4" fillId="3" borderId="0" xfId="0" applyFont="1" applyFill="1" applyAlignment="1">
      <alignment wrapText="1"/>
    </xf>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3" fontId="8" fillId="2"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xf>
    <xf numFmtId="164" fontId="7"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wrapText="1"/>
    </xf>
    <xf numFmtId="164" fontId="9" fillId="4" borderId="3" xfId="0" applyNumberFormat="1" applyFont="1" applyFill="1" applyBorder="1" applyAlignment="1">
      <alignment horizontal="center" vertical="center" wrapText="1"/>
    </xf>
    <xf numFmtId="0" fontId="7" fillId="5" borderId="3" xfId="0" applyFont="1" applyFill="1" applyBorder="1" applyAlignment="1">
      <alignment horizontal="center" vertical="top"/>
    </xf>
    <xf numFmtId="0" fontId="10" fillId="0" borderId="0" xfId="0" applyFont="1"/>
    <xf numFmtId="0" fontId="11" fillId="6" borderId="4" xfId="0" applyFont="1" applyFill="1" applyBorder="1" applyAlignment="1">
      <alignment horizontal="center" vertical="center" wrapText="1"/>
    </xf>
    <xf numFmtId="0" fontId="10" fillId="0" borderId="4" xfId="0" applyFont="1" applyBorder="1" applyAlignment="1">
      <alignment horizontal="center" vertical="center"/>
    </xf>
    <xf numFmtId="0" fontId="12" fillId="0" borderId="4" xfId="0" applyFont="1" applyBorder="1"/>
    <xf numFmtId="0" fontId="13" fillId="6" borderId="4" xfId="0" applyFont="1" applyFill="1" applyBorder="1" applyAlignment="1">
      <alignment horizontal="center" vertical="center" wrapText="1"/>
    </xf>
    <xf numFmtId="0" fontId="14" fillId="6" borderId="4" xfId="0" applyFont="1" applyFill="1" applyBorder="1" applyAlignment="1">
      <alignment horizontal="center" vertical="center" wrapText="1"/>
    </xf>
    <xf numFmtId="0" fontId="15" fillId="6" borderId="4" xfId="0" applyFont="1" applyFill="1" applyBorder="1" applyAlignment="1">
      <alignment vertical="center" wrapText="1"/>
    </xf>
    <xf numFmtId="0" fontId="16" fillId="6" borderId="4" xfId="0" applyFont="1" applyFill="1" applyBorder="1" applyAlignment="1">
      <alignment horizontal="center" vertical="center" wrapText="1"/>
    </xf>
    <xf numFmtId="3" fontId="17" fillId="6" borderId="4" xfId="0" applyNumberFormat="1" applyFont="1" applyFill="1" applyBorder="1" applyAlignment="1">
      <alignment horizontal="center" vertical="center"/>
    </xf>
    <xf numFmtId="164" fontId="16" fillId="6" borderId="4" xfId="0" applyNumberFormat="1" applyFont="1" applyFill="1" applyBorder="1" applyAlignment="1">
      <alignment vertical="center" wrapText="1"/>
    </xf>
    <xf numFmtId="164" fontId="17" fillId="6" borderId="4" xfId="0" applyNumberFormat="1" applyFont="1" applyFill="1" applyBorder="1" applyAlignment="1">
      <alignment vertical="center"/>
    </xf>
    <xf numFmtId="164" fontId="17" fillId="6" borderId="4" xfId="0" applyNumberFormat="1" applyFont="1" applyFill="1" applyBorder="1" applyAlignment="1">
      <alignment vertical="center"/>
    </xf>
    <xf numFmtId="3" fontId="16" fillId="6" borderId="4" xfId="0" applyNumberFormat="1" applyFont="1" applyFill="1" applyBorder="1" applyAlignment="1">
      <alignment horizontal="center" vertical="center" wrapText="1"/>
    </xf>
    <xf numFmtId="0" fontId="16" fillId="6" borderId="4" xfId="0" applyFont="1" applyFill="1" applyBorder="1" applyAlignment="1">
      <alignment horizontal="left" vertical="top"/>
    </xf>
    <xf numFmtId="0" fontId="12" fillId="0" borderId="0" xfId="0" applyFont="1" applyAlignment="1"/>
    <xf numFmtId="164" fontId="16" fillId="6" borderId="4" xfId="0" applyNumberFormat="1" applyFont="1" applyFill="1" applyBorder="1" applyAlignment="1">
      <alignment vertical="center" wrapText="1"/>
    </xf>
    <xf numFmtId="0" fontId="12" fillId="0" borderId="0" xfId="0" applyFont="1"/>
    <xf numFmtId="0" fontId="12" fillId="0" borderId="0" xfId="0" applyFont="1" applyAlignment="1">
      <alignment wrapText="1"/>
    </xf>
    <xf numFmtId="0" fontId="16" fillId="6" borderId="4" xfId="0" applyFont="1" applyFill="1" applyBorder="1" applyAlignment="1">
      <alignment vertical="top"/>
    </xf>
    <xf numFmtId="0" fontId="12" fillId="0" borderId="4" xfId="0" applyFont="1" applyBorder="1" applyAlignment="1">
      <alignment wrapText="1"/>
    </xf>
    <xf numFmtId="164" fontId="16" fillId="6" borderId="4" xfId="0" applyNumberFormat="1" applyFont="1" applyFill="1" applyBorder="1" applyAlignment="1">
      <alignment vertical="center"/>
    </xf>
    <xf numFmtId="0" fontId="16" fillId="6" borderId="4" xfId="0" applyFont="1" applyFill="1" applyBorder="1" applyAlignment="1">
      <alignment horizontal="left" vertical="top"/>
    </xf>
    <xf numFmtId="0" fontId="12" fillId="0" borderId="4" xfId="0" applyFont="1" applyBorder="1" applyAlignment="1">
      <alignment vertical="top" wrapText="1"/>
    </xf>
    <xf numFmtId="164" fontId="16" fillId="6" borderId="4" xfId="0" applyNumberFormat="1" applyFont="1" applyFill="1" applyBorder="1" applyAlignment="1">
      <alignment vertical="center"/>
    </xf>
    <xf numFmtId="0" fontId="18" fillId="6" borderId="4" xfId="0" applyFont="1" applyFill="1" applyBorder="1" applyAlignment="1">
      <alignment vertical="center"/>
    </xf>
    <xf numFmtId="0" fontId="12" fillId="0" borderId="4" xfId="0" applyFont="1" applyBorder="1" applyAlignment="1"/>
    <xf numFmtId="0" fontId="19" fillId="6" borderId="0" xfId="0" applyFont="1" applyFill="1" applyAlignment="1"/>
    <xf numFmtId="0" fontId="20" fillId="6" borderId="4" xfId="0" applyFont="1" applyFill="1" applyBorder="1" applyAlignment="1">
      <alignment vertical="center"/>
    </xf>
    <xf numFmtId="0" fontId="21" fillId="6" borderId="4" xfId="0" applyFont="1" applyFill="1" applyBorder="1" applyAlignment="1">
      <alignment vertical="center" wrapText="1"/>
    </xf>
    <xf numFmtId="0" fontId="16" fillId="6" borderId="4" xfId="0" applyFont="1" applyFill="1" applyBorder="1" applyAlignment="1">
      <alignment vertical="center" wrapText="1"/>
    </xf>
    <xf numFmtId="0" fontId="12" fillId="0" borderId="4" xfId="0" applyFont="1" applyBorder="1" applyAlignment="1">
      <alignment wrapText="1"/>
    </xf>
    <xf numFmtId="0" fontId="22" fillId="6" borderId="4" xfId="0" applyFont="1" applyFill="1" applyBorder="1" applyAlignment="1">
      <alignment horizontal="left" vertical="center" wrapText="1"/>
    </xf>
    <xf numFmtId="0" fontId="12" fillId="0" borderId="4" xfId="0" applyFont="1" applyBorder="1" applyAlignment="1">
      <alignment wrapText="1"/>
    </xf>
    <xf numFmtId="0" fontId="23" fillId="6" borderId="5" xfId="0" applyFont="1" applyFill="1" applyBorder="1" applyAlignment="1">
      <alignment vertical="center" wrapText="1"/>
    </xf>
    <xf numFmtId="0" fontId="24" fillId="6" borderId="4" xfId="0" applyFont="1" applyFill="1" applyBorder="1" applyAlignment="1">
      <alignment horizontal="left" vertical="center"/>
    </xf>
    <xf numFmtId="0" fontId="16" fillId="6" borderId="4" xfId="0" applyFont="1" applyFill="1" applyBorder="1" applyAlignment="1">
      <alignment horizontal="center" vertical="center"/>
    </xf>
    <xf numFmtId="3" fontId="16" fillId="6" borderId="4" xfId="0" applyNumberFormat="1" applyFont="1" applyFill="1" applyBorder="1" applyAlignment="1">
      <alignment horizontal="center" vertical="center" wrapText="1"/>
    </xf>
    <xf numFmtId="165" fontId="16" fillId="6" borderId="4" xfId="0" applyNumberFormat="1" applyFont="1" applyFill="1" applyBorder="1" applyAlignment="1">
      <alignment vertical="center"/>
    </xf>
    <xf numFmtId="0" fontId="25" fillId="6" borderId="4" xfId="0" applyFont="1" applyFill="1" applyBorder="1" applyAlignment="1">
      <alignment horizontal="center" vertical="center"/>
    </xf>
    <xf numFmtId="0" fontId="16" fillId="6" borderId="4" xfId="0" applyFont="1" applyFill="1" applyBorder="1" applyAlignment="1">
      <alignment horizontal="left" vertical="center"/>
    </xf>
    <xf numFmtId="0" fontId="16" fillId="6" borderId="4" xfId="0" applyFont="1" applyFill="1" applyBorder="1" applyAlignment="1">
      <alignment vertical="center"/>
    </xf>
    <xf numFmtId="0" fontId="26" fillId="6" borderId="4" xfId="0" applyFont="1" applyFill="1" applyBorder="1" applyAlignment="1">
      <alignment vertical="center" wrapText="1"/>
    </xf>
    <xf numFmtId="0" fontId="26" fillId="6" borderId="4" xfId="0" applyFont="1" applyFill="1" applyBorder="1" applyAlignment="1">
      <alignment vertical="center"/>
    </xf>
    <xf numFmtId="0" fontId="27" fillId="6" borderId="0" xfId="0" applyFont="1" applyFill="1" applyAlignment="1"/>
    <xf numFmtId="0" fontId="16" fillId="6" borderId="4" xfId="0" applyFont="1" applyFill="1" applyBorder="1" applyAlignment="1">
      <alignment horizontal="left" vertical="center" wrapText="1"/>
    </xf>
    <xf numFmtId="14" fontId="16" fillId="6" borderId="4" xfId="0" applyNumberFormat="1" applyFont="1" applyFill="1" applyBorder="1" applyAlignment="1">
      <alignment vertical="center"/>
    </xf>
    <xf numFmtId="14" fontId="28" fillId="0" borderId="0" xfId="0" applyNumberFormat="1" applyFont="1" applyAlignment="1">
      <alignment horizontal="right"/>
    </xf>
    <xf numFmtId="0" fontId="28" fillId="0" borderId="0" xfId="0" applyFont="1" applyAlignment="1"/>
    <xf numFmtId="0" fontId="28" fillId="0" borderId="0" xfId="0" applyFont="1" applyAlignment="1"/>
    <xf numFmtId="0" fontId="29" fillId="0" borderId="0" xfId="0" applyFont="1"/>
    <xf numFmtId="0" fontId="28" fillId="0" borderId="0" xfId="0" applyFont="1"/>
    <xf numFmtId="0" fontId="29" fillId="7" borderId="4" xfId="0" applyFont="1" applyFill="1" applyBorder="1" applyAlignment="1">
      <alignment vertical="center"/>
    </xf>
    <xf numFmtId="14" fontId="29" fillId="7" borderId="4" xfId="0" applyNumberFormat="1" applyFont="1" applyFill="1" applyBorder="1" applyAlignment="1">
      <alignment horizontal="center" vertical="center" wrapText="1"/>
    </xf>
    <xf numFmtId="14" fontId="29" fillId="7" borderId="6" xfId="0" applyNumberFormat="1" applyFont="1" applyFill="1" applyBorder="1" applyAlignment="1">
      <alignment horizontal="center" vertical="center" wrapText="1"/>
    </xf>
    <xf numFmtId="14" fontId="29" fillId="7" borderId="7" xfId="0" applyNumberFormat="1" applyFont="1" applyFill="1" applyBorder="1" applyAlignment="1">
      <alignment horizontal="center" vertical="center" wrapText="1"/>
    </xf>
    <xf numFmtId="0" fontId="29" fillId="8" borderId="4" xfId="0" applyFont="1" applyFill="1" applyBorder="1"/>
    <xf numFmtId="0" fontId="28" fillId="0" borderId="4" xfId="0" applyFont="1" applyBorder="1" applyAlignment="1">
      <alignment horizontal="center"/>
    </xf>
    <xf numFmtId="0" fontId="30" fillId="0" borderId="4" xfId="0" applyFont="1" applyBorder="1"/>
    <xf numFmtId="0" fontId="28" fillId="0" borderId="4" xfId="0" applyFont="1" applyBorder="1"/>
    <xf numFmtId="0" fontId="28" fillId="0" borderId="8" xfId="0" applyFont="1" applyBorder="1"/>
    <xf numFmtId="0" fontId="28" fillId="0" borderId="4" xfId="0" applyFont="1" applyBorder="1" applyAlignment="1">
      <alignment horizontal="center" vertical="center"/>
    </xf>
    <xf numFmtId="0" fontId="32" fillId="0" borderId="4" xfId="0" applyFont="1" applyBorder="1"/>
    <xf numFmtId="0" fontId="17" fillId="9" borderId="4" xfId="0" applyFont="1" applyFill="1" applyBorder="1" applyAlignment="1">
      <alignment horizontal="center" vertical="center"/>
    </xf>
    <xf numFmtId="0" fontId="17" fillId="10" borderId="4" xfId="0" applyFont="1" applyFill="1" applyBorder="1" applyAlignment="1">
      <alignment horizontal="center" vertical="center"/>
    </xf>
    <xf numFmtId="0" fontId="17" fillId="10" borderId="4" xfId="0" applyFont="1" applyFill="1" applyBorder="1" applyAlignment="1">
      <alignment horizontal="center" vertical="center" wrapText="1"/>
    </xf>
    <xf numFmtId="0" fontId="17" fillId="0" borderId="4" xfId="0" applyFont="1" applyBorder="1" applyAlignment="1">
      <alignment horizontal="center" vertical="center"/>
    </xf>
    <xf numFmtId="0" fontId="17" fillId="11" borderId="4" xfId="0" applyFont="1" applyFill="1" applyBorder="1" applyAlignment="1">
      <alignment horizontal="center" vertical="center"/>
    </xf>
    <xf numFmtId="0" fontId="17" fillId="12" borderId="4" xfId="0" applyFont="1" applyFill="1" applyBorder="1" applyAlignment="1">
      <alignment horizontal="center" vertical="center"/>
    </xf>
    <xf numFmtId="0" fontId="16" fillId="0" borderId="0" xfId="0" applyFont="1" applyAlignment="1">
      <alignment horizontal="center" vertical="center"/>
    </xf>
    <xf numFmtId="0" fontId="17" fillId="13" borderId="4" xfId="0" applyFont="1" applyFill="1" applyBorder="1" applyAlignment="1">
      <alignment horizontal="center" vertical="center"/>
    </xf>
    <xf numFmtId="0" fontId="17" fillId="0" borderId="4" xfId="0" applyFont="1" applyBorder="1" applyAlignment="1">
      <alignment horizontal="left" vertical="center"/>
    </xf>
    <xf numFmtId="0" fontId="16" fillId="0" borderId="4" xfId="0" applyFont="1" applyBorder="1" applyAlignment="1">
      <alignment horizontal="left" vertical="center"/>
    </xf>
    <xf numFmtId="14" fontId="16" fillId="0" borderId="4" xfId="0" applyNumberFormat="1" applyFont="1" applyBorder="1" applyAlignment="1">
      <alignment horizontal="center" vertical="center"/>
    </xf>
    <xf numFmtId="1" fontId="16" fillId="0" borderId="4" xfId="0" applyNumberFormat="1" applyFont="1" applyBorder="1" applyAlignment="1">
      <alignment horizontal="center" vertical="center" wrapText="1"/>
    </xf>
    <xf numFmtId="0" fontId="16" fillId="0" borderId="4" xfId="0" applyFont="1" applyBorder="1" applyAlignment="1">
      <alignment horizontal="center" vertical="center"/>
    </xf>
    <xf numFmtId="0" fontId="16" fillId="0" borderId="4" xfId="0" applyFont="1" applyBorder="1" applyAlignment="1">
      <alignment horizontal="left" vertical="top" wrapText="1"/>
    </xf>
    <xf numFmtId="0" fontId="16" fillId="0" borderId="4" xfId="0" applyFont="1" applyBorder="1" applyAlignment="1">
      <alignment horizontal="left" vertical="center" wrapText="1"/>
    </xf>
    <xf numFmtId="0" fontId="16" fillId="0" borderId="0" xfId="0" applyFont="1" applyAlignment="1">
      <alignment horizontal="left" vertical="center"/>
    </xf>
    <xf numFmtId="0" fontId="16" fillId="0" borderId="9" xfId="0" applyFont="1" applyBorder="1" applyAlignment="1">
      <alignment horizontal="left" vertical="center" wrapText="1"/>
    </xf>
    <xf numFmtId="14" fontId="16" fillId="0" borderId="9" xfId="0" applyNumberFormat="1" applyFont="1" applyBorder="1" applyAlignment="1">
      <alignment horizontal="center" vertical="center"/>
    </xf>
    <xf numFmtId="0" fontId="16" fillId="0" borderId="9" xfId="0" applyFont="1" applyBorder="1" applyAlignment="1">
      <alignment horizontal="center" vertical="center"/>
    </xf>
    <xf numFmtId="1" fontId="16" fillId="0" borderId="9" xfId="0" applyNumberFormat="1" applyFont="1" applyBorder="1" applyAlignment="1">
      <alignment horizontal="center" vertical="center" wrapText="1"/>
    </xf>
    <xf numFmtId="0" fontId="16" fillId="0" borderId="9" xfId="0" applyFont="1" applyBorder="1" applyAlignment="1">
      <alignment horizontal="left" vertical="top" wrapText="1"/>
    </xf>
    <xf numFmtId="0" fontId="16" fillId="0" borderId="0" xfId="0" applyFont="1"/>
    <xf numFmtId="0" fontId="28" fillId="0" borderId="9" xfId="0" applyFont="1" applyBorder="1" applyAlignment="1">
      <alignment horizontal="center" vertical="center" wrapText="1"/>
    </xf>
    <xf numFmtId="0" fontId="31" fillId="0" borderId="10" xfId="0" applyFont="1" applyBorder="1"/>
    <xf numFmtId="0" fontId="31" fillId="0" borderId="11" xfId="0" applyFont="1" applyBorder="1"/>
    <xf numFmtId="0" fontId="17" fillId="0" borderId="9" xfId="0" applyFont="1" applyBorder="1" applyAlignment="1">
      <alignment horizontal="center" vertical="center"/>
    </xf>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EN PROCESO (Colmen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id="1" name="Table_1" displayName="Table_1" ref="A1:AN3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EN PROCESO (Colmena)-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31"/>
  <sheetViews>
    <sheetView tabSelected="1" workbookViewId="0">
      <pane ySplit="1" topLeftCell="A2" activePane="bottomLeft" state="frozen"/>
      <selection pane="bottomLeft" activeCell="J4" sqref="J4"/>
    </sheetView>
  </sheetViews>
  <sheetFormatPr baseColWidth="10" defaultColWidth="11.21875" defaultRowHeight="15" customHeight="1"/>
  <cols>
    <col min="1" max="1" width="16" customWidth="1"/>
    <col min="2" max="2" width="15.21875" customWidth="1"/>
    <col min="3" max="3" width="35.218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5" width="11" customWidth="1"/>
    <col min="16" max="16" width="17.21875" customWidth="1"/>
    <col min="17" max="17" width="51.21875" customWidth="1"/>
    <col min="18" max="18" width="8" customWidth="1"/>
    <col min="19" max="40" width="10.5546875" customWidth="1"/>
  </cols>
  <sheetData>
    <row r="1" spans="1:40" ht="38.25">
      <c r="A1" s="1" t="s">
        <v>0</v>
      </c>
      <c r="B1" s="2" t="s">
        <v>1</v>
      </c>
      <c r="C1" s="3" t="s">
        <v>2</v>
      </c>
      <c r="D1" s="4" t="s">
        <v>3</v>
      </c>
      <c r="E1" s="5" t="s">
        <v>4</v>
      </c>
      <c r="F1" s="6" t="s">
        <v>5</v>
      </c>
      <c r="G1" s="7" t="s">
        <v>6</v>
      </c>
      <c r="H1" s="8" t="s">
        <v>7</v>
      </c>
      <c r="I1" s="9" t="s">
        <v>8</v>
      </c>
      <c r="J1" s="9" t="s">
        <v>9</v>
      </c>
      <c r="K1" s="10" t="s">
        <v>10</v>
      </c>
      <c r="L1" s="10" t="s">
        <v>11</v>
      </c>
      <c r="M1" s="11" t="s">
        <v>12</v>
      </c>
      <c r="N1" s="12" t="s">
        <v>13</v>
      </c>
      <c r="O1" s="10" t="s">
        <v>14</v>
      </c>
      <c r="P1" s="10" t="s">
        <v>15</v>
      </c>
      <c r="Q1" s="13" t="s">
        <v>16</v>
      </c>
      <c r="R1" s="3" t="s">
        <v>17</v>
      </c>
      <c r="S1" s="14"/>
      <c r="T1" s="14"/>
      <c r="U1" s="14"/>
      <c r="V1" s="14"/>
      <c r="W1" s="14"/>
      <c r="X1" s="14"/>
      <c r="Y1" s="14"/>
      <c r="Z1" s="14"/>
      <c r="AA1" s="14"/>
      <c r="AB1" s="14"/>
      <c r="AC1" s="14"/>
      <c r="AD1" s="14"/>
      <c r="AE1" s="14"/>
      <c r="AF1" s="14"/>
      <c r="AG1" s="14"/>
      <c r="AH1" s="14"/>
      <c r="AI1" s="14"/>
      <c r="AJ1" s="14"/>
      <c r="AK1" s="14"/>
      <c r="AL1" s="14"/>
      <c r="AM1" s="14"/>
      <c r="AN1" s="14"/>
    </row>
    <row r="2" spans="1:40" ht="53.25" customHeight="1">
      <c r="A2" s="15" t="s">
        <v>18</v>
      </c>
      <c r="B2" s="16" t="s">
        <v>19</v>
      </c>
      <c r="C2" s="17" t="s">
        <v>20</v>
      </c>
      <c r="D2" s="18" t="s">
        <v>21</v>
      </c>
      <c r="E2" s="19"/>
      <c r="F2" s="20" t="s">
        <v>22</v>
      </c>
      <c r="G2" s="21">
        <v>100</v>
      </c>
      <c r="H2" s="22">
        <f>IF(OR(J2="",K2="",K2&lt;J2),0,NETWORKDAYS(J2,K2,Hoja2!$A$2:$A$53))</f>
        <v>0</v>
      </c>
      <c r="I2" s="23">
        <v>45931</v>
      </c>
      <c r="J2" s="23">
        <v>45940</v>
      </c>
      <c r="K2" s="24"/>
      <c r="L2" s="25">
        <v>45945</v>
      </c>
      <c r="M2" s="26">
        <f ca="1">IF(OR(J2="",AND(L2="",TODAY()&lt;J2),AND(L2&lt;&gt;"",L2&lt;J2)),0,
   IF(L2="",
      NETWORKDAYS(J2,TODAY(),Hoja2!$A$2:$A$53),
      NETWORKDAYS(J2,L2,Hoja2!$A$2:$A$53)
   )
)</f>
        <v>3</v>
      </c>
      <c r="N2" s="25"/>
      <c r="O2" s="25">
        <v>45944</v>
      </c>
      <c r="P2" s="25">
        <v>45945</v>
      </c>
      <c r="Q2" s="27" t="s">
        <v>23</v>
      </c>
      <c r="R2" s="28" t="s">
        <v>212</v>
      </c>
      <c r="S2" s="14"/>
      <c r="T2" s="14"/>
      <c r="U2" s="14"/>
      <c r="V2" s="14"/>
      <c r="W2" s="14"/>
      <c r="X2" s="14"/>
      <c r="Y2" s="14"/>
      <c r="Z2" s="14"/>
      <c r="AA2" s="14"/>
      <c r="AB2" s="14"/>
      <c r="AC2" s="14"/>
      <c r="AD2" s="14"/>
      <c r="AE2" s="14"/>
      <c r="AF2" s="14"/>
      <c r="AG2" s="14"/>
      <c r="AH2" s="14"/>
      <c r="AI2" s="14"/>
      <c r="AJ2" s="14"/>
      <c r="AK2" s="14"/>
      <c r="AL2" s="14"/>
      <c r="AM2" s="14"/>
      <c r="AN2" s="14"/>
    </row>
    <row r="3" spans="1:40" ht="127.5" customHeight="1">
      <c r="A3" s="15" t="s">
        <v>18</v>
      </c>
      <c r="B3" s="16" t="s">
        <v>24</v>
      </c>
      <c r="C3" s="17" t="s">
        <v>25</v>
      </c>
      <c r="D3" s="18" t="s">
        <v>26</v>
      </c>
      <c r="E3" s="19"/>
      <c r="F3" s="20" t="s">
        <v>22</v>
      </c>
      <c r="G3" s="21">
        <v>100</v>
      </c>
      <c r="H3" s="22">
        <f>IF(OR(J3="",K3="",K3&lt;J3),0,NETWORKDAYS(J3,K3,Hoja2!$A$2:$A$53))</f>
        <v>0</v>
      </c>
      <c r="I3" s="23">
        <v>45931</v>
      </c>
      <c r="J3" s="23">
        <v>45944</v>
      </c>
      <c r="K3" s="24"/>
      <c r="L3" s="24"/>
      <c r="M3" s="26">
        <f ca="1">IF(OR(J3="",AND(L3="",TODAY()&lt;J3),AND(L3&lt;&gt;"",L3&lt;J3)),0,
   IF(L3="",
      NETWORKDAYS(J3,TODAY(),Hoja2!$A$2:$A$53),
      NETWORKDAYS(J3,L3,Hoja2!$A$2:$A$53)
   )
)</f>
        <v>98</v>
      </c>
      <c r="N3" s="29"/>
      <c r="O3" s="29"/>
      <c r="P3" s="25"/>
      <c r="Q3" s="27" t="s">
        <v>27</v>
      </c>
      <c r="R3" s="30" t="s">
        <v>212</v>
      </c>
      <c r="S3" s="14"/>
      <c r="T3" s="14"/>
      <c r="U3" s="14"/>
      <c r="V3" s="14"/>
      <c r="W3" s="14"/>
      <c r="X3" s="14"/>
      <c r="Y3" s="14"/>
      <c r="Z3" s="14"/>
      <c r="AA3" s="14"/>
      <c r="AB3" s="14"/>
      <c r="AC3" s="14"/>
      <c r="AD3" s="14"/>
      <c r="AE3" s="14"/>
      <c r="AF3" s="14"/>
      <c r="AG3" s="14"/>
      <c r="AH3" s="14"/>
      <c r="AI3" s="14"/>
      <c r="AJ3" s="14"/>
      <c r="AK3" s="14"/>
      <c r="AL3" s="14"/>
      <c r="AM3" s="14"/>
      <c r="AN3" s="14"/>
    </row>
    <row r="4" spans="1:40" ht="121.5" customHeight="1">
      <c r="A4" s="15" t="s">
        <v>18</v>
      </c>
      <c r="B4" s="16" t="s">
        <v>28</v>
      </c>
      <c r="C4" s="17" t="s">
        <v>29</v>
      </c>
      <c r="D4" s="31" t="s">
        <v>30</v>
      </c>
      <c r="E4" s="19"/>
      <c r="F4" s="20" t="s">
        <v>22</v>
      </c>
      <c r="G4" s="21">
        <v>100</v>
      </c>
      <c r="H4" s="22">
        <f>IF(OR(J4="",K4="",K4&lt;J4),0,NETWORKDAYS(J4,K4,Hoja2!$A$2:$A$53))</f>
        <v>0</v>
      </c>
      <c r="I4" s="23">
        <v>45950</v>
      </c>
      <c r="J4" s="29"/>
      <c r="K4" s="24"/>
      <c r="L4" s="25">
        <v>46038</v>
      </c>
      <c r="M4" s="26">
        <f ca="1">IF(OR(J4="",AND(L4="",TODAY()&lt;J4),AND(L4&lt;&gt;"",L4&lt;J4)),0,
   IF(L4="",
      NETWORKDAYS(J4,TODAY(),Hoja2!$A$2:$A$53),
      NETWORKDAYS(J4,L4,Hoja2!$A$2:$A$53)
   )
)</f>
        <v>0</v>
      </c>
      <c r="N4" s="24"/>
      <c r="O4" s="24"/>
      <c r="P4" s="24"/>
      <c r="Q4" s="32" t="s">
        <v>31</v>
      </c>
      <c r="R4" s="30" t="s">
        <v>212</v>
      </c>
      <c r="S4" s="14"/>
      <c r="T4" s="14"/>
      <c r="U4" s="14"/>
      <c r="V4" s="14"/>
      <c r="W4" s="14"/>
      <c r="X4" s="14"/>
      <c r="Y4" s="14"/>
      <c r="Z4" s="14"/>
      <c r="AA4" s="14"/>
      <c r="AB4" s="14"/>
      <c r="AC4" s="14"/>
      <c r="AD4" s="14"/>
      <c r="AE4" s="14"/>
      <c r="AF4" s="14"/>
      <c r="AG4" s="14"/>
      <c r="AH4" s="14"/>
      <c r="AI4" s="14"/>
      <c r="AJ4" s="14"/>
      <c r="AK4" s="14"/>
      <c r="AL4" s="14"/>
      <c r="AM4" s="14"/>
      <c r="AN4" s="14"/>
    </row>
    <row r="5" spans="1:40" ht="87" customHeight="1">
      <c r="A5" s="15" t="s">
        <v>18</v>
      </c>
      <c r="B5" s="16" t="s">
        <v>32</v>
      </c>
      <c r="C5" s="17" t="s">
        <v>33</v>
      </c>
      <c r="D5" s="33" t="s">
        <v>34</v>
      </c>
      <c r="E5" s="19"/>
      <c r="F5" s="20" t="s">
        <v>35</v>
      </c>
      <c r="G5" s="21">
        <v>0</v>
      </c>
      <c r="H5" s="22">
        <f>IF(OR(J5="",K5="",K5&lt;J5),0,NETWORKDAYS(J5,K5,Hoja2!$A$2:$A$53))</f>
        <v>0</v>
      </c>
      <c r="I5" s="23">
        <v>45950</v>
      </c>
      <c r="J5" s="29"/>
      <c r="K5" s="24"/>
      <c r="L5" s="24"/>
      <c r="M5" s="26">
        <f ca="1">IF(OR(J5="",AND(L5="",TODAY()&lt;J5),AND(L5&lt;&gt;"",L5&lt;J5)),0,
   IF(L5="",
      NETWORKDAYS(J5,TODAY(),Hoja2!$A$2:$A$53),
      NETWORKDAYS(J5,L5,Hoja2!$A$2:$A$53)
   )
)</f>
        <v>0</v>
      </c>
      <c r="N5" s="24"/>
      <c r="O5" s="24"/>
      <c r="P5" s="24"/>
      <c r="Q5" s="27" t="s">
        <v>36</v>
      </c>
      <c r="R5" s="30" t="s">
        <v>212</v>
      </c>
      <c r="S5" s="14"/>
      <c r="T5" s="14"/>
      <c r="U5" s="14"/>
      <c r="V5" s="14"/>
      <c r="W5" s="14"/>
      <c r="X5" s="14"/>
      <c r="Y5" s="14"/>
      <c r="Z5" s="14"/>
      <c r="AA5" s="14"/>
      <c r="AB5" s="14"/>
      <c r="AC5" s="14"/>
      <c r="AD5" s="14"/>
      <c r="AE5" s="14"/>
      <c r="AF5" s="14"/>
      <c r="AG5" s="14"/>
      <c r="AH5" s="14"/>
      <c r="AI5" s="14"/>
      <c r="AJ5" s="14"/>
      <c r="AK5" s="14"/>
      <c r="AL5" s="14"/>
      <c r="AM5" s="14"/>
      <c r="AN5" s="14"/>
    </row>
    <row r="6" spans="1:40" ht="53.25" customHeight="1">
      <c r="A6" s="15" t="s">
        <v>18</v>
      </c>
      <c r="B6" s="16" t="s">
        <v>37</v>
      </c>
      <c r="C6" s="17" t="s">
        <v>38</v>
      </c>
      <c r="D6" s="33" t="s">
        <v>39</v>
      </c>
      <c r="E6" s="19"/>
      <c r="F6" s="20" t="s">
        <v>22</v>
      </c>
      <c r="G6" s="21">
        <v>100</v>
      </c>
      <c r="H6" s="22">
        <f>IF(OR(J6="",K6="",K6&lt;J6),0,NETWORKDAYS(J6,K6,Hoja2!$A$2:$A$53))</f>
        <v>0</v>
      </c>
      <c r="I6" s="23">
        <v>45953</v>
      </c>
      <c r="J6" s="34"/>
      <c r="K6" s="34"/>
      <c r="L6" s="34"/>
      <c r="M6" s="26">
        <f ca="1">IF(OR(J6="",AND(L6="",TODAY()&lt;J6),AND(L6&lt;&gt;"",L6&lt;J6)),0,
   IF(L6="",
      NETWORKDAYS(J6,TODAY(),Hoja2!$A$2:$A$53),
      NETWORKDAYS(J6,L6,Hoja2!$A$2:$A$53)
   )
)</f>
        <v>0</v>
      </c>
      <c r="N6" s="34"/>
      <c r="O6" s="34"/>
      <c r="P6" s="34"/>
      <c r="Q6" s="35"/>
      <c r="R6" s="30" t="s">
        <v>212</v>
      </c>
      <c r="S6" s="14"/>
      <c r="T6" s="14"/>
      <c r="U6" s="14"/>
      <c r="V6" s="14"/>
      <c r="W6" s="14"/>
      <c r="X6" s="14"/>
      <c r="Y6" s="14"/>
      <c r="Z6" s="14"/>
      <c r="AA6" s="14"/>
      <c r="AB6" s="14"/>
      <c r="AC6" s="14"/>
      <c r="AD6" s="14"/>
      <c r="AE6" s="14"/>
      <c r="AF6" s="14"/>
      <c r="AG6" s="14"/>
      <c r="AH6" s="14"/>
      <c r="AI6" s="14"/>
      <c r="AJ6" s="14"/>
      <c r="AK6" s="14"/>
      <c r="AL6" s="14"/>
      <c r="AM6" s="14"/>
      <c r="AN6" s="14"/>
    </row>
    <row r="7" spans="1:40" ht="104.25" customHeight="1">
      <c r="A7" s="15" t="s">
        <v>40</v>
      </c>
      <c r="B7" s="16" t="s">
        <v>41</v>
      </c>
      <c r="C7" s="17" t="s">
        <v>42</v>
      </c>
      <c r="D7" s="36" t="s">
        <v>43</v>
      </c>
      <c r="E7" s="19"/>
      <c r="F7" s="20" t="s">
        <v>44</v>
      </c>
      <c r="G7" s="21">
        <v>55</v>
      </c>
      <c r="H7" s="22">
        <f>IF(OR(J7="",K7="",K7&lt;J7),0,NETWORKDAYS(J7,K7,Hoja2!$A$2:$A$53))</f>
        <v>0</v>
      </c>
      <c r="I7" s="23">
        <v>45957</v>
      </c>
      <c r="J7" s="37">
        <v>45957</v>
      </c>
      <c r="K7" s="24"/>
      <c r="L7" s="24"/>
      <c r="M7" s="26">
        <f ca="1">IF(OR(J7="",AND(L7="",TODAY()&lt;J7),AND(L7&lt;&gt;"",L7&lt;J7)),0,
   IF(L7="",
      NETWORKDAYS(J7,TODAY(),Hoja2!$A$2:$A$53),
      NETWORKDAYS(J7,L7,Hoja2!$A$2:$A$53)
   )
)</f>
        <v>89</v>
      </c>
      <c r="N7" s="24"/>
      <c r="O7" s="24"/>
      <c r="P7" s="34"/>
      <c r="Q7" s="32" t="s">
        <v>45</v>
      </c>
      <c r="R7" s="28" t="s">
        <v>211</v>
      </c>
      <c r="S7" s="14"/>
      <c r="T7" s="14"/>
      <c r="U7" s="14"/>
      <c r="V7" s="14"/>
      <c r="W7" s="14"/>
      <c r="X7" s="14"/>
      <c r="Y7" s="14"/>
      <c r="Z7" s="14"/>
      <c r="AA7" s="14"/>
      <c r="AB7" s="14"/>
      <c r="AC7" s="14"/>
      <c r="AD7" s="14"/>
      <c r="AE7" s="14"/>
      <c r="AF7" s="14"/>
      <c r="AG7" s="14"/>
      <c r="AH7" s="14"/>
      <c r="AI7" s="14"/>
      <c r="AJ7" s="14"/>
      <c r="AK7" s="14"/>
      <c r="AL7" s="14"/>
      <c r="AM7" s="14"/>
      <c r="AN7" s="14"/>
    </row>
    <row r="8" spans="1:40" ht="120" customHeight="1">
      <c r="A8" s="15" t="s">
        <v>46</v>
      </c>
      <c r="B8" s="16" t="s">
        <v>47</v>
      </c>
      <c r="C8" s="17" t="s">
        <v>48</v>
      </c>
      <c r="D8" s="36" t="s">
        <v>49</v>
      </c>
      <c r="E8" s="38"/>
      <c r="F8" s="20" t="s">
        <v>22</v>
      </c>
      <c r="G8" s="21">
        <v>100</v>
      </c>
      <c r="H8" s="22">
        <f>IF(OR(J8="",K8="",K8&lt;J8),0,NETWORKDAYS(J8,K8,Hoja2!$A$2:$A$53))</f>
        <v>6</v>
      </c>
      <c r="I8" s="23">
        <v>45958</v>
      </c>
      <c r="J8" s="23">
        <v>45958</v>
      </c>
      <c r="K8" s="25">
        <v>45966</v>
      </c>
      <c r="L8" s="25">
        <v>45961</v>
      </c>
      <c r="M8" s="26">
        <f ca="1">IF(OR(J8="",AND(L8="",TODAY()&lt;J8),AND(L8&lt;&gt;"",L8&lt;J8)),0,
   IF(L8="",
      NETWORKDAYS(J8,TODAY(),Hoja2!$A$2:$A$53),
      NETWORKDAYS(J8,L8,Hoja2!$A$2:$A$53)
   )
)</f>
        <v>4</v>
      </c>
      <c r="N8" s="25"/>
      <c r="O8" s="25">
        <v>45960</v>
      </c>
      <c r="P8" s="25">
        <v>45960</v>
      </c>
      <c r="Q8" s="32" t="s">
        <v>50</v>
      </c>
      <c r="R8" s="30" t="s">
        <v>212</v>
      </c>
      <c r="S8" s="14"/>
      <c r="T8" s="14"/>
      <c r="U8" s="14"/>
      <c r="V8" s="14"/>
      <c r="W8" s="14"/>
      <c r="X8" s="14"/>
      <c r="Y8" s="14"/>
      <c r="Z8" s="14"/>
      <c r="AA8" s="14"/>
      <c r="AB8" s="14"/>
      <c r="AC8" s="14"/>
      <c r="AD8" s="14"/>
      <c r="AE8" s="14"/>
      <c r="AF8" s="14"/>
      <c r="AG8" s="14"/>
      <c r="AH8" s="14"/>
      <c r="AI8" s="14"/>
      <c r="AJ8" s="14"/>
      <c r="AK8" s="14"/>
      <c r="AL8" s="14"/>
      <c r="AM8" s="14"/>
      <c r="AN8" s="14"/>
    </row>
    <row r="9" spans="1:40" ht="53.25" customHeight="1">
      <c r="A9" s="15" t="s">
        <v>18</v>
      </c>
      <c r="B9" s="16" t="s">
        <v>51</v>
      </c>
      <c r="C9" s="39" t="s">
        <v>52</v>
      </c>
      <c r="D9" s="40" t="s">
        <v>53</v>
      </c>
      <c r="E9" s="19"/>
      <c r="F9" s="41" t="s">
        <v>22</v>
      </c>
      <c r="G9" s="21">
        <v>100</v>
      </c>
      <c r="H9" s="22">
        <f>IF(OR(J9="",K9="",K9&lt;J9),0,NETWORKDAYS(J9,K9,Hoja2!$A$2:$A$53))</f>
        <v>2</v>
      </c>
      <c r="I9" s="23">
        <v>46006</v>
      </c>
      <c r="J9" s="23">
        <v>46006</v>
      </c>
      <c r="K9" s="23">
        <v>46007</v>
      </c>
      <c r="L9" s="23">
        <v>46007</v>
      </c>
      <c r="M9" s="26">
        <f ca="1">IF(OR(J9="",AND(L9="",TODAY()&lt;J9),AND(L9&lt;&gt;"",L9&lt;J9)),0,
   IF(L9="",
      NETWORKDAYS(J9,TODAY(),Hoja2!$A$2:$A$53),
      NETWORKDAYS(J9,L9,Hoja2!$A$2:$A$53)
   )
)</f>
        <v>2</v>
      </c>
      <c r="N9" s="23"/>
      <c r="O9" s="23">
        <v>46007</v>
      </c>
      <c r="P9" s="23">
        <v>46007</v>
      </c>
      <c r="Q9" s="27" t="s">
        <v>54</v>
      </c>
      <c r="R9" s="30" t="s">
        <v>212</v>
      </c>
      <c r="S9" s="14"/>
      <c r="T9" s="14"/>
      <c r="U9" s="14"/>
      <c r="V9" s="14"/>
      <c r="W9" s="14"/>
      <c r="X9" s="14"/>
      <c r="Y9" s="14"/>
      <c r="Z9" s="14"/>
      <c r="AA9" s="14"/>
      <c r="AB9" s="14"/>
      <c r="AC9" s="14"/>
      <c r="AD9" s="14"/>
      <c r="AE9" s="14"/>
      <c r="AF9" s="14"/>
      <c r="AG9" s="14"/>
      <c r="AH9" s="14"/>
      <c r="AI9" s="14"/>
      <c r="AJ9" s="14"/>
      <c r="AK9" s="14"/>
      <c r="AL9" s="14"/>
      <c r="AM9" s="14"/>
      <c r="AN9" s="14"/>
    </row>
    <row r="10" spans="1:40">
      <c r="A10" s="15" t="s">
        <v>18</v>
      </c>
      <c r="B10" s="16" t="s">
        <v>55</v>
      </c>
      <c r="C10" s="39" t="s">
        <v>56</v>
      </c>
      <c r="D10" s="40" t="s">
        <v>57</v>
      </c>
      <c r="E10" s="42"/>
      <c r="F10" s="43" t="s">
        <v>22</v>
      </c>
      <c r="G10" s="21">
        <v>100</v>
      </c>
      <c r="H10" s="22">
        <f>IF(OR(J10="",K10="",K10&lt;J10),0,NETWORKDAYS(J10,K10,Hoja2!$A$2:$A$53))</f>
        <v>1</v>
      </c>
      <c r="I10" s="37">
        <v>46014</v>
      </c>
      <c r="J10" s="37">
        <v>46018</v>
      </c>
      <c r="K10" s="25">
        <v>46020</v>
      </c>
      <c r="L10" s="25">
        <v>46020</v>
      </c>
      <c r="M10" s="26">
        <f ca="1">IF(OR(J10="",AND(L10="",TODAY()&lt;J10),AND(L10&lt;&gt;"",L10&lt;J10)),0,
   IF(L10="",
      NETWORKDAYS(J10,TODAY(),Hoja2!$A$2:$A$53),
      NETWORKDAYS(J10,L10,Hoja2!$A$2:$A$53)
   )
)</f>
        <v>1</v>
      </c>
      <c r="N10" s="25"/>
      <c r="O10" s="25">
        <v>46020</v>
      </c>
      <c r="P10" s="37">
        <v>46020</v>
      </c>
      <c r="Q10" s="32" t="s">
        <v>58</v>
      </c>
      <c r="R10" s="28" t="s">
        <v>212</v>
      </c>
      <c r="S10" s="14"/>
      <c r="T10" s="14"/>
      <c r="U10" s="14"/>
      <c r="V10" s="14"/>
      <c r="W10" s="14"/>
      <c r="X10" s="14"/>
      <c r="Y10" s="14"/>
      <c r="Z10" s="14"/>
      <c r="AA10" s="14"/>
      <c r="AB10" s="14"/>
      <c r="AC10" s="14"/>
      <c r="AD10" s="14"/>
      <c r="AE10" s="14"/>
      <c r="AF10" s="14"/>
      <c r="AG10" s="14"/>
      <c r="AH10" s="14"/>
      <c r="AI10" s="14"/>
      <c r="AJ10" s="14"/>
      <c r="AK10" s="14"/>
      <c r="AL10" s="14"/>
      <c r="AM10" s="14"/>
      <c r="AN10" s="14"/>
    </row>
    <row r="11" spans="1:40">
      <c r="A11" s="15" t="s">
        <v>18</v>
      </c>
      <c r="B11" s="16" t="s">
        <v>59</v>
      </c>
      <c r="C11" s="39" t="s">
        <v>60</v>
      </c>
      <c r="D11" s="44" t="s">
        <v>60</v>
      </c>
      <c r="E11" s="42"/>
      <c r="F11" s="43" t="s">
        <v>61</v>
      </c>
      <c r="G11" s="21">
        <v>15</v>
      </c>
      <c r="H11" s="22">
        <f>IF(OR(J11="",K11="",K11&lt;J11),0,NETWORKDAYS(J11,K11,Hoja2!$A$2:$A$53))</f>
        <v>0</v>
      </c>
      <c r="I11" s="37">
        <v>46009</v>
      </c>
      <c r="J11" s="34"/>
      <c r="K11" s="24"/>
      <c r="L11" s="24"/>
      <c r="M11" s="26">
        <f ca="1">IF(OR(J11="",AND(L11="",TODAY()&lt;J11),AND(L11&lt;&gt;"",L11&lt;J11)),0,
   IF(L11="",
      NETWORKDAYS(J11,TODAY(),Hoja2!$A$2:$A$53),
      NETWORKDAYS(J11,L11,Hoja2!$A$2:$A$53)
   )
)</f>
        <v>0</v>
      </c>
      <c r="N11" s="24"/>
      <c r="O11" s="24"/>
      <c r="P11" s="34"/>
      <c r="Q11" s="27" t="s">
        <v>62</v>
      </c>
      <c r="R11" s="28" t="s">
        <v>211</v>
      </c>
      <c r="S11" s="14"/>
      <c r="T11" s="14"/>
      <c r="U11" s="14"/>
      <c r="V11" s="14"/>
      <c r="W11" s="14"/>
      <c r="X11" s="14"/>
      <c r="Y11" s="14"/>
      <c r="Z11" s="14"/>
      <c r="AA11" s="14"/>
      <c r="AB11" s="14"/>
      <c r="AC11" s="14"/>
      <c r="AD11" s="14"/>
      <c r="AE11" s="14"/>
      <c r="AF11" s="14"/>
      <c r="AG11" s="14"/>
      <c r="AH11" s="14"/>
      <c r="AI11" s="14"/>
      <c r="AJ11" s="14"/>
      <c r="AK11" s="14"/>
      <c r="AL11" s="14"/>
      <c r="AM11" s="14"/>
      <c r="AN11" s="14"/>
    </row>
    <row r="12" spans="1:40" ht="30">
      <c r="A12" s="15" t="s">
        <v>18</v>
      </c>
      <c r="B12" s="16" t="s">
        <v>63</v>
      </c>
      <c r="C12" s="39" t="s">
        <v>64</v>
      </c>
      <c r="D12" s="44" t="s">
        <v>65</v>
      </c>
      <c r="E12" s="45"/>
      <c r="F12" s="43" t="s">
        <v>22</v>
      </c>
      <c r="G12" s="21">
        <v>100</v>
      </c>
      <c r="H12" s="22">
        <f>IF(OR(J12="",K12="",K12&lt;J12),0,NETWORKDAYS(J12,K12,Hoja2!$A$2:$A$53))</f>
        <v>6</v>
      </c>
      <c r="I12" s="37">
        <v>46013</v>
      </c>
      <c r="J12" s="37">
        <v>46014</v>
      </c>
      <c r="K12" s="25">
        <v>46022</v>
      </c>
      <c r="L12" s="25">
        <v>46027</v>
      </c>
      <c r="M12" s="26">
        <f ca="1">IF(OR(J12="",AND(L12="",TODAY()&lt;J12),AND(L12&lt;&gt;"",L12&lt;J12)),0,
   IF(L12="",
      NETWORKDAYS(J12,TODAY(),Hoja2!$A$2:$A$53),
      NETWORKDAYS(J12,L12,Hoja2!$A$2:$A$53)
   )
)</f>
        <v>8</v>
      </c>
      <c r="N12" s="25"/>
      <c r="O12" s="25">
        <v>46027</v>
      </c>
      <c r="P12" s="37">
        <v>46027</v>
      </c>
      <c r="Q12" s="27" t="s">
        <v>66</v>
      </c>
      <c r="R12" s="28" t="s">
        <v>212</v>
      </c>
      <c r="S12" s="14"/>
      <c r="T12" s="14"/>
      <c r="U12" s="14"/>
      <c r="V12" s="14"/>
      <c r="W12" s="14"/>
      <c r="X12" s="14"/>
      <c r="Y12" s="14"/>
      <c r="Z12" s="14"/>
      <c r="AA12" s="14"/>
      <c r="AB12" s="14"/>
      <c r="AC12" s="14"/>
      <c r="AD12" s="14"/>
      <c r="AE12" s="14"/>
      <c r="AF12" s="14"/>
      <c r="AG12" s="14"/>
      <c r="AH12" s="14"/>
      <c r="AI12" s="14"/>
      <c r="AJ12" s="14"/>
      <c r="AK12" s="14"/>
      <c r="AL12" s="14"/>
      <c r="AM12" s="14"/>
      <c r="AN12" s="14"/>
    </row>
    <row r="13" spans="1:40">
      <c r="A13" s="15" t="s">
        <v>18</v>
      </c>
      <c r="B13" s="16" t="s">
        <v>67</v>
      </c>
      <c r="C13" s="39" t="s">
        <v>68</v>
      </c>
      <c r="D13" s="46"/>
      <c r="E13" s="47"/>
      <c r="F13" s="43" t="s">
        <v>22</v>
      </c>
      <c r="G13" s="21">
        <v>100</v>
      </c>
      <c r="H13" s="22">
        <f>IF(OR(J13="",K13="",K13&lt;J13),0,NETWORKDAYS(J13,K13,Hoja2!$A$2:$A$53))</f>
        <v>4</v>
      </c>
      <c r="I13" s="37">
        <v>46020</v>
      </c>
      <c r="J13" s="37">
        <v>46020</v>
      </c>
      <c r="K13" s="25">
        <v>46024</v>
      </c>
      <c r="L13" s="25">
        <v>46024</v>
      </c>
      <c r="M13" s="26">
        <f ca="1">IF(OR(J13="",AND(L13="",TODAY()&lt;J13),AND(L13&lt;&gt;"",L13&lt;J13)),0,
   IF(L13="",
      NETWORKDAYS(J13,TODAY(),Hoja2!$A$2:$A$53),
      NETWORKDAYS(J13,L13,Hoja2!$A$2:$A$53)
   )
)</f>
        <v>4</v>
      </c>
      <c r="N13" s="25"/>
      <c r="O13" s="25">
        <v>46024</v>
      </c>
      <c r="P13" s="37">
        <v>46024</v>
      </c>
      <c r="Q13" s="35"/>
      <c r="R13" s="28" t="s">
        <v>212</v>
      </c>
      <c r="S13" s="14"/>
      <c r="T13" s="14"/>
      <c r="U13" s="14"/>
      <c r="V13" s="14"/>
      <c r="W13" s="14"/>
      <c r="X13" s="14"/>
      <c r="Y13" s="14"/>
      <c r="Z13" s="14"/>
      <c r="AA13" s="14"/>
      <c r="AB13" s="14"/>
      <c r="AC13" s="14"/>
      <c r="AD13" s="14"/>
      <c r="AE13" s="14"/>
      <c r="AF13" s="14"/>
      <c r="AG13" s="14"/>
      <c r="AH13" s="14"/>
      <c r="AI13" s="14"/>
      <c r="AJ13" s="14"/>
      <c r="AK13" s="14"/>
      <c r="AL13" s="14"/>
      <c r="AM13" s="14"/>
      <c r="AN13" s="14"/>
    </row>
    <row r="14" spans="1:40">
      <c r="A14" s="15" t="s">
        <v>18</v>
      </c>
      <c r="B14" s="16" t="s">
        <v>69</v>
      </c>
      <c r="C14" s="39" t="s">
        <v>70</v>
      </c>
      <c r="D14" s="46"/>
      <c r="E14" s="19"/>
      <c r="F14" s="43" t="s">
        <v>22</v>
      </c>
      <c r="G14" s="21">
        <v>100</v>
      </c>
      <c r="H14" s="22">
        <f>IF(OR(J14="",K14="",K14&lt;J14),0,NETWORKDAYS(J14,K14,Hoja2!$A$2:$A$53))</f>
        <v>4</v>
      </c>
      <c r="I14" s="37">
        <v>46020</v>
      </c>
      <c r="J14" s="37">
        <v>46020</v>
      </c>
      <c r="K14" s="25">
        <v>46024</v>
      </c>
      <c r="L14" s="25">
        <v>46027</v>
      </c>
      <c r="M14" s="26">
        <f ca="1">IF(OR(J14="",AND(L14="",TODAY()&lt;J14),AND(L14&lt;&gt;"",L14&lt;J14)),0,
   IF(L14="",
      NETWORKDAYS(J14,TODAY(),Hoja2!$A$2:$A$53),
      NETWORKDAYS(J14,L14,Hoja2!$A$2:$A$53)
   )
)</f>
        <v>5</v>
      </c>
      <c r="N14" s="25"/>
      <c r="O14" s="25">
        <v>46027</v>
      </c>
      <c r="P14" s="37">
        <v>46027</v>
      </c>
      <c r="Q14" s="35"/>
      <c r="R14" s="28" t="s">
        <v>212</v>
      </c>
      <c r="S14" s="14"/>
      <c r="T14" s="14"/>
      <c r="U14" s="14"/>
      <c r="V14" s="14"/>
      <c r="W14" s="14"/>
      <c r="X14" s="14"/>
      <c r="Y14" s="14"/>
      <c r="Z14" s="14"/>
      <c r="AA14" s="14"/>
      <c r="AB14" s="14"/>
      <c r="AC14" s="14"/>
      <c r="AD14" s="14"/>
      <c r="AE14" s="14"/>
      <c r="AF14" s="14"/>
      <c r="AG14" s="14"/>
      <c r="AH14" s="14"/>
      <c r="AI14" s="14"/>
      <c r="AJ14" s="14"/>
      <c r="AK14" s="14"/>
      <c r="AL14" s="14"/>
      <c r="AM14" s="14"/>
      <c r="AN14" s="14"/>
    </row>
    <row r="15" spans="1:40">
      <c r="A15" s="15" t="s">
        <v>18</v>
      </c>
      <c r="B15" s="16" t="s">
        <v>71</v>
      </c>
      <c r="C15" s="39" t="s">
        <v>72</v>
      </c>
      <c r="D15" s="46"/>
      <c r="E15" s="19"/>
      <c r="F15" s="43" t="s">
        <v>22</v>
      </c>
      <c r="G15" s="21">
        <v>100</v>
      </c>
      <c r="H15" s="22">
        <f>IF(OR(J15="",K15="",K15&lt;J15),0,NETWORKDAYS(J15,K15,Hoja2!$A$2:$A$53))</f>
        <v>7</v>
      </c>
      <c r="I15" s="37">
        <v>46020</v>
      </c>
      <c r="J15" s="37">
        <v>46020</v>
      </c>
      <c r="K15" s="37">
        <v>46029</v>
      </c>
      <c r="L15" s="37">
        <v>46028</v>
      </c>
      <c r="M15" s="26">
        <f ca="1">IF(OR(J15="",AND(L15="",TODAY()&lt;J15),AND(L15&lt;&gt;"",L15&lt;J15)),0,
   IF(L15="",
      NETWORKDAYS(J15,TODAY(),Hoja2!$A$2:$A$53),
      NETWORKDAYS(J15,L15,Hoja2!$A$2:$A$53)
   )
)</f>
        <v>6</v>
      </c>
      <c r="N15" s="37"/>
      <c r="O15" s="37">
        <v>46028</v>
      </c>
      <c r="P15" s="37">
        <v>46029</v>
      </c>
      <c r="Q15" s="35"/>
      <c r="R15" s="28" t="s">
        <v>212</v>
      </c>
      <c r="S15" s="14"/>
      <c r="T15" s="14"/>
      <c r="U15" s="14"/>
      <c r="V15" s="14"/>
      <c r="W15" s="14"/>
      <c r="X15" s="14"/>
      <c r="Y15" s="14"/>
      <c r="Z15" s="14"/>
      <c r="AA15" s="14"/>
      <c r="AB15" s="14"/>
      <c r="AC15" s="14"/>
      <c r="AD15" s="14"/>
      <c r="AE15" s="14"/>
      <c r="AF15" s="14"/>
      <c r="AG15" s="14"/>
      <c r="AH15" s="14"/>
      <c r="AI15" s="14"/>
      <c r="AJ15" s="14"/>
      <c r="AK15" s="14"/>
      <c r="AL15" s="14"/>
      <c r="AM15" s="14"/>
      <c r="AN15" s="14"/>
    </row>
    <row r="16" spans="1:40">
      <c r="A16" s="15" t="s">
        <v>18</v>
      </c>
      <c r="B16" s="16" t="s">
        <v>73</v>
      </c>
      <c r="C16" s="39" t="s">
        <v>74</v>
      </c>
      <c r="D16" s="46"/>
      <c r="E16" s="19"/>
      <c r="F16" s="41" t="s">
        <v>75</v>
      </c>
      <c r="G16" s="21">
        <v>95</v>
      </c>
      <c r="H16" s="22">
        <f>IF(OR(J16="",K16="",K16&lt;J16),0,NETWORKDAYS(J16,K16,Hoja2!$A$2:$A$53))</f>
        <v>2</v>
      </c>
      <c r="I16" s="37">
        <v>46037</v>
      </c>
      <c r="J16" s="37">
        <v>46038</v>
      </c>
      <c r="K16" s="37">
        <v>46041</v>
      </c>
      <c r="L16" s="37">
        <v>46040</v>
      </c>
      <c r="M16" s="26">
        <f ca="1">IF(OR(J16="",AND(L16="",TODAY()&lt;J16),AND(L16&lt;&gt;"",L16&lt;J16)),0,
   IF(L16="",
      NETWORKDAYS(J16,TODAY(),Hoja2!$A$2:$A$53),
      NETWORKDAYS(J16,L16,Hoja2!$A$2:$A$53)
   )
)</f>
        <v>1</v>
      </c>
      <c r="N16" s="37"/>
      <c r="O16" s="37">
        <v>46040</v>
      </c>
      <c r="P16" s="37"/>
      <c r="Q16" s="27" t="s">
        <v>76</v>
      </c>
      <c r="R16" s="28" t="s">
        <v>212</v>
      </c>
      <c r="S16" s="14"/>
      <c r="T16" s="14"/>
      <c r="U16" s="14"/>
      <c r="V16" s="14"/>
      <c r="W16" s="14"/>
      <c r="X16" s="14"/>
      <c r="Y16" s="14"/>
      <c r="Z16" s="14"/>
      <c r="AA16" s="14"/>
      <c r="AB16" s="14"/>
      <c r="AC16" s="14"/>
      <c r="AD16" s="14"/>
      <c r="AE16" s="14"/>
      <c r="AF16" s="14"/>
      <c r="AG16" s="14"/>
      <c r="AH16" s="14"/>
      <c r="AI16" s="14"/>
      <c r="AJ16" s="14"/>
      <c r="AK16" s="14"/>
      <c r="AL16" s="14"/>
      <c r="AM16" s="14"/>
      <c r="AN16" s="14"/>
    </row>
    <row r="17" spans="1:40" ht="30">
      <c r="A17" s="15" t="s">
        <v>18</v>
      </c>
      <c r="B17" s="16" t="s">
        <v>77</v>
      </c>
      <c r="C17" s="39" t="s">
        <v>78</v>
      </c>
      <c r="D17" s="44" t="s">
        <v>79</v>
      </c>
      <c r="E17" s="48"/>
      <c r="F17" s="41" t="s">
        <v>61</v>
      </c>
      <c r="G17" s="21">
        <v>95</v>
      </c>
      <c r="H17" s="22">
        <f>IF(OR(J17="",K17="",K17&lt;J17),0,NETWORKDAYS(J17,K17,Hoja2!$A$2:$A$53))</f>
        <v>5</v>
      </c>
      <c r="I17" s="37">
        <v>46036</v>
      </c>
      <c r="J17" s="37">
        <v>46038</v>
      </c>
      <c r="K17" s="37">
        <v>46044</v>
      </c>
      <c r="L17" s="34"/>
      <c r="M17" s="26">
        <f ca="1">IF(OR(J17="",AND(L17="",TODAY()&lt;J17),AND(L17&lt;&gt;"",L17&lt;J17)),0,
   IF(L17="",
      NETWORKDAYS(J17,TODAY(),Hoja2!$A$2:$A$53),
      NETWORKDAYS(J17,L17,Hoja2!$A$2:$A$53)
   )
)</f>
        <v>36</v>
      </c>
      <c r="N17" s="37"/>
      <c r="O17" s="37">
        <v>46048</v>
      </c>
      <c r="P17" s="34"/>
      <c r="Q17" s="27" t="s">
        <v>80</v>
      </c>
      <c r="R17" s="28" t="s">
        <v>211</v>
      </c>
      <c r="S17" s="14"/>
      <c r="T17" s="14"/>
      <c r="U17" s="14"/>
      <c r="V17" s="14"/>
      <c r="W17" s="14"/>
      <c r="X17" s="14"/>
      <c r="Y17" s="14"/>
      <c r="Z17" s="14"/>
      <c r="AA17" s="14"/>
      <c r="AB17" s="14"/>
      <c r="AC17" s="14"/>
      <c r="AD17" s="14"/>
      <c r="AE17" s="14"/>
      <c r="AF17" s="14"/>
      <c r="AG17" s="14"/>
      <c r="AH17" s="14"/>
      <c r="AI17" s="14"/>
      <c r="AJ17" s="14"/>
      <c r="AK17" s="14"/>
      <c r="AL17" s="14"/>
      <c r="AM17" s="14"/>
      <c r="AN17" s="14"/>
    </row>
    <row r="18" spans="1:40" ht="30">
      <c r="A18" s="15" t="s">
        <v>18</v>
      </c>
      <c r="B18" s="16" t="s">
        <v>81</v>
      </c>
      <c r="C18" s="39" t="s">
        <v>82</v>
      </c>
      <c r="D18" s="44" t="s">
        <v>83</v>
      </c>
      <c r="E18" s="48"/>
      <c r="F18" s="41" t="s">
        <v>84</v>
      </c>
      <c r="G18" s="49">
        <v>5</v>
      </c>
      <c r="H18" s="22">
        <f>IF(OR(J18="",K18="",K18&lt;J18),0,NETWORKDAYS(J18,K18,Hoja2!$A$2:$A$53))</f>
        <v>13</v>
      </c>
      <c r="I18" s="37">
        <v>46032</v>
      </c>
      <c r="J18" s="37">
        <v>46036</v>
      </c>
      <c r="K18" s="37">
        <v>46052</v>
      </c>
      <c r="L18" s="34"/>
      <c r="M18" s="26">
        <f ca="1">IF(OR(J18="",AND(L18="",TODAY()&lt;J18),AND(L18&lt;&gt;"",L18&lt;J18)),0,
   IF(L18="",
      NETWORKDAYS(J18,TODAY(),Hoja2!$A$2:$A$53),
      NETWORKDAYS(J18,L18,Hoja2!$A$2:$A$53)
   )
)</f>
        <v>38</v>
      </c>
      <c r="N18" s="34"/>
      <c r="O18" s="34"/>
      <c r="P18" s="34"/>
      <c r="Q18" s="27" t="s">
        <v>85</v>
      </c>
      <c r="R18" s="28" t="s">
        <v>212</v>
      </c>
      <c r="S18" s="14"/>
      <c r="T18" s="14"/>
      <c r="U18" s="14"/>
      <c r="V18" s="14"/>
      <c r="W18" s="14"/>
      <c r="X18" s="14"/>
      <c r="Y18" s="14"/>
      <c r="Z18" s="14"/>
      <c r="AA18" s="14"/>
      <c r="AB18" s="14"/>
      <c r="AC18" s="14"/>
      <c r="AD18" s="14"/>
      <c r="AE18" s="14"/>
      <c r="AF18" s="14"/>
      <c r="AG18" s="14"/>
      <c r="AH18" s="14"/>
      <c r="AI18" s="14"/>
      <c r="AJ18" s="14"/>
      <c r="AK18" s="14"/>
      <c r="AL18" s="14"/>
      <c r="AM18" s="14"/>
      <c r="AN18" s="14"/>
    </row>
    <row r="19" spans="1:40" ht="34.5" customHeight="1">
      <c r="A19" s="15" t="s">
        <v>18</v>
      </c>
      <c r="B19" s="16" t="s">
        <v>86</v>
      </c>
      <c r="C19" s="39" t="s">
        <v>87</v>
      </c>
      <c r="D19" s="46"/>
      <c r="E19" s="48"/>
      <c r="F19" s="41" t="s">
        <v>22</v>
      </c>
      <c r="G19" s="49">
        <v>100</v>
      </c>
      <c r="H19" s="22">
        <f>IF(OR(J19="",K19="",K19&lt;J19),0,NETWORKDAYS(J19,K19,Hoja2!$A$2:$A$53))</f>
        <v>3</v>
      </c>
      <c r="I19" s="37">
        <v>46038</v>
      </c>
      <c r="J19" s="37">
        <v>46043</v>
      </c>
      <c r="K19" s="37">
        <v>46046</v>
      </c>
      <c r="L19" s="37">
        <v>46044</v>
      </c>
      <c r="M19" s="26">
        <f ca="1">IF(OR(J19="",AND(L19="",TODAY()&lt;J19),AND(L19&lt;&gt;"",L19&lt;J19)),0,
   IF(L19="",
      NETWORKDAYS(J19,TODAY(),Hoja2!$A$2:$A$53),
      NETWORKDAYS(J19,L19,Hoja2!$A$2:$A$53)
   )
)</f>
        <v>2</v>
      </c>
      <c r="N19" s="37"/>
      <c r="O19" s="37">
        <v>46044</v>
      </c>
      <c r="P19" s="37">
        <v>46045</v>
      </c>
      <c r="Q19" s="35"/>
      <c r="R19" s="28" t="s">
        <v>212</v>
      </c>
      <c r="S19" s="14"/>
      <c r="T19" s="14"/>
      <c r="U19" s="14"/>
      <c r="V19" s="14"/>
      <c r="W19" s="14"/>
      <c r="X19" s="14"/>
      <c r="Y19" s="14"/>
      <c r="Z19" s="14"/>
      <c r="AA19" s="14"/>
      <c r="AB19" s="14"/>
      <c r="AC19" s="14"/>
      <c r="AD19" s="14"/>
      <c r="AE19" s="14"/>
      <c r="AF19" s="14"/>
      <c r="AG19" s="14"/>
      <c r="AH19" s="14"/>
      <c r="AI19" s="14"/>
      <c r="AJ19" s="14"/>
      <c r="AK19" s="14"/>
      <c r="AL19" s="14"/>
      <c r="AM19" s="14"/>
      <c r="AN19" s="14"/>
    </row>
    <row r="20" spans="1:40">
      <c r="A20" s="15" t="s">
        <v>18</v>
      </c>
      <c r="B20" s="16" t="s">
        <v>88</v>
      </c>
      <c r="C20" s="39" t="s">
        <v>89</v>
      </c>
      <c r="D20" s="46"/>
      <c r="E20" s="48"/>
      <c r="F20" s="41" t="s">
        <v>22</v>
      </c>
      <c r="G20" s="49">
        <v>100</v>
      </c>
      <c r="H20" s="22">
        <f>IF(OR(J20="",K20="",K20&lt;J20),0,NETWORKDAYS(J20,K20,Hoja2!$A$2:$A$53))</f>
        <v>3</v>
      </c>
      <c r="I20" s="37">
        <v>46035</v>
      </c>
      <c r="J20" s="37">
        <v>46035</v>
      </c>
      <c r="K20" s="37">
        <v>46037</v>
      </c>
      <c r="L20" s="37">
        <v>46036</v>
      </c>
      <c r="M20" s="50">
        <v>10</v>
      </c>
      <c r="N20" s="37"/>
      <c r="O20" s="37">
        <v>46036</v>
      </c>
      <c r="P20" s="51">
        <v>46058</v>
      </c>
      <c r="Q20" s="27" t="s">
        <v>90</v>
      </c>
      <c r="R20" s="28" t="s">
        <v>212</v>
      </c>
      <c r="S20" s="14"/>
      <c r="T20" s="14"/>
      <c r="U20" s="14"/>
      <c r="V20" s="14"/>
      <c r="W20" s="14"/>
      <c r="X20" s="14"/>
      <c r="Y20" s="14"/>
      <c r="Z20" s="14"/>
      <c r="AA20" s="14"/>
      <c r="AB20" s="14"/>
      <c r="AC20" s="14"/>
      <c r="AD20" s="14"/>
      <c r="AE20" s="14"/>
      <c r="AF20" s="14"/>
      <c r="AG20" s="14"/>
      <c r="AH20" s="14"/>
      <c r="AI20" s="14"/>
      <c r="AJ20" s="14"/>
      <c r="AK20" s="14"/>
      <c r="AL20" s="14"/>
      <c r="AM20" s="14"/>
      <c r="AN20" s="14"/>
    </row>
    <row r="21" spans="1:40" ht="45">
      <c r="A21" s="52" t="s">
        <v>18</v>
      </c>
      <c r="B21" s="16" t="s">
        <v>91</v>
      </c>
      <c r="C21" s="39" t="s">
        <v>92</v>
      </c>
      <c r="D21" s="44" t="s">
        <v>93</v>
      </c>
      <c r="E21" s="48"/>
      <c r="F21" s="41" t="s">
        <v>75</v>
      </c>
      <c r="G21" s="49">
        <v>75</v>
      </c>
      <c r="H21" s="22">
        <f>IF(OR(J21="",K21="",K21&lt;J21),0,NETWORKDAYS(J21,K21,Hoja2!$A$2:$A$53))</f>
        <v>11</v>
      </c>
      <c r="I21" s="37">
        <v>46045</v>
      </c>
      <c r="J21" s="37">
        <v>46048</v>
      </c>
      <c r="K21" s="37">
        <v>46062</v>
      </c>
      <c r="L21" s="34"/>
      <c r="M21" s="26">
        <f ca="1">IF(OR(J21="",AND(L21="",TODAY()&lt;J21),AND(L21&lt;&gt;"",L21&lt;J21)),0,
   IF(L21="",
      NETWORKDAYS(J21,TODAY(),Hoja2!$A$2:$A$53),
      NETWORKDAYS(J21,L21,Hoja2!$A$2:$A$53)
   )
)</f>
        <v>30</v>
      </c>
      <c r="N21" s="34"/>
      <c r="O21" s="34"/>
      <c r="P21" s="34"/>
      <c r="Q21" s="27" t="s">
        <v>94</v>
      </c>
      <c r="R21" s="28" t="s">
        <v>212</v>
      </c>
      <c r="S21" s="14"/>
      <c r="T21" s="14"/>
      <c r="U21" s="14"/>
      <c r="V21" s="14"/>
      <c r="W21" s="14"/>
      <c r="X21" s="14"/>
      <c r="Y21" s="14"/>
      <c r="Z21" s="14"/>
      <c r="AA21" s="14"/>
      <c r="AB21" s="14"/>
      <c r="AC21" s="14"/>
      <c r="AD21" s="14"/>
      <c r="AE21" s="14"/>
      <c r="AF21" s="14"/>
      <c r="AG21" s="14"/>
      <c r="AH21" s="14"/>
      <c r="AI21" s="14"/>
      <c r="AJ21" s="14"/>
      <c r="AK21" s="14"/>
      <c r="AL21" s="14"/>
      <c r="AM21" s="14"/>
      <c r="AN21" s="14"/>
    </row>
    <row r="22" spans="1:40" ht="45">
      <c r="A22" s="52" t="s">
        <v>18</v>
      </c>
      <c r="B22" s="16" t="s">
        <v>95</v>
      </c>
      <c r="C22" s="39" t="s">
        <v>96</v>
      </c>
      <c r="D22" s="44" t="s">
        <v>97</v>
      </c>
      <c r="E22" s="53"/>
      <c r="F22" s="54" t="s">
        <v>22</v>
      </c>
      <c r="G22" s="49">
        <v>100</v>
      </c>
      <c r="H22" s="22">
        <v>1</v>
      </c>
      <c r="I22" s="37">
        <v>46057</v>
      </c>
      <c r="J22" s="37">
        <v>46058</v>
      </c>
      <c r="K22" s="37">
        <v>46058</v>
      </c>
      <c r="L22" s="37">
        <v>46058</v>
      </c>
      <c r="M22" s="50">
        <v>1</v>
      </c>
      <c r="N22" s="34"/>
      <c r="O22" s="37">
        <v>46058</v>
      </c>
      <c r="P22" s="37">
        <v>46058</v>
      </c>
      <c r="Q22" s="27" t="s">
        <v>98</v>
      </c>
      <c r="R22" s="28" t="s">
        <v>212</v>
      </c>
      <c r="S22" s="14"/>
      <c r="T22" s="14"/>
      <c r="U22" s="14"/>
      <c r="V22" s="14"/>
      <c r="W22" s="14"/>
      <c r="X22" s="14"/>
      <c r="Y22" s="14"/>
      <c r="Z22" s="14"/>
      <c r="AA22" s="14"/>
      <c r="AB22" s="14"/>
      <c r="AC22" s="14"/>
      <c r="AD22" s="14"/>
      <c r="AE22" s="14"/>
      <c r="AF22" s="14"/>
      <c r="AG22" s="14"/>
      <c r="AH22" s="14"/>
      <c r="AI22" s="14"/>
      <c r="AJ22" s="14"/>
      <c r="AK22" s="14"/>
      <c r="AL22" s="14"/>
      <c r="AM22" s="14"/>
      <c r="AN22" s="14"/>
    </row>
    <row r="23" spans="1:40" ht="30">
      <c r="A23" s="52" t="s">
        <v>18</v>
      </c>
      <c r="B23" s="16" t="s">
        <v>99</v>
      </c>
      <c r="C23" s="39" t="s">
        <v>100</v>
      </c>
      <c r="D23" s="44" t="s">
        <v>101</v>
      </c>
      <c r="E23" s="53"/>
      <c r="F23" s="54" t="s">
        <v>61</v>
      </c>
      <c r="G23" s="49">
        <v>35</v>
      </c>
      <c r="H23" s="22">
        <f>IF(OR(J23="",K23="",K23&lt;J23),0,NETWORKDAYS(J23,K23,Hoja2!$A$2:$A$53))</f>
        <v>8</v>
      </c>
      <c r="I23" s="37">
        <v>46058</v>
      </c>
      <c r="J23" s="37">
        <v>46059</v>
      </c>
      <c r="K23" s="37">
        <v>46070</v>
      </c>
      <c r="L23" s="34"/>
      <c r="M23" s="26">
        <f ca="1">IF(OR(J23="",AND(L23="",TODAY()&lt;J23),AND(L23&lt;&gt;"",L23&lt;J23)),0,
   IF(L23="",
      NETWORKDAYS(J23,TODAY(),Hoja2!$A$2:$A$53),
      NETWORKDAYS(J23,L23,Hoja2!$A$2:$A$53)
   )
)</f>
        <v>21</v>
      </c>
      <c r="N23" s="34"/>
      <c r="O23" s="34"/>
      <c r="P23" s="34"/>
      <c r="Q23" s="27" t="s">
        <v>102</v>
      </c>
      <c r="R23" s="28" t="s">
        <v>212</v>
      </c>
      <c r="S23" s="14"/>
      <c r="T23" s="14"/>
      <c r="U23" s="14"/>
      <c r="V23" s="14"/>
      <c r="W23" s="14"/>
      <c r="X23" s="14"/>
      <c r="Y23" s="14"/>
      <c r="Z23" s="14"/>
      <c r="AA23" s="14"/>
      <c r="AB23" s="14"/>
      <c r="AC23" s="14"/>
      <c r="AD23" s="14"/>
      <c r="AE23" s="14"/>
      <c r="AF23" s="14"/>
      <c r="AG23" s="14"/>
      <c r="AH23" s="14"/>
      <c r="AI23" s="14"/>
      <c r="AJ23" s="14"/>
      <c r="AK23" s="14"/>
      <c r="AL23" s="14"/>
      <c r="AM23" s="14"/>
      <c r="AN23" s="14"/>
    </row>
    <row r="24" spans="1:40">
      <c r="A24" s="52" t="s">
        <v>18</v>
      </c>
      <c r="B24" s="16" t="s">
        <v>103</v>
      </c>
      <c r="C24" s="39" t="s">
        <v>104</v>
      </c>
      <c r="D24" s="44" t="s">
        <v>105</v>
      </c>
      <c r="E24" s="53"/>
      <c r="F24" s="54" t="s">
        <v>84</v>
      </c>
      <c r="G24" s="49">
        <v>90</v>
      </c>
      <c r="H24" s="22">
        <f>IF(OR(J24="",K24="",K24&lt;J24),0,NETWORKDAYS(J24,K24,Hoja2!$A$2:$A$53))</f>
        <v>3</v>
      </c>
      <c r="I24" s="37">
        <v>46065</v>
      </c>
      <c r="J24" s="37">
        <v>46065</v>
      </c>
      <c r="K24" s="37">
        <v>46069</v>
      </c>
      <c r="L24" s="34"/>
      <c r="M24" s="26">
        <f ca="1">IF(OR(J24="",AND(L24="",TODAY()&lt;J24),AND(L24&lt;&gt;"",L24&lt;J24)),0,
   IF(L24="",
      NETWORKDAYS(J24,TODAY(),Hoja2!$A$2:$A$53),
      NETWORKDAYS(J24,L24,Hoja2!$A$2:$A$53)
   )
)</f>
        <v>17</v>
      </c>
      <c r="N24" s="34"/>
      <c r="O24" s="34"/>
      <c r="P24" s="34"/>
      <c r="Q24" s="27" t="s">
        <v>106</v>
      </c>
      <c r="R24" s="28" t="s">
        <v>212</v>
      </c>
      <c r="S24" s="14"/>
      <c r="T24" s="14"/>
      <c r="U24" s="14"/>
      <c r="V24" s="14"/>
      <c r="W24" s="14"/>
      <c r="X24" s="14"/>
      <c r="Y24" s="14"/>
      <c r="Z24" s="14"/>
      <c r="AA24" s="14"/>
      <c r="AB24" s="14"/>
      <c r="AC24" s="14"/>
      <c r="AD24" s="14"/>
      <c r="AE24" s="14"/>
      <c r="AF24" s="14"/>
      <c r="AG24" s="14"/>
      <c r="AH24" s="14"/>
      <c r="AI24" s="14"/>
      <c r="AJ24" s="14"/>
      <c r="AK24" s="14"/>
      <c r="AL24" s="14"/>
      <c r="AM24" s="14"/>
      <c r="AN24" s="14"/>
    </row>
    <row r="25" spans="1:40" ht="60">
      <c r="A25" s="52" t="s">
        <v>18</v>
      </c>
      <c r="B25" s="16" t="s">
        <v>107</v>
      </c>
      <c r="C25" s="39" t="s">
        <v>108</v>
      </c>
      <c r="D25" s="44" t="s">
        <v>109</v>
      </c>
      <c r="E25" s="53"/>
      <c r="F25" s="54" t="s">
        <v>22</v>
      </c>
      <c r="G25" s="49">
        <v>100</v>
      </c>
      <c r="H25" s="22">
        <f>IF(OR(J25="",K25="",K25&lt;J25),0,NETWORKDAYS(J25,K25,Hoja2!$A$2:$A$53))</f>
        <v>1</v>
      </c>
      <c r="I25" s="37">
        <v>46069</v>
      </c>
      <c r="J25" s="37">
        <v>46069</v>
      </c>
      <c r="K25" s="37">
        <v>46069</v>
      </c>
      <c r="L25" s="37">
        <v>46069</v>
      </c>
      <c r="M25" s="50">
        <v>1</v>
      </c>
      <c r="N25" s="34"/>
      <c r="O25" s="37">
        <v>46069</v>
      </c>
      <c r="P25" s="34"/>
      <c r="Q25" s="35"/>
      <c r="R25" s="28" t="s">
        <v>212</v>
      </c>
      <c r="S25" s="14"/>
      <c r="T25" s="14"/>
      <c r="U25" s="14"/>
      <c r="V25" s="14"/>
      <c r="W25" s="14"/>
      <c r="X25" s="14"/>
      <c r="Y25" s="14"/>
      <c r="Z25" s="14"/>
      <c r="AA25" s="14"/>
      <c r="AB25" s="14"/>
      <c r="AC25" s="14"/>
      <c r="AD25" s="14"/>
      <c r="AE25" s="14"/>
      <c r="AF25" s="14"/>
      <c r="AG25" s="14"/>
      <c r="AH25" s="14"/>
      <c r="AI25" s="14"/>
      <c r="AJ25" s="14"/>
      <c r="AK25" s="14"/>
      <c r="AL25" s="14"/>
      <c r="AM25" s="14"/>
      <c r="AN25" s="14"/>
    </row>
    <row r="26" spans="1:40" ht="165">
      <c r="A26" s="52" t="s">
        <v>18</v>
      </c>
      <c r="B26" s="16" t="s">
        <v>110</v>
      </c>
      <c r="C26" s="39" t="s">
        <v>111</v>
      </c>
      <c r="D26" s="55" t="s">
        <v>112</v>
      </c>
      <c r="E26" s="56"/>
      <c r="F26" s="54" t="s">
        <v>113</v>
      </c>
      <c r="G26" s="49">
        <v>0</v>
      </c>
      <c r="H26" s="22">
        <f>IF(OR(J26="",K26="",K26&lt;J26),0,NETWORKDAYS(J26,K26,Hoja2!$A$2:$A$53))</f>
        <v>0</v>
      </c>
      <c r="I26" s="37">
        <v>46069</v>
      </c>
      <c r="J26" s="37">
        <v>46079</v>
      </c>
      <c r="K26" s="34"/>
      <c r="L26" s="34"/>
      <c r="M26" s="26">
        <f ca="1">IF(OR(J26="",AND(L26="",TODAY()&lt;J26),AND(L26&lt;&gt;"",L26&lt;J26)),0,
   IF(L26="",
      NETWORKDAYS(J26,TODAY(),Hoja2!$A$2:$A$53),
      NETWORKDAYS(J26,L26,Hoja2!$A$2:$A$53)
   )
)</f>
        <v>7</v>
      </c>
      <c r="N26" s="34"/>
      <c r="O26" s="34"/>
      <c r="P26" s="34"/>
      <c r="Q26" s="35"/>
      <c r="R26" s="28" t="s">
        <v>212</v>
      </c>
      <c r="S26" s="14"/>
      <c r="T26" s="14"/>
      <c r="U26" s="14"/>
      <c r="V26" s="14"/>
      <c r="W26" s="14"/>
      <c r="X26" s="14"/>
      <c r="Y26" s="14"/>
      <c r="Z26" s="14"/>
      <c r="AA26" s="14"/>
      <c r="AB26" s="14"/>
      <c r="AC26" s="14"/>
      <c r="AD26" s="14"/>
      <c r="AE26" s="14"/>
      <c r="AF26" s="14"/>
      <c r="AG26" s="14"/>
      <c r="AH26" s="14"/>
      <c r="AI26" s="14"/>
      <c r="AJ26" s="14"/>
      <c r="AK26" s="14"/>
      <c r="AL26" s="14"/>
      <c r="AM26" s="14"/>
      <c r="AN26" s="14"/>
    </row>
    <row r="27" spans="1:40">
      <c r="A27" s="52" t="s">
        <v>18</v>
      </c>
      <c r="B27" s="16" t="s">
        <v>114</v>
      </c>
      <c r="C27" s="39" t="s">
        <v>115</v>
      </c>
      <c r="D27" s="57" t="s">
        <v>116</v>
      </c>
      <c r="E27" s="53"/>
      <c r="F27" s="54" t="s">
        <v>84</v>
      </c>
      <c r="G27" s="49">
        <v>0</v>
      </c>
      <c r="H27" s="22">
        <f>IF(OR(J27="",K27="",K27&lt;J27),0,NETWORKDAYS(J27,K27,Hoja2!$A$2:$A$53))</f>
        <v>0</v>
      </c>
      <c r="I27" s="37">
        <v>46069</v>
      </c>
      <c r="J27" s="37">
        <v>46076</v>
      </c>
      <c r="K27" s="34"/>
      <c r="L27" s="34"/>
      <c r="M27" s="26">
        <f ca="1">IF(OR(J27="",AND(L27="",TODAY()&lt;J27),AND(L27&lt;&gt;"",L27&lt;J27)),0,
   IF(L27="",
      NETWORKDAYS(J27,TODAY(),Hoja2!$A$2:$A$53),
      NETWORKDAYS(J27,L27,Hoja2!$A$2:$A$53)
   )
)</f>
        <v>10</v>
      </c>
      <c r="N27" s="34"/>
      <c r="O27" s="34"/>
      <c r="P27" s="34"/>
      <c r="Q27" s="35"/>
      <c r="R27" s="28" t="s">
        <v>212</v>
      </c>
      <c r="S27" s="14"/>
      <c r="T27" s="14"/>
      <c r="U27" s="14"/>
      <c r="V27" s="14"/>
      <c r="W27" s="14"/>
      <c r="X27" s="14"/>
      <c r="Y27" s="14"/>
      <c r="Z27" s="14"/>
      <c r="AA27" s="14"/>
      <c r="AB27" s="14"/>
      <c r="AC27" s="14"/>
      <c r="AD27" s="14"/>
      <c r="AE27" s="14"/>
      <c r="AF27" s="14"/>
      <c r="AG27" s="14"/>
      <c r="AH27" s="14"/>
      <c r="AI27" s="14"/>
      <c r="AJ27" s="14"/>
      <c r="AK27" s="14"/>
      <c r="AL27" s="14"/>
      <c r="AM27" s="14"/>
      <c r="AN27" s="14"/>
    </row>
    <row r="28" spans="1:40">
      <c r="A28" s="52" t="s">
        <v>18</v>
      </c>
      <c r="B28" s="16" t="s">
        <v>117</v>
      </c>
      <c r="C28" s="39" t="s">
        <v>118</v>
      </c>
      <c r="D28" s="57" t="s">
        <v>119</v>
      </c>
      <c r="E28" s="53"/>
      <c r="F28" s="54" t="s">
        <v>22</v>
      </c>
      <c r="G28" s="49">
        <v>100</v>
      </c>
      <c r="H28" s="22">
        <f>IF(OR(J28="",K28="",K28&lt;J28),0,NETWORKDAYS(J28,K28,Hoja2!$A$2:$A$53))</f>
        <v>5</v>
      </c>
      <c r="I28" s="37">
        <v>46069</v>
      </c>
      <c r="J28" s="37">
        <v>46069</v>
      </c>
      <c r="K28" s="37">
        <v>46073</v>
      </c>
      <c r="L28" s="37">
        <v>46073</v>
      </c>
      <c r="M28" s="26">
        <f ca="1">IF(OR(J28="",AND(L28="",TODAY()&lt;J28),AND(L28&lt;&gt;"",L28&lt;J28)),0,
   IF(L28="",
      NETWORKDAYS(J28,TODAY(),Hoja2!$A$2:$A$53),
      NETWORKDAYS(J28,L28,Hoja2!$A$2:$A$53)
   )
)</f>
        <v>5</v>
      </c>
      <c r="N28" s="34"/>
      <c r="O28" s="34"/>
      <c r="P28" s="34"/>
      <c r="Q28" s="35"/>
      <c r="R28" s="28" t="s">
        <v>212</v>
      </c>
      <c r="S28" s="14"/>
      <c r="T28" s="14"/>
      <c r="U28" s="14"/>
      <c r="V28" s="14"/>
      <c r="W28" s="14"/>
      <c r="X28" s="14"/>
      <c r="Y28" s="14"/>
      <c r="Z28" s="14"/>
      <c r="AA28" s="14"/>
      <c r="AB28" s="14"/>
      <c r="AC28" s="14"/>
      <c r="AD28" s="14"/>
      <c r="AE28" s="14"/>
      <c r="AF28" s="14"/>
      <c r="AG28" s="14"/>
      <c r="AH28" s="14"/>
      <c r="AI28" s="14"/>
      <c r="AJ28" s="14"/>
      <c r="AK28" s="14"/>
      <c r="AL28" s="14"/>
      <c r="AM28" s="14"/>
      <c r="AN28" s="14"/>
    </row>
    <row r="29" spans="1:40" ht="25.5">
      <c r="A29" s="52" t="s">
        <v>18</v>
      </c>
      <c r="B29" s="16" t="s">
        <v>120</v>
      </c>
      <c r="C29" s="39" t="s">
        <v>121</v>
      </c>
      <c r="D29" s="58" t="s">
        <v>122</v>
      </c>
      <c r="E29" s="53"/>
      <c r="F29" s="54" t="s">
        <v>113</v>
      </c>
      <c r="G29" s="49">
        <v>0</v>
      </c>
      <c r="H29" s="22">
        <f>IF(OR(J29="",K29="",K29&lt;J29),0,NETWORKDAYS(J29,K29,Hoja2!$A$2:$A$53))</f>
        <v>0</v>
      </c>
      <c r="I29" s="37">
        <v>46069</v>
      </c>
      <c r="J29" s="37"/>
      <c r="K29" s="34"/>
      <c r="L29" s="34"/>
      <c r="M29" s="26">
        <f ca="1">IF(OR(J29="",AND(L29="",TODAY()&lt;J29),AND(L29&lt;&gt;"",L29&lt;J29)),0,
   IF(L29="",
      NETWORKDAYS(J29,TODAY(),Hoja2!$A$2:$A$53),
      NETWORKDAYS(J29,L29,Hoja2!$A$2:$A$53)
   )
)</f>
        <v>0</v>
      </c>
      <c r="N29" s="34"/>
      <c r="O29" s="34"/>
      <c r="P29" s="34"/>
      <c r="Q29" s="35"/>
      <c r="R29" s="28" t="s">
        <v>212</v>
      </c>
      <c r="S29" s="14"/>
      <c r="T29" s="14"/>
      <c r="U29" s="14"/>
      <c r="V29" s="14"/>
      <c r="W29" s="14"/>
      <c r="X29" s="14"/>
      <c r="Y29" s="14"/>
      <c r="Z29" s="14"/>
      <c r="AA29" s="14"/>
      <c r="AB29" s="14"/>
      <c r="AC29" s="14"/>
      <c r="AD29" s="14"/>
      <c r="AE29" s="14"/>
      <c r="AF29" s="14"/>
      <c r="AG29" s="14"/>
      <c r="AH29" s="14"/>
      <c r="AI29" s="14"/>
      <c r="AJ29" s="14"/>
      <c r="AK29" s="14"/>
      <c r="AL29" s="14"/>
      <c r="AM29" s="14"/>
      <c r="AN29" s="14"/>
    </row>
    <row r="30" spans="1:40">
      <c r="A30" s="52" t="s">
        <v>18</v>
      </c>
      <c r="B30" s="16" t="s">
        <v>123</v>
      </c>
      <c r="C30" s="39" t="s">
        <v>124</v>
      </c>
      <c r="D30" s="58" t="s">
        <v>125</v>
      </c>
      <c r="E30" s="53"/>
      <c r="F30" s="54" t="s">
        <v>113</v>
      </c>
      <c r="G30" s="49">
        <v>0</v>
      </c>
      <c r="H30" s="22">
        <f>IF(OR(J30="",K30="",K30&lt;J30),0,NETWORKDAYS(J30,K30,Hoja2!$A$2:$A$53))</f>
        <v>0</v>
      </c>
      <c r="I30" s="37">
        <v>46069</v>
      </c>
      <c r="J30" s="37"/>
      <c r="K30" s="34"/>
      <c r="L30" s="34"/>
      <c r="M30" s="26">
        <f ca="1">IF(OR(J30="",AND(L30="",TODAY()&lt;J30),AND(L30&lt;&gt;"",L30&lt;J30)),0,
   IF(L30="",
      NETWORKDAYS(J30,TODAY(),Hoja2!$A$2:$A$53),
      NETWORKDAYS(J30,L30,Hoja2!$A$2:$A$53)
   )
)</f>
        <v>0</v>
      </c>
      <c r="N30" s="34"/>
      <c r="O30" s="34"/>
      <c r="P30" s="34"/>
      <c r="Q30" s="35"/>
      <c r="R30" s="28" t="s">
        <v>212</v>
      </c>
      <c r="S30" s="14"/>
      <c r="T30" s="14"/>
      <c r="U30" s="14"/>
      <c r="V30" s="14"/>
      <c r="W30" s="14"/>
      <c r="X30" s="14"/>
      <c r="Y30" s="14"/>
      <c r="Z30" s="14"/>
      <c r="AA30" s="14"/>
      <c r="AB30" s="14"/>
      <c r="AC30" s="14"/>
      <c r="AD30" s="14"/>
      <c r="AE30" s="14"/>
      <c r="AF30" s="14"/>
      <c r="AG30" s="14"/>
      <c r="AH30" s="14"/>
      <c r="AI30" s="14"/>
      <c r="AJ30" s="14"/>
      <c r="AK30" s="14"/>
      <c r="AL30" s="14"/>
      <c r="AM30" s="14"/>
      <c r="AN30" s="14"/>
    </row>
    <row r="31" spans="1:40" ht="25.5">
      <c r="A31" s="52" t="s">
        <v>18</v>
      </c>
      <c r="B31" s="16" t="s">
        <v>126</v>
      </c>
      <c r="C31" s="39" t="s">
        <v>127</v>
      </c>
      <c r="D31" s="58" t="s">
        <v>128</v>
      </c>
      <c r="E31" s="53"/>
      <c r="F31" s="54" t="s">
        <v>22</v>
      </c>
      <c r="G31" s="49">
        <v>100</v>
      </c>
      <c r="H31" s="22">
        <f>IF(OR(J31="",K31="",K31&lt;J31),0,NETWORKDAYS(J31,K31,Hoja2!$A$2:$A$53))</f>
        <v>1</v>
      </c>
      <c r="I31" s="59">
        <v>46083</v>
      </c>
      <c r="J31" s="59">
        <v>46085</v>
      </c>
      <c r="K31" s="59">
        <v>46085</v>
      </c>
      <c r="L31" s="37">
        <v>46085</v>
      </c>
      <c r="M31" s="26">
        <f ca="1">IF(OR(J31="",AND(L31="",TODAY()&lt;J31),AND(L31&lt;&gt;"",L31&lt;J31)),0,
   IF(L31="",
      NETWORKDAYS(J31,TODAY(),Hoja2!$A$2:$A$53),
      NETWORKDAYS(J31,L31,Hoja2!$A$2:$A$53)
   )
)</f>
        <v>1</v>
      </c>
      <c r="N31" s="37">
        <v>46085</v>
      </c>
      <c r="O31" s="37">
        <v>46085</v>
      </c>
      <c r="P31" s="37">
        <v>46085</v>
      </c>
      <c r="Q31" s="27" t="s">
        <v>129</v>
      </c>
      <c r="R31" s="28" t="s">
        <v>212</v>
      </c>
      <c r="S31" s="14"/>
      <c r="T31" s="14"/>
      <c r="U31" s="14"/>
      <c r="V31" s="14"/>
      <c r="W31" s="14"/>
      <c r="X31" s="14"/>
      <c r="Y31" s="14"/>
      <c r="Z31" s="14"/>
      <c r="AA31" s="14"/>
      <c r="AB31" s="14"/>
      <c r="AC31" s="14"/>
      <c r="AD31" s="14"/>
      <c r="AE31" s="14"/>
      <c r="AF31" s="14"/>
      <c r="AG31" s="14"/>
      <c r="AH31" s="14"/>
      <c r="AI31" s="14"/>
      <c r="AJ31" s="14"/>
      <c r="AK31" s="14"/>
      <c r="AL31" s="14"/>
      <c r="AM31" s="14"/>
      <c r="AN31" s="14"/>
    </row>
  </sheetData>
  <conditionalFormatting sqref="B2:B31">
    <cfRule type="expression" dxfId="0" priority="1">
      <formula>COUNTIF(B$2:B$14,B2)&gt;1</formula>
    </cfRule>
  </conditionalFormatting>
  <dataValidations count="2">
    <dataValidation type="list" allowBlank="1" sqref="F2:F31">
      <formula1>"FINALIZADO,EN PROCESO,PAUSADO,EN TEST,PENDIENTE,PRUEBAS ClIENTE,PRUEBAS IMAGINE,PASO A PRODUCCION,CANCELADO"</formula1>
    </dataValidation>
    <dataValidation type="custom" allowBlank="1" showDropDown="1" sqref="I2:L31 N2:P31">
      <formula1>OR(NOT(ISERROR(DATEVALUE(I2))), AND(ISNUMBER(I2), LEFT(CELL("format", I2))="D"))</formula1>
    </dataValidation>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60">
        <v>45292</v>
      </c>
      <c r="B1" s="61" t="s">
        <v>130</v>
      </c>
    </row>
    <row r="2" spans="1:2" ht="17.25" customHeight="1">
      <c r="A2" s="60">
        <v>45299</v>
      </c>
      <c r="B2" s="61" t="s">
        <v>131</v>
      </c>
    </row>
    <row r="3" spans="1:2" ht="17.25" customHeight="1">
      <c r="A3" s="60">
        <v>45376</v>
      </c>
      <c r="B3" s="61" t="s">
        <v>132</v>
      </c>
    </row>
    <row r="4" spans="1:2" ht="17.25" customHeight="1">
      <c r="A4" s="60">
        <v>45379</v>
      </c>
      <c r="B4" s="61" t="s">
        <v>133</v>
      </c>
    </row>
    <row r="5" spans="1:2" ht="17.25" customHeight="1">
      <c r="A5" s="60">
        <v>45380</v>
      </c>
      <c r="B5" s="61" t="s">
        <v>134</v>
      </c>
    </row>
    <row r="6" spans="1:2" ht="17.25" customHeight="1">
      <c r="A6" s="60">
        <v>45413</v>
      </c>
      <c r="B6" s="61" t="s">
        <v>135</v>
      </c>
    </row>
    <row r="7" spans="1:2" ht="17.25" customHeight="1">
      <c r="A7" s="60">
        <v>45425</v>
      </c>
      <c r="B7" s="61" t="s">
        <v>136</v>
      </c>
    </row>
    <row r="8" spans="1:2" ht="17.25" customHeight="1">
      <c r="A8" s="60">
        <v>45446</v>
      </c>
      <c r="B8" s="61" t="s">
        <v>137</v>
      </c>
    </row>
    <row r="9" spans="1:2" ht="17.25" customHeight="1">
      <c r="A9" s="60">
        <v>45453</v>
      </c>
      <c r="B9" s="61" t="s">
        <v>138</v>
      </c>
    </row>
    <row r="10" spans="1:2" ht="17.25" customHeight="1">
      <c r="A10" s="60">
        <v>45474</v>
      </c>
      <c r="B10" s="61" t="s">
        <v>139</v>
      </c>
    </row>
    <row r="11" spans="1:2" ht="17.25" customHeight="1">
      <c r="A11" s="60">
        <v>45493</v>
      </c>
      <c r="B11" s="61" t="s">
        <v>140</v>
      </c>
    </row>
    <row r="12" spans="1:2" ht="17.25" customHeight="1">
      <c r="A12" s="60">
        <v>45511</v>
      </c>
      <c r="B12" s="61" t="s">
        <v>141</v>
      </c>
    </row>
    <row r="13" spans="1:2" ht="17.25" customHeight="1">
      <c r="A13" s="60">
        <v>45523</v>
      </c>
      <c r="B13" s="61" t="s">
        <v>142</v>
      </c>
    </row>
    <row r="14" spans="1:2" ht="17.25" customHeight="1">
      <c r="A14" s="60">
        <v>45579</v>
      </c>
      <c r="B14" s="61" t="s">
        <v>143</v>
      </c>
    </row>
    <row r="15" spans="1:2" ht="17.25" customHeight="1">
      <c r="A15" s="60">
        <v>45600</v>
      </c>
      <c r="B15" s="61" t="s">
        <v>144</v>
      </c>
    </row>
    <row r="16" spans="1:2" ht="17.25" customHeight="1">
      <c r="A16" s="60">
        <v>45607</v>
      </c>
      <c r="B16" s="61" t="s">
        <v>145</v>
      </c>
    </row>
    <row r="17" spans="1:2" ht="17.25" customHeight="1">
      <c r="A17" s="60">
        <v>45634</v>
      </c>
      <c r="B17" s="61" t="s">
        <v>146</v>
      </c>
    </row>
    <row r="18" spans="1:2" ht="17.25" customHeight="1">
      <c r="A18" s="60">
        <v>45651</v>
      </c>
      <c r="B18" s="61" t="s">
        <v>147</v>
      </c>
    </row>
    <row r="19" spans="1:2" ht="17.25" customHeight="1">
      <c r="A19" s="60">
        <v>45658</v>
      </c>
      <c r="B19" s="62" t="s">
        <v>148</v>
      </c>
    </row>
    <row r="20" spans="1:2" ht="17.25" customHeight="1">
      <c r="A20" s="60">
        <v>45663</v>
      </c>
      <c r="B20" s="62" t="s">
        <v>149</v>
      </c>
    </row>
    <row r="21" spans="1:2" ht="17.25" customHeight="1">
      <c r="A21" s="60">
        <v>45740</v>
      </c>
      <c r="B21" s="62" t="s">
        <v>150</v>
      </c>
    </row>
    <row r="22" spans="1:2" ht="17.25" customHeight="1">
      <c r="A22" s="60">
        <v>45764</v>
      </c>
      <c r="B22" s="62" t="s">
        <v>151</v>
      </c>
    </row>
    <row r="23" spans="1:2" ht="17.25" customHeight="1">
      <c r="A23" s="60">
        <v>45765</v>
      </c>
      <c r="B23" s="62" t="s">
        <v>152</v>
      </c>
    </row>
    <row r="24" spans="1:2" ht="17.25" customHeight="1">
      <c r="A24" s="60">
        <v>45778</v>
      </c>
      <c r="B24" s="62" t="s">
        <v>153</v>
      </c>
    </row>
    <row r="25" spans="1:2" ht="17.25" customHeight="1">
      <c r="A25" s="60">
        <v>45810</v>
      </c>
      <c r="B25" s="62" t="s">
        <v>154</v>
      </c>
    </row>
    <row r="26" spans="1:2" ht="17.25" customHeight="1">
      <c r="A26" s="60">
        <v>45831</v>
      </c>
      <c r="B26" s="62" t="s">
        <v>155</v>
      </c>
    </row>
    <row r="27" spans="1:2" ht="17.25" customHeight="1">
      <c r="A27" s="60">
        <v>45838</v>
      </c>
      <c r="B27" s="62" t="s">
        <v>156</v>
      </c>
    </row>
    <row r="28" spans="1:2" ht="17.25" customHeight="1">
      <c r="A28" s="60">
        <v>45858</v>
      </c>
      <c r="B28" s="62" t="s">
        <v>157</v>
      </c>
    </row>
    <row r="29" spans="1:2" ht="17.25" customHeight="1">
      <c r="A29" s="60">
        <v>45876</v>
      </c>
      <c r="B29" s="62" t="s">
        <v>158</v>
      </c>
    </row>
    <row r="30" spans="1:2" ht="17.25" customHeight="1">
      <c r="A30" s="60">
        <v>45887</v>
      </c>
      <c r="B30" s="62" t="s">
        <v>159</v>
      </c>
    </row>
    <row r="31" spans="1:2" ht="17.25" customHeight="1">
      <c r="A31" s="60">
        <v>45943</v>
      </c>
      <c r="B31" s="62" t="s">
        <v>160</v>
      </c>
    </row>
    <row r="32" spans="1:2" ht="17.25" customHeight="1">
      <c r="A32" s="60">
        <v>45964</v>
      </c>
      <c r="B32" s="62" t="s">
        <v>161</v>
      </c>
    </row>
    <row r="33" spans="1:2" ht="17.25" customHeight="1">
      <c r="A33" s="60">
        <v>45978</v>
      </c>
      <c r="B33" s="62" t="s">
        <v>162</v>
      </c>
    </row>
    <row r="34" spans="1:2" ht="17.25" customHeight="1">
      <c r="A34" s="60">
        <v>45999</v>
      </c>
      <c r="B34" s="62" t="s">
        <v>163</v>
      </c>
    </row>
    <row r="35" spans="1:2" ht="17.25" customHeight="1">
      <c r="A35" s="60">
        <v>46016</v>
      </c>
      <c r="B35" s="62" t="s">
        <v>164</v>
      </c>
    </row>
    <row r="36" spans="1:2" ht="17.25" customHeight="1">
      <c r="A36" s="60">
        <v>46023</v>
      </c>
      <c r="B36" s="62" t="s">
        <v>148</v>
      </c>
    </row>
    <row r="37" spans="1:2" ht="17.25" customHeight="1">
      <c r="A37" s="60">
        <v>46034</v>
      </c>
      <c r="B37" s="62" t="s">
        <v>149</v>
      </c>
    </row>
    <row r="38" spans="1:2" ht="17.25" customHeight="1">
      <c r="A38" s="60">
        <v>46104</v>
      </c>
      <c r="B38" s="62" t="s">
        <v>150</v>
      </c>
    </row>
    <row r="39" spans="1:2" ht="17.25" customHeight="1">
      <c r="A39" s="60">
        <v>46114</v>
      </c>
      <c r="B39" s="62" t="s">
        <v>151</v>
      </c>
    </row>
    <row r="40" spans="1:2" ht="17.25" customHeight="1">
      <c r="A40" s="60">
        <v>46115</v>
      </c>
      <c r="B40" s="62" t="s">
        <v>152</v>
      </c>
    </row>
    <row r="41" spans="1:2" ht="17.25" customHeight="1">
      <c r="A41" s="60">
        <v>46143</v>
      </c>
      <c r="B41" s="62" t="s">
        <v>153</v>
      </c>
    </row>
    <row r="42" spans="1:2" ht="17.25" customHeight="1">
      <c r="A42" s="60">
        <v>46160</v>
      </c>
      <c r="B42" s="62" t="s">
        <v>154</v>
      </c>
    </row>
    <row r="43" spans="1:2" ht="17.25" customHeight="1">
      <c r="A43" s="60">
        <v>46181</v>
      </c>
      <c r="B43" s="62" t="s">
        <v>155</v>
      </c>
    </row>
    <row r="44" spans="1:2" ht="17.25" customHeight="1">
      <c r="A44" s="60">
        <v>46188</v>
      </c>
      <c r="B44" s="62" t="s">
        <v>165</v>
      </c>
    </row>
    <row r="45" spans="1:2" ht="17.25" customHeight="1">
      <c r="A45" s="60">
        <v>46202</v>
      </c>
      <c r="B45" s="62" t="s">
        <v>166</v>
      </c>
    </row>
    <row r="46" spans="1:2" ht="17.25" customHeight="1">
      <c r="A46" s="60">
        <v>46223</v>
      </c>
      <c r="B46" s="62" t="s">
        <v>157</v>
      </c>
    </row>
    <row r="47" spans="1:2" ht="17.25" customHeight="1">
      <c r="A47" s="60">
        <v>46241</v>
      </c>
      <c r="B47" s="62" t="s">
        <v>158</v>
      </c>
    </row>
    <row r="48" spans="1:2" ht="17.25" customHeight="1">
      <c r="A48" s="60">
        <v>46251</v>
      </c>
      <c r="B48" s="62" t="s">
        <v>159</v>
      </c>
    </row>
    <row r="49" spans="1:2" ht="17.25" customHeight="1">
      <c r="A49" s="60">
        <v>46307</v>
      </c>
      <c r="B49" s="62" t="s">
        <v>160</v>
      </c>
    </row>
    <row r="50" spans="1:2" ht="17.25" customHeight="1">
      <c r="A50" s="60">
        <v>46328</v>
      </c>
      <c r="B50" s="62" t="s">
        <v>161</v>
      </c>
    </row>
    <row r="51" spans="1:2" ht="17.25" customHeight="1">
      <c r="A51" s="60">
        <v>46342</v>
      </c>
      <c r="B51" s="62" t="s">
        <v>162</v>
      </c>
    </row>
    <row r="52" spans="1:2" ht="17.25" customHeight="1">
      <c r="A52" s="60">
        <v>46364</v>
      </c>
      <c r="B52" s="62" t="s">
        <v>163</v>
      </c>
    </row>
    <row r="53" spans="1:2" ht="17.25" customHeight="1">
      <c r="A53" s="60">
        <v>46381</v>
      </c>
      <c r="B53" s="62" t="s">
        <v>164</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63" t="s">
        <v>167</v>
      </c>
      <c r="B1" s="64"/>
      <c r="C1" s="64"/>
      <c r="D1" s="64"/>
      <c r="E1" s="64"/>
      <c r="F1" s="64"/>
      <c r="G1" s="64"/>
      <c r="H1" s="64"/>
      <c r="I1" s="64"/>
      <c r="J1" s="64"/>
      <c r="K1" s="64"/>
      <c r="L1" s="64"/>
      <c r="M1" s="64"/>
      <c r="N1" s="64"/>
      <c r="O1" s="64"/>
      <c r="P1" s="64"/>
      <c r="Q1" s="64"/>
      <c r="R1" s="64"/>
      <c r="S1" s="64"/>
      <c r="T1" s="64"/>
      <c r="U1" s="64"/>
      <c r="V1" s="64"/>
      <c r="W1" s="64"/>
      <c r="X1" s="64"/>
      <c r="Y1" s="64"/>
      <c r="Z1" s="64"/>
    </row>
    <row r="2" spans="1:97">
      <c r="A2" s="64"/>
      <c r="B2" s="64"/>
      <c r="C2" s="64"/>
      <c r="D2" s="64"/>
      <c r="E2" s="64"/>
      <c r="F2" s="64"/>
      <c r="G2" s="64"/>
      <c r="H2" s="64"/>
      <c r="I2" s="64"/>
      <c r="J2" s="64"/>
      <c r="K2" s="64"/>
      <c r="L2" s="64"/>
      <c r="M2" s="64"/>
      <c r="N2" s="64"/>
      <c r="O2" s="64"/>
      <c r="P2" s="64"/>
      <c r="Q2" s="64"/>
      <c r="R2" s="64"/>
      <c r="S2" s="64"/>
      <c r="T2" s="64"/>
      <c r="U2" s="64"/>
      <c r="V2" s="64"/>
      <c r="W2" s="64"/>
      <c r="X2" s="64"/>
      <c r="Y2" s="64"/>
      <c r="Z2" s="64"/>
    </row>
    <row r="3" spans="1:97" ht="32.25" customHeight="1">
      <c r="A3" s="65" t="s">
        <v>168</v>
      </c>
      <c r="B3" s="66">
        <v>45596</v>
      </c>
      <c r="C3" s="66">
        <v>45597</v>
      </c>
      <c r="D3" s="66">
        <v>45601</v>
      </c>
      <c r="E3" s="66">
        <v>45602</v>
      </c>
      <c r="F3" s="66">
        <v>45603</v>
      </c>
      <c r="G3" s="66">
        <v>45604</v>
      </c>
      <c r="H3" s="66">
        <v>45608</v>
      </c>
      <c r="I3" s="66">
        <v>45609</v>
      </c>
      <c r="J3" s="66">
        <v>45610</v>
      </c>
      <c r="K3" s="66">
        <v>45611</v>
      </c>
      <c r="L3" s="66">
        <v>45614</v>
      </c>
      <c r="M3" s="66">
        <v>45615</v>
      </c>
      <c r="N3" s="66">
        <v>45616</v>
      </c>
      <c r="O3" s="66">
        <v>45617</v>
      </c>
      <c r="P3" s="66">
        <v>45618</v>
      </c>
      <c r="Q3" s="67">
        <v>45621</v>
      </c>
      <c r="R3" s="67">
        <v>45622</v>
      </c>
      <c r="S3" s="67">
        <v>45623</v>
      </c>
      <c r="T3" s="67">
        <v>45624</v>
      </c>
      <c r="U3" s="67">
        <v>45625</v>
      </c>
      <c r="V3" s="67">
        <v>45628</v>
      </c>
      <c r="W3" s="67">
        <v>45629</v>
      </c>
      <c r="X3" s="67">
        <v>45630</v>
      </c>
      <c r="Y3" s="67">
        <v>45631</v>
      </c>
      <c r="Z3" s="67">
        <v>45632</v>
      </c>
      <c r="AA3" s="67">
        <v>45635</v>
      </c>
      <c r="AB3" s="67">
        <v>45636</v>
      </c>
      <c r="AC3" s="67">
        <v>45637</v>
      </c>
      <c r="AD3" s="67">
        <v>45638</v>
      </c>
      <c r="AE3" s="68">
        <v>45639</v>
      </c>
      <c r="AF3" s="66">
        <v>45642</v>
      </c>
      <c r="AG3" s="66">
        <v>45643</v>
      </c>
      <c r="AH3" s="66">
        <v>45644</v>
      </c>
      <c r="AI3" s="66">
        <v>45645</v>
      </c>
      <c r="AJ3" s="66">
        <v>45646</v>
      </c>
      <c r="AK3" s="66">
        <v>45649</v>
      </c>
      <c r="AL3" s="66">
        <v>45650</v>
      </c>
      <c r="AM3" s="66">
        <v>45652</v>
      </c>
      <c r="AN3" s="66">
        <v>45653</v>
      </c>
      <c r="AO3" s="66">
        <v>45656</v>
      </c>
      <c r="AP3" s="66">
        <v>45656</v>
      </c>
      <c r="AQ3" s="66">
        <v>45664</v>
      </c>
      <c r="AR3" s="66">
        <v>45665</v>
      </c>
      <c r="AS3" s="66">
        <v>45666</v>
      </c>
      <c r="AT3" s="66">
        <v>45667</v>
      </c>
      <c r="AU3" s="66">
        <v>45670</v>
      </c>
      <c r="AV3" s="66">
        <v>45671</v>
      </c>
      <c r="AW3" s="66">
        <v>45672</v>
      </c>
      <c r="AX3" s="66">
        <v>45673</v>
      </c>
      <c r="AY3" s="66">
        <v>45674</v>
      </c>
      <c r="AZ3" s="66">
        <v>45677</v>
      </c>
      <c r="BA3" s="66">
        <v>45678</v>
      </c>
      <c r="BB3" s="66">
        <v>45679</v>
      </c>
      <c r="BC3" s="66">
        <v>45680</v>
      </c>
      <c r="BD3" s="66">
        <v>45681</v>
      </c>
      <c r="BE3" s="66">
        <v>45684</v>
      </c>
      <c r="BF3" s="66">
        <v>45685</v>
      </c>
      <c r="BG3" s="66">
        <v>45686</v>
      </c>
      <c r="BH3" s="66">
        <v>45687</v>
      </c>
      <c r="BI3" s="66">
        <v>45688</v>
      </c>
      <c r="BJ3" s="67">
        <v>45691</v>
      </c>
      <c r="BK3" s="67">
        <v>45692</v>
      </c>
      <c r="BL3" s="67">
        <v>45693</v>
      </c>
      <c r="BM3" s="67">
        <v>45694</v>
      </c>
      <c r="BN3" s="67">
        <v>45695</v>
      </c>
      <c r="BO3" s="67">
        <v>45698</v>
      </c>
      <c r="BP3" s="67">
        <v>45699</v>
      </c>
      <c r="BQ3" s="67">
        <v>45700</v>
      </c>
      <c r="BR3" s="67">
        <v>45701</v>
      </c>
      <c r="BS3" s="67">
        <v>45702</v>
      </c>
      <c r="BT3" s="67">
        <v>45705</v>
      </c>
      <c r="BU3" s="67">
        <v>45706</v>
      </c>
      <c r="BV3" s="67">
        <v>45707</v>
      </c>
      <c r="BW3" s="67">
        <v>45708</v>
      </c>
      <c r="BX3" s="67">
        <v>45709</v>
      </c>
      <c r="BY3" s="67">
        <v>45712</v>
      </c>
      <c r="BZ3" s="67">
        <v>45713</v>
      </c>
      <c r="CA3" s="67">
        <v>45714</v>
      </c>
      <c r="CB3" s="67">
        <v>45715</v>
      </c>
      <c r="CC3" s="67">
        <v>45716</v>
      </c>
      <c r="CD3" s="67">
        <v>45719</v>
      </c>
      <c r="CE3" s="67">
        <v>45720</v>
      </c>
      <c r="CF3" s="67">
        <v>45721</v>
      </c>
      <c r="CG3" s="67">
        <v>45722</v>
      </c>
      <c r="CH3" s="67">
        <v>45723</v>
      </c>
      <c r="CI3" s="67">
        <v>45726</v>
      </c>
      <c r="CJ3" s="67">
        <v>45727</v>
      </c>
      <c r="CK3" s="67">
        <v>45728</v>
      </c>
      <c r="CL3" s="67">
        <v>45729</v>
      </c>
      <c r="CM3" s="67">
        <v>45730</v>
      </c>
      <c r="CN3" s="67">
        <v>45733</v>
      </c>
      <c r="CO3" s="67">
        <v>45734</v>
      </c>
      <c r="CP3" s="67">
        <v>45735</v>
      </c>
      <c r="CQ3" s="67">
        <v>45736</v>
      </c>
      <c r="CR3" s="67">
        <v>45737</v>
      </c>
      <c r="CS3" s="67">
        <v>45741</v>
      </c>
    </row>
    <row r="4" spans="1:97" ht="30.75" customHeight="1">
      <c r="A4" s="69" t="s">
        <v>169</v>
      </c>
      <c r="B4" s="70" t="s">
        <v>170</v>
      </c>
      <c r="C4" s="71" t="s">
        <v>171</v>
      </c>
      <c r="D4" s="72" t="s">
        <v>170</v>
      </c>
      <c r="E4" s="72" t="s">
        <v>170</v>
      </c>
      <c r="F4" s="72" t="s">
        <v>170</v>
      </c>
      <c r="G4" s="72" t="s">
        <v>170</v>
      </c>
      <c r="H4" s="72" t="s">
        <v>170</v>
      </c>
      <c r="I4" s="72" t="s">
        <v>170</v>
      </c>
      <c r="J4" s="72" t="s">
        <v>170</v>
      </c>
      <c r="K4" s="72" t="s">
        <v>170</v>
      </c>
      <c r="L4" s="72" t="s">
        <v>170</v>
      </c>
      <c r="M4" s="72" t="s">
        <v>170</v>
      </c>
      <c r="N4" s="72" t="s">
        <v>170</v>
      </c>
      <c r="O4" s="72" t="s">
        <v>172</v>
      </c>
      <c r="P4" s="73" t="s">
        <v>170</v>
      </c>
      <c r="Q4" s="72" t="s">
        <v>170</v>
      </c>
      <c r="R4" s="72" t="s">
        <v>170</v>
      </c>
      <c r="S4" s="72" t="s">
        <v>170</v>
      </c>
      <c r="T4" s="72" t="s">
        <v>170</v>
      </c>
      <c r="U4" s="73" t="s">
        <v>173</v>
      </c>
      <c r="V4" s="72" t="s">
        <v>170</v>
      </c>
      <c r="W4" s="72" t="s">
        <v>170</v>
      </c>
      <c r="X4" s="72" t="s">
        <v>170</v>
      </c>
      <c r="Y4" s="72" t="s">
        <v>170</v>
      </c>
      <c r="Z4" s="72" t="s">
        <v>170</v>
      </c>
      <c r="AA4" s="72" t="s">
        <v>170</v>
      </c>
      <c r="AB4" s="72" t="s">
        <v>170</v>
      </c>
      <c r="AC4" s="72" t="s">
        <v>170</v>
      </c>
      <c r="AD4" s="72" t="s">
        <v>170</v>
      </c>
      <c r="AE4" s="98" t="s">
        <v>174</v>
      </c>
      <c r="AF4" s="72" t="s">
        <v>170</v>
      </c>
      <c r="AG4" s="72" t="s">
        <v>170</v>
      </c>
      <c r="AH4" s="72" t="s">
        <v>170</v>
      </c>
      <c r="AI4" s="72" t="s">
        <v>170</v>
      </c>
      <c r="AJ4" s="72" t="s">
        <v>170</v>
      </c>
      <c r="AK4" s="72" t="s">
        <v>170</v>
      </c>
      <c r="AL4" s="98" t="s">
        <v>175</v>
      </c>
      <c r="AM4" s="72" t="s">
        <v>173</v>
      </c>
      <c r="AN4" s="72" t="s">
        <v>173</v>
      </c>
      <c r="AO4" s="72" t="s">
        <v>170</v>
      </c>
      <c r="AP4" s="98" t="s">
        <v>176</v>
      </c>
      <c r="AQ4" s="72" t="s">
        <v>170</v>
      </c>
      <c r="AR4" s="72" t="s">
        <v>170</v>
      </c>
      <c r="AS4" s="98" t="s">
        <v>176</v>
      </c>
      <c r="AT4" s="74" t="s">
        <v>170</v>
      </c>
      <c r="AU4" s="72" t="s">
        <v>170</v>
      </c>
      <c r="AV4" s="72" t="s">
        <v>170</v>
      </c>
      <c r="AW4" s="72" t="s">
        <v>170</v>
      </c>
      <c r="AX4" s="72" t="s">
        <v>170</v>
      </c>
      <c r="AY4" s="98" t="s">
        <v>176</v>
      </c>
      <c r="AZ4" s="72" t="s">
        <v>170</v>
      </c>
      <c r="BA4" s="72" t="s">
        <v>170</v>
      </c>
      <c r="BB4" s="72" t="s">
        <v>170</v>
      </c>
      <c r="BC4" s="72" t="s">
        <v>170</v>
      </c>
      <c r="BD4" s="72" t="s">
        <v>170</v>
      </c>
      <c r="BE4" s="72" t="s">
        <v>170</v>
      </c>
      <c r="BF4" s="72" t="s">
        <v>170</v>
      </c>
      <c r="BG4" s="72" t="s">
        <v>170</v>
      </c>
      <c r="BH4" s="72" t="s">
        <v>170</v>
      </c>
      <c r="BI4" s="73" t="s">
        <v>170</v>
      </c>
      <c r="BJ4" s="98" t="s">
        <v>176</v>
      </c>
      <c r="BK4" s="73" t="s">
        <v>177</v>
      </c>
      <c r="BL4" s="73" t="s">
        <v>177</v>
      </c>
      <c r="BM4" s="73" t="s">
        <v>177</v>
      </c>
      <c r="BN4" s="73" t="s">
        <v>177</v>
      </c>
      <c r="BO4" s="73" t="s">
        <v>177</v>
      </c>
      <c r="BP4" s="73" t="s">
        <v>177</v>
      </c>
      <c r="BQ4" s="73" t="s">
        <v>177</v>
      </c>
      <c r="BR4" s="72" t="s">
        <v>170</v>
      </c>
      <c r="BS4" s="72" t="s">
        <v>170</v>
      </c>
      <c r="BT4" s="72" t="s">
        <v>170</v>
      </c>
      <c r="BU4" s="72" t="s">
        <v>170</v>
      </c>
      <c r="BV4" s="72" t="s">
        <v>170</v>
      </c>
      <c r="BW4" s="72" t="s">
        <v>170</v>
      </c>
      <c r="BX4" s="72" t="s">
        <v>170</v>
      </c>
      <c r="BY4" s="72" t="s">
        <v>170</v>
      </c>
      <c r="BZ4" s="72" t="s">
        <v>170</v>
      </c>
      <c r="CA4" s="72" t="s">
        <v>170</v>
      </c>
      <c r="CB4" s="72" t="s">
        <v>170</v>
      </c>
      <c r="CC4" s="72" t="s">
        <v>170</v>
      </c>
      <c r="CD4" s="72" t="s">
        <v>170</v>
      </c>
      <c r="CE4" s="72" t="s">
        <v>170</v>
      </c>
      <c r="CF4" s="72" t="s">
        <v>170</v>
      </c>
      <c r="CG4" s="72"/>
      <c r="CH4" s="72"/>
      <c r="CI4" s="98" t="s">
        <v>178</v>
      </c>
      <c r="CJ4" s="72"/>
      <c r="CK4" s="72"/>
      <c r="CL4" s="72"/>
      <c r="CM4" s="72"/>
      <c r="CN4" s="72"/>
      <c r="CO4" s="72"/>
      <c r="CP4" s="72"/>
      <c r="CQ4" s="72"/>
      <c r="CR4" s="72"/>
      <c r="CS4" s="72" t="s">
        <v>170</v>
      </c>
    </row>
    <row r="5" spans="1:97" ht="15.75" customHeight="1">
      <c r="A5" s="69" t="s">
        <v>179</v>
      </c>
      <c r="B5" s="70" t="s">
        <v>170</v>
      </c>
      <c r="C5" s="72" t="s">
        <v>170</v>
      </c>
      <c r="D5" s="72" t="s">
        <v>170</v>
      </c>
      <c r="E5" s="72" t="s">
        <v>170</v>
      </c>
      <c r="F5" s="72" t="s">
        <v>170</v>
      </c>
      <c r="G5" s="72" t="s">
        <v>170</v>
      </c>
      <c r="H5" s="72" t="s">
        <v>170</v>
      </c>
      <c r="I5" s="72" t="s">
        <v>170</v>
      </c>
      <c r="J5" s="72" t="s">
        <v>170</v>
      </c>
      <c r="K5" s="72" t="s">
        <v>170</v>
      </c>
      <c r="L5" s="72" t="s">
        <v>177</v>
      </c>
      <c r="M5" s="72" t="s">
        <v>177</v>
      </c>
      <c r="N5" s="72" t="s">
        <v>177</v>
      </c>
      <c r="O5" s="72" t="s">
        <v>177</v>
      </c>
      <c r="P5" s="73" t="s">
        <v>177</v>
      </c>
      <c r="Q5" s="72" t="s">
        <v>170</v>
      </c>
      <c r="R5" s="72" t="s">
        <v>170</v>
      </c>
      <c r="S5" s="72" t="s">
        <v>170</v>
      </c>
      <c r="T5" s="72" t="s">
        <v>170</v>
      </c>
      <c r="U5" s="73" t="s">
        <v>170</v>
      </c>
      <c r="V5" s="72" t="s">
        <v>170</v>
      </c>
      <c r="W5" s="72" t="s">
        <v>170</v>
      </c>
      <c r="X5" s="72" t="s">
        <v>170</v>
      </c>
      <c r="Y5" s="72" t="s">
        <v>170</v>
      </c>
      <c r="Z5" s="72" t="s">
        <v>170</v>
      </c>
      <c r="AA5" s="72" t="s">
        <v>170</v>
      </c>
      <c r="AB5" s="72" t="s">
        <v>170</v>
      </c>
      <c r="AC5" s="72" t="s">
        <v>170</v>
      </c>
      <c r="AD5" s="72" t="s">
        <v>170</v>
      </c>
      <c r="AE5" s="99"/>
      <c r="AF5" s="72" t="s">
        <v>170</v>
      </c>
      <c r="AG5" s="72" t="s">
        <v>170</v>
      </c>
      <c r="AH5" s="72" t="s">
        <v>170</v>
      </c>
      <c r="AI5" s="72" t="s">
        <v>170</v>
      </c>
      <c r="AJ5" s="72" t="s">
        <v>170</v>
      </c>
      <c r="AK5" s="72" t="s">
        <v>170</v>
      </c>
      <c r="AL5" s="99"/>
      <c r="AM5" s="72" t="s">
        <v>170</v>
      </c>
      <c r="AN5" s="72" t="s">
        <v>170</v>
      </c>
      <c r="AO5" s="72" t="s">
        <v>170</v>
      </c>
      <c r="AP5" s="99"/>
      <c r="AQ5" s="72" t="s">
        <v>177</v>
      </c>
      <c r="AR5" s="72" t="s">
        <v>177</v>
      </c>
      <c r="AS5" s="99"/>
      <c r="AT5" s="72" t="s">
        <v>177</v>
      </c>
      <c r="AU5" s="72" t="s">
        <v>177</v>
      </c>
      <c r="AV5" s="72" t="s">
        <v>177</v>
      </c>
      <c r="AW5" s="72" t="s">
        <v>177</v>
      </c>
      <c r="AX5" s="72" t="s">
        <v>177</v>
      </c>
      <c r="AY5" s="99"/>
      <c r="AZ5" s="72" t="s">
        <v>177</v>
      </c>
      <c r="BA5" s="72" t="s">
        <v>170</v>
      </c>
      <c r="BB5" s="72" t="s">
        <v>170</v>
      </c>
      <c r="BC5" s="72" t="s">
        <v>170</v>
      </c>
      <c r="BD5" s="72" t="s">
        <v>170</v>
      </c>
      <c r="BE5" s="72" t="s">
        <v>170</v>
      </c>
      <c r="BF5" s="72" t="s">
        <v>170</v>
      </c>
      <c r="BG5" s="72" t="s">
        <v>170</v>
      </c>
      <c r="BH5" s="72" t="s">
        <v>170</v>
      </c>
      <c r="BI5" s="73" t="s">
        <v>170</v>
      </c>
      <c r="BJ5" s="99"/>
      <c r="BK5" s="73" t="s">
        <v>170</v>
      </c>
      <c r="BL5" s="73" t="s">
        <v>170</v>
      </c>
      <c r="BM5" s="72" t="s">
        <v>170</v>
      </c>
      <c r="BN5" s="73" t="s">
        <v>170</v>
      </c>
      <c r="BO5" s="72" t="s">
        <v>170</v>
      </c>
      <c r="BP5" s="72" t="s">
        <v>170</v>
      </c>
      <c r="BQ5" s="72" t="s">
        <v>170</v>
      </c>
      <c r="BR5" s="72" t="s">
        <v>170</v>
      </c>
      <c r="BS5" s="72" t="s">
        <v>170</v>
      </c>
      <c r="BT5" s="72" t="s">
        <v>170</v>
      </c>
      <c r="BU5" s="72" t="s">
        <v>170</v>
      </c>
      <c r="BV5" s="72" t="s">
        <v>170</v>
      </c>
      <c r="BW5" s="72" t="s">
        <v>170</v>
      </c>
      <c r="BX5" s="72" t="s">
        <v>170</v>
      </c>
      <c r="BY5" s="72" t="s">
        <v>170</v>
      </c>
      <c r="BZ5" s="72" t="s">
        <v>170</v>
      </c>
      <c r="CA5" s="72" t="s">
        <v>170</v>
      </c>
      <c r="CB5" s="72" t="s">
        <v>170</v>
      </c>
      <c r="CC5" s="72" t="s">
        <v>170</v>
      </c>
      <c r="CD5" s="72" t="s">
        <v>170</v>
      </c>
      <c r="CE5" s="72" t="s">
        <v>170</v>
      </c>
      <c r="CF5" s="72" t="s">
        <v>170</v>
      </c>
      <c r="CG5" s="72"/>
      <c r="CH5" s="72"/>
      <c r="CI5" s="99"/>
      <c r="CJ5" s="72"/>
      <c r="CK5" s="72"/>
      <c r="CL5" s="72"/>
      <c r="CM5" s="72"/>
      <c r="CN5" s="72"/>
      <c r="CO5" s="72"/>
      <c r="CP5" s="72"/>
      <c r="CQ5" s="72"/>
      <c r="CR5" s="72"/>
      <c r="CS5" s="72" t="s">
        <v>170</v>
      </c>
    </row>
    <row r="6" spans="1:97" ht="15.75">
      <c r="A6" s="69" t="s">
        <v>180</v>
      </c>
      <c r="B6" s="70" t="s">
        <v>170</v>
      </c>
      <c r="C6" s="72" t="s">
        <v>170</v>
      </c>
      <c r="D6" s="72" t="s">
        <v>170</v>
      </c>
      <c r="E6" s="72" t="s">
        <v>170</v>
      </c>
      <c r="F6" s="72" t="s">
        <v>170</v>
      </c>
      <c r="G6" s="72" t="s">
        <v>170</v>
      </c>
      <c r="H6" s="72" t="s">
        <v>170</v>
      </c>
      <c r="I6" s="72" t="s">
        <v>170</v>
      </c>
      <c r="J6" s="72" t="s">
        <v>170</v>
      </c>
      <c r="K6" s="75" t="s">
        <v>181</v>
      </c>
      <c r="L6" s="72" t="s">
        <v>170</v>
      </c>
      <c r="M6" s="72" t="s">
        <v>170</v>
      </c>
      <c r="N6" s="72" t="s">
        <v>170</v>
      </c>
      <c r="O6" s="72" t="s">
        <v>172</v>
      </c>
      <c r="P6" s="73" t="s">
        <v>170</v>
      </c>
      <c r="Q6" s="72" t="s">
        <v>170</v>
      </c>
      <c r="R6" s="72" t="s">
        <v>170</v>
      </c>
      <c r="S6" s="72" t="s">
        <v>170</v>
      </c>
      <c r="T6" s="72" t="s">
        <v>170</v>
      </c>
      <c r="U6" s="73" t="s">
        <v>170</v>
      </c>
      <c r="V6" s="72" t="s">
        <v>170</v>
      </c>
      <c r="W6" s="72" t="s">
        <v>170</v>
      </c>
      <c r="X6" s="72" t="s">
        <v>170</v>
      </c>
      <c r="Y6" s="72" t="s">
        <v>170</v>
      </c>
      <c r="Z6" s="72" t="s">
        <v>170</v>
      </c>
      <c r="AA6" s="72" t="s">
        <v>170</v>
      </c>
      <c r="AB6" s="72" t="s">
        <v>170</v>
      </c>
      <c r="AC6" s="72" t="s">
        <v>170</v>
      </c>
      <c r="AD6" s="72" t="s">
        <v>170</v>
      </c>
      <c r="AE6" s="99"/>
      <c r="AF6" s="72" t="s">
        <v>170</v>
      </c>
      <c r="AG6" s="72" t="s">
        <v>170</v>
      </c>
      <c r="AH6" s="72" t="s">
        <v>170</v>
      </c>
      <c r="AI6" s="72" t="s">
        <v>170</v>
      </c>
      <c r="AJ6" s="72" t="s">
        <v>170</v>
      </c>
      <c r="AK6" s="72" t="s">
        <v>170</v>
      </c>
      <c r="AL6" s="99"/>
      <c r="AM6" s="72" t="s">
        <v>170</v>
      </c>
      <c r="AN6" s="72" t="s">
        <v>170</v>
      </c>
      <c r="AO6" s="72" t="s">
        <v>170</v>
      </c>
      <c r="AP6" s="99"/>
      <c r="AQ6" s="72" t="s">
        <v>170</v>
      </c>
      <c r="AR6" s="72" t="s">
        <v>170</v>
      </c>
      <c r="AS6" s="99"/>
      <c r="AT6" s="72" t="s">
        <v>170</v>
      </c>
      <c r="AU6" s="72" t="s">
        <v>170</v>
      </c>
      <c r="AV6" s="72" t="s">
        <v>170</v>
      </c>
      <c r="AW6" s="72" t="s">
        <v>170</v>
      </c>
      <c r="AX6" s="72" t="s">
        <v>170</v>
      </c>
      <c r="AY6" s="99"/>
      <c r="AZ6" s="72" t="s">
        <v>170</v>
      </c>
      <c r="BA6" s="72" t="s">
        <v>170</v>
      </c>
      <c r="BB6" s="72" t="s">
        <v>170</v>
      </c>
      <c r="BC6" s="72" t="s">
        <v>170</v>
      </c>
      <c r="BD6" s="72" t="s">
        <v>170</v>
      </c>
      <c r="BE6" s="72" t="s">
        <v>170</v>
      </c>
      <c r="BF6" s="72" t="s">
        <v>170</v>
      </c>
      <c r="BG6" s="72" t="s">
        <v>170</v>
      </c>
      <c r="BH6" s="72" t="s">
        <v>170</v>
      </c>
      <c r="BI6" s="73" t="s">
        <v>170</v>
      </c>
      <c r="BJ6" s="99"/>
      <c r="BK6" s="73" t="s">
        <v>170</v>
      </c>
      <c r="BL6" s="73" t="s">
        <v>170</v>
      </c>
      <c r="BM6" s="72" t="s">
        <v>182</v>
      </c>
      <c r="BN6" s="73" t="s">
        <v>170</v>
      </c>
      <c r="BO6" s="72" t="s">
        <v>170</v>
      </c>
      <c r="BP6" s="72" t="s">
        <v>170</v>
      </c>
      <c r="BQ6" s="72" t="s">
        <v>170</v>
      </c>
      <c r="BR6" s="72" t="s">
        <v>170</v>
      </c>
      <c r="BS6" s="72" t="s">
        <v>170</v>
      </c>
      <c r="BT6" s="72" t="s">
        <v>170</v>
      </c>
      <c r="BU6" s="72" t="s">
        <v>170</v>
      </c>
      <c r="BV6" s="72" t="s">
        <v>170</v>
      </c>
      <c r="BW6" s="72" t="s">
        <v>170</v>
      </c>
      <c r="BX6" s="72" t="s">
        <v>170</v>
      </c>
      <c r="BY6" s="72" t="s">
        <v>170</v>
      </c>
      <c r="BZ6" s="72" t="s">
        <v>170</v>
      </c>
      <c r="CA6" s="72" t="s">
        <v>170</v>
      </c>
      <c r="CB6" s="72" t="s">
        <v>170</v>
      </c>
      <c r="CC6" s="72" t="s">
        <v>170</v>
      </c>
      <c r="CD6" s="72" t="s">
        <v>170</v>
      </c>
      <c r="CE6" s="72" t="s">
        <v>170</v>
      </c>
      <c r="CF6" s="72" t="s">
        <v>170</v>
      </c>
      <c r="CG6" s="72"/>
      <c r="CH6" s="72"/>
      <c r="CI6" s="99"/>
      <c r="CJ6" s="72"/>
      <c r="CK6" s="72"/>
      <c r="CL6" s="72"/>
      <c r="CM6" s="72"/>
      <c r="CN6" s="72"/>
      <c r="CO6" s="72"/>
      <c r="CP6" s="72"/>
      <c r="CQ6" s="72"/>
      <c r="CR6" s="72"/>
      <c r="CS6" s="72" t="s">
        <v>170</v>
      </c>
    </row>
    <row r="7" spans="1:97" ht="15.75" hidden="1" customHeight="1">
      <c r="A7" s="69" t="s">
        <v>183</v>
      </c>
      <c r="B7" s="70" t="s">
        <v>170</v>
      </c>
      <c r="C7" s="72" t="s">
        <v>170</v>
      </c>
      <c r="D7" s="72" t="s">
        <v>170</v>
      </c>
      <c r="E7" s="72" t="s">
        <v>170</v>
      </c>
      <c r="F7" s="72" t="s">
        <v>170</v>
      </c>
      <c r="G7" s="72" t="s">
        <v>170</v>
      </c>
      <c r="H7" s="72" t="s">
        <v>170</v>
      </c>
      <c r="I7" s="72" t="s">
        <v>170</v>
      </c>
      <c r="J7" s="72" t="s">
        <v>170</v>
      </c>
      <c r="K7" s="72" t="s">
        <v>170</v>
      </c>
      <c r="L7" s="75" t="s">
        <v>181</v>
      </c>
      <c r="M7" s="72" t="s">
        <v>170</v>
      </c>
      <c r="N7" s="72" t="s">
        <v>170</v>
      </c>
      <c r="O7" s="72" t="s">
        <v>172</v>
      </c>
      <c r="P7" s="73" t="s">
        <v>170</v>
      </c>
      <c r="Q7" s="72" t="s">
        <v>170</v>
      </c>
      <c r="R7" s="72" t="s">
        <v>170</v>
      </c>
      <c r="S7" s="72" t="s">
        <v>170</v>
      </c>
      <c r="T7" s="72" t="s">
        <v>170</v>
      </c>
      <c r="U7" s="73" t="s">
        <v>184</v>
      </c>
      <c r="V7" s="72" t="s">
        <v>170</v>
      </c>
      <c r="W7" s="72" t="s">
        <v>170</v>
      </c>
      <c r="X7" s="72" t="s">
        <v>170</v>
      </c>
      <c r="Y7" s="72" t="s">
        <v>170</v>
      </c>
      <c r="Z7" s="72" t="s">
        <v>173</v>
      </c>
      <c r="AA7" s="72" t="s">
        <v>170</v>
      </c>
      <c r="AB7" s="72" t="s">
        <v>170</v>
      </c>
      <c r="AC7" s="72" t="s">
        <v>170</v>
      </c>
      <c r="AD7" s="72" t="s">
        <v>170</v>
      </c>
      <c r="AE7" s="99"/>
      <c r="AF7" s="72" t="s">
        <v>170</v>
      </c>
      <c r="AG7" s="72" t="s">
        <v>170</v>
      </c>
      <c r="AH7" s="72" t="s">
        <v>170</v>
      </c>
      <c r="AI7" s="72" t="s">
        <v>170</v>
      </c>
      <c r="AJ7" s="72" t="s">
        <v>170</v>
      </c>
      <c r="AK7" s="72" t="s">
        <v>170</v>
      </c>
      <c r="AL7" s="99"/>
      <c r="AM7" s="72" t="s">
        <v>170</v>
      </c>
      <c r="AN7" s="72" t="s">
        <v>170</v>
      </c>
      <c r="AO7" s="72" t="s">
        <v>170</v>
      </c>
      <c r="AP7" s="99"/>
      <c r="AQ7" s="72" t="s">
        <v>170</v>
      </c>
      <c r="AR7" s="72" t="s">
        <v>170</v>
      </c>
      <c r="AS7" s="99"/>
      <c r="AT7" s="72" t="s">
        <v>170</v>
      </c>
      <c r="AU7" s="72" t="s">
        <v>173</v>
      </c>
      <c r="AV7" s="72" t="s">
        <v>170</v>
      </c>
      <c r="AW7" s="72" t="s">
        <v>170</v>
      </c>
      <c r="AX7" s="72" t="s">
        <v>170</v>
      </c>
      <c r="AY7" s="99"/>
      <c r="AZ7" s="72" t="s">
        <v>170</v>
      </c>
      <c r="BA7" s="72" t="s">
        <v>170</v>
      </c>
      <c r="BB7" s="72" t="s">
        <v>170</v>
      </c>
      <c r="BC7" s="72" t="s">
        <v>170</v>
      </c>
      <c r="BD7" s="72" t="s">
        <v>170</v>
      </c>
      <c r="BE7" s="72" t="s">
        <v>170</v>
      </c>
      <c r="BF7" s="72" t="s">
        <v>170</v>
      </c>
      <c r="BG7" s="72" t="s">
        <v>170</v>
      </c>
      <c r="BH7" s="72" t="s">
        <v>170</v>
      </c>
      <c r="BI7" s="73" t="s">
        <v>170</v>
      </c>
      <c r="BJ7" s="99"/>
      <c r="BK7" s="73" t="s">
        <v>170</v>
      </c>
      <c r="BL7" s="73" t="s">
        <v>170</v>
      </c>
      <c r="BM7" s="72" t="s">
        <v>170</v>
      </c>
      <c r="BN7" s="73" t="s">
        <v>170</v>
      </c>
      <c r="BO7" s="72" t="s">
        <v>173</v>
      </c>
      <c r="BP7" s="72"/>
      <c r="BQ7" s="72"/>
      <c r="BR7" s="72"/>
      <c r="BS7" s="72"/>
      <c r="BT7" s="72"/>
      <c r="BU7" s="72" t="s">
        <v>170</v>
      </c>
      <c r="BV7" s="72" t="s">
        <v>170</v>
      </c>
      <c r="BW7" s="72" t="s">
        <v>170</v>
      </c>
      <c r="BX7" s="72" t="s">
        <v>170</v>
      </c>
      <c r="BY7" s="72"/>
      <c r="BZ7" s="72"/>
      <c r="CA7" s="72"/>
      <c r="CB7" s="72"/>
      <c r="CC7" s="72"/>
      <c r="CD7" s="72"/>
      <c r="CE7" s="72"/>
      <c r="CF7" s="72"/>
      <c r="CG7" s="72"/>
      <c r="CH7" s="72"/>
      <c r="CI7" s="99"/>
      <c r="CJ7" s="72"/>
      <c r="CK7" s="72"/>
      <c r="CL7" s="72"/>
      <c r="CM7" s="72"/>
      <c r="CN7" s="72"/>
      <c r="CO7" s="72"/>
      <c r="CP7" s="72"/>
      <c r="CQ7" s="72"/>
      <c r="CR7" s="72"/>
      <c r="CS7" s="72"/>
    </row>
    <row r="8" spans="1:97" ht="15.75" hidden="1" customHeight="1">
      <c r="A8" s="69" t="s">
        <v>185</v>
      </c>
      <c r="B8" s="70" t="s">
        <v>170</v>
      </c>
      <c r="C8" s="72" t="s">
        <v>170</v>
      </c>
      <c r="D8" s="72" t="s">
        <v>170</v>
      </c>
      <c r="E8" s="72" t="s">
        <v>170</v>
      </c>
      <c r="F8" s="72" t="s">
        <v>170</v>
      </c>
      <c r="G8" s="72" t="s">
        <v>170</v>
      </c>
      <c r="H8" s="72" t="s">
        <v>170</v>
      </c>
      <c r="I8" s="72" t="s">
        <v>170</v>
      </c>
      <c r="J8" s="72" t="s">
        <v>170</v>
      </c>
      <c r="K8" s="72" t="s">
        <v>170</v>
      </c>
      <c r="L8" s="72" t="s">
        <v>173</v>
      </c>
      <c r="M8" s="72" t="s">
        <v>170</v>
      </c>
      <c r="N8" s="72" t="s">
        <v>170</v>
      </c>
      <c r="O8" s="72" t="s">
        <v>172</v>
      </c>
      <c r="P8" s="73" t="s">
        <v>170</v>
      </c>
      <c r="Q8" s="72" t="s">
        <v>170</v>
      </c>
      <c r="R8" s="72" t="s">
        <v>170</v>
      </c>
      <c r="S8" s="72" t="s">
        <v>170</v>
      </c>
      <c r="T8" s="72" t="s">
        <v>170</v>
      </c>
      <c r="U8" s="73" t="s">
        <v>170</v>
      </c>
      <c r="V8" s="72" t="s">
        <v>170</v>
      </c>
      <c r="W8" s="72" t="s">
        <v>186</v>
      </c>
      <c r="X8" s="72" t="s">
        <v>170</v>
      </c>
      <c r="Y8" s="72" t="s">
        <v>170</v>
      </c>
      <c r="Z8" s="72" t="s">
        <v>170</v>
      </c>
      <c r="AA8" s="72" t="s">
        <v>170</v>
      </c>
      <c r="AB8" s="72" t="s">
        <v>173</v>
      </c>
      <c r="AC8" s="72" t="s">
        <v>170</v>
      </c>
      <c r="AD8" s="72" t="s">
        <v>170</v>
      </c>
      <c r="AE8" s="99"/>
      <c r="AF8" s="72" t="s">
        <v>170</v>
      </c>
      <c r="AG8" s="72" t="s">
        <v>170</v>
      </c>
      <c r="AH8" s="72" t="s">
        <v>170</v>
      </c>
      <c r="AI8" s="72" t="s">
        <v>170</v>
      </c>
      <c r="AJ8" s="72" t="s">
        <v>170</v>
      </c>
      <c r="AK8" s="72" t="s">
        <v>170</v>
      </c>
      <c r="AL8" s="99"/>
      <c r="AM8" s="72" t="s">
        <v>170</v>
      </c>
      <c r="AN8" s="72" t="s">
        <v>173</v>
      </c>
      <c r="AO8" s="72" t="s">
        <v>170</v>
      </c>
      <c r="AP8" s="99"/>
      <c r="AQ8" s="72" t="s">
        <v>170</v>
      </c>
      <c r="AR8" s="72" t="s">
        <v>170</v>
      </c>
      <c r="AS8" s="99"/>
      <c r="AT8" s="72" t="s">
        <v>170</v>
      </c>
      <c r="AU8" s="72" t="s">
        <v>170</v>
      </c>
      <c r="AV8" s="72" t="s">
        <v>170</v>
      </c>
      <c r="AW8" s="72" t="s">
        <v>170</v>
      </c>
      <c r="AX8" s="72" t="s">
        <v>170</v>
      </c>
      <c r="AY8" s="99"/>
      <c r="AZ8" s="72" t="s">
        <v>170</v>
      </c>
      <c r="BA8" s="72" t="s">
        <v>170</v>
      </c>
      <c r="BB8" s="72" t="s">
        <v>170</v>
      </c>
      <c r="BC8" s="72" t="s">
        <v>170</v>
      </c>
      <c r="BD8" s="72" t="s">
        <v>170</v>
      </c>
      <c r="BE8" s="72" t="s">
        <v>170</v>
      </c>
      <c r="BF8" s="72" t="s">
        <v>170</v>
      </c>
      <c r="BG8" s="72" t="s">
        <v>187</v>
      </c>
      <c r="BH8" s="72" t="s">
        <v>170</v>
      </c>
      <c r="BI8" s="73" t="s">
        <v>170</v>
      </c>
      <c r="BJ8" s="99"/>
      <c r="BK8" s="73" t="s">
        <v>170</v>
      </c>
      <c r="BL8" s="73" t="s">
        <v>170</v>
      </c>
      <c r="BM8" s="72" t="s">
        <v>170</v>
      </c>
      <c r="BN8" s="73" t="s">
        <v>170</v>
      </c>
      <c r="BO8" s="72" t="s">
        <v>170</v>
      </c>
      <c r="BP8" s="72" t="s">
        <v>170</v>
      </c>
      <c r="BQ8" s="72" t="s">
        <v>170</v>
      </c>
      <c r="BR8" s="72" t="s">
        <v>170</v>
      </c>
      <c r="BS8" s="72" t="s">
        <v>170</v>
      </c>
      <c r="BT8" s="72" t="s">
        <v>170</v>
      </c>
      <c r="BU8" s="72" t="s">
        <v>170</v>
      </c>
      <c r="BV8" s="72" t="s">
        <v>170</v>
      </c>
      <c r="BW8" s="72" t="s">
        <v>170</v>
      </c>
      <c r="BX8" s="72" t="s">
        <v>188</v>
      </c>
      <c r="BY8" s="72"/>
      <c r="BZ8" s="72"/>
      <c r="CA8" s="72"/>
      <c r="CB8" s="72"/>
      <c r="CC8" s="72"/>
      <c r="CD8" s="72"/>
      <c r="CE8" s="72"/>
      <c r="CF8" s="72"/>
      <c r="CG8" s="72"/>
      <c r="CH8" s="72"/>
      <c r="CI8" s="99"/>
      <c r="CJ8" s="72"/>
      <c r="CK8" s="72"/>
      <c r="CL8" s="72"/>
      <c r="CM8" s="72"/>
      <c r="CN8" s="72"/>
      <c r="CO8" s="72"/>
      <c r="CP8" s="72"/>
      <c r="CQ8" s="72"/>
      <c r="CR8" s="72"/>
      <c r="CS8" s="72"/>
    </row>
    <row r="9" spans="1:97" ht="15.75">
      <c r="A9" s="69" t="s">
        <v>189</v>
      </c>
      <c r="B9" s="70" t="s">
        <v>170</v>
      </c>
      <c r="C9" s="72" t="s">
        <v>170</v>
      </c>
      <c r="D9" s="72" t="s">
        <v>170</v>
      </c>
      <c r="E9" s="72" t="s">
        <v>170</v>
      </c>
      <c r="F9" s="72" t="s">
        <v>170</v>
      </c>
      <c r="G9" s="72" t="s">
        <v>170</v>
      </c>
      <c r="H9" s="72" t="s">
        <v>170</v>
      </c>
      <c r="I9" s="72" t="s">
        <v>170</v>
      </c>
      <c r="J9" s="72" t="s">
        <v>170</v>
      </c>
      <c r="K9" s="72" t="s">
        <v>170</v>
      </c>
      <c r="L9" s="72" t="s">
        <v>170</v>
      </c>
      <c r="M9" s="72" t="s">
        <v>170</v>
      </c>
      <c r="N9" s="72" t="s">
        <v>170</v>
      </c>
      <c r="O9" s="75" t="s">
        <v>181</v>
      </c>
      <c r="P9" s="73" t="s">
        <v>170</v>
      </c>
      <c r="Q9" s="72" t="s">
        <v>170</v>
      </c>
      <c r="R9" s="72" t="s">
        <v>170</v>
      </c>
      <c r="S9" s="72" t="s">
        <v>170</v>
      </c>
      <c r="T9" s="72" t="s">
        <v>170</v>
      </c>
      <c r="U9" s="73" t="s">
        <v>170</v>
      </c>
      <c r="V9" s="72" t="s">
        <v>170</v>
      </c>
      <c r="W9" s="72" t="s">
        <v>170</v>
      </c>
      <c r="X9" s="72" t="s">
        <v>170</v>
      </c>
      <c r="Y9" s="72" t="s">
        <v>170</v>
      </c>
      <c r="Z9" s="72" t="s">
        <v>170</v>
      </c>
      <c r="AA9" s="72" t="s">
        <v>170</v>
      </c>
      <c r="AB9" s="72" t="s">
        <v>170</v>
      </c>
      <c r="AC9" s="72" t="s">
        <v>170</v>
      </c>
      <c r="AD9" s="72" t="s">
        <v>170</v>
      </c>
      <c r="AE9" s="99"/>
      <c r="AF9" s="72" t="s">
        <v>170</v>
      </c>
      <c r="AG9" s="72" t="s">
        <v>170</v>
      </c>
      <c r="AH9" s="72" t="s">
        <v>170</v>
      </c>
      <c r="AI9" s="72" t="s">
        <v>170</v>
      </c>
      <c r="AJ9" s="72" t="s">
        <v>170</v>
      </c>
      <c r="AK9" s="72" t="s">
        <v>170</v>
      </c>
      <c r="AL9" s="99"/>
      <c r="AM9" s="72" t="s">
        <v>170</v>
      </c>
      <c r="AN9" s="72" t="s">
        <v>170</v>
      </c>
      <c r="AO9" s="72" t="s">
        <v>170</v>
      </c>
      <c r="AP9" s="99"/>
      <c r="AQ9" s="72" t="s">
        <v>170</v>
      </c>
      <c r="AR9" s="72" t="s">
        <v>170</v>
      </c>
      <c r="AS9" s="99"/>
      <c r="AT9" s="72" t="s">
        <v>170</v>
      </c>
      <c r="AU9" s="72" t="s">
        <v>170</v>
      </c>
      <c r="AV9" s="72" t="s">
        <v>170</v>
      </c>
      <c r="AW9" s="72" t="s">
        <v>170</v>
      </c>
      <c r="AX9" s="72" t="s">
        <v>170</v>
      </c>
      <c r="AY9" s="99"/>
      <c r="AZ9" s="72" t="s">
        <v>170</v>
      </c>
      <c r="BA9" s="72" t="s">
        <v>170</v>
      </c>
      <c r="BB9" s="72" t="s">
        <v>170</v>
      </c>
      <c r="BC9" s="72" t="s">
        <v>170</v>
      </c>
      <c r="BD9" s="72" t="s">
        <v>170</v>
      </c>
      <c r="BE9" s="72" t="s">
        <v>170</v>
      </c>
      <c r="BF9" s="72" t="s">
        <v>170</v>
      </c>
      <c r="BG9" s="72" t="s">
        <v>170</v>
      </c>
      <c r="BH9" s="72" t="s">
        <v>170</v>
      </c>
      <c r="BI9" s="73" t="s">
        <v>170</v>
      </c>
      <c r="BJ9" s="99"/>
      <c r="BK9" s="73" t="s">
        <v>170</v>
      </c>
      <c r="BL9" s="73" t="s">
        <v>170</v>
      </c>
      <c r="BM9" s="72" t="s">
        <v>170</v>
      </c>
      <c r="BN9" s="73" t="s">
        <v>170</v>
      </c>
      <c r="BO9" s="72" t="s">
        <v>170</v>
      </c>
      <c r="BP9" s="72" t="s">
        <v>170</v>
      </c>
      <c r="BQ9" s="72" t="s">
        <v>170</v>
      </c>
      <c r="BR9" s="72" t="s">
        <v>170</v>
      </c>
      <c r="BS9" s="72" t="s">
        <v>170</v>
      </c>
      <c r="BT9" s="72" t="s">
        <v>170</v>
      </c>
      <c r="BU9" s="72" t="s">
        <v>170</v>
      </c>
      <c r="BV9" s="72" t="s">
        <v>170</v>
      </c>
      <c r="BW9" s="72" t="s">
        <v>170</v>
      </c>
      <c r="BX9" s="72" t="s">
        <v>170</v>
      </c>
      <c r="BY9" s="72" t="s">
        <v>170</v>
      </c>
      <c r="BZ9" s="72" t="s">
        <v>170</v>
      </c>
      <c r="CA9" s="72" t="s">
        <v>170</v>
      </c>
      <c r="CB9" s="72" t="s">
        <v>170</v>
      </c>
      <c r="CC9" s="72" t="s">
        <v>170</v>
      </c>
      <c r="CD9" s="72" t="s">
        <v>170</v>
      </c>
      <c r="CE9" s="72" t="s">
        <v>170</v>
      </c>
      <c r="CF9" s="72" t="s">
        <v>170</v>
      </c>
      <c r="CG9" s="72"/>
      <c r="CH9" s="72"/>
      <c r="CI9" s="99"/>
      <c r="CJ9" s="72"/>
      <c r="CK9" s="72"/>
      <c r="CL9" s="72"/>
      <c r="CM9" s="72"/>
      <c r="CN9" s="72"/>
      <c r="CO9" s="72"/>
      <c r="CP9" s="72"/>
      <c r="CQ9" s="72"/>
      <c r="CR9" s="72"/>
      <c r="CS9" s="72" t="s">
        <v>170</v>
      </c>
    </row>
    <row r="10" spans="1:97" ht="15.75">
      <c r="A10" s="69" t="s">
        <v>190</v>
      </c>
      <c r="B10" s="70" t="s">
        <v>170</v>
      </c>
      <c r="C10" s="72" t="s">
        <v>170</v>
      </c>
      <c r="D10" s="72" t="s">
        <v>170</v>
      </c>
      <c r="E10" s="72" t="s">
        <v>170</v>
      </c>
      <c r="F10" s="72" t="s">
        <v>170</v>
      </c>
      <c r="G10" s="72" t="s">
        <v>170</v>
      </c>
      <c r="H10" s="72" t="s">
        <v>170</v>
      </c>
      <c r="I10" s="72" t="s">
        <v>173</v>
      </c>
      <c r="J10" s="72" t="s">
        <v>170</v>
      </c>
      <c r="K10" s="72" t="s">
        <v>173</v>
      </c>
      <c r="L10" s="72" t="s">
        <v>170</v>
      </c>
      <c r="M10" s="72" t="s">
        <v>170</v>
      </c>
      <c r="N10" s="72" t="s">
        <v>173</v>
      </c>
      <c r="O10" s="72" t="s">
        <v>172</v>
      </c>
      <c r="P10" s="73" t="s">
        <v>173</v>
      </c>
      <c r="Q10" s="72" t="s">
        <v>173</v>
      </c>
      <c r="R10" s="72" t="s">
        <v>170</v>
      </c>
      <c r="S10" s="72" t="s">
        <v>170</v>
      </c>
      <c r="T10" s="72" t="s">
        <v>170</v>
      </c>
      <c r="U10" s="73" t="s">
        <v>173</v>
      </c>
      <c r="V10" s="72" t="s">
        <v>170</v>
      </c>
      <c r="W10" s="72" t="s">
        <v>170</v>
      </c>
      <c r="X10" s="72" t="s">
        <v>170</v>
      </c>
      <c r="Y10" s="72" t="s">
        <v>170</v>
      </c>
      <c r="Z10" s="72" t="s">
        <v>170</v>
      </c>
      <c r="AA10" s="72" t="s">
        <v>170</v>
      </c>
      <c r="AB10" s="72" t="s">
        <v>170</v>
      </c>
      <c r="AC10" s="72" t="s">
        <v>170</v>
      </c>
      <c r="AD10" s="72" t="s">
        <v>170</v>
      </c>
      <c r="AE10" s="99"/>
      <c r="AF10" s="72" t="s">
        <v>170</v>
      </c>
      <c r="AG10" s="72" t="s">
        <v>170</v>
      </c>
      <c r="AH10" s="72" t="s">
        <v>170</v>
      </c>
      <c r="AI10" s="72" t="s">
        <v>170</v>
      </c>
      <c r="AJ10" s="72" t="s">
        <v>170</v>
      </c>
      <c r="AK10" s="72" t="s">
        <v>173</v>
      </c>
      <c r="AL10" s="99"/>
      <c r="AM10" s="72" t="s">
        <v>173</v>
      </c>
      <c r="AN10" s="72" t="s">
        <v>170</v>
      </c>
      <c r="AO10" s="72" t="s">
        <v>170</v>
      </c>
      <c r="AP10" s="99"/>
      <c r="AQ10" s="72" t="s">
        <v>170</v>
      </c>
      <c r="AR10" s="72" t="s">
        <v>170</v>
      </c>
      <c r="AS10" s="99"/>
      <c r="AT10" s="72" t="s">
        <v>170</v>
      </c>
      <c r="AU10" s="72" t="s">
        <v>170</v>
      </c>
      <c r="AV10" s="72" t="s">
        <v>170</v>
      </c>
      <c r="AW10" s="72" t="s">
        <v>170</v>
      </c>
      <c r="AX10" s="72" t="s">
        <v>170</v>
      </c>
      <c r="AY10" s="99"/>
      <c r="AZ10" s="72" t="s">
        <v>170</v>
      </c>
      <c r="BA10" s="72" t="s">
        <v>173</v>
      </c>
      <c r="BB10" s="72" t="s">
        <v>173</v>
      </c>
      <c r="BC10" s="72" t="s">
        <v>173</v>
      </c>
      <c r="BD10" s="72" t="s">
        <v>173</v>
      </c>
      <c r="BE10" s="72" t="s">
        <v>173</v>
      </c>
      <c r="BF10" s="72" t="s">
        <v>170</v>
      </c>
      <c r="BG10" s="72" t="s">
        <v>170</v>
      </c>
      <c r="BH10" s="72" t="s">
        <v>170</v>
      </c>
      <c r="BI10" s="73" t="s">
        <v>170</v>
      </c>
      <c r="BJ10" s="99"/>
      <c r="BK10" s="73" t="s">
        <v>170</v>
      </c>
      <c r="BL10" s="73" t="s">
        <v>170</v>
      </c>
      <c r="BM10" s="72" t="s">
        <v>170</v>
      </c>
      <c r="BN10" s="73" t="s">
        <v>170</v>
      </c>
      <c r="BO10" s="72" t="s">
        <v>170</v>
      </c>
      <c r="BP10" s="72" t="s">
        <v>170</v>
      </c>
      <c r="BQ10" s="72" t="s">
        <v>170</v>
      </c>
      <c r="BR10" s="72" t="s">
        <v>170</v>
      </c>
      <c r="BS10" s="72" t="s">
        <v>170</v>
      </c>
      <c r="BT10" s="72" t="s">
        <v>170</v>
      </c>
      <c r="BU10" s="72" t="s">
        <v>170</v>
      </c>
      <c r="BV10" s="72" t="s">
        <v>170</v>
      </c>
      <c r="BW10" s="72" t="s">
        <v>173</v>
      </c>
      <c r="BX10" s="72" t="s">
        <v>170</v>
      </c>
      <c r="BY10" s="72" t="s">
        <v>170</v>
      </c>
      <c r="BZ10" s="72" t="s">
        <v>170</v>
      </c>
      <c r="CA10" s="72" t="s">
        <v>170</v>
      </c>
      <c r="CB10" s="72" t="s">
        <v>170</v>
      </c>
      <c r="CC10" s="72" t="s">
        <v>170</v>
      </c>
      <c r="CD10" s="72" t="s">
        <v>170</v>
      </c>
      <c r="CE10" s="72" t="s">
        <v>170</v>
      </c>
      <c r="CF10" s="72" t="s">
        <v>170</v>
      </c>
      <c r="CG10" s="72"/>
      <c r="CH10" s="72"/>
      <c r="CI10" s="99"/>
      <c r="CJ10" s="72"/>
      <c r="CK10" s="72"/>
      <c r="CL10" s="72"/>
      <c r="CM10" s="72"/>
      <c r="CN10" s="72"/>
      <c r="CO10" s="72"/>
      <c r="CP10" s="72"/>
      <c r="CQ10" s="72"/>
      <c r="CR10" s="72"/>
      <c r="CS10" s="72" t="s">
        <v>170</v>
      </c>
    </row>
    <row r="11" spans="1:97" ht="15.75">
      <c r="A11" s="69" t="s">
        <v>191</v>
      </c>
      <c r="B11" s="70" t="s">
        <v>170</v>
      </c>
      <c r="C11" s="72" t="s">
        <v>170</v>
      </c>
      <c r="D11" s="72" t="s">
        <v>170</v>
      </c>
      <c r="E11" s="72" t="s">
        <v>170</v>
      </c>
      <c r="F11" s="72" t="s">
        <v>170</v>
      </c>
      <c r="G11" s="72" t="s">
        <v>170</v>
      </c>
      <c r="H11" s="72" t="s">
        <v>170</v>
      </c>
      <c r="I11" s="72" t="s">
        <v>170</v>
      </c>
      <c r="J11" s="72" t="s">
        <v>192</v>
      </c>
      <c r="K11" s="72" t="s">
        <v>173</v>
      </c>
      <c r="L11" s="72" t="s">
        <v>170</v>
      </c>
      <c r="M11" s="72" t="s">
        <v>173</v>
      </c>
      <c r="N11" s="72" t="s">
        <v>170</v>
      </c>
      <c r="O11" s="72" t="s">
        <v>172</v>
      </c>
      <c r="P11" s="73" t="s">
        <v>170</v>
      </c>
      <c r="Q11" s="72" t="s">
        <v>170</v>
      </c>
      <c r="R11" s="72" t="s">
        <v>170</v>
      </c>
      <c r="S11" s="72" t="s">
        <v>173</v>
      </c>
      <c r="T11" s="72" t="s">
        <v>173</v>
      </c>
      <c r="U11" s="73" t="s">
        <v>173</v>
      </c>
      <c r="V11" s="72" t="s">
        <v>170</v>
      </c>
      <c r="W11" s="72" t="s">
        <v>170</v>
      </c>
      <c r="X11" s="72" t="s">
        <v>170</v>
      </c>
      <c r="Y11" s="72" t="s">
        <v>170</v>
      </c>
      <c r="Z11" s="72" t="s">
        <v>170</v>
      </c>
      <c r="AA11" s="72" t="s">
        <v>170</v>
      </c>
      <c r="AB11" s="72" t="s">
        <v>170</v>
      </c>
      <c r="AC11" s="72" t="s">
        <v>170</v>
      </c>
      <c r="AD11" s="72" t="s">
        <v>173</v>
      </c>
      <c r="AE11" s="99"/>
      <c r="AF11" s="72" t="s">
        <v>170</v>
      </c>
      <c r="AG11" s="72" t="s">
        <v>170</v>
      </c>
      <c r="AH11" s="72" t="s">
        <v>170</v>
      </c>
      <c r="AI11" s="72" t="s">
        <v>170</v>
      </c>
      <c r="AJ11" s="72" t="s">
        <v>170</v>
      </c>
      <c r="AK11" s="72" t="s">
        <v>170</v>
      </c>
      <c r="AL11" s="99"/>
      <c r="AM11" s="72" t="s">
        <v>170</v>
      </c>
      <c r="AN11" s="72" t="s">
        <v>170</v>
      </c>
      <c r="AO11" s="72" t="s">
        <v>170</v>
      </c>
      <c r="AP11" s="99"/>
      <c r="AQ11" s="72" t="s">
        <v>170</v>
      </c>
      <c r="AR11" s="72" t="s">
        <v>170</v>
      </c>
      <c r="AS11" s="99"/>
      <c r="AT11" s="72" t="s">
        <v>170</v>
      </c>
      <c r="AU11" s="72" t="s">
        <v>173</v>
      </c>
      <c r="AV11" s="72" t="s">
        <v>173</v>
      </c>
      <c r="AW11" s="72" t="s">
        <v>170</v>
      </c>
      <c r="AX11" s="72" t="s">
        <v>170</v>
      </c>
      <c r="AY11" s="99"/>
      <c r="AZ11" s="72" t="s">
        <v>173</v>
      </c>
      <c r="BA11" s="72" t="s">
        <v>170</v>
      </c>
      <c r="BB11" s="72" t="s">
        <v>170</v>
      </c>
      <c r="BC11" s="72" t="s">
        <v>170</v>
      </c>
      <c r="BD11" s="72" t="s">
        <v>170</v>
      </c>
      <c r="BE11" s="72" t="s">
        <v>173</v>
      </c>
      <c r="BF11" s="72" t="s">
        <v>173</v>
      </c>
      <c r="BG11" s="72" t="s">
        <v>173</v>
      </c>
      <c r="BH11" s="72" t="s">
        <v>170</v>
      </c>
      <c r="BI11" s="73" t="s">
        <v>170</v>
      </c>
      <c r="BJ11" s="99"/>
      <c r="BK11" s="73" t="s">
        <v>170</v>
      </c>
      <c r="BL11" s="73" t="s">
        <v>170</v>
      </c>
      <c r="BM11" s="72" t="s">
        <v>170</v>
      </c>
      <c r="BN11" s="73" t="s">
        <v>170</v>
      </c>
      <c r="BO11" s="72" t="s">
        <v>173</v>
      </c>
      <c r="BP11" s="72" t="s">
        <v>170</v>
      </c>
      <c r="BQ11" s="72" t="s">
        <v>170</v>
      </c>
      <c r="BR11" s="72" t="s">
        <v>193</v>
      </c>
      <c r="BS11" s="72" t="s">
        <v>170</v>
      </c>
      <c r="BT11" s="72" t="s">
        <v>170</v>
      </c>
      <c r="BU11" s="72" t="s">
        <v>170</v>
      </c>
      <c r="BV11" s="72" t="s">
        <v>170</v>
      </c>
      <c r="BW11" s="72" t="s">
        <v>170</v>
      </c>
      <c r="BX11" s="72" t="s">
        <v>170</v>
      </c>
      <c r="BY11" s="72" t="s">
        <v>170</v>
      </c>
      <c r="BZ11" s="72" t="s">
        <v>170</v>
      </c>
      <c r="CA11" s="72" t="s">
        <v>170</v>
      </c>
      <c r="CB11" s="72" t="s">
        <v>173</v>
      </c>
      <c r="CC11" s="72" t="s">
        <v>173</v>
      </c>
      <c r="CD11" s="72" t="s">
        <v>170</v>
      </c>
      <c r="CE11" s="72" t="s">
        <v>170</v>
      </c>
      <c r="CF11" s="72" t="s">
        <v>170</v>
      </c>
      <c r="CG11" s="72"/>
      <c r="CH11" s="72"/>
      <c r="CI11" s="99"/>
      <c r="CJ11" s="72"/>
      <c r="CK11" s="72"/>
      <c r="CL11" s="72"/>
      <c r="CM11" s="72"/>
      <c r="CN11" s="72"/>
      <c r="CO11" s="72"/>
      <c r="CP11" s="72"/>
      <c r="CQ11" s="72"/>
      <c r="CR11" s="72"/>
      <c r="CS11" s="72" t="s">
        <v>170</v>
      </c>
    </row>
    <row r="12" spans="1:97" ht="15.75">
      <c r="A12" s="69" t="s">
        <v>194</v>
      </c>
      <c r="B12" s="70" t="s">
        <v>170</v>
      </c>
      <c r="C12" s="72" t="s">
        <v>173</v>
      </c>
      <c r="D12" s="72" t="s">
        <v>170</v>
      </c>
      <c r="E12" s="72" t="s">
        <v>170</v>
      </c>
      <c r="F12" s="72" t="s">
        <v>173</v>
      </c>
      <c r="G12" s="72" t="s">
        <v>173</v>
      </c>
      <c r="H12" s="72" t="s">
        <v>170</v>
      </c>
      <c r="I12" s="72" t="s">
        <v>173</v>
      </c>
      <c r="J12" s="72" t="s">
        <v>170</v>
      </c>
      <c r="K12" s="72" t="s">
        <v>173</v>
      </c>
      <c r="L12" s="72" t="s">
        <v>170</v>
      </c>
      <c r="M12" s="72" t="s">
        <v>173</v>
      </c>
      <c r="N12" s="72" t="s">
        <v>173</v>
      </c>
      <c r="O12" s="72" t="s">
        <v>172</v>
      </c>
      <c r="P12" s="73" t="s">
        <v>170</v>
      </c>
      <c r="Q12" s="72" t="s">
        <v>173</v>
      </c>
      <c r="R12" s="72" t="s">
        <v>173</v>
      </c>
      <c r="S12" s="72" t="s">
        <v>173</v>
      </c>
      <c r="T12" s="72" t="s">
        <v>173</v>
      </c>
      <c r="U12" s="73" t="s">
        <v>173</v>
      </c>
      <c r="V12" s="72" t="s">
        <v>173</v>
      </c>
      <c r="W12" s="72" t="s">
        <v>170</v>
      </c>
      <c r="X12" s="72" t="s">
        <v>173</v>
      </c>
      <c r="Y12" s="72" t="s">
        <v>173</v>
      </c>
      <c r="Z12" s="72" t="s">
        <v>170</v>
      </c>
      <c r="AA12" s="72" t="s">
        <v>173</v>
      </c>
      <c r="AB12" s="72" t="s">
        <v>173</v>
      </c>
      <c r="AC12" s="72" t="s">
        <v>170</v>
      </c>
      <c r="AD12" s="72" t="s">
        <v>173</v>
      </c>
      <c r="AE12" s="99"/>
      <c r="AF12" s="72" t="s">
        <v>173</v>
      </c>
      <c r="AG12" s="72" t="s">
        <v>173</v>
      </c>
      <c r="AH12" s="72" t="s">
        <v>173</v>
      </c>
      <c r="AI12" s="72" t="s">
        <v>173</v>
      </c>
      <c r="AJ12" s="72" t="s">
        <v>170</v>
      </c>
      <c r="AK12" s="72" t="s">
        <v>170</v>
      </c>
      <c r="AL12" s="99"/>
      <c r="AM12" s="72" t="s">
        <v>173</v>
      </c>
      <c r="AN12" s="72" t="s">
        <v>173</v>
      </c>
      <c r="AO12" s="72" t="s">
        <v>173</v>
      </c>
      <c r="AP12" s="99"/>
      <c r="AQ12" s="72" t="s">
        <v>173</v>
      </c>
      <c r="AR12" s="72" t="s">
        <v>173</v>
      </c>
      <c r="AS12" s="99"/>
      <c r="AT12" s="72" t="s">
        <v>173</v>
      </c>
      <c r="AU12" s="72" t="s">
        <v>173</v>
      </c>
      <c r="AV12" s="72" t="s">
        <v>170</v>
      </c>
      <c r="AW12" s="72" t="s">
        <v>170</v>
      </c>
      <c r="AX12" s="72" t="s">
        <v>173</v>
      </c>
      <c r="AY12" s="99"/>
      <c r="AZ12" s="72" t="s">
        <v>173</v>
      </c>
      <c r="BA12" s="72" t="s">
        <v>173</v>
      </c>
      <c r="BB12" s="72" t="s">
        <v>173</v>
      </c>
      <c r="BC12" s="72" t="s">
        <v>170</v>
      </c>
      <c r="BD12" s="72" t="s">
        <v>173</v>
      </c>
      <c r="BE12" s="72" t="s">
        <v>170</v>
      </c>
      <c r="BF12" s="72" t="s">
        <v>173</v>
      </c>
      <c r="BG12" s="72" t="s">
        <v>173</v>
      </c>
      <c r="BH12" s="72" t="s">
        <v>170</v>
      </c>
      <c r="BI12" s="73" t="s">
        <v>173</v>
      </c>
      <c r="BJ12" s="99"/>
      <c r="BK12" s="73" t="s">
        <v>173</v>
      </c>
      <c r="BL12" s="73" t="s">
        <v>173</v>
      </c>
      <c r="BM12" s="72" t="s">
        <v>170</v>
      </c>
      <c r="BN12" s="73" t="s">
        <v>173</v>
      </c>
      <c r="BO12" s="72" t="s">
        <v>173</v>
      </c>
      <c r="BP12" s="72" t="s">
        <v>173</v>
      </c>
      <c r="BQ12" s="72" t="s">
        <v>173</v>
      </c>
      <c r="BR12" s="72" t="s">
        <v>170</v>
      </c>
      <c r="BS12" s="72" t="s">
        <v>173</v>
      </c>
      <c r="BT12" s="72" t="s">
        <v>173</v>
      </c>
      <c r="BU12" s="72" t="s">
        <v>170</v>
      </c>
      <c r="BV12" s="72" t="s">
        <v>170</v>
      </c>
      <c r="BW12" s="72" t="s">
        <v>173</v>
      </c>
      <c r="BX12" s="72" t="s">
        <v>173</v>
      </c>
      <c r="BY12" s="72" t="s">
        <v>170</v>
      </c>
      <c r="BZ12" s="72" t="s">
        <v>173</v>
      </c>
      <c r="CA12" s="72" t="s">
        <v>173</v>
      </c>
      <c r="CB12" s="72" t="s">
        <v>170</v>
      </c>
      <c r="CC12" s="72" t="s">
        <v>173</v>
      </c>
      <c r="CD12" s="72" t="s">
        <v>173</v>
      </c>
      <c r="CE12" s="72" t="s">
        <v>170</v>
      </c>
      <c r="CF12" s="72" t="s">
        <v>173</v>
      </c>
      <c r="CG12" s="72"/>
      <c r="CH12" s="72"/>
      <c r="CI12" s="99"/>
      <c r="CJ12" s="72"/>
      <c r="CK12" s="72"/>
      <c r="CL12" s="72"/>
      <c r="CM12" s="72"/>
      <c r="CN12" s="72"/>
      <c r="CO12" s="72"/>
      <c r="CP12" s="72"/>
      <c r="CQ12" s="72"/>
      <c r="CR12" s="72"/>
      <c r="CS12" s="72" t="s">
        <v>173</v>
      </c>
    </row>
    <row r="13" spans="1:97" ht="15.75">
      <c r="A13" s="69" t="s">
        <v>195</v>
      </c>
      <c r="B13" s="70" t="s">
        <v>170</v>
      </c>
      <c r="C13" s="72" t="s">
        <v>173</v>
      </c>
      <c r="D13" s="72" t="s">
        <v>173</v>
      </c>
      <c r="E13" s="72" t="s">
        <v>173</v>
      </c>
      <c r="F13" s="72" t="s">
        <v>173</v>
      </c>
      <c r="G13" s="72" t="s">
        <v>173</v>
      </c>
      <c r="H13" s="72" t="s">
        <v>173</v>
      </c>
      <c r="I13" s="72" t="s">
        <v>173</v>
      </c>
      <c r="J13" s="72" t="s">
        <v>170</v>
      </c>
      <c r="K13" s="72" t="s">
        <v>173</v>
      </c>
      <c r="L13" s="72" t="s">
        <v>173</v>
      </c>
      <c r="M13" s="72" t="s">
        <v>170</v>
      </c>
      <c r="N13" s="72" t="s">
        <v>173</v>
      </c>
      <c r="O13" s="72" t="s">
        <v>172</v>
      </c>
      <c r="P13" s="73" t="s">
        <v>173</v>
      </c>
      <c r="Q13" s="72" t="s">
        <v>173</v>
      </c>
      <c r="R13" s="72" t="s">
        <v>173</v>
      </c>
      <c r="S13" s="72" t="s">
        <v>173</v>
      </c>
      <c r="T13" s="72" t="s">
        <v>173</v>
      </c>
      <c r="U13" s="73" t="s">
        <v>173</v>
      </c>
      <c r="V13" s="72" t="s">
        <v>170</v>
      </c>
      <c r="W13" s="72" t="s">
        <v>173</v>
      </c>
      <c r="X13" s="72" t="s">
        <v>173</v>
      </c>
      <c r="Y13" s="72" t="s">
        <v>173</v>
      </c>
      <c r="Z13" s="72" t="s">
        <v>173</v>
      </c>
      <c r="AA13" s="72" t="s">
        <v>173</v>
      </c>
      <c r="AB13" s="72" t="s">
        <v>173</v>
      </c>
      <c r="AC13" s="72" t="s">
        <v>170</v>
      </c>
      <c r="AD13" s="72" t="s">
        <v>173</v>
      </c>
      <c r="AE13" s="100"/>
      <c r="AF13" s="72" t="s">
        <v>173</v>
      </c>
      <c r="AG13" s="72" t="s">
        <v>173</v>
      </c>
      <c r="AH13" s="72" t="s">
        <v>173</v>
      </c>
      <c r="AI13" s="72" t="s">
        <v>170</v>
      </c>
      <c r="AJ13" s="72" t="s">
        <v>173</v>
      </c>
      <c r="AK13" s="72" t="s">
        <v>173</v>
      </c>
      <c r="AL13" s="100"/>
      <c r="AM13" s="72" t="s">
        <v>173</v>
      </c>
      <c r="AN13" s="72" t="s">
        <v>173</v>
      </c>
      <c r="AO13" s="72" t="s">
        <v>173</v>
      </c>
      <c r="AP13" s="100"/>
      <c r="AQ13" s="72" t="s">
        <v>173</v>
      </c>
      <c r="AR13" s="72" t="s">
        <v>173</v>
      </c>
      <c r="AS13" s="100"/>
      <c r="AT13" s="72" t="s">
        <v>173</v>
      </c>
      <c r="AU13" s="72" t="s">
        <v>173</v>
      </c>
      <c r="AV13" s="72" t="s">
        <v>173</v>
      </c>
      <c r="AW13" s="72" t="s">
        <v>173</v>
      </c>
      <c r="AX13" s="72" t="s">
        <v>173</v>
      </c>
      <c r="AY13" s="100"/>
      <c r="AZ13" s="72" t="s">
        <v>173</v>
      </c>
      <c r="BA13" s="72" t="s">
        <v>173</v>
      </c>
      <c r="BB13" s="72" t="s">
        <v>173</v>
      </c>
      <c r="BC13" s="72" t="s">
        <v>173</v>
      </c>
      <c r="BD13" s="72" t="s">
        <v>173</v>
      </c>
      <c r="BE13" s="72" t="s">
        <v>173</v>
      </c>
      <c r="BF13" s="72" t="s">
        <v>173</v>
      </c>
      <c r="BG13" s="72" t="s">
        <v>173</v>
      </c>
      <c r="BH13" s="72" t="s">
        <v>173</v>
      </c>
      <c r="BI13" s="73" t="s">
        <v>173</v>
      </c>
      <c r="BJ13" s="100"/>
      <c r="BK13" s="73" t="s">
        <v>173</v>
      </c>
      <c r="BL13" s="73" t="s">
        <v>173</v>
      </c>
      <c r="BM13" s="72" t="s">
        <v>173</v>
      </c>
      <c r="BN13" s="73" t="s">
        <v>173</v>
      </c>
      <c r="BO13" s="72" t="s">
        <v>173</v>
      </c>
      <c r="BP13" s="72" t="s">
        <v>173</v>
      </c>
      <c r="BQ13" s="72" t="s">
        <v>173</v>
      </c>
      <c r="BR13" s="72" t="s">
        <v>193</v>
      </c>
      <c r="BS13" s="72" t="s">
        <v>173</v>
      </c>
      <c r="BT13" s="72" t="s">
        <v>173</v>
      </c>
      <c r="BU13" s="72" t="s">
        <v>173</v>
      </c>
      <c r="BV13" s="72" t="s">
        <v>173</v>
      </c>
      <c r="BW13" s="72" t="s">
        <v>173</v>
      </c>
      <c r="BX13" s="72" t="s">
        <v>173</v>
      </c>
      <c r="BY13" s="72" t="s">
        <v>173</v>
      </c>
      <c r="BZ13" s="72" t="s">
        <v>173</v>
      </c>
      <c r="CA13" s="72" t="s">
        <v>173</v>
      </c>
      <c r="CB13" s="72" t="s">
        <v>173</v>
      </c>
      <c r="CC13" s="72" t="s">
        <v>173</v>
      </c>
      <c r="CD13" s="72" t="s">
        <v>170</v>
      </c>
      <c r="CE13" s="72" t="s">
        <v>170</v>
      </c>
      <c r="CF13" s="72" t="s">
        <v>170</v>
      </c>
      <c r="CG13" s="72"/>
      <c r="CH13" s="72"/>
      <c r="CI13" s="100"/>
      <c r="CJ13" s="72"/>
      <c r="CK13" s="72"/>
      <c r="CL13" s="72"/>
      <c r="CM13" s="72"/>
      <c r="CN13" s="72"/>
      <c r="CO13" s="72"/>
      <c r="CP13" s="72"/>
      <c r="CQ13" s="72"/>
      <c r="CR13" s="72"/>
      <c r="CS13" s="72" t="s">
        <v>173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76" t="s">
        <v>196</v>
      </c>
      <c r="B1" s="76" t="s">
        <v>2</v>
      </c>
      <c r="C1" s="76" t="s">
        <v>4</v>
      </c>
      <c r="D1" s="76" t="s">
        <v>5</v>
      </c>
      <c r="E1" s="77" t="s">
        <v>8</v>
      </c>
      <c r="F1" s="77" t="s">
        <v>9</v>
      </c>
      <c r="G1" s="78" t="s">
        <v>10</v>
      </c>
      <c r="H1" s="77" t="s">
        <v>11</v>
      </c>
      <c r="I1" s="79" t="s">
        <v>197</v>
      </c>
      <c r="J1" s="80" t="s">
        <v>198</v>
      </c>
      <c r="K1" s="81" t="s">
        <v>199</v>
      </c>
      <c r="L1" s="79" t="s">
        <v>200</v>
      </c>
      <c r="M1" s="82"/>
      <c r="N1" s="82"/>
      <c r="O1" s="82"/>
      <c r="P1" s="82"/>
      <c r="Q1" s="82"/>
      <c r="R1" s="82"/>
      <c r="S1" s="82"/>
      <c r="T1" s="82"/>
      <c r="U1" s="82"/>
      <c r="V1" s="82"/>
      <c r="W1" s="82"/>
      <c r="X1" s="82"/>
      <c r="Y1" s="82"/>
      <c r="Z1" s="82"/>
    </row>
    <row r="2" spans="1:26" ht="38.25">
      <c r="A2" s="83" t="s">
        <v>201</v>
      </c>
      <c r="B2" s="84" t="s">
        <v>202</v>
      </c>
      <c r="C2" s="85"/>
      <c r="D2" s="85" t="s">
        <v>22</v>
      </c>
      <c r="E2" s="86">
        <v>45567</v>
      </c>
      <c r="F2" s="86">
        <v>45567</v>
      </c>
      <c r="G2" s="86">
        <v>45568</v>
      </c>
      <c r="H2" s="86">
        <v>45569</v>
      </c>
      <c r="I2" s="87">
        <f ca="1">IF(ISBLANK(H2), NETWORKDAYS(F2, TODAY(),Hoja2!$A$1:$A$18), NETWORKDAYS(F2, H2, Hoja2!$A$1:$A$18))</f>
        <v>3</v>
      </c>
      <c r="J2" s="86">
        <v>45572</v>
      </c>
      <c r="K2" s="88"/>
      <c r="L2" s="89" t="s">
        <v>203</v>
      </c>
      <c r="M2" s="82"/>
      <c r="N2" s="82"/>
      <c r="O2" s="82"/>
      <c r="P2" s="82"/>
      <c r="Q2" s="82"/>
      <c r="R2" s="82"/>
      <c r="S2" s="82"/>
      <c r="T2" s="82"/>
      <c r="U2" s="82"/>
      <c r="V2" s="82"/>
      <c r="W2" s="82"/>
      <c r="X2" s="82"/>
      <c r="Y2" s="82"/>
      <c r="Z2" s="82"/>
    </row>
    <row r="3" spans="1:26" ht="51">
      <c r="A3" s="83" t="s">
        <v>189</v>
      </c>
      <c r="B3" s="101" t="s">
        <v>204</v>
      </c>
      <c r="C3" s="90" t="s">
        <v>205</v>
      </c>
      <c r="D3" s="85" t="s">
        <v>113</v>
      </c>
      <c r="E3" s="86">
        <v>45575</v>
      </c>
      <c r="F3" s="86"/>
      <c r="G3" s="86"/>
      <c r="H3" s="88">
        <v>0</v>
      </c>
      <c r="I3" s="87">
        <f ca="1">IF(ISBLANK(H3), NETWORKDAYS(F3, TODAY(),Hoja2!$A$1:$A$18), NETWORKDAYS(F3, H3, Hoja2!$A$1:$A$18))</f>
        <v>0</v>
      </c>
      <c r="J3" s="86">
        <v>45569</v>
      </c>
      <c r="K3" s="86"/>
      <c r="L3" s="89" t="s">
        <v>206</v>
      </c>
      <c r="M3" s="91"/>
      <c r="N3" s="82"/>
      <c r="O3" s="82"/>
      <c r="P3" s="82"/>
      <c r="Q3" s="82"/>
      <c r="R3" s="82"/>
      <c r="S3" s="82"/>
      <c r="T3" s="82"/>
      <c r="U3" s="82"/>
      <c r="V3" s="82"/>
      <c r="W3" s="82"/>
      <c r="X3" s="82"/>
      <c r="Y3" s="82"/>
      <c r="Z3" s="82"/>
    </row>
    <row r="4" spans="1:26" ht="51">
      <c r="A4" s="83" t="s">
        <v>189</v>
      </c>
      <c r="B4" s="99"/>
      <c r="C4" s="92" t="s">
        <v>207</v>
      </c>
      <c r="D4" s="85" t="s">
        <v>113</v>
      </c>
      <c r="E4" s="86">
        <v>45575</v>
      </c>
      <c r="F4" s="93"/>
      <c r="G4" s="93"/>
      <c r="H4" s="94">
        <v>0</v>
      </c>
      <c r="I4" s="95">
        <f ca="1">IF(ISBLANK(H4), NETWORKDAYS(F4, TODAY(),Hoja2!$A$1:$A$18), NETWORKDAYS(F4, H4, Hoja2!$A$1:$A$18))</f>
        <v>0</v>
      </c>
      <c r="J4" s="93">
        <v>45569</v>
      </c>
      <c r="K4" s="93"/>
      <c r="L4" s="96" t="s">
        <v>208</v>
      </c>
      <c r="M4" s="91"/>
      <c r="N4" s="82"/>
      <c r="O4" s="82"/>
      <c r="P4" s="82"/>
      <c r="Q4" s="82"/>
      <c r="R4" s="82"/>
      <c r="S4" s="82"/>
      <c r="T4" s="82"/>
      <c r="U4" s="82"/>
      <c r="V4" s="82"/>
      <c r="W4" s="82"/>
      <c r="X4" s="82"/>
      <c r="Y4" s="82"/>
      <c r="Z4" s="82"/>
    </row>
    <row r="5" spans="1:26" ht="51">
      <c r="A5" s="83" t="s">
        <v>189</v>
      </c>
      <c r="B5" s="79" t="s">
        <v>209</v>
      </c>
      <c r="C5" s="85" t="s">
        <v>210</v>
      </c>
      <c r="D5" s="85" t="s">
        <v>113</v>
      </c>
      <c r="E5" s="86">
        <v>45575</v>
      </c>
      <c r="F5" s="86"/>
      <c r="G5" s="86"/>
      <c r="H5" s="88">
        <v>0</v>
      </c>
      <c r="I5" s="87">
        <f ca="1">IF(ISBLANK(H5), NETWORKDAYS(F5, TODAY(),Hoja2!$A$1:$A$18), NETWORKDAYS(F5, H5, Hoja2!$A$1:$A$18))</f>
        <v>0</v>
      </c>
      <c r="J5" s="86">
        <v>45569</v>
      </c>
      <c r="K5" s="86"/>
      <c r="L5" s="89" t="s">
        <v>208</v>
      </c>
      <c r="M5" s="91"/>
      <c r="N5" s="82"/>
      <c r="O5" s="82"/>
      <c r="P5" s="82"/>
      <c r="Q5" s="82"/>
      <c r="R5" s="82"/>
      <c r="S5" s="82"/>
      <c r="T5" s="82"/>
      <c r="U5" s="82"/>
      <c r="V5" s="82"/>
      <c r="W5" s="82"/>
      <c r="X5" s="82"/>
      <c r="Y5" s="82"/>
      <c r="Z5" s="82"/>
    </row>
    <row r="6" spans="1:26">
      <c r="A6" s="97"/>
      <c r="B6" s="97"/>
      <c r="C6" s="97"/>
      <c r="D6" s="97"/>
      <c r="E6" s="97"/>
      <c r="F6" s="97"/>
      <c r="G6" s="97"/>
      <c r="H6" s="97"/>
      <c r="I6" s="97"/>
      <c r="J6" s="97"/>
      <c r="K6" s="97"/>
      <c r="L6" s="97"/>
      <c r="M6" s="97"/>
      <c r="N6" s="97"/>
      <c r="O6" s="97"/>
      <c r="P6" s="97"/>
      <c r="Q6" s="97"/>
      <c r="R6" s="97"/>
      <c r="S6" s="97"/>
      <c r="T6" s="97"/>
      <c r="U6" s="97"/>
      <c r="V6" s="97"/>
      <c r="W6" s="97"/>
      <c r="X6" s="97"/>
      <c r="Y6" s="97"/>
      <c r="Z6" s="97"/>
    </row>
    <row r="7" spans="1:26">
      <c r="A7" s="97"/>
      <c r="B7" s="97"/>
      <c r="C7" s="97"/>
      <c r="D7" s="97"/>
      <c r="E7" s="97"/>
      <c r="F7" s="97"/>
      <c r="G7" s="97"/>
      <c r="H7" s="97"/>
      <c r="I7" s="97"/>
      <c r="J7" s="97"/>
      <c r="K7" s="97"/>
      <c r="L7" s="97"/>
      <c r="M7" s="97"/>
      <c r="N7" s="97"/>
      <c r="O7" s="97"/>
      <c r="P7" s="97"/>
      <c r="Q7" s="97"/>
      <c r="R7" s="97"/>
      <c r="S7" s="97"/>
      <c r="T7" s="97"/>
      <c r="U7" s="97"/>
      <c r="V7" s="97"/>
      <c r="W7" s="97"/>
      <c r="X7" s="97"/>
      <c r="Y7" s="97"/>
      <c r="Z7" s="97"/>
    </row>
    <row r="8" spans="1:26">
      <c r="A8" s="97"/>
      <c r="B8" s="97"/>
      <c r="C8" s="97"/>
      <c r="D8" s="97"/>
      <c r="E8" s="97"/>
      <c r="F8" s="97"/>
      <c r="G8" s="97"/>
      <c r="H8" s="97"/>
      <c r="I8" s="97"/>
      <c r="J8" s="97"/>
      <c r="K8" s="97"/>
      <c r="L8" s="97"/>
      <c r="M8" s="97"/>
      <c r="N8" s="97"/>
      <c r="O8" s="97"/>
      <c r="P8" s="97"/>
      <c r="Q8" s="97"/>
      <c r="R8" s="97"/>
      <c r="S8" s="97"/>
      <c r="T8" s="97"/>
      <c r="U8" s="97"/>
      <c r="V8" s="97"/>
      <c r="W8" s="97"/>
      <c r="X8" s="97"/>
      <c r="Y8" s="97"/>
      <c r="Z8" s="97"/>
    </row>
    <row r="9" spans="1:26">
      <c r="A9" s="97"/>
      <c r="B9" s="97"/>
      <c r="C9" s="97"/>
      <c r="D9" s="97"/>
      <c r="E9" s="97"/>
      <c r="F9" s="97"/>
      <c r="G9" s="97"/>
      <c r="H9" s="97"/>
      <c r="I9" s="97"/>
      <c r="J9" s="97"/>
      <c r="K9" s="97"/>
      <c r="L9" s="97"/>
      <c r="M9" s="97"/>
      <c r="N9" s="97"/>
      <c r="O9" s="97"/>
      <c r="P9" s="97"/>
      <c r="Q9" s="97"/>
      <c r="R9" s="97"/>
      <c r="S9" s="97"/>
      <c r="T9" s="97"/>
      <c r="U9" s="97"/>
      <c r="V9" s="97"/>
      <c r="W9" s="97"/>
      <c r="X9" s="97"/>
      <c r="Y9" s="97"/>
      <c r="Z9" s="97"/>
    </row>
    <row r="10" spans="1:26">
      <c r="A10" s="97"/>
      <c r="B10" s="97"/>
      <c r="C10" s="97"/>
      <c r="D10" s="97"/>
      <c r="E10" s="97"/>
      <c r="F10" s="97"/>
      <c r="G10" s="97"/>
      <c r="H10" s="97"/>
      <c r="I10" s="97"/>
      <c r="J10" s="97"/>
      <c r="K10" s="97"/>
      <c r="L10" s="97"/>
      <c r="M10" s="97"/>
      <c r="N10" s="97"/>
      <c r="O10" s="97"/>
      <c r="P10" s="97"/>
      <c r="Q10" s="97"/>
      <c r="R10" s="97"/>
      <c r="S10" s="97"/>
      <c r="T10" s="97"/>
      <c r="U10" s="97"/>
      <c r="V10" s="97"/>
      <c r="W10" s="97"/>
      <c r="X10" s="97"/>
      <c r="Y10" s="97"/>
      <c r="Z10" s="97"/>
    </row>
    <row r="11" spans="1:26">
      <c r="A11" s="97"/>
      <c r="B11" s="97"/>
      <c r="C11" s="97"/>
      <c r="D11" s="97"/>
      <c r="E11" s="97"/>
      <c r="F11" s="97"/>
      <c r="G11" s="97"/>
      <c r="H11" s="97"/>
      <c r="I11" s="97"/>
      <c r="J11" s="97"/>
      <c r="K11" s="97"/>
      <c r="L11" s="97"/>
      <c r="M11" s="97"/>
      <c r="N11" s="97"/>
      <c r="O11" s="97"/>
      <c r="P11" s="97"/>
      <c r="Q11" s="97"/>
      <c r="R11" s="97"/>
      <c r="S11" s="97"/>
      <c r="T11" s="97"/>
      <c r="U11" s="97"/>
      <c r="V11" s="97"/>
      <c r="W11" s="97"/>
      <c r="X11" s="97"/>
      <c r="Y11" s="97"/>
      <c r="Z11" s="97"/>
    </row>
    <row r="12" spans="1:26">
      <c r="A12" s="97"/>
      <c r="B12" s="97"/>
      <c r="C12" s="97"/>
      <c r="D12" s="97"/>
      <c r="E12" s="97"/>
      <c r="F12" s="97"/>
      <c r="G12" s="97"/>
      <c r="H12" s="97"/>
      <c r="I12" s="97"/>
      <c r="J12" s="97"/>
      <c r="K12" s="97"/>
      <c r="L12" s="97"/>
      <c r="M12" s="97"/>
      <c r="N12" s="97"/>
      <c r="O12" s="97"/>
      <c r="P12" s="97"/>
      <c r="Q12" s="97"/>
      <c r="R12" s="97"/>
      <c r="S12" s="97"/>
      <c r="T12" s="97"/>
      <c r="U12" s="97"/>
      <c r="V12" s="97"/>
      <c r="W12" s="97"/>
      <c r="X12" s="97"/>
      <c r="Y12" s="97"/>
      <c r="Z12" s="97"/>
    </row>
    <row r="13" spans="1:26">
      <c r="A13" s="97"/>
      <c r="B13" s="97"/>
      <c r="C13" s="97"/>
      <c r="D13" s="97"/>
      <c r="E13" s="97"/>
      <c r="F13" s="97"/>
      <c r="G13" s="97"/>
      <c r="H13" s="97"/>
      <c r="I13" s="97"/>
      <c r="J13" s="97"/>
      <c r="K13" s="97"/>
      <c r="L13" s="97"/>
      <c r="M13" s="97"/>
      <c r="N13" s="97"/>
      <c r="O13" s="97"/>
      <c r="P13" s="97"/>
      <c r="Q13" s="97"/>
      <c r="R13" s="97"/>
      <c r="S13" s="97"/>
      <c r="T13" s="97"/>
      <c r="U13" s="97"/>
      <c r="V13" s="97"/>
      <c r="W13" s="97"/>
      <c r="X13" s="97"/>
      <c r="Y13" s="97"/>
      <c r="Z13" s="97"/>
    </row>
    <row r="14" spans="1:26">
      <c r="A14" s="97"/>
      <c r="B14" s="97"/>
      <c r="C14" s="97"/>
      <c r="D14" s="97"/>
      <c r="E14" s="97"/>
      <c r="F14" s="97"/>
      <c r="G14" s="97"/>
      <c r="H14" s="97"/>
      <c r="I14" s="97"/>
      <c r="J14" s="97"/>
      <c r="K14" s="97"/>
      <c r="L14" s="97"/>
      <c r="M14" s="97"/>
      <c r="N14" s="97"/>
      <c r="O14" s="97"/>
      <c r="P14" s="97"/>
      <c r="Q14" s="97"/>
      <c r="R14" s="97"/>
      <c r="S14" s="97"/>
      <c r="T14" s="97"/>
      <c r="U14" s="97"/>
      <c r="V14" s="97"/>
      <c r="W14" s="97"/>
      <c r="X14" s="97"/>
      <c r="Y14" s="97"/>
      <c r="Z14" s="97"/>
    </row>
    <row r="15" spans="1:26">
      <c r="A15" s="97"/>
      <c r="B15" s="97"/>
      <c r="C15" s="97"/>
      <c r="D15" s="97"/>
      <c r="E15" s="97"/>
      <c r="F15" s="97"/>
      <c r="G15" s="97"/>
      <c r="H15" s="97"/>
      <c r="I15" s="97"/>
      <c r="J15" s="97"/>
      <c r="K15" s="97"/>
      <c r="L15" s="97"/>
      <c r="M15" s="97"/>
      <c r="N15" s="97"/>
      <c r="O15" s="97"/>
      <c r="P15" s="97"/>
      <c r="Q15" s="97"/>
      <c r="R15" s="97"/>
      <c r="S15" s="97"/>
      <c r="T15" s="97"/>
      <c r="U15" s="97"/>
      <c r="V15" s="97"/>
      <c r="W15" s="97"/>
      <c r="X15" s="97"/>
      <c r="Y15" s="97"/>
      <c r="Z15" s="97"/>
    </row>
    <row r="16" spans="1:26">
      <c r="A16" s="97"/>
      <c r="B16" s="97"/>
      <c r="C16" s="97"/>
      <c r="D16" s="97"/>
      <c r="E16" s="97"/>
      <c r="F16" s="97"/>
      <c r="G16" s="97"/>
      <c r="H16" s="97"/>
      <c r="I16" s="97"/>
      <c r="J16" s="97"/>
      <c r="K16" s="97"/>
      <c r="L16" s="97"/>
      <c r="M16" s="97"/>
      <c r="N16" s="97"/>
      <c r="O16" s="97"/>
      <c r="P16" s="97"/>
      <c r="Q16" s="97"/>
      <c r="R16" s="97"/>
      <c r="S16" s="97"/>
      <c r="T16" s="97"/>
      <c r="U16" s="97"/>
      <c r="V16" s="97"/>
      <c r="W16" s="97"/>
      <c r="X16" s="97"/>
      <c r="Y16" s="97"/>
      <c r="Z16" s="97"/>
    </row>
    <row r="17" spans="1:26">
      <c r="A17" s="97"/>
      <c r="B17" s="97"/>
      <c r="C17" s="97"/>
      <c r="D17" s="97"/>
      <c r="E17" s="97"/>
      <c r="F17" s="97"/>
      <c r="G17" s="97"/>
      <c r="H17" s="97"/>
      <c r="I17" s="97"/>
      <c r="J17" s="97"/>
      <c r="K17" s="97"/>
      <c r="L17" s="97"/>
      <c r="M17" s="97"/>
      <c r="N17" s="97"/>
      <c r="O17" s="97"/>
      <c r="P17" s="97"/>
      <c r="Q17" s="97"/>
      <c r="R17" s="97"/>
      <c r="S17" s="97"/>
      <c r="T17" s="97"/>
      <c r="U17" s="97"/>
      <c r="V17" s="97"/>
      <c r="W17" s="97"/>
      <c r="X17" s="97"/>
      <c r="Y17" s="97"/>
      <c r="Z17" s="97"/>
    </row>
    <row r="18" spans="1:26">
      <c r="A18" s="97"/>
      <c r="B18" s="97"/>
      <c r="C18" s="97"/>
      <c r="D18" s="97"/>
      <c r="E18" s="97"/>
      <c r="F18" s="97"/>
      <c r="G18" s="97"/>
      <c r="H18" s="97"/>
      <c r="I18" s="97"/>
      <c r="J18" s="97"/>
      <c r="K18" s="97"/>
      <c r="L18" s="97"/>
      <c r="M18" s="97"/>
      <c r="N18" s="97"/>
      <c r="O18" s="97"/>
      <c r="P18" s="97"/>
      <c r="Q18" s="97"/>
      <c r="R18" s="97"/>
      <c r="S18" s="97"/>
      <c r="T18" s="97"/>
      <c r="U18" s="97"/>
      <c r="V18" s="97"/>
      <c r="W18" s="97"/>
      <c r="X18" s="97"/>
      <c r="Y18" s="97"/>
      <c r="Z18" s="97"/>
    </row>
    <row r="19" spans="1:26">
      <c r="A19" s="97"/>
      <c r="B19" s="97"/>
      <c r="C19" s="97"/>
      <c r="D19" s="97"/>
      <c r="E19" s="97"/>
      <c r="F19" s="97"/>
      <c r="G19" s="97"/>
      <c r="H19" s="97"/>
      <c r="I19" s="97"/>
      <c r="J19" s="97"/>
      <c r="K19" s="97"/>
      <c r="L19" s="97"/>
      <c r="M19" s="97"/>
      <c r="N19" s="97"/>
      <c r="O19" s="97"/>
      <c r="P19" s="97"/>
      <c r="Q19" s="97"/>
      <c r="R19" s="97"/>
      <c r="S19" s="97"/>
      <c r="T19" s="97"/>
      <c r="U19" s="97"/>
      <c r="V19" s="97"/>
      <c r="W19" s="97"/>
      <c r="X19" s="97"/>
      <c r="Y19" s="97"/>
      <c r="Z19" s="97"/>
    </row>
    <row r="20" spans="1:26">
      <c r="A20" s="97"/>
      <c r="B20" s="97"/>
      <c r="C20" s="97"/>
      <c r="D20" s="97"/>
      <c r="E20" s="97"/>
      <c r="F20" s="97"/>
      <c r="G20" s="97"/>
      <c r="H20" s="97"/>
      <c r="I20" s="97"/>
      <c r="J20" s="97"/>
      <c r="K20" s="97"/>
      <c r="L20" s="97"/>
      <c r="M20" s="97"/>
      <c r="N20" s="97"/>
      <c r="O20" s="97"/>
      <c r="P20" s="97"/>
      <c r="Q20" s="97"/>
      <c r="R20" s="97"/>
      <c r="S20" s="97"/>
      <c r="T20" s="97"/>
      <c r="U20" s="97"/>
      <c r="V20" s="97"/>
      <c r="W20" s="97"/>
      <c r="X20" s="97"/>
      <c r="Y20" s="97"/>
      <c r="Z20" s="97"/>
    </row>
    <row r="21" spans="1:26" ht="15.75" customHeight="1">
      <c r="A21" s="97"/>
      <c r="B21" s="97"/>
      <c r="C21" s="97"/>
      <c r="D21" s="97"/>
      <c r="E21" s="97"/>
      <c r="F21" s="97"/>
      <c r="G21" s="97"/>
      <c r="H21" s="97"/>
      <c r="I21" s="97"/>
      <c r="J21" s="97"/>
      <c r="K21" s="97"/>
      <c r="L21" s="97"/>
      <c r="M21" s="97"/>
      <c r="N21" s="97"/>
      <c r="O21" s="97"/>
      <c r="P21" s="97"/>
      <c r="Q21" s="97"/>
      <c r="R21" s="97"/>
      <c r="S21" s="97"/>
      <c r="T21" s="97"/>
      <c r="U21" s="97"/>
      <c r="V21" s="97"/>
      <c r="W21" s="97"/>
      <c r="X21" s="97"/>
      <c r="Y21" s="97"/>
      <c r="Z21" s="97"/>
    </row>
    <row r="22" spans="1:26" ht="15.75" customHeight="1">
      <c r="A22" s="97"/>
      <c r="B22" s="97"/>
      <c r="C22" s="97"/>
      <c r="D22" s="97"/>
      <c r="E22" s="97"/>
      <c r="F22" s="97"/>
      <c r="G22" s="97"/>
      <c r="H22" s="97"/>
      <c r="I22" s="97"/>
      <c r="J22" s="97"/>
      <c r="K22" s="97"/>
      <c r="L22" s="97"/>
      <c r="M22" s="97"/>
      <c r="N22" s="97"/>
      <c r="O22" s="97"/>
      <c r="P22" s="97"/>
      <c r="Q22" s="97"/>
      <c r="R22" s="97"/>
      <c r="S22" s="97"/>
      <c r="T22" s="97"/>
      <c r="U22" s="97"/>
      <c r="V22" s="97"/>
      <c r="W22" s="97"/>
      <c r="X22" s="97"/>
      <c r="Y22" s="97"/>
      <c r="Z22" s="97"/>
    </row>
    <row r="23" spans="1:26" ht="15.75" customHeight="1">
      <c r="A23" s="97"/>
      <c r="B23" s="97"/>
      <c r="C23" s="97"/>
      <c r="D23" s="97"/>
      <c r="E23" s="97"/>
      <c r="F23" s="97"/>
      <c r="G23" s="97"/>
      <c r="H23" s="97"/>
      <c r="I23" s="97"/>
      <c r="J23" s="97"/>
      <c r="K23" s="97"/>
      <c r="L23" s="97"/>
      <c r="M23" s="97"/>
      <c r="N23" s="97"/>
      <c r="O23" s="97"/>
      <c r="P23" s="97"/>
      <c r="Q23" s="97"/>
      <c r="R23" s="97"/>
      <c r="S23" s="97"/>
      <c r="T23" s="97"/>
      <c r="U23" s="97"/>
      <c r="V23" s="97"/>
      <c r="W23" s="97"/>
      <c r="X23" s="97"/>
      <c r="Y23" s="97"/>
      <c r="Z23" s="97"/>
    </row>
    <row r="24" spans="1:26" ht="15.75" customHeight="1">
      <c r="A24" s="97"/>
      <c r="B24" s="97"/>
      <c r="C24" s="97"/>
      <c r="D24" s="97"/>
      <c r="E24" s="97"/>
      <c r="F24" s="97"/>
      <c r="G24" s="97"/>
      <c r="H24" s="97"/>
      <c r="I24" s="97"/>
      <c r="J24" s="97"/>
      <c r="K24" s="97"/>
      <c r="L24" s="97"/>
      <c r="M24" s="97"/>
      <c r="N24" s="97"/>
      <c r="O24" s="97"/>
      <c r="P24" s="97"/>
      <c r="Q24" s="97"/>
      <c r="R24" s="97"/>
      <c r="S24" s="97"/>
      <c r="T24" s="97"/>
      <c r="U24" s="97"/>
      <c r="V24" s="97"/>
      <c r="W24" s="97"/>
      <c r="X24" s="97"/>
      <c r="Y24" s="97"/>
      <c r="Z24" s="97"/>
    </row>
    <row r="25" spans="1:26" ht="15.75" customHeight="1">
      <c r="A25" s="97"/>
      <c r="B25" s="97"/>
      <c r="C25" s="97"/>
      <c r="D25" s="97"/>
      <c r="E25" s="97"/>
      <c r="F25" s="97"/>
      <c r="G25" s="97"/>
      <c r="H25" s="97"/>
      <c r="I25" s="97"/>
      <c r="J25" s="97"/>
      <c r="K25" s="97"/>
      <c r="L25" s="97"/>
      <c r="M25" s="97"/>
      <c r="N25" s="97"/>
      <c r="O25" s="97"/>
      <c r="P25" s="97"/>
      <c r="Q25" s="97"/>
      <c r="R25" s="97"/>
      <c r="S25" s="97"/>
      <c r="T25" s="97"/>
      <c r="U25" s="97"/>
      <c r="V25" s="97"/>
      <c r="W25" s="97"/>
      <c r="X25" s="97"/>
      <c r="Y25" s="97"/>
      <c r="Z25" s="97"/>
    </row>
    <row r="26" spans="1:26" ht="15.75" customHeight="1">
      <c r="A26" s="97"/>
      <c r="B26" s="97"/>
      <c r="C26" s="97"/>
      <c r="D26" s="97"/>
      <c r="E26" s="97"/>
      <c r="F26" s="97"/>
      <c r="G26" s="97"/>
      <c r="H26" s="97"/>
      <c r="I26" s="97"/>
      <c r="J26" s="97"/>
      <c r="K26" s="97"/>
      <c r="L26" s="97"/>
      <c r="M26" s="97"/>
      <c r="N26" s="97"/>
      <c r="O26" s="97"/>
      <c r="P26" s="97"/>
      <c r="Q26" s="97"/>
      <c r="R26" s="97"/>
      <c r="S26" s="97"/>
      <c r="T26" s="97"/>
      <c r="U26" s="97"/>
      <c r="V26" s="97"/>
      <c r="W26" s="97"/>
      <c r="X26" s="97"/>
      <c r="Y26" s="97"/>
      <c r="Z26" s="97"/>
    </row>
    <row r="27" spans="1:26" ht="15.75" customHeight="1">
      <c r="A27" s="97"/>
      <c r="B27" s="97"/>
      <c r="C27" s="97"/>
      <c r="D27" s="97"/>
      <c r="E27" s="97"/>
      <c r="F27" s="97"/>
      <c r="G27" s="97"/>
      <c r="H27" s="97"/>
      <c r="I27" s="97"/>
      <c r="J27" s="97"/>
      <c r="K27" s="97"/>
      <c r="L27" s="97"/>
      <c r="M27" s="97"/>
      <c r="N27" s="97"/>
      <c r="O27" s="97"/>
      <c r="P27" s="97"/>
      <c r="Q27" s="97"/>
      <c r="R27" s="97"/>
      <c r="S27" s="97"/>
      <c r="T27" s="97"/>
      <c r="U27" s="97"/>
      <c r="V27" s="97"/>
      <c r="W27" s="97"/>
      <c r="X27" s="97"/>
      <c r="Y27" s="97"/>
      <c r="Z27" s="97"/>
    </row>
    <row r="28" spans="1:26" ht="15.75" customHeight="1">
      <c r="A28" s="97"/>
      <c r="B28" s="97"/>
      <c r="C28" s="97"/>
      <c r="D28" s="97"/>
      <c r="E28" s="97"/>
      <c r="F28" s="97"/>
      <c r="G28" s="97"/>
      <c r="H28" s="97"/>
      <c r="I28" s="97"/>
      <c r="J28" s="97"/>
      <c r="K28" s="97"/>
      <c r="L28" s="97"/>
      <c r="M28" s="97"/>
      <c r="N28" s="97"/>
      <c r="O28" s="97"/>
      <c r="P28" s="97"/>
      <c r="Q28" s="97"/>
      <c r="R28" s="97"/>
      <c r="S28" s="97"/>
      <c r="T28" s="97"/>
      <c r="U28" s="97"/>
      <c r="V28" s="97"/>
      <c r="W28" s="97"/>
      <c r="X28" s="97"/>
      <c r="Y28" s="97"/>
      <c r="Z28" s="97"/>
    </row>
    <row r="29" spans="1:26" ht="15.75" customHeight="1">
      <c r="A29" s="97"/>
      <c r="B29" s="97"/>
      <c r="C29" s="97"/>
      <c r="D29" s="97"/>
      <c r="E29" s="97"/>
      <c r="F29" s="97"/>
      <c r="G29" s="97"/>
      <c r="H29" s="97"/>
      <c r="I29" s="97"/>
      <c r="J29" s="97"/>
      <c r="K29" s="97"/>
      <c r="L29" s="97"/>
      <c r="M29" s="97"/>
      <c r="N29" s="97"/>
      <c r="O29" s="97"/>
      <c r="P29" s="97"/>
      <c r="Q29" s="97"/>
      <c r="R29" s="97"/>
      <c r="S29" s="97"/>
      <c r="T29" s="97"/>
      <c r="U29" s="97"/>
      <c r="V29" s="97"/>
      <c r="W29" s="97"/>
      <c r="X29" s="97"/>
      <c r="Y29" s="97"/>
      <c r="Z29" s="97"/>
    </row>
    <row r="30" spans="1:26" ht="15.75" customHeight="1">
      <c r="A30" s="97"/>
      <c r="B30" s="97"/>
      <c r="C30" s="97"/>
      <c r="D30" s="97"/>
      <c r="E30" s="97"/>
      <c r="F30" s="97"/>
      <c r="G30" s="97"/>
      <c r="H30" s="97"/>
      <c r="I30" s="97"/>
      <c r="J30" s="97"/>
      <c r="K30" s="97"/>
      <c r="L30" s="97"/>
      <c r="M30" s="97"/>
      <c r="N30" s="97"/>
      <c r="O30" s="97"/>
      <c r="P30" s="97"/>
      <c r="Q30" s="97"/>
      <c r="R30" s="97"/>
      <c r="S30" s="97"/>
      <c r="T30" s="97"/>
      <c r="U30" s="97"/>
      <c r="V30" s="97"/>
      <c r="W30" s="97"/>
      <c r="X30" s="97"/>
      <c r="Y30" s="97"/>
      <c r="Z30" s="97"/>
    </row>
    <row r="31" spans="1:26" ht="15.75" customHeight="1">
      <c r="A31" s="97"/>
      <c r="B31" s="97"/>
      <c r="C31" s="97"/>
      <c r="D31" s="97"/>
      <c r="E31" s="97"/>
      <c r="F31" s="97"/>
      <c r="G31" s="97"/>
      <c r="H31" s="97"/>
      <c r="I31" s="97"/>
      <c r="J31" s="97"/>
      <c r="K31" s="97"/>
      <c r="L31" s="97"/>
      <c r="M31" s="97"/>
      <c r="N31" s="97"/>
      <c r="O31" s="97"/>
      <c r="P31" s="97"/>
      <c r="Q31" s="97"/>
      <c r="R31" s="97"/>
      <c r="S31" s="97"/>
      <c r="T31" s="97"/>
      <c r="U31" s="97"/>
      <c r="V31" s="97"/>
      <c r="W31" s="97"/>
      <c r="X31" s="97"/>
      <c r="Y31" s="97"/>
      <c r="Z31" s="97"/>
    </row>
    <row r="32" spans="1:26" ht="15.75" customHeight="1">
      <c r="A32" s="97"/>
      <c r="B32" s="97"/>
      <c r="C32" s="97"/>
      <c r="D32" s="97"/>
      <c r="E32" s="97"/>
      <c r="F32" s="97"/>
      <c r="G32" s="97"/>
      <c r="H32" s="97"/>
      <c r="I32" s="97"/>
      <c r="J32" s="97"/>
      <c r="K32" s="97"/>
      <c r="L32" s="97"/>
      <c r="M32" s="97"/>
      <c r="N32" s="97"/>
      <c r="O32" s="97"/>
      <c r="P32" s="97"/>
      <c r="Q32" s="97"/>
      <c r="R32" s="97"/>
      <c r="S32" s="97"/>
      <c r="T32" s="97"/>
      <c r="U32" s="97"/>
      <c r="V32" s="97"/>
      <c r="W32" s="97"/>
      <c r="X32" s="97"/>
      <c r="Y32" s="97"/>
      <c r="Z32" s="97"/>
    </row>
    <row r="33" spans="1:26" ht="15.75" customHeight="1">
      <c r="A33" s="97"/>
      <c r="B33" s="97"/>
      <c r="C33" s="97"/>
      <c r="D33" s="97"/>
      <c r="E33" s="97"/>
      <c r="F33" s="97"/>
      <c r="G33" s="97"/>
      <c r="H33" s="97"/>
      <c r="I33" s="97"/>
      <c r="J33" s="97"/>
      <c r="K33" s="97"/>
      <c r="L33" s="97"/>
      <c r="M33" s="97"/>
      <c r="N33" s="97"/>
      <c r="O33" s="97"/>
      <c r="P33" s="97"/>
      <c r="Q33" s="97"/>
      <c r="R33" s="97"/>
      <c r="S33" s="97"/>
      <c r="T33" s="97"/>
      <c r="U33" s="97"/>
      <c r="V33" s="97"/>
      <c r="W33" s="97"/>
      <c r="X33" s="97"/>
      <c r="Y33" s="97"/>
      <c r="Z33" s="97"/>
    </row>
    <row r="34" spans="1:26" ht="15.75" customHeight="1">
      <c r="A34" s="97"/>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spans="1:26" ht="15.75" customHeight="1">
      <c r="A35" s="97"/>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spans="1:26" ht="15.75" customHeight="1">
      <c r="A36" s="97"/>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spans="1:26" ht="15.75" customHeight="1">
      <c r="A37" s="97"/>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spans="1:26" ht="15.75" customHeight="1">
      <c r="A38" s="97"/>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spans="1:26" ht="15.75" customHeight="1">
      <c r="A39" s="97"/>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spans="1:26" ht="15.75" customHeight="1">
      <c r="A40" s="97"/>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spans="1:26" ht="15.75" customHeight="1">
      <c r="A41" s="97"/>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spans="1:26" ht="15.75" customHeight="1">
      <c r="A42" s="97"/>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spans="1:26" ht="15.75" customHeight="1">
      <c r="A43" s="97"/>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spans="1:26" ht="15.75" customHeight="1">
      <c r="A44" s="97"/>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spans="1:26" ht="15.75" customHeight="1">
      <c r="A45" s="97"/>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spans="1:26" ht="15.75" customHeight="1">
      <c r="A46" s="97"/>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spans="1:26" ht="15.75" customHeight="1">
      <c r="A47" s="97"/>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ht="15.75" customHeight="1">
      <c r="A48" s="97"/>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spans="1:26" ht="15.75" customHeight="1">
      <c r="A49" s="97"/>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spans="1:26" ht="15.75" customHeight="1">
      <c r="A50" s="97"/>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spans="1:26" ht="15.75" customHeight="1">
      <c r="A51" s="97"/>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ht="15.75" customHeight="1">
      <c r="A52" s="97"/>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ht="15.75" customHeight="1">
      <c r="A53" s="97"/>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spans="1:26" ht="15.75" customHeight="1">
      <c r="A54" s="97"/>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1:26" ht="15.75" customHeight="1">
      <c r="A55" s="97"/>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1:26" ht="15.75" customHeight="1">
      <c r="A56" s="97"/>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spans="1:26" ht="15.75" customHeight="1">
      <c r="A57" s="97"/>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spans="1:26" ht="15.75" customHeight="1">
      <c r="A58" s="97"/>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spans="1:26" ht="15.75" customHeight="1">
      <c r="A59" s="97"/>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spans="1:26" ht="15.75" customHeight="1">
      <c r="A60" s="97"/>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spans="1:26" ht="15.75" customHeight="1">
      <c r="A61" s="97"/>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spans="1:26" ht="15.75" customHeight="1">
      <c r="A62" s="97"/>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spans="1:26" ht="15.75" customHeight="1">
      <c r="A63" s="97"/>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1:26" ht="15.75" customHeight="1">
      <c r="A64" s="97"/>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spans="1:26" ht="15.75" customHeight="1">
      <c r="A65" s="97"/>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spans="1:26" ht="15.75" customHeight="1">
      <c r="A66" s="97"/>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1:26" ht="15.75" customHeight="1">
      <c r="A67" s="97"/>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spans="1:26" ht="15.75" customHeight="1">
      <c r="A68" s="97"/>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spans="1:26" ht="15.75" customHeight="1">
      <c r="A69" s="97"/>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1:26" ht="15.75" customHeight="1">
      <c r="A70" s="97"/>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1:26" ht="15.75" customHeight="1">
      <c r="A71" s="97"/>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1:26" ht="15.75" customHeight="1">
      <c r="A72" s="97"/>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1:26" ht="15.75" customHeight="1">
      <c r="A73" s="97"/>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spans="1:26" ht="15.75" customHeight="1">
      <c r="A74" s="97"/>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1:26" ht="15.75" customHeight="1">
      <c r="A75" s="97"/>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1:26" ht="15.75" customHeight="1">
      <c r="A76" s="97"/>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1:26" ht="15.75" customHeight="1">
      <c r="A77" s="97"/>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spans="1:26" ht="15.75" customHeight="1">
      <c r="A78" s="97"/>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1:26" ht="15.75" customHeight="1">
      <c r="A79" s="97"/>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1:26" ht="15.75" customHeight="1">
      <c r="A80" s="97"/>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1:26" ht="15.75" customHeight="1">
      <c r="A81" s="97"/>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1:26" ht="15.75" customHeight="1">
      <c r="A82" s="97"/>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spans="1:26" ht="15.75" customHeight="1">
      <c r="A83" s="97"/>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spans="1:26" ht="15.75" customHeight="1">
      <c r="A84" s="97"/>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spans="1:26" ht="15.75" customHeight="1">
      <c r="A85" s="97"/>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spans="1:26" ht="15.75" customHeight="1">
      <c r="A86" s="97"/>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spans="1:26" ht="15.75" customHeight="1">
      <c r="A87" s="97"/>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spans="1:26" ht="15.75" customHeight="1">
      <c r="A88" s="97"/>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spans="1:26" ht="15.75" customHeight="1">
      <c r="A89" s="97"/>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spans="1:26" ht="15.75" customHeight="1">
      <c r="A90" s="97"/>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spans="1:26" ht="15.75" customHeight="1">
      <c r="A91" s="97"/>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spans="1:26" ht="15.75" customHeight="1">
      <c r="A92" s="97"/>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spans="1:26" ht="15.75" customHeight="1">
      <c r="A93" s="97"/>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spans="1:26" ht="15.75" customHeight="1">
      <c r="A94" s="97"/>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spans="1:26" ht="15.75" customHeight="1">
      <c r="A95" s="97"/>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spans="1:26" ht="15.75" customHeight="1">
      <c r="A96" s="97"/>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spans="1:26" ht="15.75" customHeight="1">
      <c r="A97" s="97"/>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spans="1:26" ht="15.75" customHeight="1">
      <c r="A98" s="97"/>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spans="1:26" ht="15.75" customHeight="1">
      <c r="A99" s="97"/>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spans="1:26" ht="15.75" customHeight="1">
      <c r="A100" s="97"/>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spans="1:26" ht="15.75" customHeight="1">
      <c r="A101" s="97"/>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spans="1:26" ht="15.75" customHeight="1">
      <c r="A102" s="97"/>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spans="1:26" ht="15.75" customHeight="1">
      <c r="A103" s="97"/>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spans="1:26" ht="15.75" customHeight="1">
      <c r="A104" s="97"/>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spans="1:26" ht="15.75" customHeight="1">
      <c r="A105" s="97"/>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spans="1:26" ht="15.75" customHeight="1">
      <c r="A106" s="97"/>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spans="1:26" ht="15.75" customHeight="1">
      <c r="A107" s="97"/>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spans="1:26" ht="15.75" customHeight="1">
      <c r="A108" s="97"/>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spans="1:26" ht="15.75" customHeight="1">
      <c r="A109" s="97"/>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spans="1:26" ht="15.75" customHeight="1">
      <c r="A110" s="97"/>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spans="1:26" ht="15.75" customHeight="1">
      <c r="A111" s="97"/>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spans="1:26" ht="15.75" customHeight="1">
      <c r="A112" s="97"/>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spans="1:26" ht="15.75" customHeight="1">
      <c r="A113" s="97"/>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spans="1:26" ht="15.75" customHeight="1">
      <c r="A114" s="97"/>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spans="1:26" ht="15.75" customHeight="1">
      <c r="A115" s="97"/>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spans="1:26" ht="15.75" customHeight="1">
      <c r="A116" s="97"/>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spans="1:26" ht="15.75" customHeight="1">
      <c r="A117" s="97"/>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spans="1:26" ht="15.75" customHeight="1">
      <c r="A118" s="97"/>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spans="1:26" ht="15.75" customHeight="1">
      <c r="A119" s="97"/>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spans="1:26" ht="15.75" customHeight="1">
      <c r="A120" s="97"/>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spans="1:26" ht="15.75" customHeight="1">
      <c r="A121" s="97"/>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spans="1:26" ht="15.75" customHeight="1">
      <c r="A122" s="97"/>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spans="1:26" ht="15.75" customHeight="1">
      <c r="A123" s="97"/>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spans="1:26" ht="15.75" customHeight="1">
      <c r="A124" s="97"/>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spans="1:26" ht="15.75" customHeight="1">
      <c r="A125" s="97"/>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spans="1:26" ht="15.75" customHeight="1">
      <c r="A126" s="97"/>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spans="1:26" ht="15.75" customHeight="1">
      <c r="A127" s="97"/>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spans="1:26" ht="15.75" customHeight="1">
      <c r="A128" s="97"/>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spans="1:26" ht="15.75" customHeight="1">
      <c r="A129" s="97"/>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spans="1:26" ht="15.75" customHeight="1">
      <c r="A130" s="97"/>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spans="1:26" ht="15.75" customHeight="1">
      <c r="A131" s="97"/>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spans="1:26" ht="15.75" customHeight="1">
      <c r="A132" s="97"/>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spans="1:26" ht="15.75" customHeight="1">
      <c r="A133" s="97"/>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spans="1:26" ht="15.75" customHeight="1">
      <c r="A134" s="97"/>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spans="1:26" ht="15.75" customHeight="1">
      <c r="A135" s="97"/>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spans="1:26" ht="15.75" customHeight="1">
      <c r="A136" s="97"/>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spans="1:26" ht="15.75" customHeight="1">
      <c r="A137" s="97"/>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spans="1:26" ht="15.75" customHeight="1">
      <c r="A138" s="97"/>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spans="1:26" ht="15.75" customHeight="1">
      <c r="A139" s="97"/>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spans="1:26" ht="15.75" customHeight="1">
      <c r="A140" s="97"/>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spans="1:26" ht="15.75" customHeight="1">
      <c r="A141" s="97"/>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spans="1:26" ht="15.75" customHeight="1">
      <c r="A142" s="97"/>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spans="1:26" ht="15.75" customHeight="1">
      <c r="A143" s="97"/>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spans="1:26" ht="15.75" customHeight="1">
      <c r="A144" s="97"/>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spans="1:26" ht="15.75" customHeight="1">
      <c r="A145" s="97"/>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spans="1:26" ht="15.75" customHeight="1">
      <c r="A146" s="97"/>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spans="1:26" ht="15.75" customHeight="1">
      <c r="A147" s="97"/>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spans="1:26" ht="15.75" customHeight="1">
      <c r="A148" s="97"/>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spans="1:26" ht="15.75" customHeight="1">
      <c r="A149" s="97"/>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spans="1:26" ht="15.75" customHeight="1">
      <c r="A150" s="97"/>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spans="1:26" ht="15.75" customHeight="1">
      <c r="A151" s="97"/>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spans="1:26" ht="15.75" customHeight="1">
      <c r="A152" s="97"/>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spans="1:26" ht="15.75" customHeight="1">
      <c r="A153" s="97"/>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spans="1:26" ht="15.75" customHeight="1">
      <c r="A154" s="97"/>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spans="1:26" ht="15.75" customHeight="1">
      <c r="A155" s="97"/>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spans="1:26" ht="15.75" customHeight="1">
      <c r="A156" s="97"/>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spans="1:26" ht="15.75" customHeight="1">
      <c r="A157" s="97"/>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spans="1:26" ht="15.75" customHeight="1">
      <c r="A158" s="97"/>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spans="1:26" ht="15.75" customHeight="1">
      <c r="A159" s="97"/>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spans="1:26" ht="15.75" customHeight="1">
      <c r="A160" s="97"/>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spans="1:26" ht="15.75" customHeight="1">
      <c r="A161" s="97"/>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spans="1:26" ht="15.75" customHeight="1">
      <c r="A162" s="97"/>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spans="1:26" ht="15.75" customHeight="1">
      <c r="A163" s="97"/>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spans="1:26" ht="15.75" customHeight="1">
      <c r="A164" s="97"/>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spans="1:26" ht="15.75" customHeight="1">
      <c r="A165" s="97"/>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spans="1:26" ht="15.75" customHeight="1">
      <c r="A166" s="97"/>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spans="1:26" ht="15.75" customHeight="1">
      <c r="A167" s="97"/>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spans="1:26" ht="15.75" customHeight="1">
      <c r="A168" s="97"/>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spans="1:26" ht="15.75" customHeight="1">
      <c r="A169" s="97"/>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spans="1:26" ht="15.75" customHeight="1">
      <c r="A170" s="97"/>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spans="1:26" ht="15.75" customHeight="1">
      <c r="A171" s="97"/>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spans="1:26" ht="15.75" customHeight="1">
      <c r="A172" s="97"/>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spans="1:26" ht="15.75" customHeight="1">
      <c r="A173" s="97"/>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spans="1:26" ht="15.75" customHeight="1">
      <c r="A174" s="97"/>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spans="1:26" ht="15.75" customHeight="1">
      <c r="A175" s="97"/>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spans="1:26" ht="15.75" customHeight="1">
      <c r="A176" s="97"/>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spans="1:26" ht="15.75" customHeight="1">
      <c r="A177" s="97"/>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spans="1:26" ht="15.75" customHeight="1">
      <c r="A178" s="97"/>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spans="1:26" ht="15.75" customHeight="1">
      <c r="A179" s="97"/>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spans="1:26" ht="15.75" customHeight="1">
      <c r="A180" s="97"/>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spans="1:26" ht="15.75" customHeight="1">
      <c r="A181" s="97"/>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spans="1:26" ht="15.75" customHeight="1">
      <c r="A182" s="97"/>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spans="1:26" ht="15.75" customHeight="1">
      <c r="A183" s="97"/>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spans="1:26" ht="15.75" customHeight="1">
      <c r="A184" s="97"/>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spans="1:26" ht="15.75" customHeight="1">
      <c r="A185" s="97"/>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spans="1:26" ht="15.75" customHeight="1">
      <c r="A186" s="97"/>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spans="1:26" ht="15.75" customHeight="1">
      <c r="A187" s="97"/>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spans="1:26" ht="15.75" customHeight="1">
      <c r="A188" s="97"/>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spans="1:26" ht="15.75" customHeight="1">
      <c r="A189" s="97"/>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spans="1:26" ht="15.75" customHeight="1">
      <c r="A190" s="97"/>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spans="1:26" ht="15.75" customHeight="1">
      <c r="A191" s="97"/>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spans="1:26" ht="15.75" customHeight="1">
      <c r="A192" s="97"/>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spans="1:26" ht="15.75" customHeight="1">
      <c r="A193" s="97"/>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spans="1:26" ht="15.75" customHeight="1">
      <c r="A194" s="97"/>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spans="1:26" ht="15.75" customHeight="1">
      <c r="A195" s="97"/>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spans="1:26" ht="15.75" customHeight="1">
      <c r="A196" s="97"/>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spans="1:26" ht="15.75" customHeight="1">
      <c r="A197" s="97"/>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spans="1:26" ht="15.75" customHeight="1">
      <c r="A198" s="97"/>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spans="1:26" ht="15.75" customHeight="1">
      <c r="A199" s="97"/>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spans="1:26" ht="15.75" customHeight="1">
      <c r="A200" s="97"/>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spans="1:26" ht="15.75" customHeight="1">
      <c r="A201" s="97"/>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spans="1:26" ht="15.75" customHeight="1">
      <c r="A202" s="97"/>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spans="1:26" ht="15.75" customHeight="1">
      <c r="A203" s="97"/>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spans="1:26" ht="15.75" customHeight="1">
      <c r="A204" s="97"/>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spans="1:26" ht="15.75" customHeight="1">
      <c r="A205" s="97"/>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spans="1:26" ht="15.75" customHeight="1">
      <c r="A206" s="97"/>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spans="1:26" ht="15.75" customHeight="1">
      <c r="A207" s="97"/>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spans="1:26" ht="15.75" customHeight="1">
      <c r="A208" s="97"/>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spans="1:26" ht="15.75" customHeight="1">
      <c r="A209" s="97"/>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spans="1:26" ht="15.75" customHeight="1">
      <c r="A210" s="97"/>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spans="1:26" ht="15.75" customHeight="1">
      <c r="A211" s="97"/>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spans="1:26" ht="15.75" customHeight="1">
      <c r="A212" s="97"/>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spans="1:26" ht="15.75" customHeight="1">
      <c r="A213" s="97"/>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spans="1:26" ht="15.75" customHeight="1">
      <c r="A214" s="97"/>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spans="1:26" ht="15.75" customHeight="1">
      <c r="A215" s="97"/>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spans="1:26" ht="15.75" customHeight="1">
      <c r="A216" s="97"/>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spans="1:26" ht="15.75" customHeight="1">
      <c r="A217" s="97"/>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spans="1:26" ht="15.75" customHeight="1">
      <c r="A218" s="97"/>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spans="1:26" ht="15.75" customHeight="1">
      <c r="A219" s="97"/>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spans="1:26" ht="15.75" customHeight="1">
      <c r="A220" s="97"/>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(Colmena)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2026-03-06T21:37:47Z</dcterms:modified>
</cp:coreProperties>
</file>
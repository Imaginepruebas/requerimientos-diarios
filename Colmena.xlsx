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79220621\Documents\REPORTEDIARIO\REPORTEDIARIO\"/>
    </mc:Choice>
  </mc:AlternateContent>
  <bookViews>
    <workbookView xWindow="0" yWindow="0" windowWidth="28800" windowHeight="12135"/>
  </bookViews>
  <sheets>
    <sheet name="EN PROCESO (Colmena)" sheetId="1" r:id="rId1"/>
    <sheet name="Hoja2" sheetId="2" state="hidden" r:id="rId2"/>
    <sheet name="ASISTENCIA" sheetId="3" state="hidden" r:id="rId3"/>
    <sheet name="pruebas i" sheetId="4" state="hidden" r:id="rId4"/>
  </sheets>
  <calcPr calcId="162913"/>
  <extLst>
    <ext uri="GoogleSheetsCustomDataVersion2">
      <go:sheetsCustomData xmlns:go="http://customooxmlschemas.google.com/" r:id="rId8" roundtripDataChecksum="FqglR9uNITVFVjoWI8UrPiS0YV6nbLBJ/tSBIj8pvxk="/>
    </ext>
  </extLst>
</workbook>
</file>

<file path=xl/calcChain.xml><?xml version="1.0" encoding="utf-8"?>
<calcChain xmlns="http://schemas.openxmlformats.org/spreadsheetml/2006/main">
  <c r="I5" i="4" l="1"/>
  <c r="I4" i="4"/>
  <c r="I3" i="4"/>
  <c r="I2" i="4"/>
  <c r="M39" i="1"/>
  <c r="H39" i="1"/>
  <c r="M38" i="1"/>
  <c r="H38" i="1"/>
  <c r="M37" i="1"/>
  <c r="H37" i="1"/>
  <c r="M36" i="1"/>
  <c r="H36" i="1"/>
  <c r="M35" i="1"/>
  <c r="H35" i="1"/>
  <c r="M34" i="1"/>
  <c r="H34" i="1"/>
  <c r="M33" i="1"/>
  <c r="H33" i="1"/>
  <c r="M32" i="1"/>
  <c r="H32" i="1"/>
  <c r="M31" i="1"/>
  <c r="H31" i="1"/>
  <c r="M30" i="1"/>
  <c r="H30" i="1"/>
  <c r="M29" i="1"/>
  <c r="H29" i="1"/>
  <c r="M28" i="1"/>
  <c r="H28" i="1"/>
  <c r="M27" i="1"/>
  <c r="H27" i="1"/>
  <c r="M26" i="1"/>
  <c r="H26" i="1"/>
  <c r="H25" i="1"/>
  <c r="M24" i="1"/>
  <c r="H24" i="1"/>
  <c r="M23" i="1"/>
  <c r="H23" i="1"/>
  <c r="M21" i="1"/>
  <c r="H21" i="1"/>
  <c r="H20" i="1"/>
  <c r="M19" i="1"/>
  <c r="H19" i="1"/>
  <c r="M18" i="1"/>
  <c r="H18" i="1"/>
  <c r="M17" i="1"/>
  <c r="H17" i="1"/>
  <c r="M16" i="1"/>
  <c r="H16" i="1"/>
  <c r="M15" i="1"/>
  <c r="H15" i="1"/>
  <c r="M14" i="1"/>
  <c r="H14" i="1"/>
  <c r="M13" i="1"/>
  <c r="H13" i="1"/>
  <c r="M12" i="1"/>
  <c r="H12" i="1"/>
  <c r="M11" i="1"/>
  <c r="H11" i="1"/>
  <c r="M10" i="1"/>
  <c r="H10" i="1"/>
  <c r="M9" i="1"/>
  <c r="H9" i="1"/>
  <c r="M8" i="1"/>
  <c r="H8" i="1"/>
  <c r="M7" i="1"/>
  <c r="H7" i="1"/>
  <c r="M6" i="1"/>
  <c r="H6" i="1"/>
  <c r="M5" i="1"/>
  <c r="H5" i="1"/>
  <c r="M4" i="1"/>
  <c r="H4" i="1"/>
  <c r="M3" i="1"/>
  <c r="H3" i="1"/>
  <c r="M2" i="1"/>
  <c r="H2" i="1"/>
</calcChain>
</file>

<file path=xl/sharedStrings.xml><?xml version="1.0" encoding="utf-8"?>
<sst xmlns="http://schemas.openxmlformats.org/spreadsheetml/2006/main" count="1121" uniqueCount="239">
  <si>
    <t xml:space="preserve"> Asignado a</t>
  </si>
  <si>
    <t>ID REQ</t>
  </si>
  <si>
    <t xml:space="preserve">Requerimiento </t>
  </si>
  <si>
    <t xml:space="preserve">Descripcion req </t>
  </si>
  <si>
    <t>Actividad</t>
  </si>
  <si>
    <t>ESTADO</t>
  </si>
  <si>
    <t>% AVANCE</t>
  </si>
  <si>
    <t>Dias estimados desarrollo</t>
  </si>
  <si>
    <t>F.Asignado</t>
  </si>
  <si>
    <t>Fecha inicio</t>
  </si>
  <si>
    <t>F. estimada de entrega</t>
  </si>
  <si>
    <t>Finalizado</t>
  </si>
  <si>
    <t>Dias total desarrollo</t>
  </si>
  <si>
    <t>Fecha compromiso cliente</t>
  </si>
  <si>
    <t>FECHA PASO A TEST</t>
  </si>
  <si>
    <t>FECHA PASO A PRODUCCION</t>
  </si>
  <si>
    <t>DESCRIPCION DEL AVANCE</t>
  </si>
  <si>
    <t xml:space="preserve">visible </t>
  </si>
  <si>
    <t>Brayan Diaz</t>
  </si>
  <si>
    <t>SCTASK0316185</t>
  </si>
  <si>
    <t>Actualizacion informacion beneficiario final</t>
  </si>
  <si>
    <t>Se solicita que al momento de capturar la informacion del formato de beneficiario final, el formulario que este marcado como NO tome los nuevos campos</t>
  </si>
  <si>
    <t>FINALIZADO</t>
  </si>
  <si>
    <t>Se entrega el requerimiento de acuerdo con la solicitud del cliente</t>
  </si>
  <si>
    <t>SCTASK0315640</t>
  </si>
  <si>
    <t>Ajustes informe Zehux</t>
  </si>
  <si>
    <t>El archivo originalmente enviado por Imagine incluye el historial completo de devoluciones, incluyendo aquellas dirigidas a áreas como Configuración, Sistemas, entre otros. Es necesario depurar este documento, dejando únicamente las observaciones de devolución que correspondan a la Sucursal en cada caso. 
Reemplazar el campo de Sucursal por Regionales</t>
  </si>
  <si>
    <t>se entrega en produccion modificacion de informe de la manera solicitada</t>
  </si>
  <si>
    <t>SCTASK0339311</t>
  </si>
  <si>
    <t>Cargue masivo de afiliaciones de contratos no vinculados</t>
  </si>
  <si>
    <t>Se requiere la creacion de un (chek) para cargue de afiliaciones contratos no vinculados que permita seleccionar varios contratos y de esta manera me genere los planos de los contratos seleccionaos en un solo LOG para garantizar un solo cargue que evite las demoras que actualmente se presentan al cargar estos contratos.</t>
  </si>
  <si>
    <t>20251218 sigue en espera la  confimacion del cliente para paso a produccion</t>
  </si>
  <si>
    <t>SCTASK0339314</t>
  </si>
  <si>
    <t>Actualizacion campos telefonos</t>
  </si>
  <si>
    <t>CAMPO TELEFONOS 
Se requiere que en los casos donde los campos de teléfono para contratos dependientes y no vinculados  vengan vacíos y/o relacionen  información inconsistente como números repetidos o caracteres especiales se tome por defecto el numero de la empresa para evitar errores de cargue al momento de vincular contratos en APOLO.</t>
  </si>
  <si>
    <t>PRUEBAS ClIENTE</t>
  </si>
  <si>
    <t>25/02/2026: A la espera que el cliente aproebe el paso aproduccion del layaut, Se realizara cambio de correo. en espera desde novienbre 2025</t>
  </si>
  <si>
    <t>SCTASK0340882</t>
  </si>
  <si>
    <t>Envio masivo de correos</t>
  </si>
  <si>
    <t>Solicitamos su atención con  con el envío masivo de correos electrónicos - adjuntamos correo formal</t>
  </si>
  <si>
    <t>Danilo Ramirez</t>
  </si>
  <si>
    <t>AUT0_2</t>
  </si>
  <si>
    <t>Lectura, clasificación y extracción de información desde imágenes de incapacidades</t>
  </si>
  <si>
    <t>Requerimiento:
Se necesita que el sistema identifique, clasifique y extraiga automáticamente la información contenida en las imágenes de incapacidades médicas  radicadas, para agilizar la validación y registro de estos documentos dentro del flujo de gestión de incapacidades.
El proceso debe utilizar modelos de inteligencia artificial y procesamiento de imágenes (OCR) para reconocer los tipos de documento incluidos en los archivos PDF (por ejemplo: incapacidades, historias clínicas, cédulas, otros anexos) y tomar únicamente las páginas que correspondan a incapacidades médicas, almacenando la información validada y su respectiva hoja de origen.
Justificación:
Actualmente, los documentos  contienen múltiples tipos de imágenes dentro de un mismo archivo, lo que dificulta la extracción manual de la información requerida para el análisis de incapacidades.
Este requerimiento busca automatizar la clasificación y extracción de datos relevantes, mejorando la precisión del proceso, reduciendo tiempos de validación y evitando errores humanos en la identificación de archivos.</t>
  </si>
  <si>
    <t>CANCELADO</t>
  </si>
  <si>
    <t xml:space="preserve">28/10/2025: Se han realizado las primeras extracciones con muy poco entrenamiento y ajustando regex como filtro inicial.
31/10/2025: Se continúa trabajando en la extracción automatizada de información de documentos. Se prevé la entrega parcial de resultados durante la jornada, con la funcionalidad lista para validar en ambiente local.
05/11/2025: El modelo ya identifica correctamente cuándo un documento corresponde a una incapacidad y cuándo no.
Además, devuelve la información clave de la incapacidad, incluyendo el número de la hoja en la que se encuentra dentro del documento.
Se implementó también el nuevo campo “Prórroga”, el cual está siendo extraído correctamente por el modelo durante el proceso de análisis.
Actualmente, se planea realizar la implementación en el ambiente de test para validar el comportamiento integral del desarrollo.
24/11/2025: Se recibió información inicial y hubo primera reunión. Aún no se ha analizado la documentación recibida; avance estimado en 5%. Pendiente estructurar el análisis y organizar los insumos.
Se presentó fallo por conflicto con una librería y cambios no deseados en la IP pública. Se desinstaló la VPN afectada. Hoy se destinará tiempo para intentar reinstalar paquetes o aprovechar el ambiente test existente.
26/11/2025: Pendiente retomar los ajustes solicitados por Colmena. Se dedicará parte del día a trabajar con Jenry para avanzar, ya que no se pudo atender este requerimiento en días anteriores por priorización de otros temas.
03/12/2025: El ambiente ya está funcional y con los paquetes listos. Se inicia la revisión de las tablas involucradas para identificar dónde se insertan las incapacidades. La idea es automatizar la extracción de datos mediante un trigger para sincronizarlas con la aplicación del tercero. Se avanza en paralelo mientras se trabajan tareas de desarrollo de Bolívar.
05/12/2025: Se continúa avanzando pero con dificultad debido a la disponibilidad de la VPN, que es compartida por varios usuarios. Se realizaron avances parciales, pero no se ha podido dedicar tiempo continuo al requerimiento.
17/12/2025: Se trabajó parcialmente en el requerimiento de incapacidades. El avance se vio afectado por múltiples problemas de conexión VPN y acceso a equipos remotos (especialmente el equipo asignado a Henry), lo que obligó a reinstalar clientes y usar equipos alternos.
A pesar de las dificultades, se avanzó en la implementación de una nueva tabla para almacenar la información extraída, logrando un progreso adicional estimado del 5%. El avance fue menor al esperado debido a los bloqueos técnicos.
13/02/2026: Danilo informa que el requerimiento lo continua ejecunatando Jhon </t>
  </si>
  <si>
    <t>Jhon Bermudez</t>
  </si>
  <si>
    <t>AUT0_1</t>
  </si>
  <si>
    <t>Digitación Data SBS</t>
  </si>
  <si>
    <t>Requerimiento:
Se requiere desarrollar un proceso que permita ingresar a la plataforma SBSeguros utilizando credenciales de autenticación válidas, con el propósito de consultar, validar y extraer información asociada a un documento específico.
El proceso deberá realizar las siguientes acciones:
1.  Autenticación: Ingresar a la plataforma SBSeguros empleando las credenciales de inicio de sesión autorizadas para el proceso de consulta.
2. Validación de información: Verificar si el documento consultado cuenta con información registrada en la plataforma.
3. Extracción de datos:
*Desde la sección “Información Básica” o “RUT”, obtener y almacenar el código CIIU correspondiente.
*Desde la sección “Información Financiera”, recuperar el valor reportado en el campo “Ingresos Mensuales”.
4.Resultado del proceso: Registrar y/o devolver los datos obtenidos para su uso en procesos posteriores de validación o integración.</t>
  </si>
  <si>
    <t>28/10/2025 Se valida método de consulta de manera manual y se descubre que a partir del consumo de una URL se puede hacer la consulta completa con los resultados que la plataforma retorna de manera visual
29/10/2025 Se ajusta script para filtrar y trasformar la información de tal manera que sea útil para utilizarla
30/10/2025 Ajuste del scritp para mejorar el la respuesta
31/10/2025 Se ejecutan la lista de NIT´s pendientes</t>
  </si>
  <si>
    <t>MEJORA_1</t>
  </si>
  <si>
    <t>causales devolucion zehux</t>
  </si>
  <si>
    <t>Unificar las causales de devolución y que se vean reflajadas en el informe</t>
  </si>
  <si>
    <t xml:space="preserve">16/12/2025 se realizaron los cambios solicitados </t>
  </si>
  <si>
    <t>MEJORA_2</t>
  </si>
  <si>
    <t>modulo punteo</t>
  </si>
  <si>
    <t>Hacer un modulo de punteo de los PTC y EHB</t>
  </si>
  <si>
    <t xml:space="preserve">se requiere reunion para aclaracion del requerimiento
29/12/2025 se entrega implementado en produccion </t>
  </si>
  <si>
    <t>MEJORA_3</t>
  </si>
  <si>
    <t>Automatizacion de SAT independientes</t>
  </si>
  <si>
    <t>20251218, se requiere permisos para conmexion a las urls de consumo del api, se valida con
 tecnologia de colmena, aun no dan el permiso solicitado, por lo tanto se mantiene en espera 
20260116 ya se concedieron permisos para la conexion a la url de preubas de la consulta, se probo conexiones y funciona, se indica a colmena para identificar el apso a seguir 
25/02/2026: Pausado por el gobierno</t>
  </si>
  <si>
    <t>MEJORA_4</t>
  </si>
  <si>
    <t>mejoras Enfermedad Laboral</t>
  </si>
  <si>
    <t>mejorar las vistas de gestion del modulo de enfermedad laboral</t>
  </si>
  <si>
    <t xml:space="preserve">20260105 se realiza paso a produccion
20260106 se realizan ajustes por errores presentados en el paso a produccion </t>
  </si>
  <si>
    <t>MEJORA_5</t>
  </si>
  <si>
    <t>opcion modificar radicados zehux</t>
  </si>
  <si>
    <t>MEJORA_6</t>
  </si>
  <si>
    <t>validacion error separacion imagenes</t>
  </si>
  <si>
    <t>MEJORA_7</t>
  </si>
  <si>
    <t xml:space="preserve">actualizacion cargue masivo listados </t>
  </si>
  <si>
    <t>MEJORA_8</t>
  </si>
  <si>
    <t>mejora informe estadisticos imagine</t>
  </si>
  <si>
    <t>PRUEBAS IMAGINE</t>
  </si>
  <si>
    <t>25/02/2026: Se entrego en test a rocio el 18 de enero y pendiente ajustes solicitados por rocio.</t>
  </si>
  <si>
    <t>MEJORA_9</t>
  </si>
  <si>
    <t>ajustes boton digital</t>
  </si>
  <si>
    <t>creacion nuevos campos y tablas para el proceso de afiliacion boton digital</t>
  </si>
  <si>
    <t>PAUSADO</t>
  </si>
  <si>
    <t xml:space="preserve">2026/01/26 Se espera la instruccion por parte de colmena para el paso a produccion de los cambios. </t>
  </si>
  <si>
    <t>automatizacion</t>
  </si>
  <si>
    <t>counsulta automatica senda</t>
  </si>
  <si>
    <t xml:space="preserve">validacion de consulta automatico en senda medico para el proceso de enfermedad laboral </t>
  </si>
  <si>
    <t>20260119 se deben hacer mas validaciones para identificar las tablas y campos necesarios para la automatizacion de la conuslta</t>
  </si>
  <si>
    <t>MEJORA_10</t>
  </si>
  <si>
    <t>nueva  marcacion de entrada y salida</t>
  </si>
  <si>
    <t>MEJORA_11</t>
  </si>
  <si>
    <t>mejora importador de lotes</t>
  </si>
  <si>
    <t xml:space="preserve">20260205 se hace el apso a produccion definitivo con las nuevasa mejoras de masivo y se poone en ejecucion </t>
  </si>
  <si>
    <t>MEJORA_12</t>
  </si>
  <si>
    <t xml:space="preserve">Lectura Excel Afiliaciones </t>
  </si>
  <si>
    <t xml:space="preserve">pasar la lectura de excel a python/php para mejorar validaciones y no depender demasiado  de acces </t>
  </si>
  <si>
    <t xml:space="preserve">20260202 se hace muestra del desarrollo se identifican nuevas validaciones, se inicia implementacion de las nuevas indicaciones a validar </t>
  </si>
  <si>
    <t>MEJORA_13</t>
  </si>
  <si>
    <t>mejora acces novedades</t>
  </si>
  <si>
    <t>habilitar en php la opcion de modificacion en tablas temporales que actualmente se hacie en access</t>
  </si>
  <si>
    <t xml:space="preserve">20260205 se deja para la realizacion de pruebas </t>
  </si>
  <si>
    <t>MEJORA_14</t>
  </si>
  <si>
    <t>migracion modulo cartera</t>
  </si>
  <si>
    <t xml:space="preserve">migracion del modulo y opciones de cartera de php a python </t>
  </si>
  <si>
    <t xml:space="preserve">25/02/2026: Pausado  por gerencia </t>
  </si>
  <si>
    <t>MEJORA_15</t>
  </si>
  <si>
    <t>migracion reembolsos</t>
  </si>
  <si>
    <t xml:space="preserve">migracion de la opcion de reembolsos a python </t>
  </si>
  <si>
    <t>EN PROCESO</t>
  </si>
  <si>
    <t xml:space="preserve">25/02/2026: Desarrollo en local </t>
  </si>
  <si>
    <t>MEJORA_16</t>
  </si>
  <si>
    <t>requerimiento zehux</t>
  </si>
  <si>
    <t xml:space="preserve">solicitud de cambio de formulario de radicacion de fcc en zehux y ajuste para no permitir cierre de casos sin adjuntar archivo nombrado calidad renovacion </t>
  </si>
  <si>
    <t>MEJORA_17</t>
  </si>
  <si>
    <t>requerimiento sat 1 y 2</t>
  </si>
  <si>
    <t>En este caso se solicita la creación o poblar los campos de los layout  de acuerdo a la estructura del SAT de los servicios "3.1 Afiliación de un empleador a una ARL
En este caso se solicita la creación o poblar los campos de los layout de acuerdo a la estructura del SAT de los servicios "3.2 Novedades de Sede (Creación, Actualización e Inactivación)", donde en los documentos adjuntos se especifica las tablas temporales en las cuales viajara la información que ingrese a través de SAT.</t>
  </si>
  <si>
    <t xml:space="preserve">20260407 sesion con el cleinte mostrando el avance, se da visto bueno de lo desarrollado, se pacta una nueva reunion para validar los siguientes putnos a realizar </t>
  </si>
  <si>
    <t>MEJORA_19</t>
  </si>
  <si>
    <t>migracion aviatur</t>
  </si>
  <si>
    <t>Aviatur falta tema alojamientos migrarlo a solicitudes adm</t>
  </si>
  <si>
    <t>req arl</t>
  </si>
  <si>
    <t>ajuste pila</t>
  </si>
  <si>
    <t>no tomar la novedad de retiro registrada en la planilla, cuando el tipo de cotizante en la planilla sea (19 Aprendices en etapa productiva), esto aplica cuando viene solamente novedad de retiro e ingreso y retiro en la misma planilla. Este tipo de cotizante viene registrado en la planilla tipo E y tipo N.</t>
  </si>
  <si>
    <t>MEJORA_21</t>
  </si>
  <si>
    <t>ajute recaudo</t>
  </si>
  <si>
    <t>se solicita implementar un botón para el descargue de planos, para el proceso de traslado a otras ARL.</t>
  </si>
  <si>
    <t>MEJORA_22</t>
  </si>
  <si>
    <t>log sp</t>
  </si>
  <si>
    <t>Revisar el log de las actividades de buzonSP</t>
  </si>
  <si>
    <t>MEJORA_23</t>
  </si>
  <si>
    <t xml:space="preserve">mejora bandeja enfermedad laboral </t>
  </si>
  <si>
    <t>se solicita mejorar la bandeja de trabajo de enfermedad laboral agraganod los filtros por cedula, juntas tipo servicio</t>
  </si>
  <si>
    <t xml:space="preserve">20260304 se implementa y se pasa a produccion despues de la revision de jennifer </t>
  </si>
  <si>
    <t>reqerimiento</t>
  </si>
  <si>
    <t xml:space="preserve">solicitud inclusion en zehux </t>
  </si>
  <si>
    <t>se solictan 4 puntos de mejoras en el aplicativo zehux, 
inclusion de usaurios a lista de asignacion masiva, 
filtro de bandeja de sistemas 
asignacion automatica movimiento renovacion y expedicion
visualizar prima estimada en pagina de radicado</t>
  </si>
  <si>
    <t xml:space="preserve">se  estan realzando pruebas por parte del cliente para confirmar el paso a produccion 
20260317 el cliente aun esta realizando pruebas, ya confirmom 3 de los 4 puntos </t>
  </si>
  <si>
    <t>requerimiento</t>
  </si>
  <si>
    <t xml:space="preserve">retirar validacion retiros retroactivos </t>
  </si>
  <si>
    <t xml:space="preserve">se solicita retirar la validacion de 161 dias que no deja tomar retiros retroactivos en el proceso pila </t>
  </si>
  <si>
    <t>solicitud 1</t>
  </si>
  <si>
    <t xml:space="preserve">creacion e inclusion nueva tipologia </t>
  </si>
  <si>
    <t xml:space="preserve">se solicita la creacion de la nueva tipologia NI GENERACION CARNETS y agregarla al flujo de buzon SP </t>
  </si>
  <si>
    <t>brayan Diaz</t>
  </si>
  <si>
    <t>solicitud 2</t>
  </si>
  <si>
    <t>Comunicación a clientes para pagos por PSE</t>
  </si>
  <si>
    <t xml:space="preserve">20260327 se envio muestra al cliente para su revision 
20260331 el cliente indico cambios para el cuerpo del correo, se inicia trabajo de esos cambios 
20260406 se da al cliente la version final, se espera el ultimo aprobado para iniciar con el envio masivo de las notificaciones </t>
  </si>
  <si>
    <t>solicitud 3</t>
  </si>
  <si>
    <t>Ajuste cierre automático de buzones</t>
  </si>
  <si>
    <t>ajustes inconsisstencias acciones de cobro</t>
  </si>
  <si>
    <t xml:space="preserve">Ajustar la herramienta Zehux para la radicación de negocios nuevos, de modo que el campo “Número de Póliza” deje de ser obligatorio en dicha etapa, manteniendo como obligatorios únicamente el Número de Producto y el NIT del Tomador;  no obstante, se aclara que en la etapa de Validación SARLAFT sí debe exigirse obligatoriamente el número de póliza
</t>
  </si>
  <si>
    <t xml:space="preserve">Ajustar la herramienta Zehux para la radicación de negocios nuevos, de modo que el campo “Número de Póliza” deje de ser obligatorio en dicha etapa, manteniendo como obligatorios únicamente el Número de Producto y el NIT del Tomador;  no obstante, se aclara que en la etapa de Validación SARLAFT sí debe exigirse obligatoriamente el número de póliza
</t>
  </si>
  <si>
    <t>brayan diaz</t>
  </si>
  <si>
    <t xml:space="preserve">ajustes herramienta afinidad zehux </t>
  </si>
  <si>
    <t>Añadir a los documentos básicos la siguiente información obligatoria:
Slip de condiciones definitivas y finales
Autorización de tratamiento de datos
Aprobación del cliente
Sarlaft
Campos Obligatorios:  Razón social y sponsor
Cuando sea póliza individual se debe marcar como No obligatorio
Cuando sea renovación de póliza colectiva el número es obligatorio.
Eliminar del flujo a configuración y asignar a asignar a operaciones afinidad de manera que los comerciales radiquen al equipo operativo primero para después enviar a configuración.</t>
  </si>
  <si>
    <t xml:space="preserve"> Año Nuevo</t>
  </si>
  <si>
    <t xml:space="preserve"> Día de los Reyes Magos</t>
  </si>
  <si>
    <t xml:space="preserve"> Día de San José</t>
  </si>
  <si>
    <t xml:space="preserve"> Jueves Santo (Semana Santa)</t>
  </si>
  <si>
    <t xml:space="preserve"> Viernes Santo (Semana Santa)</t>
  </si>
  <si>
    <t xml:space="preserve"> Día del Trabajo</t>
  </si>
  <si>
    <t xml:space="preserve"> Día de la Ascensión</t>
  </si>
  <si>
    <t xml:space="preserve"> Corpus Christi</t>
  </si>
  <si>
    <t xml:space="preserve"> Sagrado Corazón</t>
  </si>
  <si>
    <t xml:space="preserve"> San Pedro y San Pablo</t>
  </si>
  <si>
    <t xml:space="preserve"> Día de la Independencia</t>
  </si>
  <si>
    <t xml:space="preserve"> Batalla de Boyacá</t>
  </si>
  <si>
    <t xml:space="preserve"> La Asunción de la Virgen</t>
  </si>
  <si>
    <t xml:space="preserve"> Día de la Raza</t>
  </si>
  <si>
    <t xml:space="preserve"> Día de Todos los Santos</t>
  </si>
  <si>
    <t xml:space="preserve"> Independencia de Cartagena</t>
  </si>
  <si>
    <t xml:space="preserve"> Día de la Inmaculada Concepción</t>
  </si>
  <si>
    <t xml:space="preserve"> Navidad</t>
  </si>
  <si>
    <t>Año Nuevo</t>
  </si>
  <si>
    <t>Día de los Reyes Magos</t>
  </si>
  <si>
    <t>Día de San José</t>
  </si>
  <si>
    <t>Jueves Santo</t>
  </si>
  <si>
    <t>Viernes Santo</t>
  </si>
  <si>
    <t>Día del Trabajo</t>
  </si>
  <si>
    <t>Ascensión de Jesús</t>
  </si>
  <si>
    <t>Corpus Christi</t>
  </si>
  <si>
    <t>Sagrado Corazón de Jesús / San Pedro y San Pablo</t>
  </si>
  <si>
    <t>Independencia de Colombia</t>
  </si>
  <si>
    <t>Batalla de Boyacá</t>
  </si>
  <si>
    <t>Asunción de la Virgen</t>
  </si>
  <si>
    <t>Día de la Raza</t>
  </si>
  <si>
    <t>Día de Todos los Santos</t>
  </si>
  <si>
    <t>Independencia de Cartagena</t>
  </si>
  <si>
    <t>Inmaculada Concepción</t>
  </si>
  <si>
    <t>Navidad</t>
  </si>
  <si>
    <t>Sagrado Corazón de Jesús</t>
  </si>
  <si>
    <t>San Pedro y San Pablo</t>
  </si>
  <si>
    <t xml:space="preserve">ASISTENCIA DAYLI </t>
  </si>
  <si>
    <t>INTEGRANTE</t>
  </si>
  <si>
    <t>DANILO RAMIREZ</t>
  </si>
  <si>
    <t>SI</t>
  </si>
  <si>
    <t>no (Dia de la familia)</t>
  </si>
  <si>
    <t>No hubo sesion</t>
  </si>
  <si>
    <t>NO</t>
  </si>
  <si>
    <t xml:space="preserve">No hubo sesión </t>
  </si>
  <si>
    <t>NO HUBO SESION</t>
  </si>
  <si>
    <t>NO HAY SESION</t>
  </si>
  <si>
    <t>Vacaciones</t>
  </si>
  <si>
    <t>No hobo sesion por caida de los sitios.</t>
  </si>
  <si>
    <t>JAIRO NIÑO</t>
  </si>
  <si>
    <t>JESUS PEÑA</t>
  </si>
  <si>
    <t>Dia de la familia</t>
  </si>
  <si>
    <t>Falla electrica</t>
  </si>
  <si>
    <t>LUIS BEDOYA</t>
  </si>
  <si>
    <t>SIN INTERNET</t>
  </si>
  <si>
    <t>JOHAN QUICENO</t>
  </si>
  <si>
    <t>Permiso</t>
  </si>
  <si>
    <t>sin internet</t>
  </si>
  <si>
    <t>TRABAJO HASTA HOY</t>
  </si>
  <si>
    <t>FABIO FORERO</t>
  </si>
  <si>
    <t>JENRY HENAO</t>
  </si>
  <si>
    <t>LIYIBET PEREZ</t>
  </si>
  <si>
    <t>nomina</t>
  </si>
  <si>
    <t>NOMINA</t>
  </si>
  <si>
    <t>WILSON APONTE</t>
  </si>
  <si>
    <t>JOHN ROLON</t>
  </si>
  <si>
    <t>Asignado</t>
  </si>
  <si>
    <t>Dias</t>
  </si>
  <si>
    <t>TEST</t>
  </si>
  <si>
    <t>PRODUCCION</t>
  </si>
  <si>
    <t>Observacion</t>
  </si>
  <si>
    <t>LUIS BAYONA</t>
  </si>
  <si>
    <t>Encolar informe de efectividad de salud</t>
  </si>
  <si>
    <t xml:space="preserve">*02/10/2024 inicia  gestion.
*03/10/2024 Finalizar la consulta y realizar pruebas
* 07/10/2024 desarrollo en test  para  pruebas </t>
  </si>
  <si>
    <t>VULNERABILIDADES BAJAS</t>
  </si>
  <si>
    <t>Web Server Allows Password Auto-Completion</t>
  </si>
  <si>
    <t>PENDIENTE</t>
  </si>
  <si>
    <r>
      <rPr>
        <sz val="10"/>
        <color theme="1"/>
        <rFont val="Quattrocento Sans"/>
      </rPr>
      <t>*04/10/2024 pruebas
*</t>
    </r>
    <r>
      <rPr>
        <b/>
        <sz val="10"/>
        <color theme="1"/>
        <rFont val="Quattrocento Sans"/>
      </rPr>
      <t xml:space="preserve"> 07/10/2024 se entrega a Danilo para  pruebas y posterior despliegue a producción
* 09/10/2024 Confirmar entrega de rama a Danilo
* 10/10/2024 Etregadas a Danilo 9 de octubre, </t>
    </r>
  </si>
  <si>
    <t>Autocomplete Enabled (15 Y 18)</t>
  </si>
  <si>
    <t xml:space="preserve">*04/10/2024 pruebas
* 07/10/2024 se entrega a Danilo para  pruebas y posterior despliegue a producción
* 09/10/2024 Confirmar entrega de rama a Danilo
* 10/10/2024 Etregadas a Danilo 9 de octubre </t>
  </si>
  <si>
    <t>VULNERABILIDADES MEDIAS</t>
  </si>
  <si>
    <t>Internal Server Error</t>
  </si>
  <si>
    <t>TRUE</t>
  </si>
  <si>
    <t>FALSE</t>
  </si>
  <si>
    <t>solicitud 4</t>
  </si>
  <si>
    <t>solicitud 5</t>
  </si>
  <si>
    <t>solicitud 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</si>
</sst>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quot;/&quot;mm&quot;/&quot;yyyy"/>
    <numFmt numFmtId="165" formatCode="dd/mm/yyyy"/>
  </numFmts>
  <fonts count="35">
    <font>
      <sz val="12"/>
      <color theme="1"/>
      <name val="Quattrocento Sans"/>
      <scheme val="minor"/>
    </font>
    <font>
      <b/>
      <u/>
      <sz val="9"/>
      <color rgb="FFFFFFFF"/>
      <name val="Quattrocento Sans"/>
    </font>
    <font>
      <b/>
      <u/>
      <sz val="10"/>
      <color rgb="FFFFFFFF"/>
      <name val="Quattrocento Sans"/>
    </font>
    <font>
      <sz val="12"/>
      <color rgb="FFFFFFFF"/>
      <name val="Quattrocento Sans"/>
      <scheme val="minor"/>
    </font>
    <font>
      <sz val="12"/>
      <color rgb="FFFFFFFF"/>
      <name val="Quattrocento Sans"/>
    </font>
    <font>
      <b/>
      <u/>
      <sz val="10"/>
      <color rgb="FFFFFFFF"/>
      <name val="Quattrocento Sans"/>
    </font>
    <font>
      <u/>
      <sz val="10"/>
      <color rgb="FFFFFFFF"/>
      <name val="Quattrocento Sans"/>
    </font>
    <font>
      <b/>
      <sz val="10"/>
      <color rgb="FFFFFFFF"/>
      <name val="Quattrocento Sans"/>
    </font>
    <font>
      <b/>
      <sz val="8"/>
      <color rgb="FFFFFFFF"/>
      <name val="Quattrocento Sans"/>
    </font>
    <font>
      <b/>
      <sz val="10"/>
      <color rgb="FF000000"/>
      <name val="Quattrocento Sans"/>
    </font>
    <font>
      <sz val="12"/>
      <color theme="1"/>
      <name val="Quattrocento Sans"/>
    </font>
    <font>
      <b/>
      <u/>
      <sz val="9"/>
      <color theme="1"/>
      <name val="Quattrocento Sans"/>
    </font>
    <font>
      <sz val="12"/>
      <color theme="1"/>
      <name val="Quattrocento Sans"/>
      <scheme val="minor"/>
    </font>
    <font>
      <b/>
      <u/>
      <sz val="10"/>
      <color theme="1"/>
      <name val="Quattrocento Sans"/>
    </font>
    <font>
      <b/>
      <u/>
      <sz val="10"/>
      <color theme="1"/>
      <name val="Quattrocento Sans"/>
    </font>
    <font>
      <u/>
      <sz val="10"/>
      <color theme="1"/>
      <name val="Quattrocento Sans"/>
    </font>
    <font>
      <sz val="10"/>
      <color theme="1"/>
      <name val="Quattrocento Sans"/>
    </font>
    <font>
      <b/>
      <sz val="10"/>
      <color theme="1"/>
      <name val="Quattrocento Sans"/>
    </font>
    <font>
      <b/>
      <u/>
      <sz val="10"/>
      <color theme="1"/>
      <name val="Quattrocento Sans"/>
    </font>
    <font>
      <sz val="12"/>
      <color rgb="FF0A1D30"/>
      <name val="&quot;Gill Sans MT&quot;"/>
    </font>
    <font>
      <u/>
      <sz val="10"/>
      <color theme="1"/>
      <name val="Quattrocento Sans"/>
    </font>
    <font>
      <b/>
      <u/>
      <sz val="10"/>
      <color theme="1"/>
      <name val="Quattrocento Sans"/>
    </font>
    <font>
      <b/>
      <u/>
      <sz val="10"/>
      <color theme="1"/>
      <name val="Quattrocento Sans"/>
    </font>
    <font>
      <b/>
      <u/>
      <sz val="10"/>
      <color rgb="FF000000"/>
      <name val="Quattrocento Sans"/>
    </font>
    <font>
      <u/>
      <sz val="10"/>
      <color theme="1"/>
      <name val="Quattrocento Sans"/>
    </font>
    <font>
      <b/>
      <u/>
      <sz val="9"/>
      <color theme="1"/>
      <name val="Quattrocento Sans"/>
    </font>
    <font>
      <sz val="12"/>
      <color rgb="FF000000"/>
      <name val="Quattrocento Sans"/>
    </font>
    <font>
      <sz val="12"/>
      <color rgb="FF000000"/>
      <name val="Arial"/>
    </font>
    <font>
      <sz val="12"/>
      <color rgb="FF000000"/>
      <name val="&quot;Quattrocento Sans&quot;"/>
    </font>
    <font>
      <b/>
      <sz val="9"/>
      <color theme="1"/>
      <name val="Quattrocento Sans"/>
    </font>
    <font>
      <sz val="12"/>
      <color theme="1"/>
      <name val="Quattrocento Sans"/>
    </font>
    <font>
      <b/>
      <sz val="12"/>
      <color theme="1"/>
      <name val="Quattrocento Sans"/>
    </font>
    <font>
      <sz val="12"/>
      <color rgb="FFFF0000"/>
      <name val="Quattrocento Sans"/>
    </font>
    <font>
      <sz val="12"/>
      <name val="Quattrocento Sans"/>
    </font>
    <font>
      <b/>
      <sz val="12"/>
      <color rgb="FFFF0000"/>
      <name val="Quattrocento Sans"/>
    </font>
  </fonts>
  <fills count="15">
    <fill>
      <patternFill patternType="none"/>
    </fill>
    <fill>
      <patternFill patternType="gray125"/>
    </fill>
    <fill>
      <patternFill patternType="solid">
        <fgColor rgb="FFCFE2F3"/>
        <bgColor rgb="FFCFE2F3"/>
      </patternFill>
    </fill>
    <fill>
      <patternFill patternType="solid">
        <fgColor rgb="FFD9EAD3"/>
        <bgColor rgb="FFD9EAD3"/>
      </patternFill>
    </fill>
    <fill>
      <patternFill patternType="solid">
        <fgColor rgb="FFF4CCCC"/>
        <bgColor rgb="FFF4CCCC"/>
      </patternFill>
    </fill>
    <fill>
      <patternFill patternType="solid">
        <fgColor rgb="FF4A86E8"/>
        <bgColor rgb="FF4A86E8"/>
      </patternFill>
    </fill>
    <fill>
      <patternFill patternType="solid">
        <fgColor rgb="FFFFFFFF"/>
        <bgColor rgb="FFFFFFFF"/>
      </patternFill>
    </fill>
    <fill>
      <patternFill patternType="solid">
        <fgColor rgb="FFF6F8F9"/>
        <bgColor rgb="FFF6F8F9"/>
      </patternFill>
    </fill>
    <fill>
      <patternFill patternType="solid">
        <fgColor rgb="FFDEEAF6"/>
        <bgColor rgb="FFDEEAF6"/>
      </patternFill>
    </fill>
    <fill>
      <patternFill patternType="solid">
        <fgColor rgb="FFF2F2F2"/>
        <bgColor rgb="FFF2F2F2"/>
      </patternFill>
    </fill>
    <fill>
      <patternFill patternType="solid">
        <fgColor rgb="FFB4C6E7"/>
        <bgColor rgb="FFB4C6E7"/>
      </patternFill>
    </fill>
    <fill>
      <patternFill patternType="solid">
        <fgColor rgb="FFDADADA"/>
        <bgColor rgb="FFDADADA"/>
      </patternFill>
    </fill>
    <fill>
      <patternFill patternType="solid">
        <fgColor rgb="FFF7CAAC"/>
        <bgColor rgb="FFF7CAAC"/>
      </patternFill>
    </fill>
    <fill>
      <patternFill patternType="solid">
        <fgColor rgb="FFC5E0B3"/>
        <bgColor rgb="FFC5E0B3"/>
      </patternFill>
    </fill>
    <fill>
      <patternFill patternType="solid">
        <fgColor rgb="FFFFFF00"/>
        <bgColor rgb="FFFFFF00"/>
      </patternFill>
    </fill>
  </fills>
  <borders count="19">
    <border>
      <left/>
      <right/>
      <top/>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356854"/>
      </left>
      <right style="thin">
        <color rgb="FF356854"/>
      </right>
      <top style="thin">
        <color rgb="FF284E3F"/>
      </top>
      <bottom style="thin">
        <color rgb="FF284E3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284E3F"/>
      </right>
      <top style="thin">
        <color rgb="FFFFFFFF"/>
      </top>
      <bottom style="thin">
        <color rgb="FFFFFFFF"/>
      </bottom>
      <diagonal/>
    </border>
    <border>
      <left style="thin">
        <color rgb="FFF6F8F9"/>
      </left>
      <right style="thin">
        <color rgb="FFF6F8F9"/>
      </right>
      <top style="thin">
        <color rgb="FFF6F8F9"/>
      </top>
      <bottom style="thin">
        <color rgb="FFF6F8F9"/>
      </bottom>
      <diagonal/>
    </border>
    <border>
      <left style="thin">
        <color rgb="FFF6F8F9"/>
      </left>
      <right style="thin">
        <color rgb="FF284E3F"/>
      </right>
      <top style="thin">
        <color rgb="FFF6F8F9"/>
      </top>
      <bottom style="thin">
        <color rgb="FFF6F8F9"/>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right style="thin">
        <color rgb="FFFFFFFF"/>
      </right>
      <top style="thin">
        <color rgb="FFFFFFFF"/>
      </top>
      <bottom style="thin">
        <color rgb="FFFFFFFF"/>
      </bottom>
      <diagonal/>
    </border>
    <border>
      <left/>
      <right style="thin">
        <color rgb="FFF6F8F9"/>
      </right>
      <top style="thin">
        <color rgb="FFF6F8F9"/>
      </top>
      <bottom style="thin">
        <color rgb="FFF6F8F9"/>
      </bottom>
      <diagonal/>
    </border>
  </borders>
  <cellStyleXfs count="1">
    <xf numFmtId="0" fontId="0" fillId="0" borderId="0"/>
  </cellStyleXfs>
  <cellXfs count="134">
    <xf numFmtId="0" fontId="0" fillId="0" borderId="0" xfId="0" applyFont="1" applyAlignment="1"/>
    <xf numFmtId="0" fontId="1"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3" fillId="0" borderId="0" xfId="0" applyFont="1"/>
    <xf numFmtId="0" fontId="4" fillId="3" borderId="0" xfId="0" applyFont="1" applyFill="1" applyAlignment="1">
      <alignment wrapText="1"/>
    </xf>
    <xf numFmtId="0" fontId="5"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49" fontId="7" fillId="2" borderId="3" xfId="0" applyNumberFormat="1" applyFont="1" applyFill="1" applyBorder="1" applyAlignment="1">
      <alignment horizontal="center" vertical="center" wrapText="1"/>
    </xf>
    <xf numFmtId="3" fontId="8" fillId="2" borderId="3" xfId="0" applyNumberFormat="1" applyFont="1" applyFill="1" applyBorder="1" applyAlignment="1">
      <alignment horizontal="center" vertical="center" wrapText="1"/>
    </xf>
    <xf numFmtId="164" fontId="7" fillId="2" borderId="3" xfId="0" applyNumberFormat="1" applyFont="1" applyFill="1" applyBorder="1" applyAlignment="1">
      <alignment horizontal="center" vertical="center"/>
    </xf>
    <xf numFmtId="164" fontId="7" fillId="2" borderId="3" xfId="0" applyNumberFormat="1" applyFont="1" applyFill="1" applyBorder="1" applyAlignment="1">
      <alignment horizontal="center" vertical="center" wrapText="1"/>
    </xf>
    <xf numFmtId="3" fontId="7" fillId="2" borderId="3" xfId="0" applyNumberFormat="1" applyFont="1" applyFill="1" applyBorder="1" applyAlignment="1">
      <alignment horizontal="center" vertical="center" wrapText="1"/>
    </xf>
    <xf numFmtId="164" fontId="9" fillId="4" borderId="3" xfId="0" applyNumberFormat="1" applyFont="1" applyFill="1" applyBorder="1" applyAlignment="1">
      <alignment horizontal="center" vertical="center" wrapText="1"/>
    </xf>
    <xf numFmtId="0" fontId="7" fillId="5" borderId="3" xfId="0" applyFont="1" applyFill="1" applyBorder="1" applyAlignment="1">
      <alignment horizontal="center" vertical="top"/>
    </xf>
    <xf numFmtId="0" fontId="10" fillId="0" borderId="0" xfId="0" applyFont="1"/>
    <xf numFmtId="0" fontId="11" fillId="6" borderId="4" xfId="0" applyFont="1" applyFill="1" applyBorder="1" applyAlignment="1">
      <alignment horizontal="center" vertical="center" wrapText="1"/>
    </xf>
    <xf numFmtId="0" fontId="10" fillId="0" borderId="4" xfId="0" applyFont="1" applyBorder="1" applyAlignment="1">
      <alignment horizontal="center" vertical="center"/>
    </xf>
    <xf numFmtId="0" fontId="12" fillId="0" borderId="4" xfId="0" applyFont="1" applyBorder="1"/>
    <xf numFmtId="0" fontId="13" fillId="6" borderId="4" xfId="0" applyFont="1" applyFill="1" applyBorder="1" applyAlignment="1">
      <alignment horizontal="center" vertical="center" wrapText="1"/>
    </xf>
    <xf numFmtId="0" fontId="14" fillId="6" borderId="4" xfId="0" applyFont="1" applyFill="1" applyBorder="1" applyAlignment="1">
      <alignment horizontal="center" vertical="center" wrapText="1"/>
    </xf>
    <xf numFmtId="0" fontId="15" fillId="6" borderId="4" xfId="0" applyFont="1" applyFill="1" applyBorder="1" applyAlignment="1">
      <alignment vertical="center" wrapText="1"/>
    </xf>
    <xf numFmtId="0" fontId="16" fillId="6" borderId="4" xfId="0" applyFont="1" applyFill="1" applyBorder="1" applyAlignment="1">
      <alignment horizontal="center" vertical="center" wrapText="1"/>
    </xf>
    <xf numFmtId="3" fontId="17" fillId="6" borderId="4" xfId="0" applyNumberFormat="1" applyFont="1" applyFill="1" applyBorder="1" applyAlignment="1">
      <alignment horizontal="center" vertical="center"/>
    </xf>
    <xf numFmtId="164" fontId="16" fillId="6" borderId="4" xfId="0" applyNumberFormat="1" applyFont="1" applyFill="1" applyBorder="1" applyAlignment="1">
      <alignment vertical="center" wrapText="1"/>
    </xf>
    <xf numFmtId="164" fontId="17" fillId="6" borderId="4" xfId="0" applyNumberFormat="1" applyFont="1" applyFill="1" applyBorder="1" applyAlignment="1">
      <alignment vertical="center"/>
    </xf>
    <xf numFmtId="164" fontId="17" fillId="6" borderId="4" xfId="0" applyNumberFormat="1" applyFont="1" applyFill="1" applyBorder="1" applyAlignment="1">
      <alignment vertical="center"/>
    </xf>
    <xf numFmtId="3" fontId="16" fillId="6" borderId="4" xfId="0" applyNumberFormat="1" applyFont="1" applyFill="1" applyBorder="1" applyAlignment="1">
      <alignment horizontal="center" vertical="center" wrapText="1"/>
    </xf>
    <xf numFmtId="0" fontId="16" fillId="6" borderId="4" xfId="0" applyFont="1" applyFill="1" applyBorder="1" applyAlignment="1">
      <alignment horizontal="left" vertical="top"/>
    </xf>
    <xf numFmtId="0" fontId="12" fillId="0" borderId="0" xfId="0" applyFont="1" applyAlignment="1"/>
    <xf numFmtId="164" fontId="16" fillId="6" borderId="4" xfId="0" applyNumberFormat="1" applyFont="1" applyFill="1" applyBorder="1" applyAlignment="1">
      <alignment vertical="center" wrapText="1"/>
    </xf>
    <xf numFmtId="0" fontId="12" fillId="0" borderId="0" xfId="0" applyFont="1"/>
    <xf numFmtId="0" fontId="12" fillId="0" borderId="0" xfId="0" applyFont="1" applyAlignment="1">
      <alignment wrapText="1"/>
    </xf>
    <xf numFmtId="0" fontId="16" fillId="6" borderId="4" xfId="0" applyFont="1" applyFill="1" applyBorder="1" applyAlignment="1">
      <alignment vertical="top"/>
    </xf>
    <xf numFmtId="0" fontId="12" fillId="0" borderId="4" xfId="0" applyFont="1" applyBorder="1" applyAlignment="1">
      <alignment wrapText="1"/>
    </xf>
    <xf numFmtId="164" fontId="16" fillId="6" borderId="4" xfId="0" applyNumberFormat="1" applyFont="1" applyFill="1" applyBorder="1" applyAlignment="1">
      <alignment vertical="center"/>
    </xf>
    <xf numFmtId="0" fontId="16" fillId="6" borderId="4" xfId="0" applyFont="1" applyFill="1" applyBorder="1" applyAlignment="1">
      <alignment horizontal="left" vertical="top"/>
    </xf>
    <xf numFmtId="0" fontId="12" fillId="0" borderId="4" xfId="0" applyFont="1" applyBorder="1" applyAlignment="1">
      <alignment vertical="top" wrapText="1"/>
    </xf>
    <xf numFmtId="164" fontId="16" fillId="6" borderId="4" xfId="0" applyNumberFormat="1" applyFont="1" applyFill="1" applyBorder="1" applyAlignment="1">
      <alignment vertical="center"/>
    </xf>
    <xf numFmtId="0" fontId="18" fillId="6" borderId="4" xfId="0" applyFont="1" applyFill="1" applyBorder="1" applyAlignment="1">
      <alignment vertical="center"/>
    </xf>
    <xf numFmtId="0" fontId="12" fillId="0" borderId="4" xfId="0" applyFont="1" applyBorder="1" applyAlignment="1"/>
    <xf numFmtId="0" fontId="19" fillId="6" borderId="0" xfId="0" applyFont="1" applyFill="1" applyAlignment="1"/>
    <xf numFmtId="0" fontId="20" fillId="6" borderId="4" xfId="0" applyFont="1" applyFill="1" applyBorder="1" applyAlignment="1">
      <alignment vertical="center"/>
    </xf>
    <xf numFmtId="0" fontId="21" fillId="6" borderId="4" xfId="0" applyFont="1" applyFill="1" applyBorder="1" applyAlignment="1">
      <alignment vertical="center" wrapText="1"/>
    </xf>
    <xf numFmtId="0" fontId="16" fillId="6" borderId="4" xfId="0" applyFont="1" applyFill="1" applyBorder="1" applyAlignment="1">
      <alignment vertical="center" wrapText="1"/>
    </xf>
    <xf numFmtId="0" fontId="12" fillId="0" borderId="4" xfId="0" applyFont="1" applyBorder="1" applyAlignment="1">
      <alignment wrapText="1"/>
    </xf>
    <xf numFmtId="0" fontId="22" fillId="6" borderId="4" xfId="0" applyFont="1" applyFill="1" applyBorder="1" applyAlignment="1">
      <alignment horizontal="left" vertical="center" wrapText="1"/>
    </xf>
    <xf numFmtId="0" fontId="12" fillId="0" borderId="4" xfId="0" applyFont="1" applyBorder="1" applyAlignment="1">
      <alignment wrapText="1"/>
    </xf>
    <xf numFmtId="0" fontId="23" fillId="6" borderId="5" xfId="0" applyFont="1" applyFill="1" applyBorder="1" applyAlignment="1">
      <alignment vertical="center" wrapText="1"/>
    </xf>
    <xf numFmtId="0" fontId="24" fillId="6" borderId="4" xfId="0" applyFont="1" applyFill="1" applyBorder="1" applyAlignment="1">
      <alignment horizontal="left" vertical="center"/>
    </xf>
    <xf numFmtId="0" fontId="16" fillId="6" borderId="4" xfId="0" applyFont="1" applyFill="1" applyBorder="1" applyAlignment="1">
      <alignment horizontal="center" vertical="center"/>
    </xf>
    <xf numFmtId="3" fontId="16" fillId="6" borderId="4" xfId="0" applyNumberFormat="1" applyFont="1" applyFill="1" applyBorder="1" applyAlignment="1">
      <alignment horizontal="center" vertical="center" wrapText="1"/>
    </xf>
    <xf numFmtId="165" fontId="16" fillId="6" borderId="4" xfId="0" applyNumberFormat="1" applyFont="1" applyFill="1" applyBorder="1" applyAlignment="1">
      <alignment vertical="center"/>
    </xf>
    <xf numFmtId="0" fontId="25" fillId="6" borderId="4" xfId="0" applyFont="1" applyFill="1" applyBorder="1" applyAlignment="1">
      <alignment horizontal="center" vertical="center"/>
    </xf>
    <xf numFmtId="0" fontId="16" fillId="6" borderId="4" xfId="0" applyFont="1" applyFill="1" applyBorder="1" applyAlignment="1">
      <alignment horizontal="left" vertical="center"/>
    </xf>
    <xf numFmtId="0" fontId="16" fillId="6" borderId="4" xfId="0" applyFont="1" applyFill="1" applyBorder="1" applyAlignment="1">
      <alignment vertical="center"/>
    </xf>
    <xf numFmtId="0" fontId="26" fillId="6" borderId="4" xfId="0" applyFont="1" applyFill="1" applyBorder="1" applyAlignment="1">
      <alignment vertical="center" wrapText="1"/>
    </xf>
    <xf numFmtId="0" fontId="26" fillId="6" borderId="4" xfId="0" applyFont="1" applyFill="1" applyBorder="1" applyAlignment="1">
      <alignment vertical="center"/>
    </xf>
    <xf numFmtId="0" fontId="27" fillId="6" borderId="0" xfId="0" applyFont="1" applyFill="1" applyAlignment="1"/>
    <xf numFmtId="0" fontId="16" fillId="6" borderId="4" xfId="0" applyFont="1" applyFill="1" applyBorder="1" applyAlignment="1">
      <alignment horizontal="left" vertical="center" wrapText="1"/>
    </xf>
    <xf numFmtId="14" fontId="16" fillId="6" borderId="4" xfId="0" applyNumberFormat="1" applyFont="1" applyFill="1" applyBorder="1" applyAlignment="1">
      <alignment vertical="center"/>
    </xf>
    <xf numFmtId="0" fontId="16" fillId="6" borderId="6" xfId="0" applyFont="1" applyFill="1" applyBorder="1" applyAlignment="1">
      <alignment horizontal="left" vertical="top"/>
    </xf>
    <xf numFmtId="0" fontId="16" fillId="6" borderId="7" xfId="0" applyFont="1" applyFill="1" applyBorder="1" applyAlignment="1">
      <alignment horizontal="left" vertical="top"/>
    </xf>
    <xf numFmtId="0" fontId="16" fillId="6" borderId="8" xfId="0" applyFont="1" applyFill="1" applyBorder="1" applyAlignment="1">
      <alignment horizontal="left" vertical="top"/>
    </xf>
    <xf numFmtId="0" fontId="16" fillId="6" borderId="9" xfId="0" applyFont="1" applyFill="1" applyBorder="1" applyAlignment="1">
      <alignment horizontal="left" vertical="top"/>
    </xf>
    <xf numFmtId="0" fontId="28" fillId="7" borderId="4" xfId="0" applyFont="1" applyFill="1" applyBorder="1" applyAlignment="1">
      <alignment horizontal="center"/>
    </xf>
    <xf numFmtId="14" fontId="30" fillId="0" borderId="0" xfId="0" applyNumberFormat="1" applyFont="1" applyAlignment="1">
      <alignment horizontal="right"/>
    </xf>
    <xf numFmtId="0" fontId="30" fillId="0" borderId="0" xfId="0" applyFont="1" applyAlignment="1"/>
    <xf numFmtId="0" fontId="30" fillId="0" borderId="0" xfId="0" applyFont="1" applyAlignment="1"/>
    <xf numFmtId="0" fontId="31" fillId="0" borderId="0" xfId="0" applyFont="1"/>
    <xf numFmtId="0" fontId="30" fillId="0" borderId="0" xfId="0" applyFont="1"/>
    <xf numFmtId="0" fontId="31" fillId="8" borderId="4" xfId="0" applyFont="1" applyFill="1" applyBorder="1" applyAlignment="1">
      <alignment vertical="center"/>
    </xf>
    <xf numFmtId="14" fontId="31" fillId="8" borderId="4" xfId="0" applyNumberFormat="1" applyFont="1" applyFill="1" applyBorder="1" applyAlignment="1">
      <alignment horizontal="center" vertical="center" wrapText="1"/>
    </xf>
    <xf numFmtId="14" fontId="31" fillId="8" borderId="10" xfId="0" applyNumberFormat="1" applyFont="1" applyFill="1" applyBorder="1" applyAlignment="1">
      <alignment horizontal="center" vertical="center" wrapText="1"/>
    </xf>
    <xf numFmtId="14" fontId="31" fillId="8" borderId="11" xfId="0" applyNumberFormat="1" applyFont="1" applyFill="1" applyBorder="1" applyAlignment="1">
      <alignment horizontal="center" vertical="center" wrapText="1"/>
    </xf>
    <xf numFmtId="0" fontId="31" fillId="9" borderId="4" xfId="0" applyFont="1" applyFill="1" applyBorder="1"/>
    <xf numFmtId="0" fontId="30" fillId="0" borderId="4" xfId="0" applyFont="1" applyBorder="1" applyAlignment="1">
      <alignment horizontal="center"/>
    </xf>
    <xf numFmtId="0" fontId="32" fillId="0" borderId="4" xfId="0" applyFont="1" applyBorder="1"/>
    <xf numFmtId="0" fontId="30" fillId="0" borderId="4" xfId="0" applyFont="1" applyBorder="1"/>
    <xf numFmtId="0" fontId="30" fillId="0" borderId="12" xfId="0" applyFont="1" applyBorder="1"/>
    <xf numFmtId="0" fontId="30" fillId="0" borderId="4" xfId="0" applyFont="1" applyBorder="1" applyAlignment="1">
      <alignment horizontal="center" vertical="center"/>
    </xf>
    <xf numFmtId="0" fontId="34" fillId="0" borderId="4" xfId="0" applyFont="1" applyBorder="1"/>
    <xf numFmtId="0" fontId="17" fillId="10" borderId="4" xfId="0" applyFont="1" applyFill="1" applyBorder="1" applyAlignment="1">
      <alignment horizontal="center" vertical="center"/>
    </xf>
    <xf numFmtId="0" fontId="17" fillId="11" borderId="4" xfId="0" applyFont="1" applyFill="1" applyBorder="1" applyAlignment="1">
      <alignment horizontal="center" vertical="center"/>
    </xf>
    <xf numFmtId="0" fontId="17" fillId="11" borderId="4" xfId="0" applyFont="1" applyFill="1" applyBorder="1" applyAlignment="1">
      <alignment horizontal="center" vertical="center" wrapText="1"/>
    </xf>
    <xf numFmtId="0" fontId="17" fillId="0" borderId="4" xfId="0" applyFont="1" applyBorder="1" applyAlignment="1">
      <alignment horizontal="center" vertical="center"/>
    </xf>
    <xf numFmtId="0" fontId="17" fillId="12" borderId="4" xfId="0" applyFont="1" applyFill="1" applyBorder="1" applyAlignment="1">
      <alignment horizontal="center" vertical="center"/>
    </xf>
    <xf numFmtId="0" fontId="17" fillId="13" borderId="4" xfId="0" applyFont="1" applyFill="1" applyBorder="1" applyAlignment="1">
      <alignment horizontal="center" vertical="center"/>
    </xf>
    <xf numFmtId="0" fontId="16" fillId="0" borderId="0" xfId="0" applyFont="1" applyAlignment="1">
      <alignment horizontal="center" vertical="center"/>
    </xf>
    <xf numFmtId="0" fontId="17" fillId="14" borderId="4" xfId="0" applyFont="1" applyFill="1" applyBorder="1" applyAlignment="1">
      <alignment horizontal="center" vertical="center"/>
    </xf>
    <xf numFmtId="0" fontId="17" fillId="0" borderId="4" xfId="0" applyFont="1" applyBorder="1" applyAlignment="1">
      <alignment horizontal="left" vertical="center"/>
    </xf>
    <xf numFmtId="0" fontId="16" fillId="0" borderId="4" xfId="0" applyFont="1" applyBorder="1" applyAlignment="1">
      <alignment horizontal="left" vertical="center"/>
    </xf>
    <xf numFmtId="14" fontId="16" fillId="0" borderId="4" xfId="0" applyNumberFormat="1" applyFont="1" applyBorder="1" applyAlignment="1">
      <alignment horizontal="center" vertical="center"/>
    </xf>
    <xf numFmtId="1" fontId="16" fillId="0" borderId="4" xfId="0" applyNumberFormat="1" applyFont="1" applyBorder="1" applyAlignment="1">
      <alignment horizontal="center" vertical="center" wrapText="1"/>
    </xf>
    <xf numFmtId="0" fontId="16" fillId="0" borderId="4" xfId="0" applyFont="1" applyBorder="1" applyAlignment="1">
      <alignment horizontal="center" vertical="center"/>
    </xf>
    <xf numFmtId="0" fontId="16" fillId="0" borderId="4" xfId="0" applyFont="1" applyBorder="1" applyAlignment="1">
      <alignment horizontal="left" vertical="top" wrapText="1"/>
    </xf>
    <xf numFmtId="0" fontId="16" fillId="0" borderId="4" xfId="0" applyFont="1" applyBorder="1" applyAlignment="1">
      <alignment horizontal="left" vertical="center" wrapText="1"/>
    </xf>
    <xf numFmtId="0" fontId="16" fillId="0" borderId="0" xfId="0" applyFont="1" applyAlignment="1">
      <alignment horizontal="left" vertical="center"/>
    </xf>
    <xf numFmtId="0" fontId="16" fillId="0" borderId="13" xfId="0" applyFont="1" applyBorder="1" applyAlignment="1">
      <alignment horizontal="left" vertical="center" wrapText="1"/>
    </xf>
    <xf numFmtId="14" fontId="16" fillId="0" borderId="13" xfId="0" applyNumberFormat="1" applyFont="1" applyBorder="1" applyAlignment="1">
      <alignment horizontal="center" vertical="center"/>
    </xf>
    <xf numFmtId="0" fontId="16" fillId="0" borderId="13" xfId="0" applyFont="1" applyBorder="1" applyAlignment="1">
      <alignment horizontal="center" vertical="center"/>
    </xf>
    <xf numFmtId="1" fontId="16" fillId="0" borderId="13" xfId="0" applyNumberFormat="1" applyFont="1" applyBorder="1" applyAlignment="1">
      <alignment horizontal="center" vertical="center" wrapText="1"/>
    </xf>
    <xf numFmtId="0" fontId="16" fillId="0" borderId="13" xfId="0" applyFont="1" applyBorder="1" applyAlignment="1">
      <alignment horizontal="left" vertical="top" wrapText="1"/>
    </xf>
    <xf numFmtId="0" fontId="16" fillId="0" borderId="0" xfId="0" applyFont="1"/>
    <xf numFmtId="0" fontId="30" fillId="0" borderId="13" xfId="0" applyFont="1" applyBorder="1" applyAlignment="1">
      <alignment horizontal="center" vertical="center" wrapText="1"/>
    </xf>
    <xf numFmtId="0" fontId="33" fillId="0" borderId="14" xfId="0" applyFont="1" applyBorder="1"/>
    <xf numFmtId="0" fontId="33" fillId="0" borderId="15" xfId="0" applyFont="1" applyBorder="1"/>
    <xf numFmtId="0" fontId="17" fillId="0" borderId="13" xfId="0" applyFont="1" applyBorder="1" applyAlignment="1">
      <alignment horizontal="center" vertical="center"/>
    </xf>
    <xf numFmtId="0" fontId="16" fillId="6" borderId="17" xfId="0" applyFont="1" applyFill="1" applyBorder="1" applyAlignment="1">
      <alignment horizontal="left" vertical="top"/>
    </xf>
    <xf numFmtId="0" fontId="16" fillId="6" borderId="18" xfId="0" applyFont="1" applyFill="1" applyBorder="1" applyAlignment="1">
      <alignment horizontal="left" vertical="top"/>
    </xf>
    <xf numFmtId="0" fontId="25" fillId="6" borderId="13" xfId="0" applyFont="1" applyFill="1" applyBorder="1" applyAlignment="1">
      <alignment horizontal="center" vertical="center"/>
    </xf>
    <xf numFmtId="0" fontId="28" fillId="6" borderId="13" xfId="0" applyFont="1" applyFill="1" applyBorder="1" applyAlignment="1">
      <alignment horizontal="center"/>
    </xf>
    <xf numFmtId="0" fontId="12" fillId="0" borderId="13" xfId="0" applyFont="1" applyBorder="1" applyAlignment="1"/>
    <xf numFmtId="0" fontId="16" fillId="6" borderId="13" xfId="0" applyFont="1" applyFill="1" applyBorder="1" applyAlignment="1">
      <alignment horizontal="left" vertical="center" wrapText="1"/>
    </xf>
    <xf numFmtId="0" fontId="16" fillId="6" borderId="13" xfId="0" applyFont="1" applyFill="1" applyBorder="1" applyAlignment="1">
      <alignment horizontal="left" vertical="center"/>
    </xf>
    <xf numFmtId="0" fontId="16" fillId="6" borderId="13" xfId="0" applyFont="1" applyFill="1" applyBorder="1" applyAlignment="1">
      <alignment vertical="center"/>
    </xf>
    <xf numFmtId="0" fontId="16" fillId="6" borderId="13" xfId="0" applyFont="1" applyFill="1" applyBorder="1" applyAlignment="1">
      <alignment horizontal="center" vertical="center"/>
    </xf>
    <xf numFmtId="3" fontId="17" fillId="6" borderId="13" xfId="0" applyNumberFormat="1" applyFont="1" applyFill="1" applyBorder="1" applyAlignment="1">
      <alignment horizontal="center" vertical="center"/>
    </xf>
    <xf numFmtId="14" fontId="16" fillId="6" borderId="13" xfId="0" applyNumberFormat="1" applyFont="1" applyFill="1" applyBorder="1" applyAlignment="1">
      <alignment vertical="center"/>
    </xf>
    <xf numFmtId="164" fontId="16" fillId="6" borderId="13" xfId="0" applyNumberFormat="1" applyFont="1" applyFill="1" applyBorder="1" applyAlignment="1">
      <alignment vertical="center"/>
    </xf>
    <xf numFmtId="3" fontId="16" fillId="6" borderId="13" xfId="0" applyNumberFormat="1" applyFont="1" applyFill="1" applyBorder="1" applyAlignment="1">
      <alignment horizontal="center" vertical="center" wrapText="1"/>
    </xf>
    <xf numFmtId="0" fontId="16" fillId="6" borderId="13" xfId="0" applyFont="1" applyFill="1" applyBorder="1" applyAlignment="1">
      <alignment horizontal="left" vertical="top"/>
    </xf>
    <xf numFmtId="0" fontId="25" fillId="6" borderId="16" xfId="0" applyFont="1" applyFill="1" applyBorder="1" applyAlignment="1">
      <alignment horizontal="center" vertical="center"/>
    </xf>
    <xf numFmtId="0" fontId="28" fillId="7" borderId="16" xfId="0" applyFont="1" applyFill="1" applyBorder="1" applyAlignment="1">
      <alignment horizontal="center"/>
    </xf>
    <xf numFmtId="0" fontId="12" fillId="0" borderId="16" xfId="0" applyFont="1" applyBorder="1" applyAlignment="1"/>
    <xf numFmtId="0" fontId="16" fillId="6" borderId="16" xfId="0" applyFont="1" applyFill="1" applyBorder="1" applyAlignment="1">
      <alignment horizontal="left" vertical="center" wrapText="1"/>
    </xf>
    <xf numFmtId="0" fontId="16" fillId="6" borderId="16" xfId="0" applyFont="1" applyFill="1" applyBorder="1" applyAlignment="1">
      <alignment horizontal="left" vertical="center"/>
    </xf>
    <xf numFmtId="0" fontId="16" fillId="6" borderId="16" xfId="0" applyFont="1" applyFill="1" applyBorder="1" applyAlignment="1">
      <alignment vertical="center"/>
    </xf>
    <xf numFmtId="0" fontId="16" fillId="6" borderId="16" xfId="0" applyFont="1" applyFill="1" applyBorder="1" applyAlignment="1">
      <alignment horizontal="center" vertical="center"/>
    </xf>
    <xf numFmtId="3" fontId="17" fillId="6" borderId="16" xfId="0" applyNumberFormat="1" applyFont="1" applyFill="1" applyBorder="1" applyAlignment="1">
      <alignment horizontal="center" vertical="center"/>
    </xf>
    <xf numFmtId="14" fontId="16" fillId="6" borderId="16" xfId="0" applyNumberFormat="1" applyFont="1" applyFill="1" applyBorder="1" applyAlignment="1">
      <alignment vertical="center"/>
    </xf>
    <xf numFmtId="164" fontId="16" fillId="6" borderId="16" xfId="0" applyNumberFormat="1" applyFont="1" applyFill="1" applyBorder="1" applyAlignment="1">
      <alignment vertical="center"/>
    </xf>
    <xf numFmtId="3" fontId="16" fillId="6" borderId="16" xfId="0" applyNumberFormat="1" applyFont="1" applyFill="1" applyBorder="1" applyAlignment="1">
      <alignment horizontal="center" vertical="center" wrapText="1"/>
    </xf>
    <xf numFmtId="0" fontId="16" fillId="6" borderId="16" xfId="0" applyFont="1" applyFill="1" applyBorder="1" applyAlignment="1">
      <alignment horizontal="left" vertical="top"/>
    </xf>
    <xf numFmtId="0" fontId="29" fillId="6" borderId="16" xfId="0" applyFont="1" applyFill="1" applyBorder="1" applyAlignment="1">
      <alignment horizontal="center" vertical="center"/>
    </xf>
  </cellXfs>
  <cellStyles count="1">
    <cellStyle name="Normal" xfId="0" builtinId="0"/>
  </cellStyles>
  <dxfs count="4">
    <dxf>
      <fill>
        <patternFill patternType="solid">
          <fgColor rgb="FFF4CCCC"/>
          <bgColor rgb="FFF4CCCC"/>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tableStyle name="EN PROCESO (Colmena)-style" pivot="0" count="3">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id="1" name="Table_1" displayName="Table_1" ref="A1:AN39" headerRowCount="0">
  <tableColumns count="40">
    <tableColumn id="1" name="Column1"/>
    <tableColumn id="2" name="Column2"/>
    <tableColumn id="3" name="Column3"/>
    <tableColumn id="4" name="Column4"/>
    <tableColumn id="5" name="Column5"/>
    <tableColumn id="6" name="Column6"/>
    <tableColumn id="7" name="Column7"/>
    <tableColumn id="8" name="Column8"/>
    <tableColumn id="9" name="Column9"/>
    <tableColumn id="10" name="Column10"/>
    <tableColumn id="11" name="Column11"/>
    <tableColumn id="12" name="Column12"/>
    <tableColumn id="13" name="Column13"/>
    <tableColumn id="14" name="Column14"/>
    <tableColumn id="15" name="Column15"/>
    <tableColumn id="16" name="Column16"/>
    <tableColumn id="17" name="Column17"/>
    <tableColumn id="18" name="Column18"/>
    <tableColumn id="19" name="Column19"/>
    <tableColumn id="20" name="Column20"/>
    <tableColumn id="21" name="Column21"/>
    <tableColumn id="22" name="Column22"/>
    <tableColumn id="23" name="Column23"/>
    <tableColumn id="24" name="Column24"/>
    <tableColumn id="25" name="Column25"/>
    <tableColumn id="26" name="Column26"/>
    <tableColumn id="27" name="Column27"/>
    <tableColumn id="28" name="Column28"/>
    <tableColumn id="29" name="Column29"/>
    <tableColumn id="30" name="Column30"/>
    <tableColumn id="31" name="Column31"/>
    <tableColumn id="32" name="Column32"/>
    <tableColumn id="33" name="Column33"/>
    <tableColumn id="34" name="Column34"/>
    <tableColumn id="35" name="Column35"/>
    <tableColumn id="36" name="Column36"/>
    <tableColumn id="37" name="Column37"/>
    <tableColumn id="38" name="Column38"/>
    <tableColumn id="39" name="Column39"/>
    <tableColumn id="40" name="Column40"/>
  </tableColumns>
  <tableStyleInfo name="EN PROCESO (Colmena)-style" showFirstColumn="1" showLastColumn="1" showRowStripes="1"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Quattrocento Sans"/>
        <a:ea typeface="Quattrocento Sans"/>
        <a:cs typeface="Quattrocento Sans"/>
      </a:majorFont>
      <a:minorFont>
        <a:latin typeface="Quattrocento Sans"/>
        <a:ea typeface="Quattrocento Sans"/>
        <a:cs typeface="Quattrocento Sans"/>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3C47D"/>
  </sheetPr>
  <dimension ref="A1:AN39"/>
  <sheetViews>
    <sheetView tabSelected="1" workbookViewId="0">
      <pane ySplit="1" topLeftCell="A2" activePane="bottomLeft" state="frozen"/>
      <selection pane="bottomLeft" activeCell="J4" sqref="J4"/>
    </sheetView>
  </sheetViews>
  <sheetFormatPr baseColWidth="10" defaultColWidth="11.21875" defaultRowHeight="15" customHeight="1"/>
  <cols>
    <col min="1" max="1" width="16" customWidth="1"/>
    <col min="2" max="2" width="15.21875" customWidth="1"/>
    <col min="3" max="3" width="35.21875" customWidth="1"/>
    <col min="4" max="4" width="40.33203125" customWidth="1"/>
    <col min="5" max="5" width="19.5546875" hidden="1" customWidth="1"/>
    <col min="6" max="6" width="21.77734375" customWidth="1"/>
    <col min="7" max="7" width="6.77734375" customWidth="1"/>
    <col min="8" max="8" width="8.21875" customWidth="1"/>
    <col min="9" max="9" width="12.88671875" customWidth="1"/>
    <col min="10" max="10" width="12.21875" customWidth="1"/>
    <col min="11" max="11" width="12" customWidth="1"/>
    <col min="12" max="12" width="11.77734375" customWidth="1"/>
    <col min="13" max="13" width="8.77734375" customWidth="1"/>
    <col min="14" max="15" width="11" customWidth="1"/>
    <col min="16" max="16" width="17.21875" customWidth="1"/>
    <col min="17" max="17" width="51.21875" customWidth="1"/>
    <col min="18" max="18" width="8" customWidth="1"/>
    <col min="19" max="40" width="10.5546875" customWidth="1"/>
  </cols>
  <sheetData>
    <row r="1" spans="1:40" ht="38.25">
      <c r="A1" s="1" t="s">
        <v>0</v>
      </c>
      <c r="B1" s="2" t="s">
        <v>1</v>
      </c>
      <c r="C1" s="3" t="s">
        <v>2</v>
      </c>
      <c r="D1" s="4" t="s">
        <v>3</v>
      </c>
      <c r="E1" s="5" t="s">
        <v>4</v>
      </c>
      <c r="F1" s="6" t="s">
        <v>5</v>
      </c>
      <c r="G1" s="7" t="s">
        <v>6</v>
      </c>
      <c r="H1" s="8" t="s">
        <v>7</v>
      </c>
      <c r="I1" s="9" t="s">
        <v>8</v>
      </c>
      <c r="J1" s="9" t="s">
        <v>9</v>
      </c>
      <c r="K1" s="10" t="s">
        <v>10</v>
      </c>
      <c r="L1" s="10" t="s">
        <v>11</v>
      </c>
      <c r="M1" s="11" t="s">
        <v>12</v>
      </c>
      <c r="N1" s="12" t="s">
        <v>13</v>
      </c>
      <c r="O1" s="10" t="s">
        <v>14</v>
      </c>
      <c r="P1" s="10" t="s">
        <v>15</v>
      </c>
      <c r="Q1" s="13" t="s">
        <v>16</v>
      </c>
      <c r="R1" s="3" t="s">
        <v>17</v>
      </c>
      <c r="S1" s="14"/>
      <c r="T1" s="14"/>
      <c r="U1" s="14"/>
      <c r="V1" s="14"/>
      <c r="W1" s="14"/>
      <c r="X1" s="14"/>
      <c r="Y1" s="14"/>
      <c r="Z1" s="14"/>
      <c r="AA1" s="14"/>
      <c r="AB1" s="14"/>
      <c r="AC1" s="14"/>
      <c r="AD1" s="14"/>
      <c r="AE1" s="14"/>
      <c r="AF1" s="14"/>
      <c r="AG1" s="14"/>
      <c r="AH1" s="14"/>
      <c r="AI1" s="14"/>
      <c r="AJ1" s="14"/>
      <c r="AK1" s="14"/>
      <c r="AL1" s="14"/>
      <c r="AM1" s="14"/>
      <c r="AN1" s="14"/>
    </row>
    <row r="2" spans="1:40" ht="53.25" customHeight="1">
      <c r="A2" s="15" t="s">
        <v>18</v>
      </c>
      <c r="B2" s="16" t="s">
        <v>19</v>
      </c>
      <c r="C2" s="17" t="s">
        <v>20</v>
      </c>
      <c r="D2" s="18" t="s">
        <v>21</v>
      </c>
      <c r="E2" s="19"/>
      <c r="F2" s="20" t="s">
        <v>22</v>
      </c>
      <c r="G2" s="21">
        <v>100</v>
      </c>
      <c r="H2" s="22">
        <f>IF(OR(J2="",K2="",K2&lt;J2),0,NETWORKDAYS(J2,K2,Hoja2!$A$2:$A$53))</f>
        <v>0</v>
      </c>
      <c r="I2" s="23">
        <v>45931</v>
      </c>
      <c r="J2" s="23">
        <v>45940</v>
      </c>
      <c r="K2" s="24"/>
      <c r="L2" s="25">
        <v>45945</v>
      </c>
      <c r="M2" s="26">
        <f ca="1">IF(OR(J2="",AND(L2="",TODAY()&lt;J2),AND(L2&lt;&gt;"",L2&lt;J2)),0,
   IF(L2="",
      NETWORKDAYS(J2,TODAY(),Hoja2!$A$2:$A$53),
      NETWORKDAYS(J2,L2,Hoja2!$A$2:$A$53)
   )
)</f>
        <v>3</v>
      </c>
      <c r="N2" s="25"/>
      <c r="O2" s="25">
        <v>45944</v>
      </c>
      <c r="P2" s="25">
        <v>45945</v>
      </c>
      <c r="Q2" s="27" t="s">
        <v>23</v>
      </c>
      <c r="R2" s="28" t="s">
        <v>234</v>
      </c>
      <c r="S2" s="14"/>
      <c r="T2" s="14"/>
      <c r="U2" s="14"/>
      <c r="V2" s="14"/>
      <c r="W2" s="14"/>
      <c r="X2" s="14"/>
      <c r="Y2" s="14"/>
      <c r="Z2" s="14"/>
      <c r="AA2" s="14"/>
      <c r="AB2" s="14"/>
      <c r="AC2" s="14"/>
      <c r="AD2" s="14"/>
      <c r="AE2" s="14"/>
      <c r="AF2" s="14"/>
      <c r="AG2" s="14"/>
      <c r="AH2" s="14"/>
      <c r="AI2" s="14"/>
      <c r="AJ2" s="14"/>
      <c r="AK2" s="14"/>
      <c r="AL2" s="14"/>
      <c r="AM2" s="14"/>
      <c r="AN2" s="14"/>
    </row>
    <row r="3" spans="1:40" ht="127.5" customHeight="1">
      <c r="A3" s="15" t="s">
        <v>18</v>
      </c>
      <c r="B3" s="16" t="s">
        <v>24</v>
      </c>
      <c r="C3" s="17" t="s">
        <v>25</v>
      </c>
      <c r="D3" s="18" t="s">
        <v>26</v>
      </c>
      <c r="E3" s="19"/>
      <c r="F3" s="20" t="s">
        <v>22</v>
      </c>
      <c r="G3" s="21">
        <v>100</v>
      </c>
      <c r="H3" s="22">
        <f>IF(OR(J3="",K3="",K3&lt;J3),0,NETWORKDAYS(J3,K3,Hoja2!$A$2:$A$53))</f>
        <v>0</v>
      </c>
      <c r="I3" s="23">
        <v>45931</v>
      </c>
      <c r="J3" s="23">
        <v>45944</v>
      </c>
      <c r="K3" s="24"/>
      <c r="L3" s="24"/>
      <c r="M3" s="26">
        <f ca="1">IF(OR(J3="",AND(L3="",TODAY()&lt;J3),AND(L3&lt;&gt;"",L3&lt;J3)),0,
   IF(L3="",
      NETWORKDAYS(J3,TODAY(),Hoja2!$A$2:$A$53),
      NETWORKDAYS(J3,L3,Hoja2!$A$2:$A$53)
   )
)</f>
        <v>133</v>
      </c>
      <c r="N3" s="29"/>
      <c r="O3" s="29"/>
      <c r="P3" s="25"/>
      <c r="Q3" s="27" t="s">
        <v>27</v>
      </c>
      <c r="R3" s="30" t="s">
        <v>234</v>
      </c>
      <c r="S3" s="14"/>
      <c r="T3" s="14"/>
      <c r="U3" s="14"/>
      <c r="V3" s="14"/>
      <c r="W3" s="14"/>
      <c r="X3" s="14"/>
      <c r="Y3" s="14"/>
      <c r="Z3" s="14"/>
      <c r="AA3" s="14"/>
      <c r="AB3" s="14"/>
      <c r="AC3" s="14"/>
      <c r="AD3" s="14"/>
      <c r="AE3" s="14"/>
      <c r="AF3" s="14"/>
      <c r="AG3" s="14"/>
      <c r="AH3" s="14"/>
      <c r="AI3" s="14"/>
      <c r="AJ3" s="14"/>
      <c r="AK3" s="14"/>
      <c r="AL3" s="14"/>
      <c r="AM3" s="14"/>
      <c r="AN3" s="14"/>
    </row>
    <row r="4" spans="1:40" ht="121.5" customHeight="1">
      <c r="A4" s="15" t="s">
        <v>18</v>
      </c>
      <c r="B4" s="16" t="s">
        <v>28</v>
      </c>
      <c r="C4" s="17" t="s">
        <v>29</v>
      </c>
      <c r="D4" s="31" t="s">
        <v>30</v>
      </c>
      <c r="E4" s="19"/>
      <c r="F4" s="20" t="s">
        <v>22</v>
      </c>
      <c r="G4" s="21">
        <v>100</v>
      </c>
      <c r="H4" s="22">
        <f>IF(OR(J4="",K4="",K4&lt;J4),0,NETWORKDAYS(J4,K4,Hoja2!$A$2:$A$53))</f>
        <v>0</v>
      </c>
      <c r="I4" s="23">
        <v>45950</v>
      </c>
      <c r="J4" s="29"/>
      <c r="K4" s="24"/>
      <c r="L4" s="25">
        <v>46038</v>
      </c>
      <c r="M4" s="26">
        <f ca="1">IF(OR(J4="",AND(L4="",TODAY()&lt;J4),AND(L4&lt;&gt;"",L4&lt;J4)),0,
   IF(L4="",
      NETWORKDAYS(J4,TODAY(),Hoja2!$A$2:$A$53),
      NETWORKDAYS(J4,L4,Hoja2!$A$2:$A$53)
   )
)</f>
        <v>0</v>
      </c>
      <c r="N4" s="24"/>
      <c r="O4" s="24"/>
      <c r="P4" s="24"/>
      <c r="Q4" s="32" t="s">
        <v>31</v>
      </c>
      <c r="R4" s="30" t="s">
        <v>234</v>
      </c>
      <c r="S4" s="14"/>
      <c r="T4" s="14"/>
      <c r="U4" s="14"/>
      <c r="V4" s="14"/>
      <c r="W4" s="14"/>
      <c r="X4" s="14"/>
      <c r="Y4" s="14"/>
      <c r="Z4" s="14"/>
      <c r="AA4" s="14"/>
      <c r="AB4" s="14"/>
      <c r="AC4" s="14"/>
      <c r="AD4" s="14"/>
      <c r="AE4" s="14"/>
      <c r="AF4" s="14"/>
      <c r="AG4" s="14"/>
      <c r="AH4" s="14"/>
      <c r="AI4" s="14"/>
      <c r="AJ4" s="14"/>
      <c r="AK4" s="14"/>
      <c r="AL4" s="14"/>
      <c r="AM4" s="14"/>
      <c r="AN4" s="14"/>
    </row>
    <row r="5" spans="1:40" ht="87" customHeight="1">
      <c r="A5" s="15" t="s">
        <v>18</v>
      </c>
      <c r="B5" s="16" t="s">
        <v>32</v>
      </c>
      <c r="C5" s="17" t="s">
        <v>33</v>
      </c>
      <c r="D5" s="33" t="s">
        <v>34</v>
      </c>
      <c r="E5" s="19"/>
      <c r="F5" s="20" t="s">
        <v>35</v>
      </c>
      <c r="G5" s="21">
        <v>0</v>
      </c>
      <c r="H5" s="22">
        <f>IF(OR(J5="",K5="",K5&lt;J5),0,NETWORKDAYS(J5,K5,Hoja2!$A$2:$A$53))</f>
        <v>0</v>
      </c>
      <c r="I5" s="23">
        <v>45950</v>
      </c>
      <c r="J5" s="29"/>
      <c r="K5" s="24"/>
      <c r="L5" s="24"/>
      <c r="M5" s="26">
        <f ca="1">IF(OR(J5="",AND(L5="",TODAY()&lt;J5),AND(L5&lt;&gt;"",L5&lt;J5)),0,
   IF(L5="",
      NETWORKDAYS(J5,TODAY(),Hoja2!$A$2:$A$53),
      NETWORKDAYS(J5,L5,Hoja2!$A$2:$A$53)
   )
)</f>
        <v>0</v>
      </c>
      <c r="N5" s="24"/>
      <c r="O5" s="24"/>
      <c r="P5" s="24"/>
      <c r="Q5" s="27" t="s">
        <v>36</v>
      </c>
      <c r="R5" s="30" t="s">
        <v>234</v>
      </c>
      <c r="S5" s="14"/>
      <c r="T5" s="14"/>
      <c r="U5" s="14"/>
      <c r="V5" s="14"/>
      <c r="W5" s="14"/>
      <c r="X5" s="14"/>
      <c r="Y5" s="14"/>
      <c r="Z5" s="14"/>
      <c r="AA5" s="14"/>
      <c r="AB5" s="14"/>
      <c r="AC5" s="14"/>
      <c r="AD5" s="14"/>
      <c r="AE5" s="14"/>
      <c r="AF5" s="14"/>
      <c r="AG5" s="14"/>
      <c r="AH5" s="14"/>
      <c r="AI5" s="14"/>
      <c r="AJ5" s="14"/>
      <c r="AK5" s="14"/>
      <c r="AL5" s="14"/>
      <c r="AM5" s="14"/>
      <c r="AN5" s="14"/>
    </row>
    <row r="6" spans="1:40" ht="53.25" customHeight="1">
      <c r="A6" s="15" t="s">
        <v>18</v>
      </c>
      <c r="B6" s="16" t="s">
        <v>37</v>
      </c>
      <c r="C6" s="17" t="s">
        <v>38</v>
      </c>
      <c r="D6" s="33" t="s">
        <v>39</v>
      </c>
      <c r="E6" s="19"/>
      <c r="F6" s="20" t="s">
        <v>22</v>
      </c>
      <c r="G6" s="21">
        <v>100</v>
      </c>
      <c r="H6" s="22">
        <f>IF(OR(J6="",K6="",K6&lt;J6),0,NETWORKDAYS(J6,K6,Hoja2!$A$2:$A$53))</f>
        <v>0</v>
      </c>
      <c r="I6" s="23">
        <v>45953</v>
      </c>
      <c r="J6" s="34"/>
      <c r="K6" s="34"/>
      <c r="L6" s="34"/>
      <c r="M6" s="26">
        <f ca="1">IF(OR(J6="",AND(L6="",TODAY()&lt;J6),AND(L6&lt;&gt;"",L6&lt;J6)),0,
   IF(L6="",
      NETWORKDAYS(J6,TODAY(),Hoja2!$A$2:$A$53),
      NETWORKDAYS(J6,L6,Hoja2!$A$2:$A$53)
   )
)</f>
        <v>0</v>
      </c>
      <c r="N6" s="34"/>
      <c r="O6" s="34"/>
      <c r="P6" s="34"/>
      <c r="Q6" s="35"/>
      <c r="R6" s="30" t="s">
        <v>234</v>
      </c>
      <c r="S6" s="14"/>
      <c r="T6" s="14"/>
      <c r="U6" s="14"/>
      <c r="V6" s="14"/>
      <c r="W6" s="14"/>
      <c r="X6" s="14"/>
      <c r="Y6" s="14"/>
      <c r="Z6" s="14"/>
      <c r="AA6" s="14"/>
      <c r="AB6" s="14"/>
      <c r="AC6" s="14"/>
      <c r="AD6" s="14"/>
      <c r="AE6" s="14"/>
      <c r="AF6" s="14"/>
      <c r="AG6" s="14"/>
      <c r="AH6" s="14"/>
      <c r="AI6" s="14"/>
      <c r="AJ6" s="14"/>
      <c r="AK6" s="14"/>
      <c r="AL6" s="14"/>
      <c r="AM6" s="14"/>
      <c r="AN6" s="14"/>
    </row>
    <row r="7" spans="1:40" ht="104.25" customHeight="1">
      <c r="A7" s="15" t="s">
        <v>40</v>
      </c>
      <c r="B7" s="16" t="s">
        <v>41</v>
      </c>
      <c r="C7" s="17" t="s">
        <v>42</v>
      </c>
      <c r="D7" s="36" t="s">
        <v>43</v>
      </c>
      <c r="E7" s="19"/>
      <c r="F7" s="20" t="s">
        <v>44</v>
      </c>
      <c r="G7" s="21">
        <v>55</v>
      </c>
      <c r="H7" s="22">
        <f>IF(OR(J7="",K7="",K7&lt;J7),0,NETWORKDAYS(J7,K7,Hoja2!$A$2:$A$53))</f>
        <v>0</v>
      </c>
      <c r="I7" s="23">
        <v>45957</v>
      </c>
      <c r="J7" s="37">
        <v>45957</v>
      </c>
      <c r="K7" s="24"/>
      <c r="L7" s="24"/>
      <c r="M7" s="26">
        <f ca="1">IF(OR(J7="",AND(L7="",TODAY()&lt;J7),AND(L7&lt;&gt;"",L7&lt;J7)),0,
   IF(L7="",
      NETWORKDAYS(J7,TODAY(),Hoja2!$A$2:$A$53),
      NETWORKDAYS(J7,L7,Hoja2!$A$2:$A$53)
   )
)</f>
        <v>124</v>
      </c>
      <c r="N7" s="24"/>
      <c r="O7" s="24"/>
      <c r="P7" s="34"/>
      <c r="Q7" s="32" t="s">
        <v>45</v>
      </c>
      <c r="R7" s="28" t="s">
        <v>235</v>
      </c>
      <c r="S7" s="14"/>
      <c r="T7" s="14"/>
      <c r="U7" s="14"/>
      <c r="V7" s="14"/>
      <c r="W7" s="14"/>
      <c r="X7" s="14"/>
      <c r="Y7" s="14"/>
      <c r="Z7" s="14"/>
      <c r="AA7" s="14"/>
      <c r="AB7" s="14"/>
      <c r="AC7" s="14"/>
      <c r="AD7" s="14"/>
      <c r="AE7" s="14"/>
      <c r="AF7" s="14"/>
      <c r="AG7" s="14"/>
      <c r="AH7" s="14"/>
      <c r="AI7" s="14"/>
      <c r="AJ7" s="14"/>
      <c r="AK7" s="14"/>
      <c r="AL7" s="14"/>
      <c r="AM7" s="14"/>
      <c r="AN7" s="14"/>
    </row>
    <row r="8" spans="1:40" ht="120" customHeight="1">
      <c r="A8" s="15" t="s">
        <v>46</v>
      </c>
      <c r="B8" s="16" t="s">
        <v>47</v>
      </c>
      <c r="C8" s="17" t="s">
        <v>48</v>
      </c>
      <c r="D8" s="36" t="s">
        <v>49</v>
      </c>
      <c r="E8" s="38"/>
      <c r="F8" s="20" t="s">
        <v>22</v>
      </c>
      <c r="G8" s="21">
        <v>100</v>
      </c>
      <c r="H8" s="22">
        <f>IF(OR(J8="",K8="",K8&lt;J8),0,NETWORKDAYS(J8,K8,Hoja2!$A$2:$A$53))</f>
        <v>6</v>
      </c>
      <c r="I8" s="23">
        <v>45958</v>
      </c>
      <c r="J8" s="23">
        <v>45958</v>
      </c>
      <c r="K8" s="25">
        <v>45966</v>
      </c>
      <c r="L8" s="25">
        <v>45961</v>
      </c>
      <c r="M8" s="26">
        <f ca="1">IF(OR(J8="",AND(L8="",TODAY()&lt;J8),AND(L8&lt;&gt;"",L8&lt;J8)),0,
   IF(L8="",
      NETWORKDAYS(J8,TODAY(),Hoja2!$A$2:$A$53),
      NETWORKDAYS(J8,L8,Hoja2!$A$2:$A$53)
   )
)</f>
        <v>4</v>
      </c>
      <c r="N8" s="25"/>
      <c r="O8" s="25">
        <v>45960</v>
      </c>
      <c r="P8" s="25">
        <v>45960</v>
      </c>
      <c r="Q8" s="32" t="s">
        <v>50</v>
      </c>
      <c r="R8" s="30" t="s">
        <v>234</v>
      </c>
      <c r="S8" s="14"/>
      <c r="T8" s="14"/>
      <c r="U8" s="14"/>
      <c r="V8" s="14"/>
      <c r="W8" s="14"/>
      <c r="X8" s="14"/>
      <c r="Y8" s="14"/>
      <c r="Z8" s="14"/>
      <c r="AA8" s="14"/>
      <c r="AB8" s="14"/>
      <c r="AC8" s="14"/>
      <c r="AD8" s="14"/>
      <c r="AE8" s="14"/>
      <c r="AF8" s="14"/>
      <c r="AG8" s="14"/>
      <c r="AH8" s="14"/>
      <c r="AI8" s="14"/>
      <c r="AJ8" s="14"/>
      <c r="AK8" s="14"/>
      <c r="AL8" s="14"/>
      <c r="AM8" s="14"/>
      <c r="AN8" s="14"/>
    </row>
    <row r="9" spans="1:40" ht="53.25" customHeight="1">
      <c r="A9" s="15" t="s">
        <v>18</v>
      </c>
      <c r="B9" s="16" t="s">
        <v>51</v>
      </c>
      <c r="C9" s="39" t="s">
        <v>52</v>
      </c>
      <c r="D9" s="40" t="s">
        <v>53</v>
      </c>
      <c r="E9" s="19"/>
      <c r="F9" s="41" t="s">
        <v>22</v>
      </c>
      <c r="G9" s="21">
        <v>100</v>
      </c>
      <c r="H9" s="22">
        <f>IF(OR(J9="",K9="",K9&lt;J9),0,NETWORKDAYS(J9,K9,Hoja2!$A$2:$A$53))</f>
        <v>2</v>
      </c>
      <c r="I9" s="23">
        <v>46006</v>
      </c>
      <c r="J9" s="23">
        <v>46006</v>
      </c>
      <c r="K9" s="23">
        <v>46007</v>
      </c>
      <c r="L9" s="23">
        <v>46007</v>
      </c>
      <c r="M9" s="26">
        <f ca="1">IF(OR(J9="",AND(L9="",TODAY()&lt;J9),AND(L9&lt;&gt;"",L9&lt;J9)),0,
   IF(L9="",
      NETWORKDAYS(J9,TODAY(),Hoja2!$A$2:$A$53),
      NETWORKDAYS(J9,L9,Hoja2!$A$2:$A$53)
   )
)</f>
        <v>2</v>
      </c>
      <c r="N9" s="23"/>
      <c r="O9" s="23">
        <v>46007</v>
      </c>
      <c r="P9" s="23">
        <v>46007</v>
      </c>
      <c r="Q9" s="27" t="s">
        <v>54</v>
      </c>
      <c r="R9" s="30" t="s">
        <v>234</v>
      </c>
      <c r="S9" s="14"/>
      <c r="T9" s="14"/>
      <c r="U9" s="14"/>
      <c r="V9" s="14"/>
      <c r="W9" s="14"/>
      <c r="X9" s="14"/>
      <c r="Y9" s="14"/>
      <c r="Z9" s="14"/>
      <c r="AA9" s="14"/>
      <c r="AB9" s="14"/>
      <c r="AC9" s="14"/>
      <c r="AD9" s="14"/>
      <c r="AE9" s="14"/>
      <c r="AF9" s="14"/>
      <c r="AG9" s="14"/>
      <c r="AH9" s="14"/>
      <c r="AI9" s="14"/>
      <c r="AJ9" s="14"/>
      <c r="AK9" s="14"/>
      <c r="AL9" s="14"/>
      <c r="AM9" s="14"/>
      <c r="AN9" s="14"/>
    </row>
    <row r="10" spans="1:40">
      <c r="A10" s="15" t="s">
        <v>18</v>
      </c>
      <c r="B10" s="16" t="s">
        <v>55</v>
      </c>
      <c r="C10" s="39" t="s">
        <v>56</v>
      </c>
      <c r="D10" s="40" t="s">
        <v>57</v>
      </c>
      <c r="E10" s="42"/>
      <c r="F10" s="43" t="s">
        <v>22</v>
      </c>
      <c r="G10" s="21">
        <v>100</v>
      </c>
      <c r="H10" s="22">
        <f>IF(OR(J10="",K10="",K10&lt;J10),0,NETWORKDAYS(J10,K10,Hoja2!$A$2:$A$53))</f>
        <v>1</v>
      </c>
      <c r="I10" s="37">
        <v>46014</v>
      </c>
      <c r="J10" s="37">
        <v>46018</v>
      </c>
      <c r="K10" s="25">
        <v>46020</v>
      </c>
      <c r="L10" s="25">
        <v>46020</v>
      </c>
      <c r="M10" s="26">
        <f ca="1">IF(OR(J10="",AND(L10="",TODAY()&lt;J10),AND(L10&lt;&gt;"",L10&lt;J10)),0,
   IF(L10="",
      NETWORKDAYS(J10,TODAY(),Hoja2!$A$2:$A$53),
      NETWORKDAYS(J10,L10,Hoja2!$A$2:$A$53)
   )
)</f>
        <v>1</v>
      </c>
      <c r="N10" s="25"/>
      <c r="O10" s="25">
        <v>46020</v>
      </c>
      <c r="P10" s="37">
        <v>46020</v>
      </c>
      <c r="Q10" s="32" t="s">
        <v>58</v>
      </c>
      <c r="R10" s="28" t="s">
        <v>234</v>
      </c>
      <c r="S10" s="14"/>
      <c r="T10" s="14"/>
      <c r="U10" s="14"/>
      <c r="V10" s="14"/>
      <c r="W10" s="14"/>
      <c r="X10" s="14"/>
      <c r="Y10" s="14"/>
      <c r="Z10" s="14"/>
      <c r="AA10" s="14"/>
      <c r="AB10" s="14"/>
      <c r="AC10" s="14"/>
      <c r="AD10" s="14"/>
      <c r="AE10" s="14"/>
      <c r="AF10" s="14"/>
      <c r="AG10" s="14"/>
      <c r="AH10" s="14"/>
      <c r="AI10" s="14"/>
      <c r="AJ10" s="14"/>
      <c r="AK10" s="14"/>
      <c r="AL10" s="14"/>
      <c r="AM10" s="14"/>
      <c r="AN10" s="14"/>
    </row>
    <row r="11" spans="1:40">
      <c r="A11" s="15" t="s">
        <v>18</v>
      </c>
      <c r="B11" s="16" t="s">
        <v>59</v>
      </c>
      <c r="C11" s="39" t="s">
        <v>60</v>
      </c>
      <c r="D11" s="44" t="s">
        <v>60</v>
      </c>
      <c r="E11" s="42"/>
      <c r="F11" s="43" t="s">
        <v>35</v>
      </c>
      <c r="G11" s="21">
        <v>95</v>
      </c>
      <c r="H11" s="22">
        <f>IF(OR(J11="",K11="",K11&lt;J11),0,NETWORKDAYS(J11,K11,Hoja2!$A$2:$A$53))</f>
        <v>0</v>
      </c>
      <c r="I11" s="37">
        <v>46009</v>
      </c>
      <c r="J11" s="34"/>
      <c r="K11" s="24"/>
      <c r="L11" s="24"/>
      <c r="M11" s="26">
        <f ca="1">IF(OR(J11="",AND(L11="",TODAY()&lt;J11),AND(L11&lt;&gt;"",L11&lt;J11)),0,
   IF(L11="",
      NETWORKDAYS(J11,TODAY(),Hoja2!$A$2:$A$53),
      NETWORKDAYS(J11,L11,Hoja2!$A$2:$A$53)
   )
)</f>
        <v>0</v>
      </c>
      <c r="N11" s="24"/>
      <c r="O11" s="24"/>
      <c r="P11" s="34"/>
      <c r="Q11" s="27" t="s">
        <v>61</v>
      </c>
      <c r="R11" s="28" t="s">
        <v>235</v>
      </c>
      <c r="S11" s="14"/>
      <c r="T11" s="14"/>
      <c r="U11" s="14"/>
      <c r="V11" s="14"/>
      <c r="W11" s="14"/>
      <c r="X11" s="14"/>
      <c r="Y11" s="14"/>
      <c r="Z11" s="14"/>
      <c r="AA11" s="14"/>
      <c r="AB11" s="14"/>
      <c r="AC11" s="14"/>
      <c r="AD11" s="14"/>
      <c r="AE11" s="14"/>
      <c r="AF11" s="14"/>
      <c r="AG11" s="14"/>
      <c r="AH11" s="14"/>
      <c r="AI11" s="14"/>
      <c r="AJ11" s="14"/>
      <c r="AK11" s="14"/>
      <c r="AL11" s="14"/>
      <c r="AM11" s="14"/>
      <c r="AN11" s="14"/>
    </row>
    <row r="12" spans="1:40" ht="30">
      <c r="A12" s="15" t="s">
        <v>18</v>
      </c>
      <c r="B12" s="16" t="s">
        <v>62</v>
      </c>
      <c r="C12" s="39" t="s">
        <v>63</v>
      </c>
      <c r="D12" s="44" t="s">
        <v>64</v>
      </c>
      <c r="E12" s="45"/>
      <c r="F12" s="43" t="s">
        <v>22</v>
      </c>
      <c r="G12" s="21">
        <v>100</v>
      </c>
      <c r="H12" s="22">
        <f>IF(OR(J12="",K12="",K12&lt;J12),0,NETWORKDAYS(J12,K12,Hoja2!$A$2:$A$53))</f>
        <v>6</v>
      </c>
      <c r="I12" s="37">
        <v>46013</v>
      </c>
      <c r="J12" s="37">
        <v>46014</v>
      </c>
      <c r="K12" s="25">
        <v>46022</v>
      </c>
      <c r="L12" s="25">
        <v>46027</v>
      </c>
      <c r="M12" s="26">
        <f ca="1">IF(OR(J12="",AND(L12="",TODAY()&lt;J12),AND(L12&lt;&gt;"",L12&lt;J12)),0,
   IF(L12="",
      NETWORKDAYS(J12,TODAY(),Hoja2!$A$2:$A$53),
      NETWORKDAYS(J12,L12,Hoja2!$A$2:$A$53)
   )
)</f>
        <v>8</v>
      </c>
      <c r="N12" s="25"/>
      <c r="O12" s="25">
        <v>46027</v>
      </c>
      <c r="P12" s="37">
        <v>46027</v>
      </c>
      <c r="Q12" s="27" t="s">
        <v>65</v>
      </c>
      <c r="R12" s="28" t="s">
        <v>234</v>
      </c>
      <c r="S12" s="14"/>
      <c r="T12" s="14"/>
      <c r="U12" s="14"/>
      <c r="V12" s="14"/>
      <c r="W12" s="14"/>
      <c r="X12" s="14"/>
      <c r="Y12" s="14"/>
      <c r="Z12" s="14"/>
      <c r="AA12" s="14"/>
      <c r="AB12" s="14"/>
      <c r="AC12" s="14"/>
      <c r="AD12" s="14"/>
      <c r="AE12" s="14"/>
      <c r="AF12" s="14"/>
      <c r="AG12" s="14"/>
      <c r="AH12" s="14"/>
      <c r="AI12" s="14"/>
      <c r="AJ12" s="14"/>
      <c r="AK12" s="14"/>
      <c r="AL12" s="14"/>
      <c r="AM12" s="14"/>
      <c r="AN12" s="14"/>
    </row>
    <row r="13" spans="1:40">
      <c r="A13" s="15" t="s">
        <v>18</v>
      </c>
      <c r="B13" s="16" t="s">
        <v>66</v>
      </c>
      <c r="C13" s="39" t="s">
        <v>67</v>
      </c>
      <c r="D13" s="46"/>
      <c r="E13" s="47"/>
      <c r="F13" s="43" t="s">
        <v>22</v>
      </c>
      <c r="G13" s="21">
        <v>100</v>
      </c>
      <c r="H13" s="22">
        <f>IF(OR(J13="",K13="",K13&lt;J13),0,NETWORKDAYS(J13,K13,Hoja2!$A$2:$A$53))</f>
        <v>4</v>
      </c>
      <c r="I13" s="37">
        <v>46020</v>
      </c>
      <c r="J13" s="37">
        <v>46020</v>
      </c>
      <c r="K13" s="25">
        <v>46024</v>
      </c>
      <c r="L13" s="25">
        <v>46024</v>
      </c>
      <c r="M13" s="26">
        <f ca="1">IF(OR(J13="",AND(L13="",TODAY()&lt;J13),AND(L13&lt;&gt;"",L13&lt;J13)),0,
   IF(L13="",
      NETWORKDAYS(J13,TODAY(),Hoja2!$A$2:$A$53),
      NETWORKDAYS(J13,L13,Hoja2!$A$2:$A$53)
   )
)</f>
        <v>4</v>
      </c>
      <c r="N13" s="25"/>
      <c r="O13" s="25">
        <v>46024</v>
      </c>
      <c r="P13" s="37">
        <v>46024</v>
      </c>
      <c r="Q13" s="35"/>
      <c r="R13" s="28" t="s">
        <v>234</v>
      </c>
      <c r="S13" s="14"/>
      <c r="T13" s="14"/>
      <c r="U13" s="14"/>
      <c r="V13" s="14"/>
      <c r="W13" s="14"/>
      <c r="X13" s="14"/>
      <c r="Y13" s="14"/>
      <c r="Z13" s="14"/>
      <c r="AA13" s="14"/>
      <c r="AB13" s="14"/>
      <c r="AC13" s="14"/>
      <c r="AD13" s="14"/>
      <c r="AE13" s="14"/>
      <c r="AF13" s="14"/>
      <c r="AG13" s="14"/>
      <c r="AH13" s="14"/>
      <c r="AI13" s="14"/>
      <c r="AJ13" s="14"/>
      <c r="AK13" s="14"/>
      <c r="AL13" s="14"/>
      <c r="AM13" s="14"/>
      <c r="AN13" s="14"/>
    </row>
    <row r="14" spans="1:40">
      <c r="A14" s="15" t="s">
        <v>18</v>
      </c>
      <c r="B14" s="16" t="s">
        <v>68</v>
      </c>
      <c r="C14" s="39" t="s">
        <v>69</v>
      </c>
      <c r="D14" s="46"/>
      <c r="E14" s="19"/>
      <c r="F14" s="43" t="s">
        <v>22</v>
      </c>
      <c r="G14" s="21">
        <v>100</v>
      </c>
      <c r="H14" s="22">
        <f>IF(OR(J14="",K14="",K14&lt;J14),0,NETWORKDAYS(J14,K14,Hoja2!$A$2:$A$53))</f>
        <v>4</v>
      </c>
      <c r="I14" s="37">
        <v>46020</v>
      </c>
      <c r="J14" s="37">
        <v>46020</v>
      </c>
      <c r="K14" s="25">
        <v>46024</v>
      </c>
      <c r="L14" s="25">
        <v>46027</v>
      </c>
      <c r="M14" s="26">
        <f ca="1">IF(OR(J14="",AND(L14="",TODAY()&lt;J14),AND(L14&lt;&gt;"",L14&lt;J14)),0,
   IF(L14="",
      NETWORKDAYS(J14,TODAY(),Hoja2!$A$2:$A$53),
      NETWORKDAYS(J14,L14,Hoja2!$A$2:$A$53)
   )
)</f>
        <v>5</v>
      </c>
      <c r="N14" s="25"/>
      <c r="O14" s="25">
        <v>46027</v>
      </c>
      <c r="P14" s="37">
        <v>46027</v>
      </c>
      <c r="Q14" s="35"/>
      <c r="R14" s="28" t="s">
        <v>234</v>
      </c>
      <c r="S14" s="14"/>
      <c r="T14" s="14"/>
      <c r="U14" s="14"/>
      <c r="V14" s="14"/>
      <c r="W14" s="14"/>
      <c r="X14" s="14"/>
      <c r="Y14" s="14"/>
      <c r="Z14" s="14"/>
      <c r="AA14" s="14"/>
      <c r="AB14" s="14"/>
      <c r="AC14" s="14"/>
      <c r="AD14" s="14"/>
      <c r="AE14" s="14"/>
      <c r="AF14" s="14"/>
      <c r="AG14" s="14"/>
      <c r="AH14" s="14"/>
      <c r="AI14" s="14"/>
      <c r="AJ14" s="14"/>
      <c r="AK14" s="14"/>
      <c r="AL14" s="14"/>
      <c r="AM14" s="14"/>
      <c r="AN14" s="14"/>
    </row>
    <row r="15" spans="1:40">
      <c r="A15" s="15" t="s">
        <v>18</v>
      </c>
      <c r="B15" s="16" t="s">
        <v>70</v>
      </c>
      <c r="C15" s="39" t="s">
        <v>71</v>
      </c>
      <c r="D15" s="46"/>
      <c r="E15" s="19"/>
      <c r="F15" s="43" t="s">
        <v>22</v>
      </c>
      <c r="G15" s="21">
        <v>100</v>
      </c>
      <c r="H15" s="22">
        <f>IF(OR(J15="",K15="",K15&lt;J15),0,NETWORKDAYS(J15,K15,Hoja2!$A$2:$A$53))</f>
        <v>7</v>
      </c>
      <c r="I15" s="37">
        <v>46020</v>
      </c>
      <c r="J15" s="37">
        <v>46020</v>
      </c>
      <c r="K15" s="37">
        <v>46029</v>
      </c>
      <c r="L15" s="37">
        <v>46028</v>
      </c>
      <c r="M15" s="26">
        <f ca="1">IF(OR(J15="",AND(L15="",TODAY()&lt;J15),AND(L15&lt;&gt;"",L15&lt;J15)),0,
   IF(L15="",
      NETWORKDAYS(J15,TODAY(),Hoja2!$A$2:$A$53),
      NETWORKDAYS(J15,L15,Hoja2!$A$2:$A$53)
   )
)</f>
        <v>6</v>
      </c>
      <c r="N15" s="37"/>
      <c r="O15" s="37">
        <v>46028</v>
      </c>
      <c r="P15" s="37">
        <v>46029</v>
      </c>
      <c r="Q15" s="35"/>
      <c r="R15" s="28" t="s">
        <v>234</v>
      </c>
      <c r="S15" s="14"/>
      <c r="T15" s="14"/>
      <c r="U15" s="14"/>
      <c r="V15" s="14"/>
      <c r="W15" s="14"/>
      <c r="X15" s="14"/>
      <c r="Y15" s="14"/>
      <c r="Z15" s="14"/>
      <c r="AA15" s="14"/>
      <c r="AB15" s="14"/>
      <c r="AC15" s="14"/>
      <c r="AD15" s="14"/>
      <c r="AE15" s="14"/>
      <c r="AF15" s="14"/>
      <c r="AG15" s="14"/>
      <c r="AH15" s="14"/>
      <c r="AI15" s="14"/>
      <c r="AJ15" s="14"/>
      <c r="AK15" s="14"/>
      <c r="AL15" s="14"/>
      <c r="AM15" s="14"/>
      <c r="AN15" s="14"/>
    </row>
    <row r="16" spans="1:40">
      <c r="A16" s="15" t="s">
        <v>18</v>
      </c>
      <c r="B16" s="16" t="s">
        <v>72</v>
      </c>
      <c r="C16" s="39" t="s">
        <v>73</v>
      </c>
      <c r="D16" s="46"/>
      <c r="E16" s="19"/>
      <c r="F16" s="41" t="s">
        <v>74</v>
      </c>
      <c r="G16" s="21">
        <v>95</v>
      </c>
      <c r="H16" s="22">
        <f>IF(OR(J16="",K16="",K16&lt;J16),0,NETWORKDAYS(J16,K16,Hoja2!$A$2:$A$53))</f>
        <v>2</v>
      </c>
      <c r="I16" s="37">
        <v>46037</v>
      </c>
      <c r="J16" s="37">
        <v>46038</v>
      </c>
      <c r="K16" s="37">
        <v>46041</v>
      </c>
      <c r="L16" s="37">
        <v>46040</v>
      </c>
      <c r="M16" s="26">
        <f ca="1">IF(OR(J16="",AND(L16="",TODAY()&lt;J16),AND(L16&lt;&gt;"",L16&lt;J16)),0,
   IF(L16="",
      NETWORKDAYS(J16,TODAY(),Hoja2!$A$2:$A$53),
      NETWORKDAYS(J16,L16,Hoja2!$A$2:$A$53)
   )
)</f>
        <v>1</v>
      </c>
      <c r="N16" s="37"/>
      <c r="O16" s="37">
        <v>46040</v>
      </c>
      <c r="P16" s="37"/>
      <c r="Q16" s="27" t="s">
        <v>75</v>
      </c>
      <c r="R16" s="28" t="s">
        <v>234</v>
      </c>
      <c r="S16" s="14"/>
      <c r="T16" s="14"/>
      <c r="U16" s="14"/>
      <c r="V16" s="14"/>
      <c r="W16" s="14"/>
      <c r="X16" s="14"/>
      <c r="Y16" s="14"/>
      <c r="Z16" s="14"/>
      <c r="AA16" s="14"/>
      <c r="AB16" s="14"/>
      <c r="AC16" s="14"/>
      <c r="AD16" s="14"/>
      <c r="AE16" s="14"/>
      <c r="AF16" s="14"/>
      <c r="AG16" s="14"/>
      <c r="AH16" s="14"/>
      <c r="AI16" s="14"/>
      <c r="AJ16" s="14"/>
      <c r="AK16" s="14"/>
      <c r="AL16" s="14"/>
      <c r="AM16" s="14"/>
      <c r="AN16" s="14"/>
    </row>
    <row r="17" spans="1:40" ht="30">
      <c r="A17" s="15" t="s">
        <v>18</v>
      </c>
      <c r="B17" s="16" t="s">
        <v>76</v>
      </c>
      <c r="C17" s="39" t="s">
        <v>77</v>
      </c>
      <c r="D17" s="44" t="s">
        <v>78</v>
      </c>
      <c r="E17" s="48"/>
      <c r="F17" s="41" t="s">
        <v>79</v>
      </c>
      <c r="G17" s="21">
        <v>95</v>
      </c>
      <c r="H17" s="22">
        <f>IF(OR(J17="",K17="",K17&lt;J17),0,NETWORKDAYS(J17,K17,Hoja2!$A$2:$A$53))</f>
        <v>5</v>
      </c>
      <c r="I17" s="37">
        <v>46036</v>
      </c>
      <c r="J17" s="37">
        <v>46038</v>
      </c>
      <c r="K17" s="37">
        <v>46044</v>
      </c>
      <c r="L17" s="34"/>
      <c r="M17" s="26">
        <f ca="1">IF(OR(J17="",AND(L17="",TODAY()&lt;J17),AND(L17&lt;&gt;"",L17&lt;J17)),0,
   IF(L17="",
      NETWORKDAYS(J17,TODAY(),Hoja2!$A$2:$A$53),
      NETWORKDAYS(J17,L17,Hoja2!$A$2:$A$53)
   )
)</f>
        <v>71</v>
      </c>
      <c r="N17" s="37"/>
      <c r="O17" s="37">
        <v>46048</v>
      </c>
      <c r="P17" s="34"/>
      <c r="Q17" s="27" t="s">
        <v>80</v>
      </c>
      <c r="R17" s="28" t="s">
        <v>235</v>
      </c>
      <c r="S17" s="14"/>
      <c r="T17" s="14"/>
      <c r="U17" s="14"/>
      <c r="V17" s="14"/>
      <c r="W17" s="14"/>
      <c r="X17" s="14"/>
      <c r="Y17" s="14"/>
      <c r="Z17" s="14"/>
      <c r="AA17" s="14"/>
      <c r="AB17" s="14"/>
      <c r="AC17" s="14"/>
      <c r="AD17" s="14"/>
      <c r="AE17" s="14"/>
      <c r="AF17" s="14"/>
      <c r="AG17" s="14"/>
      <c r="AH17" s="14"/>
      <c r="AI17" s="14"/>
      <c r="AJ17" s="14"/>
      <c r="AK17" s="14"/>
      <c r="AL17" s="14"/>
      <c r="AM17" s="14"/>
      <c r="AN17" s="14"/>
    </row>
    <row r="18" spans="1:40" ht="30">
      <c r="A18" s="15" t="s">
        <v>18</v>
      </c>
      <c r="B18" s="16" t="s">
        <v>81</v>
      </c>
      <c r="C18" s="39" t="s">
        <v>82</v>
      </c>
      <c r="D18" s="44" t="s">
        <v>83</v>
      </c>
      <c r="E18" s="48"/>
      <c r="F18" s="41" t="s">
        <v>79</v>
      </c>
      <c r="G18" s="49">
        <v>5</v>
      </c>
      <c r="H18" s="22">
        <f>IF(OR(J18="",K18="",K18&lt;J18),0,NETWORKDAYS(J18,K18,Hoja2!$A$2:$A$53))</f>
        <v>13</v>
      </c>
      <c r="I18" s="37">
        <v>46032</v>
      </c>
      <c r="J18" s="37">
        <v>46036</v>
      </c>
      <c r="K18" s="37">
        <v>46052</v>
      </c>
      <c r="L18" s="34"/>
      <c r="M18" s="26">
        <f ca="1">IF(OR(J18="",AND(L18="",TODAY()&lt;J18),AND(L18&lt;&gt;"",L18&lt;J18)),0,
   IF(L18="",
      NETWORKDAYS(J18,TODAY(),Hoja2!$A$2:$A$53),
      NETWORKDAYS(J18,L18,Hoja2!$A$2:$A$53)
   )
)</f>
        <v>73</v>
      </c>
      <c r="N18" s="34"/>
      <c r="O18" s="34"/>
      <c r="P18" s="34"/>
      <c r="Q18" s="27" t="s">
        <v>84</v>
      </c>
      <c r="R18" s="28" t="s">
        <v>234</v>
      </c>
      <c r="S18" s="14"/>
      <c r="T18" s="14"/>
      <c r="U18" s="14"/>
      <c r="V18" s="14"/>
      <c r="W18" s="14"/>
      <c r="X18" s="14"/>
      <c r="Y18" s="14"/>
      <c r="Z18" s="14"/>
      <c r="AA18" s="14"/>
      <c r="AB18" s="14"/>
      <c r="AC18" s="14"/>
      <c r="AD18" s="14"/>
      <c r="AE18" s="14"/>
      <c r="AF18" s="14"/>
      <c r="AG18" s="14"/>
      <c r="AH18" s="14"/>
      <c r="AI18" s="14"/>
      <c r="AJ18" s="14"/>
      <c r="AK18" s="14"/>
      <c r="AL18" s="14"/>
      <c r="AM18" s="14"/>
      <c r="AN18" s="14"/>
    </row>
    <row r="19" spans="1:40" ht="34.5" customHeight="1">
      <c r="A19" s="15" t="s">
        <v>18</v>
      </c>
      <c r="B19" s="16" t="s">
        <v>85</v>
      </c>
      <c r="C19" s="39" t="s">
        <v>86</v>
      </c>
      <c r="D19" s="46"/>
      <c r="E19" s="48"/>
      <c r="F19" s="41" t="s">
        <v>22</v>
      </c>
      <c r="G19" s="49">
        <v>100</v>
      </c>
      <c r="H19" s="22">
        <f>IF(OR(J19="",K19="",K19&lt;J19),0,NETWORKDAYS(J19,K19,Hoja2!$A$2:$A$53))</f>
        <v>3</v>
      </c>
      <c r="I19" s="37">
        <v>46038</v>
      </c>
      <c r="J19" s="37">
        <v>46043</v>
      </c>
      <c r="K19" s="37">
        <v>46046</v>
      </c>
      <c r="L19" s="37">
        <v>46044</v>
      </c>
      <c r="M19" s="26">
        <f ca="1">IF(OR(J19="",AND(L19="",TODAY()&lt;J19),AND(L19&lt;&gt;"",L19&lt;J19)),0,
   IF(L19="",
      NETWORKDAYS(J19,TODAY(),Hoja2!$A$2:$A$53),
      NETWORKDAYS(J19,L19,Hoja2!$A$2:$A$53)
   )
)</f>
        <v>2</v>
      </c>
      <c r="N19" s="37"/>
      <c r="O19" s="37">
        <v>46044</v>
      </c>
      <c r="P19" s="37">
        <v>46045</v>
      </c>
      <c r="Q19" s="35"/>
      <c r="R19" s="28" t="s">
        <v>234</v>
      </c>
      <c r="S19" s="14"/>
      <c r="T19" s="14"/>
      <c r="U19" s="14"/>
      <c r="V19" s="14"/>
      <c r="W19" s="14"/>
      <c r="X19" s="14"/>
      <c r="Y19" s="14"/>
      <c r="Z19" s="14"/>
      <c r="AA19" s="14"/>
      <c r="AB19" s="14"/>
      <c r="AC19" s="14"/>
      <c r="AD19" s="14"/>
      <c r="AE19" s="14"/>
      <c r="AF19" s="14"/>
      <c r="AG19" s="14"/>
      <c r="AH19" s="14"/>
      <c r="AI19" s="14"/>
      <c r="AJ19" s="14"/>
      <c r="AK19" s="14"/>
      <c r="AL19" s="14"/>
      <c r="AM19" s="14"/>
      <c r="AN19" s="14"/>
    </row>
    <row r="20" spans="1:40">
      <c r="A20" s="15" t="s">
        <v>18</v>
      </c>
      <c r="B20" s="16" t="s">
        <v>87</v>
      </c>
      <c r="C20" s="39" t="s">
        <v>88</v>
      </c>
      <c r="D20" s="46"/>
      <c r="E20" s="48"/>
      <c r="F20" s="41" t="s">
        <v>22</v>
      </c>
      <c r="G20" s="49">
        <v>100</v>
      </c>
      <c r="H20" s="22">
        <f>IF(OR(J20="",K20="",K20&lt;J20),0,NETWORKDAYS(J20,K20,Hoja2!$A$2:$A$53))</f>
        <v>3</v>
      </c>
      <c r="I20" s="37">
        <v>46035</v>
      </c>
      <c r="J20" s="37">
        <v>46035</v>
      </c>
      <c r="K20" s="37">
        <v>46037</v>
      </c>
      <c r="L20" s="37">
        <v>46036</v>
      </c>
      <c r="M20" s="50">
        <v>10</v>
      </c>
      <c r="N20" s="37"/>
      <c r="O20" s="37">
        <v>46036</v>
      </c>
      <c r="P20" s="51">
        <v>46058</v>
      </c>
      <c r="Q20" s="27" t="s">
        <v>89</v>
      </c>
      <c r="R20" s="28" t="s">
        <v>234</v>
      </c>
      <c r="S20" s="14"/>
      <c r="T20" s="14"/>
      <c r="U20" s="14"/>
      <c r="V20" s="14"/>
      <c r="W20" s="14"/>
      <c r="X20" s="14"/>
      <c r="Y20" s="14"/>
      <c r="Z20" s="14"/>
      <c r="AA20" s="14"/>
      <c r="AB20" s="14"/>
      <c r="AC20" s="14"/>
      <c r="AD20" s="14"/>
      <c r="AE20" s="14"/>
      <c r="AF20" s="14"/>
      <c r="AG20" s="14"/>
      <c r="AH20" s="14"/>
      <c r="AI20" s="14"/>
      <c r="AJ20" s="14"/>
      <c r="AK20" s="14"/>
      <c r="AL20" s="14"/>
      <c r="AM20" s="14"/>
      <c r="AN20" s="14"/>
    </row>
    <row r="21" spans="1:40" ht="45">
      <c r="A21" s="52" t="s">
        <v>46</v>
      </c>
      <c r="B21" s="16" t="s">
        <v>90</v>
      </c>
      <c r="C21" s="39" t="s">
        <v>91</v>
      </c>
      <c r="D21" s="44" t="s">
        <v>92</v>
      </c>
      <c r="E21" s="48"/>
      <c r="F21" s="41" t="s">
        <v>74</v>
      </c>
      <c r="G21" s="49">
        <v>95</v>
      </c>
      <c r="H21" s="22">
        <f>IF(OR(J21="",K21="",K21&lt;J21),0,NETWORKDAYS(J21,K21,Hoja2!$A$2:$A$53))</f>
        <v>11</v>
      </c>
      <c r="I21" s="37">
        <v>46045</v>
      </c>
      <c r="J21" s="37">
        <v>46048</v>
      </c>
      <c r="K21" s="37">
        <v>46062</v>
      </c>
      <c r="L21" s="34"/>
      <c r="M21" s="26">
        <f ca="1">IF(OR(J21="",AND(L21="",TODAY()&lt;J21),AND(L21&lt;&gt;"",L21&lt;J21)),0,
   IF(L21="",
      NETWORKDAYS(J21,TODAY(),Hoja2!$A$2:$A$53),
      NETWORKDAYS(J21,L21,Hoja2!$A$2:$A$53)
   )
)</f>
        <v>65</v>
      </c>
      <c r="N21" s="34"/>
      <c r="O21" s="34"/>
      <c r="P21" s="34"/>
      <c r="Q21" s="27" t="s">
        <v>93</v>
      </c>
      <c r="R21" s="28" t="s">
        <v>234</v>
      </c>
      <c r="S21" s="14"/>
      <c r="T21" s="14"/>
      <c r="U21" s="14"/>
      <c r="V21" s="14"/>
      <c r="W21" s="14"/>
      <c r="X21" s="14"/>
      <c r="Y21" s="14"/>
      <c r="Z21" s="14"/>
      <c r="AA21" s="14"/>
      <c r="AB21" s="14"/>
      <c r="AC21" s="14"/>
      <c r="AD21" s="14"/>
      <c r="AE21" s="14"/>
      <c r="AF21" s="14"/>
      <c r="AG21" s="14"/>
      <c r="AH21" s="14"/>
      <c r="AI21" s="14"/>
      <c r="AJ21" s="14"/>
      <c r="AK21" s="14"/>
      <c r="AL21" s="14"/>
      <c r="AM21" s="14"/>
      <c r="AN21" s="14"/>
    </row>
    <row r="22" spans="1:40" ht="45">
      <c r="A22" s="52" t="s">
        <v>18</v>
      </c>
      <c r="B22" s="16" t="s">
        <v>94</v>
      </c>
      <c r="C22" s="39" t="s">
        <v>95</v>
      </c>
      <c r="D22" s="44" t="s">
        <v>96</v>
      </c>
      <c r="E22" s="53"/>
      <c r="F22" s="54" t="s">
        <v>22</v>
      </c>
      <c r="G22" s="49">
        <v>100</v>
      </c>
      <c r="H22" s="22">
        <v>1</v>
      </c>
      <c r="I22" s="37">
        <v>46057</v>
      </c>
      <c r="J22" s="37">
        <v>46058</v>
      </c>
      <c r="K22" s="37">
        <v>46058</v>
      </c>
      <c r="L22" s="37">
        <v>46058</v>
      </c>
      <c r="M22" s="50">
        <v>1</v>
      </c>
      <c r="N22" s="34"/>
      <c r="O22" s="37">
        <v>46058</v>
      </c>
      <c r="P22" s="37">
        <v>46058</v>
      </c>
      <c r="Q22" s="27" t="s">
        <v>97</v>
      </c>
      <c r="R22" s="28" t="s">
        <v>234</v>
      </c>
      <c r="S22" s="14"/>
      <c r="T22" s="14"/>
      <c r="U22" s="14"/>
      <c r="V22" s="14"/>
      <c r="W22" s="14"/>
      <c r="X22" s="14"/>
      <c r="Y22" s="14"/>
      <c r="Z22" s="14"/>
      <c r="AA22" s="14"/>
      <c r="AB22" s="14"/>
      <c r="AC22" s="14"/>
      <c r="AD22" s="14"/>
      <c r="AE22" s="14"/>
      <c r="AF22" s="14"/>
      <c r="AG22" s="14"/>
      <c r="AH22" s="14"/>
      <c r="AI22" s="14"/>
      <c r="AJ22" s="14"/>
      <c r="AK22" s="14"/>
      <c r="AL22" s="14"/>
      <c r="AM22" s="14"/>
      <c r="AN22" s="14"/>
    </row>
    <row r="23" spans="1:40" ht="30">
      <c r="A23" s="52" t="s">
        <v>18</v>
      </c>
      <c r="B23" s="16" t="s">
        <v>98</v>
      </c>
      <c r="C23" s="39" t="s">
        <v>99</v>
      </c>
      <c r="D23" s="44" t="s">
        <v>100</v>
      </c>
      <c r="E23" s="53"/>
      <c r="F23" s="54" t="s">
        <v>79</v>
      </c>
      <c r="G23" s="49">
        <v>35</v>
      </c>
      <c r="H23" s="22">
        <f>IF(OR(J23="",K23="",K23&lt;J23),0,NETWORKDAYS(J23,K23,Hoja2!$A$2:$A$53))</f>
        <v>8</v>
      </c>
      <c r="I23" s="37">
        <v>46058</v>
      </c>
      <c r="J23" s="37">
        <v>46059</v>
      </c>
      <c r="K23" s="37">
        <v>46070</v>
      </c>
      <c r="L23" s="34"/>
      <c r="M23" s="26">
        <f ca="1">IF(OR(J23="",AND(L23="",TODAY()&lt;J23),AND(L23&lt;&gt;"",L23&lt;J23)),0,
   IF(L23="",
      NETWORKDAYS(J23,TODAY(),Hoja2!$A$2:$A$53),
      NETWORKDAYS(J23,L23,Hoja2!$A$2:$A$53)
   )
)</f>
        <v>56</v>
      </c>
      <c r="N23" s="34"/>
      <c r="O23" s="34"/>
      <c r="P23" s="34"/>
      <c r="Q23" s="27" t="s">
        <v>101</v>
      </c>
      <c r="R23" s="28" t="s">
        <v>234</v>
      </c>
      <c r="S23" s="14"/>
      <c r="T23" s="14"/>
      <c r="U23" s="14"/>
      <c r="V23" s="14"/>
      <c r="W23" s="14"/>
      <c r="X23" s="14"/>
      <c r="Y23" s="14"/>
      <c r="Z23" s="14"/>
      <c r="AA23" s="14"/>
      <c r="AB23" s="14"/>
      <c r="AC23" s="14"/>
      <c r="AD23" s="14"/>
      <c r="AE23" s="14"/>
      <c r="AF23" s="14"/>
      <c r="AG23" s="14"/>
      <c r="AH23" s="14"/>
      <c r="AI23" s="14"/>
      <c r="AJ23" s="14"/>
      <c r="AK23" s="14"/>
      <c r="AL23" s="14"/>
      <c r="AM23" s="14"/>
      <c r="AN23" s="14"/>
    </row>
    <row r="24" spans="1:40">
      <c r="A24" s="52" t="s">
        <v>18</v>
      </c>
      <c r="B24" s="16" t="s">
        <v>102</v>
      </c>
      <c r="C24" s="39" t="s">
        <v>103</v>
      </c>
      <c r="D24" s="44" t="s">
        <v>104</v>
      </c>
      <c r="E24" s="53"/>
      <c r="F24" s="54" t="s">
        <v>105</v>
      </c>
      <c r="G24" s="49">
        <v>90</v>
      </c>
      <c r="H24" s="22">
        <f>IF(OR(J24="",K24="",K24&lt;J24),0,NETWORKDAYS(J24,K24,Hoja2!$A$2:$A$53))</f>
        <v>3</v>
      </c>
      <c r="I24" s="37">
        <v>46065</v>
      </c>
      <c r="J24" s="37">
        <v>46065</v>
      </c>
      <c r="K24" s="37">
        <v>46069</v>
      </c>
      <c r="L24" s="34"/>
      <c r="M24" s="26">
        <f ca="1">IF(OR(J24="",AND(L24="",TODAY()&lt;J24),AND(L24&lt;&gt;"",L24&lt;J24)),0,
   IF(L24="",
      NETWORKDAYS(J24,TODAY(),Hoja2!$A$2:$A$53),
      NETWORKDAYS(J24,L24,Hoja2!$A$2:$A$53)
   )
)</f>
        <v>52</v>
      </c>
      <c r="N24" s="34"/>
      <c r="O24" s="34"/>
      <c r="P24" s="34"/>
      <c r="Q24" s="27" t="s">
        <v>106</v>
      </c>
      <c r="R24" s="28" t="s">
        <v>234</v>
      </c>
      <c r="S24" s="14"/>
      <c r="T24" s="14"/>
      <c r="U24" s="14"/>
      <c r="V24" s="14"/>
      <c r="W24" s="14"/>
      <c r="X24" s="14"/>
      <c r="Y24" s="14"/>
      <c r="Z24" s="14"/>
      <c r="AA24" s="14"/>
      <c r="AB24" s="14"/>
      <c r="AC24" s="14"/>
      <c r="AD24" s="14"/>
      <c r="AE24" s="14"/>
      <c r="AF24" s="14"/>
      <c r="AG24" s="14"/>
      <c r="AH24" s="14"/>
      <c r="AI24" s="14"/>
      <c r="AJ24" s="14"/>
      <c r="AK24" s="14"/>
      <c r="AL24" s="14"/>
      <c r="AM24" s="14"/>
      <c r="AN24" s="14"/>
    </row>
    <row r="25" spans="1:40" ht="60">
      <c r="A25" s="52" t="s">
        <v>18</v>
      </c>
      <c r="B25" s="16" t="s">
        <v>107</v>
      </c>
      <c r="C25" s="39" t="s">
        <v>108</v>
      </c>
      <c r="D25" s="44" t="s">
        <v>109</v>
      </c>
      <c r="E25" s="53"/>
      <c r="F25" s="54" t="s">
        <v>22</v>
      </c>
      <c r="G25" s="49">
        <v>100</v>
      </c>
      <c r="H25" s="22">
        <f>IF(OR(J25="",K25="",K25&lt;J25),0,NETWORKDAYS(J25,K25,Hoja2!$A$2:$A$53))</f>
        <v>1</v>
      </c>
      <c r="I25" s="37">
        <v>46069</v>
      </c>
      <c r="J25" s="37">
        <v>46069</v>
      </c>
      <c r="K25" s="37">
        <v>46069</v>
      </c>
      <c r="L25" s="37">
        <v>46069</v>
      </c>
      <c r="M25" s="50">
        <v>1</v>
      </c>
      <c r="N25" s="34"/>
      <c r="O25" s="37">
        <v>46069</v>
      </c>
      <c r="P25" s="34"/>
      <c r="Q25" s="35"/>
      <c r="R25" s="28" t="s">
        <v>234</v>
      </c>
      <c r="S25" s="14"/>
      <c r="T25" s="14"/>
      <c r="U25" s="14"/>
      <c r="V25" s="14"/>
      <c r="W25" s="14"/>
      <c r="X25" s="14"/>
      <c r="Y25" s="14"/>
      <c r="Z25" s="14"/>
      <c r="AA25" s="14"/>
      <c r="AB25" s="14"/>
      <c r="AC25" s="14"/>
      <c r="AD25" s="14"/>
      <c r="AE25" s="14"/>
      <c r="AF25" s="14"/>
      <c r="AG25" s="14"/>
      <c r="AH25" s="14"/>
      <c r="AI25" s="14"/>
      <c r="AJ25" s="14"/>
      <c r="AK25" s="14"/>
      <c r="AL25" s="14"/>
      <c r="AM25" s="14"/>
      <c r="AN25" s="14"/>
    </row>
    <row r="26" spans="1:40" ht="165">
      <c r="A26" s="52" t="s">
        <v>18</v>
      </c>
      <c r="B26" s="16" t="s">
        <v>110</v>
      </c>
      <c r="C26" s="39" t="s">
        <v>111</v>
      </c>
      <c r="D26" s="55" t="s">
        <v>112</v>
      </c>
      <c r="E26" s="56"/>
      <c r="F26" s="54" t="s">
        <v>105</v>
      </c>
      <c r="G26" s="49">
        <v>95</v>
      </c>
      <c r="H26" s="22">
        <f>IF(OR(J26="",K26="",K26&lt;J26),0,NETWORKDAYS(J26,K26,Hoja2!$A$2:$A$53))</f>
        <v>0</v>
      </c>
      <c r="I26" s="37">
        <v>46069</v>
      </c>
      <c r="J26" s="37">
        <v>46079</v>
      </c>
      <c r="K26" s="34"/>
      <c r="L26" s="34"/>
      <c r="M26" s="26">
        <f ca="1">IF(OR(J26="",AND(L26="",TODAY()&lt;J26),AND(L26&lt;&gt;"",L26&lt;J26)),0,
   IF(L26="",
      NETWORKDAYS(J26,TODAY(),Hoja2!$A$2:$A$53),
      NETWORKDAYS(J26,L26,Hoja2!$A$2:$A$53)
   )
)</f>
        <v>42</v>
      </c>
      <c r="N26" s="34"/>
      <c r="O26" s="37">
        <v>46119</v>
      </c>
      <c r="P26" s="34"/>
      <c r="Q26" s="27" t="s">
        <v>113</v>
      </c>
      <c r="R26" s="28" t="s">
        <v>234</v>
      </c>
      <c r="S26" s="14"/>
      <c r="T26" s="14"/>
      <c r="U26" s="14"/>
      <c r="V26" s="14"/>
      <c r="W26" s="14"/>
      <c r="X26" s="14"/>
      <c r="Y26" s="14"/>
      <c r="Z26" s="14"/>
      <c r="AA26" s="14"/>
      <c r="AB26" s="14"/>
      <c r="AC26" s="14"/>
      <c r="AD26" s="14"/>
      <c r="AE26" s="14"/>
      <c r="AF26" s="14"/>
      <c r="AG26" s="14"/>
      <c r="AH26" s="14"/>
      <c r="AI26" s="14"/>
      <c r="AJ26" s="14"/>
      <c r="AK26" s="14"/>
      <c r="AL26" s="14"/>
      <c r="AM26" s="14"/>
      <c r="AN26" s="14"/>
    </row>
    <row r="27" spans="1:40">
      <c r="A27" s="52" t="s">
        <v>18</v>
      </c>
      <c r="B27" s="16" t="s">
        <v>114</v>
      </c>
      <c r="C27" s="39" t="s">
        <v>115</v>
      </c>
      <c r="D27" s="57" t="s">
        <v>116</v>
      </c>
      <c r="E27" s="53"/>
      <c r="F27" s="54" t="s">
        <v>105</v>
      </c>
      <c r="G27" s="49">
        <v>0</v>
      </c>
      <c r="H27" s="22">
        <f>IF(OR(J27="",K27="",K27&lt;J27),0,NETWORKDAYS(J27,K27,Hoja2!$A$2:$A$53))</f>
        <v>0</v>
      </c>
      <c r="I27" s="37">
        <v>46069</v>
      </c>
      <c r="J27" s="37">
        <v>46076</v>
      </c>
      <c r="K27" s="34"/>
      <c r="L27" s="34"/>
      <c r="M27" s="26">
        <f ca="1">IF(OR(J27="",AND(L27="",TODAY()&lt;J27),AND(L27&lt;&gt;"",L27&lt;J27)),0,
   IF(L27="",
      NETWORKDAYS(J27,TODAY(),Hoja2!$A$2:$A$53),
      NETWORKDAYS(J27,L27,Hoja2!$A$2:$A$53)
   )
)</f>
        <v>45</v>
      </c>
      <c r="N27" s="34"/>
      <c r="O27" s="34"/>
      <c r="P27" s="34"/>
      <c r="Q27" s="35"/>
      <c r="R27" s="28" t="s">
        <v>234</v>
      </c>
      <c r="S27" s="14"/>
      <c r="T27" s="14"/>
      <c r="U27" s="14"/>
      <c r="V27" s="14"/>
      <c r="W27" s="14"/>
      <c r="X27" s="14"/>
      <c r="Y27" s="14"/>
      <c r="Z27" s="14"/>
      <c r="AA27" s="14"/>
      <c r="AB27" s="14"/>
      <c r="AC27" s="14"/>
      <c r="AD27" s="14"/>
      <c r="AE27" s="14"/>
      <c r="AF27" s="14"/>
      <c r="AG27" s="14"/>
      <c r="AH27" s="14"/>
      <c r="AI27" s="14"/>
      <c r="AJ27" s="14"/>
      <c r="AK27" s="14"/>
      <c r="AL27" s="14"/>
      <c r="AM27" s="14"/>
      <c r="AN27" s="14"/>
    </row>
    <row r="28" spans="1:40">
      <c r="A28" s="52" t="s">
        <v>18</v>
      </c>
      <c r="B28" s="16" t="s">
        <v>117</v>
      </c>
      <c r="C28" s="39" t="s">
        <v>118</v>
      </c>
      <c r="D28" s="57" t="s">
        <v>119</v>
      </c>
      <c r="E28" s="53"/>
      <c r="F28" s="54" t="s">
        <v>22</v>
      </c>
      <c r="G28" s="49">
        <v>100</v>
      </c>
      <c r="H28" s="22">
        <f>IF(OR(J28="",K28="",K28&lt;J28),0,NETWORKDAYS(J28,K28,Hoja2!$A$2:$A$53))</f>
        <v>5</v>
      </c>
      <c r="I28" s="37">
        <v>46069</v>
      </c>
      <c r="J28" s="37">
        <v>46069</v>
      </c>
      <c r="K28" s="37">
        <v>46073</v>
      </c>
      <c r="L28" s="37">
        <v>46073</v>
      </c>
      <c r="M28" s="26">
        <f ca="1">IF(OR(J28="",AND(L28="",TODAY()&lt;J28),AND(L28&lt;&gt;"",L28&lt;J28)),0,
   IF(L28="",
      NETWORKDAYS(J28,TODAY(),Hoja2!$A$2:$A$53),
      NETWORKDAYS(J28,L28,Hoja2!$A$2:$A$53)
   )
)</f>
        <v>5</v>
      </c>
      <c r="N28" s="34"/>
      <c r="O28" s="34"/>
      <c r="P28" s="34"/>
      <c r="Q28" s="35"/>
      <c r="R28" s="28" t="s">
        <v>234</v>
      </c>
      <c r="S28" s="14"/>
      <c r="T28" s="14"/>
      <c r="U28" s="14"/>
      <c r="V28" s="14"/>
      <c r="W28" s="14"/>
      <c r="X28" s="14"/>
      <c r="Y28" s="14"/>
      <c r="Z28" s="14"/>
      <c r="AA28" s="14"/>
      <c r="AB28" s="14"/>
      <c r="AC28" s="14"/>
      <c r="AD28" s="14"/>
      <c r="AE28" s="14"/>
      <c r="AF28" s="14"/>
      <c r="AG28" s="14"/>
      <c r="AH28" s="14"/>
      <c r="AI28" s="14"/>
      <c r="AJ28" s="14"/>
      <c r="AK28" s="14"/>
      <c r="AL28" s="14"/>
      <c r="AM28" s="14"/>
      <c r="AN28" s="14"/>
    </row>
    <row r="29" spans="1:40" ht="25.5">
      <c r="A29" s="52" t="s">
        <v>18</v>
      </c>
      <c r="B29" s="16" t="s">
        <v>120</v>
      </c>
      <c r="C29" s="39" t="s">
        <v>121</v>
      </c>
      <c r="D29" s="58" t="s">
        <v>122</v>
      </c>
      <c r="E29" s="53"/>
      <c r="F29" s="54" t="s">
        <v>22</v>
      </c>
      <c r="G29" s="49">
        <v>100</v>
      </c>
      <c r="H29" s="22">
        <f>IF(OR(J29="",K29="",K29&lt;J29),0,NETWORKDAYS(J29,K29,Hoja2!$A$2:$A$53))</f>
        <v>13</v>
      </c>
      <c r="I29" s="37">
        <v>46069</v>
      </c>
      <c r="J29" s="37">
        <v>46071</v>
      </c>
      <c r="K29" s="37">
        <v>46087</v>
      </c>
      <c r="L29" s="37">
        <v>46087</v>
      </c>
      <c r="M29" s="26">
        <f ca="1">IF(OR(J29="",AND(L29="",TODAY()&lt;J29),AND(L29&lt;&gt;"",L29&lt;J29)),0,
   IF(L29="",
      NETWORKDAYS(J29,TODAY(),Hoja2!$A$2:$A$53),
      NETWORKDAYS(J29,L29,Hoja2!$A$2:$A$53)
   )
)</f>
        <v>13</v>
      </c>
      <c r="N29" s="37">
        <v>46092</v>
      </c>
      <c r="O29" s="37">
        <v>46091</v>
      </c>
      <c r="P29" s="37">
        <v>46093</v>
      </c>
      <c r="Q29" s="35"/>
      <c r="R29" s="28" t="s">
        <v>234</v>
      </c>
      <c r="S29" s="14"/>
      <c r="T29" s="14"/>
      <c r="U29" s="14"/>
      <c r="V29" s="14"/>
      <c r="W29" s="14"/>
      <c r="X29" s="14"/>
      <c r="Y29" s="14"/>
      <c r="Z29" s="14"/>
      <c r="AA29" s="14"/>
      <c r="AB29" s="14"/>
      <c r="AC29" s="14"/>
      <c r="AD29" s="14"/>
      <c r="AE29" s="14"/>
      <c r="AF29" s="14"/>
      <c r="AG29" s="14"/>
      <c r="AH29" s="14"/>
      <c r="AI29" s="14"/>
      <c r="AJ29" s="14"/>
      <c r="AK29" s="14"/>
      <c r="AL29" s="14"/>
      <c r="AM29" s="14"/>
      <c r="AN29" s="14"/>
    </row>
    <row r="30" spans="1:40">
      <c r="A30" s="52" t="s">
        <v>18</v>
      </c>
      <c r="B30" s="16" t="s">
        <v>123</v>
      </c>
      <c r="C30" s="39" t="s">
        <v>124</v>
      </c>
      <c r="D30" s="58" t="s">
        <v>125</v>
      </c>
      <c r="E30" s="53"/>
      <c r="F30" s="54" t="s">
        <v>22</v>
      </c>
      <c r="G30" s="49">
        <v>100</v>
      </c>
      <c r="H30" s="22">
        <f>IF(OR(J30="",K30="",K30&lt;J30),0,NETWORKDAYS(J30,K30,Hoja2!$A$2:$A$53))</f>
        <v>6</v>
      </c>
      <c r="I30" s="37">
        <v>46069</v>
      </c>
      <c r="J30" s="37">
        <v>46098</v>
      </c>
      <c r="K30" s="37">
        <v>46106</v>
      </c>
      <c r="L30" s="37">
        <v>46099</v>
      </c>
      <c r="M30" s="26">
        <f ca="1">IF(OR(J30="",AND(L30="",TODAY()&lt;J30),AND(L30&lt;&gt;"",L30&lt;J30)),0,
   IF(L30="",
      NETWORKDAYS(J30,TODAY(),Hoja2!$A$2:$A$53),
      NETWORKDAYS(J30,L30,Hoja2!$A$2:$A$53)
   )
)</f>
        <v>2</v>
      </c>
      <c r="N30" s="37">
        <v>46106</v>
      </c>
      <c r="O30" s="37">
        <v>46100</v>
      </c>
      <c r="P30" s="34"/>
      <c r="Q30" s="35"/>
      <c r="R30" s="28" t="s">
        <v>234</v>
      </c>
      <c r="S30" s="14"/>
      <c r="T30" s="14"/>
      <c r="U30" s="14"/>
      <c r="V30" s="14"/>
      <c r="W30" s="14"/>
      <c r="X30" s="14"/>
      <c r="Y30" s="14"/>
      <c r="Z30" s="14"/>
      <c r="AA30" s="14"/>
      <c r="AB30" s="14"/>
      <c r="AC30" s="14"/>
      <c r="AD30" s="14"/>
      <c r="AE30" s="14"/>
      <c r="AF30" s="14"/>
      <c r="AG30" s="14"/>
      <c r="AH30" s="14"/>
      <c r="AI30" s="14"/>
      <c r="AJ30" s="14"/>
      <c r="AK30" s="14"/>
      <c r="AL30" s="14"/>
      <c r="AM30" s="14"/>
      <c r="AN30" s="14"/>
    </row>
    <row r="31" spans="1:40" ht="25.5">
      <c r="A31" s="52" t="s">
        <v>18</v>
      </c>
      <c r="B31" s="16" t="s">
        <v>126</v>
      </c>
      <c r="C31" s="39" t="s">
        <v>127</v>
      </c>
      <c r="D31" s="58" t="s">
        <v>128</v>
      </c>
      <c r="E31" s="53"/>
      <c r="F31" s="54" t="s">
        <v>22</v>
      </c>
      <c r="G31" s="49">
        <v>100</v>
      </c>
      <c r="H31" s="22">
        <f>IF(OR(J31="",K31="",K31&lt;J31),0,NETWORKDAYS(J31,K31,Hoja2!$A$2:$A$53))</f>
        <v>1</v>
      </c>
      <c r="I31" s="59">
        <v>46083</v>
      </c>
      <c r="J31" s="59">
        <v>46085</v>
      </c>
      <c r="K31" s="59">
        <v>46085</v>
      </c>
      <c r="L31" s="37">
        <v>46085</v>
      </c>
      <c r="M31" s="26">
        <f ca="1">IF(OR(J31="",AND(L31="",TODAY()&lt;J31),AND(L31&lt;&gt;"",L31&lt;J31)),0,
   IF(L31="",
      NETWORKDAYS(J31,TODAY(),Hoja2!$A$2:$A$53),
      NETWORKDAYS(J31,L31,Hoja2!$A$2:$A$53)
   )
)</f>
        <v>1</v>
      </c>
      <c r="N31" s="37">
        <v>46085</v>
      </c>
      <c r="O31" s="37">
        <v>46085</v>
      </c>
      <c r="P31" s="37">
        <v>46085</v>
      </c>
      <c r="Q31" s="27" t="s">
        <v>129</v>
      </c>
      <c r="R31" s="28" t="s">
        <v>234</v>
      </c>
      <c r="S31" s="14"/>
      <c r="T31" s="14"/>
      <c r="U31" s="14"/>
      <c r="V31" s="14"/>
      <c r="W31" s="14"/>
      <c r="X31" s="14"/>
      <c r="Y31" s="14"/>
      <c r="Z31" s="14"/>
      <c r="AA31" s="14"/>
      <c r="AB31" s="14"/>
      <c r="AC31" s="14"/>
      <c r="AD31" s="14"/>
      <c r="AE31" s="14"/>
      <c r="AF31" s="14"/>
      <c r="AG31" s="14"/>
      <c r="AH31" s="14"/>
      <c r="AI31" s="14"/>
      <c r="AJ31" s="14"/>
      <c r="AK31" s="14"/>
      <c r="AL31" s="14"/>
      <c r="AM31" s="14"/>
      <c r="AN31" s="14"/>
    </row>
    <row r="32" spans="1:40" ht="63.75">
      <c r="A32" s="52" t="s">
        <v>18</v>
      </c>
      <c r="B32" s="16" t="s">
        <v>130</v>
      </c>
      <c r="C32" s="39" t="s">
        <v>131</v>
      </c>
      <c r="D32" s="58" t="s">
        <v>132</v>
      </c>
      <c r="E32" s="53"/>
      <c r="F32" s="54" t="s">
        <v>22</v>
      </c>
      <c r="G32" s="49">
        <v>100</v>
      </c>
      <c r="H32" s="22">
        <f>IF(OR(J32="",K32="",K32&lt;J32),0,NETWORKDAYS(J32,K32,Hoja2!$A$2:$A$53))</f>
        <v>4</v>
      </c>
      <c r="I32" s="59">
        <v>46091</v>
      </c>
      <c r="J32" s="59">
        <v>46091</v>
      </c>
      <c r="K32" s="59">
        <v>46094</v>
      </c>
      <c r="L32" s="37"/>
      <c r="M32" s="26">
        <f ca="1">IF(OR(J32="",AND(L32="",TODAY()&lt;J32),AND(L32&lt;&gt;"",L32&lt;J32)),0,
   IF(L32="",
      NETWORKDAYS(J32,TODAY(),Hoja2!$A$2:$A$53),
      NETWORKDAYS(J32,L32,Hoja2!$A$2:$A$53)
   )
)</f>
        <v>34</v>
      </c>
      <c r="N32" s="37">
        <v>46098</v>
      </c>
      <c r="O32" s="37">
        <v>46091</v>
      </c>
      <c r="P32" s="37"/>
      <c r="Q32" s="27" t="s">
        <v>133</v>
      </c>
      <c r="R32" s="28" t="s">
        <v>234</v>
      </c>
      <c r="S32" s="60"/>
      <c r="T32" s="60"/>
      <c r="U32" s="60"/>
      <c r="V32" s="60"/>
      <c r="W32" s="60"/>
      <c r="X32" s="60"/>
      <c r="Y32" s="60"/>
      <c r="Z32" s="60"/>
      <c r="AA32" s="60"/>
      <c r="AB32" s="60"/>
      <c r="AC32" s="60"/>
      <c r="AD32" s="60"/>
      <c r="AE32" s="60"/>
      <c r="AF32" s="60"/>
      <c r="AG32" s="60"/>
      <c r="AH32" s="60"/>
      <c r="AI32" s="60"/>
      <c r="AJ32" s="60"/>
      <c r="AK32" s="60"/>
      <c r="AL32" s="60"/>
      <c r="AM32" s="60"/>
      <c r="AN32" s="61"/>
    </row>
    <row r="33" spans="1:40" ht="25.5">
      <c r="A33" s="52" t="s">
        <v>18</v>
      </c>
      <c r="B33" s="16" t="s">
        <v>134</v>
      </c>
      <c r="C33" s="39" t="s">
        <v>135</v>
      </c>
      <c r="D33" s="58" t="s">
        <v>136</v>
      </c>
      <c r="E33" s="53"/>
      <c r="F33" s="54" t="s">
        <v>22</v>
      </c>
      <c r="G33" s="49">
        <v>100</v>
      </c>
      <c r="H33" s="22">
        <f>IF(OR(J33="",K33="",K33&lt;J33),0,NETWORKDAYS(J33,K33,Hoja2!$A$2:$A$53))</f>
        <v>4</v>
      </c>
      <c r="I33" s="59">
        <v>46092</v>
      </c>
      <c r="J33" s="59">
        <v>46093</v>
      </c>
      <c r="K33" s="59">
        <v>46098</v>
      </c>
      <c r="L33" s="37">
        <v>46098</v>
      </c>
      <c r="M33" s="26">
        <f ca="1">IF(OR(J33="",AND(L33="",TODAY()&lt;J33),AND(L33&lt;&gt;"",L33&lt;J33)),0,
   IF(L33="",
      NETWORKDAYS(J33,TODAY(),Hoja2!$A$2:$A$53),
      NETWORKDAYS(J33,L33,Hoja2!$A$2:$A$53)
   )
)</f>
        <v>4</v>
      </c>
      <c r="N33" s="37">
        <v>46098</v>
      </c>
      <c r="O33" s="37">
        <v>46098</v>
      </c>
      <c r="P33" s="37">
        <v>46098</v>
      </c>
      <c r="Q33" s="27"/>
      <c r="R33" s="28" t="s">
        <v>234</v>
      </c>
      <c r="S33" s="62"/>
      <c r="T33" s="62"/>
      <c r="U33" s="62"/>
      <c r="V33" s="62"/>
      <c r="W33" s="62"/>
      <c r="X33" s="62"/>
      <c r="Y33" s="62"/>
      <c r="Z33" s="62"/>
      <c r="AA33" s="62"/>
      <c r="AB33" s="62"/>
      <c r="AC33" s="62"/>
      <c r="AD33" s="62"/>
      <c r="AE33" s="62"/>
      <c r="AF33" s="62"/>
      <c r="AG33" s="62"/>
      <c r="AH33" s="62"/>
      <c r="AI33" s="62"/>
      <c r="AJ33" s="62"/>
      <c r="AK33" s="62"/>
      <c r="AL33" s="62"/>
      <c r="AM33" s="62"/>
      <c r="AN33" s="63"/>
    </row>
    <row r="34" spans="1:40" ht="25.5">
      <c r="A34" s="52" t="s">
        <v>18</v>
      </c>
      <c r="B34" s="64" t="s">
        <v>137</v>
      </c>
      <c r="C34" s="39" t="s">
        <v>138</v>
      </c>
      <c r="D34" s="58" t="s">
        <v>139</v>
      </c>
      <c r="E34" s="53"/>
      <c r="F34" s="54" t="s">
        <v>22</v>
      </c>
      <c r="G34" s="49">
        <v>100</v>
      </c>
      <c r="H34" s="22">
        <f>IF(OR(J34="",K34="",K34&lt;J34),0,NETWORKDAYS(J34,K34,Hoja2!$A$2:$A$53))</f>
        <v>1</v>
      </c>
      <c r="I34" s="59">
        <v>46098</v>
      </c>
      <c r="J34" s="59">
        <v>46098</v>
      </c>
      <c r="K34" s="59">
        <v>46098</v>
      </c>
      <c r="L34" s="37">
        <v>46098</v>
      </c>
      <c r="M34" s="26">
        <f ca="1">IF(OR(J34="",AND(L34="",TODAY()&lt;J34),AND(L34&lt;&gt;"",L34&lt;J34)),0,
   IF(L34="",
      NETWORKDAYS(J34,TODAY(),Hoja2!$A$2:$A$53),
      NETWORKDAYS(J34,L34,Hoja2!$A$2:$A$53)
   )
)</f>
        <v>1</v>
      </c>
      <c r="N34" s="37">
        <v>46098</v>
      </c>
      <c r="O34" s="37">
        <v>46098</v>
      </c>
      <c r="P34" s="37">
        <v>46098</v>
      </c>
      <c r="Q34" s="27"/>
      <c r="R34" s="28" t="s">
        <v>234</v>
      </c>
      <c r="S34" s="60"/>
      <c r="T34" s="60"/>
      <c r="U34" s="60"/>
      <c r="V34" s="60"/>
      <c r="W34" s="60"/>
      <c r="X34" s="60"/>
      <c r="Y34" s="60"/>
      <c r="Z34" s="60"/>
      <c r="AA34" s="60"/>
      <c r="AB34" s="60"/>
      <c r="AC34" s="60"/>
      <c r="AD34" s="60"/>
      <c r="AE34" s="60"/>
      <c r="AF34" s="60"/>
      <c r="AG34" s="60"/>
      <c r="AH34" s="60"/>
      <c r="AI34" s="60"/>
      <c r="AJ34" s="60"/>
      <c r="AK34" s="60"/>
      <c r="AL34" s="60"/>
      <c r="AM34" s="60"/>
      <c r="AN34" s="61"/>
    </row>
    <row r="35" spans="1:40">
      <c r="A35" s="109" t="s">
        <v>140</v>
      </c>
      <c r="B35" s="110" t="s">
        <v>141</v>
      </c>
      <c r="C35" s="111" t="s">
        <v>142</v>
      </c>
      <c r="D35" s="112" t="s">
        <v>142</v>
      </c>
      <c r="E35" s="113"/>
      <c r="F35" s="114" t="s">
        <v>22</v>
      </c>
      <c r="G35" s="115">
        <v>100</v>
      </c>
      <c r="H35" s="116">
        <f>IF(OR(J35="",K35="",K35&lt;J35),0,NETWORKDAYS(J35,K35,Hoja2!$A$2:$A$53))</f>
        <v>5</v>
      </c>
      <c r="I35" s="117">
        <v>46099</v>
      </c>
      <c r="J35" s="117">
        <v>46107</v>
      </c>
      <c r="K35" s="117">
        <v>46113</v>
      </c>
      <c r="L35" s="118"/>
      <c r="M35" s="119">
        <f ca="1">IF(OR(J35="",AND(L35="",TODAY()&lt;J35),AND(L35&lt;&gt;"",L35&lt;J35)),0,
   IF(L35="",
      NETWORKDAYS(J35,TODAY(),Hoja2!$A$2:$A$53),
      NETWORKDAYS(J35,L35,Hoja2!$A$2:$A$53)
   )
)</f>
        <v>23</v>
      </c>
      <c r="N35" s="118">
        <v>46113</v>
      </c>
      <c r="O35" s="118"/>
      <c r="P35" s="118"/>
      <c r="Q35" s="120" t="s">
        <v>143</v>
      </c>
      <c r="R35" s="28" t="s">
        <v>234</v>
      </c>
      <c r="S35" s="62"/>
      <c r="T35" s="62"/>
      <c r="U35" s="62"/>
      <c r="V35" s="62"/>
      <c r="W35" s="62"/>
      <c r="X35" s="62"/>
      <c r="Y35" s="62"/>
      <c r="Z35" s="62"/>
      <c r="AA35" s="62"/>
      <c r="AB35" s="62"/>
      <c r="AC35" s="62"/>
      <c r="AD35" s="62"/>
      <c r="AE35" s="62"/>
      <c r="AF35" s="62"/>
      <c r="AG35" s="62"/>
      <c r="AH35" s="62"/>
      <c r="AI35" s="62"/>
      <c r="AJ35" s="62"/>
      <c r="AK35" s="62"/>
      <c r="AL35" s="62"/>
      <c r="AM35" s="62"/>
      <c r="AN35" s="63"/>
    </row>
    <row r="36" spans="1:40">
      <c r="A36" s="121" t="s">
        <v>18</v>
      </c>
      <c r="B36" s="122" t="s">
        <v>144</v>
      </c>
      <c r="C36" s="123" t="s">
        <v>145</v>
      </c>
      <c r="D36" s="124" t="s">
        <v>145</v>
      </c>
      <c r="E36" s="125"/>
      <c r="F36" s="126" t="s">
        <v>22</v>
      </c>
      <c r="G36" s="127">
        <v>100</v>
      </c>
      <c r="H36" s="128">
        <f>IF(OR(J36="",K36="",K36&lt;J36),0,NETWORKDAYS(J36,K36,Hoja2!$A$2:$A$53))</f>
        <v>1</v>
      </c>
      <c r="I36" s="129">
        <v>46092</v>
      </c>
      <c r="J36" s="129">
        <v>46106</v>
      </c>
      <c r="K36" s="129">
        <v>46106</v>
      </c>
      <c r="L36" s="130">
        <v>46106</v>
      </c>
      <c r="M36" s="131">
        <f ca="1">IF(OR(J36="",AND(L36="",TODAY()&lt;J36),AND(L36&lt;&gt;"",L36&lt;J36)),0,
   IF(L36="",
      NETWORKDAYS(J36,TODAY(),Hoja2!$A$2:$A$53),
      NETWORKDAYS(J36,L36,Hoja2!$A$2:$A$53)
   )
)</f>
        <v>1</v>
      </c>
      <c r="N36" s="130">
        <v>46106</v>
      </c>
      <c r="O36" s="130">
        <v>46106</v>
      </c>
      <c r="P36" s="130">
        <v>46106</v>
      </c>
      <c r="Q36" s="132"/>
      <c r="R36" s="123" t="s">
        <v>234</v>
      </c>
      <c r="S36" s="107"/>
      <c r="T36" s="60"/>
      <c r="U36" s="60"/>
      <c r="V36" s="60"/>
      <c r="W36" s="60"/>
      <c r="X36" s="60"/>
      <c r="Y36" s="60"/>
      <c r="Z36" s="60"/>
      <c r="AA36" s="60"/>
      <c r="AB36" s="60"/>
      <c r="AC36" s="60"/>
      <c r="AD36" s="60"/>
      <c r="AE36" s="60"/>
      <c r="AF36" s="60"/>
      <c r="AG36" s="60"/>
      <c r="AH36" s="60"/>
      <c r="AI36" s="60"/>
      <c r="AJ36" s="60"/>
      <c r="AK36" s="60"/>
      <c r="AL36" s="60"/>
      <c r="AM36" s="60"/>
      <c r="AN36" s="61"/>
    </row>
    <row r="37" spans="1:40">
      <c r="A37" s="121" t="s">
        <v>18</v>
      </c>
      <c r="B37" s="122" t="s">
        <v>236</v>
      </c>
      <c r="C37" s="123" t="s">
        <v>146</v>
      </c>
      <c r="D37" s="123" t="s">
        <v>146</v>
      </c>
      <c r="E37" s="125"/>
      <c r="F37" s="126" t="s">
        <v>22</v>
      </c>
      <c r="G37" s="127">
        <v>100</v>
      </c>
      <c r="H37" s="128">
        <f>IF(OR(J37="",K37="",K37&lt;J37),0,NETWORKDAYS(J37,K37,Hoja2!$A$2:$A$53))</f>
        <v>7</v>
      </c>
      <c r="I37" s="129">
        <v>46118</v>
      </c>
      <c r="J37" s="129">
        <v>46118</v>
      </c>
      <c r="K37" s="129">
        <v>46126</v>
      </c>
      <c r="L37" s="130"/>
      <c r="M37" s="131">
        <f ca="1">IF(OR(J37="",AND(L37="",TODAY()&lt;J37),AND(L37&lt;&gt;"",L37&lt;J37)),0,
   IF(L37="",
      NETWORKDAYS(J37,TODAY(),Hoja2!$A$2:$A$53),
      NETWORKDAYS(J37,L37,Hoja2!$A$2:$A$53)
   )
)</f>
        <v>18</v>
      </c>
      <c r="N37" s="130"/>
      <c r="O37" s="130"/>
      <c r="P37" s="130"/>
      <c r="Q37" s="132"/>
      <c r="R37" s="123" t="s">
        <v>234</v>
      </c>
      <c r="S37" s="108"/>
      <c r="T37" s="62"/>
      <c r="U37" s="62"/>
      <c r="V37" s="62"/>
      <c r="W37" s="62"/>
      <c r="X37" s="62"/>
      <c r="Y37" s="62"/>
      <c r="Z37" s="62"/>
      <c r="AA37" s="62"/>
      <c r="AB37" s="62"/>
      <c r="AC37" s="62"/>
      <c r="AD37" s="62"/>
      <c r="AE37" s="62"/>
      <c r="AF37" s="62"/>
      <c r="AG37" s="62"/>
      <c r="AH37" s="62"/>
      <c r="AI37" s="62"/>
      <c r="AJ37" s="62"/>
      <c r="AK37" s="62"/>
      <c r="AL37" s="62"/>
      <c r="AM37" s="62"/>
      <c r="AN37" s="63"/>
    </row>
    <row r="38" spans="1:40" ht="102">
      <c r="A38" s="121" t="s">
        <v>18</v>
      </c>
      <c r="B38" s="122" t="s">
        <v>237</v>
      </c>
      <c r="C38" s="123" t="s">
        <v>147</v>
      </c>
      <c r="D38" s="124" t="s">
        <v>148</v>
      </c>
      <c r="E38" s="125"/>
      <c r="F38" s="126" t="s">
        <v>35</v>
      </c>
      <c r="G38" s="127">
        <v>90</v>
      </c>
      <c r="H38" s="128">
        <f>IF(OR(J38="",K38="",K38&lt;J38),0,NETWORKDAYS(J38,K38,Hoja2!$A$2:$A$53))</f>
        <v>3</v>
      </c>
      <c r="I38" s="130">
        <v>46126</v>
      </c>
      <c r="J38" s="130">
        <v>46127</v>
      </c>
      <c r="K38" s="130">
        <v>46130</v>
      </c>
      <c r="L38" s="130"/>
      <c r="M38" s="131">
        <f ca="1">IF(OR(J38="",AND(L38="",TODAY()&lt;J38),AND(L38&lt;&gt;"",L38&lt;J38)),0,
   IF(L38="",
      NETWORKDAYS(J38,TODAY(),Hoja2!$A$2:$A$53),
      NETWORKDAYS(J38,L38,Hoja2!$A$2:$A$53)
   )
)</f>
        <v>11</v>
      </c>
      <c r="N38" s="130"/>
      <c r="O38" s="130"/>
      <c r="P38" s="130"/>
      <c r="Q38" s="132"/>
      <c r="R38" s="123" t="s">
        <v>234</v>
      </c>
      <c r="S38" s="107"/>
      <c r="T38" s="60"/>
      <c r="U38" s="60"/>
      <c r="V38" s="60"/>
      <c r="W38" s="60"/>
      <c r="X38" s="60"/>
      <c r="Y38" s="60"/>
      <c r="Z38" s="60"/>
      <c r="AA38" s="60"/>
      <c r="AB38" s="60"/>
      <c r="AC38" s="60"/>
      <c r="AD38" s="60"/>
      <c r="AE38" s="60"/>
      <c r="AF38" s="60"/>
      <c r="AG38" s="60"/>
      <c r="AH38" s="60"/>
      <c r="AI38" s="60"/>
      <c r="AJ38" s="60"/>
      <c r="AK38" s="60"/>
      <c r="AL38" s="60"/>
      <c r="AM38" s="60"/>
      <c r="AN38" s="61"/>
    </row>
    <row r="39" spans="1:40" ht="318.75">
      <c r="A39" s="133" t="s">
        <v>149</v>
      </c>
      <c r="B39" s="122" t="s">
        <v>238</v>
      </c>
      <c r="C39" s="123" t="s">
        <v>150</v>
      </c>
      <c r="D39" s="124" t="s">
        <v>151</v>
      </c>
      <c r="E39" s="125"/>
      <c r="F39" s="126" t="s">
        <v>105</v>
      </c>
      <c r="G39" s="127">
        <v>80</v>
      </c>
      <c r="H39" s="128">
        <f>IF(OR(J39="",K39="",K39&lt;J39),0,NETWORKDAYS(J39,K39,Hoja2!$A$2:$A$53))</f>
        <v>5</v>
      </c>
      <c r="I39" s="130">
        <v>46132</v>
      </c>
      <c r="J39" s="130">
        <v>46136</v>
      </c>
      <c r="K39" s="130">
        <v>46143</v>
      </c>
      <c r="L39" s="130"/>
      <c r="M39" s="131">
        <f ca="1">IF(OR(J39="",AND(L39="",TODAY()&lt;J39),AND(L39&lt;&gt;"",L39&lt;J39)),0,
   IF(L39="",
      NETWORKDAYS(J39,TODAY(),Hoja2!$A$2:$A$53),
      NETWORKDAYS(J39,L39,Hoja2!$A$2:$A$53)
   )
)</f>
        <v>4</v>
      </c>
      <c r="N39" s="130">
        <v>46143</v>
      </c>
      <c r="O39" s="130">
        <v>46139</v>
      </c>
      <c r="P39" s="130"/>
      <c r="Q39" s="132"/>
      <c r="R39" s="123" t="s">
        <v>234</v>
      </c>
      <c r="S39" s="107"/>
      <c r="T39" s="60"/>
      <c r="U39" s="60"/>
      <c r="V39" s="60"/>
      <c r="W39" s="60"/>
      <c r="X39" s="60"/>
      <c r="Y39" s="60"/>
      <c r="Z39" s="60"/>
      <c r="AA39" s="60"/>
      <c r="AB39" s="60"/>
      <c r="AC39" s="60"/>
      <c r="AD39" s="60"/>
      <c r="AE39" s="60"/>
      <c r="AF39" s="60"/>
      <c r="AG39" s="60"/>
      <c r="AH39" s="60"/>
      <c r="AI39" s="60"/>
      <c r="AJ39" s="60"/>
      <c r="AK39" s="60"/>
      <c r="AL39" s="60"/>
      <c r="AM39" s="60"/>
      <c r="AN39" s="61"/>
    </row>
  </sheetData>
  <conditionalFormatting sqref="B2:B39">
    <cfRule type="expression" dxfId="0" priority="1">
      <formula>COUNTIF(B$2:B$14,B2)&gt;1</formula>
    </cfRule>
  </conditionalFormatting>
  <dataValidations count="2">
    <dataValidation type="list" allowBlank="1" sqref="F2:F39">
      <formula1>"FINALIZADO,EN PROCESO,PAUSADO,EN TEST,PENDIENTE,PRUEBAS ClIENTE,PRUEBAS IMAGINE,PASO A PRODUCCION,CANCELADO"</formula1>
    </dataValidation>
    <dataValidation type="custom" allowBlank="1" showDropDown="1" sqref="I2:L39 N2:P39">
      <formula1>OR(NOT(ISERROR(DATEVALUE(I2))), AND(ISNUMBER(I2), LEFT(CELL("format", I2))="D"))</formula1>
    </dataValidation>
  </dataValidations>
  <pageMargins left="0.7" right="0.7" top="0.75" bottom="0.75" header="0" footer="0"/>
  <pageSetup orientation="portrait"/>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sheetViews>
  <sheetFormatPr baseColWidth="10" defaultColWidth="11.21875" defaultRowHeight="15" customHeight="1"/>
  <cols>
    <col min="1" max="6" width="10.5546875" customWidth="1"/>
  </cols>
  <sheetData>
    <row r="1" spans="1:2" ht="17.25" customHeight="1">
      <c r="A1" s="65">
        <v>45292</v>
      </c>
      <c r="B1" s="66" t="s">
        <v>152</v>
      </c>
    </row>
    <row r="2" spans="1:2" ht="17.25" customHeight="1">
      <c r="A2" s="65">
        <v>45299</v>
      </c>
      <c r="B2" s="66" t="s">
        <v>153</v>
      </c>
    </row>
    <row r="3" spans="1:2" ht="17.25" customHeight="1">
      <c r="A3" s="65">
        <v>45376</v>
      </c>
      <c r="B3" s="66" t="s">
        <v>154</v>
      </c>
    </row>
    <row r="4" spans="1:2" ht="17.25" customHeight="1">
      <c r="A4" s="65">
        <v>45379</v>
      </c>
      <c r="B4" s="66" t="s">
        <v>155</v>
      </c>
    </row>
    <row r="5" spans="1:2" ht="17.25" customHeight="1">
      <c r="A5" s="65">
        <v>45380</v>
      </c>
      <c r="B5" s="66" t="s">
        <v>156</v>
      </c>
    </row>
    <row r="6" spans="1:2" ht="17.25" customHeight="1">
      <c r="A6" s="65">
        <v>45413</v>
      </c>
      <c r="B6" s="66" t="s">
        <v>157</v>
      </c>
    </row>
    <row r="7" spans="1:2" ht="17.25" customHeight="1">
      <c r="A7" s="65">
        <v>45425</v>
      </c>
      <c r="B7" s="66" t="s">
        <v>158</v>
      </c>
    </row>
    <row r="8" spans="1:2" ht="17.25" customHeight="1">
      <c r="A8" s="65">
        <v>45446</v>
      </c>
      <c r="B8" s="66" t="s">
        <v>159</v>
      </c>
    </row>
    <row r="9" spans="1:2" ht="17.25" customHeight="1">
      <c r="A9" s="65">
        <v>45453</v>
      </c>
      <c r="B9" s="66" t="s">
        <v>160</v>
      </c>
    </row>
    <row r="10" spans="1:2" ht="17.25" customHeight="1">
      <c r="A10" s="65">
        <v>45474</v>
      </c>
      <c r="B10" s="66" t="s">
        <v>161</v>
      </c>
    </row>
    <row r="11" spans="1:2" ht="17.25" customHeight="1">
      <c r="A11" s="65">
        <v>45493</v>
      </c>
      <c r="B11" s="66" t="s">
        <v>162</v>
      </c>
    </row>
    <row r="12" spans="1:2" ht="17.25" customHeight="1">
      <c r="A12" s="65">
        <v>45511</v>
      </c>
      <c r="B12" s="66" t="s">
        <v>163</v>
      </c>
    </row>
    <row r="13" spans="1:2" ht="17.25" customHeight="1">
      <c r="A13" s="65">
        <v>45523</v>
      </c>
      <c r="B13" s="66" t="s">
        <v>164</v>
      </c>
    </row>
    <row r="14" spans="1:2" ht="17.25" customHeight="1">
      <c r="A14" s="65">
        <v>45579</v>
      </c>
      <c r="B14" s="66" t="s">
        <v>165</v>
      </c>
    </row>
    <row r="15" spans="1:2" ht="17.25" customHeight="1">
      <c r="A15" s="65">
        <v>45600</v>
      </c>
      <c r="B15" s="66" t="s">
        <v>166</v>
      </c>
    </row>
    <row r="16" spans="1:2" ht="17.25" customHeight="1">
      <c r="A16" s="65">
        <v>45607</v>
      </c>
      <c r="B16" s="66" t="s">
        <v>167</v>
      </c>
    </row>
    <row r="17" spans="1:2" ht="17.25" customHeight="1">
      <c r="A17" s="65">
        <v>45634</v>
      </c>
      <c r="B17" s="66" t="s">
        <v>168</v>
      </c>
    </row>
    <row r="18" spans="1:2" ht="17.25" customHeight="1">
      <c r="A18" s="65">
        <v>45651</v>
      </c>
      <c r="B18" s="66" t="s">
        <v>169</v>
      </c>
    </row>
    <row r="19" spans="1:2" ht="17.25" customHeight="1">
      <c r="A19" s="65">
        <v>45658</v>
      </c>
      <c r="B19" s="67" t="s">
        <v>170</v>
      </c>
    </row>
    <row r="20" spans="1:2" ht="17.25" customHeight="1">
      <c r="A20" s="65">
        <v>45663</v>
      </c>
      <c r="B20" s="67" t="s">
        <v>171</v>
      </c>
    </row>
    <row r="21" spans="1:2" ht="17.25" customHeight="1">
      <c r="A21" s="65">
        <v>45740</v>
      </c>
      <c r="B21" s="67" t="s">
        <v>172</v>
      </c>
    </row>
    <row r="22" spans="1:2" ht="17.25" customHeight="1">
      <c r="A22" s="65">
        <v>45764</v>
      </c>
      <c r="B22" s="67" t="s">
        <v>173</v>
      </c>
    </row>
    <row r="23" spans="1:2" ht="17.25" customHeight="1">
      <c r="A23" s="65">
        <v>45765</v>
      </c>
      <c r="B23" s="67" t="s">
        <v>174</v>
      </c>
    </row>
    <row r="24" spans="1:2" ht="17.25" customHeight="1">
      <c r="A24" s="65">
        <v>45778</v>
      </c>
      <c r="B24" s="67" t="s">
        <v>175</v>
      </c>
    </row>
    <row r="25" spans="1:2" ht="17.25" customHeight="1">
      <c r="A25" s="65">
        <v>45810</v>
      </c>
      <c r="B25" s="67" t="s">
        <v>176</v>
      </c>
    </row>
    <row r="26" spans="1:2" ht="17.25" customHeight="1">
      <c r="A26" s="65">
        <v>45831</v>
      </c>
      <c r="B26" s="67" t="s">
        <v>177</v>
      </c>
    </row>
    <row r="27" spans="1:2" ht="17.25" customHeight="1">
      <c r="A27" s="65">
        <v>45838</v>
      </c>
      <c r="B27" s="67" t="s">
        <v>178</v>
      </c>
    </row>
    <row r="28" spans="1:2" ht="17.25" customHeight="1">
      <c r="A28" s="65">
        <v>45858</v>
      </c>
      <c r="B28" s="67" t="s">
        <v>179</v>
      </c>
    </row>
    <row r="29" spans="1:2" ht="17.25" customHeight="1">
      <c r="A29" s="65">
        <v>45876</v>
      </c>
      <c r="B29" s="67" t="s">
        <v>180</v>
      </c>
    </row>
    <row r="30" spans="1:2" ht="17.25" customHeight="1">
      <c r="A30" s="65">
        <v>45887</v>
      </c>
      <c r="B30" s="67" t="s">
        <v>181</v>
      </c>
    </row>
    <row r="31" spans="1:2" ht="17.25" customHeight="1">
      <c r="A31" s="65">
        <v>45943</v>
      </c>
      <c r="B31" s="67" t="s">
        <v>182</v>
      </c>
    </row>
    <row r="32" spans="1:2" ht="17.25" customHeight="1">
      <c r="A32" s="65">
        <v>45964</v>
      </c>
      <c r="B32" s="67" t="s">
        <v>183</v>
      </c>
    </row>
    <row r="33" spans="1:2" ht="17.25" customHeight="1">
      <c r="A33" s="65">
        <v>45978</v>
      </c>
      <c r="B33" s="67" t="s">
        <v>184</v>
      </c>
    </row>
    <row r="34" spans="1:2" ht="17.25" customHeight="1">
      <c r="A34" s="65">
        <v>45999</v>
      </c>
      <c r="B34" s="67" t="s">
        <v>185</v>
      </c>
    </row>
    <row r="35" spans="1:2" ht="17.25" customHeight="1">
      <c r="A35" s="65">
        <v>46016</v>
      </c>
      <c r="B35" s="67" t="s">
        <v>186</v>
      </c>
    </row>
    <row r="36" spans="1:2" ht="17.25" customHeight="1">
      <c r="A36" s="65">
        <v>46023</v>
      </c>
      <c r="B36" s="67" t="s">
        <v>170</v>
      </c>
    </row>
    <row r="37" spans="1:2" ht="17.25" customHeight="1">
      <c r="A37" s="65">
        <v>46034</v>
      </c>
      <c r="B37" s="67" t="s">
        <v>171</v>
      </c>
    </row>
    <row r="38" spans="1:2" ht="17.25" customHeight="1">
      <c r="A38" s="65">
        <v>46104</v>
      </c>
      <c r="B38" s="67" t="s">
        <v>172</v>
      </c>
    </row>
    <row r="39" spans="1:2" ht="17.25" customHeight="1">
      <c r="A39" s="65">
        <v>46114</v>
      </c>
      <c r="B39" s="67" t="s">
        <v>173</v>
      </c>
    </row>
    <row r="40" spans="1:2" ht="17.25" customHeight="1">
      <c r="A40" s="65">
        <v>46115</v>
      </c>
      <c r="B40" s="67" t="s">
        <v>174</v>
      </c>
    </row>
    <row r="41" spans="1:2" ht="17.25" customHeight="1">
      <c r="A41" s="65">
        <v>46143</v>
      </c>
      <c r="B41" s="67" t="s">
        <v>175</v>
      </c>
    </row>
    <row r="42" spans="1:2" ht="17.25" customHeight="1">
      <c r="A42" s="65">
        <v>46160</v>
      </c>
      <c r="B42" s="67" t="s">
        <v>176</v>
      </c>
    </row>
    <row r="43" spans="1:2" ht="17.25" customHeight="1">
      <c r="A43" s="65">
        <v>46181</v>
      </c>
      <c r="B43" s="67" t="s">
        <v>177</v>
      </c>
    </row>
    <row r="44" spans="1:2" ht="17.25" customHeight="1">
      <c r="A44" s="65">
        <v>46188</v>
      </c>
      <c r="B44" s="67" t="s">
        <v>187</v>
      </c>
    </row>
    <row r="45" spans="1:2" ht="17.25" customHeight="1">
      <c r="A45" s="65">
        <v>46202</v>
      </c>
      <c r="B45" s="67" t="s">
        <v>188</v>
      </c>
    </row>
    <row r="46" spans="1:2" ht="17.25" customHeight="1">
      <c r="A46" s="65">
        <v>46223</v>
      </c>
      <c r="B46" s="67" t="s">
        <v>179</v>
      </c>
    </row>
    <row r="47" spans="1:2" ht="17.25" customHeight="1">
      <c r="A47" s="65">
        <v>46241</v>
      </c>
      <c r="B47" s="67" t="s">
        <v>180</v>
      </c>
    </row>
    <row r="48" spans="1:2" ht="17.25" customHeight="1">
      <c r="A48" s="65">
        <v>46251</v>
      </c>
      <c r="B48" s="67" t="s">
        <v>181</v>
      </c>
    </row>
    <row r="49" spans="1:2" ht="17.25" customHeight="1">
      <c r="A49" s="65">
        <v>46307</v>
      </c>
      <c r="B49" s="67" t="s">
        <v>182</v>
      </c>
    </row>
    <row r="50" spans="1:2" ht="17.25" customHeight="1">
      <c r="A50" s="65">
        <v>46328</v>
      </c>
      <c r="B50" s="67" t="s">
        <v>183</v>
      </c>
    </row>
    <row r="51" spans="1:2" ht="17.25" customHeight="1">
      <c r="A51" s="65">
        <v>46342</v>
      </c>
      <c r="B51" s="67" t="s">
        <v>184</v>
      </c>
    </row>
    <row r="52" spans="1:2" ht="17.25" customHeight="1">
      <c r="A52" s="65">
        <v>46364</v>
      </c>
      <c r="B52" s="67" t="s">
        <v>185</v>
      </c>
    </row>
    <row r="53" spans="1:2" ht="17.25" customHeight="1">
      <c r="A53" s="65">
        <v>46381</v>
      </c>
      <c r="B53" s="67" t="s">
        <v>186</v>
      </c>
    </row>
    <row r="54" spans="1:2" ht="17.25" customHeight="1"/>
    <row r="55" spans="1:2" ht="17.25" customHeight="1"/>
    <row r="56" spans="1:2" ht="17.25" customHeight="1"/>
    <row r="57" spans="1:2" ht="17.25" customHeight="1"/>
    <row r="58" spans="1:2" ht="17.25" customHeight="1"/>
    <row r="59" spans="1:2" ht="17.25" customHeight="1"/>
    <row r="60" spans="1:2" ht="17.25" customHeight="1"/>
    <row r="61" spans="1:2" ht="17.25" customHeight="1"/>
    <row r="62" spans="1:2" ht="17.25" customHeight="1"/>
    <row r="63" spans="1:2" ht="17.25" customHeight="1"/>
    <row r="64" spans="1:2" ht="17.25" customHeight="1"/>
    <row r="65" ht="17.25" customHeight="1"/>
    <row r="66" ht="17.25" customHeight="1"/>
    <row r="67" ht="17.25" customHeight="1"/>
    <row r="68" ht="17.25" customHeight="1"/>
    <row r="69" ht="17.25" customHeight="1"/>
    <row r="70" ht="17.25" customHeight="1"/>
    <row r="71" ht="17.25" customHeight="1"/>
    <row r="72" ht="17.25" customHeight="1"/>
    <row r="73" ht="17.25" customHeight="1"/>
    <row r="74" ht="17.25" customHeight="1"/>
    <row r="75" ht="17.25" customHeight="1"/>
    <row r="76" ht="17.25" customHeight="1"/>
    <row r="77" ht="17.25" customHeight="1"/>
    <row r="78" ht="17.25" customHeight="1"/>
    <row r="79" ht="17.25" customHeight="1"/>
    <row r="80" ht="17.25" customHeight="1"/>
    <row r="81" ht="17.25" customHeight="1"/>
    <row r="82" ht="17.25" customHeight="1"/>
    <row r="83" ht="17.25" customHeight="1"/>
    <row r="84" ht="17.25" customHeight="1"/>
    <row r="85" ht="17.25" customHeight="1"/>
    <row r="86" ht="17.25" customHeight="1"/>
    <row r="87" ht="17.25" customHeight="1"/>
    <row r="88" ht="17.25" customHeight="1"/>
    <row r="89" ht="17.25" customHeight="1"/>
    <row r="90" ht="17.25" customHeight="1"/>
    <row r="91" ht="17.25" customHeight="1"/>
    <row r="92" ht="17.25" customHeight="1"/>
    <row r="93" ht="17.25" customHeight="1"/>
    <row r="94" ht="17.25" customHeight="1"/>
    <row r="95" ht="17.25" customHeight="1"/>
    <row r="96" ht="17.25" customHeight="1"/>
    <row r="97" ht="17.25" customHeight="1"/>
    <row r="98" ht="17.25" customHeight="1"/>
    <row r="99" ht="17.25" customHeight="1"/>
    <row r="100" ht="17.25" customHeight="1"/>
    <row r="101" ht="17.25" customHeight="1"/>
    <row r="102" ht="17.25" customHeight="1"/>
    <row r="103" ht="17.25" customHeight="1"/>
    <row r="104" ht="17.25" customHeight="1"/>
    <row r="105" ht="17.25" customHeight="1"/>
    <row r="106" ht="17.25" customHeight="1"/>
    <row r="107" ht="17.25" customHeight="1"/>
    <row r="108" ht="17.25" customHeight="1"/>
    <row r="109" ht="17.25" customHeight="1"/>
    <row r="110" ht="17.25" customHeight="1"/>
    <row r="111" ht="17.25" customHeight="1"/>
    <row r="112" ht="17.25" customHeight="1"/>
    <row r="113" ht="17.25" customHeight="1"/>
    <row r="114" ht="17.25" customHeight="1"/>
    <row r="115" ht="17.25" customHeight="1"/>
    <row r="116" ht="17.25" customHeight="1"/>
    <row r="117" ht="17.25" customHeight="1"/>
    <row r="118" ht="17.25" customHeight="1"/>
    <row r="119" ht="17.25" customHeight="1"/>
    <row r="120" ht="17.25" customHeight="1"/>
    <row r="121" ht="17.25" customHeight="1"/>
    <row r="122" ht="17.25" customHeight="1"/>
    <row r="123" ht="17.25" customHeight="1"/>
    <row r="124" ht="17.25" customHeight="1"/>
    <row r="125" ht="17.25" customHeight="1"/>
    <row r="126" ht="17.25" customHeight="1"/>
    <row r="127" ht="17.25" customHeight="1"/>
    <row r="128" ht="17.25" customHeight="1"/>
    <row r="129" ht="17.25" customHeight="1"/>
    <row r="130" ht="17.25" customHeight="1"/>
    <row r="131" ht="17.25" customHeight="1"/>
    <row r="132" ht="17.25" customHeight="1"/>
    <row r="133" ht="17.25" customHeight="1"/>
    <row r="134" ht="17.25" customHeight="1"/>
    <row r="135" ht="17.25" customHeight="1"/>
    <row r="136" ht="17.25" customHeight="1"/>
    <row r="137" ht="17.25" customHeight="1"/>
    <row r="138" ht="17.25" customHeight="1"/>
    <row r="139" ht="17.25" customHeight="1"/>
    <row r="140" ht="17.25" customHeight="1"/>
    <row r="141" ht="17.25" customHeight="1"/>
    <row r="142" ht="17.25" customHeight="1"/>
    <row r="143" ht="17.25" customHeight="1"/>
    <row r="144" ht="17.25" customHeight="1"/>
    <row r="145" ht="17.25" customHeight="1"/>
    <row r="146" ht="17.25" customHeight="1"/>
    <row r="147" ht="17.25" customHeight="1"/>
    <row r="148" ht="17.25" customHeight="1"/>
    <row r="149" ht="17.25" customHeight="1"/>
    <row r="150" ht="17.25" customHeight="1"/>
    <row r="151" ht="17.25" customHeight="1"/>
    <row r="152" ht="17.25" customHeight="1"/>
    <row r="153" ht="17.25" customHeight="1"/>
    <row r="154" ht="17.25" customHeight="1"/>
    <row r="155" ht="17.25" customHeight="1"/>
    <row r="156" ht="17.25" customHeight="1"/>
    <row r="157" ht="17.25" customHeight="1"/>
    <row r="158" ht="17.25" customHeight="1"/>
    <row r="159" ht="17.25" customHeight="1"/>
    <row r="160" ht="17.25" customHeight="1"/>
    <row r="161" ht="17.25" customHeight="1"/>
    <row r="162" ht="17.25" customHeight="1"/>
    <row r="163" ht="17.25" customHeight="1"/>
    <row r="164" ht="17.25" customHeight="1"/>
    <row r="165" ht="17.25" customHeight="1"/>
    <row r="166" ht="17.25" customHeight="1"/>
    <row r="167" ht="17.25" customHeight="1"/>
    <row r="168" ht="17.25" customHeight="1"/>
    <row r="169" ht="17.25" customHeight="1"/>
    <row r="170" ht="17.25" customHeight="1"/>
    <row r="171" ht="17.25" customHeight="1"/>
    <row r="172" ht="17.25" customHeight="1"/>
    <row r="173" ht="17.25" customHeight="1"/>
    <row r="174" ht="17.25" customHeight="1"/>
    <row r="175" ht="17.25" customHeight="1"/>
    <row r="176" ht="17.25" customHeight="1"/>
    <row r="177" ht="17.25" customHeight="1"/>
    <row r="178" ht="17.25" customHeight="1"/>
    <row r="179" ht="17.25" customHeight="1"/>
    <row r="180" ht="17.25" customHeight="1"/>
    <row r="181" ht="17.25" customHeight="1"/>
    <row r="182" ht="17.25" customHeight="1"/>
    <row r="183" ht="17.25" customHeight="1"/>
    <row r="184" ht="17.25" customHeight="1"/>
    <row r="185" ht="17.25" customHeight="1"/>
    <row r="186" ht="17.25" customHeight="1"/>
    <row r="187" ht="17.25" customHeight="1"/>
    <row r="188" ht="17.25" customHeight="1"/>
    <row r="189" ht="17.25" customHeight="1"/>
    <row r="190" ht="17.25" customHeight="1"/>
    <row r="191" ht="17.25" customHeight="1"/>
    <row r="192" ht="17.25" customHeight="1"/>
    <row r="193" ht="17.25" customHeight="1"/>
    <row r="194" ht="17.25" customHeight="1"/>
    <row r="195" ht="17.25" customHeight="1"/>
    <row r="196" ht="17.25" customHeight="1"/>
    <row r="197" ht="17.25" customHeight="1"/>
    <row r="198" ht="17.25" customHeight="1"/>
    <row r="199" ht="17.25" customHeight="1"/>
    <row r="200" ht="17.25" customHeight="1"/>
    <row r="201" ht="17.25" customHeight="1"/>
    <row r="202" ht="17.25" customHeight="1"/>
    <row r="203" ht="17.25" customHeight="1"/>
    <row r="204" ht="17.25" customHeight="1"/>
    <row r="205" ht="17.25" customHeight="1"/>
    <row r="206" ht="17.25" customHeight="1"/>
    <row r="207" ht="17.25" customHeight="1"/>
    <row r="208" ht="17.25" customHeight="1"/>
    <row r="209" ht="17.25" customHeight="1"/>
    <row r="210" ht="17.25" customHeight="1"/>
    <row r="211" ht="17.25" customHeight="1"/>
    <row r="212" ht="17.25" customHeight="1"/>
    <row r="213" ht="17.25" customHeight="1"/>
    <row r="214" ht="17.25" customHeight="1"/>
    <row r="215" ht="17.25" customHeight="1"/>
    <row r="216" ht="17.25" customHeight="1"/>
    <row r="217" ht="17.25" customHeight="1"/>
    <row r="218" ht="17.25" customHeight="1"/>
    <row r="219" ht="17.25" customHeight="1"/>
    <row r="220" ht="17.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1000"/>
  <sheetViews>
    <sheetView workbookViewId="0">
      <pane xSplit="1" ySplit="3" topLeftCell="B4" activePane="bottomRight" state="frozen"/>
      <selection pane="topRight" activeCell="B1" sqref="B1"/>
      <selection pane="bottomLeft" activeCell="A4" sqref="A4"/>
      <selection pane="bottomRight" activeCell="B4" sqref="B4"/>
    </sheetView>
  </sheetViews>
  <sheetFormatPr baseColWidth="10" defaultColWidth="11.21875" defaultRowHeight="15" customHeight="1"/>
  <cols>
    <col min="1" max="1" width="18" customWidth="1"/>
    <col min="2" max="10" width="10.5546875" customWidth="1"/>
    <col min="11" max="12" width="13.5546875" customWidth="1"/>
    <col min="13" max="26" width="10.5546875" customWidth="1"/>
  </cols>
  <sheetData>
    <row r="1" spans="1:97" ht="15.75">
      <c r="A1" s="68" t="s">
        <v>189</v>
      </c>
      <c r="B1" s="69"/>
      <c r="C1" s="69"/>
      <c r="D1" s="69"/>
      <c r="E1" s="69"/>
      <c r="F1" s="69"/>
      <c r="G1" s="69"/>
      <c r="H1" s="69"/>
      <c r="I1" s="69"/>
      <c r="J1" s="69"/>
      <c r="K1" s="69"/>
      <c r="L1" s="69"/>
      <c r="M1" s="69"/>
      <c r="N1" s="69"/>
      <c r="O1" s="69"/>
      <c r="P1" s="69"/>
      <c r="Q1" s="69"/>
      <c r="R1" s="69"/>
      <c r="S1" s="69"/>
      <c r="T1" s="69"/>
      <c r="U1" s="69"/>
      <c r="V1" s="69"/>
      <c r="W1" s="69"/>
      <c r="X1" s="69"/>
      <c r="Y1" s="69"/>
      <c r="Z1" s="69"/>
    </row>
    <row r="2" spans="1:97">
      <c r="A2" s="69"/>
      <c r="B2" s="69"/>
      <c r="C2" s="69"/>
      <c r="D2" s="69"/>
      <c r="E2" s="69"/>
      <c r="F2" s="69"/>
      <c r="G2" s="69"/>
      <c r="H2" s="69"/>
      <c r="I2" s="69"/>
      <c r="J2" s="69"/>
      <c r="K2" s="69"/>
      <c r="L2" s="69"/>
      <c r="M2" s="69"/>
      <c r="N2" s="69"/>
      <c r="O2" s="69"/>
      <c r="P2" s="69"/>
      <c r="Q2" s="69"/>
      <c r="R2" s="69"/>
      <c r="S2" s="69"/>
      <c r="T2" s="69"/>
      <c r="U2" s="69"/>
      <c r="V2" s="69"/>
      <c r="W2" s="69"/>
      <c r="X2" s="69"/>
      <c r="Y2" s="69"/>
      <c r="Z2" s="69"/>
    </row>
    <row r="3" spans="1:97" ht="32.25" customHeight="1">
      <c r="A3" s="70" t="s">
        <v>190</v>
      </c>
      <c r="B3" s="71">
        <v>45596</v>
      </c>
      <c r="C3" s="71">
        <v>45597</v>
      </c>
      <c r="D3" s="71">
        <v>45601</v>
      </c>
      <c r="E3" s="71">
        <v>45602</v>
      </c>
      <c r="F3" s="71">
        <v>45603</v>
      </c>
      <c r="G3" s="71">
        <v>45604</v>
      </c>
      <c r="H3" s="71">
        <v>45608</v>
      </c>
      <c r="I3" s="71">
        <v>45609</v>
      </c>
      <c r="J3" s="71">
        <v>45610</v>
      </c>
      <c r="K3" s="71">
        <v>45611</v>
      </c>
      <c r="L3" s="71">
        <v>45614</v>
      </c>
      <c r="M3" s="71">
        <v>45615</v>
      </c>
      <c r="N3" s="71">
        <v>45616</v>
      </c>
      <c r="O3" s="71">
        <v>45617</v>
      </c>
      <c r="P3" s="71">
        <v>45618</v>
      </c>
      <c r="Q3" s="72">
        <v>45621</v>
      </c>
      <c r="R3" s="72">
        <v>45622</v>
      </c>
      <c r="S3" s="72">
        <v>45623</v>
      </c>
      <c r="T3" s="72">
        <v>45624</v>
      </c>
      <c r="U3" s="72">
        <v>45625</v>
      </c>
      <c r="V3" s="72">
        <v>45628</v>
      </c>
      <c r="W3" s="72">
        <v>45629</v>
      </c>
      <c r="X3" s="72">
        <v>45630</v>
      </c>
      <c r="Y3" s="72">
        <v>45631</v>
      </c>
      <c r="Z3" s="72">
        <v>45632</v>
      </c>
      <c r="AA3" s="72">
        <v>45635</v>
      </c>
      <c r="AB3" s="72">
        <v>45636</v>
      </c>
      <c r="AC3" s="72">
        <v>45637</v>
      </c>
      <c r="AD3" s="72">
        <v>45638</v>
      </c>
      <c r="AE3" s="73">
        <v>45639</v>
      </c>
      <c r="AF3" s="71">
        <v>45642</v>
      </c>
      <c r="AG3" s="71">
        <v>45643</v>
      </c>
      <c r="AH3" s="71">
        <v>45644</v>
      </c>
      <c r="AI3" s="71">
        <v>45645</v>
      </c>
      <c r="AJ3" s="71">
        <v>45646</v>
      </c>
      <c r="AK3" s="71">
        <v>45649</v>
      </c>
      <c r="AL3" s="71">
        <v>45650</v>
      </c>
      <c r="AM3" s="71">
        <v>45652</v>
      </c>
      <c r="AN3" s="71">
        <v>45653</v>
      </c>
      <c r="AO3" s="71">
        <v>45656</v>
      </c>
      <c r="AP3" s="71">
        <v>45656</v>
      </c>
      <c r="AQ3" s="71">
        <v>45664</v>
      </c>
      <c r="AR3" s="71">
        <v>45665</v>
      </c>
      <c r="AS3" s="71">
        <v>45666</v>
      </c>
      <c r="AT3" s="71">
        <v>45667</v>
      </c>
      <c r="AU3" s="71">
        <v>45670</v>
      </c>
      <c r="AV3" s="71">
        <v>45671</v>
      </c>
      <c r="AW3" s="71">
        <v>45672</v>
      </c>
      <c r="AX3" s="71">
        <v>45673</v>
      </c>
      <c r="AY3" s="71">
        <v>45674</v>
      </c>
      <c r="AZ3" s="71">
        <v>45677</v>
      </c>
      <c r="BA3" s="71">
        <v>45678</v>
      </c>
      <c r="BB3" s="71">
        <v>45679</v>
      </c>
      <c r="BC3" s="71">
        <v>45680</v>
      </c>
      <c r="BD3" s="71">
        <v>45681</v>
      </c>
      <c r="BE3" s="71">
        <v>45684</v>
      </c>
      <c r="BF3" s="71">
        <v>45685</v>
      </c>
      <c r="BG3" s="71">
        <v>45686</v>
      </c>
      <c r="BH3" s="71">
        <v>45687</v>
      </c>
      <c r="BI3" s="71">
        <v>45688</v>
      </c>
      <c r="BJ3" s="72">
        <v>45691</v>
      </c>
      <c r="BK3" s="72">
        <v>45692</v>
      </c>
      <c r="BL3" s="72">
        <v>45693</v>
      </c>
      <c r="BM3" s="72">
        <v>45694</v>
      </c>
      <c r="BN3" s="72">
        <v>45695</v>
      </c>
      <c r="BO3" s="72">
        <v>45698</v>
      </c>
      <c r="BP3" s="72">
        <v>45699</v>
      </c>
      <c r="BQ3" s="72">
        <v>45700</v>
      </c>
      <c r="BR3" s="72">
        <v>45701</v>
      </c>
      <c r="BS3" s="72">
        <v>45702</v>
      </c>
      <c r="BT3" s="72">
        <v>45705</v>
      </c>
      <c r="BU3" s="72">
        <v>45706</v>
      </c>
      <c r="BV3" s="72">
        <v>45707</v>
      </c>
      <c r="BW3" s="72">
        <v>45708</v>
      </c>
      <c r="BX3" s="72">
        <v>45709</v>
      </c>
      <c r="BY3" s="72">
        <v>45712</v>
      </c>
      <c r="BZ3" s="72">
        <v>45713</v>
      </c>
      <c r="CA3" s="72">
        <v>45714</v>
      </c>
      <c r="CB3" s="72">
        <v>45715</v>
      </c>
      <c r="CC3" s="72">
        <v>45716</v>
      </c>
      <c r="CD3" s="72">
        <v>45719</v>
      </c>
      <c r="CE3" s="72">
        <v>45720</v>
      </c>
      <c r="CF3" s="72">
        <v>45721</v>
      </c>
      <c r="CG3" s="72">
        <v>45722</v>
      </c>
      <c r="CH3" s="72">
        <v>45723</v>
      </c>
      <c r="CI3" s="72">
        <v>45726</v>
      </c>
      <c r="CJ3" s="72">
        <v>45727</v>
      </c>
      <c r="CK3" s="72">
        <v>45728</v>
      </c>
      <c r="CL3" s="72">
        <v>45729</v>
      </c>
      <c r="CM3" s="72">
        <v>45730</v>
      </c>
      <c r="CN3" s="72">
        <v>45733</v>
      </c>
      <c r="CO3" s="72">
        <v>45734</v>
      </c>
      <c r="CP3" s="72">
        <v>45735</v>
      </c>
      <c r="CQ3" s="72">
        <v>45736</v>
      </c>
      <c r="CR3" s="72">
        <v>45737</v>
      </c>
      <c r="CS3" s="72">
        <v>45741</v>
      </c>
    </row>
    <row r="4" spans="1:97" ht="30.75" customHeight="1">
      <c r="A4" s="74" t="s">
        <v>191</v>
      </c>
      <c r="B4" s="75" t="s">
        <v>192</v>
      </c>
      <c r="C4" s="76" t="s">
        <v>193</v>
      </c>
      <c r="D4" s="77" t="s">
        <v>192</v>
      </c>
      <c r="E4" s="77" t="s">
        <v>192</v>
      </c>
      <c r="F4" s="77" t="s">
        <v>192</v>
      </c>
      <c r="G4" s="77" t="s">
        <v>192</v>
      </c>
      <c r="H4" s="77" t="s">
        <v>192</v>
      </c>
      <c r="I4" s="77" t="s">
        <v>192</v>
      </c>
      <c r="J4" s="77" t="s">
        <v>192</v>
      </c>
      <c r="K4" s="77" t="s">
        <v>192</v>
      </c>
      <c r="L4" s="77" t="s">
        <v>192</v>
      </c>
      <c r="M4" s="77" t="s">
        <v>192</v>
      </c>
      <c r="N4" s="77" t="s">
        <v>192</v>
      </c>
      <c r="O4" s="77" t="s">
        <v>194</v>
      </c>
      <c r="P4" s="78" t="s">
        <v>192</v>
      </c>
      <c r="Q4" s="77" t="s">
        <v>192</v>
      </c>
      <c r="R4" s="77" t="s">
        <v>192</v>
      </c>
      <c r="S4" s="77" t="s">
        <v>192</v>
      </c>
      <c r="T4" s="77" t="s">
        <v>192</v>
      </c>
      <c r="U4" s="78" t="s">
        <v>195</v>
      </c>
      <c r="V4" s="77" t="s">
        <v>192</v>
      </c>
      <c r="W4" s="77" t="s">
        <v>192</v>
      </c>
      <c r="X4" s="77" t="s">
        <v>192</v>
      </c>
      <c r="Y4" s="77" t="s">
        <v>192</v>
      </c>
      <c r="Z4" s="77" t="s">
        <v>192</v>
      </c>
      <c r="AA4" s="77" t="s">
        <v>192</v>
      </c>
      <c r="AB4" s="77" t="s">
        <v>192</v>
      </c>
      <c r="AC4" s="77" t="s">
        <v>192</v>
      </c>
      <c r="AD4" s="77" t="s">
        <v>192</v>
      </c>
      <c r="AE4" s="103" t="s">
        <v>196</v>
      </c>
      <c r="AF4" s="77" t="s">
        <v>192</v>
      </c>
      <c r="AG4" s="77" t="s">
        <v>192</v>
      </c>
      <c r="AH4" s="77" t="s">
        <v>192</v>
      </c>
      <c r="AI4" s="77" t="s">
        <v>192</v>
      </c>
      <c r="AJ4" s="77" t="s">
        <v>192</v>
      </c>
      <c r="AK4" s="77" t="s">
        <v>192</v>
      </c>
      <c r="AL4" s="103" t="s">
        <v>197</v>
      </c>
      <c r="AM4" s="77" t="s">
        <v>195</v>
      </c>
      <c r="AN4" s="77" t="s">
        <v>195</v>
      </c>
      <c r="AO4" s="77" t="s">
        <v>192</v>
      </c>
      <c r="AP4" s="103" t="s">
        <v>198</v>
      </c>
      <c r="AQ4" s="77" t="s">
        <v>192</v>
      </c>
      <c r="AR4" s="77" t="s">
        <v>192</v>
      </c>
      <c r="AS4" s="103" t="s">
        <v>198</v>
      </c>
      <c r="AT4" s="79" t="s">
        <v>192</v>
      </c>
      <c r="AU4" s="77" t="s">
        <v>192</v>
      </c>
      <c r="AV4" s="77" t="s">
        <v>192</v>
      </c>
      <c r="AW4" s="77" t="s">
        <v>192</v>
      </c>
      <c r="AX4" s="77" t="s">
        <v>192</v>
      </c>
      <c r="AY4" s="103" t="s">
        <v>198</v>
      </c>
      <c r="AZ4" s="77" t="s">
        <v>192</v>
      </c>
      <c r="BA4" s="77" t="s">
        <v>192</v>
      </c>
      <c r="BB4" s="77" t="s">
        <v>192</v>
      </c>
      <c r="BC4" s="77" t="s">
        <v>192</v>
      </c>
      <c r="BD4" s="77" t="s">
        <v>192</v>
      </c>
      <c r="BE4" s="77" t="s">
        <v>192</v>
      </c>
      <c r="BF4" s="77" t="s">
        <v>192</v>
      </c>
      <c r="BG4" s="77" t="s">
        <v>192</v>
      </c>
      <c r="BH4" s="77" t="s">
        <v>192</v>
      </c>
      <c r="BI4" s="78" t="s">
        <v>192</v>
      </c>
      <c r="BJ4" s="103" t="s">
        <v>198</v>
      </c>
      <c r="BK4" s="78" t="s">
        <v>199</v>
      </c>
      <c r="BL4" s="78" t="s">
        <v>199</v>
      </c>
      <c r="BM4" s="78" t="s">
        <v>199</v>
      </c>
      <c r="BN4" s="78" t="s">
        <v>199</v>
      </c>
      <c r="BO4" s="78" t="s">
        <v>199</v>
      </c>
      <c r="BP4" s="78" t="s">
        <v>199</v>
      </c>
      <c r="BQ4" s="78" t="s">
        <v>199</v>
      </c>
      <c r="BR4" s="77" t="s">
        <v>192</v>
      </c>
      <c r="BS4" s="77" t="s">
        <v>192</v>
      </c>
      <c r="BT4" s="77" t="s">
        <v>192</v>
      </c>
      <c r="BU4" s="77" t="s">
        <v>192</v>
      </c>
      <c r="BV4" s="77" t="s">
        <v>192</v>
      </c>
      <c r="BW4" s="77" t="s">
        <v>192</v>
      </c>
      <c r="BX4" s="77" t="s">
        <v>192</v>
      </c>
      <c r="BY4" s="77" t="s">
        <v>192</v>
      </c>
      <c r="BZ4" s="77" t="s">
        <v>192</v>
      </c>
      <c r="CA4" s="77" t="s">
        <v>192</v>
      </c>
      <c r="CB4" s="77" t="s">
        <v>192</v>
      </c>
      <c r="CC4" s="77" t="s">
        <v>192</v>
      </c>
      <c r="CD4" s="77" t="s">
        <v>192</v>
      </c>
      <c r="CE4" s="77" t="s">
        <v>192</v>
      </c>
      <c r="CF4" s="77" t="s">
        <v>192</v>
      </c>
      <c r="CG4" s="77"/>
      <c r="CH4" s="77"/>
      <c r="CI4" s="103" t="s">
        <v>200</v>
      </c>
      <c r="CJ4" s="77"/>
      <c r="CK4" s="77"/>
      <c r="CL4" s="77"/>
      <c r="CM4" s="77"/>
      <c r="CN4" s="77"/>
      <c r="CO4" s="77"/>
      <c r="CP4" s="77"/>
      <c r="CQ4" s="77"/>
      <c r="CR4" s="77"/>
      <c r="CS4" s="77" t="s">
        <v>192</v>
      </c>
    </row>
    <row r="5" spans="1:97" ht="15.75" customHeight="1">
      <c r="A5" s="74" t="s">
        <v>201</v>
      </c>
      <c r="B5" s="75" t="s">
        <v>192</v>
      </c>
      <c r="C5" s="77" t="s">
        <v>192</v>
      </c>
      <c r="D5" s="77" t="s">
        <v>192</v>
      </c>
      <c r="E5" s="77" t="s">
        <v>192</v>
      </c>
      <c r="F5" s="77" t="s">
        <v>192</v>
      </c>
      <c r="G5" s="77" t="s">
        <v>192</v>
      </c>
      <c r="H5" s="77" t="s">
        <v>192</v>
      </c>
      <c r="I5" s="77" t="s">
        <v>192</v>
      </c>
      <c r="J5" s="77" t="s">
        <v>192</v>
      </c>
      <c r="K5" s="77" t="s">
        <v>192</v>
      </c>
      <c r="L5" s="77" t="s">
        <v>199</v>
      </c>
      <c r="M5" s="77" t="s">
        <v>199</v>
      </c>
      <c r="N5" s="77" t="s">
        <v>199</v>
      </c>
      <c r="O5" s="77" t="s">
        <v>199</v>
      </c>
      <c r="P5" s="78" t="s">
        <v>199</v>
      </c>
      <c r="Q5" s="77" t="s">
        <v>192</v>
      </c>
      <c r="R5" s="77" t="s">
        <v>192</v>
      </c>
      <c r="S5" s="77" t="s">
        <v>192</v>
      </c>
      <c r="T5" s="77" t="s">
        <v>192</v>
      </c>
      <c r="U5" s="78" t="s">
        <v>192</v>
      </c>
      <c r="V5" s="77" t="s">
        <v>192</v>
      </c>
      <c r="W5" s="77" t="s">
        <v>192</v>
      </c>
      <c r="X5" s="77" t="s">
        <v>192</v>
      </c>
      <c r="Y5" s="77" t="s">
        <v>192</v>
      </c>
      <c r="Z5" s="77" t="s">
        <v>192</v>
      </c>
      <c r="AA5" s="77" t="s">
        <v>192</v>
      </c>
      <c r="AB5" s="77" t="s">
        <v>192</v>
      </c>
      <c r="AC5" s="77" t="s">
        <v>192</v>
      </c>
      <c r="AD5" s="77" t="s">
        <v>192</v>
      </c>
      <c r="AE5" s="104"/>
      <c r="AF5" s="77" t="s">
        <v>192</v>
      </c>
      <c r="AG5" s="77" t="s">
        <v>192</v>
      </c>
      <c r="AH5" s="77" t="s">
        <v>192</v>
      </c>
      <c r="AI5" s="77" t="s">
        <v>192</v>
      </c>
      <c r="AJ5" s="77" t="s">
        <v>192</v>
      </c>
      <c r="AK5" s="77" t="s">
        <v>192</v>
      </c>
      <c r="AL5" s="104"/>
      <c r="AM5" s="77" t="s">
        <v>192</v>
      </c>
      <c r="AN5" s="77" t="s">
        <v>192</v>
      </c>
      <c r="AO5" s="77" t="s">
        <v>192</v>
      </c>
      <c r="AP5" s="104"/>
      <c r="AQ5" s="77" t="s">
        <v>199</v>
      </c>
      <c r="AR5" s="77" t="s">
        <v>199</v>
      </c>
      <c r="AS5" s="104"/>
      <c r="AT5" s="77" t="s">
        <v>199</v>
      </c>
      <c r="AU5" s="77" t="s">
        <v>199</v>
      </c>
      <c r="AV5" s="77" t="s">
        <v>199</v>
      </c>
      <c r="AW5" s="77" t="s">
        <v>199</v>
      </c>
      <c r="AX5" s="77" t="s">
        <v>199</v>
      </c>
      <c r="AY5" s="104"/>
      <c r="AZ5" s="77" t="s">
        <v>199</v>
      </c>
      <c r="BA5" s="77" t="s">
        <v>192</v>
      </c>
      <c r="BB5" s="77" t="s">
        <v>192</v>
      </c>
      <c r="BC5" s="77" t="s">
        <v>192</v>
      </c>
      <c r="BD5" s="77" t="s">
        <v>192</v>
      </c>
      <c r="BE5" s="77" t="s">
        <v>192</v>
      </c>
      <c r="BF5" s="77" t="s">
        <v>192</v>
      </c>
      <c r="BG5" s="77" t="s">
        <v>192</v>
      </c>
      <c r="BH5" s="77" t="s">
        <v>192</v>
      </c>
      <c r="BI5" s="78" t="s">
        <v>192</v>
      </c>
      <c r="BJ5" s="104"/>
      <c r="BK5" s="78" t="s">
        <v>192</v>
      </c>
      <c r="BL5" s="78" t="s">
        <v>192</v>
      </c>
      <c r="BM5" s="77" t="s">
        <v>192</v>
      </c>
      <c r="BN5" s="78" t="s">
        <v>192</v>
      </c>
      <c r="BO5" s="77" t="s">
        <v>192</v>
      </c>
      <c r="BP5" s="77" t="s">
        <v>192</v>
      </c>
      <c r="BQ5" s="77" t="s">
        <v>192</v>
      </c>
      <c r="BR5" s="77" t="s">
        <v>192</v>
      </c>
      <c r="BS5" s="77" t="s">
        <v>192</v>
      </c>
      <c r="BT5" s="77" t="s">
        <v>192</v>
      </c>
      <c r="BU5" s="77" t="s">
        <v>192</v>
      </c>
      <c r="BV5" s="77" t="s">
        <v>192</v>
      </c>
      <c r="BW5" s="77" t="s">
        <v>192</v>
      </c>
      <c r="BX5" s="77" t="s">
        <v>192</v>
      </c>
      <c r="BY5" s="77" t="s">
        <v>192</v>
      </c>
      <c r="BZ5" s="77" t="s">
        <v>192</v>
      </c>
      <c r="CA5" s="77" t="s">
        <v>192</v>
      </c>
      <c r="CB5" s="77" t="s">
        <v>192</v>
      </c>
      <c r="CC5" s="77" t="s">
        <v>192</v>
      </c>
      <c r="CD5" s="77" t="s">
        <v>192</v>
      </c>
      <c r="CE5" s="77" t="s">
        <v>192</v>
      </c>
      <c r="CF5" s="77" t="s">
        <v>192</v>
      </c>
      <c r="CG5" s="77"/>
      <c r="CH5" s="77"/>
      <c r="CI5" s="104"/>
      <c r="CJ5" s="77"/>
      <c r="CK5" s="77"/>
      <c r="CL5" s="77"/>
      <c r="CM5" s="77"/>
      <c r="CN5" s="77"/>
      <c r="CO5" s="77"/>
      <c r="CP5" s="77"/>
      <c r="CQ5" s="77"/>
      <c r="CR5" s="77"/>
      <c r="CS5" s="77" t="s">
        <v>192</v>
      </c>
    </row>
    <row r="6" spans="1:97" ht="15.75">
      <c r="A6" s="74" t="s">
        <v>202</v>
      </c>
      <c r="B6" s="75" t="s">
        <v>192</v>
      </c>
      <c r="C6" s="77" t="s">
        <v>192</v>
      </c>
      <c r="D6" s="77" t="s">
        <v>192</v>
      </c>
      <c r="E6" s="77" t="s">
        <v>192</v>
      </c>
      <c r="F6" s="77" t="s">
        <v>192</v>
      </c>
      <c r="G6" s="77" t="s">
        <v>192</v>
      </c>
      <c r="H6" s="77" t="s">
        <v>192</v>
      </c>
      <c r="I6" s="77" t="s">
        <v>192</v>
      </c>
      <c r="J6" s="77" t="s">
        <v>192</v>
      </c>
      <c r="K6" s="80" t="s">
        <v>203</v>
      </c>
      <c r="L6" s="77" t="s">
        <v>192</v>
      </c>
      <c r="M6" s="77" t="s">
        <v>192</v>
      </c>
      <c r="N6" s="77" t="s">
        <v>192</v>
      </c>
      <c r="O6" s="77" t="s">
        <v>194</v>
      </c>
      <c r="P6" s="78" t="s">
        <v>192</v>
      </c>
      <c r="Q6" s="77" t="s">
        <v>192</v>
      </c>
      <c r="R6" s="77" t="s">
        <v>192</v>
      </c>
      <c r="S6" s="77" t="s">
        <v>192</v>
      </c>
      <c r="T6" s="77" t="s">
        <v>192</v>
      </c>
      <c r="U6" s="78" t="s">
        <v>192</v>
      </c>
      <c r="V6" s="77" t="s">
        <v>192</v>
      </c>
      <c r="W6" s="77" t="s">
        <v>192</v>
      </c>
      <c r="X6" s="77" t="s">
        <v>192</v>
      </c>
      <c r="Y6" s="77" t="s">
        <v>192</v>
      </c>
      <c r="Z6" s="77" t="s">
        <v>192</v>
      </c>
      <c r="AA6" s="77" t="s">
        <v>192</v>
      </c>
      <c r="AB6" s="77" t="s">
        <v>192</v>
      </c>
      <c r="AC6" s="77" t="s">
        <v>192</v>
      </c>
      <c r="AD6" s="77" t="s">
        <v>192</v>
      </c>
      <c r="AE6" s="104"/>
      <c r="AF6" s="77" t="s">
        <v>192</v>
      </c>
      <c r="AG6" s="77" t="s">
        <v>192</v>
      </c>
      <c r="AH6" s="77" t="s">
        <v>192</v>
      </c>
      <c r="AI6" s="77" t="s">
        <v>192</v>
      </c>
      <c r="AJ6" s="77" t="s">
        <v>192</v>
      </c>
      <c r="AK6" s="77" t="s">
        <v>192</v>
      </c>
      <c r="AL6" s="104"/>
      <c r="AM6" s="77" t="s">
        <v>192</v>
      </c>
      <c r="AN6" s="77" t="s">
        <v>192</v>
      </c>
      <c r="AO6" s="77" t="s">
        <v>192</v>
      </c>
      <c r="AP6" s="104"/>
      <c r="AQ6" s="77" t="s">
        <v>192</v>
      </c>
      <c r="AR6" s="77" t="s">
        <v>192</v>
      </c>
      <c r="AS6" s="104"/>
      <c r="AT6" s="77" t="s">
        <v>192</v>
      </c>
      <c r="AU6" s="77" t="s">
        <v>192</v>
      </c>
      <c r="AV6" s="77" t="s">
        <v>192</v>
      </c>
      <c r="AW6" s="77" t="s">
        <v>192</v>
      </c>
      <c r="AX6" s="77" t="s">
        <v>192</v>
      </c>
      <c r="AY6" s="104"/>
      <c r="AZ6" s="77" t="s">
        <v>192</v>
      </c>
      <c r="BA6" s="77" t="s">
        <v>192</v>
      </c>
      <c r="BB6" s="77" t="s">
        <v>192</v>
      </c>
      <c r="BC6" s="77" t="s">
        <v>192</v>
      </c>
      <c r="BD6" s="77" t="s">
        <v>192</v>
      </c>
      <c r="BE6" s="77" t="s">
        <v>192</v>
      </c>
      <c r="BF6" s="77" t="s">
        <v>192</v>
      </c>
      <c r="BG6" s="77" t="s">
        <v>192</v>
      </c>
      <c r="BH6" s="77" t="s">
        <v>192</v>
      </c>
      <c r="BI6" s="78" t="s">
        <v>192</v>
      </c>
      <c r="BJ6" s="104"/>
      <c r="BK6" s="78" t="s">
        <v>192</v>
      </c>
      <c r="BL6" s="78" t="s">
        <v>192</v>
      </c>
      <c r="BM6" s="77" t="s">
        <v>204</v>
      </c>
      <c r="BN6" s="78" t="s">
        <v>192</v>
      </c>
      <c r="BO6" s="77" t="s">
        <v>192</v>
      </c>
      <c r="BP6" s="77" t="s">
        <v>192</v>
      </c>
      <c r="BQ6" s="77" t="s">
        <v>192</v>
      </c>
      <c r="BR6" s="77" t="s">
        <v>192</v>
      </c>
      <c r="BS6" s="77" t="s">
        <v>192</v>
      </c>
      <c r="BT6" s="77" t="s">
        <v>192</v>
      </c>
      <c r="BU6" s="77" t="s">
        <v>192</v>
      </c>
      <c r="BV6" s="77" t="s">
        <v>192</v>
      </c>
      <c r="BW6" s="77" t="s">
        <v>192</v>
      </c>
      <c r="BX6" s="77" t="s">
        <v>192</v>
      </c>
      <c r="BY6" s="77" t="s">
        <v>192</v>
      </c>
      <c r="BZ6" s="77" t="s">
        <v>192</v>
      </c>
      <c r="CA6" s="77" t="s">
        <v>192</v>
      </c>
      <c r="CB6" s="77" t="s">
        <v>192</v>
      </c>
      <c r="CC6" s="77" t="s">
        <v>192</v>
      </c>
      <c r="CD6" s="77" t="s">
        <v>192</v>
      </c>
      <c r="CE6" s="77" t="s">
        <v>192</v>
      </c>
      <c r="CF6" s="77" t="s">
        <v>192</v>
      </c>
      <c r="CG6" s="77"/>
      <c r="CH6" s="77"/>
      <c r="CI6" s="104"/>
      <c r="CJ6" s="77"/>
      <c r="CK6" s="77"/>
      <c r="CL6" s="77"/>
      <c r="CM6" s="77"/>
      <c r="CN6" s="77"/>
      <c r="CO6" s="77"/>
      <c r="CP6" s="77"/>
      <c r="CQ6" s="77"/>
      <c r="CR6" s="77"/>
      <c r="CS6" s="77" t="s">
        <v>192</v>
      </c>
    </row>
    <row r="7" spans="1:97" ht="15.75" hidden="1" customHeight="1">
      <c r="A7" s="74" t="s">
        <v>205</v>
      </c>
      <c r="B7" s="75" t="s">
        <v>192</v>
      </c>
      <c r="C7" s="77" t="s">
        <v>192</v>
      </c>
      <c r="D7" s="77" t="s">
        <v>192</v>
      </c>
      <c r="E7" s="77" t="s">
        <v>192</v>
      </c>
      <c r="F7" s="77" t="s">
        <v>192</v>
      </c>
      <c r="G7" s="77" t="s">
        <v>192</v>
      </c>
      <c r="H7" s="77" t="s">
        <v>192</v>
      </c>
      <c r="I7" s="77" t="s">
        <v>192</v>
      </c>
      <c r="J7" s="77" t="s">
        <v>192</v>
      </c>
      <c r="K7" s="77" t="s">
        <v>192</v>
      </c>
      <c r="L7" s="80" t="s">
        <v>203</v>
      </c>
      <c r="M7" s="77" t="s">
        <v>192</v>
      </c>
      <c r="N7" s="77" t="s">
        <v>192</v>
      </c>
      <c r="O7" s="77" t="s">
        <v>194</v>
      </c>
      <c r="P7" s="78" t="s">
        <v>192</v>
      </c>
      <c r="Q7" s="77" t="s">
        <v>192</v>
      </c>
      <c r="R7" s="77" t="s">
        <v>192</v>
      </c>
      <c r="S7" s="77" t="s">
        <v>192</v>
      </c>
      <c r="T7" s="77" t="s">
        <v>192</v>
      </c>
      <c r="U7" s="78" t="s">
        <v>206</v>
      </c>
      <c r="V7" s="77" t="s">
        <v>192</v>
      </c>
      <c r="W7" s="77" t="s">
        <v>192</v>
      </c>
      <c r="X7" s="77" t="s">
        <v>192</v>
      </c>
      <c r="Y7" s="77" t="s">
        <v>192</v>
      </c>
      <c r="Z7" s="77" t="s">
        <v>195</v>
      </c>
      <c r="AA7" s="77" t="s">
        <v>192</v>
      </c>
      <c r="AB7" s="77" t="s">
        <v>192</v>
      </c>
      <c r="AC7" s="77" t="s">
        <v>192</v>
      </c>
      <c r="AD7" s="77" t="s">
        <v>192</v>
      </c>
      <c r="AE7" s="104"/>
      <c r="AF7" s="77" t="s">
        <v>192</v>
      </c>
      <c r="AG7" s="77" t="s">
        <v>192</v>
      </c>
      <c r="AH7" s="77" t="s">
        <v>192</v>
      </c>
      <c r="AI7" s="77" t="s">
        <v>192</v>
      </c>
      <c r="AJ7" s="77" t="s">
        <v>192</v>
      </c>
      <c r="AK7" s="77" t="s">
        <v>192</v>
      </c>
      <c r="AL7" s="104"/>
      <c r="AM7" s="77" t="s">
        <v>192</v>
      </c>
      <c r="AN7" s="77" t="s">
        <v>192</v>
      </c>
      <c r="AO7" s="77" t="s">
        <v>192</v>
      </c>
      <c r="AP7" s="104"/>
      <c r="AQ7" s="77" t="s">
        <v>192</v>
      </c>
      <c r="AR7" s="77" t="s">
        <v>192</v>
      </c>
      <c r="AS7" s="104"/>
      <c r="AT7" s="77" t="s">
        <v>192</v>
      </c>
      <c r="AU7" s="77" t="s">
        <v>195</v>
      </c>
      <c r="AV7" s="77" t="s">
        <v>192</v>
      </c>
      <c r="AW7" s="77" t="s">
        <v>192</v>
      </c>
      <c r="AX7" s="77" t="s">
        <v>192</v>
      </c>
      <c r="AY7" s="104"/>
      <c r="AZ7" s="77" t="s">
        <v>192</v>
      </c>
      <c r="BA7" s="77" t="s">
        <v>192</v>
      </c>
      <c r="BB7" s="77" t="s">
        <v>192</v>
      </c>
      <c r="BC7" s="77" t="s">
        <v>192</v>
      </c>
      <c r="BD7" s="77" t="s">
        <v>192</v>
      </c>
      <c r="BE7" s="77" t="s">
        <v>192</v>
      </c>
      <c r="BF7" s="77" t="s">
        <v>192</v>
      </c>
      <c r="BG7" s="77" t="s">
        <v>192</v>
      </c>
      <c r="BH7" s="77" t="s">
        <v>192</v>
      </c>
      <c r="BI7" s="78" t="s">
        <v>192</v>
      </c>
      <c r="BJ7" s="104"/>
      <c r="BK7" s="78" t="s">
        <v>192</v>
      </c>
      <c r="BL7" s="78" t="s">
        <v>192</v>
      </c>
      <c r="BM7" s="77" t="s">
        <v>192</v>
      </c>
      <c r="BN7" s="78" t="s">
        <v>192</v>
      </c>
      <c r="BO7" s="77" t="s">
        <v>195</v>
      </c>
      <c r="BP7" s="77"/>
      <c r="BQ7" s="77"/>
      <c r="BR7" s="77"/>
      <c r="BS7" s="77"/>
      <c r="BT7" s="77"/>
      <c r="BU7" s="77" t="s">
        <v>192</v>
      </c>
      <c r="BV7" s="77" t="s">
        <v>192</v>
      </c>
      <c r="BW7" s="77" t="s">
        <v>192</v>
      </c>
      <c r="BX7" s="77" t="s">
        <v>192</v>
      </c>
      <c r="BY7" s="77"/>
      <c r="BZ7" s="77"/>
      <c r="CA7" s="77"/>
      <c r="CB7" s="77"/>
      <c r="CC7" s="77"/>
      <c r="CD7" s="77"/>
      <c r="CE7" s="77"/>
      <c r="CF7" s="77"/>
      <c r="CG7" s="77"/>
      <c r="CH7" s="77"/>
      <c r="CI7" s="104"/>
      <c r="CJ7" s="77"/>
      <c r="CK7" s="77"/>
      <c r="CL7" s="77"/>
      <c r="CM7" s="77"/>
      <c r="CN7" s="77"/>
      <c r="CO7" s="77"/>
      <c r="CP7" s="77"/>
      <c r="CQ7" s="77"/>
      <c r="CR7" s="77"/>
      <c r="CS7" s="77"/>
    </row>
    <row r="8" spans="1:97" ht="15.75" hidden="1" customHeight="1">
      <c r="A8" s="74" t="s">
        <v>207</v>
      </c>
      <c r="B8" s="75" t="s">
        <v>192</v>
      </c>
      <c r="C8" s="77" t="s">
        <v>192</v>
      </c>
      <c r="D8" s="77" t="s">
        <v>192</v>
      </c>
      <c r="E8" s="77" t="s">
        <v>192</v>
      </c>
      <c r="F8" s="77" t="s">
        <v>192</v>
      </c>
      <c r="G8" s="77" t="s">
        <v>192</v>
      </c>
      <c r="H8" s="77" t="s">
        <v>192</v>
      </c>
      <c r="I8" s="77" t="s">
        <v>192</v>
      </c>
      <c r="J8" s="77" t="s">
        <v>192</v>
      </c>
      <c r="K8" s="77" t="s">
        <v>192</v>
      </c>
      <c r="L8" s="77" t="s">
        <v>195</v>
      </c>
      <c r="M8" s="77" t="s">
        <v>192</v>
      </c>
      <c r="N8" s="77" t="s">
        <v>192</v>
      </c>
      <c r="O8" s="77" t="s">
        <v>194</v>
      </c>
      <c r="P8" s="78" t="s">
        <v>192</v>
      </c>
      <c r="Q8" s="77" t="s">
        <v>192</v>
      </c>
      <c r="R8" s="77" t="s">
        <v>192</v>
      </c>
      <c r="S8" s="77" t="s">
        <v>192</v>
      </c>
      <c r="T8" s="77" t="s">
        <v>192</v>
      </c>
      <c r="U8" s="78" t="s">
        <v>192</v>
      </c>
      <c r="V8" s="77" t="s">
        <v>192</v>
      </c>
      <c r="W8" s="77" t="s">
        <v>208</v>
      </c>
      <c r="X8" s="77" t="s">
        <v>192</v>
      </c>
      <c r="Y8" s="77" t="s">
        <v>192</v>
      </c>
      <c r="Z8" s="77" t="s">
        <v>192</v>
      </c>
      <c r="AA8" s="77" t="s">
        <v>192</v>
      </c>
      <c r="AB8" s="77" t="s">
        <v>195</v>
      </c>
      <c r="AC8" s="77" t="s">
        <v>192</v>
      </c>
      <c r="AD8" s="77" t="s">
        <v>192</v>
      </c>
      <c r="AE8" s="104"/>
      <c r="AF8" s="77" t="s">
        <v>192</v>
      </c>
      <c r="AG8" s="77" t="s">
        <v>192</v>
      </c>
      <c r="AH8" s="77" t="s">
        <v>192</v>
      </c>
      <c r="AI8" s="77" t="s">
        <v>192</v>
      </c>
      <c r="AJ8" s="77" t="s">
        <v>192</v>
      </c>
      <c r="AK8" s="77" t="s">
        <v>192</v>
      </c>
      <c r="AL8" s="104"/>
      <c r="AM8" s="77" t="s">
        <v>192</v>
      </c>
      <c r="AN8" s="77" t="s">
        <v>195</v>
      </c>
      <c r="AO8" s="77" t="s">
        <v>192</v>
      </c>
      <c r="AP8" s="104"/>
      <c r="AQ8" s="77" t="s">
        <v>192</v>
      </c>
      <c r="AR8" s="77" t="s">
        <v>192</v>
      </c>
      <c r="AS8" s="104"/>
      <c r="AT8" s="77" t="s">
        <v>192</v>
      </c>
      <c r="AU8" s="77" t="s">
        <v>192</v>
      </c>
      <c r="AV8" s="77" t="s">
        <v>192</v>
      </c>
      <c r="AW8" s="77" t="s">
        <v>192</v>
      </c>
      <c r="AX8" s="77" t="s">
        <v>192</v>
      </c>
      <c r="AY8" s="104"/>
      <c r="AZ8" s="77" t="s">
        <v>192</v>
      </c>
      <c r="BA8" s="77" t="s">
        <v>192</v>
      </c>
      <c r="BB8" s="77" t="s">
        <v>192</v>
      </c>
      <c r="BC8" s="77" t="s">
        <v>192</v>
      </c>
      <c r="BD8" s="77" t="s">
        <v>192</v>
      </c>
      <c r="BE8" s="77" t="s">
        <v>192</v>
      </c>
      <c r="BF8" s="77" t="s">
        <v>192</v>
      </c>
      <c r="BG8" s="77" t="s">
        <v>209</v>
      </c>
      <c r="BH8" s="77" t="s">
        <v>192</v>
      </c>
      <c r="BI8" s="78" t="s">
        <v>192</v>
      </c>
      <c r="BJ8" s="104"/>
      <c r="BK8" s="78" t="s">
        <v>192</v>
      </c>
      <c r="BL8" s="78" t="s">
        <v>192</v>
      </c>
      <c r="BM8" s="77" t="s">
        <v>192</v>
      </c>
      <c r="BN8" s="78" t="s">
        <v>192</v>
      </c>
      <c r="BO8" s="77" t="s">
        <v>192</v>
      </c>
      <c r="BP8" s="77" t="s">
        <v>192</v>
      </c>
      <c r="BQ8" s="77" t="s">
        <v>192</v>
      </c>
      <c r="BR8" s="77" t="s">
        <v>192</v>
      </c>
      <c r="BS8" s="77" t="s">
        <v>192</v>
      </c>
      <c r="BT8" s="77" t="s">
        <v>192</v>
      </c>
      <c r="BU8" s="77" t="s">
        <v>192</v>
      </c>
      <c r="BV8" s="77" t="s">
        <v>192</v>
      </c>
      <c r="BW8" s="77" t="s">
        <v>192</v>
      </c>
      <c r="BX8" s="77" t="s">
        <v>210</v>
      </c>
      <c r="BY8" s="77"/>
      <c r="BZ8" s="77"/>
      <c r="CA8" s="77"/>
      <c r="CB8" s="77"/>
      <c r="CC8" s="77"/>
      <c r="CD8" s="77"/>
      <c r="CE8" s="77"/>
      <c r="CF8" s="77"/>
      <c r="CG8" s="77"/>
      <c r="CH8" s="77"/>
      <c r="CI8" s="104"/>
      <c r="CJ8" s="77"/>
      <c r="CK8" s="77"/>
      <c r="CL8" s="77"/>
      <c r="CM8" s="77"/>
      <c r="CN8" s="77"/>
      <c r="CO8" s="77"/>
      <c r="CP8" s="77"/>
      <c r="CQ8" s="77"/>
      <c r="CR8" s="77"/>
      <c r="CS8" s="77"/>
    </row>
    <row r="9" spans="1:97" ht="15.75">
      <c r="A9" s="74" t="s">
        <v>211</v>
      </c>
      <c r="B9" s="75" t="s">
        <v>192</v>
      </c>
      <c r="C9" s="77" t="s">
        <v>192</v>
      </c>
      <c r="D9" s="77" t="s">
        <v>192</v>
      </c>
      <c r="E9" s="77" t="s">
        <v>192</v>
      </c>
      <c r="F9" s="77" t="s">
        <v>192</v>
      </c>
      <c r="G9" s="77" t="s">
        <v>192</v>
      </c>
      <c r="H9" s="77" t="s">
        <v>192</v>
      </c>
      <c r="I9" s="77" t="s">
        <v>192</v>
      </c>
      <c r="J9" s="77" t="s">
        <v>192</v>
      </c>
      <c r="K9" s="77" t="s">
        <v>192</v>
      </c>
      <c r="L9" s="77" t="s">
        <v>192</v>
      </c>
      <c r="M9" s="77" t="s">
        <v>192</v>
      </c>
      <c r="N9" s="77" t="s">
        <v>192</v>
      </c>
      <c r="O9" s="80" t="s">
        <v>203</v>
      </c>
      <c r="P9" s="78" t="s">
        <v>192</v>
      </c>
      <c r="Q9" s="77" t="s">
        <v>192</v>
      </c>
      <c r="R9" s="77" t="s">
        <v>192</v>
      </c>
      <c r="S9" s="77" t="s">
        <v>192</v>
      </c>
      <c r="T9" s="77" t="s">
        <v>192</v>
      </c>
      <c r="U9" s="78" t="s">
        <v>192</v>
      </c>
      <c r="V9" s="77" t="s">
        <v>192</v>
      </c>
      <c r="W9" s="77" t="s">
        <v>192</v>
      </c>
      <c r="X9" s="77" t="s">
        <v>192</v>
      </c>
      <c r="Y9" s="77" t="s">
        <v>192</v>
      </c>
      <c r="Z9" s="77" t="s">
        <v>192</v>
      </c>
      <c r="AA9" s="77" t="s">
        <v>192</v>
      </c>
      <c r="AB9" s="77" t="s">
        <v>192</v>
      </c>
      <c r="AC9" s="77" t="s">
        <v>192</v>
      </c>
      <c r="AD9" s="77" t="s">
        <v>192</v>
      </c>
      <c r="AE9" s="104"/>
      <c r="AF9" s="77" t="s">
        <v>192</v>
      </c>
      <c r="AG9" s="77" t="s">
        <v>192</v>
      </c>
      <c r="AH9" s="77" t="s">
        <v>192</v>
      </c>
      <c r="AI9" s="77" t="s">
        <v>192</v>
      </c>
      <c r="AJ9" s="77" t="s">
        <v>192</v>
      </c>
      <c r="AK9" s="77" t="s">
        <v>192</v>
      </c>
      <c r="AL9" s="104"/>
      <c r="AM9" s="77" t="s">
        <v>192</v>
      </c>
      <c r="AN9" s="77" t="s">
        <v>192</v>
      </c>
      <c r="AO9" s="77" t="s">
        <v>192</v>
      </c>
      <c r="AP9" s="104"/>
      <c r="AQ9" s="77" t="s">
        <v>192</v>
      </c>
      <c r="AR9" s="77" t="s">
        <v>192</v>
      </c>
      <c r="AS9" s="104"/>
      <c r="AT9" s="77" t="s">
        <v>192</v>
      </c>
      <c r="AU9" s="77" t="s">
        <v>192</v>
      </c>
      <c r="AV9" s="77" t="s">
        <v>192</v>
      </c>
      <c r="AW9" s="77" t="s">
        <v>192</v>
      </c>
      <c r="AX9" s="77" t="s">
        <v>192</v>
      </c>
      <c r="AY9" s="104"/>
      <c r="AZ9" s="77" t="s">
        <v>192</v>
      </c>
      <c r="BA9" s="77" t="s">
        <v>192</v>
      </c>
      <c r="BB9" s="77" t="s">
        <v>192</v>
      </c>
      <c r="BC9" s="77" t="s">
        <v>192</v>
      </c>
      <c r="BD9" s="77" t="s">
        <v>192</v>
      </c>
      <c r="BE9" s="77" t="s">
        <v>192</v>
      </c>
      <c r="BF9" s="77" t="s">
        <v>192</v>
      </c>
      <c r="BG9" s="77" t="s">
        <v>192</v>
      </c>
      <c r="BH9" s="77" t="s">
        <v>192</v>
      </c>
      <c r="BI9" s="78" t="s">
        <v>192</v>
      </c>
      <c r="BJ9" s="104"/>
      <c r="BK9" s="78" t="s">
        <v>192</v>
      </c>
      <c r="BL9" s="78" t="s">
        <v>192</v>
      </c>
      <c r="BM9" s="77" t="s">
        <v>192</v>
      </c>
      <c r="BN9" s="78" t="s">
        <v>192</v>
      </c>
      <c r="BO9" s="77" t="s">
        <v>192</v>
      </c>
      <c r="BP9" s="77" t="s">
        <v>192</v>
      </c>
      <c r="BQ9" s="77" t="s">
        <v>192</v>
      </c>
      <c r="BR9" s="77" t="s">
        <v>192</v>
      </c>
      <c r="BS9" s="77" t="s">
        <v>192</v>
      </c>
      <c r="BT9" s="77" t="s">
        <v>192</v>
      </c>
      <c r="BU9" s="77" t="s">
        <v>192</v>
      </c>
      <c r="BV9" s="77" t="s">
        <v>192</v>
      </c>
      <c r="BW9" s="77" t="s">
        <v>192</v>
      </c>
      <c r="BX9" s="77" t="s">
        <v>192</v>
      </c>
      <c r="BY9" s="77" t="s">
        <v>192</v>
      </c>
      <c r="BZ9" s="77" t="s">
        <v>192</v>
      </c>
      <c r="CA9" s="77" t="s">
        <v>192</v>
      </c>
      <c r="CB9" s="77" t="s">
        <v>192</v>
      </c>
      <c r="CC9" s="77" t="s">
        <v>192</v>
      </c>
      <c r="CD9" s="77" t="s">
        <v>192</v>
      </c>
      <c r="CE9" s="77" t="s">
        <v>192</v>
      </c>
      <c r="CF9" s="77" t="s">
        <v>192</v>
      </c>
      <c r="CG9" s="77"/>
      <c r="CH9" s="77"/>
      <c r="CI9" s="104"/>
      <c r="CJ9" s="77"/>
      <c r="CK9" s="77"/>
      <c r="CL9" s="77"/>
      <c r="CM9" s="77"/>
      <c r="CN9" s="77"/>
      <c r="CO9" s="77"/>
      <c r="CP9" s="77"/>
      <c r="CQ9" s="77"/>
      <c r="CR9" s="77"/>
      <c r="CS9" s="77" t="s">
        <v>192</v>
      </c>
    </row>
    <row r="10" spans="1:97" ht="15.75">
      <c r="A10" s="74" t="s">
        <v>212</v>
      </c>
      <c r="B10" s="75" t="s">
        <v>192</v>
      </c>
      <c r="C10" s="77" t="s">
        <v>192</v>
      </c>
      <c r="D10" s="77" t="s">
        <v>192</v>
      </c>
      <c r="E10" s="77" t="s">
        <v>192</v>
      </c>
      <c r="F10" s="77" t="s">
        <v>192</v>
      </c>
      <c r="G10" s="77" t="s">
        <v>192</v>
      </c>
      <c r="H10" s="77" t="s">
        <v>192</v>
      </c>
      <c r="I10" s="77" t="s">
        <v>195</v>
      </c>
      <c r="J10" s="77" t="s">
        <v>192</v>
      </c>
      <c r="K10" s="77" t="s">
        <v>195</v>
      </c>
      <c r="L10" s="77" t="s">
        <v>192</v>
      </c>
      <c r="M10" s="77" t="s">
        <v>192</v>
      </c>
      <c r="N10" s="77" t="s">
        <v>195</v>
      </c>
      <c r="O10" s="77" t="s">
        <v>194</v>
      </c>
      <c r="P10" s="78" t="s">
        <v>195</v>
      </c>
      <c r="Q10" s="77" t="s">
        <v>195</v>
      </c>
      <c r="R10" s="77" t="s">
        <v>192</v>
      </c>
      <c r="S10" s="77" t="s">
        <v>192</v>
      </c>
      <c r="T10" s="77" t="s">
        <v>192</v>
      </c>
      <c r="U10" s="78" t="s">
        <v>195</v>
      </c>
      <c r="V10" s="77" t="s">
        <v>192</v>
      </c>
      <c r="W10" s="77" t="s">
        <v>192</v>
      </c>
      <c r="X10" s="77" t="s">
        <v>192</v>
      </c>
      <c r="Y10" s="77" t="s">
        <v>192</v>
      </c>
      <c r="Z10" s="77" t="s">
        <v>192</v>
      </c>
      <c r="AA10" s="77" t="s">
        <v>192</v>
      </c>
      <c r="AB10" s="77" t="s">
        <v>192</v>
      </c>
      <c r="AC10" s="77" t="s">
        <v>192</v>
      </c>
      <c r="AD10" s="77" t="s">
        <v>192</v>
      </c>
      <c r="AE10" s="104"/>
      <c r="AF10" s="77" t="s">
        <v>192</v>
      </c>
      <c r="AG10" s="77" t="s">
        <v>192</v>
      </c>
      <c r="AH10" s="77" t="s">
        <v>192</v>
      </c>
      <c r="AI10" s="77" t="s">
        <v>192</v>
      </c>
      <c r="AJ10" s="77" t="s">
        <v>192</v>
      </c>
      <c r="AK10" s="77" t="s">
        <v>195</v>
      </c>
      <c r="AL10" s="104"/>
      <c r="AM10" s="77" t="s">
        <v>195</v>
      </c>
      <c r="AN10" s="77" t="s">
        <v>192</v>
      </c>
      <c r="AO10" s="77" t="s">
        <v>192</v>
      </c>
      <c r="AP10" s="104"/>
      <c r="AQ10" s="77" t="s">
        <v>192</v>
      </c>
      <c r="AR10" s="77" t="s">
        <v>192</v>
      </c>
      <c r="AS10" s="104"/>
      <c r="AT10" s="77" t="s">
        <v>192</v>
      </c>
      <c r="AU10" s="77" t="s">
        <v>192</v>
      </c>
      <c r="AV10" s="77" t="s">
        <v>192</v>
      </c>
      <c r="AW10" s="77" t="s">
        <v>192</v>
      </c>
      <c r="AX10" s="77" t="s">
        <v>192</v>
      </c>
      <c r="AY10" s="104"/>
      <c r="AZ10" s="77" t="s">
        <v>192</v>
      </c>
      <c r="BA10" s="77" t="s">
        <v>195</v>
      </c>
      <c r="BB10" s="77" t="s">
        <v>195</v>
      </c>
      <c r="BC10" s="77" t="s">
        <v>195</v>
      </c>
      <c r="BD10" s="77" t="s">
        <v>195</v>
      </c>
      <c r="BE10" s="77" t="s">
        <v>195</v>
      </c>
      <c r="BF10" s="77" t="s">
        <v>192</v>
      </c>
      <c r="BG10" s="77" t="s">
        <v>192</v>
      </c>
      <c r="BH10" s="77" t="s">
        <v>192</v>
      </c>
      <c r="BI10" s="78" t="s">
        <v>192</v>
      </c>
      <c r="BJ10" s="104"/>
      <c r="BK10" s="78" t="s">
        <v>192</v>
      </c>
      <c r="BL10" s="78" t="s">
        <v>192</v>
      </c>
      <c r="BM10" s="77" t="s">
        <v>192</v>
      </c>
      <c r="BN10" s="78" t="s">
        <v>192</v>
      </c>
      <c r="BO10" s="77" t="s">
        <v>192</v>
      </c>
      <c r="BP10" s="77" t="s">
        <v>192</v>
      </c>
      <c r="BQ10" s="77" t="s">
        <v>192</v>
      </c>
      <c r="BR10" s="77" t="s">
        <v>192</v>
      </c>
      <c r="BS10" s="77" t="s">
        <v>192</v>
      </c>
      <c r="BT10" s="77" t="s">
        <v>192</v>
      </c>
      <c r="BU10" s="77" t="s">
        <v>192</v>
      </c>
      <c r="BV10" s="77" t="s">
        <v>192</v>
      </c>
      <c r="BW10" s="77" t="s">
        <v>195</v>
      </c>
      <c r="BX10" s="77" t="s">
        <v>192</v>
      </c>
      <c r="BY10" s="77" t="s">
        <v>192</v>
      </c>
      <c r="BZ10" s="77" t="s">
        <v>192</v>
      </c>
      <c r="CA10" s="77" t="s">
        <v>192</v>
      </c>
      <c r="CB10" s="77" t="s">
        <v>192</v>
      </c>
      <c r="CC10" s="77" t="s">
        <v>192</v>
      </c>
      <c r="CD10" s="77" t="s">
        <v>192</v>
      </c>
      <c r="CE10" s="77" t="s">
        <v>192</v>
      </c>
      <c r="CF10" s="77" t="s">
        <v>192</v>
      </c>
      <c r="CG10" s="77"/>
      <c r="CH10" s="77"/>
      <c r="CI10" s="104"/>
      <c r="CJ10" s="77"/>
      <c r="CK10" s="77"/>
      <c r="CL10" s="77"/>
      <c r="CM10" s="77"/>
      <c r="CN10" s="77"/>
      <c r="CO10" s="77"/>
      <c r="CP10" s="77"/>
      <c r="CQ10" s="77"/>
      <c r="CR10" s="77"/>
      <c r="CS10" s="77" t="s">
        <v>192</v>
      </c>
    </row>
    <row r="11" spans="1:97" ht="15.75">
      <c r="A11" s="74" t="s">
        <v>213</v>
      </c>
      <c r="B11" s="75" t="s">
        <v>192</v>
      </c>
      <c r="C11" s="77" t="s">
        <v>192</v>
      </c>
      <c r="D11" s="77" t="s">
        <v>192</v>
      </c>
      <c r="E11" s="77" t="s">
        <v>192</v>
      </c>
      <c r="F11" s="77" t="s">
        <v>192</v>
      </c>
      <c r="G11" s="77" t="s">
        <v>192</v>
      </c>
      <c r="H11" s="77" t="s">
        <v>192</v>
      </c>
      <c r="I11" s="77" t="s">
        <v>192</v>
      </c>
      <c r="J11" s="77" t="s">
        <v>214</v>
      </c>
      <c r="K11" s="77" t="s">
        <v>195</v>
      </c>
      <c r="L11" s="77" t="s">
        <v>192</v>
      </c>
      <c r="M11" s="77" t="s">
        <v>195</v>
      </c>
      <c r="N11" s="77" t="s">
        <v>192</v>
      </c>
      <c r="O11" s="77" t="s">
        <v>194</v>
      </c>
      <c r="P11" s="78" t="s">
        <v>192</v>
      </c>
      <c r="Q11" s="77" t="s">
        <v>192</v>
      </c>
      <c r="R11" s="77" t="s">
        <v>192</v>
      </c>
      <c r="S11" s="77" t="s">
        <v>195</v>
      </c>
      <c r="T11" s="77" t="s">
        <v>195</v>
      </c>
      <c r="U11" s="78" t="s">
        <v>195</v>
      </c>
      <c r="V11" s="77" t="s">
        <v>192</v>
      </c>
      <c r="W11" s="77" t="s">
        <v>192</v>
      </c>
      <c r="X11" s="77" t="s">
        <v>192</v>
      </c>
      <c r="Y11" s="77" t="s">
        <v>192</v>
      </c>
      <c r="Z11" s="77" t="s">
        <v>192</v>
      </c>
      <c r="AA11" s="77" t="s">
        <v>192</v>
      </c>
      <c r="AB11" s="77" t="s">
        <v>192</v>
      </c>
      <c r="AC11" s="77" t="s">
        <v>192</v>
      </c>
      <c r="AD11" s="77" t="s">
        <v>195</v>
      </c>
      <c r="AE11" s="104"/>
      <c r="AF11" s="77" t="s">
        <v>192</v>
      </c>
      <c r="AG11" s="77" t="s">
        <v>192</v>
      </c>
      <c r="AH11" s="77" t="s">
        <v>192</v>
      </c>
      <c r="AI11" s="77" t="s">
        <v>192</v>
      </c>
      <c r="AJ11" s="77" t="s">
        <v>192</v>
      </c>
      <c r="AK11" s="77" t="s">
        <v>192</v>
      </c>
      <c r="AL11" s="104"/>
      <c r="AM11" s="77" t="s">
        <v>192</v>
      </c>
      <c r="AN11" s="77" t="s">
        <v>192</v>
      </c>
      <c r="AO11" s="77" t="s">
        <v>192</v>
      </c>
      <c r="AP11" s="104"/>
      <c r="AQ11" s="77" t="s">
        <v>192</v>
      </c>
      <c r="AR11" s="77" t="s">
        <v>192</v>
      </c>
      <c r="AS11" s="104"/>
      <c r="AT11" s="77" t="s">
        <v>192</v>
      </c>
      <c r="AU11" s="77" t="s">
        <v>195</v>
      </c>
      <c r="AV11" s="77" t="s">
        <v>195</v>
      </c>
      <c r="AW11" s="77" t="s">
        <v>192</v>
      </c>
      <c r="AX11" s="77" t="s">
        <v>192</v>
      </c>
      <c r="AY11" s="104"/>
      <c r="AZ11" s="77" t="s">
        <v>195</v>
      </c>
      <c r="BA11" s="77" t="s">
        <v>192</v>
      </c>
      <c r="BB11" s="77" t="s">
        <v>192</v>
      </c>
      <c r="BC11" s="77" t="s">
        <v>192</v>
      </c>
      <c r="BD11" s="77" t="s">
        <v>192</v>
      </c>
      <c r="BE11" s="77" t="s">
        <v>195</v>
      </c>
      <c r="BF11" s="77" t="s">
        <v>195</v>
      </c>
      <c r="BG11" s="77" t="s">
        <v>195</v>
      </c>
      <c r="BH11" s="77" t="s">
        <v>192</v>
      </c>
      <c r="BI11" s="78" t="s">
        <v>192</v>
      </c>
      <c r="BJ11" s="104"/>
      <c r="BK11" s="78" t="s">
        <v>192</v>
      </c>
      <c r="BL11" s="78" t="s">
        <v>192</v>
      </c>
      <c r="BM11" s="77" t="s">
        <v>192</v>
      </c>
      <c r="BN11" s="78" t="s">
        <v>192</v>
      </c>
      <c r="BO11" s="77" t="s">
        <v>195</v>
      </c>
      <c r="BP11" s="77" t="s">
        <v>192</v>
      </c>
      <c r="BQ11" s="77" t="s">
        <v>192</v>
      </c>
      <c r="BR11" s="77" t="s">
        <v>215</v>
      </c>
      <c r="BS11" s="77" t="s">
        <v>192</v>
      </c>
      <c r="BT11" s="77" t="s">
        <v>192</v>
      </c>
      <c r="BU11" s="77" t="s">
        <v>192</v>
      </c>
      <c r="BV11" s="77" t="s">
        <v>192</v>
      </c>
      <c r="BW11" s="77" t="s">
        <v>192</v>
      </c>
      <c r="BX11" s="77" t="s">
        <v>192</v>
      </c>
      <c r="BY11" s="77" t="s">
        <v>192</v>
      </c>
      <c r="BZ11" s="77" t="s">
        <v>192</v>
      </c>
      <c r="CA11" s="77" t="s">
        <v>192</v>
      </c>
      <c r="CB11" s="77" t="s">
        <v>195</v>
      </c>
      <c r="CC11" s="77" t="s">
        <v>195</v>
      </c>
      <c r="CD11" s="77" t="s">
        <v>192</v>
      </c>
      <c r="CE11" s="77" t="s">
        <v>192</v>
      </c>
      <c r="CF11" s="77" t="s">
        <v>192</v>
      </c>
      <c r="CG11" s="77"/>
      <c r="CH11" s="77"/>
      <c r="CI11" s="104"/>
      <c r="CJ11" s="77"/>
      <c r="CK11" s="77"/>
      <c r="CL11" s="77"/>
      <c r="CM11" s="77"/>
      <c r="CN11" s="77"/>
      <c r="CO11" s="77"/>
      <c r="CP11" s="77"/>
      <c r="CQ11" s="77"/>
      <c r="CR11" s="77"/>
      <c r="CS11" s="77" t="s">
        <v>192</v>
      </c>
    </row>
    <row r="12" spans="1:97" ht="15.75">
      <c r="A12" s="74" t="s">
        <v>216</v>
      </c>
      <c r="B12" s="75" t="s">
        <v>192</v>
      </c>
      <c r="C12" s="77" t="s">
        <v>195</v>
      </c>
      <c r="D12" s="77" t="s">
        <v>192</v>
      </c>
      <c r="E12" s="77" t="s">
        <v>192</v>
      </c>
      <c r="F12" s="77" t="s">
        <v>195</v>
      </c>
      <c r="G12" s="77" t="s">
        <v>195</v>
      </c>
      <c r="H12" s="77" t="s">
        <v>192</v>
      </c>
      <c r="I12" s="77" t="s">
        <v>195</v>
      </c>
      <c r="J12" s="77" t="s">
        <v>192</v>
      </c>
      <c r="K12" s="77" t="s">
        <v>195</v>
      </c>
      <c r="L12" s="77" t="s">
        <v>192</v>
      </c>
      <c r="M12" s="77" t="s">
        <v>195</v>
      </c>
      <c r="N12" s="77" t="s">
        <v>195</v>
      </c>
      <c r="O12" s="77" t="s">
        <v>194</v>
      </c>
      <c r="P12" s="78" t="s">
        <v>192</v>
      </c>
      <c r="Q12" s="77" t="s">
        <v>195</v>
      </c>
      <c r="R12" s="77" t="s">
        <v>195</v>
      </c>
      <c r="S12" s="77" t="s">
        <v>195</v>
      </c>
      <c r="T12" s="77" t="s">
        <v>195</v>
      </c>
      <c r="U12" s="78" t="s">
        <v>195</v>
      </c>
      <c r="V12" s="77" t="s">
        <v>195</v>
      </c>
      <c r="W12" s="77" t="s">
        <v>192</v>
      </c>
      <c r="X12" s="77" t="s">
        <v>195</v>
      </c>
      <c r="Y12" s="77" t="s">
        <v>195</v>
      </c>
      <c r="Z12" s="77" t="s">
        <v>192</v>
      </c>
      <c r="AA12" s="77" t="s">
        <v>195</v>
      </c>
      <c r="AB12" s="77" t="s">
        <v>195</v>
      </c>
      <c r="AC12" s="77" t="s">
        <v>192</v>
      </c>
      <c r="AD12" s="77" t="s">
        <v>195</v>
      </c>
      <c r="AE12" s="104"/>
      <c r="AF12" s="77" t="s">
        <v>195</v>
      </c>
      <c r="AG12" s="77" t="s">
        <v>195</v>
      </c>
      <c r="AH12" s="77" t="s">
        <v>195</v>
      </c>
      <c r="AI12" s="77" t="s">
        <v>195</v>
      </c>
      <c r="AJ12" s="77" t="s">
        <v>192</v>
      </c>
      <c r="AK12" s="77" t="s">
        <v>192</v>
      </c>
      <c r="AL12" s="104"/>
      <c r="AM12" s="77" t="s">
        <v>195</v>
      </c>
      <c r="AN12" s="77" t="s">
        <v>195</v>
      </c>
      <c r="AO12" s="77" t="s">
        <v>195</v>
      </c>
      <c r="AP12" s="104"/>
      <c r="AQ12" s="77" t="s">
        <v>195</v>
      </c>
      <c r="AR12" s="77" t="s">
        <v>195</v>
      </c>
      <c r="AS12" s="104"/>
      <c r="AT12" s="77" t="s">
        <v>195</v>
      </c>
      <c r="AU12" s="77" t="s">
        <v>195</v>
      </c>
      <c r="AV12" s="77" t="s">
        <v>192</v>
      </c>
      <c r="AW12" s="77" t="s">
        <v>192</v>
      </c>
      <c r="AX12" s="77" t="s">
        <v>195</v>
      </c>
      <c r="AY12" s="104"/>
      <c r="AZ12" s="77" t="s">
        <v>195</v>
      </c>
      <c r="BA12" s="77" t="s">
        <v>195</v>
      </c>
      <c r="BB12" s="77" t="s">
        <v>195</v>
      </c>
      <c r="BC12" s="77" t="s">
        <v>192</v>
      </c>
      <c r="BD12" s="77" t="s">
        <v>195</v>
      </c>
      <c r="BE12" s="77" t="s">
        <v>192</v>
      </c>
      <c r="BF12" s="77" t="s">
        <v>195</v>
      </c>
      <c r="BG12" s="77" t="s">
        <v>195</v>
      </c>
      <c r="BH12" s="77" t="s">
        <v>192</v>
      </c>
      <c r="BI12" s="78" t="s">
        <v>195</v>
      </c>
      <c r="BJ12" s="104"/>
      <c r="BK12" s="78" t="s">
        <v>195</v>
      </c>
      <c r="BL12" s="78" t="s">
        <v>195</v>
      </c>
      <c r="BM12" s="77" t="s">
        <v>192</v>
      </c>
      <c r="BN12" s="78" t="s">
        <v>195</v>
      </c>
      <c r="BO12" s="77" t="s">
        <v>195</v>
      </c>
      <c r="BP12" s="77" t="s">
        <v>195</v>
      </c>
      <c r="BQ12" s="77" t="s">
        <v>195</v>
      </c>
      <c r="BR12" s="77" t="s">
        <v>192</v>
      </c>
      <c r="BS12" s="77" t="s">
        <v>195</v>
      </c>
      <c r="BT12" s="77" t="s">
        <v>195</v>
      </c>
      <c r="BU12" s="77" t="s">
        <v>192</v>
      </c>
      <c r="BV12" s="77" t="s">
        <v>192</v>
      </c>
      <c r="BW12" s="77" t="s">
        <v>195</v>
      </c>
      <c r="BX12" s="77" t="s">
        <v>195</v>
      </c>
      <c r="BY12" s="77" t="s">
        <v>192</v>
      </c>
      <c r="BZ12" s="77" t="s">
        <v>195</v>
      </c>
      <c r="CA12" s="77" t="s">
        <v>195</v>
      </c>
      <c r="CB12" s="77" t="s">
        <v>192</v>
      </c>
      <c r="CC12" s="77" t="s">
        <v>195</v>
      </c>
      <c r="CD12" s="77" t="s">
        <v>195</v>
      </c>
      <c r="CE12" s="77" t="s">
        <v>192</v>
      </c>
      <c r="CF12" s="77" t="s">
        <v>195</v>
      </c>
      <c r="CG12" s="77"/>
      <c r="CH12" s="77"/>
      <c r="CI12" s="104"/>
      <c r="CJ12" s="77"/>
      <c r="CK12" s="77"/>
      <c r="CL12" s="77"/>
      <c r="CM12" s="77"/>
      <c r="CN12" s="77"/>
      <c r="CO12" s="77"/>
      <c r="CP12" s="77"/>
      <c r="CQ12" s="77"/>
      <c r="CR12" s="77"/>
      <c r="CS12" s="77" t="s">
        <v>195</v>
      </c>
    </row>
    <row r="13" spans="1:97" ht="15.75">
      <c r="A13" s="74" t="s">
        <v>217</v>
      </c>
      <c r="B13" s="75" t="s">
        <v>192</v>
      </c>
      <c r="C13" s="77" t="s">
        <v>195</v>
      </c>
      <c r="D13" s="77" t="s">
        <v>195</v>
      </c>
      <c r="E13" s="77" t="s">
        <v>195</v>
      </c>
      <c r="F13" s="77" t="s">
        <v>195</v>
      </c>
      <c r="G13" s="77" t="s">
        <v>195</v>
      </c>
      <c r="H13" s="77" t="s">
        <v>195</v>
      </c>
      <c r="I13" s="77" t="s">
        <v>195</v>
      </c>
      <c r="J13" s="77" t="s">
        <v>192</v>
      </c>
      <c r="K13" s="77" t="s">
        <v>195</v>
      </c>
      <c r="L13" s="77" t="s">
        <v>195</v>
      </c>
      <c r="M13" s="77" t="s">
        <v>192</v>
      </c>
      <c r="N13" s="77" t="s">
        <v>195</v>
      </c>
      <c r="O13" s="77" t="s">
        <v>194</v>
      </c>
      <c r="P13" s="78" t="s">
        <v>195</v>
      </c>
      <c r="Q13" s="77" t="s">
        <v>195</v>
      </c>
      <c r="R13" s="77" t="s">
        <v>195</v>
      </c>
      <c r="S13" s="77" t="s">
        <v>195</v>
      </c>
      <c r="T13" s="77" t="s">
        <v>195</v>
      </c>
      <c r="U13" s="78" t="s">
        <v>195</v>
      </c>
      <c r="V13" s="77" t="s">
        <v>192</v>
      </c>
      <c r="W13" s="77" t="s">
        <v>195</v>
      </c>
      <c r="X13" s="77" t="s">
        <v>195</v>
      </c>
      <c r="Y13" s="77" t="s">
        <v>195</v>
      </c>
      <c r="Z13" s="77" t="s">
        <v>195</v>
      </c>
      <c r="AA13" s="77" t="s">
        <v>195</v>
      </c>
      <c r="AB13" s="77" t="s">
        <v>195</v>
      </c>
      <c r="AC13" s="77" t="s">
        <v>192</v>
      </c>
      <c r="AD13" s="77" t="s">
        <v>195</v>
      </c>
      <c r="AE13" s="105"/>
      <c r="AF13" s="77" t="s">
        <v>195</v>
      </c>
      <c r="AG13" s="77" t="s">
        <v>195</v>
      </c>
      <c r="AH13" s="77" t="s">
        <v>195</v>
      </c>
      <c r="AI13" s="77" t="s">
        <v>192</v>
      </c>
      <c r="AJ13" s="77" t="s">
        <v>195</v>
      </c>
      <c r="AK13" s="77" t="s">
        <v>195</v>
      </c>
      <c r="AL13" s="105"/>
      <c r="AM13" s="77" t="s">
        <v>195</v>
      </c>
      <c r="AN13" s="77" t="s">
        <v>195</v>
      </c>
      <c r="AO13" s="77" t="s">
        <v>195</v>
      </c>
      <c r="AP13" s="105"/>
      <c r="AQ13" s="77" t="s">
        <v>195</v>
      </c>
      <c r="AR13" s="77" t="s">
        <v>195</v>
      </c>
      <c r="AS13" s="105"/>
      <c r="AT13" s="77" t="s">
        <v>195</v>
      </c>
      <c r="AU13" s="77" t="s">
        <v>195</v>
      </c>
      <c r="AV13" s="77" t="s">
        <v>195</v>
      </c>
      <c r="AW13" s="77" t="s">
        <v>195</v>
      </c>
      <c r="AX13" s="77" t="s">
        <v>195</v>
      </c>
      <c r="AY13" s="105"/>
      <c r="AZ13" s="77" t="s">
        <v>195</v>
      </c>
      <c r="BA13" s="77" t="s">
        <v>195</v>
      </c>
      <c r="BB13" s="77" t="s">
        <v>195</v>
      </c>
      <c r="BC13" s="77" t="s">
        <v>195</v>
      </c>
      <c r="BD13" s="77" t="s">
        <v>195</v>
      </c>
      <c r="BE13" s="77" t="s">
        <v>195</v>
      </c>
      <c r="BF13" s="77" t="s">
        <v>195</v>
      </c>
      <c r="BG13" s="77" t="s">
        <v>195</v>
      </c>
      <c r="BH13" s="77" t="s">
        <v>195</v>
      </c>
      <c r="BI13" s="78" t="s">
        <v>195</v>
      </c>
      <c r="BJ13" s="105"/>
      <c r="BK13" s="78" t="s">
        <v>195</v>
      </c>
      <c r="BL13" s="78" t="s">
        <v>195</v>
      </c>
      <c r="BM13" s="77" t="s">
        <v>195</v>
      </c>
      <c r="BN13" s="78" t="s">
        <v>195</v>
      </c>
      <c r="BO13" s="77" t="s">
        <v>195</v>
      </c>
      <c r="BP13" s="77" t="s">
        <v>195</v>
      </c>
      <c r="BQ13" s="77" t="s">
        <v>195</v>
      </c>
      <c r="BR13" s="77" t="s">
        <v>215</v>
      </c>
      <c r="BS13" s="77" t="s">
        <v>195</v>
      </c>
      <c r="BT13" s="77" t="s">
        <v>195</v>
      </c>
      <c r="BU13" s="77" t="s">
        <v>195</v>
      </c>
      <c r="BV13" s="77" t="s">
        <v>195</v>
      </c>
      <c r="BW13" s="77" t="s">
        <v>195</v>
      </c>
      <c r="BX13" s="77" t="s">
        <v>195</v>
      </c>
      <c r="BY13" s="77" t="s">
        <v>195</v>
      </c>
      <c r="BZ13" s="77" t="s">
        <v>195</v>
      </c>
      <c r="CA13" s="77" t="s">
        <v>195</v>
      </c>
      <c r="CB13" s="77" t="s">
        <v>195</v>
      </c>
      <c r="CC13" s="77" t="s">
        <v>195</v>
      </c>
      <c r="CD13" s="77" t="s">
        <v>192</v>
      </c>
      <c r="CE13" s="77" t="s">
        <v>192</v>
      </c>
      <c r="CF13" s="77" t="s">
        <v>192</v>
      </c>
      <c r="CG13" s="77"/>
      <c r="CH13" s="77"/>
      <c r="CI13" s="105"/>
      <c r="CJ13" s="77"/>
      <c r="CK13" s="77"/>
      <c r="CL13" s="77"/>
      <c r="CM13" s="77"/>
      <c r="CN13" s="77"/>
      <c r="CO13" s="77"/>
      <c r="CP13" s="77"/>
      <c r="CQ13" s="77"/>
      <c r="CR13" s="77"/>
      <c r="CS13" s="77" t="s">
        <v>195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BJ4:BJ13"/>
    <mergeCell ref="CI4:CI13"/>
    <mergeCell ref="AE4:AE13"/>
    <mergeCell ref="AL4:AL13"/>
    <mergeCell ref="AP4:AP13"/>
    <mergeCell ref="AS4:AS13"/>
    <mergeCell ref="AY4:AY13"/>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eetViews>
  <sheetFormatPr baseColWidth="10" defaultColWidth="11.21875" defaultRowHeight="15" customHeight="1"/>
  <cols>
    <col min="1" max="1" width="13.109375" customWidth="1"/>
    <col min="2" max="2" width="35.77734375" customWidth="1"/>
    <col min="3" max="3" width="17.109375" customWidth="1"/>
    <col min="4" max="4" width="11.109375" customWidth="1"/>
    <col min="5" max="5" width="10.6640625" customWidth="1"/>
    <col min="7" max="7" width="10" customWidth="1"/>
    <col min="8" max="8" width="9.88671875" customWidth="1"/>
    <col min="9" max="9" width="4.77734375" customWidth="1"/>
    <col min="10" max="10" width="9.88671875" customWidth="1"/>
    <col min="11" max="11" width="13.33203125" customWidth="1"/>
    <col min="12" max="12" width="66.6640625" customWidth="1"/>
    <col min="13" max="26" width="10.5546875" customWidth="1"/>
  </cols>
  <sheetData>
    <row r="1" spans="1:26" ht="25.5">
      <c r="A1" s="81" t="s">
        <v>218</v>
      </c>
      <c r="B1" s="81" t="s">
        <v>2</v>
      </c>
      <c r="C1" s="81" t="s">
        <v>4</v>
      </c>
      <c r="D1" s="81" t="s">
        <v>5</v>
      </c>
      <c r="E1" s="82" t="s">
        <v>8</v>
      </c>
      <c r="F1" s="82" t="s">
        <v>9</v>
      </c>
      <c r="G1" s="83" t="s">
        <v>10</v>
      </c>
      <c r="H1" s="82" t="s">
        <v>11</v>
      </c>
      <c r="I1" s="84" t="s">
        <v>219</v>
      </c>
      <c r="J1" s="85" t="s">
        <v>220</v>
      </c>
      <c r="K1" s="86" t="s">
        <v>221</v>
      </c>
      <c r="L1" s="84" t="s">
        <v>222</v>
      </c>
      <c r="M1" s="87"/>
      <c r="N1" s="87"/>
      <c r="O1" s="87"/>
      <c r="P1" s="87"/>
      <c r="Q1" s="87"/>
      <c r="R1" s="87"/>
      <c r="S1" s="87"/>
      <c r="T1" s="87"/>
      <c r="U1" s="87"/>
      <c r="V1" s="87"/>
      <c r="W1" s="87"/>
      <c r="X1" s="87"/>
      <c r="Y1" s="87"/>
      <c r="Z1" s="87"/>
    </row>
    <row r="2" spans="1:26" ht="38.25">
      <c r="A2" s="88" t="s">
        <v>223</v>
      </c>
      <c r="B2" s="89" t="s">
        <v>224</v>
      </c>
      <c r="C2" s="90"/>
      <c r="D2" s="90" t="s">
        <v>22</v>
      </c>
      <c r="E2" s="91">
        <v>45567</v>
      </c>
      <c r="F2" s="91">
        <v>45567</v>
      </c>
      <c r="G2" s="91">
        <v>45568</v>
      </c>
      <c r="H2" s="91">
        <v>45569</v>
      </c>
      <c r="I2" s="92">
        <f ca="1">IF(ISBLANK(H2), NETWORKDAYS(F2, TODAY(),Hoja2!$A$1:$A$18), NETWORKDAYS(F2, H2, Hoja2!$A$1:$A$18))</f>
        <v>3</v>
      </c>
      <c r="J2" s="91">
        <v>45572</v>
      </c>
      <c r="K2" s="93"/>
      <c r="L2" s="94" t="s">
        <v>225</v>
      </c>
      <c r="M2" s="87"/>
      <c r="N2" s="87"/>
      <c r="O2" s="87"/>
      <c r="P2" s="87"/>
      <c r="Q2" s="87"/>
      <c r="R2" s="87"/>
      <c r="S2" s="87"/>
      <c r="T2" s="87"/>
      <c r="U2" s="87"/>
      <c r="V2" s="87"/>
      <c r="W2" s="87"/>
      <c r="X2" s="87"/>
      <c r="Y2" s="87"/>
      <c r="Z2" s="87"/>
    </row>
    <row r="3" spans="1:26" ht="51">
      <c r="A3" s="88" t="s">
        <v>211</v>
      </c>
      <c r="B3" s="106" t="s">
        <v>226</v>
      </c>
      <c r="C3" s="95" t="s">
        <v>227</v>
      </c>
      <c r="D3" s="90" t="s">
        <v>228</v>
      </c>
      <c r="E3" s="91">
        <v>45575</v>
      </c>
      <c r="F3" s="91"/>
      <c r="G3" s="91"/>
      <c r="H3" s="93">
        <v>0</v>
      </c>
      <c r="I3" s="92">
        <f ca="1">IF(ISBLANK(H3), NETWORKDAYS(F3, TODAY(),Hoja2!$A$1:$A$18), NETWORKDAYS(F3, H3, Hoja2!$A$1:$A$18))</f>
        <v>0</v>
      </c>
      <c r="J3" s="91">
        <v>45569</v>
      </c>
      <c r="K3" s="91"/>
      <c r="L3" s="94" t="s">
        <v>229</v>
      </c>
      <c r="M3" s="96"/>
      <c r="N3" s="87"/>
      <c r="O3" s="87"/>
      <c r="P3" s="87"/>
      <c r="Q3" s="87"/>
      <c r="R3" s="87"/>
      <c r="S3" s="87"/>
      <c r="T3" s="87"/>
      <c r="U3" s="87"/>
      <c r="V3" s="87"/>
      <c r="W3" s="87"/>
      <c r="X3" s="87"/>
      <c r="Y3" s="87"/>
      <c r="Z3" s="87"/>
    </row>
    <row r="4" spans="1:26" ht="51">
      <c r="A4" s="88" t="s">
        <v>211</v>
      </c>
      <c r="B4" s="104"/>
      <c r="C4" s="97" t="s">
        <v>230</v>
      </c>
      <c r="D4" s="90" t="s">
        <v>228</v>
      </c>
      <c r="E4" s="91">
        <v>45575</v>
      </c>
      <c r="F4" s="98"/>
      <c r="G4" s="98"/>
      <c r="H4" s="99">
        <v>0</v>
      </c>
      <c r="I4" s="100">
        <f ca="1">IF(ISBLANK(H4), NETWORKDAYS(F4, TODAY(),Hoja2!$A$1:$A$18), NETWORKDAYS(F4, H4, Hoja2!$A$1:$A$18))</f>
        <v>0</v>
      </c>
      <c r="J4" s="98">
        <v>45569</v>
      </c>
      <c r="K4" s="98"/>
      <c r="L4" s="101" t="s">
        <v>231</v>
      </c>
      <c r="M4" s="96"/>
      <c r="N4" s="87"/>
      <c r="O4" s="87"/>
      <c r="P4" s="87"/>
      <c r="Q4" s="87"/>
      <c r="R4" s="87"/>
      <c r="S4" s="87"/>
      <c r="T4" s="87"/>
      <c r="U4" s="87"/>
      <c r="V4" s="87"/>
      <c r="W4" s="87"/>
      <c r="X4" s="87"/>
      <c r="Y4" s="87"/>
      <c r="Z4" s="87"/>
    </row>
    <row r="5" spans="1:26" ht="51">
      <c r="A5" s="88" t="s">
        <v>211</v>
      </c>
      <c r="B5" s="84" t="s">
        <v>232</v>
      </c>
      <c r="C5" s="90" t="s">
        <v>233</v>
      </c>
      <c r="D5" s="90" t="s">
        <v>228</v>
      </c>
      <c r="E5" s="91">
        <v>45575</v>
      </c>
      <c r="F5" s="91"/>
      <c r="G5" s="91"/>
      <c r="H5" s="93">
        <v>0</v>
      </c>
      <c r="I5" s="92">
        <f ca="1">IF(ISBLANK(H5), NETWORKDAYS(F5, TODAY(),Hoja2!$A$1:$A$18), NETWORKDAYS(F5, H5, Hoja2!$A$1:$A$18))</f>
        <v>0</v>
      </c>
      <c r="J5" s="91">
        <v>45569</v>
      </c>
      <c r="K5" s="91"/>
      <c r="L5" s="94" t="s">
        <v>231</v>
      </c>
      <c r="M5" s="96"/>
      <c r="N5" s="87"/>
      <c r="O5" s="87"/>
      <c r="P5" s="87"/>
      <c r="Q5" s="87"/>
      <c r="R5" s="87"/>
      <c r="S5" s="87"/>
      <c r="T5" s="87"/>
      <c r="U5" s="87"/>
      <c r="V5" s="87"/>
      <c r="W5" s="87"/>
      <c r="X5" s="87"/>
      <c r="Y5" s="87"/>
      <c r="Z5" s="87"/>
    </row>
    <row r="6" spans="1:26">
      <c r="A6" s="102"/>
      <c r="B6" s="102"/>
      <c r="C6" s="102"/>
      <c r="D6" s="102"/>
      <c r="E6" s="102"/>
      <c r="F6" s="102"/>
      <c r="G6" s="102"/>
      <c r="H6" s="102"/>
      <c r="I6" s="102"/>
      <c r="J6" s="102"/>
      <c r="K6" s="102"/>
      <c r="L6" s="102"/>
      <c r="M6" s="102"/>
      <c r="N6" s="102"/>
      <c r="O6" s="102"/>
      <c r="P6" s="102"/>
      <c r="Q6" s="102"/>
      <c r="R6" s="102"/>
      <c r="S6" s="102"/>
      <c r="T6" s="102"/>
      <c r="U6" s="102"/>
      <c r="V6" s="102"/>
      <c r="W6" s="102"/>
      <c r="X6" s="102"/>
      <c r="Y6" s="102"/>
      <c r="Z6" s="102"/>
    </row>
    <row r="7" spans="1:26">
      <c r="A7" s="102"/>
      <c r="B7" s="102"/>
      <c r="C7" s="102"/>
      <c r="D7" s="102"/>
      <c r="E7" s="102"/>
      <c r="F7" s="102"/>
      <c r="G7" s="102"/>
      <c r="H7" s="102"/>
      <c r="I7" s="102"/>
      <c r="J7" s="102"/>
      <c r="K7" s="102"/>
      <c r="L7" s="102"/>
      <c r="M7" s="102"/>
      <c r="N7" s="102"/>
      <c r="O7" s="102"/>
      <c r="P7" s="102"/>
      <c r="Q7" s="102"/>
      <c r="R7" s="102"/>
      <c r="S7" s="102"/>
      <c r="T7" s="102"/>
      <c r="U7" s="102"/>
      <c r="V7" s="102"/>
      <c r="W7" s="102"/>
      <c r="X7" s="102"/>
      <c r="Y7" s="102"/>
      <c r="Z7" s="102"/>
    </row>
    <row r="8" spans="1:26">
      <c r="A8" s="102"/>
      <c r="B8" s="102"/>
      <c r="C8" s="102"/>
      <c r="D8" s="102"/>
      <c r="E8" s="102"/>
      <c r="F8" s="102"/>
      <c r="G8" s="102"/>
      <c r="H8" s="102"/>
      <c r="I8" s="102"/>
      <c r="J8" s="102"/>
      <c r="K8" s="102"/>
      <c r="L8" s="102"/>
      <c r="M8" s="102"/>
      <c r="N8" s="102"/>
      <c r="O8" s="102"/>
      <c r="P8" s="102"/>
      <c r="Q8" s="102"/>
      <c r="R8" s="102"/>
      <c r="S8" s="102"/>
      <c r="T8" s="102"/>
      <c r="U8" s="102"/>
      <c r="V8" s="102"/>
      <c r="W8" s="102"/>
      <c r="X8" s="102"/>
      <c r="Y8" s="102"/>
      <c r="Z8" s="102"/>
    </row>
    <row r="9" spans="1:26">
      <c r="A9" s="102"/>
      <c r="B9" s="102"/>
      <c r="C9" s="102"/>
      <c r="D9" s="102"/>
      <c r="E9" s="102"/>
      <c r="F9" s="102"/>
      <c r="G9" s="102"/>
      <c r="H9" s="102"/>
      <c r="I9" s="102"/>
      <c r="J9" s="102"/>
      <c r="K9" s="102"/>
      <c r="L9" s="102"/>
      <c r="M9" s="102"/>
      <c r="N9" s="102"/>
      <c r="O9" s="102"/>
      <c r="P9" s="102"/>
      <c r="Q9" s="102"/>
      <c r="R9" s="102"/>
      <c r="S9" s="102"/>
      <c r="T9" s="102"/>
      <c r="U9" s="102"/>
      <c r="V9" s="102"/>
      <c r="W9" s="102"/>
      <c r="X9" s="102"/>
      <c r="Y9" s="102"/>
      <c r="Z9" s="102"/>
    </row>
    <row r="10" spans="1:26">
      <c r="A10" s="102"/>
      <c r="B10" s="102"/>
      <c r="C10" s="102"/>
      <c r="D10" s="102"/>
      <c r="E10" s="102"/>
      <c r="F10" s="102"/>
      <c r="G10" s="102"/>
      <c r="H10" s="102"/>
      <c r="I10" s="102"/>
      <c r="J10" s="102"/>
      <c r="K10" s="102"/>
      <c r="L10" s="102"/>
      <c r="M10" s="102"/>
      <c r="N10" s="102"/>
      <c r="O10" s="102"/>
      <c r="P10" s="102"/>
      <c r="Q10" s="102"/>
      <c r="R10" s="102"/>
      <c r="S10" s="102"/>
      <c r="T10" s="102"/>
      <c r="U10" s="102"/>
      <c r="V10" s="102"/>
      <c r="W10" s="102"/>
      <c r="X10" s="102"/>
      <c r="Y10" s="102"/>
      <c r="Z10" s="102"/>
    </row>
    <row r="11" spans="1:26">
      <c r="A11" s="102"/>
      <c r="B11" s="102"/>
      <c r="C11" s="102"/>
      <c r="D11" s="102"/>
      <c r="E11" s="102"/>
      <c r="F11" s="102"/>
      <c r="G11" s="102"/>
      <c r="H11" s="102"/>
      <c r="I11" s="102"/>
      <c r="J11" s="102"/>
      <c r="K11" s="102"/>
      <c r="L11" s="102"/>
      <c r="M11" s="102"/>
      <c r="N11" s="102"/>
      <c r="O11" s="102"/>
      <c r="P11" s="102"/>
      <c r="Q11" s="102"/>
      <c r="R11" s="102"/>
      <c r="S11" s="102"/>
      <c r="T11" s="102"/>
      <c r="U11" s="102"/>
      <c r="V11" s="102"/>
      <c r="W11" s="102"/>
      <c r="X11" s="102"/>
      <c r="Y11" s="102"/>
      <c r="Z11" s="102"/>
    </row>
    <row r="12" spans="1:26">
      <c r="A12" s="102"/>
      <c r="B12" s="102"/>
      <c r="C12" s="102"/>
      <c r="D12" s="102"/>
      <c r="E12" s="102"/>
      <c r="F12" s="102"/>
      <c r="G12" s="102"/>
      <c r="H12" s="102"/>
      <c r="I12" s="102"/>
      <c r="J12" s="102"/>
      <c r="K12" s="102"/>
      <c r="L12" s="102"/>
      <c r="M12" s="102"/>
      <c r="N12" s="102"/>
      <c r="O12" s="102"/>
      <c r="P12" s="102"/>
      <c r="Q12" s="102"/>
      <c r="R12" s="102"/>
      <c r="S12" s="102"/>
      <c r="T12" s="102"/>
      <c r="U12" s="102"/>
      <c r="V12" s="102"/>
      <c r="W12" s="102"/>
      <c r="X12" s="102"/>
      <c r="Y12" s="102"/>
      <c r="Z12" s="102"/>
    </row>
    <row r="13" spans="1:26">
      <c r="A13" s="102"/>
      <c r="B13" s="102"/>
      <c r="C13" s="102"/>
      <c r="D13" s="102"/>
      <c r="E13" s="102"/>
      <c r="F13" s="102"/>
      <c r="G13" s="102"/>
      <c r="H13" s="102"/>
      <c r="I13" s="102"/>
      <c r="J13" s="102"/>
      <c r="K13" s="102"/>
      <c r="L13" s="102"/>
      <c r="M13" s="102"/>
      <c r="N13" s="102"/>
      <c r="O13" s="102"/>
      <c r="P13" s="102"/>
      <c r="Q13" s="102"/>
      <c r="R13" s="102"/>
      <c r="S13" s="102"/>
      <c r="T13" s="102"/>
      <c r="U13" s="102"/>
      <c r="V13" s="102"/>
      <c r="W13" s="102"/>
      <c r="X13" s="102"/>
      <c r="Y13" s="102"/>
      <c r="Z13" s="102"/>
    </row>
    <row r="14" spans="1:26">
      <c r="A14" s="102"/>
      <c r="B14" s="102"/>
      <c r="C14" s="102"/>
      <c r="D14" s="102"/>
      <c r="E14" s="102"/>
      <c r="F14" s="102"/>
      <c r="G14" s="102"/>
      <c r="H14" s="102"/>
      <c r="I14" s="102"/>
      <c r="J14" s="102"/>
      <c r="K14" s="102"/>
      <c r="L14" s="102"/>
      <c r="M14" s="102"/>
      <c r="N14" s="102"/>
      <c r="O14" s="102"/>
      <c r="P14" s="102"/>
      <c r="Q14" s="102"/>
      <c r="R14" s="102"/>
      <c r="S14" s="102"/>
      <c r="T14" s="102"/>
      <c r="U14" s="102"/>
      <c r="V14" s="102"/>
      <c r="W14" s="102"/>
      <c r="X14" s="102"/>
      <c r="Y14" s="102"/>
      <c r="Z14" s="102"/>
    </row>
    <row r="15" spans="1:26">
      <c r="A15" s="102"/>
      <c r="B15" s="102"/>
      <c r="C15" s="102"/>
      <c r="D15" s="102"/>
      <c r="E15" s="102"/>
      <c r="F15" s="102"/>
      <c r="G15" s="102"/>
      <c r="H15" s="102"/>
      <c r="I15" s="102"/>
      <c r="J15" s="102"/>
      <c r="K15" s="102"/>
      <c r="L15" s="102"/>
      <c r="M15" s="102"/>
      <c r="N15" s="102"/>
      <c r="O15" s="102"/>
      <c r="P15" s="102"/>
      <c r="Q15" s="102"/>
      <c r="R15" s="102"/>
      <c r="S15" s="102"/>
      <c r="T15" s="102"/>
      <c r="U15" s="102"/>
      <c r="V15" s="102"/>
      <c r="W15" s="102"/>
      <c r="X15" s="102"/>
      <c r="Y15" s="102"/>
      <c r="Z15" s="102"/>
    </row>
    <row r="16" spans="1:26">
      <c r="A16" s="102"/>
      <c r="B16" s="102"/>
      <c r="C16" s="102"/>
      <c r="D16" s="102"/>
      <c r="E16" s="102"/>
      <c r="F16" s="102"/>
      <c r="G16" s="102"/>
      <c r="H16" s="102"/>
      <c r="I16" s="102"/>
      <c r="J16" s="102"/>
      <c r="K16" s="102"/>
      <c r="L16" s="102"/>
      <c r="M16" s="102"/>
      <c r="N16" s="102"/>
      <c r="O16" s="102"/>
      <c r="P16" s="102"/>
      <c r="Q16" s="102"/>
      <c r="R16" s="102"/>
      <c r="S16" s="102"/>
      <c r="T16" s="102"/>
      <c r="U16" s="102"/>
      <c r="V16" s="102"/>
      <c r="W16" s="102"/>
      <c r="X16" s="102"/>
      <c r="Y16" s="102"/>
      <c r="Z16" s="102"/>
    </row>
    <row r="17" spans="1:26">
      <c r="A17" s="102"/>
      <c r="B17" s="102"/>
      <c r="C17" s="102"/>
      <c r="D17" s="102"/>
      <c r="E17" s="102"/>
      <c r="F17" s="102"/>
      <c r="G17" s="102"/>
      <c r="H17" s="102"/>
      <c r="I17" s="102"/>
      <c r="J17" s="102"/>
      <c r="K17" s="102"/>
      <c r="L17" s="102"/>
      <c r="M17" s="102"/>
      <c r="N17" s="102"/>
      <c r="O17" s="102"/>
      <c r="P17" s="102"/>
      <c r="Q17" s="102"/>
      <c r="R17" s="102"/>
      <c r="S17" s="102"/>
      <c r="T17" s="102"/>
      <c r="U17" s="102"/>
      <c r="V17" s="102"/>
      <c r="W17" s="102"/>
      <c r="X17" s="102"/>
      <c r="Y17" s="102"/>
      <c r="Z17" s="102"/>
    </row>
    <row r="18" spans="1:26">
      <c r="A18" s="102"/>
      <c r="B18" s="102"/>
      <c r="C18" s="102"/>
      <c r="D18" s="102"/>
      <c r="E18" s="102"/>
      <c r="F18" s="102"/>
      <c r="G18" s="102"/>
      <c r="H18" s="102"/>
      <c r="I18" s="102"/>
      <c r="J18" s="102"/>
      <c r="K18" s="102"/>
      <c r="L18" s="102"/>
      <c r="M18" s="102"/>
      <c r="N18" s="102"/>
      <c r="O18" s="102"/>
      <c r="P18" s="102"/>
      <c r="Q18" s="102"/>
      <c r="R18" s="102"/>
      <c r="S18" s="102"/>
      <c r="T18" s="102"/>
      <c r="U18" s="102"/>
      <c r="V18" s="102"/>
      <c r="W18" s="102"/>
      <c r="X18" s="102"/>
      <c r="Y18" s="102"/>
      <c r="Z18" s="102"/>
    </row>
    <row r="19" spans="1:26">
      <c r="A19" s="102"/>
      <c r="B19" s="102"/>
      <c r="C19" s="102"/>
      <c r="D19" s="102"/>
      <c r="E19" s="102"/>
      <c r="F19" s="102"/>
      <c r="G19" s="102"/>
      <c r="H19" s="102"/>
      <c r="I19" s="102"/>
      <c r="J19" s="102"/>
      <c r="K19" s="102"/>
      <c r="L19" s="102"/>
      <c r="M19" s="102"/>
      <c r="N19" s="102"/>
      <c r="O19" s="102"/>
      <c r="P19" s="102"/>
      <c r="Q19" s="102"/>
      <c r="R19" s="102"/>
      <c r="S19" s="102"/>
      <c r="T19" s="102"/>
      <c r="U19" s="102"/>
      <c r="V19" s="102"/>
      <c r="W19" s="102"/>
      <c r="X19" s="102"/>
      <c r="Y19" s="102"/>
      <c r="Z19" s="102"/>
    </row>
    <row r="20" spans="1:26">
      <c r="A20" s="102"/>
      <c r="B20" s="102"/>
      <c r="C20" s="102"/>
      <c r="D20" s="102"/>
      <c r="E20" s="102"/>
      <c r="F20" s="102"/>
      <c r="G20" s="102"/>
      <c r="H20" s="102"/>
      <c r="I20" s="102"/>
      <c r="J20" s="102"/>
      <c r="K20" s="102"/>
      <c r="L20" s="102"/>
      <c r="M20" s="102"/>
      <c r="N20" s="102"/>
      <c r="O20" s="102"/>
      <c r="P20" s="102"/>
      <c r="Q20" s="102"/>
      <c r="R20" s="102"/>
      <c r="S20" s="102"/>
      <c r="T20" s="102"/>
      <c r="U20" s="102"/>
      <c r="V20" s="102"/>
      <c r="W20" s="102"/>
      <c r="X20" s="102"/>
      <c r="Y20" s="102"/>
      <c r="Z20" s="102"/>
    </row>
    <row r="21" spans="1:26" ht="15.75" customHeight="1">
      <c r="A21" s="102"/>
      <c r="B21" s="102"/>
      <c r="C21" s="102"/>
      <c r="D21" s="102"/>
      <c r="E21" s="102"/>
      <c r="F21" s="102"/>
      <c r="G21" s="102"/>
      <c r="H21" s="102"/>
      <c r="I21" s="102"/>
      <c r="J21" s="102"/>
      <c r="K21" s="102"/>
      <c r="L21" s="102"/>
      <c r="M21" s="102"/>
      <c r="N21" s="102"/>
      <c r="O21" s="102"/>
      <c r="P21" s="102"/>
      <c r="Q21" s="102"/>
      <c r="R21" s="102"/>
      <c r="S21" s="102"/>
      <c r="T21" s="102"/>
      <c r="U21" s="102"/>
      <c r="V21" s="102"/>
      <c r="W21" s="102"/>
      <c r="X21" s="102"/>
      <c r="Y21" s="102"/>
      <c r="Z21" s="102"/>
    </row>
    <row r="22" spans="1:26" ht="15.75" customHeight="1">
      <c r="A22" s="102"/>
      <c r="B22" s="102"/>
      <c r="C22" s="102"/>
      <c r="D22" s="102"/>
      <c r="E22" s="102"/>
      <c r="F22" s="102"/>
      <c r="G22" s="102"/>
      <c r="H22" s="102"/>
      <c r="I22" s="102"/>
      <c r="J22" s="102"/>
      <c r="K22" s="102"/>
      <c r="L22" s="102"/>
      <c r="M22" s="102"/>
      <c r="N22" s="102"/>
      <c r="O22" s="102"/>
      <c r="P22" s="102"/>
      <c r="Q22" s="102"/>
      <c r="R22" s="102"/>
      <c r="S22" s="102"/>
      <c r="T22" s="102"/>
      <c r="U22" s="102"/>
      <c r="V22" s="102"/>
      <c r="W22" s="102"/>
      <c r="X22" s="102"/>
      <c r="Y22" s="102"/>
      <c r="Z22" s="102"/>
    </row>
    <row r="23" spans="1:26" ht="15.75" customHeight="1">
      <c r="A23" s="102"/>
      <c r="B23" s="102"/>
      <c r="C23" s="102"/>
      <c r="D23" s="102"/>
      <c r="E23" s="102"/>
      <c r="F23" s="102"/>
      <c r="G23" s="102"/>
      <c r="H23" s="102"/>
      <c r="I23" s="102"/>
      <c r="J23" s="102"/>
      <c r="K23" s="102"/>
      <c r="L23" s="102"/>
      <c r="M23" s="102"/>
      <c r="N23" s="102"/>
      <c r="O23" s="102"/>
      <c r="P23" s="102"/>
      <c r="Q23" s="102"/>
      <c r="R23" s="102"/>
      <c r="S23" s="102"/>
      <c r="T23" s="102"/>
      <c r="U23" s="102"/>
      <c r="V23" s="102"/>
      <c r="W23" s="102"/>
      <c r="X23" s="102"/>
      <c r="Y23" s="102"/>
      <c r="Z23" s="102"/>
    </row>
    <row r="24" spans="1:26" ht="15.75" customHeight="1">
      <c r="A24" s="102"/>
      <c r="B24" s="102"/>
      <c r="C24" s="102"/>
      <c r="D24" s="102"/>
      <c r="E24" s="102"/>
      <c r="F24" s="102"/>
      <c r="G24" s="102"/>
      <c r="H24" s="102"/>
      <c r="I24" s="102"/>
      <c r="J24" s="102"/>
      <c r="K24" s="102"/>
      <c r="L24" s="102"/>
      <c r="M24" s="102"/>
      <c r="N24" s="102"/>
      <c r="O24" s="102"/>
      <c r="P24" s="102"/>
      <c r="Q24" s="102"/>
      <c r="R24" s="102"/>
      <c r="S24" s="102"/>
      <c r="T24" s="102"/>
      <c r="U24" s="102"/>
      <c r="V24" s="102"/>
      <c r="W24" s="102"/>
      <c r="X24" s="102"/>
      <c r="Y24" s="102"/>
      <c r="Z24" s="102"/>
    </row>
    <row r="25" spans="1:26" ht="15.75" customHeight="1">
      <c r="A25" s="102"/>
      <c r="B25" s="102"/>
      <c r="C25" s="102"/>
      <c r="D25" s="102"/>
      <c r="E25" s="102"/>
      <c r="F25" s="102"/>
      <c r="G25" s="102"/>
      <c r="H25" s="102"/>
      <c r="I25" s="102"/>
      <c r="J25" s="102"/>
      <c r="K25" s="102"/>
      <c r="L25" s="102"/>
      <c r="M25" s="102"/>
      <c r="N25" s="102"/>
      <c r="O25" s="102"/>
      <c r="P25" s="102"/>
      <c r="Q25" s="102"/>
      <c r="R25" s="102"/>
      <c r="S25" s="102"/>
      <c r="T25" s="102"/>
      <c r="U25" s="102"/>
      <c r="V25" s="102"/>
      <c r="W25" s="102"/>
      <c r="X25" s="102"/>
      <c r="Y25" s="102"/>
      <c r="Z25" s="102"/>
    </row>
    <row r="26" spans="1:26" ht="15.75" customHeight="1">
      <c r="A26" s="102"/>
      <c r="B26" s="102"/>
      <c r="C26" s="102"/>
      <c r="D26" s="102"/>
      <c r="E26" s="102"/>
      <c r="F26" s="102"/>
      <c r="G26" s="102"/>
      <c r="H26" s="102"/>
      <c r="I26" s="102"/>
      <c r="J26" s="102"/>
      <c r="K26" s="102"/>
      <c r="L26" s="102"/>
      <c r="M26" s="102"/>
      <c r="N26" s="102"/>
      <c r="O26" s="102"/>
      <c r="P26" s="102"/>
      <c r="Q26" s="102"/>
      <c r="R26" s="102"/>
      <c r="S26" s="102"/>
      <c r="T26" s="102"/>
      <c r="U26" s="102"/>
      <c r="V26" s="102"/>
      <c r="W26" s="102"/>
      <c r="X26" s="102"/>
      <c r="Y26" s="102"/>
      <c r="Z26" s="102"/>
    </row>
    <row r="27" spans="1:26" ht="15.75" customHeight="1">
      <c r="A27" s="102"/>
      <c r="B27" s="102"/>
      <c r="C27" s="102"/>
      <c r="D27" s="102"/>
      <c r="E27" s="102"/>
      <c r="F27" s="102"/>
      <c r="G27" s="102"/>
      <c r="H27" s="102"/>
      <c r="I27" s="102"/>
      <c r="J27" s="102"/>
      <c r="K27" s="102"/>
      <c r="L27" s="102"/>
      <c r="M27" s="102"/>
      <c r="N27" s="102"/>
      <c r="O27" s="102"/>
      <c r="P27" s="102"/>
      <c r="Q27" s="102"/>
      <c r="R27" s="102"/>
      <c r="S27" s="102"/>
      <c r="T27" s="102"/>
      <c r="U27" s="102"/>
      <c r="V27" s="102"/>
      <c r="W27" s="102"/>
      <c r="X27" s="102"/>
      <c r="Y27" s="102"/>
      <c r="Z27" s="102"/>
    </row>
    <row r="28" spans="1:26" ht="15.75" customHeight="1">
      <c r="A28" s="102"/>
      <c r="B28" s="102"/>
      <c r="C28" s="102"/>
      <c r="D28" s="102"/>
      <c r="E28" s="102"/>
      <c r="F28" s="102"/>
      <c r="G28" s="102"/>
      <c r="H28" s="102"/>
      <c r="I28" s="102"/>
      <c r="J28" s="102"/>
      <c r="K28" s="102"/>
      <c r="L28" s="102"/>
      <c r="M28" s="102"/>
      <c r="N28" s="102"/>
      <c r="O28" s="102"/>
      <c r="P28" s="102"/>
      <c r="Q28" s="102"/>
      <c r="R28" s="102"/>
      <c r="S28" s="102"/>
      <c r="T28" s="102"/>
      <c r="U28" s="102"/>
      <c r="V28" s="102"/>
      <c r="W28" s="102"/>
      <c r="X28" s="102"/>
      <c r="Y28" s="102"/>
      <c r="Z28" s="102"/>
    </row>
    <row r="29" spans="1:26" ht="15.75" customHeight="1">
      <c r="A29" s="102"/>
      <c r="B29" s="102"/>
      <c r="C29" s="102"/>
      <c r="D29" s="102"/>
      <c r="E29" s="102"/>
      <c r="F29" s="102"/>
      <c r="G29" s="102"/>
      <c r="H29" s="102"/>
      <c r="I29" s="102"/>
      <c r="J29" s="102"/>
      <c r="K29" s="102"/>
      <c r="L29" s="102"/>
      <c r="M29" s="102"/>
      <c r="N29" s="102"/>
      <c r="O29" s="102"/>
      <c r="P29" s="102"/>
      <c r="Q29" s="102"/>
      <c r="R29" s="102"/>
      <c r="S29" s="102"/>
      <c r="T29" s="102"/>
      <c r="U29" s="102"/>
      <c r="V29" s="102"/>
      <c r="W29" s="102"/>
      <c r="X29" s="102"/>
      <c r="Y29" s="102"/>
      <c r="Z29" s="102"/>
    </row>
    <row r="30" spans="1:26" ht="15.75" customHeight="1">
      <c r="A30" s="102"/>
      <c r="B30" s="102"/>
      <c r="C30" s="102"/>
      <c r="D30" s="102"/>
      <c r="E30" s="102"/>
      <c r="F30" s="102"/>
      <c r="G30" s="102"/>
      <c r="H30" s="102"/>
      <c r="I30" s="102"/>
      <c r="J30" s="102"/>
      <c r="K30" s="102"/>
      <c r="L30" s="102"/>
      <c r="M30" s="102"/>
      <c r="N30" s="102"/>
      <c r="O30" s="102"/>
      <c r="P30" s="102"/>
      <c r="Q30" s="102"/>
      <c r="R30" s="102"/>
      <c r="S30" s="102"/>
      <c r="T30" s="102"/>
      <c r="U30" s="102"/>
      <c r="V30" s="102"/>
      <c r="W30" s="102"/>
      <c r="X30" s="102"/>
      <c r="Y30" s="102"/>
      <c r="Z30" s="102"/>
    </row>
    <row r="31" spans="1:26" ht="15.75" customHeight="1">
      <c r="A31" s="102"/>
      <c r="B31" s="102"/>
      <c r="C31" s="102"/>
      <c r="D31" s="102"/>
      <c r="E31" s="102"/>
      <c r="F31" s="102"/>
      <c r="G31" s="102"/>
      <c r="H31" s="102"/>
      <c r="I31" s="102"/>
      <c r="J31" s="102"/>
      <c r="K31" s="102"/>
      <c r="L31" s="102"/>
      <c r="M31" s="102"/>
      <c r="N31" s="102"/>
      <c r="O31" s="102"/>
      <c r="P31" s="102"/>
      <c r="Q31" s="102"/>
      <c r="R31" s="102"/>
      <c r="S31" s="102"/>
      <c r="T31" s="102"/>
      <c r="U31" s="102"/>
      <c r="V31" s="102"/>
      <c r="W31" s="102"/>
      <c r="X31" s="102"/>
      <c r="Y31" s="102"/>
      <c r="Z31" s="102"/>
    </row>
    <row r="32" spans="1:26" ht="15.75" customHeight="1">
      <c r="A32" s="102"/>
      <c r="B32" s="102"/>
      <c r="C32" s="102"/>
      <c r="D32" s="102"/>
      <c r="E32" s="102"/>
      <c r="F32" s="102"/>
      <c r="G32" s="102"/>
      <c r="H32" s="102"/>
      <c r="I32" s="102"/>
      <c r="J32" s="102"/>
      <c r="K32" s="102"/>
      <c r="L32" s="102"/>
      <c r="M32" s="102"/>
      <c r="N32" s="102"/>
      <c r="O32" s="102"/>
      <c r="P32" s="102"/>
      <c r="Q32" s="102"/>
      <c r="R32" s="102"/>
      <c r="S32" s="102"/>
      <c r="T32" s="102"/>
      <c r="U32" s="102"/>
      <c r="V32" s="102"/>
      <c r="W32" s="102"/>
      <c r="X32" s="102"/>
      <c r="Y32" s="102"/>
      <c r="Z32" s="102"/>
    </row>
    <row r="33" spans="1:26" ht="15.75" customHeight="1">
      <c r="A33" s="102"/>
      <c r="B33" s="102"/>
      <c r="C33" s="102"/>
      <c r="D33" s="102"/>
      <c r="E33" s="102"/>
      <c r="F33" s="102"/>
      <c r="G33" s="102"/>
      <c r="H33" s="102"/>
      <c r="I33" s="102"/>
      <c r="J33" s="102"/>
      <c r="K33" s="102"/>
      <c r="L33" s="102"/>
      <c r="M33" s="102"/>
      <c r="N33" s="102"/>
      <c r="O33" s="102"/>
      <c r="P33" s="102"/>
      <c r="Q33" s="102"/>
      <c r="R33" s="102"/>
      <c r="S33" s="102"/>
      <c r="T33" s="102"/>
      <c r="U33" s="102"/>
      <c r="V33" s="102"/>
      <c r="W33" s="102"/>
      <c r="X33" s="102"/>
      <c r="Y33" s="102"/>
      <c r="Z33" s="102"/>
    </row>
    <row r="34" spans="1:26" ht="15.75" customHeight="1">
      <c r="A34" s="102"/>
      <c r="B34" s="102"/>
      <c r="C34" s="102"/>
      <c r="D34" s="102"/>
      <c r="E34" s="102"/>
      <c r="F34" s="102"/>
      <c r="G34" s="102"/>
      <c r="H34" s="102"/>
      <c r="I34" s="102"/>
      <c r="J34" s="102"/>
      <c r="K34" s="102"/>
      <c r="L34" s="102"/>
      <c r="M34" s="102"/>
      <c r="N34" s="102"/>
      <c r="O34" s="102"/>
      <c r="P34" s="102"/>
      <c r="Q34" s="102"/>
      <c r="R34" s="102"/>
      <c r="S34" s="102"/>
      <c r="T34" s="102"/>
      <c r="U34" s="102"/>
      <c r="V34" s="102"/>
      <c r="W34" s="102"/>
      <c r="X34" s="102"/>
      <c r="Y34" s="102"/>
      <c r="Z34" s="102"/>
    </row>
    <row r="35" spans="1:26" ht="15.75" customHeight="1">
      <c r="A35" s="102"/>
      <c r="B35" s="102"/>
      <c r="C35" s="102"/>
      <c r="D35" s="102"/>
      <c r="E35" s="102"/>
      <c r="F35" s="102"/>
      <c r="G35" s="102"/>
      <c r="H35" s="102"/>
      <c r="I35" s="102"/>
      <c r="J35" s="102"/>
      <c r="K35" s="102"/>
      <c r="L35" s="102"/>
      <c r="M35" s="102"/>
      <c r="N35" s="102"/>
      <c r="O35" s="102"/>
      <c r="P35" s="102"/>
      <c r="Q35" s="102"/>
      <c r="R35" s="102"/>
      <c r="S35" s="102"/>
      <c r="T35" s="102"/>
      <c r="U35" s="102"/>
      <c r="V35" s="102"/>
      <c r="W35" s="102"/>
      <c r="X35" s="102"/>
      <c r="Y35" s="102"/>
      <c r="Z35" s="102"/>
    </row>
    <row r="36" spans="1:26" ht="15.75" customHeight="1">
      <c r="A36" s="102"/>
      <c r="B36" s="102"/>
      <c r="C36" s="102"/>
      <c r="D36" s="102"/>
      <c r="E36" s="102"/>
      <c r="F36" s="102"/>
      <c r="G36" s="102"/>
      <c r="H36" s="102"/>
      <c r="I36" s="102"/>
      <c r="J36" s="102"/>
      <c r="K36" s="102"/>
      <c r="L36" s="102"/>
      <c r="M36" s="102"/>
      <c r="N36" s="102"/>
      <c r="O36" s="102"/>
      <c r="P36" s="102"/>
      <c r="Q36" s="102"/>
      <c r="R36" s="102"/>
      <c r="S36" s="102"/>
      <c r="T36" s="102"/>
      <c r="U36" s="102"/>
      <c r="V36" s="102"/>
      <c r="W36" s="102"/>
      <c r="X36" s="102"/>
      <c r="Y36" s="102"/>
      <c r="Z36" s="102"/>
    </row>
    <row r="37" spans="1:26" ht="15.75" customHeight="1">
      <c r="A37" s="102"/>
      <c r="B37" s="102"/>
      <c r="C37" s="102"/>
      <c r="D37" s="102"/>
      <c r="E37" s="102"/>
      <c r="F37" s="102"/>
      <c r="G37" s="102"/>
      <c r="H37" s="102"/>
      <c r="I37" s="102"/>
      <c r="J37" s="102"/>
      <c r="K37" s="102"/>
      <c r="L37" s="102"/>
      <c r="M37" s="102"/>
      <c r="N37" s="102"/>
      <c r="O37" s="102"/>
      <c r="P37" s="102"/>
      <c r="Q37" s="102"/>
      <c r="R37" s="102"/>
      <c r="S37" s="102"/>
      <c r="T37" s="102"/>
      <c r="U37" s="102"/>
      <c r="V37" s="102"/>
      <c r="W37" s="102"/>
      <c r="X37" s="102"/>
      <c r="Y37" s="102"/>
      <c r="Z37" s="102"/>
    </row>
    <row r="38" spans="1:26" ht="15.75" customHeight="1">
      <c r="A38" s="102"/>
      <c r="B38" s="102"/>
      <c r="C38" s="102"/>
      <c r="D38" s="102"/>
      <c r="E38" s="102"/>
      <c r="F38" s="102"/>
      <c r="G38" s="102"/>
      <c r="H38" s="102"/>
      <c r="I38" s="102"/>
      <c r="J38" s="102"/>
      <c r="K38" s="102"/>
      <c r="L38" s="102"/>
      <c r="M38" s="102"/>
      <c r="N38" s="102"/>
      <c r="O38" s="102"/>
      <c r="P38" s="102"/>
      <c r="Q38" s="102"/>
      <c r="R38" s="102"/>
      <c r="S38" s="102"/>
      <c r="T38" s="102"/>
      <c r="U38" s="102"/>
      <c r="V38" s="102"/>
      <c r="W38" s="102"/>
      <c r="X38" s="102"/>
      <c r="Y38" s="102"/>
      <c r="Z38" s="102"/>
    </row>
    <row r="39" spans="1:26" ht="15.75" customHeight="1">
      <c r="A39" s="102"/>
      <c r="B39" s="102"/>
      <c r="C39" s="102"/>
      <c r="D39" s="102"/>
      <c r="E39" s="102"/>
      <c r="F39" s="102"/>
      <c r="G39" s="102"/>
      <c r="H39" s="102"/>
      <c r="I39" s="102"/>
      <c r="J39" s="102"/>
      <c r="K39" s="102"/>
      <c r="L39" s="102"/>
      <c r="M39" s="102"/>
      <c r="N39" s="102"/>
      <c r="O39" s="102"/>
      <c r="P39" s="102"/>
      <c r="Q39" s="102"/>
      <c r="R39" s="102"/>
      <c r="S39" s="102"/>
      <c r="T39" s="102"/>
      <c r="U39" s="102"/>
      <c r="V39" s="102"/>
      <c r="W39" s="102"/>
      <c r="X39" s="102"/>
      <c r="Y39" s="102"/>
      <c r="Z39" s="102"/>
    </row>
    <row r="40" spans="1:26" ht="15.75" customHeight="1">
      <c r="A40" s="102"/>
      <c r="B40" s="102"/>
      <c r="C40" s="102"/>
      <c r="D40" s="102"/>
      <c r="E40" s="102"/>
      <c r="F40" s="102"/>
      <c r="G40" s="102"/>
      <c r="H40" s="102"/>
      <c r="I40" s="102"/>
      <c r="J40" s="102"/>
      <c r="K40" s="102"/>
      <c r="L40" s="102"/>
      <c r="M40" s="102"/>
      <c r="N40" s="102"/>
      <c r="O40" s="102"/>
      <c r="P40" s="102"/>
      <c r="Q40" s="102"/>
      <c r="R40" s="102"/>
      <c r="S40" s="102"/>
      <c r="T40" s="102"/>
      <c r="U40" s="102"/>
      <c r="V40" s="102"/>
      <c r="W40" s="102"/>
      <c r="X40" s="102"/>
      <c r="Y40" s="102"/>
      <c r="Z40" s="102"/>
    </row>
    <row r="41" spans="1:26" ht="15.75" customHeight="1">
      <c r="A41" s="102"/>
      <c r="B41" s="102"/>
      <c r="C41" s="102"/>
      <c r="D41" s="102"/>
      <c r="E41" s="102"/>
      <c r="F41" s="102"/>
      <c r="G41" s="102"/>
      <c r="H41" s="102"/>
      <c r="I41" s="102"/>
      <c r="J41" s="102"/>
      <c r="K41" s="102"/>
      <c r="L41" s="102"/>
      <c r="M41" s="102"/>
      <c r="N41" s="102"/>
      <c r="O41" s="102"/>
      <c r="P41" s="102"/>
      <c r="Q41" s="102"/>
      <c r="R41" s="102"/>
      <c r="S41" s="102"/>
      <c r="T41" s="102"/>
      <c r="U41" s="102"/>
      <c r="V41" s="102"/>
      <c r="W41" s="102"/>
      <c r="X41" s="102"/>
      <c r="Y41" s="102"/>
      <c r="Z41" s="102"/>
    </row>
    <row r="42" spans="1:26" ht="15.75" customHeight="1">
      <c r="A42" s="102"/>
      <c r="B42" s="102"/>
      <c r="C42" s="102"/>
      <c r="D42" s="102"/>
      <c r="E42" s="102"/>
      <c r="F42" s="102"/>
      <c r="G42" s="102"/>
      <c r="H42" s="102"/>
      <c r="I42" s="102"/>
      <c r="J42" s="102"/>
      <c r="K42" s="102"/>
      <c r="L42" s="102"/>
      <c r="M42" s="102"/>
      <c r="N42" s="102"/>
      <c r="O42" s="102"/>
      <c r="P42" s="102"/>
      <c r="Q42" s="102"/>
      <c r="R42" s="102"/>
      <c r="S42" s="102"/>
      <c r="T42" s="102"/>
      <c r="U42" s="102"/>
      <c r="V42" s="102"/>
      <c r="W42" s="102"/>
      <c r="X42" s="102"/>
      <c r="Y42" s="102"/>
      <c r="Z42" s="102"/>
    </row>
    <row r="43" spans="1:26" ht="15.75" customHeight="1">
      <c r="A43" s="102"/>
      <c r="B43" s="102"/>
      <c r="C43" s="102"/>
      <c r="D43" s="102"/>
      <c r="E43" s="102"/>
      <c r="F43" s="102"/>
      <c r="G43" s="102"/>
      <c r="H43" s="102"/>
      <c r="I43" s="102"/>
      <c r="J43" s="102"/>
      <c r="K43" s="102"/>
      <c r="L43" s="102"/>
      <c r="M43" s="102"/>
      <c r="N43" s="102"/>
      <c r="O43" s="102"/>
      <c r="P43" s="102"/>
      <c r="Q43" s="102"/>
      <c r="R43" s="102"/>
      <c r="S43" s="102"/>
      <c r="T43" s="102"/>
      <c r="U43" s="102"/>
      <c r="V43" s="102"/>
      <c r="W43" s="102"/>
      <c r="X43" s="102"/>
      <c r="Y43" s="102"/>
      <c r="Z43" s="102"/>
    </row>
    <row r="44" spans="1:26" ht="15.75" customHeight="1">
      <c r="A44" s="102"/>
      <c r="B44" s="102"/>
      <c r="C44" s="102"/>
      <c r="D44" s="102"/>
      <c r="E44" s="102"/>
      <c r="F44" s="102"/>
      <c r="G44" s="102"/>
      <c r="H44" s="102"/>
      <c r="I44" s="102"/>
      <c r="J44" s="102"/>
      <c r="K44" s="102"/>
      <c r="L44" s="102"/>
      <c r="M44" s="102"/>
      <c r="N44" s="102"/>
      <c r="O44" s="102"/>
      <c r="P44" s="102"/>
      <c r="Q44" s="102"/>
      <c r="R44" s="102"/>
      <c r="S44" s="102"/>
      <c r="T44" s="102"/>
      <c r="U44" s="102"/>
      <c r="V44" s="102"/>
      <c r="W44" s="102"/>
      <c r="X44" s="102"/>
      <c r="Y44" s="102"/>
      <c r="Z44" s="102"/>
    </row>
    <row r="45" spans="1:26" ht="15.75" customHeight="1">
      <c r="A45" s="102"/>
      <c r="B45" s="102"/>
      <c r="C45" s="102"/>
      <c r="D45" s="102"/>
      <c r="E45" s="102"/>
      <c r="F45" s="102"/>
      <c r="G45" s="102"/>
      <c r="H45" s="102"/>
      <c r="I45" s="102"/>
      <c r="J45" s="102"/>
      <c r="K45" s="102"/>
      <c r="L45" s="102"/>
      <c r="M45" s="102"/>
      <c r="N45" s="102"/>
      <c r="O45" s="102"/>
      <c r="P45" s="102"/>
      <c r="Q45" s="102"/>
      <c r="R45" s="102"/>
      <c r="S45" s="102"/>
      <c r="T45" s="102"/>
      <c r="U45" s="102"/>
      <c r="V45" s="102"/>
      <c r="W45" s="102"/>
      <c r="X45" s="102"/>
      <c r="Y45" s="102"/>
      <c r="Z45" s="102"/>
    </row>
    <row r="46" spans="1:26" ht="15.75" customHeight="1">
      <c r="A46" s="102"/>
      <c r="B46" s="102"/>
      <c r="C46" s="102"/>
      <c r="D46" s="102"/>
      <c r="E46" s="102"/>
      <c r="F46" s="102"/>
      <c r="G46" s="102"/>
      <c r="H46" s="102"/>
      <c r="I46" s="102"/>
      <c r="J46" s="102"/>
      <c r="K46" s="102"/>
      <c r="L46" s="102"/>
      <c r="M46" s="102"/>
      <c r="N46" s="102"/>
      <c r="O46" s="102"/>
      <c r="P46" s="102"/>
      <c r="Q46" s="102"/>
      <c r="R46" s="102"/>
      <c r="S46" s="102"/>
      <c r="T46" s="102"/>
      <c r="U46" s="102"/>
      <c r="V46" s="102"/>
      <c r="W46" s="102"/>
      <c r="X46" s="102"/>
      <c r="Y46" s="102"/>
      <c r="Z46" s="102"/>
    </row>
    <row r="47" spans="1:26" ht="15.75" customHeight="1">
      <c r="A47" s="102"/>
      <c r="B47" s="102"/>
      <c r="C47" s="102"/>
      <c r="D47" s="102"/>
      <c r="E47" s="102"/>
      <c r="F47" s="102"/>
      <c r="G47" s="102"/>
      <c r="H47" s="102"/>
      <c r="I47" s="102"/>
      <c r="J47" s="102"/>
      <c r="K47" s="102"/>
      <c r="L47" s="102"/>
      <c r="M47" s="102"/>
      <c r="N47" s="102"/>
      <c r="O47" s="102"/>
      <c r="P47" s="102"/>
      <c r="Q47" s="102"/>
      <c r="R47" s="102"/>
      <c r="S47" s="102"/>
      <c r="T47" s="102"/>
      <c r="U47" s="102"/>
      <c r="V47" s="102"/>
      <c r="W47" s="102"/>
      <c r="X47" s="102"/>
      <c r="Y47" s="102"/>
      <c r="Z47" s="102"/>
    </row>
    <row r="48" spans="1:26" ht="15.75" customHeight="1">
      <c r="A48" s="102"/>
      <c r="B48" s="102"/>
      <c r="C48" s="102"/>
      <c r="D48" s="102"/>
      <c r="E48" s="102"/>
      <c r="F48" s="102"/>
      <c r="G48" s="102"/>
      <c r="H48" s="102"/>
      <c r="I48" s="102"/>
      <c r="J48" s="102"/>
      <c r="K48" s="102"/>
      <c r="L48" s="102"/>
      <c r="M48" s="102"/>
      <c r="N48" s="102"/>
      <c r="O48" s="102"/>
      <c r="P48" s="102"/>
      <c r="Q48" s="102"/>
      <c r="R48" s="102"/>
      <c r="S48" s="102"/>
      <c r="T48" s="102"/>
      <c r="U48" s="102"/>
      <c r="V48" s="102"/>
      <c r="W48" s="102"/>
      <c r="X48" s="102"/>
      <c r="Y48" s="102"/>
      <c r="Z48" s="102"/>
    </row>
    <row r="49" spans="1:26" ht="15.75" customHeight="1">
      <c r="A49" s="102"/>
      <c r="B49" s="102"/>
      <c r="C49" s="102"/>
      <c r="D49" s="102"/>
      <c r="E49" s="102"/>
      <c r="F49" s="102"/>
      <c r="G49" s="102"/>
      <c r="H49" s="102"/>
      <c r="I49" s="102"/>
      <c r="J49" s="102"/>
      <c r="K49" s="102"/>
      <c r="L49" s="102"/>
      <c r="M49" s="102"/>
      <c r="N49" s="102"/>
      <c r="O49" s="102"/>
      <c r="P49" s="102"/>
      <c r="Q49" s="102"/>
      <c r="R49" s="102"/>
      <c r="S49" s="102"/>
      <c r="T49" s="102"/>
      <c r="U49" s="102"/>
      <c r="V49" s="102"/>
      <c r="W49" s="102"/>
      <c r="X49" s="102"/>
      <c r="Y49" s="102"/>
      <c r="Z49" s="102"/>
    </row>
    <row r="50" spans="1:26" ht="15.75" customHeight="1">
      <c r="A50" s="102"/>
      <c r="B50" s="102"/>
      <c r="C50" s="102"/>
      <c r="D50" s="102"/>
      <c r="E50" s="102"/>
      <c r="F50" s="102"/>
      <c r="G50" s="102"/>
      <c r="H50" s="102"/>
      <c r="I50" s="102"/>
      <c r="J50" s="102"/>
      <c r="K50" s="102"/>
      <c r="L50" s="102"/>
      <c r="M50" s="102"/>
      <c r="N50" s="102"/>
      <c r="O50" s="102"/>
      <c r="P50" s="102"/>
      <c r="Q50" s="102"/>
      <c r="R50" s="102"/>
      <c r="S50" s="102"/>
      <c r="T50" s="102"/>
      <c r="U50" s="102"/>
      <c r="V50" s="102"/>
      <c r="W50" s="102"/>
      <c r="X50" s="102"/>
      <c r="Y50" s="102"/>
      <c r="Z50" s="102"/>
    </row>
    <row r="51" spans="1:26" ht="15.75" customHeight="1">
      <c r="A51" s="102"/>
      <c r="B51" s="102"/>
      <c r="C51" s="102"/>
      <c r="D51" s="102"/>
      <c r="E51" s="102"/>
      <c r="F51" s="102"/>
      <c r="G51" s="102"/>
      <c r="H51" s="102"/>
      <c r="I51" s="102"/>
      <c r="J51" s="102"/>
      <c r="K51" s="102"/>
      <c r="L51" s="102"/>
      <c r="M51" s="102"/>
      <c r="N51" s="102"/>
      <c r="O51" s="102"/>
      <c r="P51" s="102"/>
      <c r="Q51" s="102"/>
      <c r="R51" s="102"/>
      <c r="S51" s="102"/>
      <c r="T51" s="102"/>
      <c r="U51" s="102"/>
      <c r="V51" s="102"/>
      <c r="W51" s="102"/>
      <c r="X51" s="102"/>
      <c r="Y51" s="102"/>
      <c r="Z51" s="102"/>
    </row>
    <row r="52" spans="1:26" ht="15.75" customHeight="1">
      <c r="A52" s="102"/>
      <c r="B52" s="102"/>
      <c r="C52" s="102"/>
      <c r="D52" s="102"/>
      <c r="E52" s="102"/>
      <c r="F52" s="102"/>
      <c r="G52" s="102"/>
      <c r="H52" s="102"/>
      <c r="I52" s="102"/>
      <c r="J52" s="102"/>
      <c r="K52" s="102"/>
      <c r="L52" s="102"/>
      <c r="M52" s="102"/>
      <c r="N52" s="102"/>
      <c r="O52" s="102"/>
      <c r="P52" s="102"/>
      <c r="Q52" s="102"/>
      <c r="R52" s="102"/>
      <c r="S52" s="102"/>
      <c r="T52" s="102"/>
      <c r="U52" s="102"/>
      <c r="V52" s="102"/>
      <c r="W52" s="102"/>
      <c r="X52" s="102"/>
      <c r="Y52" s="102"/>
      <c r="Z52" s="102"/>
    </row>
    <row r="53" spans="1:26" ht="15.75" customHeight="1">
      <c r="A53" s="102"/>
      <c r="B53" s="102"/>
      <c r="C53" s="102"/>
      <c r="D53" s="102"/>
      <c r="E53" s="102"/>
      <c r="F53" s="102"/>
      <c r="G53" s="102"/>
      <c r="H53" s="102"/>
      <c r="I53" s="102"/>
      <c r="J53" s="102"/>
      <c r="K53" s="102"/>
      <c r="L53" s="102"/>
      <c r="M53" s="102"/>
      <c r="N53" s="102"/>
      <c r="O53" s="102"/>
      <c r="P53" s="102"/>
      <c r="Q53" s="102"/>
      <c r="R53" s="102"/>
      <c r="S53" s="102"/>
      <c r="T53" s="102"/>
      <c r="U53" s="102"/>
      <c r="V53" s="102"/>
      <c r="W53" s="102"/>
      <c r="X53" s="102"/>
      <c r="Y53" s="102"/>
      <c r="Z53" s="102"/>
    </row>
    <row r="54" spans="1:26" ht="15.75" customHeight="1">
      <c r="A54" s="102"/>
      <c r="B54" s="102"/>
      <c r="C54" s="102"/>
      <c r="D54" s="102"/>
      <c r="E54" s="102"/>
      <c r="F54" s="102"/>
      <c r="G54" s="102"/>
      <c r="H54" s="102"/>
      <c r="I54" s="102"/>
      <c r="J54" s="102"/>
      <c r="K54" s="102"/>
      <c r="L54" s="102"/>
      <c r="M54" s="102"/>
      <c r="N54" s="102"/>
      <c r="O54" s="102"/>
      <c r="P54" s="102"/>
      <c r="Q54" s="102"/>
      <c r="R54" s="102"/>
      <c r="S54" s="102"/>
      <c r="T54" s="102"/>
      <c r="U54" s="102"/>
      <c r="V54" s="102"/>
      <c r="W54" s="102"/>
      <c r="X54" s="102"/>
      <c r="Y54" s="102"/>
      <c r="Z54" s="102"/>
    </row>
    <row r="55" spans="1:26" ht="15.75" customHeight="1">
      <c r="A55" s="102"/>
      <c r="B55" s="102"/>
      <c r="C55" s="102"/>
      <c r="D55" s="102"/>
      <c r="E55" s="102"/>
      <c r="F55" s="102"/>
      <c r="G55" s="102"/>
      <c r="H55" s="102"/>
      <c r="I55" s="102"/>
      <c r="J55" s="102"/>
      <c r="K55" s="102"/>
      <c r="L55" s="102"/>
      <c r="M55" s="102"/>
      <c r="N55" s="102"/>
      <c r="O55" s="102"/>
      <c r="P55" s="102"/>
      <c r="Q55" s="102"/>
      <c r="R55" s="102"/>
      <c r="S55" s="102"/>
      <c r="T55" s="102"/>
      <c r="U55" s="102"/>
      <c r="V55" s="102"/>
      <c r="W55" s="102"/>
      <c r="X55" s="102"/>
      <c r="Y55" s="102"/>
      <c r="Z55" s="102"/>
    </row>
    <row r="56" spans="1:26" ht="15.75" customHeight="1">
      <c r="A56" s="102"/>
      <c r="B56" s="102"/>
      <c r="C56" s="102"/>
      <c r="D56" s="102"/>
      <c r="E56" s="102"/>
      <c r="F56" s="102"/>
      <c r="G56" s="102"/>
      <c r="H56" s="102"/>
      <c r="I56" s="102"/>
      <c r="J56" s="102"/>
      <c r="K56" s="102"/>
      <c r="L56" s="102"/>
      <c r="M56" s="102"/>
      <c r="N56" s="102"/>
      <c r="O56" s="102"/>
      <c r="P56" s="102"/>
      <c r="Q56" s="102"/>
      <c r="R56" s="102"/>
      <c r="S56" s="102"/>
      <c r="T56" s="102"/>
      <c r="U56" s="102"/>
      <c r="V56" s="102"/>
      <c r="W56" s="102"/>
      <c r="X56" s="102"/>
      <c r="Y56" s="102"/>
      <c r="Z56" s="102"/>
    </row>
    <row r="57" spans="1:26" ht="15.75" customHeight="1">
      <c r="A57" s="102"/>
      <c r="B57" s="102"/>
      <c r="C57" s="102"/>
      <c r="D57" s="102"/>
      <c r="E57" s="102"/>
      <c r="F57" s="102"/>
      <c r="G57" s="102"/>
      <c r="H57" s="102"/>
      <c r="I57" s="102"/>
      <c r="J57" s="102"/>
      <c r="K57" s="102"/>
      <c r="L57" s="102"/>
      <c r="M57" s="102"/>
      <c r="N57" s="102"/>
      <c r="O57" s="102"/>
      <c r="P57" s="102"/>
      <c r="Q57" s="102"/>
      <c r="R57" s="102"/>
      <c r="S57" s="102"/>
      <c r="T57" s="102"/>
      <c r="U57" s="102"/>
      <c r="V57" s="102"/>
      <c r="W57" s="102"/>
      <c r="X57" s="102"/>
      <c r="Y57" s="102"/>
      <c r="Z57" s="102"/>
    </row>
    <row r="58" spans="1:26" ht="15.75" customHeight="1">
      <c r="A58" s="102"/>
      <c r="B58" s="102"/>
      <c r="C58" s="102"/>
      <c r="D58" s="102"/>
      <c r="E58" s="102"/>
      <c r="F58" s="102"/>
      <c r="G58" s="102"/>
      <c r="H58" s="102"/>
      <c r="I58" s="102"/>
      <c r="J58" s="102"/>
      <c r="K58" s="102"/>
      <c r="L58" s="102"/>
      <c r="M58" s="102"/>
      <c r="N58" s="102"/>
      <c r="O58" s="102"/>
      <c r="P58" s="102"/>
      <c r="Q58" s="102"/>
      <c r="R58" s="102"/>
      <c r="S58" s="102"/>
      <c r="T58" s="102"/>
      <c r="U58" s="102"/>
      <c r="V58" s="102"/>
      <c r="W58" s="102"/>
      <c r="X58" s="102"/>
      <c r="Y58" s="102"/>
      <c r="Z58" s="102"/>
    </row>
    <row r="59" spans="1:26" ht="15.75" customHeight="1">
      <c r="A59" s="102"/>
      <c r="B59" s="102"/>
      <c r="C59" s="102"/>
      <c r="D59" s="102"/>
      <c r="E59" s="102"/>
      <c r="F59" s="102"/>
      <c r="G59" s="102"/>
      <c r="H59" s="102"/>
      <c r="I59" s="102"/>
      <c r="J59" s="102"/>
      <c r="K59" s="102"/>
      <c r="L59" s="102"/>
      <c r="M59" s="102"/>
      <c r="N59" s="102"/>
      <c r="O59" s="102"/>
      <c r="P59" s="102"/>
      <c r="Q59" s="102"/>
      <c r="R59" s="102"/>
      <c r="S59" s="102"/>
      <c r="T59" s="102"/>
      <c r="U59" s="102"/>
      <c r="V59" s="102"/>
      <c r="W59" s="102"/>
      <c r="X59" s="102"/>
      <c r="Y59" s="102"/>
      <c r="Z59" s="102"/>
    </row>
    <row r="60" spans="1:26" ht="15.75" customHeight="1">
      <c r="A60" s="102"/>
      <c r="B60" s="102"/>
      <c r="C60" s="102"/>
      <c r="D60" s="102"/>
      <c r="E60" s="102"/>
      <c r="F60" s="102"/>
      <c r="G60" s="102"/>
      <c r="H60" s="102"/>
      <c r="I60" s="102"/>
      <c r="J60" s="102"/>
      <c r="K60" s="102"/>
      <c r="L60" s="102"/>
      <c r="M60" s="102"/>
      <c r="N60" s="102"/>
      <c r="O60" s="102"/>
      <c r="P60" s="102"/>
      <c r="Q60" s="102"/>
      <c r="R60" s="102"/>
      <c r="S60" s="102"/>
      <c r="T60" s="102"/>
      <c r="U60" s="102"/>
      <c r="V60" s="102"/>
      <c r="W60" s="102"/>
      <c r="X60" s="102"/>
      <c r="Y60" s="102"/>
      <c r="Z60" s="102"/>
    </row>
    <row r="61" spans="1:26" ht="15.75" customHeight="1">
      <c r="A61" s="102"/>
      <c r="B61" s="102"/>
      <c r="C61" s="102"/>
      <c r="D61" s="102"/>
      <c r="E61" s="102"/>
      <c r="F61" s="102"/>
      <c r="G61" s="102"/>
      <c r="H61" s="102"/>
      <c r="I61" s="102"/>
      <c r="J61" s="102"/>
      <c r="K61" s="102"/>
      <c r="L61" s="102"/>
      <c r="M61" s="102"/>
      <c r="N61" s="102"/>
      <c r="O61" s="102"/>
      <c r="P61" s="102"/>
      <c r="Q61" s="102"/>
      <c r="R61" s="102"/>
      <c r="S61" s="102"/>
      <c r="T61" s="102"/>
      <c r="U61" s="102"/>
      <c r="V61" s="102"/>
      <c r="W61" s="102"/>
      <c r="X61" s="102"/>
      <c r="Y61" s="102"/>
      <c r="Z61" s="102"/>
    </row>
    <row r="62" spans="1:26" ht="15.75" customHeight="1">
      <c r="A62" s="102"/>
      <c r="B62" s="102"/>
      <c r="C62" s="102"/>
      <c r="D62" s="102"/>
      <c r="E62" s="102"/>
      <c r="F62" s="102"/>
      <c r="G62" s="102"/>
      <c r="H62" s="102"/>
      <c r="I62" s="102"/>
      <c r="J62" s="102"/>
      <c r="K62" s="102"/>
      <c r="L62" s="102"/>
      <c r="M62" s="102"/>
      <c r="N62" s="102"/>
      <c r="O62" s="102"/>
      <c r="P62" s="102"/>
      <c r="Q62" s="102"/>
      <c r="R62" s="102"/>
      <c r="S62" s="102"/>
      <c r="T62" s="102"/>
      <c r="U62" s="102"/>
      <c r="V62" s="102"/>
      <c r="W62" s="102"/>
      <c r="X62" s="102"/>
      <c r="Y62" s="102"/>
      <c r="Z62" s="102"/>
    </row>
    <row r="63" spans="1:26" ht="15.75" customHeight="1">
      <c r="A63" s="102"/>
      <c r="B63" s="102"/>
      <c r="C63" s="102"/>
      <c r="D63" s="102"/>
      <c r="E63" s="102"/>
      <c r="F63" s="102"/>
      <c r="G63" s="102"/>
      <c r="H63" s="102"/>
      <c r="I63" s="102"/>
      <c r="J63" s="102"/>
      <c r="K63" s="102"/>
      <c r="L63" s="102"/>
      <c r="M63" s="102"/>
      <c r="N63" s="102"/>
      <c r="O63" s="102"/>
      <c r="P63" s="102"/>
      <c r="Q63" s="102"/>
      <c r="R63" s="102"/>
      <c r="S63" s="102"/>
      <c r="T63" s="102"/>
      <c r="U63" s="102"/>
      <c r="V63" s="102"/>
      <c r="W63" s="102"/>
      <c r="X63" s="102"/>
      <c r="Y63" s="102"/>
      <c r="Z63" s="102"/>
    </row>
    <row r="64" spans="1:26" ht="15.75" customHeight="1">
      <c r="A64" s="102"/>
      <c r="B64" s="102"/>
      <c r="C64" s="102"/>
      <c r="D64" s="102"/>
      <c r="E64" s="102"/>
      <c r="F64" s="102"/>
      <c r="G64" s="102"/>
      <c r="H64" s="102"/>
      <c r="I64" s="102"/>
      <c r="J64" s="102"/>
      <c r="K64" s="102"/>
      <c r="L64" s="102"/>
      <c r="M64" s="102"/>
      <c r="N64" s="102"/>
      <c r="O64" s="102"/>
      <c r="P64" s="102"/>
      <c r="Q64" s="102"/>
      <c r="R64" s="102"/>
      <c r="S64" s="102"/>
      <c r="T64" s="102"/>
      <c r="U64" s="102"/>
      <c r="V64" s="102"/>
      <c r="W64" s="102"/>
      <c r="X64" s="102"/>
      <c r="Y64" s="102"/>
      <c r="Z64" s="102"/>
    </row>
    <row r="65" spans="1:26" ht="15.75" customHeight="1">
      <c r="A65" s="102"/>
      <c r="B65" s="102"/>
      <c r="C65" s="102"/>
      <c r="D65" s="102"/>
      <c r="E65" s="102"/>
      <c r="F65" s="102"/>
      <c r="G65" s="102"/>
      <c r="H65" s="102"/>
      <c r="I65" s="102"/>
      <c r="J65" s="102"/>
      <c r="K65" s="102"/>
      <c r="L65" s="102"/>
      <c r="M65" s="102"/>
      <c r="N65" s="102"/>
      <c r="O65" s="102"/>
      <c r="P65" s="102"/>
      <c r="Q65" s="102"/>
      <c r="R65" s="102"/>
      <c r="S65" s="102"/>
      <c r="T65" s="102"/>
      <c r="U65" s="102"/>
      <c r="V65" s="102"/>
      <c r="W65" s="102"/>
      <c r="X65" s="102"/>
      <c r="Y65" s="102"/>
      <c r="Z65" s="102"/>
    </row>
    <row r="66" spans="1:26" ht="15.75" customHeight="1">
      <c r="A66" s="102"/>
      <c r="B66" s="102"/>
      <c r="C66" s="102"/>
      <c r="D66" s="102"/>
      <c r="E66" s="102"/>
      <c r="F66" s="102"/>
      <c r="G66" s="102"/>
      <c r="H66" s="102"/>
      <c r="I66" s="102"/>
      <c r="J66" s="102"/>
      <c r="K66" s="102"/>
      <c r="L66" s="102"/>
      <c r="M66" s="102"/>
      <c r="N66" s="102"/>
      <c r="O66" s="102"/>
      <c r="P66" s="102"/>
      <c r="Q66" s="102"/>
      <c r="R66" s="102"/>
      <c r="S66" s="102"/>
      <c r="T66" s="102"/>
      <c r="U66" s="102"/>
      <c r="V66" s="102"/>
      <c r="W66" s="102"/>
      <c r="X66" s="102"/>
      <c r="Y66" s="102"/>
      <c r="Z66" s="102"/>
    </row>
    <row r="67" spans="1:26" ht="15.75" customHeight="1">
      <c r="A67" s="102"/>
      <c r="B67" s="102"/>
      <c r="C67" s="102"/>
      <c r="D67" s="102"/>
      <c r="E67" s="102"/>
      <c r="F67" s="102"/>
      <c r="G67" s="102"/>
      <c r="H67" s="102"/>
      <c r="I67" s="102"/>
      <c r="J67" s="102"/>
      <c r="K67" s="102"/>
      <c r="L67" s="102"/>
      <c r="M67" s="102"/>
      <c r="N67" s="102"/>
      <c r="O67" s="102"/>
      <c r="P67" s="102"/>
      <c r="Q67" s="102"/>
      <c r="R67" s="102"/>
      <c r="S67" s="102"/>
      <c r="T67" s="102"/>
      <c r="U67" s="102"/>
      <c r="V67" s="102"/>
      <c r="W67" s="102"/>
      <c r="X67" s="102"/>
      <c r="Y67" s="102"/>
      <c r="Z67" s="102"/>
    </row>
    <row r="68" spans="1:26" ht="15.75" customHeight="1">
      <c r="A68" s="102"/>
      <c r="B68" s="102"/>
      <c r="C68" s="102"/>
      <c r="D68" s="102"/>
      <c r="E68" s="102"/>
      <c r="F68" s="102"/>
      <c r="G68" s="102"/>
      <c r="H68" s="102"/>
      <c r="I68" s="102"/>
      <c r="J68" s="102"/>
      <c r="K68" s="102"/>
      <c r="L68" s="102"/>
      <c r="M68" s="102"/>
      <c r="N68" s="102"/>
      <c r="O68" s="102"/>
      <c r="P68" s="102"/>
      <c r="Q68" s="102"/>
      <c r="R68" s="102"/>
      <c r="S68" s="102"/>
      <c r="T68" s="102"/>
      <c r="U68" s="102"/>
      <c r="V68" s="102"/>
      <c r="W68" s="102"/>
      <c r="X68" s="102"/>
      <c r="Y68" s="102"/>
      <c r="Z68" s="102"/>
    </row>
    <row r="69" spans="1:26" ht="15.75" customHeight="1">
      <c r="A69" s="102"/>
      <c r="B69" s="102"/>
      <c r="C69" s="102"/>
      <c r="D69" s="102"/>
      <c r="E69" s="102"/>
      <c r="F69" s="102"/>
      <c r="G69" s="102"/>
      <c r="H69" s="102"/>
      <c r="I69" s="102"/>
      <c r="J69" s="102"/>
      <c r="K69" s="102"/>
      <c r="L69" s="102"/>
      <c r="M69" s="102"/>
      <c r="N69" s="102"/>
      <c r="O69" s="102"/>
      <c r="P69" s="102"/>
      <c r="Q69" s="102"/>
      <c r="R69" s="102"/>
      <c r="S69" s="102"/>
      <c r="T69" s="102"/>
      <c r="U69" s="102"/>
      <c r="V69" s="102"/>
      <c r="W69" s="102"/>
      <c r="X69" s="102"/>
      <c r="Y69" s="102"/>
      <c r="Z69" s="102"/>
    </row>
    <row r="70" spans="1:26" ht="15.75" customHeight="1">
      <c r="A70" s="102"/>
      <c r="B70" s="102"/>
      <c r="C70" s="102"/>
      <c r="D70" s="102"/>
      <c r="E70" s="102"/>
      <c r="F70" s="102"/>
      <c r="G70" s="102"/>
      <c r="H70" s="102"/>
      <c r="I70" s="102"/>
      <c r="J70" s="102"/>
      <c r="K70" s="102"/>
      <c r="L70" s="102"/>
      <c r="M70" s="102"/>
      <c r="N70" s="102"/>
      <c r="O70" s="102"/>
      <c r="P70" s="102"/>
      <c r="Q70" s="102"/>
      <c r="R70" s="102"/>
      <c r="S70" s="102"/>
      <c r="T70" s="102"/>
      <c r="U70" s="102"/>
      <c r="V70" s="102"/>
      <c r="W70" s="102"/>
      <c r="X70" s="102"/>
      <c r="Y70" s="102"/>
      <c r="Z70" s="102"/>
    </row>
    <row r="71" spans="1:26" ht="15.75" customHeight="1">
      <c r="A71" s="102"/>
      <c r="B71" s="102"/>
      <c r="C71" s="102"/>
      <c r="D71" s="102"/>
      <c r="E71" s="102"/>
      <c r="F71" s="102"/>
      <c r="G71" s="102"/>
      <c r="H71" s="102"/>
      <c r="I71" s="102"/>
      <c r="J71" s="102"/>
      <c r="K71" s="102"/>
      <c r="L71" s="102"/>
      <c r="M71" s="102"/>
      <c r="N71" s="102"/>
      <c r="O71" s="102"/>
      <c r="P71" s="102"/>
      <c r="Q71" s="102"/>
      <c r="R71" s="102"/>
      <c r="S71" s="102"/>
      <c r="T71" s="102"/>
      <c r="U71" s="102"/>
      <c r="V71" s="102"/>
      <c r="W71" s="102"/>
      <c r="X71" s="102"/>
      <c r="Y71" s="102"/>
      <c r="Z71" s="102"/>
    </row>
    <row r="72" spans="1:26" ht="15.75" customHeight="1">
      <c r="A72" s="102"/>
      <c r="B72" s="102"/>
      <c r="C72" s="102"/>
      <c r="D72" s="102"/>
      <c r="E72" s="102"/>
      <c r="F72" s="102"/>
      <c r="G72" s="102"/>
      <c r="H72" s="102"/>
      <c r="I72" s="102"/>
      <c r="J72" s="102"/>
      <c r="K72" s="102"/>
      <c r="L72" s="102"/>
      <c r="M72" s="102"/>
      <c r="N72" s="102"/>
      <c r="O72" s="102"/>
      <c r="P72" s="102"/>
      <c r="Q72" s="102"/>
      <c r="R72" s="102"/>
      <c r="S72" s="102"/>
      <c r="T72" s="102"/>
      <c r="U72" s="102"/>
      <c r="V72" s="102"/>
      <c r="W72" s="102"/>
      <c r="X72" s="102"/>
      <c r="Y72" s="102"/>
      <c r="Z72" s="102"/>
    </row>
    <row r="73" spans="1:26" ht="15.75" customHeight="1">
      <c r="A73" s="102"/>
      <c r="B73" s="102"/>
      <c r="C73" s="102"/>
      <c r="D73" s="102"/>
      <c r="E73" s="102"/>
      <c r="F73" s="102"/>
      <c r="G73" s="102"/>
      <c r="H73" s="102"/>
      <c r="I73" s="102"/>
      <c r="J73" s="102"/>
      <c r="K73" s="102"/>
      <c r="L73" s="102"/>
      <c r="M73" s="102"/>
      <c r="N73" s="102"/>
      <c r="O73" s="102"/>
      <c r="P73" s="102"/>
      <c r="Q73" s="102"/>
      <c r="R73" s="102"/>
      <c r="S73" s="102"/>
      <c r="T73" s="102"/>
      <c r="U73" s="102"/>
      <c r="V73" s="102"/>
      <c r="W73" s="102"/>
      <c r="X73" s="102"/>
      <c r="Y73" s="102"/>
      <c r="Z73" s="102"/>
    </row>
    <row r="74" spans="1:26" ht="15.75" customHeight="1">
      <c r="A74" s="102"/>
      <c r="B74" s="102"/>
      <c r="C74" s="102"/>
      <c r="D74" s="102"/>
      <c r="E74" s="102"/>
      <c r="F74" s="102"/>
      <c r="G74" s="102"/>
      <c r="H74" s="102"/>
      <c r="I74" s="102"/>
      <c r="J74" s="102"/>
      <c r="K74" s="102"/>
      <c r="L74" s="102"/>
      <c r="M74" s="102"/>
      <c r="N74" s="102"/>
      <c r="O74" s="102"/>
      <c r="P74" s="102"/>
      <c r="Q74" s="102"/>
      <c r="R74" s="102"/>
      <c r="S74" s="102"/>
      <c r="T74" s="102"/>
      <c r="U74" s="102"/>
      <c r="V74" s="102"/>
      <c r="W74" s="102"/>
      <c r="X74" s="102"/>
      <c r="Y74" s="102"/>
      <c r="Z74" s="102"/>
    </row>
    <row r="75" spans="1:26" ht="15.75" customHeight="1">
      <c r="A75" s="102"/>
      <c r="B75" s="102"/>
      <c r="C75" s="102"/>
      <c r="D75" s="102"/>
      <c r="E75" s="102"/>
      <c r="F75" s="102"/>
      <c r="G75" s="102"/>
      <c r="H75" s="102"/>
      <c r="I75" s="102"/>
      <c r="J75" s="102"/>
      <c r="K75" s="102"/>
      <c r="L75" s="102"/>
      <c r="M75" s="102"/>
      <c r="N75" s="102"/>
      <c r="O75" s="102"/>
      <c r="P75" s="102"/>
      <c r="Q75" s="102"/>
      <c r="R75" s="102"/>
      <c r="S75" s="102"/>
      <c r="T75" s="102"/>
      <c r="U75" s="102"/>
      <c r="V75" s="102"/>
      <c r="W75" s="102"/>
      <c r="X75" s="102"/>
      <c r="Y75" s="102"/>
      <c r="Z75" s="102"/>
    </row>
    <row r="76" spans="1:26" ht="15.75" customHeight="1">
      <c r="A76" s="102"/>
      <c r="B76" s="102"/>
      <c r="C76" s="102"/>
      <c r="D76" s="102"/>
      <c r="E76" s="102"/>
      <c r="F76" s="102"/>
      <c r="G76" s="102"/>
      <c r="H76" s="102"/>
      <c r="I76" s="102"/>
      <c r="J76" s="102"/>
      <c r="K76" s="102"/>
      <c r="L76" s="102"/>
      <c r="M76" s="102"/>
      <c r="N76" s="102"/>
      <c r="O76" s="102"/>
      <c r="P76" s="102"/>
      <c r="Q76" s="102"/>
      <c r="R76" s="102"/>
      <c r="S76" s="102"/>
      <c r="T76" s="102"/>
      <c r="U76" s="102"/>
      <c r="V76" s="102"/>
      <c r="W76" s="102"/>
      <c r="X76" s="102"/>
      <c r="Y76" s="102"/>
      <c r="Z76" s="102"/>
    </row>
    <row r="77" spans="1:26" ht="15.75" customHeight="1">
      <c r="A77" s="102"/>
      <c r="B77" s="102"/>
      <c r="C77" s="102"/>
      <c r="D77" s="102"/>
      <c r="E77" s="102"/>
      <c r="F77" s="102"/>
      <c r="G77" s="102"/>
      <c r="H77" s="102"/>
      <c r="I77" s="102"/>
      <c r="J77" s="102"/>
      <c r="K77" s="102"/>
      <c r="L77" s="102"/>
      <c r="M77" s="102"/>
      <c r="N77" s="102"/>
      <c r="O77" s="102"/>
      <c r="P77" s="102"/>
      <c r="Q77" s="102"/>
      <c r="R77" s="102"/>
      <c r="S77" s="102"/>
      <c r="T77" s="102"/>
      <c r="U77" s="102"/>
      <c r="V77" s="102"/>
      <c r="W77" s="102"/>
      <c r="X77" s="102"/>
      <c r="Y77" s="102"/>
      <c r="Z77" s="102"/>
    </row>
    <row r="78" spans="1:26" ht="15.75" customHeight="1">
      <c r="A78" s="102"/>
      <c r="B78" s="102"/>
      <c r="C78" s="102"/>
      <c r="D78" s="102"/>
      <c r="E78" s="102"/>
      <c r="F78" s="102"/>
      <c r="G78" s="102"/>
      <c r="H78" s="102"/>
      <c r="I78" s="102"/>
      <c r="J78" s="102"/>
      <c r="K78" s="102"/>
      <c r="L78" s="102"/>
      <c r="M78" s="102"/>
      <c r="N78" s="102"/>
      <c r="O78" s="102"/>
      <c r="P78" s="102"/>
      <c r="Q78" s="102"/>
      <c r="R78" s="102"/>
      <c r="S78" s="102"/>
      <c r="T78" s="102"/>
      <c r="U78" s="102"/>
      <c r="V78" s="102"/>
      <c r="W78" s="102"/>
      <c r="X78" s="102"/>
      <c r="Y78" s="102"/>
      <c r="Z78" s="102"/>
    </row>
    <row r="79" spans="1:26" ht="15.75" customHeight="1">
      <c r="A79" s="102"/>
      <c r="B79" s="102"/>
      <c r="C79" s="102"/>
      <c r="D79" s="102"/>
      <c r="E79" s="102"/>
      <c r="F79" s="102"/>
      <c r="G79" s="102"/>
      <c r="H79" s="102"/>
      <c r="I79" s="102"/>
      <c r="J79" s="102"/>
      <c r="K79" s="102"/>
      <c r="L79" s="102"/>
      <c r="M79" s="102"/>
      <c r="N79" s="102"/>
      <c r="O79" s="102"/>
      <c r="P79" s="102"/>
      <c r="Q79" s="102"/>
      <c r="R79" s="102"/>
      <c r="S79" s="102"/>
      <c r="T79" s="102"/>
      <c r="U79" s="102"/>
      <c r="V79" s="102"/>
      <c r="W79" s="102"/>
      <c r="X79" s="102"/>
      <c r="Y79" s="102"/>
      <c r="Z79" s="102"/>
    </row>
    <row r="80" spans="1:26" ht="15.75" customHeight="1">
      <c r="A80" s="102"/>
      <c r="B80" s="102"/>
      <c r="C80" s="102"/>
      <c r="D80" s="102"/>
      <c r="E80" s="102"/>
      <c r="F80" s="102"/>
      <c r="G80" s="102"/>
      <c r="H80" s="102"/>
      <c r="I80" s="102"/>
      <c r="J80" s="102"/>
      <c r="K80" s="102"/>
      <c r="L80" s="102"/>
      <c r="M80" s="102"/>
      <c r="N80" s="102"/>
      <c r="O80" s="102"/>
      <c r="P80" s="102"/>
      <c r="Q80" s="102"/>
      <c r="R80" s="102"/>
      <c r="S80" s="102"/>
      <c r="T80" s="102"/>
      <c r="U80" s="102"/>
      <c r="V80" s="102"/>
      <c r="W80" s="102"/>
      <c r="X80" s="102"/>
      <c r="Y80" s="102"/>
      <c r="Z80" s="102"/>
    </row>
    <row r="81" spans="1:26" ht="15.75" customHeight="1">
      <c r="A81" s="102"/>
      <c r="B81" s="102"/>
      <c r="C81" s="102"/>
      <c r="D81" s="102"/>
      <c r="E81" s="102"/>
      <c r="F81" s="102"/>
      <c r="G81" s="102"/>
      <c r="H81" s="102"/>
      <c r="I81" s="102"/>
      <c r="J81" s="102"/>
      <c r="K81" s="102"/>
      <c r="L81" s="102"/>
      <c r="M81" s="102"/>
      <c r="N81" s="102"/>
      <c r="O81" s="102"/>
      <c r="P81" s="102"/>
      <c r="Q81" s="102"/>
      <c r="R81" s="102"/>
      <c r="S81" s="102"/>
      <c r="T81" s="102"/>
      <c r="U81" s="102"/>
      <c r="V81" s="102"/>
      <c r="W81" s="102"/>
      <c r="X81" s="102"/>
      <c r="Y81" s="102"/>
      <c r="Z81" s="102"/>
    </row>
    <row r="82" spans="1:26" ht="15.75" customHeight="1">
      <c r="A82" s="102"/>
      <c r="B82" s="102"/>
      <c r="C82" s="102"/>
      <c r="D82" s="102"/>
      <c r="E82" s="102"/>
      <c r="F82" s="102"/>
      <c r="G82" s="102"/>
      <c r="H82" s="102"/>
      <c r="I82" s="102"/>
      <c r="J82" s="102"/>
      <c r="K82" s="102"/>
      <c r="L82" s="102"/>
      <c r="M82" s="102"/>
      <c r="N82" s="102"/>
      <c r="O82" s="102"/>
      <c r="P82" s="102"/>
      <c r="Q82" s="102"/>
      <c r="R82" s="102"/>
      <c r="S82" s="102"/>
      <c r="T82" s="102"/>
      <c r="U82" s="102"/>
      <c r="V82" s="102"/>
      <c r="W82" s="102"/>
      <c r="X82" s="102"/>
      <c r="Y82" s="102"/>
      <c r="Z82" s="102"/>
    </row>
    <row r="83" spans="1:26" ht="15.75" customHeight="1">
      <c r="A83" s="102"/>
      <c r="B83" s="102"/>
      <c r="C83" s="102"/>
      <c r="D83" s="102"/>
      <c r="E83" s="102"/>
      <c r="F83" s="102"/>
      <c r="G83" s="102"/>
      <c r="H83" s="102"/>
      <c r="I83" s="102"/>
      <c r="J83" s="102"/>
      <c r="K83" s="102"/>
      <c r="L83" s="102"/>
      <c r="M83" s="102"/>
      <c r="N83" s="102"/>
      <c r="O83" s="102"/>
      <c r="P83" s="102"/>
      <c r="Q83" s="102"/>
      <c r="R83" s="102"/>
      <c r="S83" s="102"/>
      <c r="T83" s="102"/>
      <c r="U83" s="102"/>
      <c r="V83" s="102"/>
      <c r="W83" s="102"/>
      <c r="X83" s="102"/>
      <c r="Y83" s="102"/>
      <c r="Z83" s="102"/>
    </row>
    <row r="84" spans="1:26" ht="15.75" customHeight="1">
      <c r="A84" s="102"/>
      <c r="B84" s="102"/>
      <c r="C84" s="102"/>
      <c r="D84" s="102"/>
      <c r="E84" s="102"/>
      <c r="F84" s="102"/>
      <c r="G84" s="102"/>
      <c r="H84" s="102"/>
      <c r="I84" s="102"/>
      <c r="J84" s="102"/>
      <c r="K84" s="102"/>
      <c r="L84" s="102"/>
      <c r="M84" s="102"/>
      <c r="N84" s="102"/>
      <c r="O84" s="102"/>
      <c r="P84" s="102"/>
      <c r="Q84" s="102"/>
      <c r="R84" s="102"/>
      <c r="S84" s="102"/>
      <c r="T84" s="102"/>
      <c r="U84" s="102"/>
      <c r="V84" s="102"/>
      <c r="W84" s="102"/>
      <c r="X84" s="102"/>
      <c r="Y84" s="102"/>
      <c r="Z84" s="102"/>
    </row>
    <row r="85" spans="1:26" ht="15.75" customHeight="1">
      <c r="A85" s="102"/>
      <c r="B85" s="102"/>
      <c r="C85" s="102"/>
      <c r="D85" s="102"/>
      <c r="E85" s="102"/>
      <c r="F85" s="102"/>
      <c r="G85" s="102"/>
      <c r="H85" s="102"/>
      <c r="I85" s="102"/>
      <c r="J85" s="102"/>
      <c r="K85" s="102"/>
      <c r="L85" s="102"/>
      <c r="M85" s="102"/>
      <c r="N85" s="102"/>
      <c r="O85" s="102"/>
      <c r="P85" s="102"/>
      <c r="Q85" s="102"/>
      <c r="R85" s="102"/>
      <c r="S85" s="102"/>
      <c r="T85" s="102"/>
      <c r="U85" s="102"/>
      <c r="V85" s="102"/>
      <c r="W85" s="102"/>
      <c r="X85" s="102"/>
      <c r="Y85" s="102"/>
      <c r="Z85" s="102"/>
    </row>
    <row r="86" spans="1:26" ht="15.75" customHeight="1">
      <c r="A86" s="102"/>
      <c r="B86" s="102"/>
      <c r="C86" s="102"/>
      <c r="D86" s="102"/>
      <c r="E86" s="102"/>
      <c r="F86" s="102"/>
      <c r="G86" s="102"/>
      <c r="H86" s="102"/>
      <c r="I86" s="102"/>
      <c r="J86" s="102"/>
      <c r="K86" s="102"/>
      <c r="L86" s="102"/>
      <c r="M86" s="102"/>
      <c r="N86" s="102"/>
      <c r="O86" s="102"/>
      <c r="P86" s="102"/>
      <c r="Q86" s="102"/>
      <c r="R86" s="102"/>
      <c r="S86" s="102"/>
      <c r="T86" s="102"/>
      <c r="U86" s="102"/>
      <c r="V86" s="102"/>
      <c r="W86" s="102"/>
      <c r="X86" s="102"/>
      <c r="Y86" s="102"/>
      <c r="Z86" s="102"/>
    </row>
    <row r="87" spans="1:26" ht="15.75" customHeight="1">
      <c r="A87" s="102"/>
      <c r="B87" s="102"/>
      <c r="C87" s="102"/>
      <c r="D87" s="102"/>
      <c r="E87" s="102"/>
      <c r="F87" s="102"/>
      <c r="G87" s="102"/>
      <c r="H87" s="102"/>
      <c r="I87" s="102"/>
      <c r="J87" s="102"/>
      <c r="K87" s="102"/>
      <c r="L87" s="102"/>
      <c r="M87" s="102"/>
      <c r="N87" s="102"/>
      <c r="O87" s="102"/>
      <c r="P87" s="102"/>
      <c r="Q87" s="102"/>
      <c r="R87" s="102"/>
      <c r="S87" s="102"/>
      <c r="T87" s="102"/>
      <c r="U87" s="102"/>
      <c r="V87" s="102"/>
      <c r="W87" s="102"/>
      <c r="X87" s="102"/>
      <c r="Y87" s="102"/>
      <c r="Z87" s="102"/>
    </row>
    <row r="88" spans="1:26" ht="15.75" customHeight="1">
      <c r="A88" s="102"/>
      <c r="B88" s="102"/>
      <c r="C88" s="102"/>
      <c r="D88" s="102"/>
      <c r="E88" s="102"/>
      <c r="F88" s="102"/>
      <c r="G88" s="102"/>
      <c r="H88" s="102"/>
      <c r="I88" s="102"/>
      <c r="J88" s="102"/>
      <c r="K88" s="102"/>
      <c r="L88" s="102"/>
      <c r="M88" s="102"/>
      <c r="N88" s="102"/>
      <c r="O88" s="102"/>
      <c r="P88" s="102"/>
      <c r="Q88" s="102"/>
      <c r="R88" s="102"/>
      <c r="S88" s="102"/>
      <c r="T88" s="102"/>
      <c r="U88" s="102"/>
      <c r="V88" s="102"/>
      <c r="W88" s="102"/>
      <c r="X88" s="102"/>
      <c r="Y88" s="102"/>
      <c r="Z88" s="102"/>
    </row>
    <row r="89" spans="1:26" ht="15.75" customHeight="1">
      <c r="A89" s="102"/>
      <c r="B89" s="102"/>
      <c r="C89" s="102"/>
      <c r="D89" s="102"/>
      <c r="E89" s="102"/>
      <c r="F89" s="102"/>
      <c r="G89" s="102"/>
      <c r="H89" s="102"/>
      <c r="I89" s="102"/>
      <c r="J89" s="102"/>
      <c r="K89" s="102"/>
      <c r="L89" s="102"/>
      <c r="M89" s="102"/>
      <c r="N89" s="102"/>
      <c r="O89" s="102"/>
      <c r="P89" s="102"/>
      <c r="Q89" s="102"/>
      <c r="R89" s="102"/>
      <c r="S89" s="102"/>
      <c r="T89" s="102"/>
      <c r="U89" s="102"/>
      <c r="V89" s="102"/>
      <c r="W89" s="102"/>
      <c r="X89" s="102"/>
      <c r="Y89" s="102"/>
      <c r="Z89" s="102"/>
    </row>
    <row r="90" spans="1:26" ht="15.75" customHeight="1">
      <c r="A90" s="102"/>
      <c r="B90" s="102"/>
      <c r="C90" s="102"/>
      <c r="D90" s="102"/>
      <c r="E90" s="102"/>
      <c r="F90" s="102"/>
      <c r="G90" s="102"/>
      <c r="H90" s="102"/>
      <c r="I90" s="102"/>
      <c r="J90" s="102"/>
      <c r="K90" s="102"/>
      <c r="L90" s="102"/>
      <c r="M90" s="102"/>
      <c r="N90" s="102"/>
      <c r="O90" s="102"/>
      <c r="P90" s="102"/>
      <c r="Q90" s="102"/>
      <c r="R90" s="102"/>
      <c r="S90" s="102"/>
      <c r="T90" s="102"/>
      <c r="U90" s="102"/>
      <c r="V90" s="102"/>
      <c r="W90" s="102"/>
      <c r="X90" s="102"/>
      <c r="Y90" s="102"/>
      <c r="Z90" s="102"/>
    </row>
    <row r="91" spans="1:26" ht="15.75" customHeight="1">
      <c r="A91" s="102"/>
      <c r="B91" s="102"/>
      <c r="C91" s="102"/>
      <c r="D91" s="102"/>
      <c r="E91" s="102"/>
      <c r="F91" s="102"/>
      <c r="G91" s="102"/>
      <c r="H91" s="102"/>
      <c r="I91" s="102"/>
      <c r="J91" s="102"/>
      <c r="K91" s="102"/>
      <c r="L91" s="102"/>
      <c r="M91" s="102"/>
      <c r="N91" s="102"/>
      <c r="O91" s="102"/>
      <c r="P91" s="102"/>
      <c r="Q91" s="102"/>
      <c r="R91" s="102"/>
      <c r="S91" s="102"/>
      <c r="T91" s="102"/>
      <c r="U91" s="102"/>
      <c r="V91" s="102"/>
      <c r="W91" s="102"/>
      <c r="X91" s="102"/>
      <c r="Y91" s="102"/>
      <c r="Z91" s="102"/>
    </row>
    <row r="92" spans="1:26" ht="15.75" customHeight="1">
      <c r="A92" s="102"/>
      <c r="B92" s="102"/>
      <c r="C92" s="102"/>
      <c r="D92" s="102"/>
      <c r="E92" s="102"/>
      <c r="F92" s="102"/>
      <c r="G92" s="102"/>
      <c r="H92" s="102"/>
      <c r="I92" s="102"/>
      <c r="J92" s="102"/>
      <c r="K92" s="102"/>
      <c r="L92" s="102"/>
      <c r="M92" s="102"/>
      <c r="N92" s="102"/>
      <c r="O92" s="102"/>
      <c r="P92" s="102"/>
      <c r="Q92" s="102"/>
      <c r="R92" s="102"/>
      <c r="S92" s="102"/>
      <c r="T92" s="102"/>
      <c r="U92" s="102"/>
      <c r="V92" s="102"/>
      <c r="W92" s="102"/>
      <c r="X92" s="102"/>
      <c r="Y92" s="102"/>
      <c r="Z92" s="102"/>
    </row>
    <row r="93" spans="1:26" ht="15.75" customHeight="1">
      <c r="A93" s="102"/>
      <c r="B93" s="102"/>
      <c r="C93" s="102"/>
      <c r="D93" s="102"/>
      <c r="E93" s="102"/>
      <c r="F93" s="102"/>
      <c r="G93" s="102"/>
      <c r="H93" s="102"/>
      <c r="I93" s="102"/>
      <c r="J93" s="102"/>
      <c r="K93" s="102"/>
      <c r="L93" s="102"/>
      <c r="M93" s="102"/>
      <c r="N93" s="102"/>
      <c r="O93" s="102"/>
      <c r="P93" s="102"/>
      <c r="Q93" s="102"/>
      <c r="R93" s="102"/>
      <c r="S93" s="102"/>
      <c r="T93" s="102"/>
      <c r="U93" s="102"/>
      <c r="V93" s="102"/>
      <c r="W93" s="102"/>
      <c r="X93" s="102"/>
      <c r="Y93" s="102"/>
      <c r="Z93" s="102"/>
    </row>
    <row r="94" spans="1:26" ht="15.75" customHeight="1">
      <c r="A94" s="102"/>
      <c r="B94" s="102"/>
      <c r="C94" s="102"/>
      <c r="D94" s="102"/>
      <c r="E94" s="102"/>
      <c r="F94" s="102"/>
      <c r="G94" s="102"/>
      <c r="H94" s="102"/>
      <c r="I94" s="102"/>
      <c r="J94" s="102"/>
      <c r="K94" s="102"/>
      <c r="L94" s="102"/>
      <c r="M94" s="102"/>
      <c r="N94" s="102"/>
      <c r="O94" s="102"/>
      <c r="P94" s="102"/>
      <c r="Q94" s="102"/>
      <c r="R94" s="102"/>
      <c r="S94" s="102"/>
      <c r="T94" s="102"/>
      <c r="U94" s="102"/>
      <c r="V94" s="102"/>
      <c r="W94" s="102"/>
      <c r="X94" s="102"/>
      <c r="Y94" s="102"/>
      <c r="Z94" s="102"/>
    </row>
    <row r="95" spans="1:26" ht="15.75" customHeight="1">
      <c r="A95" s="102"/>
      <c r="B95" s="102"/>
      <c r="C95" s="102"/>
      <c r="D95" s="102"/>
      <c r="E95" s="102"/>
      <c r="F95" s="102"/>
      <c r="G95" s="102"/>
      <c r="H95" s="102"/>
      <c r="I95" s="102"/>
      <c r="J95" s="102"/>
      <c r="K95" s="102"/>
      <c r="L95" s="102"/>
      <c r="M95" s="102"/>
      <c r="N95" s="102"/>
      <c r="O95" s="102"/>
      <c r="P95" s="102"/>
      <c r="Q95" s="102"/>
      <c r="R95" s="102"/>
      <c r="S95" s="102"/>
      <c r="T95" s="102"/>
      <c r="U95" s="102"/>
      <c r="V95" s="102"/>
      <c r="W95" s="102"/>
      <c r="X95" s="102"/>
      <c r="Y95" s="102"/>
      <c r="Z95" s="102"/>
    </row>
    <row r="96" spans="1:26" ht="15.75" customHeight="1">
      <c r="A96" s="102"/>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row>
    <row r="97" spans="1:26" ht="15.75" customHeight="1">
      <c r="A97" s="102"/>
      <c r="B97" s="102"/>
      <c r="C97" s="102"/>
      <c r="D97" s="102"/>
      <c r="E97" s="102"/>
      <c r="F97" s="102"/>
      <c r="G97" s="102"/>
      <c r="H97" s="102"/>
      <c r="I97" s="102"/>
      <c r="J97" s="102"/>
      <c r="K97" s="102"/>
      <c r="L97" s="102"/>
      <c r="M97" s="102"/>
      <c r="N97" s="102"/>
      <c r="O97" s="102"/>
      <c r="P97" s="102"/>
      <c r="Q97" s="102"/>
      <c r="R97" s="102"/>
      <c r="S97" s="102"/>
      <c r="T97" s="102"/>
      <c r="U97" s="102"/>
      <c r="V97" s="102"/>
      <c r="W97" s="102"/>
      <c r="X97" s="102"/>
      <c r="Y97" s="102"/>
      <c r="Z97" s="102"/>
    </row>
    <row r="98" spans="1:26" ht="15.75" customHeight="1">
      <c r="A98" s="102"/>
      <c r="B98" s="102"/>
      <c r="C98" s="102"/>
      <c r="D98" s="102"/>
      <c r="E98" s="102"/>
      <c r="F98" s="102"/>
      <c r="G98" s="102"/>
      <c r="H98" s="102"/>
      <c r="I98" s="102"/>
      <c r="J98" s="102"/>
      <c r="K98" s="102"/>
      <c r="L98" s="102"/>
      <c r="M98" s="102"/>
      <c r="N98" s="102"/>
      <c r="O98" s="102"/>
      <c r="P98" s="102"/>
      <c r="Q98" s="102"/>
      <c r="R98" s="102"/>
      <c r="S98" s="102"/>
      <c r="T98" s="102"/>
      <c r="U98" s="102"/>
      <c r="V98" s="102"/>
      <c r="W98" s="102"/>
      <c r="X98" s="102"/>
      <c r="Y98" s="102"/>
      <c r="Z98" s="102"/>
    </row>
    <row r="99" spans="1:26" ht="15.75" customHeight="1">
      <c r="A99" s="102"/>
      <c r="B99" s="102"/>
      <c r="C99" s="102"/>
      <c r="D99" s="102"/>
      <c r="E99" s="102"/>
      <c r="F99" s="102"/>
      <c r="G99" s="102"/>
      <c r="H99" s="102"/>
      <c r="I99" s="102"/>
      <c r="J99" s="102"/>
      <c r="K99" s="102"/>
      <c r="L99" s="102"/>
      <c r="M99" s="102"/>
      <c r="N99" s="102"/>
      <c r="O99" s="102"/>
      <c r="P99" s="102"/>
      <c r="Q99" s="102"/>
      <c r="R99" s="102"/>
      <c r="S99" s="102"/>
      <c r="T99" s="102"/>
      <c r="U99" s="102"/>
      <c r="V99" s="102"/>
      <c r="W99" s="102"/>
      <c r="X99" s="102"/>
      <c r="Y99" s="102"/>
      <c r="Z99" s="102"/>
    </row>
    <row r="100" spans="1:26" ht="15.75" customHeight="1">
      <c r="A100" s="102"/>
      <c r="B100" s="102"/>
      <c r="C100" s="102"/>
      <c r="D100" s="102"/>
      <c r="E100" s="102"/>
      <c r="F100" s="102"/>
      <c r="G100" s="102"/>
      <c r="H100" s="102"/>
      <c r="I100" s="102"/>
      <c r="J100" s="102"/>
      <c r="K100" s="102"/>
      <c r="L100" s="102"/>
      <c r="M100" s="102"/>
      <c r="N100" s="102"/>
      <c r="O100" s="102"/>
      <c r="P100" s="102"/>
      <c r="Q100" s="102"/>
      <c r="R100" s="102"/>
      <c r="S100" s="102"/>
      <c r="T100" s="102"/>
      <c r="U100" s="102"/>
      <c r="V100" s="102"/>
      <c r="W100" s="102"/>
      <c r="X100" s="102"/>
      <c r="Y100" s="102"/>
      <c r="Z100" s="102"/>
    </row>
    <row r="101" spans="1:26" ht="15.75" customHeight="1">
      <c r="A101" s="102"/>
      <c r="B101" s="102"/>
      <c r="C101" s="102"/>
      <c r="D101" s="102"/>
      <c r="E101" s="102"/>
      <c r="F101" s="102"/>
      <c r="G101" s="102"/>
      <c r="H101" s="102"/>
      <c r="I101" s="102"/>
      <c r="J101" s="102"/>
      <c r="K101" s="102"/>
      <c r="L101" s="102"/>
      <c r="M101" s="102"/>
      <c r="N101" s="102"/>
      <c r="O101" s="102"/>
      <c r="P101" s="102"/>
      <c r="Q101" s="102"/>
      <c r="R101" s="102"/>
      <c r="S101" s="102"/>
      <c r="T101" s="102"/>
      <c r="U101" s="102"/>
      <c r="V101" s="102"/>
      <c r="W101" s="102"/>
      <c r="X101" s="102"/>
      <c r="Y101" s="102"/>
      <c r="Z101" s="102"/>
    </row>
    <row r="102" spans="1:26" ht="15.75" customHeight="1">
      <c r="A102" s="102"/>
      <c r="B102" s="102"/>
      <c r="C102" s="102"/>
      <c r="D102" s="102"/>
      <c r="E102" s="102"/>
      <c r="F102" s="102"/>
      <c r="G102" s="102"/>
      <c r="H102" s="102"/>
      <c r="I102" s="102"/>
      <c r="J102" s="102"/>
      <c r="K102" s="102"/>
      <c r="L102" s="102"/>
      <c r="M102" s="102"/>
      <c r="N102" s="102"/>
      <c r="O102" s="102"/>
      <c r="P102" s="102"/>
      <c r="Q102" s="102"/>
      <c r="R102" s="102"/>
      <c r="S102" s="102"/>
      <c r="T102" s="102"/>
      <c r="U102" s="102"/>
      <c r="V102" s="102"/>
      <c r="W102" s="102"/>
      <c r="X102" s="102"/>
      <c r="Y102" s="102"/>
      <c r="Z102" s="102"/>
    </row>
    <row r="103" spans="1:26" ht="15.75" customHeight="1">
      <c r="A103" s="102"/>
      <c r="B103" s="102"/>
      <c r="C103" s="102"/>
      <c r="D103" s="102"/>
      <c r="E103" s="102"/>
      <c r="F103" s="102"/>
      <c r="G103" s="102"/>
      <c r="H103" s="102"/>
      <c r="I103" s="102"/>
      <c r="J103" s="102"/>
      <c r="K103" s="102"/>
      <c r="L103" s="102"/>
      <c r="M103" s="102"/>
      <c r="N103" s="102"/>
      <c r="O103" s="102"/>
      <c r="P103" s="102"/>
      <c r="Q103" s="102"/>
      <c r="R103" s="102"/>
      <c r="S103" s="102"/>
      <c r="T103" s="102"/>
      <c r="U103" s="102"/>
      <c r="V103" s="102"/>
      <c r="W103" s="102"/>
      <c r="X103" s="102"/>
      <c r="Y103" s="102"/>
      <c r="Z103" s="102"/>
    </row>
    <row r="104" spans="1:26" ht="15.75" customHeight="1">
      <c r="A104" s="102"/>
      <c r="B104" s="102"/>
      <c r="C104" s="102"/>
      <c r="D104" s="102"/>
      <c r="E104" s="102"/>
      <c r="F104" s="102"/>
      <c r="G104" s="102"/>
      <c r="H104" s="102"/>
      <c r="I104" s="102"/>
      <c r="J104" s="102"/>
      <c r="K104" s="102"/>
      <c r="L104" s="102"/>
      <c r="M104" s="102"/>
      <c r="N104" s="102"/>
      <c r="O104" s="102"/>
      <c r="P104" s="102"/>
      <c r="Q104" s="102"/>
      <c r="R104" s="102"/>
      <c r="S104" s="102"/>
      <c r="T104" s="102"/>
      <c r="U104" s="102"/>
      <c r="V104" s="102"/>
      <c r="W104" s="102"/>
      <c r="X104" s="102"/>
      <c r="Y104" s="102"/>
      <c r="Z104" s="102"/>
    </row>
    <row r="105" spans="1:26" ht="15.75" customHeight="1">
      <c r="A105" s="102"/>
      <c r="B105" s="102"/>
      <c r="C105" s="102"/>
      <c r="D105" s="102"/>
      <c r="E105" s="102"/>
      <c r="F105" s="102"/>
      <c r="G105" s="102"/>
      <c r="H105" s="102"/>
      <c r="I105" s="102"/>
      <c r="J105" s="102"/>
      <c r="K105" s="102"/>
      <c r="L105" s="102"/>
      <c r="M105" s="102"/>
      <c r="N105" s="102"/>
      <c r="O105" s="102"/>
      <c r="P105" s="102"/>
      <c r="Q105" s="102"/>
      <c r="R105" s="102"/>
      <c r="S105" s="102"/>
      <c r="T105" s="102"/>
      <c r="U105" s="102"/>
      <c r="V105" s="102"/>
      <c r="W105" s="102"/>
      <c r="X105" s="102"/>
      <c r="Y105" s="102"/>
      <c r="Z105" s="102"/>
    </row>
    <row r="106" spans="1:26" ht="15.75" customHeight="1">
      <c r="A106" s="102"/>
      <c r="B106" s="102"/>
      <c r="C106" s="102"/>
      <c r="D106" s="102"/>
      <c r="E106" s="102"/>
      <c r="F106" s="102"/>
      <c r="G106" s="102"/>
      <c r="H106" s="102"/>
      <c r="I106" s="102"/>
      <c r="J106" s="102"/>
      <c r="K106" s="102"/>
      <c r="L106" s="102"/>
      <c r="M106" s="102"/>
      <c r="N106" s="102"/>
      <c r="O106" s="102"/>
      <c r="P106" s="102"/>
      <c r="Q106" s="102"/>
      <c r="R106" s="102"/>
      <c r="S106" s="102"/>
      <c r="T106" s="102"/>
      <c r="U106" s="102"/>
      <c r="V106" s="102"/>
      <c r="W106" s="102"/>
      <c r="X106" s="102"/>
      <c r="Y106" s="102"/>
      <c r="Z106" s="102"/>
    </row>
    <row r="107" spans="1:26" ht="15.75" customHeight="1">
      <c r="A107" s="102"/>
      <c r="B107" s="102"/>
      <c r="C107" s="102"/>
      <c r="D107" s="102"/>
      <c r="E107" s="102"/>
      <c r="F107" s="102"/>
      <c r="G107" s="102"/>
      <c r="H107" s="102"/>
      <c r="I107" s="102"/>
      <c r="J107" s="102"/>
      <c r="K107" s="102"/>
      <c r="L107" s="102"/>
      <c r="M107" s="102"/>
      <c r="N107" s="102"/>
      <c r="O107" s="102"/>
      <c r="P107" s="102"/>
      <c r="Q107" s="102"/>
      <c r="R107" s="102"/>
      <c r="S107" s="102"/>
      <c r="T107" s="102"/>
      <c r="U107" s="102"/>
      <c r="V107" s="102"/>
      <c r="W107" s="102"/>
      <c r="X107" s="102"/>
      <c r="Y107" s="102"/>
      <c r="Z107" s="102"/>
    </row>
    <row r="108" spans="1:26" ht="15.75" customHeight="1">
      <c r="A108" s="102"/>
      <c r="B108" s="102"/>
      <c r="C108" s="102"/>
      <c r="D108" s="102"/>
      <c r="E108" s="102"/>
      <c r="F108" s="102"/>
      <c r="G108" s="102"/>
      <c r="H108" s="102"/>
      <c r="I108" s="102"/>
      <c r="J108" s="102"/>
      <c r="K108" s="102"/>
      <c r="L108" s="102"/>
      <c r="M108" s="102"/>
      <c r="N108" s="102"/>
      <c r="O108" s="102"/>
      <c r="P108" s="102"/>
      <c r="Q108" s="102"/>
      <c r="R108" s="102"/>
      <c r="S108" s="102"/>
      <c r="T108" s="102"/>
      <c r="U108" s="102"/>
      <c r="V108" s="102"/>
      <c r="W108" s="102"/>
      <c r="X108" s="102"/>
      <c r="Y108" s="102"/>
      <c r="Z108" s="102"/>
    </row>
    <row r="109" spans="1:26" ht="15.75" customHeight="1">
      <c r="A109" s="102"/>
      <c r="B109" s="102"/>
      <c r="C109" s="102"/>
      <c r="D109" s="102"/>
      <c r="E109" s="102"/>
      <c r="F109" s="102"/>
      <c r="G109" s="102"/>
      <c r="H109" s="102"/>
      <c r="I109" s="102"/>
      <c r="J109" s="102"/>
      <c r="K109" s="102"/>
      <c r="L109" s="102"/>
      <c r="M109" s="102"/>
      <c r="N109" s="102"/>
      <c r="O109" s="102"/>
      <c r="P109" s="102"/>
      <c r="Q109" s="102"/>
      <c r="R109" s="102"/>
      <c r="S109" s="102"/>
      <c r="T109" s="102"/>
      <c r="U109" s="102"/>
      <c r="V109" s="102"/>
      <c r="W109" s="102"/>
      <c r="X109" s="102"/>
      <c r="Y109" s="102"/>
      <c r="Z109" s="102"/>
    </row>
    <row r="110" spans="1:26" ht="15.75" customHeight="1">
      <c r="A110" s="102"/>
      <c r="B110" s="102"/>
      <c r="C110" s="102"/>
      <c r="D110" s="102"/>
      <c r="E110" s="102"/>
      <c r="F110" s="102"/>
      <c r="G110" s="102"/>
      <c r="H110" s="102"/>
      <c r="I110" s="102"/>
      <c r="J110" s="102"/>
      <c r="K110" s="102"/>
      <c r="L110" s="102"/>
      <c r="M110" s="102"/>
      <c r="N110" s="102"/>
      <c r="O110" s="102"/>
      <c r="P110" s="102"/>
      <c r="Q110" s="102"/>
      <c r="R110" s="102"/>
      <c r="S110" s="102"/>
      <c r="T110" s="102"/>
      <c r="U110" s="102"/>
      <c r="V110" s="102"/>
      <c r="W110" s="102"/>
      <c r="X110" s="102"/>
      <c r="Y110" s="102"/>
      <c r="Z110" s="102"/>
    </row>
    <row r="111" spans="1:26" ht="15.75" customHeight="1">
      <c r="A111" s="102"/>
      <c r="B111" s="102"/>
      <c r="C111" s="102"/>
      <c r="D111" s="102"/>
      <c r="E111" s="102"/>
      <c r="F111" s="102"/>
      <c r="G111" s="102"/>
      <c r="H111" s="102"/>
      <c r="I111" s="102"/>
      <c r="J111" s="102"/>
      <c r="K111" s="102"/>
      <c r="L111" s="102"/>
      <c r="M111" s="102"/>
      <c r="N111" s="102"/>
      <c r="O111" s="102"/>
      <c r="P111" s="102"/>
      <c r="Q111" s="102"/>
      <c r="R111" s="102"/>
      <c r="S111" s="102"/>
      <c r="T111" s="102"/>
      <c r="U111" s="102"/>
      <c r="V111" s="102"/>
      <c r="W111" s="102"/>
      <c r="X111" s="102"/>
      <c r="Y111" s="102"/>
      <c r="Z111" s="102"/>
    </row>
    <row r="112" spans="1:26" ht="15.75" customHeight="1">
      <c r="A112" s="102"/>
      <c r="B112" s="102"/>
      <c r="C112" s="102"/>
      <c r="D112" s="102"/>
      <c r="E112" s="102"/>
      <c r="F112" s="102"/>
      <c r="G112" s="102"/>
      <c r="H112" s="102"/>
      <c r="I112" s="102"/>
      <c r="J112" s="102"/>
      <c r="K112" s="102"/>
      <c r="L112" s="102"/>
      <c r="M112" s="102"/>
      <c r="N112" s="102"/>
      <c r="O112" s="102"/>
      <c r="P112" s="102"/>
      <c r="Q112" s="102"/>
      <c r="R112" s="102"/>
      <c r="S112" s="102"/>
      <c r="T112" s="102"/>
      <c r="U112" s="102"/>
      <c r="V112" s="102"/>
      <c r="W112" s="102"/>
      <c r="X112" s="102"/>
      <c r="Y112" s="102"/>
      <c r="Z112" s="102"/>
    </row>
    <row r="113" spans="1:26" ht="15.75" customHeight="1">
      <c r="A113" s="102"/>
      <c r="B113" s="102"/>
      <c r="C113" s="102"/>
      <c r="D113" s="102"/>
      <c r="E113" s="102"/>
      <c r="F113" s="102"/>
      <c r="G113" s="102"/>
      <c r="H113" s="102"/>
      <c r="I113" s="102"/>
      <c r="J113" s="102"/>
      <c r="K113" s="102"/>
      <c r="L113" s="102"/>
      <c r="M113" s="102"/>
      <c r="N113" s="102"/>
      <c r="O113" s="102"/>
      <c r="P113" s="102"/>
      <c r="Q113" s="102"/>
      <c r="R113" s="102"/>
      <c r="S113" s="102"/>
      <c r="T113" s="102"/>
      <c r="U113" s="102"/>
      <c r="V113" s="102"/>
      <c r="W113" s="102"/>
      <c r="X113" s="102"/>
      <c r="Y113" s="102"/>
      <c r="Z113" s="102"/>
    </row>
    <row r="114" spans="1:26" ht="15.75" customHeight="1">
      <c r="A114" s="102"/>
      <c r="B114" s="102"/>
      <c r="C114" s="102"/>
      <c r="D114" s="102"/>
      <c r="E114" s="102"/>
      <c r="F114" s="102"/>
      <c r="G114" s="102"/>
      <c r="H114" s="102"/>
      <c r="I114" s="102"/>
      <c r="J114" s="102"/>
      <c r="K114" s="102"/>
      <c r="L114" s="102"/>
      <c r="M114" s="102"/>
      <c r="N114" s="102"/>
      <c r="O114" s="102"/>
      <c r="P114" s="102"/>
      <c r="Q114" s="102"/>
      <c r="R114" s="102"/>
      <c r="S114" s="102"/>
      <c r="T114" s="102"/>
      <c r="U114" s="102"/>
      <c r="V114" s="102"/>
      <c r="W114" s="102"/>
      <c r="X114" s="102"/>
      <c r="Y114" s="102"/>
      <c r="Z114" s="102"/>
    </row>
    <row r="115" spans="1:26" ht="15.75" customHeight="1">
      <c r="A115" s="102"/>
      <c r="B115" s="102"/>
      <c r="C115" s="102"/>
      <c r="D115" s="102"/>
      <c r="E115" s="102"/>
      <c r="F115" s="102"/>
      <c r="G115" s="102"/>
      <c r="H115" s="102"/>
      <c r="I115" s="102"/>
      <c r="J115" s="102"/>
      <c r="K115" s="102"/>
      <c r="L115" s="102"/>
      <c r="M115" s="102"/>
      <c r="N115" s="102"/>
      <c r="O115" s="102"/>
      <c r="P115" s="102"/>
      <c r="Q115" s="102"/>
      <c r="R115" s="102"/>
      <c r="S115" s="102"/>
      <c r="T115" s="102"/>
      <c r="U115" s="102"/>
      <c r="V115" s="102"/>
      <c r="W115" s="102"/>
      <c r="X115" s="102"/>
      <c r="Y115" s="102"/>
      <c r="Z115" s="102"/>
    </row>
    <row r="116" spans="1:26" ht="15.75" customHeight="1">
      <c r="A116" s="102"/>
      <c r="B116" s="102"/>
      <c r="C116" s="102"/>
      <c r="D116" s="102"/>
      <c r="E116" s="102"/>
      <c r="F116" s="102"/>
      <c r="G116" s="102"/>
      <c r="H116" s="102"/>
      <c r="I116" s="102"/>
      <c r="J116" s="102"/>
      <c r="K116" s="102"/>
      <c r="L116" s="102"/>
      <c r="M116" s="102"/>
      <c r="N116" s="102"/>
      <c r="O116" s="102"/>
      <c r="P116" s="102"/>
      <c r="Q116" s="102"/>
      <c r="R116" s="102"/>
      <c r="S116" s="102"/>
      <c r="T116" s="102"/>
      <c r="U116" s="102"/>
      <c r="V116" s="102"/>
      <c r="W116" s="102"/>
      <c r="X116" s="102"/>
      <c r="Y116" s="102"/>
      <c r="Z116" s="102"/>
    </row>
    <row r="117" spans="1:26" ht="15.75" customHeight="1">
      <c r="A117" s="102"/>
      <c r="B117" s="102"/>
      <c r="C117" s="102"/>
      <c r="D117" s="102"/>
      <c r="E117" s="102"/>
      <c r="F117" s="102"/>
      <c r="G117" s="102"/>
      <c r="H117" s="102"/>
      <c r="I117" s="102"/>
      <c r="J117" s="102"/>
      <c r="K117" s="102"/>
      <c r="L117" s="102"/>
      <c r="M117" s="102"/>
      <c r="N117" s="102"/>
      <c r="O117" s="102"/>
      <c r="P117" s="102"/>
      <c r="Q117" s="102"/>
      <c r="R117" s="102"/>
      <c r="S117" s="102"/>
      <c r="T117" s="102"/>
      <c r="U117" s="102"/>
      <c r="V117" s="102"/>
      <c r="W117" s="102"/>
      <c r="X117" s="102"/>
      <c r="Y117" s="102"/>
      <c r="Z117" s="102"/>
    </row>
    <row r="118" spans="1:26" ht="15.75" customHeight="1">
      <c r="A118" s="102"/>
      <c r="B118" s="102"/>
      <c r="C118" s="102"/>
      <c r="D118" s="102"/>
      <c r="E118" s="102"/>
      <c r="F118" s="102"/>
      <c r="G118" s="102"/>
      <c r="H118" s="102"/>
      <c r="I118" s="102"/>
      <c r="J118" s="102"/>
      <c r="K118" s="102"/>
      <c r="L118" s="102"/>
      <c r="M118" s="102"/>
      <c r="N118" s="102"/>
      <c r="O118" s="102"/>
      <c r="P118" s="102"/>
      <c r="Q118" s="102"/>
      <c r="R118" s="102"/>
      <c r="S118" s="102"/>
      <c r="T118" s="102"/>
      <c r="U118" s="102"/>
      <c r="V118" s="102"/>
      <c r="W118" s="102"/>
      <c r="X118" s="102"/>
      <c r="Y118" s="102"/>
      <c r="Z118" s="102"/>
    </row>
    <row r="119" spans="1:26" ht="15.75" customHeight="1">
      <c r="A119" s="102"/>
      <c r="B119" s="102"/>
      <c r="C119" s="102"/>
      <c r="D119" s="102"/>
      <c r="E119" s="102"/>
      <c r="F119" s="102"/>
      <c r="G119" s="102"/>
      <c r="H119" s="102"/>
      <c r="I119" s="102"/>
      <c r="J119" s="102"/>
      <c r="K119" s="102"/>
      <c r="L119" s="102"/>
      <c r="M119" s="102"/>
      <c r="N119" s="102"/>
      <c r="O119" s="102"/>
      <c r="P119" s="102"/>
      <c r="Q119" s="102"/>
      <c r="R119" s="102"/>
      <c r="S119" s="102"/>
      <c r="T119" s="102"/>
      <c r="U119" s="102"/>
      <c r="V119" s="102"/>
      <c r="W119" s="102"/>
      <c r="X119" s="102"/>
      <c r="Y119" s="102"/>
      <c r="Z119" s="102"/>
    </row>
    <row r="120" spans="1:26" ht="15.75" customHeight="1">
      <c r="A120" s="102"/>
      <c r="B120" s="102"/>
      <c r="C120" s="102"/>
      <c r="D120" s="102"/>
      <c r="E120" s="102"/>
      <c r="F120" s="102"/>
      <c r="G120" s="102"/>
      <c r="H120" s="102"/>
      <c r="I120" s="102"/>
      <c r="J120" s="102"/>
      <c r="K120" s="102"/>
      <c r="L120" s="102"/>
      <c r="M120" s="102"/>
      <c r="N120" s="102"/>
      <c r="O120" s="102"/>
      <c r="P120" s="102"/>
      <c r="Q120" s="102"/>
      <c r="R120" s="102"/>
      <c r="S120" s="102"/>
      <c r="T120" s="102"/>
      <c r="U120" s="102"/>
      <c r="V120" s="102"/>
      <c r="W120" s="102"/>
      <c r="X120" s="102"/>
      <c r="Y120" s="102"/>
      <c r="Z120" s="102"/>
    </row>
    <row r="121" spans="1:26" ht="15.75" customHeight="1">
      <c r="A121" s="102"/>
      <c r="B121" s="102"/>
      <c r="C121" s="102"/>
      <c r="D121" s="102"/>
      <c r="E121" s="102"/>
      <c r="F121" s="102"/>
      <c r="G121" s="102"/>
      <c r="H121" s="102"/>
      <c r="I121" s="102"/>
      <c r="J121" s="102"/>
      <c r="K121" s="102"/>
      <c r="L121" s="102"/>
      <c r="M121" s="102"/>
      <c r="N121" s="102"/>
      <c r="O121" s="102"/>
      <c r="P121" s="102"/>
      <c r="Q121" s="102"/>
      <c r="R121" s="102"/>
      <c r="S121" s="102"/>
      <c r="T121" s="102"/>
      <c r="U121" s="102"/>
      <c r="V121" s="102"/>
      <c r="W121" s="102"/>
      <c r="X121" s="102"/>
      <c r="Y121" s="102"/>
      <c r="Z121" s="102"/>
    </row>
    <row r="122" spans="1:26" ht="15.75" customHeight="1">
      <c r="A122" s="102"/>
      <c r="B122" s="102"/>
      <c r="C122" s="102"/>
      <c r="D122" s="102"/>
      <c r="E122" s="102"/>
      <c r="F122" s="102"/>
      <c r="G122" s="102"/>
      <c r="H122" s="102"/>
      <c r="I122" s="102"/>
      <c r="J122" s="102"/>
      <c r="K122" s="102"/>
      <c r="L122" s="102"/>
      <c r="M122" s="102"/>
      <c r="N122" s="102"/>
      <c r="O122" s="102"/>
      <c r="P122" s="102"/>
      <c r="Q122" s="102"/>
      <c r="R122" s="102"/>
      <c r="S122" s="102"/>
      <c r="T122" s="102"/>
      <c r="U122" s="102"/>
      <c r="V122" s="102"/>
      <c r="W122" s="102"/>
      <c r="X122" s="102"/>
      <c r="Y122" s="102"/>
      <c r="Z122" s="102"/>
    </row>
    <row r="123" spans="1:26" ht="15.75" customHeight="1">
      <c r="A123" s="102"/>
      <c r="B123" s="102"/>
      <c r="C123" s="102"/>
      <c r="D123" s="102"/>
      <c r="E123" s="102"/>
      <c r="F123" s="102"/>
      <c r="G123" s="102"/>
      <c r="H123" s="102"/>
      <c r="I123" s="102"/>
      <c r="J123" s="102"/>
      <c r="K123" s="102"/>
      <c r="L123" s="102"/>
      <c r="M123" s="102"/>
      <c r="N123" s="102"/>
      <c r="O123" s="102"/>
      <c r="P123" s="102"/>
      <c r="Q123" s="102"/>
      <c r="R123" s="102"/>
      <c r="S123" s="102"/>
      <c r="T123" s="102"/>
      <c r="U123" s="102"/>
      <c r="V123" s="102"/>
      <c r="W123" s="102"/>
      <c r="X123" s="102"/>
      <c r="Y123" s="102"/>
      <c r="Z123" s="102"/>
    </row>
    <row r="124" spans="1:26" ht="15.75" customHeight="1">
      <c r="A124" s="102"/>
      <c r="B124" s="102"/>
      <c r="C124" s="102"/>
      <c r="D124" s="102"/>
      <c r="E124" s="102"/>
      <c r="F124" s="102"/>
      <c r="G124" s="102"/>
      <c r="H124" s="102"/>
      <c r="I124" s="102"/>
      <c r="J124" s="102"/>
      <c r="K124" s="102"/>
      <c r="L124" s="102"/>
      <c r="M124" s="102"/>
      <c r="N124" s="102"/>
      <c r="O124" s="102"/>
      <c r="P124" s="102"/>
      <c r="Q124" s="102"/>
      <c r="R124" s="102"/>
      <c r="S124" s="102"/>
      <c r="T124" s="102"/>
      <c r="U124" s="102"/>
      <c r="V124" s="102"/>
      <c r="W124" s="102"/>
      <c r="X124" s="102"/>
      <c r="Y124" s="102"/>
      <c r="Z124" s="102"/>
    </row>
    <row r="125" spans="1:26" ht="15.75" customHeight="1">
      <c r="A125" s="102"/>
      <c r="B125" s="102"/>
      <c r="C125" s="102"/>
      <c r="D125" s="102"/>
      <c r="E125" s="102"/>
      <c r="F125" s="102"/>
      <c r="G125" s="102"/>
      <c r="H125" s="102"/>
      <c r="I125" s="102"/>
      <c r="J125" s="102"/>
      <c r="K125" s="102"/>
      <c r="L125" s="102"/>
      <c r="M125" s="102"/>
      <c r="N125" s="102"/>
      <c r="O125" s="102"/>
      <c r="P125" s="102"/>
      <c r="Q125" s="102"/>
      <c r="R125" s="102"/>
      <c r="S125" s="102"/>
      <c r="T125" s="102"/>
      <c r="U125" s="102"/>
      <c r="V125" s="102"/>
      <c r="W125" s="102"/>
      <c r="X125" s="102"/>
      <c r="Y125" s="102"/>
      <c r="Z125" s="102"/>
    </row>
    <row r="126" spans="1:26" ht="15.75" customHeight="1">
      <c r="A126" s="102"/>
      <c r="B126" s="102"/>
      <c r="C126" s="102"/>
      <c r="D126" s="102"/>
      <c r="E126" s="102"/>
      <c r="F126" s="102"/>
      <c r="G126" s="102"/>
      <c r="H126" s="102"/>
      <c r="I126" s="102"/>
      <c r="J126" s="102"/>
      <c r="K126" s="102"/>
      <c r="L126" s="102"/>
      <c r="M126" s="102"/>
      <c r="N126" s="102"/>
      <c r="O126" s="102"/>
      <c r="P126" s="102"/>
      <c r="Q126" s="102"/>
      <c r="R126" s="102"/>
      <c r="S126" s="102"/>
      <c r="T126" s="102"/>
      <c r="U126" s="102"/>
      <c r="V126" s="102"/>
      <c r="W126" s="102"/>
      <c r="X126" s="102"/>
      <c r="Y126" s="102"/>
      <c r="Z126" s="102"/>
    </row>
    <row r="127" spans="1:26" ht="15.75" customHeight="1">
      <c r="A127" s="102"/>
      <c r="B127" s="102"/>
      <c r="C127" s="102"/>
      <c r="D127" s="102"/>
      <c r="E127" s="102"/>
      <c r="F127" s="102"/>
      <c r="G127" s="102"/>
      <c r="H127" s="102"/>
      <c r="I127" s="102"/>
      <c r="J127" s="102"/>
      <c r="K127" s="102"/>
      <c r="L127" s="102"/>
      <c r="M127" s="102"/>
      <c r="N127" s="102"/>
      <c r="O127" s="102"/>
      <c r="P127" s="102"/>
      <c r="Q127" s="102"/>
      <c r="R127" s="102"/>
      <c r="S127" s="102"/>
      <c r="T127" s="102"/>
      <c r="U127" s="102"/>
      <c r="V127" s="102"/>
      <c r="W127" s="102"/>
      <c r="X127" s="102"/>
      <c r="Y127" s="102"/>
      <c r="Z127" s="102"/>
    </row>
    <row r="128" spans="1:26" ht="15.75" customHeight="1">
      <c r="A128" s="102"/>
      <c r="B128" s="102"/>
      <c r="C128" s="102"/>
      <c r="D128" s="102"/>
      <c r="E128" s="102"/>
      <c r="F128" s="102"/>
      <c r="G128" s="102"/>
      <c r="H128" s="102"/>
      <c r="I128" s="102"/>
      <c r="J128" s="102"/>
      <c r="K128" s="102"/>
      <c r="L128" s="102"/>
      <c r="M128" s="102"/>
      <c r="N128" s="102"/>
      <c r="O128" s="102"/>
      <c r="P128" s="102"/>
      <c r="Q128" s="102"/>
      <c r="R128" s="102"/>
      <c r="S128" s="102"/>
      <c r="T128" s="102"/>
      <c r="U128" s="102"/>
      <c r="V128" s="102"/>
      <c r="W128" s="102"/>
      <c r="X128" s="102"/>
      <c r="Y128" s="102"/>
      <c r="Z128" s="102"/>
    </row>
    <row r="129" spans="1:26" ht="15.75" customHeight="1">
      <c r="A129" s="102"/>
      <c r="B129" s="102"/>
      <c r="C129" s="102"/>
      <c r="D129" s="102"/>
      <c r="E129" s="102"/>
      <c r="F129" s="102"/>
      <c r="G129" s="102"/>
      <c r="H129" s="102"/>
      <c r="I129" s="102"/>
      <c r="J129" s="102"/>
      <c r="K129" s="102"/>
      <c r="L129" s="102"/>
      <c r="M129" s="102"/>
      <c r="N129" s="102"/>
      <c r="O129" s="102"/>
      <c r="P129" s="102"/>
      <c r="Q129" s="102"/>
      <c r="R129" s="102"/>
      <c r="S129" s="102"/>
      <c r="T129" s="102"/>
      <c r="U129" s="102"/>
      <c r="V129" s="102"/>
      <c r="W129" s="102"/>
      <c r="X129" s="102"/>
      <c r="Y129" s="102"/>
      <c r="Z129" s="102"/>
    </row>
    <row r="130" spans="1:26" ht="15.75" customHeight="1">
      <c r="A130" s="102"/>
      <c r="B130" s="102"/>
      <c r="C130" s="102"/>
      <c r="D130" s="102"/>
      <c r="E130" s="102"/>
      <c r="F130" s="102"/>
      <c r="G130" s="102"/>
      <c r="H130" s="102"/>
      <c r="I130" s="102"/>
      <c r="J130" s="102"/>
      <c r="K130" s="102"/>
      <c r="L130" s="102"/>
      <c r="M130" s="102"/>
      <c r="N130" s="102"/>
      <c r="O130" s="102"/>
      <c r="P130" s="102"/>
      <c r="Q130" s="102"/>
      <c r="R130" s="102"/>
      <c r="S130" s="102"/>
      <c r="T130" s="102"/>
      <c r="U130" s="102"/>
      <c r="V130" s="102"/>
      <c r="W130" s="102"/>
      <c r="X130" s="102"/>
      <c r="Y130" s="102"/>
      <c r="Z130" s="102"/>
    </row>
    <row r="131" spans="1:26" ht="15.75" customHeight="1">
      <c r="A131" s="102"/>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row>
    <row r="132" spans="1:26" ht="15.75" customHeight="1">
      <c r="A132" s="102"/>
      <c r="B132" s="102"/>
      <c r="C132" s="102"/>
      <c r="D132" s="102"/>
      <c r="E132" s="102"/>
      <c r="F132" s="102"/>
      <c r="G132" s="102"/>
      <c r="H132" s="102"/>
      <c r="I132" s="102"/>
      <c r="J132" s="102"/>
      <c r="K132" s="102"/>
      <c r="L132" s="102"/>
      <c r="M132" s="102"/>
      <c r="N132" s="102"/>
      <c r="O132" s="102"/>
      <c r="P132" s="102"/>
      <c r="Q132" s="102"/>
      <c r="R132" s="102"/>
      <c r="S132" s="102"/>
      <c r="T132" s="102"/>
      <c r="U132" s="102"/>
      <c r="V132" s="102"/>
      <c r="W132" s="102"/>
      <c r="X132" s="102"/>
      <c r="Y132" s="102"/>
      <c r="Z132" s="102"/>
    </row>
    <row r="133" spans="1:26" ht="15.75" customHeight="1">
      <c r="A133" s="102"/>
      <c r="B133" s="102"/>
      <c r="C133" s="102"/>
      <c r="D133" s="102"/>
      <c r="E133" s="102"/>
      <c r="F133" s="102"/>
      <c r="G133" s="102"/>
      <c r="H133" s="102"/>
      <c r="I133" s="102"/>
      <c r="J133" s="102"/>
      <c r="K133" s="102"/>
      <c r="L133" s="102"/>
      <c r="M133" s="102"/>
      <c r="N133" s="102"/>
      <c r="O133" s="102"/>
      <c r="P133" s="102"/>
      <c r="Q133" s="102"/>
      <c r="R133" s="102"/>
      <c r="S133" s="102"/>
      <c r="T133" s="102"/>
      <c r="U133" s="102"/>
      <c r="V133" s="102"/>
      <c r="W133" s="102"/>
      <c r="X133" s="102"/>
      <c r="Y133" s="102"/>
      <c r="Z133" s="102"/>
    </row>
    <row r="134" spans="1:26" ht="15.75" customHeight="1">
      <c r="A134" s="102"/>
      <c r="B134" s="102"/>
      <c r="C134" s="102"/>
      <c r="D134" s="102"/>
      <c r="E134" s="102"/>
      <c r="F134" s="102"/>
      <c r="G134" s="102"/>
      <c r="H134" s="102"/>
      <c r="I134" s="102"/>
      <c r="J134" s="102"/>
      <c r="K134" s="102"/>
      <c r="L134" s="102"/>
      <c r="M134" s="102"/>
      <c r="N134" s="102"/>
      <c r="O134" s="102"/>
      <c r="P134" s="102"/>
      <c r="Q134" s="102"/>
      <c r="R134" s="102"/>
      <c r="S134" s="102"/>
      <c r="T134" s="102"/>
      <c r="U134" s="102"/>
      <c r="V134" s="102"/>
      <c r="W134" s="102"/>
      <c r="X134" s="102"/>
      <c r="Y134" s="102"/>
      <c r="Z134" s="102"/>
    </row>
    <row r="135" spans="1:26" ht="15.75" customHeight="1">
      <c r="A135" s="102"/>
      <c r="B135" s="102"/>
      <c r="C135" s="102"/>
      <c r="D135" s="102"/>
      <c r="E135" s="102"/>
      <c r="F135" s="102"/>
      <c r="G135" s="102"/>
      <c r="H135" s="102"/>
      <c r="I135" s="102"/>
      <c r="J135" s="102"/>
      <c r="K135" s="102"/>
      <c r="L135" s="102"/>
      <c r="M135" s="102"/>
      <c r="N135" s="102"/>
      <c r="O135" s="102"/>
      <c r="P135" s="102"/>
      <c r="Q135" s="102"/>
      <c r="R135" s="102"/>
      <c r="S135" s="102"/>
      <c r="T135" s="102"/>
      <c r="U135" s="102"/>
      <c r="V135" s="102"/>
      <c r="W135" s="102"/>
      <c r="X135" s="102"/>
      <c r="Y135" s="102"/>
      <c r="Z135" s="102"/>
    </row>
    <row r="136" spans="1:26" ht="15.75" customHeight="1">
      <c r="A136" s="102"/>
      <c r="B136" s="102"/>
      <c r="C136" s="102"/>
      <c r="D136" s="102"/>
      <c r="E136" s="102"/>
      <c r="F136" s="102"/>
      <c r="G136" s="102"/>
      <c r="H136" s="102"/>
      <c r="I136" s="102"/>
      <c r="J136" s="102"/>
      <c r="K136" s="102"/>
      <c r="L136" s="102"/>
      <c r="M136" s="102"/>
      <c r="N136" s="102"/>
      <c r="O136" s="102"/>
      <c r="P136" s="102"/>
      <c r="Q136" s="102"/>
      <c r="R136" s="102"/>
      <c r="S136" s="102"/>
      <c r="T136" s="102"/>
      <c r="U136" s="102"/>
      <c r="V136" s="102"/>
      <c r="W136" s="102"/>
      <c r="X136" s="102"/>
      <c r="Y136" s="102"/>
      <c r="Z136" s="102"/>
    </row>
    <row r="137" spans="1:26" ht="15.75" customHeight="1">
      <c r="A137" s="102"/>
      <c r="B137" s="102"/>
      <c r="C137" s="102"/>
      <c r="D137" s="102"/>
      <c r="E137" s="102"/>
      <c r="F137" s="102"/>
      <c r="G137" s="102"/>
      <c r="H137" s="102"/>
      <c r="I137" s="102"/>
      <c r="J137" s="102"/>
      <c r="K137" s="102"/>
      <c r="L137" s="102"/>
      <c r="M137" s="102"/>
      <c r="N137" s="102"/>
      <c r="O137" s="102"/>
      <c r="P137" s="102"/>
      <c r="Q137" s="102"/>
      <c r="R137" s="102"/>
      <c r="S137" s="102"/>
      <c r="T137" s="102"/>
      <c r="U137" s="102"/>
      <c r="V137" s="102"/>
      <c r="W137" s="102"/>
      <c r="X137" s="102"/>
      <c r="Y137" s="102"/>
      <c r="Z137" s="102"/>
    </row>
    <row r="138" spans="1:26" ht="15.75" customHeight="1">
      <c r="A138" s="102"/>
      <c r="B138" s="102"/>
      <c r="C138" s="102"/>
      <c r="D138" s="102"/>
      <c r="E138" s="102"/>
      <c r="F138" s="102"/>
      <c r="G138" s="102"/>
      <c r="H138" s="102"/>
      <c r="I138" s="102"/>
      <c r="J138" s="102"/>
      <c r="K138" s="102"/>
      <c r="L138" s="102"/>
      <c r="M138" s="102"/>
      <c r="N138" s="102"/>
      <c r="O138" s="102"/>
      <c r="P138" s="102"/>
      <c r="Q138" s="102"/>
      <c r="R138" s="102"/>
      <c r="S138" s="102"/>
      <c r="T138" s="102"/>
      <c r="U138" s="102"/>
      <c r="V138" s="102"/>
      <c r="W138" s="102"/>
      <c r="X138" s="102"/>
      <c r="Y138" s="102"/>
      <c r="Z138" s="102"/>
    </row>
    <row r="139" spans="1:26" ht="15.75" customHeight="1">
      <c r="A139" s="102"/>
      <c r="B139" s="102"/>
      <c r="C139" s="102"/>
      <c r="D139" s="102"/>
      <c r="E139" s="102"/>
      <c r="F139" s="102"/>
      <c r="G139" s="102"/>
      <c r="H139" s="102"/>
      <c r="I139" s="102"/>
      <c r="J139" s="102"/>
      <c r="K139" s="102"/>
      <c r="L139" s="102"/>
      <c r="M139" s="102"/>
      <c r="N139" s="102"/>
      <c r="O139" s="102"/>
      <c r="P139" s="102"/>
      <c r="Q139" s="102"/>
      <c r="R139" s="102"/>
      <c r="S139" s="102"/>
      <c r="T139" s="102"/>
      <c r="U139" s="102"/>
      <c r="V139" s="102"/>
      <c r="W139" s="102"/>
      <c r="X139" s="102"/>
      <c r="Y139" s="102"/>
      <c r="Z139" s="102"/>
    </row>
    <row r="140" spans="1:26" ht="15.75" customHeight="1">
      <c r="A140" s="102"/>
      <c r="B140" s="102"/>
      <c r="C140" s="102"/>
      <c r="D140" s="102"/>
      <c r="E140" s="102"/>
      <c r="F140" s="102"/>
      <c r="G140" s="102"/>
      <c r="H140" s="102"/>
      <c r="I140" s="102"/>
      <c r="J140" s="102"/>
      <c r="K140" s="102"/>
      <c r="L140" s="102"/>
      <c r="M140" s="102"/>
      <c r="N140" s="102"/>
      <c r="O140" s="102"/>
      <c r="P140" s="102"/>
      <c r="Q140" s="102"/>
      <c r="R140" s="102"/>
      <c r="S140" s="102"/>
      <c r="T140" s="102"/>
      <c r="U140" s="102"/>
      <c r="V140" s="102"/>
      <c r="W140" s="102"/>
      <c r="X140" s="102"/>
      <c r="Y140" s="102"/>
      <c r="Z140" s="102"/>
    </row>
    <row r="141" spans="1:26" ht="15.75" customHeight="1">
      <c r="A141" s="102"/>
      <c r="B141" s="102"/>
      <c r="C141" s="102"/>
      <c r="D141" s="102"/>
      <c r="E141" s="102"/>
      <c r="F141" s="102"/>
      <c r="G141" s="102"/>
      <c r="H141" s="102"/>
      <c r="I141" s="102"/>
      <c r="J141" s="102"/>
      <c r="K141" s="102"/>
      <c r="L141" s="102"/>
      <c r="M141" s="102"/>
      <c r="N141" s="102"/>
      <c r="O141" s="102"/>
      <c r="P141" s="102"/>
      <c r="Q141" s="102"/>
      <c r="R141" s="102"/>
      <c r="S141" s="102"/>
      <c r="T141" s="102"/>
      <c r="U141" s="102"/>
      <c r="V141" s="102"/>
      <c r="W141" s="102"/>
      <c r="X141" s="102"/>
      <c r="Y141" s="102"/>
      <c r="Z141" s="102"/>
    </row>
    <row r="142" spans="1:26" ht="15.75" customHeight="1">
      <c r="A142" s="102"/>
      <c r="B142" s="102"/>
      <c r="C142" s="102"/>
      <c r="D142" s="102"/>
      <c r="E142" s="102"/>
      <c r="F142" s="102"/>
      <c r="G142" s="102"/>
      <c r="H142" s="102"/>
      <c r="I142" s="102"/>
      <c r="J142" s="102"/>
      <c r="K142" s="102"/>
      <c r="L142" s="102"/>
      <c r="M142" s="102"/>
      <c r="N142" s="102"/>
      <c r="O142" s="102"/>
      <c r="P142" s="102"/>
      <c r="Q142" s="102"/>
      <c r="R142" s="102"/>
      <c r="S142" s="102"/>
      <c r="T142" s="102"/>
      <c r="U142" s="102"/>
      <c r="V142" s="102"/>
      <c r="W142" s="102"/>
      <c r="X142" s="102"/>
      <c r="Y142" s="102"/>
      <c r="Z142" s="102"/>
    </row>
    <row r="143" spans="1:26" ht="15.75" customHeight="1">
      <c r="A143" s="102"/>
      <c r="B143" s="102"/>
      <c r="C143" s="102"/>
      <c r="D143" s="102"/>
      <c r="E143" s="102"/>
      <c r="F143" s="102"/>
      <c r="G143" s="102"/>
      <c r="H143" s="102"/>
      <c r="I143" s="102"/>
      <c r="J143" s="102"/>
      <c r="K143" s="102"/>
      <c r="L143" s="102"/>
      <c r="M143" s="102"/>
      <c r="N143" s="102"/>
      <c r="O143" s="102"/>
      <c r="P143" s="102"/>
      <c r="Q143" s="102"/>
      <c r="R143" s="102"/>
      <c r="S143" s="102"/>
      <c r="T143" s="102"/>
      <c r="U143" s="102"/>
      <c r="V143" s="102"/>
      <c r="W143" s="102"/>
      <c r="X143" s="102"/>
      <c r="Y143" s="102"/>
      <c r="Z143" s="102"/>
    </row>
    <row r="144" spans="1:26" ht="15.75" customHeight="1">
      <c r="A144" s="102"/>
      <c r="B144" s="102"/>
      <c r="C144" s="102"/>
      <c r="D144" s="102"/>
      <c r="E144" s="102"/>
      <c r="F144" s="102"/>
      <c r="G144" s="102"/>
      <c r="H144" s="102"/>
      <c r="I144" s="102"/>
      <c r="J144" s="102"/>
      <c r="K144" s="102"/>
      <c r="L144" s="102"/>
      <c r="M144" s="102"/>
      <c r="N144" s="102"/>
      <c r="O144" s="102"/>
      <c r="P144" s="102"/>
      <c r="Q144" s="102"/>
      <c r="R144" s="102"/>
      <c r="S144" s="102"/>
      <c r="T144" s="102"/>
      <c r="U144" s="102"/>
      <c r="V144" s="102"/>
      <c r="W144" s="102"/>
      <c r="X144" s="102"/>
      <c r="Y144" s="102"/>
      <c r="Z144" s="102"/>
    </row>
    <row r="145" spans="1:26" ht="15.75" customHeight="1">
      <c r="A145" s="102"/>
      <c r="B145" s="102"/>
      <c r="C145" s="102"/>
      <c r="D145" s="102"/>
      <c r="E145" s="102"/>
      <c r="F145" s="102"/>
      <c r="G145" s="102"/>
      <c r="H145" s="102"/>
      <c r="I145" s="102"/>
      <c r="J145" s="102"/>
      <c r="K145" s="102"/>
      <c r="L145" s="102"/>
      <c r="M145" s="102"/>
      <c r="N145" s="102"/>
      <c r="O145" s="102"/>
      <c r="P145" s="102"/>
      <c r="Q145" s="102"/>
      <c r="R145" s="102"/>
      <c r="S145" s="102"/>
      <c r="T145" s="102"/>
      <c r="U145" s="102"/>
      <c r="V145" s="102"/>
      <c r="W145" s="102"/>
      <c r="X145" s="102"/>
      <c r="Y145" s="102"/>
      <c r="Z145" s="102"/>
    </row>
    <row r="146" spans="1:26" ht="15.75" customHeight="1">
      <c r="A146" s="102"/>
      <c r="B146" s="102"/>
      <c r="C146" s="102"/>
      <c r="D146" s="102"/>
      <c r="E146" s="102"/>
      <c r="F146" s="102"/>
      <c r="G146" s="102"/>
      <c r="H146" s="102"/>
      <c r="I146" s="102"/>
      <c r="J146" s="102"/>
      <c r="K146" s="102"/>
      <c r="L146" s="102"/>
      <c r="M146" s="102"/>
      <c r="N146" s="102"/>
      <c r="O146" s="102"/>
      <c r="P146" s="102"/>
      <c r="Q146" s="102"/>
      <c r="R146" s="102"/>
      <c r="S146" s="102"/>
      <c r="T146" s="102"/>
      <c r="U146" s="102"/>
      <c r="V146" s="102"/>
      <c r="W146" s="102"/>
      <c r="X146" s="102"/>
      <c r="Y146" s="102"/>
      <c r="Z146" s="102"/>
    </row>
    <row r="147" spans="1:26" ht="15.75" customHeight="1">
      <c r="A147" s="102"/>
      <c r="B147" s="102"/>
      <c r="C147" s="102"/>
      <c r="D147" s="102"/>
      <c r="E147" s="102"/>
      <c r="F147" s="102"/>
      <c r="G147" s="102"/>
      <c r="H147" s="102"/>
      <c r="I147" s="102"/>
      <c r="J147" s="102"/>
      <c r="K147" s="102"/>
      <c r="L147" s="102"/>
      <c r="M147" s="102"/>
      <c r="N147" s="102"/>
      <c r="O147" s="102"/>
      <c r="P147" s="102"/>
      <c r="Q147" s="102"/>
      <c r="R147" s="102"/>
      <c r="S147" s="102"/>
      <c r="T147" s="102"/>
      <c r="U147" s="102"/>
      <c r="V147" s="102"/>
      <c r="W147" s="102"/>
      <c r="X147" s="102"/>
      <c r="Y147" s="102"/>
      <c r="Z147" s="102"/>
    </row>
    <row r="148" spans="1:26" ht="15.75" customHeight="1">
      <c r="A148" s="102"/>
      <c r="B148" s="102"/>
      <c r="C148" s="102"/>
      <c r="D148" s="102"/>
      <c r="E148" s="102"/>
      <c r="F148" s="102"/>
      <c r="G148" s="102"/>
      <c r="H148" s="102"/>
      <c r="I148" s="102"/>
      <c r="J148" s="102"/>
      <c r="K148" s="102"/>
      <c r="L148" s="102"/>
      <c r="M148" s="102"/>
      <c r="N148" s="102"/>
      <c r="O148" s="102"/>
      <c r="P148" s="102"/>
      <c r="Q148" s="102"/>
      <c r="R148" s="102"/>
      <c r="S148" s="102"/>
      <c r="T148" s="102"/>
      <c r="U148" s="102"/>
      <c r="V148" s="102"/>
      <c r="W148" s="102"/>
      <c r="X148" s="102"/>
      <c r="Y148" s="102"/>
      <c r="Z148" s="102"/>
    </row>
    <row r="149" spans="1:26" ht="15.75" customHeight="1">
      <c r="A149" s="102"/>
      <c r="B149" s="102"/>
      <c r="C149" s="102"/>
      <c r="D149" s="102"/>
      <c r="E149" s="102"/>
      <c r="F149" s="102"/>
      <c r="G149" s="102"/>
      <c r="H149" s="102"/>
      <c r="I149" s="102"/>
      <c r="J149" s="102"/>
      <c r="K149" s="102"/>
      <c r="L149" s="102"/>
      <c r="M149" s="102"/>
      <c r="N149" s="102"/>
      <c r="O149" s="102"/>
      <c r="P149" s="102"/>
      <c r="Q149" s="102"/>
      <c r="R149" s="102"/>
      <c r="S149" s="102"/>
      <c r="T149" s="102"/>
      <c r="U149" s="102"/>
      <c r="V149" s="102"/>
      <c r="W149" s="102"/>
      <c r="X149" s="102"/>
      <c r="Y149" s="102"/>
      <c r="Z149" s="102"/>
    </row>
    <row r="150" spans="1:26" ht="15.75" customHeight="1">
      <c r="A150" s="102"/>
      <c r="B150" s="102"/>
      <c r="C150" s="102"/>
      <c r="D150" s="102"/>
      <c r="E150" s="102"/>
      <c r="F150" s="102"/>
      <c r="G150" s="102"/>
      <c r="H150" s="102"/>
      <c r="I150" s="102"/>
      <c r="J150" s="102"/>
      <c r="K150" s="102"/>
      <c r="L150" s="102"/>
      <c r="M150" s="102"/>
      <c r="N150" s="102"/>
      <c r="O150" s="102"/>
      <c r="P150" s="102"/>
      <c r="Q150" s="102"/>
      <c r="R150" s="102"/>
      <c r="S150" s="102"/>
      <c r="T150" s="102"/>
      <c r="U150" s="102"/>
      <c r="V150" s="102"/>
      <c r="W150" s="102"/>
      <c r="X150" s="102"/>
      <c r="Y150" s="102"/>
      <c r="Z150" s="102"/>
    </row>
    <row r="151" spans="1:26" ht="15.75" customHeight="1">
      <c r="A151" s="102"/>
      <c r="B151" s="102"/>
      <c r="C151" s="102"/>
      <c r="D151" s="102"/>
      <c r="E151" s="102"/>
      <c r="F151" s="102"/>
      <c r="G151" s="102"/>
      <c r="H151" s="102"/>
      <c r="I151" s="102"/>
      <c r="J151" s="102"/>
      <c r="K151" s="102"/>
      <c r="L151" s="102"/>
      <c r="M151" s="102"/>
      <c r="N151" s="102"/>
      <c r="O151" s="102"/>
      <c r="P151" s="102"/>
      <c r="Q151" s="102"/>
      <c r="R151" s="102"/>
      <c r="S151" s="102"/>
      <c r="T151" s="102"/>
      <c r="U151" s="102"/>
      <c r="V151" s="102"/>
      <c r="W151" s="102"/>
      <c r="X151" s="102"/>
      <c r="Y151" s="102"/>
      <c r="Z151" s="102"/>
    </row>
    <row r="152" spans="1:26" ht="15.75" customHeight="1">
      <c r="A152" s="102"/>
      <c r="B152" s="102"/>
      <c r="C152" s="102"/>
      <c r="D152" s="102"/>
      <c r="E152" s="102"/>
      <c r="F152" s="102"/>
      <c r="G152" s="102"/>
      <c r="H152" s="102"/>
      <c r="I152" s="102"/>
      <c r="J152" s="102"/>
      <c r="K152" s="102"/>
      <c r="L152" s="102"/>
      <c r="M152" s="102"/>
      <c r="N152" s="102"/>
      <c r="O152" s="102"/>
      <c r="P152" s="102"/>
      <c r="Q152" s="102"/>
      <c r="R152" s="102"/>
      <c r="S152" s="102"/>
      <c r="T152" s="102"/>
      <c r="U152" s="102"/>
      <c r="V152" s="102"/>
      <c r="W152" s="102"/>
      <c r="X152" s="102"/>
      <c r="Y152" s="102"/>
      <c r="Z152" s="102"/>
    </row>
    <row r="153" spans="1:26" ht="15.75" customHeight="1">
      <c r="A153" s="102"/>
      <c r="B153" s="102"/>
      <c r="C153" s="102"/>
      <c r="D153" s="102"/>
      <c r="E153" s="102"/>
      <c r="F153" s="102"/>
      <c r="G153" s="102"/>
      <c r="H153" s="102"/>
      <c r="I153" s="102"/>
      <c r="J153" s="102"/>
      <c r="K153" s="102"/>
      <c r="L153" s="102"/>
      <c r="M153" s="102"/>
      <c r="N153" s="102"/>
      <c r="O153" s="102"/>
      <c r="P153" s="102"/>
      <c r="Q153" s="102"/>
      <c r="R153" s="102"/>
      <c r="S153" s="102"/>
      <c r="T153" s="102"/>
      <c r="U153" s="102"/>
      <c r="V153" s="102"/>
      <c r="W153" s="102"/>
      <c r="X153" s="102"/>
      <c r="Y153" s="102"/>
      <c r="Z153" s="102"/>
    </row>
    <row r="154" spans="1:26" ht="15.75" customHeight="1">
      <c r="A154" s="102"/>
      <c r="B154" s="102"/>
      <c r="C154" s="102"/>
      <c r="D154" s="102"/>
      <c r="E154" s="102"/>
      <c r="F154" s="102"/>
      <c r="G154" s="102"/>
      <c r="H154" s="102"/>
      <c r="I154" s="102"/>
      <c r="J154" s="102"/>
      <c r="K154" s="102"/>
      <c r="L154" s="102"/>
      <c r="M154" s="102"/>
      <c r="N154" s="102"/>
      <c r="O154" s="102"/>
      <c r="P154" s="102"/>
      <c r="Q154" s="102"/>
      <c r="R154" s="102"/>
      <c r="S154" s="102"/>
      <c r="T154" s="102"/>
      <c r="U154" s="102"/>
      <c r="V154" s="102"/>
      <c r="W154" s="102"/>
      <c r="X154" s="102"/>
      <c r="Y154" s="102"/>
      <c r="Z154" s="102"/>
    </row>
    <row r="155" spans="1:26" ht="15.75" customHeight="1">
      <c r="A155" s="102"/>
      <c r="B155" s="102"/>
      <c r="C155" s="102"/>
      <c r="D155" s="102"/>
      <c r="E155" s="102"/>
      <c r="F155" s="102"/>
      <c r="G155" s="102"/>
      <c r="H155" s="102"/>
      <c r="I155" s="102"/>
      <c r="J155" s="102"/>
      <c r="K155" s="102"/>
      <c r="L155" s="102"/>
      <c r="M155" s="102"/>
      <c r="N155" s="102"/>
      <c r="O155" s="102"/>
      <c r="P155" s="102"/>
      <c r="Q155" s="102"/>
      <c r="R155" s="102"/>
      <c r="S155" s="102"/>
      <c r="T155" s="102"/>
      <c r="U155" s="102"/>
      <c r="V155" s="102"/>
      <c r="W155" s="102"/>
      <c r="X155" s="102"/>
      <c r="Y155" s="102"/>
      <c r="Z155" s="102"/>
    </row>
    <row r="156" spans="1:26" ht="15.75" customHeight="1">
      <c r="A156" s="102"/>
      <c r="B156" s="102"/>
      <c r="C156" s="102"/>
      <c r="D156" s="102"/>
      <c r="E156" s="102"/>
      <c r="F156" s="102"/>
      <c r="G156" s="102"/>
      <c r="H156" s="102"/>
      <c r="I156" s="102"/>
      <c r="J156" s="102"/>
      <c r="K156" s="102"/>
      <c r="L156" s="102"/>
      <c r="M156" s="102"/>
      <c r="N156" s="102"/>
      <c r="O156" s="102"/>
      <c r="P156" s="102"/>
      <c r="Q156" s="102"/>
      <c r="R156" s="102"/>
      <c r="S156" s="102"/>
      <c r="T156" s="102"/>
      <c r="U156" s="102"/>
      <c r="V156" s="102"/>
      <c r="W156" s="102"/>
      <c r="X156" s="102"/>
      <c r="Y156" s="102"/>
      <c r="Z156" s="102"/>
    </row>
    <row r="157" spans="1:26" ht="15.75" customHeight="1">
      <c r="A157" s="102"/>
      <c r="B157" s="102"/>
      <c r="C157" s="102"/>
      <c r="D157" s="102"/>
      <c r="E157" s="102"/>
      <c r="F157" s="102"/>
      <c r="G157" s="102"/>
      <c r="H157" s="102"/>
      <c r="I157" s="102"/>
      <c r="J157" s="102"/>
      <c r="K157" s="102"/>
      <c r="L157" s="102"/>
      <c r="M157" s="102"/>
      <c r="N157" s="102"/>
      <c r="O157" s="102"/>
      <c r="P157" s="102"/>
      <c r="Q157" s="102"/>
      <c r="R157" s="102"/>
      <c r="S157" s="102"/>
      <c r="T157" s="102"/>
      <c r="U157" s="102"/>
      <c r="V157" s="102"/>
      <c r="W157" s="102"/>
      <c r="X157" s="102"/>
      <c r="Y157" s="102"/>
      <c r="Z157" s="102"/>
    </row>
    <row r="158" spans="1:26" ht="15.75" customHeight="1">
      <c r="A158" s="102"/>
      <c r="B158" s="102"/>
      <c r="C158" s="102"/>
      <c r="D158" s="102"/>
      <c r="E158" s="102"/>
      <c r="F158" s="102"/>
      <c r="G158" s="102"/>
      <c r="H158" s="102"/>
      <c r="I158" s="102"/>
      <c r="J158" s="102"/>
      <c r="K158" s="102"/>
      <c r="L158" s="102"/>
      <c r="M158" s="102"/>
      <c r="N158" s="102"/>
      <c r="O158" s="102"/>
      <c r="P158" s="102"/>
      <c r="Q158" s="102"/>
      <c r="R158" s="102"/>
      <c r="S158" s="102"/>
      <c r="T158" s="102"/>
      <c r="U158" s="102"/>
      <c r="V158" s="102"/>
      <c r="W158" s="102"/>
      <c r="X158" s="102"/>
      <c r="Y158" s="102"/>
      <c r="Z158" s="102"/>
    </row>
    <row r="159" spans="1:26" ht="15.75" customHeight="1">
      <c r="A159" s="102"/>
      <c r="B159" s="102"/>
      <c r="C159" s="102"/>
      <c r="D159" s="102"/>
      <c r="E159" s="102"/>
      <c r="F159" s="102"/>
      <c r="G159" s="102"/>
      <c r="H159" s="102"/>
      <c r="I159" s="102"/>
      <c r="J159" s="102"/>
      <c r="K159" s="102"/>
      <c r="L159" s="102"/>
      <c r="M159" s="102"/>
      <c r="N159" s="102"/>
      <c r="O159" s="102"/>
      <c r="P159" s="102"/>
      <c r="Q159" s="102"/>
      <c r="R159" s="102"/>
      <c r="S159" s="102"/>
      <c r="T159" s="102"/>
      <c r="U159" s="102"/>
      <c r="V159" s="102"/>
      <c r="W159" s="102"/>
      <c r="X159" s="102"/>
      <c r="Y159" s="102"/>
      <c r="Z159" s="102"/>
    </row>
    <row r="160" spans="1:26" ht="15.75" customHeight="1">
      <c r="A160" s="102"/>
      <c r="B160" s="102"/>
      <c r="C160" s="102"/>
      <c r="D160" s="102"/>
      <c r="E160" s="102"/>
      <c r="F160" s="102"/>
      <c r="G160" s="102"/>
      <c r="H160" s="102"/>
      <c r="I160" s="102"/>
      <c r="J160" s="102"/>
      <c r="K160" s="102"/>
      <c r="L160" s="102"/>
      <c r="M160" s="102"/>
      <c r="N160" s="102"/>
      <c r="O160" s="102"/>
      <c r="P160" s="102"/>
      <c r="Q160" s="102"/>
      <c r="R160" s="102"/>
      <c r="S160" s="102"/>
      <c r="T160" s="102"/>
      <c r="U160" s="102"/>
      <c r="V160" s="102"/>
      <c r="W160" s="102"/>
      <c r="X160" s="102"/>
      <c r="Y160" s="102"/>
      <c r="Z160" s="102"/>
    </row>
    <row r="161" spans="1:26" ht="15.75" customHeight="1">
      <c r="A161" s="102"/>
      <c r="B161" s="102"/>
      <c r="C161" s="102"/>
      <c r="D161" s="102"/>
      <c r="E161" s="102"/>
      <c r="F161" s="102"/>
      <c r="G161" s="102"/>
      <c r="H161" s="102"/>
      <c r="I161" s="102"/>
      <c r="J161" s="102"/>
      <c r="K161" s="102"/>
      <c r="L161" s="102"/>
      <c r="M161" s="102"/>
      <c r="N161" s="102"/>
      <c r="O161" s="102"/>
      <c r="P161" s="102"/>
      <c r="Q161" s="102"/>
      <c r="R161" s="102"/>
      <c r="S161" s="102"/>
      <c r="T161" s="102"/>
      <c r="U161" s="102"/>
      <c r="V161" s="102"/>
      <c r="W161" s="102"/>
      <c r="X161" s="102"/>
      <c r="Y161" s="102"/>
      <c r="Z161" s="102"/>
    </row>
    <row r="162" spans="1:26" ht="15.75" customHeight="1">
      <c r="A162" s="102"/>
      <c r="B162" s="102"/>
      <c r="C162" s="102"/>
      <c r="D162" s="102"/>
      <c r="E162" s="102"/>
      <c r="F162" s="102"/>
      <c r="G162" s="102"/>
      <c r="H162" s="102"/>
      <c r="I162" s="102"/>
      <c r="J162" s="102"/>
      <c r="K162" s="102"/>
      <c r="L162" s="102"/>
      <c r="M162" s="102"/>
      <c r="N162" s="102"/>
      <c r="O162" s="102"/>
      <c r="P162" s="102"/>
      <c r="Q162" s="102"/>
      <c r="R162" s="102"/>
      <c r="S162" s="102"/>
      <c r="T162" s="102"/>
      <c r="U162" s="102"/>
      <c r="V162" s="102"/>
      <c r="W162" s="102"/>
      <c r="X162" s="102"/>
      <c r="Y162" s="102"/>
      <c r="Z162" s="102"/>
    </row>
    <row r="163" spans="1:26" ht="15.75" customHeight="1">
      <c r="A163" s="102"/>
      <c r="B163" s="102"/>
      <c r="C163" s="102"/>
      <c r="D163" s="102"/>
      <c r="E163" s="102"/>
      <c r="F163" s="102"/>
      <c r="G163" s="102"/>
      <c r="H163" s="102"/>
      <c r="I163" s="102"/>
      <c r="J163" s="102"/>
      <c r="K163" s="102"/>
      <c r="L163" s="102"/>
      <c r="M163" s="102"/>
      <c r="N163" s="102"/>
      <c r="O163" s="102"/>
      <c r="P163" s="102"/>
      <c r="Q163" s="102"/>
      <c r="R163" s="102"/>
      <c r="S163" s="102"/>
      <c r="T163" s="102"/>
      <c r="U163" s="102"/>
      <c r="V163" s="102"/>
      <c r="W163" s="102"/>
      <c r="X163" s="102"/>
      <c r="Y163" s="102"/>
      <c r="Z163" s="102"/>
    </row>
    <row r="164" spans="1:26" ht="15.75" customHeight="1">
      <c r="A164" s="102"/>
      <c r="B164" s="102"/>
      <c r="C164" s="102"/>
      <c r="D164" s="102"/>
      <c r="E164" s="102"/>
      <c r="F164" s="102"/>
      <c r="G164" s="102"/>
      <c r="H164" s="102"/>
      <c r="I164" s="102"/>
      <c r="J164" s="102"/>
      <c r="K164" s="102"/>
      <c r="L164" s="102"/>
      <c r="M164" s="102"/>
      <c r="N164" s="102"/>
      <c r="O164" s="102"/>
      <c r="P164" s="102"/>
      <c r="Q164" s="102"/>
      <c r="R164" s="102"/>
      <c r="S164" s="102"/>
      <c r="T164" s="102"/>
      <c r="U164" s="102"/>
      <c r="V164" s="102"/>
      <c r="W164" s="102"/>
      <c r="X164" s="102"/>
      <c r="Y164" s="102"/>
      <c r="Z164" s="102"/>
    </row>
    <row r="165" spans="1:26" ht="15.75" customHeight="1">
      <c r="A165" s="102"/>
      <c r="B165" s="102"/>
      <c r="C165" s="102"/>
      <c r="D165" s="102"/>
      <c r="E165" s="102"/>
      <c r="F165" s="102"/>
      <c r="G165" s="102"/>
      <c r="H165" s="102"/>
      <c r="I165" s="102"/>
      <c r="J165" s="102"/>
      <c r="K165" s="102"/>
      <c r="L165" s="102"/>
      <c r="M165" s="102"/>
      <c r="N165" s="102"/>
      <c r="O165" s="102"/>
      <c r="P165" s="102"/>
      <c r="Q165" s="102"/>
      <c r="R165" s="102"/>
      <c r="S165" s="102"/>
      <c r="T165" s="102"/>
      <c r="U165" s="102"/>
      <c r="V165" s="102"/>
      <c r="W165" s="102"/>
      <c r="X165" s="102"/>
      <c r="Y165" s="102"/>
      <c r="Z165" s="102"/>
    </row>
    <row r="166" spans="1:26" ht="15.75" customHeight="1">
      <c r="A166" s="102"/>
      <c r="B166" s="102"/>
      <c r="C166" s="102"/>
      <c r="D166" s="102"/>
      <c r="E166" s="102"/>
      <c r="F166" s="102"/>
      <c r="G166" s="102"/>
      <c r="H166" s="102"/>
      <c r="I166" s="102"/>
      <c r="J166" s="102"/>
      <c r="K166" s="102"/>
      <c r="L166" s="102"/>
      <c r="M166" s="102"/>
      <c r="N166" s="102"/>
      <c r="O166" s="102"/>
      <c r="P166" s="102"/>
      <c r="Q166" s="102"/>
      <c r="R166" s="102"/>
      <c r="S166" s="102"/>
      <c r="T166" s="102"/>
      <c r="U166" s="102"/>
      <c r="V166" s="102"/>
      <c r="W166" s="102"/>
      <c r="X166" s="102"/>
      <c r="Y166" s="102"/>
      <c r="Z166" s="102"/>
    </row>
    <row r="167" spans="1:26" ht="15.75" customHeight="1">
      <c r="A167" s="102"/>
      <c r="B167" s="102"/>
      <c r="C167" s="102"/>
      <c r="D167" s="102"/>
      <c r="E167" s="102"/>
      <c r="F167" s="102"/>
      <c r="G167" s="102"/>
      <c r="H167" s="102"/>
      <c r="I167" s="102"/>
      <c r="J167" s="102"/>
      <c r="K167" s="102"/>
      <c r="L167" s="102"/>
      <c r="M167" s="102"/>
      <c r="N167" s="102"/>
      <c r="O167" s="102"/>
      <c r="P167" s="102"/>
      <c r="Q167" s="102"/>
      <c r="R167" s="102"/>
      <c r="S167" s="102"/>
      <c r="T167" s="102"/>
      <c r="U167" s="102"/>
      <c r="V167" s="102"/>
      <c r="W167" s="102"/>
      <c r="X167" s="102"/>
      <c r="Y167" s="102"/>
      <c r="Z167" s="102"/>
    </row>
    <row r="168" spans="1:26" ht="15.75" customHeight="1">
      <c r="A168" s="102"/>
      <c r="B168" s="102"/>
      <c r="C168" s="102"/>
      <c r="D168" s="102"/>
      <c r="E168" s="102"/>
      <c r="F168" s="102"/>
      <c r="G168" s="102"/>
      <c r="H168" s="102"/>
      <c r="I168" s="102"/>
      <c r="J168" s="102"/>
      <c r="K168" s="102"/>
      <c r="L168" s="102"/>
      <c r="M168" s="102"/>
      <c r="N168" s="102"/>
      <c r="O168" s="102"/>
      <c r="P168" s="102"/>
      <c r="Q168" s="102"/>
      <c r="R168" s="102"/>
      <c r="S168" s="102"/>
      <c r="T168" s="102"/>
      <c r="U168" s="102"/>
      <c r="V168" s="102"/>
      <c r="W168" s="102"/>
      <c r="X168" s="102"/>
      <c r="Y168" s="102"/>
      <c r="Z168" s="102"/>
    </row>
    <row r="169" spans="1:26" ht="15.75" customHeight="1">
      <c r="A169" s="102"/>
      <c r="B169" s="102"/>
      <c r="C169" s="102"/>
      <c r="D169" s="102"/>
      <c r="E169" s="102"/>
      <c r="F169" s="102"/>
      <c r="G169" s="102"/>
      <c r="H169" s="102"/>
      <c r="I169" s="102"/>
      <c r="J169" s="102"/>
      <c r="K169" s="102"/>
      <c r="L169" s="102"/>
      <c r="M169" s="102"/>
      <c r="N169" s="102"/>
      <c r="O169" s="102"/>
      <c r="P169" s="102"/>
      <c r="Q169" s="102"/>
      <c r="R169" s="102"/>
      <c r="S169" s="102"/>
      <c r="T169" s="102"/>
      <c r="U169" s="102"/>
      <c r="V169" s="102"/>
      <c r="W169" s="102"/>
      <c r="X169" s="102"/>
      <c r="Y169" s="102"/>
      <c r="Z169" s="102"/>
    </row>
    <row r="170" spans="1:26" ht="15.75" customHeight="1">
      <c r="A170" s="102"/>
      <c r="B170" s="102"/>
      <c r="C170" s="102"/>
      <c r="D170" s="102"/>
      <c r="E170" s="102"/>
      <c r="F170" s="102"/>
      <c r="G170" s="102"/>
      <c r="H170" s="102"/>
      <c r="I170" s="102"/>
      <c r="J170" s="102"/>
      <c r="K170" s="102"/>
      <c r="L170" s="102"/>
      <c r="M170" s="102"/>
      <c r="N170" s="102"/>
      <c r="O170" s="102"/>
      <c r="P170" s="102"/>
      <c r="Q170" s="102"/>
      <c r="R170" s="102"/>
      <c r="S170" s="102"/>
      <c r="T170" s="102"/>
      <c r="U170" s="102"/>
      <c r="V170" s="102"/>
      <c r="W170" s="102"/>
      <c r="X170" s="102"/>
      <c r="Y170" s="102"/>
      <c r="Z170" s="102"/>
    </row>
    <row r="171" spans="1:26" ht="15.75" customHeight="1">
      <c r="A171" s="102"/>
      <c r="B171" s="102"/>
      <c r="C171" s="102"/>
      <c r="D171" s="102"/>
      <c r="E171" s="102"/>
      <c r="F171" s="102"/>
      <c r="G171" s="102"/>
      <c r="H171" s="102"/>
      <c r="I171" s="102"/>
      <c r="J171" s="102"/>
      <c r="K171" s="102"/>
      <c r="L171" s="102"/>
      <c r="M171" s="102"/>
      <c r="N171" s="102"/>
      <c r="O171" s="102"/>
      <c r="P171" s="102"/>
      <c r="Q171" s="102"/>
      <c r="R171" s="102"/>
      <c r="S171" s="102"/>
      <c r="T171" s="102"/>
      <c r="U171" s="102"/>
      <c r="V171" s="102"/>
      <c r="W171" s="102"/>
      <c r="X171" s="102"/>
      <c r="Y171" s="102"/>
      <c r="Z171" s="102"/>
    </row>
    <row r="172" spans="1:26" ht="15.75" customHeight="1">
      <c r="A172" s="102"/>
      <c r="B172" s="102"/>
      <c r="C172" s="102"/>
      <c r="D172" s="102"/>
      <c r="E172" s="102"/>
      <c r="F172" s="102"/>
      <c r="G172" s="102"/>
      <c r="H172" s="102"/>
      <c r="I172" s="102"/>
      <c r="J172" s="102"/>
      <c r="K172" s="102"/>
      <c r="L172" s="102"/>
      <c r="M172" s="102"/>
      <c r="N172" s="102"/>
      <c r="O172" s="102"/>
      <c r="P172" s="102"/>
      <c r="Q172" s="102"/>
      <c r="R172" s="102"/>
      <c r="S172" s="102"/>
      <c r="T172" s="102"/>
      <c r="U172" s="102"/>
      <c r="V172" s="102"/>
      <c r="W172" s="102"/>
      <c r="X172" s="102"/>
      <c r="Y172" s="102"/>
      <c r="Z172" s="102"/>
    </row>
    <row r="173" spans="1:26" ht="15.75" customHeight="1">
      <c r="A173" s="102"/>
      <c r="B173" s="102"/>
      <c r="C173" s="102"/>
      <c r="D173" s="102"/>
      <c r="E173" s="102"/>
      <c r="F173" s="102"/>
      <c r="G173" s="102"/>
      <c r="H173" s="102"/>
      <c r="I173" s="102"/>
      <c r="J173" s="102"/>
      <c r="K173" s="102"/>
      <c r="L173" s="102"/>
      <c r="M173" s="102"/>
      <c r="N173" s="102"/>
      <c r="O173" s="102"/>
      <c r="P173" s="102"/>
      <c r="Q173" s="102"/>
      <c r="R173" s="102"/>
      <c r="S173" s="102"/>
      <c r="T173" s="102"/>
      <c r="U173" s="102"/>
      <c r="V173" s="102"/>
      <c r="W173" s="102"/>
      <c r="X173" s="102"/>
      <c r="Y173" s="102"/>
      <c r="Z173" s="102"/>
    </row>
    <row r="174" spans="1:26" ht="15.75" customHeight="1">
      <c r="A174" s="102"/>
      <c r="B174" s="102"/>
      <c r="C174" s="102"/>
      <c r="D174" s="102"/>
      <c r="E174" s="102"/>
      <c r="F174" s="102"/>
      <c r="G174" s="102"/>
      <c r="H174" s="102"/>
      <c r="I174" s="102"/>
      <c r="J174" s="102"/>
      <c r="K174" s="102"/>
      <c r="L174" s="102"/>
      <c r="M174" s="102"/>
      <c r="N174" s="102"/>
      <c r="O174" s="102"/>
      <c r="P174" s="102"/>
      <c r="Q174" s="102"/>
      <c r="R174" s="102"/>
      <c r="S174" s="102"/>
      <c r="T174" s="102"/>
      <c r="U174" s="102"/>
      <c r="V174" s="102"/>
      <c r="W174" s="102"/>
      <c r="X174" s="102"/>
      <c r="Y174" s="102"/>
      <c r="Z174" s="102"/>
    </row>
    <row r="175" spans="1:26" ht="15.75" customHeight="1">
      <c r="A175" s="102"/>
      <c r="B175" s="102"/>
      <c r="C175" s="102"/>
      <c r="D175" s="102"/>
      <c r="E175" s="102"/>
      <c r="F175" s="102"/>
      <c r="G175" s="102"/>
      <c r="H175" s="102"/>
      <c r="I175" s="102"/>
      <c r="J175" s="102"/>
      <c r="K175" s="102"/>
      <c r="L175" s="102"/>
      <c r="M175" s="102"/>
      <c r="N175" s="102"/>
      <c r="O175" s="102"/>
      <c r="P175" s="102"/>
      <c r="Q175" s="102"/>
      <c r="R175" s="102"/>
      <c r="S175" s="102"/>
      <c r="T175" s="102"/>
      <c r="U175" s="102"/>
      <c r="V175" s="102"/>
      <c r="W175" s="102"/>
      <c r="X175" s="102"/>
      <c r="Y175" s="102"/>
      <c r="Z175" s="102"/>
    </row>
    <row r="176" spans="1:26" ht="15.75" customHeight="1">
      <c r="A176" s="102"/>
      <c r="B176" s="102"/>
      <c r="C176" s="102"/>
      <c r="D176" s="102"/>
      <c r="E176" s="102"/>
      <c r="F176" s="102"/>
      <c r="G176" s="102"/>
      <c r="H176" s="102"/>
      <c r="I176" s="102"/>
      <c r="J176" s="102"/>
      <c r="K176" s="102"/>
      <c r="L176" s="102"/>
      <c r="M176" s="102"/>
      <c r="N176" s="102"/>
      <c r="O176" s="102"/>
      <c r="P176" s="102"/>
      <c r="Q176" s="102"/>
      <c r="R176" s="102"/>
      <c r="S176" s="102"/>
      <c r="T176" s="102"/>
      <c r="U176" s="102"/>
      <c r="V176" s="102"/>
      <c r="W176" s="102"/>
      <c r="X176" s="102"/>
      <c r="Y176" s="102"/>
      <c r="Z176" s="102"/>
    </row>
    <row r="177" spans="1:26" ht="15.75" customHeight="1">
      <c r="A177" s="102"/>
      <c r="B177" s="102"/>
      <c r="C177" s="102"/>
      <c r="D177" s="102"/>
      <c r="E177" s="102"/>
      <c r="F177" s="102"/>
      <c r="G177" s="102"/>
      <c r="H177" s="102"/>
      <c r="I177" s="102"/>
      <c r="J177" s="102"/>
      <c r="K177" s="102"/>
      <c r="L177" s="102"/>
      <c r="M177" s="102"/>
      <c r="N177" s="102"/>
      <c r="O177" s="102"/>
      <c r="P177" s="102"/>
      <c r="Q177" s="102"/>
      <c r="R177" s="102"/>
      <c r="S177" s="102"/>
      <c r="T177" s="102"/>
      <c r="U177" s="102"/>
      <c r="V177" s="102"/>
      <c r="W177" s="102"/>
      <c r="X177" s="102"/>
      <c r="Y177" s="102"/>
      <c r="Z177" s="102"/>
    </row>
    <row r="178" spans="1:26" ht="15.75" customHeight="1">
      <c r="A178" s="102"/>
      <c r="B178" s="102"/>
      <c r="C178" s="102"/>
      <c r="D178" s="102"/>
      <c r="E178" s="102"/>
      <c r="F178" s="102"/>
      <c r="G178" s="102"/>
      <c r="H178" s="102"/>
      <c r="I178" s="102"/>
      <c r="J178" s="102"/>
      <c r="K178" s="102"/>
      <c r="L178" s="102"/>
      <c r="M178" s="102"/>
      <c r="N178" s="102"/>
      <c r="O178" s="102"/>
      <c r="P178" s="102"/>
      <c r="Q178" s="102"/>
      <c r="R178" s="102"/>
      <c r="S178" s="102"/>
      <c r="T178" s="102"/>
      <c r="U178" s="102"/>
      <c r="V178" s="102"/>
      <c r="W178" s="102"/>
      <c r="X178" s="102"/>
      <c r="Y178" s="102"/>
      <c r="Z178" s="102"/>
    </row>
    <row r="179" spans="1:26" ht="15.75" customHeight="1">
      <c r="A179" s="102"/>
      <c r="B179" s="102"/>
      <c r="C179" s="102"/>
      <c r="D179" s="102"/>
      <c r="E179" s="102"/>
      <c r="F179" s="102"/>
      <c r="G179" s="102"/>
      <c r="H179" s="102"/>
      <c r="I179" s="102"/>
      <c r="J179" s="102"/>
      <c r="K179" s="102"/>
      <c r="L179" s="102"/>
      <c r="M179" s="102"/>
      <c r="N179" s="102"/>
      <c r="O179" s="102"/>
      <c r="P179" s="102"/>
      <c r="Q179" s="102"/>
      <c r="R179" s="102"/>
      <c r="S179" s="102"/>
      <c r="T179" s="102"/>
      <c r="U179" s="102"/>
      <c r="V179" s="102"/>
      <c r="W179" s="102"/>
      <c r="X179" s="102"/>
      <c r="Y179" s="102"/>
      <c r="Z179" s="102"/>
    </row>
    <row r="180" spans="1:26" ht="15.75" customHeight="1">
      <c r="A180" s="102"/>
      <c r="B180" s="102"/>
      <c r="C180" s="102"/>
      <c r="D180" s="102"/>
      <c r="E180" s="102"/>
      <c r="F180" s="102"/>
      <c r="G180" s="102"/>
      <c r="H180" s="102"/>
      <c r="I180" s="102"/>
      <c r="J180" s="102"/>
      <c r="K180" s="102"/>
      <c r="L180" s="102"/>
      <c r="M180" s="102"/>
      <c r="N180" s="102"/>
      <c r="O180" s="102"/>
      <c r="P180" s="102"/>
      <c r="Q180" s="102"/>
      <c r="R180" s="102"/>
      <c r="S180" s="102"/>
      <c r="T180" s="102"/>
      <c r="U180" s="102"/>
      <c r="V180" s="102"/>
      <c r="W180" s="102"/>
      <c r="X180" s="102"/>
      <c r="Y180" s="102"/>
      <c r="Z180" s="102"/>
    </row>
    <row r="181" spans="1:26" ht="15.75" customHeight="1">
      <c r="A181" s="102"/>
      <c r="B181" s="102"/>
      <c r="C181" s="102"/>
      <c r="D181" s="102"/>
      <c r="E181" s="102"/>
      <c r="F181" s="102"/>
      <c r="G181" s="102"/>
      <c r="H181" s="102"/>
      <c r="I181" s="102"/>
      <c r="J181" s="102"/>
      <c r="K181" s="102"/>
      <c r="L181" s="102"/>
      <c r="M181" s="102"/>
      <c r="N181" s="102"/>
      <c r="O181" s="102"/>
      <c r="P181" s="102"/>
      <c r="Q181" s="102"/>
      <c r="R181" s="102"/>
      <c r="S181" s="102"/>
      <c r="T181" s="102"/>
      <c r="U181" s="102"/>
      <c r="V181" s="102"/>
      <c r="W181" s="102"/>
      <c r="X181" s="102"/>
      <c r="Y181" s="102"/>
      <c r="Z181" s="102"/>
    </row>
    <row r="182" spans="1:26" ht="15.75" customHeight="1">
      <c r="A182" s="102"/>
      <c r="B182" s="102"/>
      <c r="C182" s="102"/>
      <c r="D182" s="102"/>
      <c r="E182" s="102"/>
      <c r="F182" s="102"/>
      <c r="G182" s="102"/>
      <c r="H182" s="102"/>
      <c r="I182" s="102"/>
      <c r="J182" s="102"/>
      <c r="K182" s="102"/>
      <c r="L182" s="102"/>
      <c r="M182" s="102"/>
      <c r="N182" s="102"/>
      <c r="O182" s="102"/>
      <c r="P182" s="102"/>
      <c r="Q182" s="102"/>
      <c r="R182" s="102"/>
      <c r="S182" s="102"/>
      <c r="T182" s="102"/>
      <c r="U182" s="102"/>
      <c r="V182" s="102"/>
      <c r="W182" s="102"/>
      <c r="X182" s="102"/>
      <c r="Y182" s="102"/>
      <c r="Z182" s="102"/>
    </row>
    <row r="183" spans="1:26" ht="15.75" customHeight="1">
      <c r="A183" s="102"/>
      <c r="B183" s="102"/>
      <c r="C183" s="102"/>
      <c r="D183" s="102"/>
      <c r="E183" s="102"/>
      <c r="F183" s="102"/>
      <c r="G183" s="102"/>
      <c r="H183" s="102"/>
      <c r="I183" s="102"/>
      <c r="J183" s="102"/>
      <c r="K183" s="102"/>
      <c r="L183" s="102"/>
      <c r="M183" s="102"/>
      <c r="N183" s="102"/>
      <c r="O183" s="102"/>
      <c r="P183" s="102"/>
      <c r="Q183" s="102"/>
      <c r="R183" s="102"/>
      <c r="S183" s="102"/>
      <c r="T183" s="102"/>
      <c r="U183" s="102"/>
      <c r="V183" s="102"/>
      <c r="W183" s="102"/>
      <c r="X183" s="102"/>
      <c r="Y183" s="102"/>
      <c r="Z183" s="102"/>
    </row>
    <row r="184" spans="1:26" ht="15.75" customHeight="1">
      <c r="A184" s="102"/>
      <c r="B184" s="102"/>
      <c r="C184" s="102"/>
      <c r="D184" s="102"/>
      <c r="E184" s="102"/>
      <c r="F184" s="102"/>
      <c r="G184" s="102"/>
      <c r="H184" s="102"/>
      <c r="I184" s="102"/>
      <c r="J184" s="102"/>
      <c r="K184" s="102"/>
      <c r="L184" s="102"/>
      <c r="M184" s="102"/>
      <c r="N184" s="102"/>
      <c r="O184" s="102"/>
      <c r="P184" s="102"/>
      <c r="Q184" s="102"/>
      <c r="R184" s="102"/>
      <c r="S184" s="102"/>
      <c r="T184" s="102"/>
      <c r="U184" s="102"/>
      <c r="V184" s="102"/>
      <c r="W184" s="102"/>
      <c r="X184" s="102"/>
      <c r="Y184" s="102"/>
      <c r="Z184" s="102"/>
    </row>
    <row r="185" spans="1:26" ht="15.75" customHeight="1">
      <c r="A185" s="102"/>
      <c r="B185" s="102"/>
      <c r="C185" s="102"/>
      <c r="D185" s="102"/>
      <c r="E185" s="102"/>
      <c r="F185" s="102"/>
      <c r="G185" s="102"/>
      <c r="H185" s="102"/>
      <c r="I185" s="102"/>
      <c r="J185" s="102"/>
      <c r="K185" s="102"/>
      <c r="L185" s="102"/>
      <c r="M185" s="102"/>
      <c r="N185" s="102"/>
      <c r="O185" s="102"/>
      <c r="P185" s="102"/>
      <c r="Q185" s="102"/>
      <c r="R185" s="102"/>
      <c r="S185" s="102"/>
      <c r="T185" s="102"/>
      <c r="U185" s="102"/>
      <c r="V185" s="102"/>
      <c r="W185" s="102"/>
      <c r="X185" s="102"/>
      <c r="Y185" s="102"/>
      <c r="Z185" s="102"/>
    </row>
    <row r="186" spans="1:26" ht="15.75" customHeight="1">
      <c r="A186" s="102"/>
      <c r="B186" s="102"/>
      <c r="C186" s="102"/>
      <c r="D186" s="102"/>
      <c r="E186" s="102"/>
      <c r="F186" s="102"/>
      <c r="G186" s="102"/>
      <c r="H186" s="102"/>
      <c r="I186" s="102"/>
      <c r="J186" s="102"/>
      <c r="K186" s="102"/>
      <c r="L186" s="102"/>
      <c r="M186" s="102"/>
      <c r="N186" s="102"/>
      <c r="O186" s="102"/>
      <c r="P186" s="102"/>
      <c r="Q186" s="102"/>
      <c r="R186" s="102"/>
      <c r="S186" s="102"/>
      <c r="T186" s="102"/>
      <c r="U186" s="102"/>
      <c r="V186" s="102"/>
      <c r="W186" s="102"/>
      <c r="X186" s="102"/>
      <c r="Y186" s="102"/>
      <c r="Z186" s="102"/>
    </row>
    <row r="187" spans="1:26" ht="15.75" customHeight="1">
      <c r="A187" s="102"/>
      <c r="B187" s="102"/>
      <c r="C187" s="102"/>
      <c r="D187" s="102"/>
      <c r="E187" s="102"/>
      <c r="F187" s="102"/>
      <c r="G187" s="102"/>
      <c r="H187" s="102"/>
      <c r="I187" s="102"/>
      <c r="J187" s="102"/>
      <c r="K187" s="102"/>
      <c r="L187" s="102"/>
      <c r="M187" s="102"/>
      <c r="N187" s="102"/>
      <c r="O187" s="102"/>
      <c r="P187" s="102"/>
      <c r="Q187" s="102"/>
      <c r="R187" s="102"/>
      <c r="S187" s="102"/>
      <c r="T187" s="102"/>
      <c r="U187" s="102"/>
      <c r="V187" s="102"/>
      <c r="W187" s="102"/>
      <c r="X187" s="102"/>
      <c r="Y187" s="102"/>
      <c r="Z187" s="102"/>
    </row>
    <row r="188" spans="1:26" ht="15.75" customHeight="1">
      <c r="A188" s="102"/>
      <c r="B188" s="102"/>
      <c r="C188" s="102"/>
      <c r="D188" s="102"/>
      <c r="E188" s="102"/>
      <c r="F188" s="102"/>
      <c r="G188" s="102"/>
      <c r="H188" s="102"/>
      <c r="I188" s="102"/>
      <c r="J188" s="102"/>
      <c r="K188" s="102"/>
      <c r="L188" s="102"/>
      <c r="M188" s="102"/>
      <c r="N188" s="102"/>
      <c r="O188" s="102"/>
      <c r="P188" s="102"/>
      <c r="Q188" s="102"/>
      <c r="R188" s="102"/>
      <c r="S188" s="102"/>
      <c r="T188" s="102"/>
      <c r="U188" s="102"/>
      <c r="V188" s="102"/>
      <c r="W188" s="102"/>
      <c r="X188" s="102"/>
      <c r="Y188" s="102"/>
      <c r="Z188" s="102"/>
    </row>
    <row r="189" spans="1:26" ht="15.75" customHeight="1">
      <c r="A189" s="102"/>
      <c r="B189" s="102"/>
      <c r="C189" s="102"/>
      <c r="D189" s="102"/>
      <c r="E189" s="102"/>
      <c r="F189" s="102"/>
      <c r="G189" s="102"/>
      <c r="H189" s="102"/>
      <c r="I189" s="102"/>
      <c r="J189" s="102"/>
      <c r="K189" s="102"/>
      <c r="L189" s="102"/>
      <c r="M189" s="102"/>
      <c r="N189" s="102"/>
      <c r="O189" s="102"/>
      <c r="P189" s="102"/>
      <c r="Q189" s="102"/>
      <c r="R189" s="102"/>
      <c r="S189" s="102"/>
      <c r="T189" s="102"/>
      <c r="U189" s="102"/>
      <c r="V189" s="102"/>
      <c r="W189" s="102"/>
      <c r="X189" s="102"/>
      <c r="Y189" s="102"/>
      <c r="Z189" s="102"/>
    </row>
    <row r="190" spans="1:26" ht="15.75" customHeight="1">
      <c r="A190" s="102"/>
      <c r="B190" s="102"/>
      <c r="C190" s="102"/>
      <c r="D190" s="102"/>
      <c r="E190" s="102"/>
      <c r="F190" s="102"/>
      <c r="G190" s="102"/>
      <c r="H190" s="102"/>
      <c r="I190" s="102"/>
      <c r="J190" s="102"/>
      <c r="K190" s="102"/>
      <c r="L190" s="102"/>
      <c r="M190" s="102"/>
      <c r="N190" s="102"/>
      <c r="O190" s="102"/>
      <c r="P190" s="102"/>
      <c r="Q190" s="102"/>
      <c r="R190" s="102"/>
      <c r="S190" s="102"/>
      <c r="T190" s="102"/>
      <c r="U190" s="102"/>
      <c r="V190" s="102"/>
      <c r="W190" s="102"/>
      <c r="X190" s="102"/>
      <c r="Y190" s="102"/>
      <c r="Z190" s="102"/>
    </row>
    <row r="191" spans="1:26" ht="15.75" customHeight="1">
      <c r="A191" s="102"/>
      <c r="B191" s="102"/>
      <c r="C191" s="102"/>
      <c r="D191" s="102"/>
      <c r="E191" s="102"/>
      <c r="F191" s="102"/>
      <c r="G191" s="102"/>
      <c r="H191" s="102"/>
      <c r="I191" s="102"/>
      <c r="J191" s="102"/>
      <c r="K191" s="102"/>
      <c r="L191" s="102"/>
      <c r="M191" s="102"/>
      <c r="N191" s="102"/>
      <c r="O191" s="102"/>
      <c r="P191" s="102"/>
      <c r="Q191" s="102"/>
      <c r="R191" s="102"/>
      <c r="S191" s="102"/>
      <c r="T191" s="102"/>
      <c r="U191" s="102"/>
      <c r="V191" s="102"/>
      <c r="W191" s="102"/>
      <c r="X191" s="102"/>
      <c r="Y191" s="102"/>
      <c r="Z191" s="102"/>
    </row>
    <row r="192" spans="1:26" ht="15.75" customHeight="1">
      <c r="A192" s="102"/>
      <c r="B192" s="102"/>
      <c r="C192" s="102"/>
      <c r="D192" s="102"/>
      <c r="E192" s="102"/>
      <c r="F192" s="102"/>
      <c r="G192" s="102"/>
      <c r="H192" s="102"/>
      <c r="I192" s="102"/>
      <c r="J192" s="102"/>
      <c r="K192" s="102"/>
      <c r="L192" s="102"/>
      <c r="M192" s="102"/>
      <c r="N192" s="102"/>
      <c r="O192" s="102"/>
      <c r="P192" s="102"/>
      <c r="Q192" s="102"/>
      <c r="R192" s="102"/>
      <c r="S192" s="102"/>
      <c r="T192" s="102"/>
      <c r="U192" s="102"/>
      <c r="V192" s="102"/>
      <c r="W192" s="102"/>
      <c r="X192" s="102"/>
      <c r="Y192" s="102"/>
      <c r="Z192" s="102"/>
    </row>
    <row r="193" spans="1:26" ht="15.75" customHeight="1">
      <c r="A193" s="102"/>
      <c r="B193" s="102"/>
      <c r="C193" s="102"/>
      <c r="D193" s="102"/>
      <c r="E193" s="102"/>
      <c r="F193" s="102"/>
      <c r="G193" s="102"/>
      <c r="H193" s="102"/>
      <c r="I193" s="102"/>
      <c r="J193" s="102"/>
      <c r="K193" s="102"/>
      <c r="L193" s="102"/>
      <c r="M193" s="102"/>
      <c r="N193" s="102"/>
      <c r="O193" s="102"/>
      <c r="P193" s="102"/>
      <c r="Q193" s="102"/>
      <c r="R193" s="102"/>
      <c r="S193" s="102"/>
      <c r="T193" s="102"/>
      <c r="U193" s="102"/>
      <c r="V193" s="102"/>
      <c r="W193" s="102"/>
      <c r="X193" s="102"/>
      <c r="Y193" s="102"/>
      <c r="Z193" s="102"/>
    </row>
    <row r="194" spans="1:26" ht="15.75" customHeight="1">
      <c r="A194" s="102"/>
      <c r="B194" s="102"/>
      <c r="C194" s="102"/>
      <c r="D194" s="102"/>
      <c r="E194" s="102"/>
      <c r="F194" s="102"/>
      <c r="G194" s="102"/>
      <c r="H194" s="102"/>
      <c r="I194" s="102"/>
      <c r="J194" s="102"/>
      <c r="K194" s="102"/>
      <c r="L194" s="102"/>
      <c r="M194" s="102"/>
      <c r="N194" s="102"/>
      <c r="O194" s="102"/>
      <c r="P194" s="102"/>
      <c r="Q194" s="102"/>
      <c r="R194" s="102"/>
      <c r="S194" s="102"/>
      <c r="T194" s="102"/>
      <c r="U194" s="102"/>
      <c r="V194" s="102"/>
      <c r="W194" s="102"/>
      <c r="X194" s="102"/>
      <c r="Y194" s="102"/>
      <c r="Z194" s="102"/>
    </row>
    <row r="195" spans="1:26" ht="15.75" customHeight="1">
      <c r="A195" s="102"/>
      <c r="B195" s="102"/>
      <c r="C195" s="102"/>
      <c r="D195" s="102"/>
      <c r="E195" s="102"/>
      <c r="F195" s="102"/>
      <c r="G195" s="102"/>
      <c r="H195" s="102"/>
      <c r="I195" s="102"/>
      <c r="J195" s="102"/>
      <c r="K195" s="102"/>
      <c r="L195" s="102"/>
      <c r="M195" s="102"/>
      <c r="N195" s="102"/>
      <c r="O195" s="102"/>
      <c r="P195" s="102"/>
      <c r="Q195" s="102"/>
      <c r="R195" s="102"/>
      <c r="S195" s="102"/>
      <c r="T195" s="102"/>
      <c r="U195" s="102"/>
      <c r="V195" s="102"/>
      <c r="W195" s="102"/>
      <c r="X195" s="102"/>
      <c r="Y195" s="102"/>
      <c r="Z195" s="102"/>
    </row>
    <row r="196" spans="1:26" ht="15.75" customHeight="1">
      <c r="A196" s="102"/>
      <c r="B196" s="102"/>
      <c r="C196" s="102"/>
      <c r="D196" s="102"/>
      <c r="E196" s="102"/>
      <c r="F196" s="102"/>
      <c r="G196" s="102"/>
      <c r="H196" s="102"/>
      <c r="I196" s="102"/>
      <c r="J196" s="102"/>
      <c r="K196" s="102"/>
      <c r="L196" s="102"/>
      <c r="M196" s="102"/>
      <c r="N196" s="102"/>
      <c r="O196" s="102"/>
      <c r="P196" s="102"/>
      <c r="Q196" s="102"/>
      <c r="R196" s="102"/>
      <c r="S196" s="102"/>
      <c r="T196" s="102"/>
      <c r="U196" s="102"/>
      <c r="V196" s="102"/>
      <c r="W196" s="102"/>
      <c r="X196" s="102"/>
      <c r="Y196" s="102"/>
      <c r="Z196" s="102"/>
    </row>
    <row r="197" spans="1:26" ht="15.75" customHeight="1">
      <c r="A197" s="102"/>
      <c r="B197" s="102"/>
      <c r="C197" s="102"/>
      <c r="D197" s="102"/>
      <c r="E197" s="102"/>
      <c r="F197" s="102"/>
      <c r="G197" s="102"/>
      <c r="H197" s="102"/>
      <c r="I197" s="102"/>
      <c r="J197" s="102"/>
      <c r="K197" s="102"/>
      <c r="L197" s="102"/>
      <c r="M197" s="102"/>
      <c r="N197" s="102"/>
      <c r="O197" s="102"/>
      <c r="P197" s="102"/>
      <c r="Q197" s="102"/>
      <c r="R197" s="102"/>
      <c r="S197" s="102"/>
      <c r="T197" s="102"/>
      <c r="U197" s="102"/>
      <c r="V197" s="102"/>
      <c r="W197" s="102"/>
      <c r="X197" s="102"/>
      <c r="Y197" s="102"/>
      <c r="Z197" s="102"/>
    </row>
    <row r="198" spans="1:26" ht="15.75" customHeight="1">
      <c r="A198" s="102"/>
      <c r="B198" s="102"/>
      <c r="C198" s="102"/>
      <c r="D198" s="102"/>
      <c r="E198" s="102"/>
      <c r="F198" s="102"/>
      <c r="G198" s="102"/>
      <c r="H198" s="102"/>
      <c r="I198" s="102"/>
      <c r="J198" s="102"/>
      <c r="K198" s="102"/>
      <c r="L198" s="102"/>
      <c r="M198" s="102"/>
      <c r="N198" s="102"/>
      <c r="O198" s="102"/>
      <c r="P198" s="102"/>
      <c r="Q198" s="102"/>
      <c r="R198" s="102"/>
      <c r="S198" s="102"/>
      <c r="T198" s="102"/>
      <c r="U198" s="102"/>
      <c r="V198" s="102"/>
      <c r="W198" s="102"/>
      <c r="X198" s="102"/>
      <c r="Y198" s="102"/>
      <c r="Z198" s="102"/>
    </row>
    <row r="199" spans="1:26" ht="15.75" customHeight="1">
      <c r="A199" s="102"/>
      <c r="B199" s="102"/>
      <c r="C199" s="102"/>
      <c r="D199" s="102"/>
      <c r="E199" s="102"/>
      <c r="F199" s="102"/>
      <c r="G199" s="102"/>
      <c r="H199" s="102"/>
      <c r="I199" s="102"/>
      <c r="J199" s="102"/>
      <c r="K199" s="102"/>
      <c r="L199" s="102"/>
      <c r="M199" s="102"/>
      <c r="N199" s="102"/>
      <c r="O199" s="102"/>
      <c r="P199" s="102"/>
      <c r="Q199" s="102"/>
      <c r="R199" s="102"/>
      <c r="S199" s="102"/>
      <c r="T199" s="102"/>
      <c r="U199" s="102"/>
      <c r="V199" s="102"/>
      <c r="W199" s="102"/>
      <c r="X199" s="102"/>
      <c r="Y199" s="102"/>
      <c r="Z199" s="102"/>
    </row>
    <row r="200" spans="1:26" ht="15.75" customHeight="1">
      <c r="A200" s="102"/>
      <c r="B200" s="102"/>
      <c r="C200" s="102"/>
      <c r="D200" s="102"/>
      <c r="E200" s="102"/>
      <c r="F200" s="102"/>
      <c r="G200" s="102"/>
      <c r="H200" s="102"/>
      <c r="I200" s="102"/>
      <c r="J200" s="102"/>
      <c r="K200" s="102"/>
      <c r="L200" s="102"/>
      <c r="M200" s="102"/>
      <c r="N200" s="102"/>
      <c r="O200" s="102"/>
      <c r="P200" s="102"/>
      <c r="Q200" s="102"/>
      <c r="R200" s="102"/>
      <c r="S200" s="102"/>
      <c r="T200" s="102"/>
      <c r="U200" s="102"/>
      <c r="V200" s="102"/>
      <c r="W200" s="102"/>
      <c r="X200" s="102"/>
      <c r="Y200" s="102"/>
      <c r="Z200" s="102"/>
    </row>
    <row r="201" spans="1:26" ht="15.75" customHeight="1">
      <c r="A201" s="102"/>
      <c r="B201" s="102"/>
      <c r="C201" s="102"/>
      <c r="D201" s="102"/>
      <c r="E201" s="102"/>
      <c r="F201" s="102"/>
      <c r="G201" s="102"/>
      <c r="H201" s="102"/>
      <c r="I201" s="102"/>
      <c r="J201" s="102"/>
      <c r="K201" s="102"/>
      <c r="L201" s="102"/>
      <c r="M201" s="102"/>
      <c r="N201" s="102"/>
      <c r="O201" s="102"/>
      <c r="P201" s="102"/>
      <c r="Q201" s="102"/>
      <c r="R201" s="102"/>
      <c r="S201" s="102"/>
      <c r="T201" s="102"/>
      <c r="U201" s="102"/>
      <c r="V201" s="102"/>
      <c r="W201" s="102"/>
      <c r="X201" s="102"/>
      <c r="Y201" s="102"/>
      <c r="Z201" s="102"/>
    </row>
    <row r="202" spans="1:26" ht="15.75" customHeight="1">
      <c r="A202" s="102"/>
      <c r="B202" s="102"/>
      <c r="C202" s="102"/>
      <c r="D202" s="102"/>
      <c r="E202" s="102"/>
      <c r="F202" s="102"/>
      <c r="G202" s="102"/>
      <c r="H202" s="102"/>
      <c r="I202" s="102"/>
      <c r="J202" s="102"/>
      <c r="K202" s="102"/>
      <c r="L202" s="102"/>
      <c r="M202" s="102"/>
      <c r="N202" s="102"/>
      <c r="O202" s="102"/>
      <c r="P202" s="102"/>
      <c r="Q202" s="102"/>
      <c r="R202" s="102"/>
      <c r="S202" s="102"/>
      <c r="T202" s="102"/>
      <c r="U202" s="102"/>
      <c r="V202" s="102"/>
      <c r="W202" s="102"/>
      <c r="X202" s="102"/>
      <c r="Y202" s="102"/>
      <c r="Z202" s="102"/>
    </row>
    <row r="203" spans="1:26" ht="15.75" customHeight="1">
      <c r="A203" s="102"/>
      <c r="B203" s="102"/>
      <c r="C203" s="102"/>
      <c r="D203" s="102"/>
      <c r="E203" s="102"/>
      <c r="F203" s="102"/>
      <c r="G203" s="102"/>
      <c r="H203" s="102"/>
      <c r="I203" s="102"/>
      <c r="J203" s="102"/>
      <c r="K203" s="102"/>
      <c r="L203" s="102"/>
      <c r="M203" s="102"/>
      <c r="N203" s="102"/>
      <c r="O203" s="102"/>
      <c r="P203" s="102"/>
      <c r="Q203" s="102"/>
      <c r="R203" s="102"/>
      <c r="S203" s="102"/>
      <c r="T203" s="102"/>
      <c r="U203" s="102"/>
      <c r="V203" s="102"/>
      <c r="W203" s="102"/>
      <c r="X203" s="102"/>
      <c r="Y203" s="102"/>
      <c r="Z203" s="102"/>
    </row>
    <row r="204" spans="1:26" ht="15.75" customHeight="1">
      <c r="A204" s="102"/>
      <c r="B204" s="102"/>
      <c r="C204" s="102"/>
      <c r="D204" s="102"/>
      <c r="E204" s="102"/>
      <c r="F204" s="102"/>
      <c r="G204" s="102"/>
      <c r="H204" s="102"/>
      <c r="I204" s="102"/>
      <c r="J204" s="102"/>
      <c r="K204" s="102"/>
      <c r="L204" s="102"/>
      <c r="M204" s="102"/>
      <c r="N204" s="102"/>
      <c r="O204" s="102"/>
      <c r="P204" s="102"/>
      <c r="Q204" s="102"/>
      <c r="R204" s="102"/>
      <c r="S204" s="102"/>
      <c r="T204" s="102"/>
      <c r="U204" s="102"/>
      <c r="V204" s="102"/>
      <c r="W204" s="102"/>
      <c r="X204" s="102"/>
      <c r="Y204" s="102"/>
      <c r="Z204" s="102"/>
    </row>
    <row r="205" spans="1:26" ht="15.75" customHeight="1">
      <c r="A205" s="102"/>
      <c r="B205" s="102"/>
      <c r="C205" s="102"/>
      <c r="D205" s="102"/>
      <c r="E205" s="102"/>
      <c r="F205" s="102"/>
      <c r="G205" s="102"/>
      <c r="H205" s="102"/>
      <c r="I205" s="102"/>
      <c r="J205" s="102"/>
      <c r="K205" s="102"/>
      <c r="L205" s="102"/>
      <c r="M205" s="102"/>
      <c r="N205" s="102"/>
      <c r="O205" s="102"/>
      <c r="P205" s="102"/>
      <c r="Q205" s="102"/>
      <c r="R205" s="102"/>
      <c r="S205" s="102"/>
      <c r="T205" s="102"/>
      <c r="U205" s="102"/>
      <c r="V205" s="102"/>
      <c r="W205" s="102"/>
      <c r="X205" s="102"/>
      <c r="Y205" s="102"/>
      <c r="Z205" s="102"/>
    </row>
    <row r="206" spans="1:26" ht="15.75" customHeight="1">
      <c r="A206" s="102"/>
      <c r="B206" s="102"/>
      <c r="C206" s="102"/>
      <c r="D206" s="102"/>
      <c r="E206" s="102"/>
      <c r="F206" s="102"/>
      <c r="G206" s="102"/>
      <c r="H206" s="102"/>
      <c r="I206" s="102"/>
      <c r="J206" s="102"/>
      <c r="K206" s="102"/>
      <c r="L206" s="102"/>
      <c r="M206" s="102"/>
      <c r="N206" s="102"/>
      <c r="O206" s="102"/>
      <c r="P206" s="102"/>
      <c r="Q206" s="102"/>
      <c r="R206" s="102"/>
      <c r="S206" s="102"/>
      <c r="T206" s="102"/>
      <c r="U206" s="102"/>
      <c r="V206" s="102"/>
      <c r="W206" s="102"/>
      <c r="X206" s="102"/>
      <c r="Y206" s="102"/>
      <c r="Z206" s="102"/>
    </row>
    <row r="207" spans="1:26" ht="15.75" customHeight="1">
      <c r="A207" s="102"/>
      <c r="B207" s="102"/>
      <c r="C207" s="102"/>
      <c r="D207" s="102"/>
      <c r="E207" s="102"/>
      <c r="F207" s="102"/>
      <c r="G207" s="102"/>
      <c r="H207" s="102"/>
      <c r="I207" s="102"/>
      <c r="J207" s="102"/>
      <c r="K207" s="102"/>
      <c r="L207" s="102"/>
      <c r="M207" s="102"/>
      <c r="N207" s="102"/>
      <c r="O207" s="102"/>
      <c r="P207" s="102"/>
      <c r="Q207" s="102"/>
      <c r="R207" s="102"/>
      <c r="S207" s="102"/>
      <c r="T207" s="102"/>
      <c r="U207" s="102"/>
      <c r="V207" s="102"/>
      <c r="W207" s="102"/>
      <c r="X207" s="102"/>
      <c r="Y207" s="102"/>
      <c r="Z207" s="102"/>
    </row>
    <row r="208" spans="1:26" ht="15.75" customHeight="1">
      <c r="A208" s="102"/>
      <c r="B208" s="102"/>
      <c r="C208" s="102"/>
      <c r="D208" s="102"/>
      <c r="E208" s="102"/>
      <c r="F208" s="102"/>
      <c r="G208" s="102"/>
      <c r="H208" s="102"/>
      <c r="I208" s="102"/>
      <c r="J208" s="102"/>
      <c r="K208" s="102"/>
      <c r="L208" s="102"/>
      <c r="M208" s="102"/>
      <c r="N208" s="102"/>
      <c r="O208" s="102"/>
      <c r="P208" s="102"/>
      <c r="Q208" s="102"/>
      <c r="R208" s="102"/>
      <c r="S208" s="102"/>
      <c r="T208" s="102"/>
      <c r="U208" s="102"/>
      <c r="V208" s="102"/>
      <c r="W208" s="102"/>
      <c r="X208" s="102"/>
      <c r="Y208" s="102"/>
      <c r="Z208" s="102"/>
    </row>
    <row r="209" spans="1:26" ht="15.75" customHeight="1">
      <c r="A209" s="102"/>
      <c r="B209" s="102"/>
      <c r="C209" s="102"/>
      <c r="D209" s="102"/>
      <c r="E209" s="102"/>
      <c r="F209" s="102"/>
      <c r="G209" s="102"/>
      <c r="H209" s="102"/>
      <c r="I209" s="102"/>
      <c r="J209" s="102"/>
      <c r="K209" s="102"/>
      <c r="L209" s="102"/>
      <c r="M209" s="102"/>
      <c r="N209" s="102"/>
      <c r="O209" s="102"/>
      <c r="P209" s="102"/>
      <c r="Q209" s="102"/>
      <c r="R209" s="102"/>
      <c r="S209" s="102"/>
      <c r="T209" s="102"/>
      <c r="U209" s="102"/>
      <c r="V209" s="102"/>
      <c r="W209" s="102"/>
      <c r="X209" s="102"/>
      <c r="Y209" s="102"/>
      <c r="Z209" s="102"/>
    </row>
    <row r="210" spans="1:26" ht="15.75" customHeight="1">
      <c r="A210" s="102"/>
      <c r="B210" s="102"/>
      <c r="C210" s="102"/>
      <c r="D210" s="102"/>
      <c r="E210" s="102"/>
      <c r="F210" s="102"/>
      <c r="G210" s="102"/>
      <c r="H210" s="102"/>
      <c r="I210" s="102"/>
      <c r="J210" s="102"/>
      <c r="K210" s="102"/>
      <c r="L210" s="102"/>
      <c r="M210" s="102"/>
      <c r="N210" s="102"/>
      <c r="O210" s="102"/>
      <c r="P210" s="102"/>
      <c r="Q210" s="102"/>
      <c r="R210" s="102"/>
      <c r="S210" s="102"/>
      <c r="T210" s="102"/>
      <c r="U210" s="102"/>
      <c r="V210" s="102"/>
      <c r="W210" s="102"/>
      <c r="X210" s="102"/>
      <c r="Y210" s="102"/>
      <c r="Z210" s="102"/>
    </row>
    <row r="211" spans="1:26" ht="15.75" customHeight="1">
      <c r="A211" s="102"/>
      <c r="B211" s="102"/>
      <c r="C211" s="102"/>
      <c r="D211" s="102"/>
      <c r="E211" s="102"/>
      <c r="F211" s="102"/>
      <c r="G211" s="102"/>
      <c r="H211" s="102"/>
      <c r="I211" s="102"/>
      <c r="J211" s="102"/>
      <c r="K211" s="102"/>
      <c r="L211" s="102"/>
      <c r="M211" s="102"/>
      <c r="N211" s="102"/>
      <c r="O211" s="102"/>
      <c r="P211" s="102"/>
      <c r="Q211" s="102"/>
      <c r="R211" s="102"/>
      <c r="S211" s="102"/>
      <c r="T211" s="102"/>
      <c r="U211" s="102"/>
      <c r="V211" s="102"/>
      <c r="W211" s="102"/>
      <c r="X211" s="102"/>
      <c r="Y211" s="102"/>
      <c r="Z211" s="102"/>
    </row>
    <row r="212" spans="1:26" ht="15.75" customHeight="1">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row>
    <row r="213" spans="1:26" ht="15.75" customHeight="1">
      <c r="A213" s="102"/>
      <c r="B213" s="102"/>
      <c r="C213" s="102"/>
      <c r="D213" s="102"/>
      <c r="E213" s="102"/>
      <c r="F213" s="102"/>
      <c r="G213" s="102"/>
      <c r="H213" s="102"/>
      <c r="I213" s="102"/>
      <c r="J213" s="102"/>
      <c r="K213" s="102"/>
      <c r="L213" s="102"/>
      <c r="M213" s="102"/>
      <c r="N213" s="102"/>
      <c r="O213" s="102"/>
      <c r="P213" s="102"/>
      <c r="Q213" s="102"/>
      <c r="R213" s="102"/>
      <c r="S213" s="102"/>
      <c r="T213" s="102"/>
      <c r="U213" s="102"/>
      <c r="V213" s="102"/>
      <c r="W213" s="102"/>
      <c r="X213" s="102"/>
      <c r="Y213" s="102"/>
      <c r="Z213" s="102"/>
    </row>
    <row r="214" spans="1:26" ht="15.75" customHeight="1">
      <c r="A214" s="102"/>
      <c r="B214" s="102"/>
      <c r="C214" s="102"/>
      <c r="D214" s="102"/>
      <c r="E214" s="102"/>
      <c r="F214" s="102"/>
      <c r="G214" s="102"/>
      <c r="H214" s="102"/>
      <c r="I214" s="102"/>
      <c r="J214" s="102"/>
      <c r="K214" s="102"/>
      <c r="L214" s="102"/>
      <c r="M214" s="102"/>
      <c r="N214" s="102"/>
      <c r="O214" s="102"/>
      <c r="P214" s="102"/>
      <c r="Q214" s="102"/>
      <c r="R214" s="102"/>
      <c r="S214" s="102"/>
      <c r="T214" s="102"/>
      <c r="U214" s="102"/>
      <c r="V214" s="102"/>
      <c r="W214" s="102"/>
      <c r="X214" s="102"/>
      <c r="Y214" s="102"/>
      <c r="Z214" s="102"/>
    </row>
    <row r="215" spans="1:26" ht="15.75" customHeight="1">
      <c r="A215" s="102"/>
      <c r="B215" s="102"/>
      <c r="C215" s="102"/>
      <c r="D215" s="102"/>
      <c r="E215" s="102"/>
      <c r="F215" s="102"/>
      <c r="G215" s="102"/>
      <c r="H215" s="102"/>
      <c r="I215" s="102"/>
      <c r="J215" s="102"/>
      <c r="K215" s="102"/>
      <c r="L215" s="102"/>
      <c r="M215" s="102"/>
      <c r="N215" s="102"/>
      <c r="O215" s="102"/>
      <c r="P215" s="102"/>
      <c r="Q215" s="102"/>
      <c r="R215" s="102"/>
      <c r="S215" s="102"/>
      <c r="T215" s="102"/>
      <c r="U215" s="102"/>
      <c r="V215" s="102"/>
      <c r="W215" s="102"/>
      <c r="X215" s="102"/>
      <c r="Y215" s="102"/>
      <c r="Z215" s="102"/>
    </row>
    <row r="216" spans="1:26" ht="15.75" customHeight="1">
      <c r="A216" s="102"/>
      <c r="B216" s="102"/>
      <c r="C216" s="102"/>
      <c r="D216" s="102"/>
      <c r="E216" s="102"/>
      <c r="F216" s="102"/>
      <c r="G216" s="102"/>
      <c r="H216" s="102"/>
      <c r="I216" s="102"/>
      <c r="J216" s="102"/>
      <c r="K216" s="102"/>
      <c r="L216" s="102"/>
      <c r="M216" s="102"/>
      <c r="N216" s="102"/>
      <c r="O216" s="102"/>
      <c r="P216" s="102"/>
      <c r="Q216" s="102"/>
      <c r="R216" s="102"/>
      <c r="S216" s="102"/>
      <c r="T216" s="102"/>
      <c r="U216" s="102"/>
      <c r="V216" s="102"/>
      <c r="W216" s="102"/>
      <c r="X216" s="102"/>
      <c r="Y216" s="102"/>
      <c r="Z216" s="102"/>
    </row>
    <row r="217" spans="1:26" ht="15.75" customHeight="1">
      <c r="A217" s="102"/>
      <c r="B217" s="102"/>
      <c r="C217" s="102"/>
      <c r="D217" s="102"/>
      <c r="E217" s="102"/>
      <c r="F217" s="102"/>
      <c r="G217" s="102"/>
      <c r="H217" s="102"/>
      <c r="I217" s="102"/>
      <c r="J217" s="102"/>
      <c r="K217" s="102"/>
      <c r="L217" s="102"/>
      <c r="M217" s="102"/>
      <c r="N217" s="102"/>
      <c r="O217" s="102"/>
      <c r="P217" s="102"/>
      <c r="Q217" s="102"/>
      <c r="R217" s="102"/>
      <c r="S217" s="102"/>
      <c r="T217" s="102"/>
      <c r="U217" s="102"/>
      <c r="V217" s="102"/>
      <c r="W217" s="102"/>
      <c r="X217" s="102"/>
      <c r="Y217" s="102"/>
      <c r="Z217" s="102"/>
    </row>
    <row r="218" spans="1:26" ht="15.75" customHeight="1">
      <c r="A218" s="102"/>
      <c r="B218" s="102"/>
      <c r="C218" s="102"/>
      <c r="D218" s="102"/>
      <c r="E218" s="102"/>
      <c r="F218" s="102"/>
      <c r="G218" s="102"/>
      <c r="H218" s="102"/>
      <c r="I218" s="102"/>
      <c r="J218" s="102"/>
      <c r="K218" s="102"/>
      <c r="L218" s="102"/>
      <c r="M218" s="102"/>
      <c r="N218" s="102"/>
      <c r="O218" s="102"/>
      <c r="P218" s="102"/>
      <c r="Q218" s="102"/>
      <c r="R218" s="102"/>
      <c r="S218" s="102"/>
      <c r="T218" s="102"/>
      <c r="U218" s="102"/>
      <c r="V218" s="102"/>
      <c r="W218" s="102"/>
      <c r="X218" s="102"/>
      <c r="Y218" s="102"/>
      <c r="Z218" s="102"/>
    </row>
    <row r="219" spans="1:26" ht="15.75" customHeight="1">
      <c r="A219" s="102"/>
      <c r="B219" s="102"/>
      <c r="C219" s="102"/>
      <c r="D219" s="102"/>
      <c r="E219" s="102"/>
      <c r="F219" s="102"/>
      <c r="G219" s="102"/>
      <c r="H219" s="102"/>
      <c r="I219" s="102"/>
      <c r="J219" s="102"/>
      <c r="K219" s="102"/>
      <c r="L219" s="102"/>
      <c r="M219" s="102"/>
      <c r="N219" s="102"/>
      <c r="O219" s="102"/>
      <c r="P219" s="102"/>
      <c r="Q219" s="102"/>
      <c r="R219" s="102"/>
      <c r="S219" s="102"/>
      <c r="T219" s="102"/>
      <c r="U219" s="102"/>
      <c r="V219" s="102"/>
      <c r="W219" s="102"/>
      <c r="X219" s="102"/>
      <c r="Y219" s="102"/>
      <c r="Z219" s="102"/>
    </row>
    <row r="220" spans="1:26" ht="15.75" customHeight="1">
      <c r="A220" s="102"/>
      <c r="B220" s="102"/>
      <c r="C220" s="102"/>
      <c r="D220" s="102"/>
      <c r="E220" s="102"/>
      <c r="F220" s="102"/>
      <c r="G220" s="102"/>
      <c r="H220" s="102"/>
      <c r="I220" s="102"/>
      <c r="J220" s="102"/>
      <c r="K220" s="102"/>
      <c r="L220" s="102"/>
      <c r="M220" s="102"/>
      <c r="N220" s="102"/>
      <c r="O220" s="102"/>
      <c r="P220" s="102"/>
      <c r="Q220" s="102"/>
      <c r="R220" s="102"/>
      <c r="S220" s="102"/>
      <c r="T220" s="102"/>
      <c r="U220" s="102"/>
      <c r="V220" s="102"/>
      <c r="W220" s="102"/>
      <c r="X220" s="102"/>
      <c r="Y220" s="102"/>
      <c r="Z220" s="102"/>
    </row>
    <row r="221" spans="1:26" ht="15.75" customHeight="1"/>
    <row r="222" spans="1:26" ht="15.75" customHeight="1"/>
    <row r="223" spans="1:26" ht="15.75" customHeight="1"/>
    <row r="224" spans="1:26"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B3:B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 PROCESO (Colmena)</vt:lpstr>
      <vt:lpstr>Hoja2</vt:lpstr>
      <vt:lpstr>ASISTENCIA</vt:lpstr>
      <vt:lpstr>pruebas 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FABIO HERNAN FORERO GARZON</dc:creator>
  <cp:lastModifiedBy>FABIO HERNAN FORERO GARZON</cp:lastModifiedBy>
  <dcterms:created xsi:type="dcterms:W3CDTF">2024-10-01T20:42:53Z</dcterms:created>
  <dcterms:modified xsi:type="dcterms:W3CDTF">2026-04-29T21:48:04Z</dcterms:modified>
</cp:coreProperties>
</file>
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79220621\Documents\REPORTEDIARIO\REPORTEDIARIO\"/>
    </mc:Choice>
  </mc:AlternateContent>
  <bookViews>
    <workbookView xWindow="0" yWindow="0" windowWidth="28800" windowHeight="12135"/>
  </bookViews>
  <sheets>
    <sheet name="EN PROCESO (Colmedica)" sheetId="1" r:id="rId1"/>
    <sheet name="Hoja2" sheetId="2" state="hidden" r:id="rId2"/>
    <sheet name="ASISTENCIA" sheetId="3" state="hidden" r:id="rId3"/>
    <sheet name="pruebas i" sheetId="4" state="hidden" r:id="rId4"/>
  </sheets>
  <definedNames>
    <definedName name="_xlnm._FilterDatabase" localSheetId="0" hidden="1">'EN PROCESO (Colmedica)'!$A$1:$R$80</definedName>
  </definedNames>
  <calcPr calcId="162913"/>
  <extLst>
    <ext uri="GoogleSheetsCustomDataVersion2">
      <go:sheetsCustomData xmlns:go="http://customooxmlschemas.google.com/" r:id="rId8" roundtripDataChecksum="lOfjrss0U5Mw/hQVj7AmwWOxdhh6HQzdr2mQk+DgfIs="/>
    </ext>
  </extLst>
</workbook>
</file>

<file path=xl/calcChain.xml><?xml version="1.0" encoding="utf-8"?>
<calcChain xmlns="http://schemas.openxmlformats.org/spreadsheetml/2006/main">
  <c r="I5" i="4" l="1"/>
  <c r="I4" i="4"/>
  <c r="I3" i="4"/>
  <c r="I2" i="4"/>
  <c r="M80" i="1"/>
  <c r="H80" i="1"/>
  <c r="M79" i="1"/>
  <c r="H79" i="1"/>
  <c r="M78" i="1"/>
  <c r="H78" i="1"/>
  <c r="M77" i="1"/>
  <c r="H77" i="1"/>
  <c r="M76" i="1"/>
  <c r="H76" i="1"/>
  <c r="M75" i="1"/>
  <c r="H75" i="1"/>
  <c r="M74" i="1"/>
  <c r="H74" i="1"/>
  <c r="M73" i="1"/>
  <c r="H73" i="1"/>
  <c r="M72" i="1"/>
  <c r="H72" i="1"/>
  <c r="M71" i="1"/>
  <c r="H71" i="1"/>
  <c r="M70" i="1"/>
  <c r="H70" i="1"/>
  <c r="M69" i="1"/>
  <c r="H69" i="1"/>
  <c r="M68" i="1"/>
  <c r="H68" i="1"/>
  <c r="M67" i="1"/>
  <c r="H67" i="1"/>
  <c r="M66" i="1"/>
  <c r="H66" i="1"/>
  <c r="M65" i="1"/>
  <c r="H65" i="1"/>
  <c r="M64" i="1"/>
  <c r="H64" i="1"/>
  <c r="M63" i="1"/>
  <c r="H63" i="1"/>
  <c r="M62" i="1"/>
  <c r="H62" i="1"/>
  <c r="M61" i="1"/>
  <c r="H61" i="1"/>
  <c r="M60" i="1"/>
  <c r="H60" i="1"/>
  <c r="M59" i="1"/>
  <c r="H59" i="1"/>
  <c r="M58" i="1"/>
  <c r="H58" i="1"/>
  <c r="M57" i="1"/>
  <c r="H57" i="1"/>
  <c r="M56" i="1"/>
  <c r="H56" i="1"/>
  <c r="M55" i="1"/>
  <c r="H55" i="1"/>
  <c r="M54" i="1"/>
  <c r="H54" i="1"/>
  <c r="M53" i="1"/>
  <c r="H53" i="1"/>
  <c r="M52" i="1"/>
  <c r="H52" i="1"/>
  <c r="M51" i="1"/>
  <c r="H51" i="1"/>
  <c r="M50" i="1"/>
  <c r="H50" i="1"/>
  <c r="M49" i="1"/>
  <c r="H49" i="1"/>
  <c r="M48" i="1"/>
  <c r="H48" i="1"/>
  <c r="M47" i="1"/>
  <c r="H47" i="1"/>
  <c r="M46" i="1"/>
  <c r="H46" i="1"/>
  <c r="M45" i="1"/>
  <c r="H45" i="1"/>
  <c r="M44" i="1"/>
  <c r="H44" i="1"/>
  <c r="M43" i="1"/>
  <c r="H43" i="1"/>
  <c r="M42" i="1"/>
  <c r="H42" i="1"/>
  <c r="M41" i="1"/>
  <c r="H41" i="1"/>
  <c r="M40" i="1"/>
  <c r="H40" i="1"/>
  <c r="M39" i="1"/>
  <c r="H39" i="1"/>
  <c r="M38" i="1"/>
  <c r="H38" i="1"/>
  <c r="M37" i="1"/>
  <c r="H37" i="1"/>
  <c r="M36" i="1"/>
  <c r="H36" i="1"/>
  <c r="M35" i="1"/>
  <c r="H35" i="1"/>
  <c r="M34" i="1"/>
  <c r="H34" i="1"/>
  <c r="M33" i="1"/>
  <c r="H33" i="1"/>
  <c r="M32" i="1"/>
  <c r="H32" i="1"/>
  <c r="M31" i="1"/>
  <c r="H31" i="1"/>
  <c r="M30" i="1"/>
  <c r="H30" i="1"/>
  <c r="M29" i="1"/>
  <c r="H29" i="1"/>
  <c r="M28" i="1"/>
  <c r="H28" i="1"/>
  <c r="M27" i="1"/>
  <c r="H27" i="1"/>
  <c r="M26" i="1"/>
  <c r="H26" i="1"/>
  <c r="M25" i="1"/>
  <c r="H25" i="1"/>
  <c r="M24" i="1"/>
  <c r="H24" i="1"/>
  <c r="M23" i="1"/>
  <c r="H23" i="1"/>
  <c r="M22" i="1"/>
  <c r="H22" i="1"/>
  <c r="M21" i="1"/>
  <c r="H21" i="1"/>
  <c r="M20" i="1"/>
  <c r="H20" i="1"/>
  <c r="M19" i="1"/>
  <c r="H19" i="1"/>
  <c r="M18" i="1"/>
  <c r="H18" i="1"/>
  <c r="M17" i="1"/>
  <c r="H17" i="1"/>
  <c r="M16" i="1"/>
  <c r="H16" i="1"/>
  <c r="M15" i="1"/>
  <c r="H15" i="1"/>
  <c r="M14" i="1"/>
  <c r="H14" i="1"/>
  <c r="M13" i="1"/>
  <c r="H13" i="1"/>
  <c r="M12" i="1"/>
  <c r="H12" i="1"/>
  <c r="M11" i="1"/>
  <c r="H11" i="1"/>
  <c r="M10" i="1"/>
  <c r="H10" i="1"/>
  <c r="M9" i="1"/>
  <c r="H9" i="1"/>
  <c r="M8" i="1"/>
  <c r="H8" i="1"/>
  <c r="M7" i="1"/>
  <c r="H7" i="1"/>
  <c r="M6" i="1"/>
  <c r="H6" i="1"/>
  <c r="M5" i="1"/>
  <c r="H5" i="1"/>
  <c r="M4" i="1"/>
  <c r="H4" i="1"/>
  <c r="M3" i="1"/>
  <c r="H3" i="1"/>
  <c r="M2" i="1"/>
  <c r="H2" i="1"/>
</calcChain>
</file>

<file path=xl/sharedStrings.xml><?xml version="1.0" encoding="utf-8"?>
<sst xmlns="http://schemas.openxmlformats.org/spreadsheetml/2006/main" count="1397" uniqueCount="383">
  <si>
    <t>Asignado a</t>
  </si>
  <si>
    <t>ID REQ</t>
  </si>
  <si>
    <t xml:space="preserve">Requerimiento </t>
  </si>
  <si>
    <t xml:space="preserve">Descripcion req </t>
  </si>
  <si>
    <t>Actividad</t>
  </si>
  <si>
    <t>ESTADO</t>
  </si>
  <si>
    <t>% AVANCE</t>
  </si>
  <si>
    <t>Dias estimados de desarrollo</t>
  </si>
  <si>
    <t>F.Asignado</t>
  </si>
  <si>
    <t>Fecha inicio</t>
  </si>
  <si>
    <t>F. estimada de entrega</t>
  </si>
  <si>
    <t>Finalizado</t>
  </si>
  <si>
    <t>Dias</t>
  </si>
  <si>
    <t>Fecha compromiso cliente</t>
  </si>
  <si>
    <t>FECHA PASO A TEST</t>
  </si>
  <si>
    <t>FECHA PASO A PRODUCCION</t>
  </si>
  <si>
    <t>DESCRIPCION DEL AVANCE</t>
  </si>
  <si>
    <t xml:space="preserve">visible </t>
  </si>
  <si>
    <t>JHON</t>
  </si>
  <si>
    <t>Cuentas Medicas UMD - Lectura OCR - Datos Digitación</t>
  </si>
  <si>
    <t>De la Lectura de Texto u OCR tomar información para el proceso de captura de información y validación de los documentos Facturas - Cuentas de Cobrro, y Captura de PILA, una vez tipificadas, tomar la información necesaria para el proceso de digitación
segun preguntas para validar para traer información, o marca para saber que si cumple
Factura - Fecha radicación - fecha expedicion
▪ "CUENTA CON NIT Y RAZON SOCIAL CORRECTA DE UMD" ( 830001007 - UNIDAD MEDICA Y DE DIAGNOSTICO S.A)
▪ "CUENTA CON FECHA DE EXPEDICIÓN"
▪ "PRESTADOR RADICA DOCUMENTO FACTURA DE VENTA"
▪ "LA FACTURA DE VENTA PRESENTA RESOLUCION DIAN VIGENTE"
▪ "ID Y NOMBBRE PRESTADOR COINCIDE CON FIRMA DE LA CUENTA"
▪ "CUENTA CON FIRMA"
▪ "CUENTA CON DETALLE BIEN TOTALIZADO"
▪ "VALOR DE LETRAS COINCIDE CON VALOR TOTAL EN NUMEROS DE CUENTA"
Pila para la captura de la información necesaria
o Nro Planilla
o IBC
o Fecha de pago - (20250609)
o Periodo - (202506)
o EPS – Valor
o Fondo Pensiones – Valor
o Arl – Valor
o Caja de Compensación – Valor</t>
  </si>
  <si>
    <t>FINALIZADO</t>
  </si>
  <si>
    <t xml:space="preserve">27/06/2025 Nuevo - Imagine
03/07/2025 Se recupera información para cuentas de cobro
11/07/2025 Se recupera información de encabezado de pila (planilla, fecha de pago y periodo de pago)
17/07/2025 Se recupera información de valores($) por tipo de servicio (Salud, riesgos laborales, pensiones y caja de compensación)
21/07/2025 Los datos recuperados son guardados en la base de datos para su posterior validación
23/07/2025 Despliegue y validación en pruebas, luego de lavidación despliegue en producción
</t>
  </si>
  <si>
    <t>True</t>
  </si>
  <si>
    <t>Afiliaciones PRE - Validación Cancelaciones Apolo (Lectura TXT)</t>
  </si>
  <si>
    <t>como debe quedar como tarea programada el sistema debe tomar la información de la ruta \imagine\CarguesPRE\Reporte_Cancelacion_Exclusion.txt y una vez se tome el archivo y se almacene la información en la tabla, renombrarlo Reporte_Cancelacion_Exclusion_yyyymmdd_HH_ss.txt y moverlo a la carpeta del año actual \imagine\CarguesPRE\añoactual
Se debe crear tabla para almacenar la información del archivo txt
ejemplos \imagine\CarguesPRE
Reporte_Cancelacion_Exclusion20250601_20250615.txt
Reporte_Cancelacion_Exclusion20250501_20250531.txt
Solo almacenar en la tabla los registros que Usuario sean estos MRUBIANO, ALICETHR, WilliamB y que la Causal no sea esta (SIN CERTIFICACION EPS)
la estructura de la tabla es la información del archvio y adicionar estos campos que se modificaran de acuerdo a la revision realizada, fechainsert defecto, estado defecto 0, solicitud texto defecto 0, usuariogestion, fechahoragestion, observacion
estado
0 pendiente
1 cargada
2 validada
1. proceso tarea programada que tome el archivo de una ruta para insertar en la tabla y luego hacer el barrido de lo que esté en la tabla estado 0 solicitud 0 con la siguiente consulta
select f01 from bkencpre as p, bkdetpre as d where p.sr = d.sr and f28 = 43559206 and d.fechainsert=20250502 group by f01 (variables del query son estos campos Numero de Id,Fecha de ejecucion)
si encuentra solicitudes guardar los números del f01 en la tabla separados por (,) en el campo nuevo solicitud, dejar el estado en 1, usuariogestion = Sistema</t>
  </si>
  <si>
    <t>27/06/2025 Nuevo - Imagine/Cliente
01/07/2025 Se Inicia el desarrollo
3/07/2025 se termina el desarrollo ...
11/07/2025 se dispone en el servidor de pruebas para ser revisado por Jennifer</t>
  </si>
  <si>
    <t>310_1</t>
  </si>
  <si>
    <t>Afiliaciones PRE - Validación Cancelaciones Apolo (UI)</t>
  </si>
  <si>
    <t>2. Bandeja de trabajo (definir sitio) donde se listen los registros que quedaron con estado 0 solicitud 0, permitiendo obtener la observación del análisis que haga la persona, y registrar observacion, usuariogestion usuario de sesión, fechahoragestion la de la revisión, y actualizar el estado en 2</t>
  </si>
  <si>
    <t>27/06/2025 Nuevo - Imagine/Cliente
01/08/2025 se realiza primera entrega UI de test
01/08/2025 se realiza ajustes solicitados en primera entrega y se pasa a pruebas y producción</t>
  </si>
  <si>
    <t>Lectura XML PBS - Afiliaciones POS</t>
  </si>
  <si>
    <t>La información de las afiliaciones de PBS ahora se recibirá en XML, desarrollar la opción para interpretar el XML y posterior ajuste a la plataforma, para relacionarla con las tabla actuales del proceso</t>
  </si>
  <si>
    <t>27/05/2025 Nuevo - Cliente
18/06/2025 Entregan un nuevo ejemplo del XML
22/06/2025 Revision y Punteo de información del XML, frente a Formulario, para confirmar que se estuviera recibiendo la información y cómo se iba a recibir
24/06/2025 Reunión con el cliente para contextualización de la revisión del XML
27/06/2025 Entregan tablas paramétricas que se usan para unificar conceptos, e Imagine queda a la espera de un nuevo ejemplo y definicion final de cómo llegaría el XML
08/08/2025 Se comienza a realizar desarrollo
11/08/2025 El auto guardado la creación de tablas y columnas queda correcta en un 80% XML
12/08/2025 Se realiza ajuste para que el auto guardado del XML se realice de manera correcta en su totalidad
22/09/2025 Se revisan XML recibidos de pruebas, encontrando hallazgos en inconsistencias de etiquetas y almacenamiento de información de beneficiarios. Jennifer por correo electrónico solicita más ejemplos de afiliaciones. Se pide confirmacion de cómo será el proceso de consumo de imágenes, y aclaracion de una información entregada en el XML.
22/09/2025 Se realiza ajuste para desglose de cada una de las etiquetas XM para que se creen las tablas y las columnas correspondientes
23/09/2025 Se ajustan errores de guardado se hace rollback si se envia algun exception
7/11/2025 se publica en poducción que es la fecha en la que Colmédica empieza a enviar estas afiliaciones</t>
  </si>
  <si>
    <t>Modulo Tutelas - Recobros</t>
  </si>
  <si>
    <t>Revisar que todas las opciones de registro y almacenamientos queden con el usuario de sesión</t>
  </si>
  <si>
    <t xml:space="preserve">21/05/2025 Ajuste - Mejora Imagine
29/08/2025 Se realiza ajsutes en paginas para que el usuario se envie de manera correcta </t>
  </si>
  <si>
    <t>JENNIFER</t>
  </si>
  <si>
    <t>Base Caida Mes - Acreditacion</t>
  </si>
  <si>
    <t>Base de Usuarios de las vigencias del mes inmediatamente anterior con corte al primero del mes, actualmente se hace manual, crear opción para que se pueda programar tarea automática un correo con el excel generado, las fechas del query corresponden a las vigencias del mes inmediatamente anterior
select nombrevigencia,* from tbl_afiliados_informe where nombrevigencia in (20250201,20250215) and fuentelegalizado is null
and causaexclusiactual in (0,64)
order by nombrevigencia
debe generar un excel con los siquientes campos vigencia,contrato,numben ,tipoid,identificacion,primerapellido,segundoapellido,nombre,plan,vigini,vigfin,tipodecontrato,nit colectivo</t>
  </si>
  <si>
    <t>1/10/2025 se prepara el query con el que se debe entregar la información al cliente, y crear una opción por el navegador que permita descargar dicha data
3/10/2025 ya disponible la opción nueva y asignar los permisos al rol necesario y inicio gestion para descargar la información
7/10/2025 ya se genera el excel con la informacion y la estructura que se maneja con el cliente</t>
  </si>
  <si>
    <t>WebService Afiliacion PBS - Afiliaciones POS</t>
  </si>
  <si>
    <t>Crear servicio para que Colmedica entregue a Imagine el XML y el numero de solicitud, y se almacene al interior para luego hacer la lectura segun req 306</t>
  </si>
  <si>
    <t>24/06/2025 Nuevo - Cliente
07/08/2025 Se define parámetros de entrada más estructura de tabla en base de datos
08/08/2025 Se comienza a crear WS con REST de tipo POST
08/08/2025 Se realiza ajustes adicionales para el guardado de XML y el guardado de la información en base de datos
14/08/2025 Jennifer envía correo al cliente para que se haga la prueba respectiva de conexión, entregando documentación y url en servidor de pruebas
19/08/2025 El cliente informa de una inconsistencia, en la que el consumo le devuelve el error {"response":false,"message":"Error al guardar el archivo XML"} 
21/08/2025 Se realiza la correccion, en Pruebas hizo falta el permiso a una carpeta
26/08/2025 Jennifer informa al Cliente por correo electrónico del error corregido, y que pueden continuar haciendo pruebas
27/08/2025 se recibe xml de prueba
19/09/2025 se recibe xml de prueba</t>
  </si>
  <si>
    <t>verificacion cuentas contables - Cuentas Medicas UMD (valor cuentas contables)</t>
  </si>
  <si>
    <t>Mostrar en la pantalla de información de la cuentas, los valores capturados y agrupados según cuenta contable</t>
  </si>
  <si>
    <t>27/05/2025 Ajuste - Mejora Cliente
28/05/2025 Se realiza ajuste para mostrar los valores de las cuentas contables de digitacion</t>
  </si>
  <si>
    <t>304_1</t>
  </si>
  <si>
    <t>verificacion cuentas contables -Cuentas Medicas UMD (Modificacion valores cuentas contables)</t>
  </si>
  <si>
    <t>Permitir la modificación por registro principa de los valores capturados a cada cuenta contable</t>
  </si>
  <si>
    <t xml:space="preserve">27/05/2025 Ajuste - Mejora Imagine
14/08/2025 Se ajusta el DOM para imprimir inputs si se desea actualizar los valores
15/08/2025 Creación del BackEnd para la validación y actualización de valores
</t>
  </si>
  <si>
    <t>OPT_2</t>
  </si>
  <si>
    <t>Afiliaciones POS - Estados de Salud (Lectura PDF- OCR</t>
  </si>
  <si>
    <t>Optimizar proceso para que por medio de Lectura de PDF al momento del revisar el estado de salud de una solicitud si este tiene respuestas positivas ya le salgan marcadas en el formulario para almacenarlas</t>
  </si>
  <si>
    <t>23/05/2025 Nuevo - Imagine/Cliente</t>
  </si>
  <si>
    <t>OPT_2_1</t>
  </si>
  <si>
    <t>Afiliaciones POS - Estados de Salud (identificar casos sin Respuestas Positivas)</t>
  </si>
  <si>
    <t>Optimizar proceso para que por medio de Lectura de PDF se pueda marcar la solicitud con Respuestas Negativas. utilizando Python</t>
  </si>
  <si>
    <t>18/06/2025 - Ajuste - Mejora Imagine
25/06/2025 Se dispone en ambien de pruebas para revisar el proceso de identificación de estados de salud sin respuestas positivas
27/06/2025 se dispone en ambiente productivo, y se ejecuta de manera manual para hacer seguimiento</t>
  </si>
  <si>
    <t>OPT_2_3</t>
  </si>
  <si>
    <t>Afiliaciones POS - Estados de Salud (Identificar casos con Respuestas Positivas)</t>
  </si>
  <si>
    <t>Optimizar proceso para que por medio de Lectura de PDF se pueda marcar la solicitud con Respuestas Positivas almacernar para cada usuario la respuesta positiva que corresponda. utilizando Python</t>
  </si>
  <si>
    <t>27/06/2025 Ajuste - Mejora Imagine
7/07/2025 se empiezan a didentificar las respuestas positivas a que preguntas corresponden
8/07/2025 se cruzan dependiendo de la cantidad de usuarios digitados se realicionan con los casos según el array de las respuestas positivas, para hacer el almacenamiento en base de datos de dichas respuestas, y la marcación de que la solicitud fue revisada y marcada con respuestas poisitivas
9/07/2025 se dispone en el servidor de pruebas lo correspondiente a estados de salud de PBS, y se hacen las pruebas de funcionamiento del modulo
11/07/2025 se dispone en el servidor de producción lo correspondiente a estados de salud de PBS, y se hace una prueba controlada para confirmar que todo el flujo, tanto de respuestas positivas, como negativas quede funcionando correctamente.
14/07/2025 Se ejecuta de manera manual el proceso haciendo seguimiento
15/07/2025 Se empieza el desarrollo para dejarlo por tarea programada la ejecución de esta revisión
21/07/2025  Se deja la tarea programada y log de salida para hacer seguimiento</t>
  </si>
  <si>
    <t>OPT_3</t>
  </si>
  <si>
    <t>Afiliaciones PRE - Estados de Salud</t>
  </si>
  <si>
    <t>Optimizar el proceso de Estados de Salud PRE, para registrar de manera automática utilizando Python los casos de solicitudes donde no tienen respuestas positivas</t>
  </si>
  <si>
    <t>14/07/2025 Ajuste - Mejora Imagine
14/07/2025 Se inicia el desarrollo con python para la lecturas de los documentos de estados de Salud producto PRE
15/07/2025 Identificando los diferentes formatos de estados de salud para las solicitudes de pre, y que se puedan tomar los casos con respuestas negativas 
17/07/2025 Se completa proceso para que se tomen de la base de datos las solicitudes pendientes de validación de los estados de salud con respuestas negativas
18/07/2025 se dispone en ambiente de pruebas y se revisan casos puntuales para ver el proceso
21/07/2025 se pasa a producción y se hace prueba controlada, dejando la tarea programada y log de salida para hacer seguimiento</t>
  </si>
  <si>
    <t>OPT_1</t>
  </si>
  <si>
    <t>Cuentas Medicas UMD - Lectura OCR - PDF (Clasificación Documental)</t>
  </si>
  <si>
    <t>Realizar proceso de clasificacion de los documentos cargados 
Principal Factura o Cuenta de Cobro - Pila - Anexos. De acuerdo a la información precargada por parte del cliente, se deben ligar los documentos  ya clasificados a un correlativo, teniendo en cuenta valor, centro de costo.</t>
  </si>
  <si>
    <t>19/06/2025 Se dispone en producción el boton que permite ejecutar el proceso de clasificacion documental
20/06/2025 Se pasa a producción opcion para dividir casos en los que no se puedan clasificar los documentos por que en 1 sola imagen vienen varios tipos de doc, ya sí poder hacer la clasificación manual</t>
  </si>
  <si>
    <t>OPT_1_1</t>
  </si>
  <si>
    <t>Cuentas Medicas UMD - Lectura OCR - PDF (Radicación Automática)</t>
  </si>
  <si>
    <t>Una vez los documentos han sido plenamente identificados, se debe proceder a automatizar el proceso de radicación, para los paquetes que cumplieron con plena clasificación documental, asignación del correlativo y la cantidad de archivos del paquete está entre 2 y 5 imágenes. el resto quedaán para validación puntual.</t>
  </si>
  <si>
    <t>27/06/2025 Se dipuso el proceso de radicación automática una vez se hubiera identificado plenemente el paquete de imagenes en el servidor de pruebas
7/07/2025 William Barajas realiza la prueba de subir  varias imagenes y correr el proceso de clasificación, denrto de las pruebas se identifican unos casos que teniana varias cuentas contables que se debian puntear al momento de la radicación y solo estaba quedando una, se escala a Jhon para que sea revisado. 
7/07/2025 Se corrige el inconveniente con el punteo de las cuentas contables, ajustando un ciclo para que a marcación quede de manera correcta, y se dispone nuevamente en ambiente de pruebas
8/07/2025 William Barajas realiza nuevamente la revisión con casos nuevos de imagenes que se subieron en pruebas y ejecuta nuevamente el proceso de radicación correctamente entre lo plenamente identificado y que el paquete tenga entre 2 y 5 imagenes
9/07/2025 Se pasa a produción el proceso de radicación automática, y William queda encargado de hacerle seguimiento y reportar de alguna anomalía ya en producción o que se pueda presentar en la digitación.</t>
  </si>
  <si>
    <t>OPT_4</t>
  </si>
  <si>
    <t>Afiliaciones POS - Consulta automática de empresas en el RUES</t>
  </si>
  <si>
    <t>Se requiere un opción automática para la consulta de NIT's en el sistema RUES</t>
  </si>
  <si>
    <t>12/08/2025 Se realiza desarrollo de consulta a REUS
13/08/2025 Se implementa desarrollo dentro del flujo de trabajo de afiliciones PBS
26/08/2025 Se realiza un servicio con Fast API
26/08/2025 Se realiza ajustes nuevo para encriptar la información del cuerpo de la solicitud</t>
  </si>
  <si>
    <t>Comercial - Reasignación Solicitudes</t>
  </si>
  <si>
    <t>por Directores - Administracion Comercial , crear en la lista la opcion de Reasignar Solicitudes
listar gestores activos dependiendo del seleccionado, debe listar las solicitudes que tiene para tramitar devolución
SELECT count(nosolicitud) as cantidad,estado from reldiariaproduccion as r where r.nosolicitud in (select solicitud from devvarias where corregido = 0) and gestor_asignacion = .$usses. and estado  IN (DEVUELTA,REVISION MEDICA,REINGRESO RECH,RECHAZADA,REINGRESO,FOSYGA,CONSULTA SARLAFT) group by estado order by cantidad desc
permitir seleccionar de la lista las solicitudes que se desean reasignar
cargar otro combo con los gestores activos a los que les puedo reasignar(quitando el seleccionado en el primer combo) 
boton de reasignación, pedir confirmación del proceso y ejecutar los siguiesntes querys por solicitud resignada
update reldiariaproduccion set gestor_asignacion = .$usernuevo.,gestor_asignacion_original = .$usernuevo. where nosolicitud = .$data_re[nosolicitud].
insert into gestionafiliaciones (nosolicitud,gestion,userinsert,estado) values (.$data_re[nosolicitud].,Reasignacion Manual para solucionar inconsistencia con la solicitud a .$usernuevo..,$usuariosesion,.$data_re[estado].)</t>
  </si>
  <si>
    <t>8/08/2025 reunión Jennifer con Comercial para mostrar el módulo en Pruebas y recibir observaciones y comentarios por parte del área, quienes dan el aval para pasar a produccion.
12/08/2025 Jhon pasa a producción el desarrollo y Jennifer envía correo al área informando del paso a producción para que ya pueda ser utilizado por ellos.</t>
  </si>
  <si>
    <t>Lectura OCR - Datos Digitación - Pila</t>
  </si>
  <si>
    <t xml:space="preserve">Según requerimiento 309 Lectura OCR – Datos Digitación, para almacenar información de pila
-        Es necesario que, si se adjuntan pila después, se debe ejecutar OCR para la captura de la información
-        Debe haber un botón en la pagina de detalles de cuentas que permita ejecutar esta tarea automática 
</t>
  </si>
  <si>
    <t>OPT_5</t>
  </si>
  <si>
    <t>Acreditación - Generacion Bases Vigencias</t>
  </si>
  <si>
    <t>Permitir que el cargue de la vigencia no dependa de que la persona suba unos archivos para que la información quede publicada para empezar a trabajar, sino que por tarea automática el sistema haga la creación y la deje disponible para la revisión, los días 10 y 25 de cada mes</t>
  </si>
  <si>
    <t>22/08/2025 Se inicia el desarrollo para generar las bases, ya no se crearan tablas individuales, sino se almacenara directamente en la tabla destino. validación de la estrucutura de tablas para ajustar los insert into.
25/08/2025 adicionando las validaciones que hacia el sistema al simular el cargue de los archivos de vigencia, para actualizar algunos usuarios que se pueden acreditar por el cruce con la base de Apolo
26/08/2025 se publica en pruebas para revisar el proceso
29/08/2025 Se publica en producción y se hará seguiemiento para el proximo proceso que se ejecutará el 10/09</t>
  </si>
  <si>
    <t>OPT_6</t>
  </si>
  <si>
    <t>Afiliaciones PRE - Generacion de Kits</t>
  </si>
  <si>
    <t>Cambiar la plataforma del Access - Crear archivos planos enviados al proveedor que hace el envío de los Kits a los clientes de medicina prepagada, a partir del correo que ya se envía de confirmación del cargue de las preexistencias. Si todo esta Cargado, generar archivos planos, conectarse a la ruta y dejar los archivos, enviar correo notificando de la generación. En caso de que las preexistencias no esten todas cargadas, no se genera nada autmático, sin embargo se dispondrá una opción desde el Sitio Web de Imagine para que se generen dihos archivos.</t>
  </si>
  <si>
    <t>PRUEBAS CLIENTE</t>
  </si>
  <si>
    <t>9/09/2025 Se inicia con el levantamiento de información para iniciar con el desarrollo
11/09/2025 Creación de schema-tabla principal - el resto se revisarán si son necesarias o como se ajusta seguramente se puedan omitir
12/09/2025 Se inicia el desarrollo para traer la información (Pagina principal - página de funciones)
16/09/2025 Avance en los tipos de proceso que se ejectutan Normal,Chevron,Puntual
19/09/2025 Lectura del encabezado para ir sacando el registro tipo 1 (Encabezado)
25/02/2026 se retoma, el desarrollo dandole un vuelco para unificar el código y dejarlo de manera virtual
26/02/2026 ajustes a la pagina a conexiones de bases de datos dependiendo de la base donde se encuentre la tabla
27/02/2026 Ajuste de ciclos y querys según las funciones y/o clases defindas en la conexión ya existente. Ya no genera error el código, pero se le está haciendo seguimiento a los querys y ejecución para obtener el resultado de los respectivos archivos
6/03/2026 se terminaron de ajustar los errores de la pagina en la generación de afiliaciones nuevas
9/03/2026 se empiezan a validar inconsistencias para la generación de Inclusiones. y como ya se generan archivos, pues se debe realizar la comparación de estructura y data con la generada actualmente por el access.
10/03/2026 se hicieron ajsutes por homologación para los nombres de los archivos de inclusiones
11/03/2026 se pasa a producción la pagina, para empezar a hacer pruebas controladas comparando ambos sistemas
12/03/2026 pruebas con los archivos  en produccion, como no todos los días se generan la misma cantidad y los mismos archivos se identifacn unos no generados con la nomenclatura correcta, pero se generan en otro archivo, 
13/03/2026 pruebas con los archivos en produccion, como no todos los días se generan la misma cantidad y los mismos archivos se identifacn unos no generados con la nomenclatura correcta, perose generan en otro archivo, 
17/03/2026 se envía correo a operaciones para entregar una muestra de los archivos al otro proveedor, para que no se vayan haber afectados con el cambio</t>
  </si>
  <si>
    <t>OPT_7</t>
  </si>
  <si>
    <t>Afiliaciones POS - PRE - Estados de Salud (Muestra Militar)</t>
  </si>
  <si>
    <t>Ya con los estados de salud capturados, 1. Crear tarea programada para identificar las solicitudes a diario de la muestra militar del del 15%.de lo validado en el día por el proceso automático.
2. Se debe crear una opción como bandeja de trabajo donde se liste la muestra militar  , para que una persona realice a revisión control de calidad</t>
  </si>
  <si>
    <t>28/08/2025 Se inicia con el desarrollo, pagina con la que se debe sacar la muestra militar del 20% y dejar en una tabla marcadas para revisar
1/09/2025 pagina de tarea programada terminada, para sacar la muestra e insertar en tabla destino
2/09/2025 se genera documentacion tecnica de la pagina de la muestra, y se inicia con el desarrollo de la bandeja de trabajo para revisar las solicitudes de la muestra
3/09/2025 Se adelantó la bandeja de trabajo, ya se listan las solicitudes de la muestra, mostrando la información para realizar la validación.
4/09/2025 se termina el desarrollo
5/09/2025 se pasa a pruebas, tanto paginas nuevas, como las modificadas por funciones, y creacion de tablas
8/09/2025 se pasa a aproduccion, tanto paginas nuevas, como las modificadas por funciones, y creacion de tablas. se deja la tarea programada para la extracción de la muestra
15/09/2025 se corre histórico desde el 1/08/2025 de muestra a la fecha 14/09, desde el 15/09 queda habilitada la tarea programada 8/09. Se genera documentación Técnica</t>
  </si>
  <si>
    <t>OPT_8</t>
  </si>
  <si>
    <t>Lectura Emails UMD</t>
  </si>
  <si>
    <t>Se requiere realizar una lectura automática de correos para la recuperación de la información y de los anexos para consiguiente guardar la información en base de datos y los anexos sen una ruta determinada</t>
  </si>
  <si>
    <t>PAUSADO</t>
  </si>
  <si>
    <t>29/08/2025 Se incia desarrollo, paso de funcinalidades de php a python
01/09/2025 Creación de servicio para lectura de correo
02/09/2025 Consulta a base de datos para recuperar prestador
03/09/2025 Creación completa del servicio REST para guardar las imagnes y la data
5/09/2025 Jennifer-Seguimiento con la persona Cliente para concertar reunión y revisar permisos sobre el buzon
9/09/2025 Jennifer-Seguimiento con la persona Cliente para concertar reunión y revisar permisos sobre el buzon
10/09/2025 Jennifer-Seguimiento con la persona Cliente para concertar reunión y revisar permisos sobre el buzon
11/09/2025 Jennifer-Seguimiento con la persona Cliente para concertar reunión y revisar permisos sobre el buzon</t>
  </si>
  <si>
    <t>False</t>
  </si>
  <si>
    <t>OPT_9</t>
  </si>
  <si>
    <t>Reestablecer contraseña convenios</t>
  </si>
  <si>
    <t>Se requiere actualizar estado y contraseñas del usuario, por el perfil que ya existe para Mesa de Ayuda, la opción de Reestablecer contraseña debe permitir desbloquear el usuario, no solo reestablecer la contraseña. y así como se busca por Usuario debe permitir buscar por identificación</t>
  </si>
  <si>
    <t>Ajuste
08/09/2025 Se realiza ajuste en backend y frontend para reestabecer la contraseña</t>
  </si>
  <si>
    <t>OPT_10</t>
  </si>
  <si>
    <t>Afiliaciones PBS - Separar Marcacion de Soportes - Digitación</t>
  </si>
  <si>
    <t>Opción para marcación de soportes de las afiliaciones PBS, ya algunas se pueden pre-marcar dado la entrega de la data, y otras que si requerirán de validación del usuario y alguna captura adicional para la completa identificación.</t>
  </si>
  <si>
    <t>PENDIENTE</t>
  </si>
  <si>
    <t>5/09/2025 Posible mejora detectada por Imagine -Jennifer</t>
  </si>
  <si>
    <t>OPT_11</t>
  </si>
  <si>
    <t>Novedades - Correo automático falta de imágenes</t>
  </si>
  <si>
    <t>valide en la carpeta  /archivosimagine/huella/ la fecha del día, si no hay se debe enviar un correo electrónico informando que no existe carpeta con las imágenes de novedades Agradezco su revisión porque se valida el repositorio de imágenes de novedades tiff,  y se encuentran faltantes las imágenes correspondientes a : fechadia.
adicionar en página /var/www/html/procesos/novedadespdf.php</t>
  </si>
  <si>
    <t>12/09/2025 Se agrega la opción para validar carpeta y se agrega la opción para enviar correo
12/09/2025 Se agrega la opción de administrar correo al menu de procesos imgine</t>
  </si>
  <si>
    <t>Afiliaciones PRE - Reporte de Sarlaf Solicitudes en Lista</t>
  </si>
  <si>
    <t>Proceso automático para crear a diario lo que quede devuelto por listas tabla devvarias 200-Falta Documento 166 -Soporte Sarlaft Titular reportado en listas donde fecha insert se el dia actual. con el numero de solicitud y buscarlo en consulta_sarlaft para sacar información que se debe colocar en un excel que se debe enviar por correo electronico</t>
  </si>
  <si>
    <t>11/09/0205</t>
  </si>
  <si>
    <t>24/09/2024 Se realiza validacion de tablas base de datos y creacion del archivo .xlsx
25/09/2024 S e realiza ajuste para el envio de correos</t>
  </si>
  <si>
    <t>Afiliaciones PRE - No devolver la solicitud Listas Sarlaft</t>
  </si>
  <si>
    <t>En la opción 6 \var\www\html\modulo_imagine\core\imagine\indexaprocesosafiliaciones.php donde se va a insertar la devolución por listas se debe adicionar la validación si el titular tiene otra solicitud dentro de los ultimos 3 meses en estado CARGADA, no se debe hacer la devolución, de lo contrario si hacerla. y continua el proceso</t>
  </si>
  <si>
    <t>17/09/2025 Se realiza analisis y paso a pruebas la validación de devoluciones</t>
  </si>
  <si>
    <t>Afiliaciones PRE - Lectura del PDF respuesta Sarlaft</t>
  </si>
  <si>
    <t>Cargue de Archivos Perfil de riesgo Al momento de cargar los PDF de la respuesta de las consulta de SArlaft, se debe agregar la lectura del PDF para saber si esta en listas o no, y si lo está almacenar las escalas encontradas (Crear campo nuevo para almacenar la escala(s) en la tabla consulta_sarlaft), si tiene el aviso "No se obtuvieron resultados para la búsqueda realizada." debe ser NO en listas, y si trae Escalas el campo listas debe quedar en SI. adicinar en esta pagina la actualización mencionada \var\www\html\salud\cargadearchivos\renombrarArchivosSarlaft.php, dejando el update sobre la tabla update consulta_sarlaft set listas =,escala  where afiliacion='$plani' and estado = 1 .
Adicional una vez almacenada esta información se debe cerrar el registro, invocando pag \var\www\html\modulo_imagine\core\imagine\indexaprocesosafiliaciones.php opcion 6, la cual deja el registro tramitado</t>
  </si>
  <si>
    <t>15/09/2025 Se realiza lectura ocr para recuperar estacals del archivo PDF
16/09/2025 Relizar el servicio para la lectura del PDF y guardado en la base de datos
23/09/2025 se encuentran hallazgos sobre el proceso automático de renombre CC dumplcadas en la consulta y control al finalizar el proceso de que todo quede bien.</t>
  </si>
  <si>
    <t>OPT_12</t>
  </si>
  <si>
    <t>Consolidados Procesos Pendientes Afiliaciones PRE-Afiliaciones POS-Llamadas Acreditación</t>
  </si>
  <si>
    <t>Crear graficas de la produccion diaria pendiente que no sea mediante un correo electronico, y se visuelice al ingresar en el sitio web de Imagine para los usuarios de Imagine, y puedan identificar de manera más oportuna lo pendiente</t>
  </si>
  <si>
    <t>17/09/2025 se empieza con la informacion recibida en el correo de produccion pendiente para optimizar su análisis y la organización para el trabajo, identificando que se necesita mostrar en grafica para una mejor visualiación
18/09/2025 Se crea pagina para la creacion de las graficas para evidenciar los pendientes de afiliaciones de PRE y POS, y la cantidad de contratos pendientes por llamadas, y se incluye dentro de la principal de la web de Imagine una vez se loguean
19/09/2025 Se pasa pruebas, se comprueba el funcionamiento de visualización,
23/09/2025 Se explica a William el funcionamiento de la visualización, para que ver que lo usen, y se contextualice con la gente</t>
  </si>
  <si>
    <t>OPT_13</t>
  </si>
  <si>
    <t>Consolidados Pendientes Proceso - Estados UMD</t>
  </si>
  <si>
    <t>Crear graficas de la produccion del proceso actual, para mostrar estados, valores</t>
  </si>
  <si>
    <t>23/09/2025 Se inicia con la identificación de lo que se desea mostrar, primera imagens seguimiento del periodo en curso con estados, valores y cantidades
25/09/2025 se termina de ajustar la grafica para mostrar proceso actual, estados y los valores correspondientes. Se dispone en ambiente de pruebas para revisar que funciona de manera correcta.
26/09/2025 se pasa a produccion las páginas realizadas y se deja disponible para la visualizacion tanto del área operativa como del cliente</t>
  </si>
  <si>
    <t>OPT_14</t>
  </si>
  <si>
    <t>Afiliaciones Pre - Sarlaft derivado del REQ-313</t>
  </si>
  <si>
    <t>validar cantidades del excel vs los pdf, cambiar el renombre de los archivos tomando como base el excel e ir a buscar la cc en el nombre del archivo y así asignarle la solicitud, al final imprima mensaje indicando si algo quedó en estado 1 o estado 2 "Quedaron solicitudes en estado pendiente" - "Todo procesado correctamente"</t>
  </si>
  <si>
    <t>25/09/2025 Se valida el funcionamiento del script encargado y su proceso corresponde a la descripcion del req</t>
  </si>
  <si>
    <t>Acreditación - Consulta Puntual en BDEX</t>
  </si>
  <si>
    <t>Consulta de usuarios en régimen especial los pendinetes por acreditar de las vigencias activas para revisar, de manera automática en página del Adres. se necesita homologar logueo con usuario y contraseña, y al momento de la consulta de cada identificación revisar el captchap que se muestra. generar consultas en intervalo de tiempos para no generar algun tipo de laerta, dado que se usan logueos del cliente. Dejar usuarios y contraseñas administrables (POS-PRE). Si la fecha de nacimiento del usuario es mayor a 20000131
y en la base esta como CC y la respuesta no devuelve nada, se puede consultar como TI o RC
y en la base esta como TI y la respuesta no devuelve nada, se puede consultar como CC o RC
y en la base esta como RC y la respuesta no devuelve nada, se puede consultar como CC o TI
Si la respuesta de la consulta es que si se encuentra en Regimen especial, se debe guardar un pdf con el nombre xxxxxxxx_REG010.pdf donde xxxxxx es el número de identificación y el REG010 la EPS, el cual se toma de una tla según el nombre que entrega la consulta del adres, y guardar en la ruta del servidor
Se debe crear archivo de 7 columnas, para dejar resgitros de la consulta puntual del régimen especial 7 columnas:, Nombre Vigencia, Contrato, Tipo ID contratante, Número ID contratante, Tipo ID beneficiario, Número ID beneficiario, Código Gestion (44 - Consulta Puntual RES) y que se pueda ejecutar por debajo la función de la opción Acreditación - Gestion - Registrar Gestión Búsqueda Puntual</t>
  </si>
  <si>
    <t>29/09/2025 Jennifer - se contextualiza a Jhon lo que se require
30/09/2025 Jennifer - Radicación requerimiento en la plataforma
07/10/2025 Jhon - Se finaliza test con Modelo OCR para lectura e identificación del CAPTCHA
08/10/2025 Jhon - Se completa formulario de incio de sesión 
20/10/2025 Jhon - Completoelincio de sesión mas recuperacion de lainformcion a cosultar</t>
  </si>
  <si>
    <t>OPT_15</t>
  </si>
  <si>
    <t>Acreditación - Usuarios Aliansalud subsidiado</t>
  </si>
  <si>
    <t>Al cargar la respuesta del adres de la consulta, si se recibe un usuario en Aliansalud - sbsidiado, se debe identificar en la tabla de afiliados pos como subsidiado - fecha de última consulta. En el proceso diario y de carga de las consultas se debe ajustar que no se puedan acreditas usuarios de Aliansalud que en la base de afiliados pos tengan la marca de subsidiado</t>
  </si>
  <si>
    <t>30/09/2025 Se inicia con el desarrollo, creando campo nuevo que permite la identificación de si el usuario está en contributivo o subsidiado, según resultado de consulta Adres.
2/10/2025 se ubica la pagina en la que se lee el archivo de la respuesta del adres, para hacer el ajuste y que cuando se suba dicha data se identifiquen que usuarios estan en subsidiado-activo-aliansalud y poner la marca en la tabla de afiliados pos
6/10/2025 validar las páginas que ejecutan procedo de acreditación sobre la tabla de afiliadospos para que solo tome los que estan en contributivo y fecha fin 20251231
8/10/2025 se pasa a pruebas las opciones de subida de los archivos y las de validación para la acreditacipn, junto con la creacion del campo nuevo en la tabla de afiliadospos
10/10/2025 se pasa a produccion las opciones de subida de los archivos y las de validación para la acreditacipn, junto con la creacion del campo nuevo en la tabla de afiliadospos</t>
  </si>
  <si>
    <t>OPT_16</t>
  </si>
  <si>
    <t>Afiliaciones Pos - Menores Duplicados - RC-CN</t>
  </si>
  <si>
    <t>Control de menores Recien Nacido - Registro Civil duplicados, identificación dentro de contratos diferentes por misma fecha de nacimiento, primer apellido CN es igual al segunto apellido del RC, crear reporte semanal para poder validarlos</t>
  </si>
  <si>
    <t xml:space="preserve">7/11/2025 Se inica el desarrollo, definiendo el query base con el que se hará la comparación y busqueda de posibles duplicados
</t>
  </si>
  <si>
    <t>OPT_17</t>
  </si>
  <si>
    <t>Afiliaciones Pre - Base datos Inclusiones diarias Cargue</t>
  </si>
  <si>
    <t>sea remitir una base diaria de las solicitudes de inclusiones con los datos de residencia y correspondencia del contratante, para poder actualizarlos en Apolo.</t>
  </si>
  <si>
    <t>31/10/2025 Se inicia creando el query para extraer la información que se necesita reportar, y se envía muestra al cliente para que confirme si así estaria bien la entrega y continuar con el desarrollo
4/11/2025 el cliente ya a prueba la estructura, y confirma que se debe hacer el reporte a Diario
7/11/2025 se crea la pagina que se ejecutará a Diario, y se empieza el desarrollo para la exportación de la data y el envío del correo electrónico
10/11/2025 Se termina el desarrollo, se publica la página en pruebas y producción. Se programa tarea para el envío de la información a diario.</t>
  </si>
  <si>
    <t>OPT_18</t>
  </si>
  <si>
    <t>Clasificacion Tributaria</t>
  </si>
  <si>
    <t>Captura de información o datos básico de documento Perfil tributario desde la radicación desde el módulo de convenios médicos, y que alimente lo de clasificacion tributaria</t>
  </si>
  <si>
    <t>6/11/2025 se hace reunión con el área de convenios para identificar el proceso de radicación del documento de Perfil Tributario, que sería el que se tomará para el proceso de clasificación tributaria, u saber que información podemos tomar de alli, y optimizar la captura de los datos necesarios para el área de impuestos</t>
  </si>
  <si>
    <t>OPT_19</t>
  </si>
  <si>
    <t>Reporte Correos Colectivos Masivos - Acreditacion</t>
  </si>
  <si>
    <t>Una vez se cargue la base de correos de los colectivos enviados, se debe enviar dicha base de manera automática al equipo de manteniemento de colectivos del área de Fidelización</t>
  </si>
  <si>
    <t>5/11/2025 Posible mejora detectada por Imagine -Jennifer
12/03/2026 se inicia con el desarrollo para el envío del correo a las 3 personas de mantenimiento de colectivos, se adiciona la función del envío del archivo que se sube, por correo electronico
16/03/2026 se adicionan cuentas para el envío de correos, por la adminitracion del envio de correos, y se debio adicionar un campo nuevo en el cargue, dado que dentro del cuerpo del correo salia un datos que no se pedía en el excel - se pasa a  pruebas, para ser validado por el usuario
17/03/2026 se pasa a producción y en el siguiente proceso se le hará seguimiento, para confirmar el envío a las cuentas de mantenimiento colectivo</t>
  </si>
  <si>
    <t>OPT_20</t>
  </si>
  <si>
    <t>Afiliaciones Pre - Base datos usuarios menores sin datos de ubicación</t>
  </si>
  <si>
    <t>envío de una base con la información “si en la solicitud de ingreso los menores de edad vienen con los campos vacíos o en cero en dirección de residencia, teléfono residencia, ciudad, email y celular, se replique la información del contratante y se carguen con los mismos datos. Esto solo para menores de edad y solo si los campos no vienen diligenciados o vienen con dato cero “0”.” De manera semanal , todos los lunes</t>
  </si>
  <si>
    <t>20/11/2025 se envía correo al cliente confirmando el el asunto del correo Menores sin datos en Afiliaciones Prepagadas cargadas y que el envío de la informacion corresponderá a lo cargado la semana inmediatamente anterior lunes a domingo. y se enviará de manera automática todos los lunes</t>
  </si>
  <si>
    <t>OPT_21</t>
  </si>
  <si>
    <t>Afiliaciones Pre - Base datos usuarios mayores que traen los mismos datos de ubicacion del titular</t>
  </si>
  <si>
    <t>envío de una base con la información “sobre los casos en los que los datos de afiliación de los beneficiarios mayores de edad presenten coincidencias en el correo electrónico y el número de teléfono. Este reporte tiene como objetivo identificar y analizar a los beneficiarios cuya información de contacto sea la misma.”. De manera mensual</t>
  </si>
  <si>
    <t>20/11/2025 se envía correo al cliente confirmando el el asunto del correo Mayores con datos igual al Titular en Afiliaciones Prepagadas cargadas y que el envío de la informacion corresponderá a lo cargado el mes inmediatamente anterior, se vniará de manera automática el primer día del mes.</t>
  </si>
  <si>
    <t>OPT_23</t>
  </si>
  <si>
    <t xml:space="preserve">Afiliaciones Pos - Consulta Afilicion PBS Nuevas </t>
  </si>
  <si>
    <t>Afiliaciones nuevas de PBS WEB cambio la numeración y en la consulta se tiene restringido el largo</t>
  </si>
  <si>
    <t>20/11/2025 se ajusta en la página de consulta para seguimiento de las solicitudes de PBS el largo de la numeración, dado los cambios de las nuevas afiliaciones PBS WEB</t>
  </si>
  <si>
    <t>OPT_24</t>
  </si>
  <si>
    <t xml:space="preserve">Afiliaciones Pos - Proceso nuevas afiliaciones </t>
  </si>
  <si>
    <t>inconsistencia en la generación de los lotes por imágenes de más y que son informativas, Adicionar al proceso la eliminación de estos archivos para que el sistema no las tenga en cuenta al momento del loteo</t>
  </si>
  <si>
    <t>12/11/2025 se adiciona en la revisión de las imágenes la eliminación de los documentos que son informativos, e iguales para todos los usuarios y no son necesarios queden adjuntos a la afiliacion</t>
  </si>
  <si>
    <t>OPT_25</t>
  </si>
  <si>
    <t>Afiliaciones Pre - Parentescos XML</t>
  </si>
  <si>
    <t>Ajustar un parentesco que no se estaba cargando desde el xml por cambio en su escritura</t>
  </si>
  <si>
    <t>12/11/2025 se adicionan los parentescos nuevos creados para hacer la respectiva hologación al tramitar la afiliación</t>
  </si>
  <si>
    <t>OPT_26</t>
  </si>
  <si>
    <t>Afiliaciones Pos - Documentos con extension errada</t>
  </si>
  <si>
    <t>Seguimiento nuevas afiliaciones en la marcación de soportes hay imágenes que no se pueden visualizar, y se detecta que llegan con una extensión que no corresponde al tipo de archivo real</t>
  </si>
  <si>
    <t>13/11/2025 se detecta que las imagenes no se pueden visualizar y es por un error de la extensión, asi que se hace desarrollo para que el sistema identifique si llega jpg y es pdf, le cambia la extención y se hace seguimiento del cambio
14/11/2025 Reporte de la inconsistencia para que corrigan desde el origen(otro proveedor)
18/11/2025 - 21/11/2025 ajuste de los lotes ya armados corrigiendo mediante página la extensión de los archivos
24/11/2025 Adicionar al proceso de organización de imágenes para el loteo, la validación del tipo de imagen para que se corrija antes de la generación de lotes</t>
  </si>
  <si>
    <t>OPT_27</t>
  </si>
  <si>
    <t>Cuentas Umd - Cambio cargue de archivo precuentas</t>
  </si>
  <si>
    <t>Se crearan nuevas cuentas contables y se necesita modificar la estructura para el cargue respectivo según el archivo arrojado por el sistema de UMD</t>
  </si>
  <si>
    <t>27/11/2025 Según reunión, necesitan hacer un ajuste a la estructura para cargar nuevas cuentas contables
9/11/2025 se carga el archivo con la estructura actual, y el valor de la cuenta contable nueva, lo cargan en una ya existente y desde Imagine se hace el ajuste a la nueva cuenta contable. se recibe la estructura nueva para poder iniciar el desarrollo
19/12/2025 Se inicia con la revisión y contraste de la posición de las columnas y cuentas contables del cargue actual y la nueva estructura entregada, y se ajustan las columnas, para el cargue
22/12/2025 prueba de cargue con el archivo enviado en desarrollo,y ajuste de las validaciones a 27 columnas, ajuste a 
26/12/2025 se pasa a pruebas y se prueba la estructura 
5/01/2025 se pasa a producción para el cargue del archivo por parte del cliente, y se confirma el cargue satisfactorio</t>
  </si>
  <si>
    <t>OPT_28</t>
  </si>
  <si>
    <t>Recobros - Opcion para ejecucion del proceso documental</t>
  </si>
  <si>
    <t xml:space="preserve">Crear boton, para que puedan ejecutar el proceso, cuando lo necesite la parte operativa y nose dependa de Imagine
</t>
  </si>
  <si>
    <t>28/11/2025 Creacion de opcion por Administración que permita la ajecución del proceso de busqueda documental
05/12/2025 se colocan las paginas que hacen la validación documental
12/12/2025 se pasa a pruebas y produccion</t>
  </si>
  <si>
    <t>OPT_29</t>
  </si>
  <si>
    <t>Afiliaciones PBS - Consumo de Imagenes</t>
  </si>
  <si>
    <t>Crear página que realice el consumo para poder traernos las imágenes de PBS, y evitar que Colmédica las deje de manera manual en un repositorio</t>
  </si>
  <si>
    <t>10/12/2025 Entrega de web service por parte de Colmedica url de pruebas y documentacion
12/12/2025 pruebas de consumo manualmente, el web service no da respuesta de imágenes
15/12/2025 reunión contextualizacion incosistencia, y se evidencia que los id no son correctos para hacer los consumos, el proveedor debe hacer ajustes en el XML y el otro proveedor crear documentos de PBS
17/12/2025 entregan el ajuste de los documentos, se hace nuevamente la prueba manual del consumo y ya se recibe el base64, sin embargo solo se pudieron consumir los documentos principales, ninguno de los adjuntos llega con id para el consumo, se reporta de nuevo al proveedor para que revisen
23/12/2025 Informa, que ya hicieron los ajustes en el XML para poder consumor los soportes adjuntos, se realizan las pruebas en Ambiente de pruebas, y se pudo hacer el consumo e los documentos.
29/12/2025 Se ajusta la pagina para el consumo por parte de nosotros, de manera puntual indicando los numeros de solicitudes, y validar el consumos de las solicitudes pendientes
30/12/2025 ya se consumen en produccion las imágenes de las solicitudes y se crea la página que invocará el proceso de radicación, para que se vayan trayendo las imágenes a medida que se van radicando en el sistema
5/01/2026 se hace hace la implementación en pruebas y consume sin problema las imágenes
6/01/2026 se implementa en producción y se le hace seguimiento al proceso</t>
  </si>
  <si>
    <t>OPT_30</t>
  </si>
  <si>
    <t>Comercial - Modulo de Normalización</t>
  </si>
  <si>
    <t>Mejoras al módulo para agilizar la auditoria y revisión de inconsistencias por parte de las Gestoras, ver inforción importante, eliminar datos innecesarios, mejorar ventana para visualización de información</t>
  </si>
  <si>
    <t>7/01/2026 se hace reunión con el área comercial, para ver mejoras del módulode normalización, y mejorar la revisión de las solicitudes
5/02/2026 Se revisa documento enviado por el área comercial, para validar los ajustes solicitados para la plataforma de Normalización de Afiliaciones, Se renombfran columnas y eliminan las solicitadas
6/02/2026 se inicia con la adición de columnas y la modificación en query para obtener el datos
9/02/2026 modificación en las vistas de modales con la información de devolucions y auditoria médica
11/02/2026 Se validan los filtros solicitados sobre los campos para consultas puntuales
27/02/2026 se confirman, cambios, y se informa al cliente para la revisión
3/03/2026 se hace reunión con el átrea para hacer retroalimentación, y piden unos ajustes de forma para poder pasar a producción
4/03/2026 se empiezan a hacer los ajustes solicitados en la reunión anterioir
10/03/2026 se hace reunión para mostrar los ajustes según la última reunión, y se aprueban por parte del área para paso a producción</t>
  </si>
  <si>
    <t>OPT_31</t>
  </si>
  <si>
    <t>Afiliaciones Pre - Validación 7 campos</t>
  </si>
  <si>
    <t>En la validación de los 7 campos importantes que se toman del soporte de identificación, si ya existe en la base de afiliados se completará la información con dicha data para que en la operación no la capturen pero si la validen</t>
  </si>
  <si>
    <t>13/01/2026 en la opción de selección de lote que llena la tabla con la info del lote a validar con las identificaciones de titular y beneficiarios, se adiciona query para traer datos de la base de afiliados pre y si no está de afiliados pos</t>
  </si>
  <si>
    <t>OPT_32</t>
  </si>
  <si>
    <t>Afiliaciones Pos - Validación 7 campos</t>
  </si>
  <si>
    <t>14/01/2026 en la opción de selección de lote que llena la tabla con la info del lote a validar con las identificaciones de cotizante y beneficiarios, se adiciona query para traer datos de la base de afiliados pre y si no está de afiliados pos</t>
  </si>
  <si>
    <t>OPT_33</t>
  </si>
  <si>
    <t>Riesgo Médico - Informe General de Auditoria</t>
  </si>
  <si>
    <t>Revisar la generación de la data de seguimiento de la revisión por parte del área médica, e identificar posibles errores en el query o impresión, dado que se evidenciaron registros duplicados</t>
  </si>
  <si>
    <t xml:space="preserve">11/02/2026 revisar la generación actual del informe generla del módulo de Riesgo médico, y revisar resultado e identificar posible inconsistencia de duplicados
</t>
  </si>
  <si>
    <t>OPT_22</t>
  </si>
  <si>
    <t>Acreditacion - Actualización Masiva</t>
  </si>
  <si>
    <t>Optimizar la actualización masiva de datos de contratos y beneficiarios</t>
  </si>
  <si>
    <t xml:space="preserve">13/02/2026 revisar codigo de la pagina, Se optimizan querys y se hace actualización segmentada, permitiendo reducir tiempo de ejecución considerablemente. </t>
  </si>
  <si>
    <t>OPT_34</t>
  </si>
  <si>
    <t>Afiliaciones PRE - Modificar opción de devoluciones por escalas encontradas en la consulta SARLAFT</t>
  </si>
  <si>
    <t>Modificar opción de devoluciones por escalas encontradas en la consulta SARLAFT, solo se deben devolver y reportar por correo las solicitude que en su consulta reporten las escalas se reportaran las escalas 1, 2, 5 y 6</t>
  </si>
  <si>
    <t xml:space="preserve">17/02/2026 revisar la pagina donde se cargan los soportes de infolat, y se identifican las escalas, para que se pregunte por las escalas 1, 2, 5 y 6, solo para estas se deben generar las devoluciones
</t>
  </si>
  <si>
    <t>OPT_35</t>
  </si>
  <si>
    <t>Afiliaciones PRE - Proceso de anuladas</t>
  </si>
  <si>
    <t>el correo que se envia cada 15 días, ahora se debe ajustar para envío diario de Lunes a viernes, y eliminar la macrcación que se hacia para enviarla los miercoles cada 15 días</t>
  </si>
  <si>
    <t>18/02/2026 Se ajusta la tarea programada, para enviar el correo todos los días de lunes a viernes. y dentro del codigo se elimina la marca que se hacia para identificar que miercoles si se enviaba y que miercoles no</t>
  </si>
  <si>
    <t>OPT_36</t>
  </si>
  <si>
    <t>Afiliaciones PRE - Consulta Sarlaft</t>
  </si>
  <si>
    <t>Se debe hacer la consulta por el titular y los usuarios que vengan en el formulario mayores de edad, incluir en base de datos y se debe modificar el cargue de respuesta de infolat, por que ya se cargaran varios soportes a la misma solicitud</t>
  </si>
  <si>
    <t>25/02/2026 Se crea campo nuevo para diferenciar el titular del beneficiario.,se Realiza revisión del momento en el que se coloca la información en la tabla de consulta sarlaft para que se empiecen a almacenar los usuarios que sean mayores a 18 años
26/02/2026 en el proceso de consulta, de captura y verificación del sarlaft, se ajusta para omitir los registros que corresponden a beneficiarios, dado que por ellos no se recibirá documento, sino solo el del titular, más sin embargo si se llegase a devolver por alguna inconsistencia, los registros de los beneficiarios, tambien deben quedar devueltos, o de lo contrario enviarse para la consulta
3/03/2026 se inician los ajustes para la carga de los soportes y que no se renombren los soportes con solo el numero de solicitud, sino que queden solicitud y cc de la consulta. Se confirma el proceso que hace la lectura del PDF para guardar si  viene reportado en listas y ajustar tambien que lea el pdf afiliacion_identificacion
5/03/2026 confirmacion de la última parte del proceso, donde despues se valida el resultado de la lectura del pdf, para saber si la solicitud queda devuelta o continua el proceso normal, y se adjunta la imagen a cada afiliación. se dispone en pruebas y valida
6/03/2026 Se pasa a produccion y se hacen 2 pruebas controladas para revisar el proceso completo</t>
  </si>
  <si>
    <t>OPT_37</t>
  </si>
  <si>
    <t>Convenios Medicos - Ajuste cuerpo del correo campaña</t>
  </si>
  <si>
    <t>Ajuste al cuerpo del correo por cambio en las páginas de Colmedica - Aliansalud para los prestadores, links de redireccionamiento se deben retirar, y ajustes a texto, dependiendo de la compañia y/o tipo de prestador</t>
  </si>
  <si>
    <t>27/02/2026 solicitan ejemplo de correos de los diferentes prestadores, para jacer modificaciones al cuerpo del correo de la campaña
2/03/2026 se envía correo ejemplos por cada tipo de prestador solicitado.
16/03/2026 alcance al correo para hacer seguimiento, no se han recibido los cambios que mencionaron, se recibe finalizando la tarde el correo con los ajustes respectivos
17/03/2026 se validan los cambios, y se procede a relaizarlos
18/03/2026 se pasa al ambiente de pruebas
19/03/2026 se envían correos de pruebas con los cambios, para Aliansalud IPS - Colmedica IPS y Medicos Colmédica
20/03/2026 se hace una pequeña sesión donde piden unos ajustes de forma, los cuales se realizan y se envían nuevas muestras de los correos para aprobación
24/03/2026 se pasa a producción ya autorización del cliente y visto bueno de los cambios en el cuerpo del correo. se enviaron unas pruebas controladas en producción y se dispara la campaña</t>
  </si>
  <si>
    <t>OPT_38</t>
  </si>
  <si>
    <t>Comercial - Ajuste archivo de reporte general de Normalización</t>
  </si>
  <si>
    <t>Piden se cambie de nombre unas columnas y se adicione otra columna con dato de asignación</t>
  </si>
  <si>
    <t>17/03/2026 se validan los cambios solicitados para la modificación del excel que se genera
18/03/2026 se pasa a pruebas, y se envía ejemplo de cómo quedaría la nueva versión de dicho excel, es aprobado por el responsable y se pasa a producción</t>
  </si>
  <si>
    <t>OPT_39</t>
  </si>
  <si>
    <t>Afiliaciones PRE - Campos nuevos que se recibiran en el XML</t>
  </si>
  <si>
    <t>campos nuevos que se recibiran en el XML, se debe garantizar su almacenamiento en todas las tablas del proceso</t>
  </si>
  <si>
    <t>20/03/2026 se pide aclaración sobre los campos nuevos que se recibiran en el formulario de Medicina prepagada, si apliacarán tanto para titular como beneficiario, y si se van a migrar a Apolo
24/03/2026 aclaración por parte del cliente de lo que se recibirá, y por ahora se mantendrá en Imagine, a la espera de recibir xml de prueba para saber como llegaran las etiquetas y los datos en este y así poder definir como se almacenaran en la base de imagine. a la espera de definir si migrarán a Apolo y como será la homologación
6/04/2026 sesión para confirmar lo de las pruebas de los xml que se recibira, según el otro proveedor el miercoles 8/04
8/04/2026 se reciben muestras de XMl, y se piden ajustes, por que no llega toda la informacion completa
10/04/2026 se reciben nuevas pruebas de XML para poder validar los campos nuevos, y se piden ajustes por inconsistencias
16/04/2026 se reciben de nuevo pruebas con la información de xml, asi que se empieza a revisar las diferentes tablas en imgine para la ceración de los campos nuevos
20/04/2026 se valida que la informacion que llega en el xml se almacene de manera correcta en la shema del ipad
22/04/2026 se empezaron a crear los campos nuevos en las tablas afectadas del proceso de Medicina prepagada, por las que se mueven mientras esten en proces, devueltas, en área médica, anuladas, para cargue y ya cargadas.
24/04/2026 se empieza a justar el proceso de distribución de la información que llega en el xml en los campos nuevos de las tablas básicas y en todas las distribuciones en las diferentes tablas, para que dentro de ningun paso se omitan
4/05/2026 se pasa a producción las páginas del ajuste de los nuevos campos, y la creación de campos en las tablas de producción</t>
  </si>
  <si>
    <t>OPT_40</t>
  </si>
  <si>
    <t>Acreditación - Envio de correos a los colectivos</t>
  </si>
  <si>
    <t>Envío de corrreos sobre los usuarios pendientes por acreditar, directamente a la empresa y dejar trazabilidad del mismo dentro de la gestión de cada contrato.</t>
  </si>
  <si>
    <t>EN PROCESO</t>
  </si>
  <si>
    <t>27/03/2026 revisar el proceso actual de generación de correos, para identificar el proceso de colectivos, y su respectivo armado
30/03/2026 se ajusta para que el correo salga directamente a la cuenta del colectivo
6/04/2026 se empieza a hacer el ajsute para que se vaya dejando trazabilidad del envío del correo por contrato del colectivo</t>
  </si>
  <si>
    <t>OPT_41</t>
  </si>
  <si>
    <t>Afiliaciones PRE - Lectura XML Estados Salud</t>
  </si>
  <si>
    <t>Revisar inconsistencia no todas las solicitudes con respuesta positiva están quedando marcadas con la causal médica para que la respectiva área las revise</t>
  </si>
  <si>
    <t>15/04/2026 se realiza la revisión del proceso de lectura del XL de Ipad, para poder identificar los casos que vienen con respuestas positivas y no quedan con la causal respectiva para que pase al área médica, y de identifica que un array que se llena con los nombres de las columnas de de las tablas de los estados de salud, si bien en la mayoria los nombres de los campos son los mismos, en otra no lo son, y como el array no se estaba definiendo, pues generó la inconsistena</t>
  </si>
  <si>
    <t>OPT_42</t>
  </si>
  <si>
    <t>Afiliaciones Pre - Revisión Médica</t>
  </si>
  <si>
    <t>Inconsistencia en la visualización de ciertas imágenes que el visor actual no esta permitiendo ver</t>
  </si>
  <si>
    <t>20/04/2026 se realiza reunión para evidenciar que en algunos casos las impágenes soporte de ciertas afiliaciones no las pueden visualizar de manera correcta por la plataforma de Riesgo médico
21/04/2026 se recibieron varios casos de ejemplo en el que no se podian sivualisar, y el error es con las imágenes jpg que el viso no ls esta mostrando, se retira la opción que no permitia visualizar de manera correcta los jpg
22/04/2026 se pasa a test y producción entregando al cliente</t>
  </si>
  <si>
    <t>OPT_43</t>
  </si>
  <si>
    <t>Ajustar la visualización sobre si las solicitudes durante la revisión médica le generaron Formato para envío a Salesforce,</t>
  </si>
  <si>
    <t>24/04/2026 Se ajusta la visualización para que sea más claro si el área médica le generó formato y si este fue o no enviado a Salesforce para seguimiento médico
27/04/2026 se publica en producción el ajuste y se informa al área encargada para su revisión</t>
  </si>
  <si>
    <t>OPT_44</t>
  </si>
  <si>
    <t>Afiliaciones Pre - Comercial</t>
  </si>
  <si>
    <t>28/04/2026 se inicia con el ajuste en la vista de los datos de revisión médica en el módulo de Normalización para que se identifique si el área médica le generó formato y si este fue o no enviado a Salesforce para seguimiento médico
30/04/2026 se ajusta la vista de la información del área médica por la consulta general de la solicitud, para que se pueda visualizar si tiene o no formato, y si fueron enviados a salesforce
4/05/2026 se pasa a producción los cambios de las 2 vistas</t>
  </si>
  <si>
    <t>OPT_45</t>
  </si>
  <si>
    <t>Convenios Medicos - Adicionar 2 documentos para cargue de documentos de manera masiva</t>
  </si>
  <si>
    <t>Adicionar al cargue Masivo los documentos de Afiliación ARL y Certificaciones de Titulo, y en producto adicionar CEM</t>
  </si>
  <si>
    <t>27/04/2026 se validan los documentos y se habilitan para que puedan ser seleccionados desde la pagina del cargue, y se comparan con los campos utilizados de otros documentos del cargue masivo
28/04/2026 se hacen los ajustes en las paginas que se involucran en el cargue adicionando las validaciones respectivas de cada documento, y se adicionan los códigos y querys necesarios según el documento. 
6/05/2026 confirman las pruebas y se pasaa producción los cambios para los cargues nuevos</t>
  </si>
  <si>
    <t>OPT_46</t>
  </si>
  <si>
    <t>Afiliaciones PRE - Ajuste validación tarifa asociativos</t>
  </si>
  <si>
    <t>En la entrega de la validación de los 7 campos, al entregar el lote se debe ajustar paraq eu los contrato</t>
  </si>
  <si>
    <t>26/05/2026 se ajusta la pagina para que en caso de las afiliaciones que son asociativos y no se encuentra la tarifa definida como familiar, puede estar definida solo como colectivo</t>
  </si>
  <si>
    <t>OPT_47</t>
  </si>
  <si>
    <t>Afiliaciones PRE - Reporte diario solicitudes cargue matrices puntuales</t>
  </si>
  <si>
    <t>enviar por correo electrónico a operaciones la base de afiliaciones de matriz específica de cargue masivo que estan listas para cargue, proceso automático</t>
  </si>
  <si>
    <t>27/05/2026 creación de registro para el envió del correo, y se empieza con el desarrollo de la página
28/05/2026 se pasa la pagina a pruebas y se crea eel registro en la administracion de correos automáticos. se pasa la pagina a produccióny se crea eel registro en la administracion de correos automáticos. se crea la tarea automática de envió del correo para que sea sobre las 4:40pm</t>
  </si>
  <si>
    <t>OPT_48</t>
  </si>
  <si>
    <t>Acreditación - Entrega base para mensajes personalizados</t>
  </si>
  <si>
    <t>Entrega de base de usuarios pendientes por acreditación para envío de mensajes de texto al celular, datos del contrato, titular id y nombre completo y cantidad de usuarios dentro del contrato pendientes por acreditar</t>
  </si>
  <si>
    <t>25/05/2026 en reunión se trata el tema de entregar periódicamente una base con los afiliados pendientes por acreditar, quedamos atentos a definición de con que periodicidad y fomarlizar la solicitud por parte del área
3/06/2026 seguimos a la espera, segun reunión de seguimiento no han definido los tiempos para la entrega de la base</t>
  </si>
  <si>
    <t>OPT_49</t>
  </si>
  <si>
    <t>Gestion Humana - Indexador</t>
  </si>
  <si>
    <t>Realizar el indexador de hojas de vida y dejar de usar el access de indexación actual y el de importación, se escanerarn las guias de las hojas de vida  por paquete documental y se debe crear opción donde se consulte la guia y se adjunten los soportes, para que queden publicados en la carpeta del funcionario</t>
  </si>
  <si>
    <t>25/05/2026 Se entrega documento con el requerimiento a Don HErnán y el crea la opción
26/05/2026 Se piden ajustes sobre la información pintada en pantalla y y se realizan primeras pruebas de subir soportes
27/05/2026 se solicita una adición de validación a la cantidad de folios, y se pide nuevamente ajustes a la  pantalla principal que muestra información innecesaria y satura la vista
28/05/2026 Se confirma que puede ser entregado el proyecto para ponerlo en desarrollo y empezar a hacer los ajsutes relacionados a conexión base de datos
23/06/2026 Se explica a Jhon, para ajuste de url destino de las imágenes adecuadas al servidor, y que no cargeu pagina de logueo, sino que se incoque el usuario del logueo incial y se lleve a ese link</t>
  </si>
  <si>
    <t>OPT_50</t>
  </si>
  <si>
    <t>Comercial - Cambios plataforma de Normalización</t>
  </si>
  <si>
    <t>Cambios en la bandeja de trabajo, como alertas por vigencia color por rango de fecha, opción de ordenamiento, permitir filtros por ciertas columnas. mensaje de confirmación de vigencia al registrar el reingreso</t>
  </si>
  <si>
    <t>3/06/2026 se inicia con la modificación en la plantilla para adicionar las columnas nuevas, se adicióno semaforización para las afiliaciones segun fecha de inicio de vigencia</t>
  </si>
  <si>
    <t>OPT_51</t>
  </si>
  <si>
    <t>Acreditación - Base con corte al 1 de cada mes</t>
  </si>
  <si>
    <t>OPT_52</t>
  </si>
  <si>
    <t>Acreditación - Informes - Gestion Acreditacion - Tipos Acreditacion</t>
  </si>
  <si>
    <t>Informe soporte para la Facturacion, Registros de Gestión durante el mes y registros de causales de acreditación durante el mes</t>
  </si>
  <si>
    <t>OPT_53</t>
  </si>
  <si>
    <t>Tutelas - Ajuste de Visor Imagenes</t>
  </si>
  <si>
    <t>Ajustar el visor para ver imágenes tiff,pdf,jpg,png</t>
  </si>
  <si>
    <t>18/06/2026 se evalua y revisa el visor actual de las archivos que se suben de tutelas y se inicia el ajuste según visro actual de afiliaciones
19/06/2026 se pasa a pruebas y se informa al cliente para que revisen la visualización</t>
  </si>
  <si>
    <t>Afiliaciones POS - Completar descarga de cartas Derechos y Deberes</t>
  </si>
  <si>
    <t>19/11/2025 Posible mejora detectada por Imagine -Jennifer</t>
  </si>
  <si>
    <t>Afiliaciones Pre - Llegan casos con imágenes repetidas en el xml, generando imágenes incompletas en el proceso</t>
  </si>
  <si>
    <t>Opción para eliminar imágenes duplicadas dentro de la ya actual de reproceso de Afiliaciones Pre</t>
  </si>
  <si>
    <t>Afiliaciones POS - Consumo Puntual de las afiliaciones</t>
  </si>
  <si>
    <t>Acreditación - Validación de casos para saber su ultima acreditacion Desarrollo</t>
  </si>
  <si>
    <t>01/2026 Posible mejora detectada por Imagine -Jennifer</t>
  </si>
  <si>
    <t>Convenios Medicos - Cargue Masivo de Planes a Nits</t>
  </si>
  <si>
    <t>Cargue de excel para relacionar de manera masiva los planes creados nuevos por Colmédica a los diferentes prestadores</t>
  </si>
  <si>
    <t>Afiliaciones POS - Cargue de SAT</t>
  </si>
  <si>
    <t>Completar el  proceso del cargue via web, el cliente ya carga el excel por el sitio web de imagine, Y se quiere migrar lo que hace el access que corresponde a la radicación y distribucion en las tablas definitas de encabezado y detalle</t>
  </si>
  <si>
    <t xml:space="preserve"> Año Nuevo</t>
  </si>
  <si>
    <t xml:space="preserve"> Día de los Reyes Magos</t>
  </si>
  <si>
    <t xml:space="preserve"> Día de San José</t>
  </si>
  <si>
    <t xml:space="preserve"> Jueves Santo (Semana Santa)</t>
  </si>
  <si>
    <t xml:space="preserve"> Viernes Santo (Semana Santa)</t>
  </si>
  <si>
    <t xml:space="preserve"> Día del Trabajo</t>
  </si>
  <si>
    <t xml:space="preserve"> Día de la Ascensión</t>
  </si>
  <si>
    <t xml:space="preserve"> Corpus Christi</t>
  </si>
  <si>
    <t xml:space="preserve"> Sagrado Corazón</t>
  </si>
  <si>
    <t xml:space="preserve"> San Pedro y San Pablo</t>
  </si>
  <si>
    <t xml:space="preserve"> Día de la Independencia</t>
  </si>
  <si>
    <t xml:space="preserve"> Batalla de Boyacá</t>
  </si>
  <si>
    <t xml:space="preserve"> La Asunción de la Virgen</t>
  </si>
  <si>
    <t xml:space="preserve"> Día de la Raza</t>
  </si>
  <si>
    <t xml:space="preserve"> Día de Todos los Santos</t>
  </si>
  <si>
    <t xml:space="preserve"> Independencia de Cartagena</t>
  </si>
  <si>
    <t xml:space="preserve"> Día de la Inmaculada Concepción</t>
  </si>
  <si>
    <t xml:space="preserve"> Navidad</t>
  </si>
  <si>
    <t>Año Nuevo</t>
  </si>
  <si>
    <t>Día de los Reyes Magos</t>
  </si>
  <si>
    <t>Día de San José</t>
  </si>
  <si>
    <t>Jueves Santo</t>
  </si>
  <si>
    <t>Viernes Santo</t>
  </si>
  <si>
    <t>Día del Trabajo</t>
  </si>
  <si>
    <t>Ascensión de Jesús</t>
  </si>
  <si>
    <t>Corpus Christi</t>
  </si>
  <si>
    <t>Sagrado Corazón de Jesús / San Pedro y San Pablo</t>
  </si>
  <si>
    <t>Independencia de Colombia</t>
  </si>
  <si>
    <t>Batalla de Boyacá</t>
  </si>
  <si>
    <t>Asunción de la Virgen</t>
  </si>
  <si>
    <t>Día de la Raza</t>
  </si>
  <si>
    <t>Día de Todos los Santos</t>
  </si>
  <si>
    <t>Independencia de Cartagena</t>
  </si>
  <si>
    <t>Inmaculada Concepción</t>
  </si>
  <si>
    <t>Navidad</t>
  </si>
  <si>
    <t>Sagrado Corazón de Jesús</t>
  </si>
  <si>
    <t>San Pedro y San Pablo</t>
  </si>
  <si>
    <t xml:space="preserve">ASISTENCIA DAYLI </t>
  </si>
  <si>
    <t>INTEGRANTE</t>
  </si>
  <si>
    <t>DANILO RAMIREZ</t>
  </si>
  <si>
    <t>SI</t>
  </si>
  <si>
    <t>no (Dia de la familia)</t>
  </si>
  <si>
    <t>No hubo sesion</t>
  </si>
  <si>
    <t>NO</t>
  </si>
  <si>
    <t xml:space="preserve">No hubo sesión </t>
  </si>
  <si>
    <t>NO HUBO SESION</t>
  </si>
  <si>
    <t>NO HAY SESION</t>
  </si>
  <si>
    <t>Vacaciones</t>
  </si>
  <si>
    <t>No hobo sesion por caida de los sitios.</t>
  </si>
  <si>
    <t>JAIRO NIÑO</t>
  </si>
  <si>
    <t>JESUS PEÑA</t>
  </si>
  <si>
    <t>Dia de la familia</t>
  </si>
  <si>
    <t>Falla electrica</t>
  </si>
  <si>
    <t>LUIS BEDOYA</t>
  </si>
  <si>
    <t>SIN INTERNET</t>
  </si>
  <si>
    <t>JOHAN QUICENO</t>
  </si>
  <si>
    <t>Permiso</t>
  </si>
  <si>
    <t>sin internet</t>
  </si>
  <si>
    <t>TRABAJO HASTA HOY</t>
  </si>
  <si>
    <t>FABIO FORERO</t>
  </si>
  <si>
    <t>JENRY HENAO</t>
  </si>
  <si>
    <t>LIYIBET PEREZ</t>
  </si>
  <si>
    <t>nomina</t>
  </si>
  <si>
    <t>NOMINA</t>
  </si>
  <si>
    <t>WILSON APONTE</t>
  </si>
  <si>
    <t>JOHN ROLON</t>
  </si>
  <si>
    <t>Asignado</t>
  </si>
  <si>
    <t>TEST</t>
  </si>
  <si>
    <t>PRODUCCION</t>
  </si>
  <si>
    <t>Observacion</t>
  </si>
  <si>
    <t>LUIS BAYONA</t>
  </si>
  <si>
    <t>Encolar informe de efectividad de salud</t>
  </si>
  <si>
    <t xml:space="preserve">*02/10/2024 inicia  gestion.
*03/10/2024 Finalizar la consulta y realizar pruebas
* 07/10/2024 desarrollo en test  para  pruebas </t>
  </si>
  <si>
    <t>VULNERABILIDADES BAJAS</t>
  </si>
  <si>
    <t>Web Server Allows Password Auto-Completion</t>
  </si>
  <si>
    <r>
      <rPr>
        <sz val="10"/>
        <color theme="1"/>
        <rFont val="Quattrocento Sans"/>
      </rPr>
      <t>*04/10/2024 pruebas
*</t>
    </r>
    <r>
      <rPr>
        <b/>
        <sz val="10"/>
        <color theme="1"/>
        <rFont val="Quattrocento Sans"/>
      </rPr>
      <t xml:space="preserve"> 07/10/2024 se entrega a Danilo para  pruebas y posterior despliegue a producción
* 09/10/2024 Confirmar entrega de rama a Danilo
* 10/10/2024 Etregadas a Danilo 9 de octubre, </t>
    </r>
  </si>
  <si>
    <t>Autocomplete Enabled (15 Y 18)</t>
  </si>
  <si>
    <t xml:space="preserve">*04/10/2024 pruebas
* 07/10/2024 se entrega a Danilo para  pruebas y posterior despliegue a producción
* 09/10/2024 Confirmar entrega de rama a Danilo
* 10/10/2024 Etregadas a Danilo 9 de octubre </t>
  </si>
  <si>
    <t>VULNERABILIDADES MEDIAS</t>
  </si>
  <si>
    <t>Internal Server 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</si>
</sst>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quot;/&quot;mm&quot;/&quot;yyyy"/>
    <numFmt numFmtId="165" formatCode="m/d/yyyy"/>
  </numFmts>
  <fonts count="34">
    <font>
      <sz val="12"/>
      <color theme="1"/>
      <name val="Quattrocento Sans"/>
      <scheme val="minor"/>
    </font>
    <font>
      <b/>
      <u/>
      <sz val="9"/>
      <color rgb="FFFFFFFF"/>
      <name val="Quattrocento Sans"/>
    </font>
    <font>
      <b/>
      <u/>
      <sz val="10"/>
      <color rgb="FFFFFFFF"/>
      <name val="Quattrocento Sans"/>
    </font>
    <font>
      <u/>
      <sz val="11"/>
      <color rgb="FFFFFFFF"/>
      <name val="Quattrocento Sans"/>
    </font>
    <font>
      <sz val="12"/>
      <color rgb="FFFFFFFF"/>
      <name val="Quattrocento Sans"/>
    </font>
    <font>
      <b/>
      <u/>
      <sz val="10"/>
      <color rgb="FFFFFFFF"/>
      <name val="Quattrocento Sans"/>
    </font>
    <font>
      <u/>
      <sz val="10"/>
      <color rgb="FFFFFFFF"/>
      <name val="Quattrocento Sans"/>
    </font>
    <font>
      <b/>
      <sz val="10"/>
      <color rgb="FFFFFFFF"/>
      <name val="Quattrocento Sans"/>
    </font>
    <font>
      <b/>
      <sz val="8"/>
      <color rgb="FFFFFFFF"/>
      <name val="Quattrocento Sans"/>
    </font>
    <font>
      <b/>
      <sz val="10"/>
      <color rgb="FF000000"/>
      <name val="Quattrocento Sans"/>
    </font>
    <font>
      <sz val="12"/>
      <color rgb="FFFFFFFF"/>
      <name val="Quattrocento Sans"/>
      <scheme val="minor"/>
    </font>
    <font>
      <sz val="12"/>
      <color theme="1"/>
      <name val="Quattrocento Sans"/>
    </font>
    <font>
      <b/>
      <u/>
      <sz val="9"/>
      <color theme="1"/>
      <name val="Quattrocento Sans"/>
    </font>
    <font>
      <u/>
      <sz val="9"/>
      <color theme="1"/>
      <name val="Roboto"/>
    </font>
    <font>
      <u/>
      <sz val="11"/>
      <color theme="1"/>
      <name val="Quattrocento Sans"/>
    </font>
    <font>
      <u/>
      <sz val="10"/>
      <color theme="1"/>
      <name val="Quattrocento Sans"/>
    </font>
    <font>
      <b/>
      <u/>
      <sz val="10"/>
      <color theme="1"/>
      <name val="Quattrocento Sans"/>
    </font>
    <font>
      <u/>
      <sz val="10"/>
      <color theme="1"/>
      <name val="Quattrocento Sans"/>
    </font>
    <font>
      <sz val="10"/>
      <color theme="1"/>
      <name val="Quattrocento Sans"/>
    </font>
    <font>
      <b/>
      <sz val="10"/>
      <color theme="1"/>
      <name val="Quattrocento Sans"/>
    </font>
    <font>
      <sz val="12"/>
      <color theme="1"/>
      <name val="Quattrocento Sans"/>
      <scheme val="minor"/>
    </font>
    <font>
      <b/>
      <u/>
      <sz val="9"/>
      <color theme="1"/>
      <name val="Quattrocento Sans"/>
    </font>
    <font>
      <u/>
      <sz val="9"/>
      <color theme="1"/>
      <name val="Roboto"/>
    </font>
    <font>
      <u/>
      <sz val="11"/>
      <color theme="1"/>
      <name val="Quattrocento Sans"/>
    </font>
    <font>
      <u/>
      <sz val="10"/>
      <color theme="1"/>
      <name val="Quattrocento Sans"/>
    </font>
    <font>
      <b/>
      <u/>
      <sz val="10"/>
      <color theme="1"/>
      <name val="Quattrocento Sans"/>
    </font>
    <font>
      <u/>
      <sz val="10"/>
      <color theme="1"/>
      <name val="Quattrocento Sans"/>
    </font>
    <font>
      <b/>
      <u/>
      <sz val="9"/>
      <color theme="1"/>
      <name val="Quattrocento Sans"/>
    </font>
    <font>
      <u/>
      <sz val="11"/>
      <color theme="1"/>
      <name val="Quattrocento Sans"/>
    </font>
    <font>
      <sz val="12"/>
      <color theme="1"/>
      <name val="Quattrocento Sans"/>
    </font>
    <font>
      <b/>
      <sz val="12"/>
      <color theme="1"/>
      <name val="Quattrocento Sans"/>
    </font>
    <font>
      <sz val="12"/>
      <color rgb="FFFF0000"/>
      <name val="Quattrocento Sans"/>
    </font>
    <font>
      <sz val="12"/>
      <name val="Quattrocento Sans"/>
    </font>
    <font>
      <b/>
      <sz val="12"/>
      <color rgb="FFFF0000"/>
      <name val="Quattrocento Sans"/>
    </font>
  </fonts>
  <fills count="14">
    <fill>
      <patternFill patternType="none"/>
    </fill>
    <fill>
      <patternFill patternType="gray125"/>
    </fill>
    <fill>
      <patternFill patternType="solid">
        <fgColor rgb="FF356854"/>
        <bgColor rgb="FF356854"/>
      </patternFill>
    </fill>
    <fill>
      <patternFill patternType="solid">
        <fgColor rgb="FFF4CCCC"/>
        <bgColor rgb="FFF4CCCC"/>
      </patternFill>
    </fill>
    <fill>
      <patternFill patternType="solid">
        <fgColor rgb="FF4A86E8"/>
        <bgColor rgb="FF4A86E8"/>
      </patternFill>
    </fill>
    <fill>
      <patternFill patternType="solid">
        <fgColor rgb="FFFFFFFF"/>
        <bgColor rgb="FFFFFFFF"/>
      </patternFill>
    </fill>
    <fill>
      <patternFill patternType="solid">
        <fgColor rgb="FFF6F8F9"/>
        <bgColor rgb="FFF6F8F9"/>
      </patternFill>
    </fill>
    <fill>
      <patternFill patternType="solid">
        <fgColor rgb="FFDEEAF6"/>
        <bgColor rgb="FFDEEAF6"/>
      </patternFill>
    </fill>
    <fill>
      <patternFill patternType="solid">
        <fgColor rgb="FFF2F2F2"/>
        <bgColor rgb="FFF2F2F2"/>
      </patternFill>
    </fill>
    <fill>
      <patternFill patternType="solid">
        <fgColor rgb="FFB4C6E7"/>
        <bgColor rgb="FFB4C6E7"/>
      </patternFill>
    </fill>
    <fill>
      <patternFill patternType="solid">
        <fgColor rgb="FFDADADA"/>
        <bgColor rgb="FFDADADA"/>
      </patternFill>
    </fill>
    <fill>
      <patternFill patternType="solid">
        <fgColor rgb="FFF7CAAC"/>
        <bgColor rgb="FFF7CAAC"/>
      </patternFill>
    </fill>
    <fill>
      <patternFill patternType="solid">
        <fgColor rgb="FFC5E0B3"/>
        <bgColor rgb="FFC5E0B3"/>
      </patternFill>
    </fill>
    <fill>
      <patternFill patternType="solid">
        <fgColor rgb="FFFFFF00"/>
        <bgColor rgb="FFFFFF00"/>
      </patternFill>
    </fill>
  </fills>
  <borders count="16">
    <border>
      <left/>
      <right/>
      <top/>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diagonal/>
    </border>
    <border>
      <left style="thin">
        <color rgb="FF356854"/>
      </left>
      <right style="thin">
        <color rgb="FF356854"/>
      </right>
      <top style="thin">
        <color rgb="FF284E3F"/>
      </top>
      <bottom style="thin">
        <color rgb="FF284E3F"/>
      </bottom>
      <diagonal/>
    </border>
    <border>
      <left style="thin">
        <color rgb="FF000000"/>
      </left>
      <right style="thin">
        <color rgb="FF000000"/>
      </right>
      <top style="thin">
        <color rgb="FF000000"/>
      </top>
      <bottom style="thin">
        <color rgb="FF000000"/>
      </bottom>
      <diagonal/>
    </border>
    <border>
      <left style="thin">
        <color rgb="FFFFFFFF"/>
      </left>
      <right style="thin">
        <color rgb="FFFFFFFF"/>
      </right>
      <top style="thin">
        <color rgb="FFFFFFFF"/>
      </top>
      <bottom style="thin">
        <color rgb="FFFFFFFF"/>
      </bottom>
      <diagonal/>
    </border>
    <border>
      <left style="thin">
        <color rgb="FFFFFFFF"/>
      </left>
      <right style="thin">
        <color rgb="FF284E3F"/>
      </right>
      <top style="thin">
        <color rgb="FFFFFFFF"/>
      </top>
      <bottom style="thin">
        <color rgb="FFFFFFFF"/>
      </bottom>
      <diagonal/>
    </border>
    <border>
      <left style="thin">
        <color rgb="FFF6F8F9"/>
      </left>
      <right style="thin">
        <color rgb="FFF6F8F9"/>
      </right>
      <top style="thin">
        <color rgb="FFF6F8F9"/>
      </top>
      <bottom style="thin">
        <color rgb="FFF6F8F9"/>
      </bottom>
      <diagonal/>
    </border>
    <border>
      <left style="thin">
        <color rgb="FFF6F8F9"/>
      </left>
      <right style="thin">
        <color rgb="FF284E3F"/>
      </right>
      <top style="thin">
        <color rgb="FFF6F8F9"/>
      </top>
      <bottom style="thin">
        <color rgb="FFF6F8F9"/>
      </bottom>
      <diagonal/>
    </border>
    <border>
      <left/>
      <right style="thin">
        <color rgb="FF284E3F"/>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113">
    <xf numFmtId="0" fontId="0" fillId="0" borderId="0" xfId="0" applyFont="1" applyAlignment="1"/>
    <xf numFmtId="0" fontId="1"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3" fillId="2" borderId="3" xfId="0" applyFont="1" applyFill="1" applyBorder="1" applyAlignment="1">
      <alignment horizontal="left" vertical="center"/>
    </xf>
    <xf numFmtId="0" fontId="4" fillId="2" borderId="0" xfId="0" applyFont="1" applyFill="1"/>
    <xf numFmtId="0" fontId="5" fillId="2" borderId="3" xfId="0" applyFont="1" applyFill="1" applyBorder="1" applyAlignment="1">
      <alignment horizontal="center" vertical="center"/>
    </xf>
    <xf numFmtId="0" fontId="6" fillId="2" borderId="3" xfId="0" applyFont="1" applyFill="1" applyBorder="1" applyAlignment="1">
      <alignment horizontal="center" vertical="center" wrapText="1"/>
    </xf>
    <xf numFmtId="49" fontId="7" fillId="2" borderId="3" xfId="0" applyNumberFormat="1" applyFont="1" applyFill="1" applyBorder="1" applyAlignment="1">
      <alignment horizontal="center" vertical="center" wrapText="1"/>
    </xf>
    <xf numFmtId="3" fontId="8" fillId="2" borderId="3" xfId="0" applyNumberFormat="1" applyFont="1" applyFill="1" applyBorder="1" applyAlignment="1">
      <alignment horizontal="center" vertical="center" wrapText="1"/>
    </xf>
    <xf numFmtId="164" fontId="7" fillId="2" borderId="3" xfId="0" applyNumberFormat="1" applyFont="1" applyFill="1" applyBorder="1" applyAlignment="1">
      <alignment horizontal="center" vertical="center"/>
    </xf>
    <xf numFmtId="164" fontId="7" fillId="2" borderId="3" xfId="0" applyNumberFormat="1" applyFont="1" applyFill="1" applyBorder="1" applyAlignment="1">
      <alignment horizontal="center" vertical="center" wrapText="1"/>
    </xf>
    <xf numFmtId="3" fontId="7" fillId="2" borderId="3" xfId="0" applyNumberFormat="1" applyFont="1" applyFill="1" applyBorder="1" applyAlignment="1">
      <alignment horizontal="center" vertical="center"/>
    </xf>
    <xf numFmtId="164" fontId="9" fillId="3" borderId="3" xfId="0" applyNumberFormat="1" applyFont="1" applyFill="1" applyBorder="1" applyAlignment="1">
      <alignment horizontal="center" vertical="center" wrapText="1"/>
    </xf>
    <xf numFmtId="164" fontId="7" fillId="2" borderId="3" xfId="0" applyNumberFormat="1" applyFont="1" applyFill="1" applyBorder="1" applyAlignment="1">
      <alignment horizontal="center" vertical="center" wrapText="1"/>
    </xf>
    <xf numFmtId="0" fontId="7" fillId="4" borderId="3" xfId="0" applyFont="1" applyFill="1" applyBorder="1" applyAlignment="1">
      <alignment horizontal="center" vertical="top"/>
    </xf>
    <xf numFmtId="0" fontId="10" fillId="2" borderId="0" xfId="0" applyFont="1" applyFill="1" applyAlignment="1"/>
    <xf numFmtId="0" fontId="11" fillId="2" borderId="0" xfId="0" applyFont="1" applyFill="1"/>
    <xf numFmtId="0" fontId="12" fillId="5" borderId="4" xfId="0" applyFont="1" applyFill="1" applyBorder="1" applyAlignment="1">
      <alignment horizontal="center" vertical="center" wrapText="1"/>
    </xf>
    <xf numFmtId="0" fontId="13" fillId="5" borderId="4" xfId="0" applyFont="1" applyFill="1" applyBorder="1" applyAlignment="1">
      <alignment horizontal="center" vertical="center"/>
    </xf>
    <xf numFmtId="0" fontId="14" fillId="5" borderId="4" xfId="0" applyFont="1" applyFill="1" applyBorder="1" applyAlignment="1">
      <alignment horizontal="left" vertical="center" wrapText="1"/>
    </xf>
    <xf numFmtId="0" fontId="15" fillId="5" borderId="4" xfId="0" applyFont="1" applyFill="1" applyBorder="1" applyAlignment="1">
      <alignment horizontal="center" vertical="center" wrapText="1"/>
    </xf>
    <xf numFmtId="0" fontId="16" fillId="5" borderId="4" xfId="0" applyFont="1" applyFill="1" applyBorder="1" applyAlignment="1">
      <alignment horizontal="center" vertical="center" wrapText="1"/>
    </xf>
    <xf numFmtId="0" fontId="17" fillId="5" borderId="4" xfId="0" applyFont="1" applyFill="1" applyBorder="1" applyAlignment="1">
      <alignment vertical="center" wrapText="1"/>
    </xf>
    <xf numFmtId="0" fontId="18" fillId="5" borderId="4" xfId="0" applyFont="1" applyFill="1" applyBorder="1" applyAlignment="1">
      <alignment horizontal="center" vertical="center" wrapText="1"/>
    </xf>
    <xf numFmtId="3" fontId="19" fillId="5" borderId="4" xfId="0" applyNumberFormat="1" applyFont="1" applyFill="1" applyBorder="1" applyAlignment="1">
      <alignment horizontal="center" vertical="center"/>
    </xf>
    <xf numFmtId="164" fontId="18" fillId="5" borderId="4" xfId="0" applyNumberFormat="1" applyFont="1" applyFill="1" applyBorder="1" applyAlignment="1">
      <alignment vertical="center" wrapText="1"/>
    </xf>
    <xf numFmtId="164" fontId="19" fillId="5" borderId="4" xfId="0" applyNumberFormat="1" applyFont="1" applyFill="1" applyBorder="1" applyAlignment="1">
      <alignment vertical="center"/>
    </xf>
    <xf numFmtId="3" fontId="18" fillId="5" borderId="4" xfId="0" applyNumberFormat="1" applyFont="1" applyFill="1" applyBorder="1" applyAlignment="1">
      <alignment horizontal="center" vertical="center" wrapText="1"/>
    </xf>
    <xf numFmtId="164" fontId="19" fillId="5" borderId="4" xfId="0" applyNumberFormat="1" applyFont="1" applyFill="1" applyBorder="1" applyAlignment="1">
      <alignment vertical="center"/>
    </xf>
    <xf numFmtId="0" fontId="18" fillId="5" borderId="4" xfId="0" applyFont="1" applyFill="1" applyBorder="1" applyAlignment="1">
      <alignment horizontal="left" vertical="top"/>
    </xf>
    <xf numFmtId="49" fontId="20" fillId="5" borderId="0" xfId="0" applyNumberFormat="1" applyFont="1" applyFill="1" applyAlignment="1"/>
    <xf numFmtId="0" fontId="20" fillId="5" borderId="0" xfId="0" applyFont="1" applyFill="1"/>
    <xf numFmtId="0" fontId="21" fillId="6" borderId="4" xfId="0" applyFont="1" applyFill="1" applyBorder="1" applyAlignment="1">
      <alignment horizontal="center" vertical="center" wrapText="1"/>
    </xf>
    <xf numFmtId="0" fontId="22" fillId="6" borderId="4" xfId="0" applyFont="1" applyFill="1" applyBorder="1" applyAlignment="1">
      <alignment horizontal="center" vertical="center"/>
    </xf>
    <xf numFmtId="0" fontId="23" fillId="6" borderId="4" xfId="0" applyFont="1" applyFill="1" applyBorder="1" applyAlignment="1">
      <alignment horizontal="left" vertical="center" wrapText="1"/>
    </xf>
    <xf numFmtId="0" fontId="24" fillId="6" borderId="4" xfId="0" applyFont="1" applyFill="1" applyBorder="1" applyAlignment="1">
      <alignment horizontal="center" vertical="center" wrapText="1"/>
    </xf>
    <xf numFmtId="0" fontId="25" fillId="6" borderId="4" xfId="0" applyFont="1" applyFill="1" applyBorder="1" applyAlignment="1">
      <alignment horizontal="center" vertical="center" wrapText="1"/>
    </xf>
    <xf numFmtId="0" fontId="26" fillId="6" borderId="4" xfId="0" applyFont="1" applyFill="1" applyBorder="1" applyAlignment="1">
      <alignment vertical="center" wrapText="1"/>
    </xf>
    <xf numFmtId="0" fontId="18" fillId="6" borderId="4" xfId="0" applyFont="1" applyFill="1" applyBorder="1" applyAlignment="1">
      <alignment horizontal="center" vertical="center" wrapText="1"/>
    </xf>
    <xf numFmtId="3" fontId="19" fillId="6" borderId="4" xfId="0" applyNumberFormat="1" applyFont="1" applyFill="1" applyBorder="1" applyAlignment="1">
      <alignment horizontal="center" vertical="center"/>
    </xf>
    <xf numFmtId="164" fontId="18" fillId="6" borderId="4" xfId="0" applyNumberFormat="1" applyFont="1" applyFill="1" applyBorder="1" applyAlignment="1">
      <alignment vertical="center" wrapText="1"/>
    </xf>
    <xf numFmtId="164" fontId="19" fillId="6" borderId="4" xfId="0" applyNumberFormat="1" applyFont="1" applyFill="1" applyBorder="1" applyAlignment="1">
      <alignment vertical="center"/>
    </xf>
    <xf numFmtId="3" fontId="18" fillId="6" borderId="4" xfId="0" applyNumberFormat="1" applyFont="1" applyFill="1" applyBorder="1" applyAlignment="1">
      <alignment horizontal="center" vertical="center" wrapText="1"/>
    </xf>
    <xf numFmtId="164" fontId="19" fillId="6" borderId="4" xfId="0" applyNumberFormat="1" applyFont="1" applyFill="1" applyBorder="1" applyAlignment="1">
      <alignment vertical="center"/>
    </xf>
    <xf numFmtId="0" fontId="18" fillId="6" borderId="4" xfId="0" applyFont="1" applyFill="1" applyBorder="1" applyAlignment="1">
      <alignment horizontal="left" vertical="top"/>
    </xf>
    <xf numFmtId="49" fontId="20" fillId="6" borderId="0" xfId="0" applyNumberFormat="1" applyFont="1" applyFill="1" applyAlignment="1"/>
    <xf numFmtId="0" fontId="20" fillId="6" borderId="0" xfId="0" applyFont="1" applyFill="1"/>
    <xf numFmtId="0" fontId="20" fillId="6" borderId="0" xfId="0" applyFont="1" applyFill="1" applyAlignment="1"/>
    <xf numFmtId="164" fontId="18" fillId="5" borderId="4" xfId="0" applyNumberFormat="1" applyFont="1" applyFill="1" applyBorder="1" applyAlignment="1">
      <alignment horizontal="center" vertical="center" wrapText="1"/>
    </xf>
    <xf numFmtId="164" fontId="18" fillId="5" borderId="4" xfId="0" applyNumberFormat="1" applyFont="1" applyFill="1" applyBorder="1" applyAlignment="1">
      <alignment horizontal="center" vertical="center" wrapText="1"/>
    </xf>
    <xf numFmtId="164" fontId="18" fillId="5" borderId="4" xfId="0" applyNumberFormat="1" applyFont="1" applyFill="1" applyBorder="1" applyAlignment="1">
      <alignment vertical="center" wrapText="1"/>
    </xf>
    <xf numFmtId="0" fontId="18" fillId="5" borderId="5" xfId="0" applyFont="1" applyFill="1" applyBorder="1" applyAlignment="1">
      <alignment horizontal="left" vertical="top"/>
    </xf>
    <xf numFmtId="0" fontId="18" fillId="5" borderId="6" xfId="0" applyFont="1" applyFill="1" applyBorder="1" applyAlignment="1">
      <alignment horizontal="left" vertical="top"/>
    </xf>
    <xf numFmtId="0" fontId="18" fillId="6" borderId="7" xfId="0" applyFont="1" applyFill="1" applyBorder="1" applyAlignment="1">
      <alignment horizontal="left" vertical="top"/>
    </xf>
    <xf numFmtId="0" fontId="18" fillId="6" borderId="8" xfId="0" applyFont="1" applyFill="1" applyBorder="1" applyAlignment="1">
      <alignment horizontal="left" vertical="top"/>
    </xf>
    <xf numFmtId="0" fontId="18" fillId="6" borderId="5" xfId="0" applyFont="1" applyFill="1" applyBorder="1" applyAlignment="1">
      <alignment horizontal="left" vertical="top"/>
    </xf>
    <xf numFmtId="0" fontId="18" fillId="6" borderId="6" xfId="0" applyFont="1" applyFill="1" applyBorder="1" applyAlignment="1">
      <alignment horizontal="left" vertical="top"/>
    </xf>
    <xf numFmtId="0" fontId="18" fillId="5" borderId="7" xfId="0" applyFont="1" applyFill="1" applyBorder="1" applyAlignment="1">
      <alignment horizontal="left" vertical="top"/>
    </xf>
    <xf numFmtId="0" fontId="18" fillId="5" borderId="8" xfId="0" applyFont="1" applyFill="1" applyBorder="1" applyAlignment="1">
      <alignment horizontal="left" vertical="top"/>
    </xf>
    <xf numFmtId="164" fontId="18" fillId="6" borderId="4" xfId="0" applyNumberFormat="1" applyFont="1" applyFill="1" applyBorder="1" applyAlignment="1">
      <alignment vertical="center" wrapText="1"/>
    </xf>
    <xf numFmtId="0" fontId="18" fillId="6" borderId="0" xfId="0" applyFont="1" applyFill="1" applyAlignment="1">
      <alignment horizontal="left" vertical="top"/>
    </xf>
    <xf numFmtId="0" fontId="18" fillId="6" borderId="9" xfId="0" applyFont="1" applyFill="1" applyBorder="1" applyAlignment="1">
      <alignment horizontal="left" vertical="top"/>
    </xf>
    <xf numFmtId="0" fontId="18" fillId="5" borderId="0" xfId="0" applyFont="1" applyFill="1" applyAlignment="1">
      <alignment horizontal="left" vertical="top"/>
    </xf>
    <xf numFmtId="0" fontId="18" fillId="5" borderId="9" xfId="0" applyFont="1" applyFill="1" applyBorder="1" applyAlignment="1">
      <alignment horizontal="left" vertical="top"/>
    </xf>
    <xf numFmtId="165" fontId="18" fillId="6" borderId="4" xfId="0" applyNumberFormat="1" applyFont="1" applyFill="1" applyBorder="1" applyAlignment="1">
      <alignment vertical="center" wrapText="1"/>
    </xf>
    <xf numFmtId="165" fontId="18" fillId="5" borderId="4" xfId="0" applyNumberFormat="1" applyFont="1" applyFill="1" applyBorder="1" applyAlignment="1">
      <alignment vertical="center" wrapText="1"/>
    </xf>
    <xf numFmtId="0" fontId="27" fillId="5" borderId="4" xfId="0" applyFont="1" applyFill="1" applyBorder="1" applyAlignment="1">
      <alignment horizontal="center" wrapText="1"/>
    </xf>
    <xf numFmtId="0" fontId="28" fillId="5" borderId="4" xfId="0" applyFont="1" applyFill="1" applyBorder="1" applyAlignment="1">
      <alignment wrapText="1"/>
    </xf>
    <xf numFmtId="0" fontId="29" fillId="5" borderId="4" xfId="0" applyFont="1" applyFill="1" applyBorder="1"/>
    <xf numFmtId="14" fontId="18" fillId="5" borderId="4" xfId="0" applyNumberFormat="1" applyFont="1" applyFill="1" applyBorder="1" applyAlignment="1">
      <alignment vertical="center" wrapText="1"/>
    </xf>
    <xf numFmtId="14" fontId="18" fillId="6" borderId="4" xfId="0" applyNumberFormat="1" applyFont="1" applyFill="1" applyBorder="1" applyAlignment="1">
      <alignment vertical="center" wrapText="1"/>
    </xf>
    <xf numFmtId="14" fontId="29" fillId="0" borderId="0" xfId="0" applyNumberFormat="1" applyFont="1" applyAlignment="1">
      <alignment horizontal="right"/>
    </xf>
    <xf numFmtId="0" fontId="29" fillId="0" borderId="0" xfId="0" applyFont="1" applyAlignment="1"/>
    <xf numFmtId="0" fontId="29" fillId="0" borderId="0" xfId="0" applyFont="1" applyAlignment="1"/>
    <xf numFmtId="0" fontId="30" fillId="0" borderId="0" xfId="0" applyFont="1"/>
    <xf numFmtId="0" fontId="29" fillId="0" borderId="0" xfId="0" applyFont="1"/>
    <xf numFmtId="0" fontId="30" fillId="7" borderId="4" xfId="0" applyFont="1" applyFill="1" applyBorder="1" applyAlignment="1">
      <alignment vertical="center"/>
    </xf>
    <xf numFmtId="14" fontId="30" fillId="7" borderId="4" xfId="0" applyNumberFormat="1" applyFont="1" applyFill="1" applyBorder="1" applyAlignment="1">
      <alignment horizontal="center" vertical="center" wrapText="1"/>
    </xf>
    <xf numFmtId="14" fontId="30" fillId="7" borderId="10" xfId="0" applyNumberFormat="1" applyFont="1" applyFill="1" applyBorder="1" applyAlignment="1">
      <alignment horizontal="center" vertical="center" wrapText="1"/>
    </xf>
    <xf numFmtId="14" fontId="30" fillId="7" borderId="11" xfId="0" applyNumberFormat="1" applyFont="1" applyFill="1" applyBorder="1" applyAlignment="1">
      <alignment horizontal="center" vertical="center" wrapText="1"/>
    </xf>
    <xf numFmtId="0" fontId="30" fillId="8" borderId="4" xfId="0" applyFont="1" applyFill="1" applyBorder="1"/>
    <xf numFmtId="0" fontId="29" fillId="0" borderId="4" xfId="0" applyFont="1" applyBorder="1" applyAlignment="1">
      <alignment horizontal="center"/>
    </xf>
    <xf numFmtId="0" fontId="31" fillId="0" borderId="4" xfId="0" applyFont="1" applyBorder="1"/>
    <xf numFmtId="0" fontId="29" fillId="0" borderId="4" xfId="0" applyFont="1" applyBorder="1"/>
    <xf numFmtId="0" fontId="29" fillId="0" borderId="12" xfId="0" applyFont="1" applyBorder="1"/>
    <xf numFmtId="0" fontId="29" fillId="0" borderId="4" xfId="0" applyFont="1" applyBorder="1" applyAlignment="1">
      <alignment horizontal="center" vertical="center"/>
    </xf>
    <xf numFmtId="0" fontId="33" fillId="0" borderId="4" xfId="0" applyFont="1" applyBorder="1"/>
    <xf numFmtId="0" fontId="19" fillId="9" borderId="4" xfId="0" applyFont="1" applyFill="1" applyBorder="1" applyAlignment="1">
      <alignment horizontal="center" vertical="center"/>
    </xf>
    <xf numFmtId="0" fontId="19" fillId="10" borderId="4" xfId="0" applyFont="1" applyFill="1" applyBorder="1" applyAlignment="1">
      <alignment horizontal="center" vertical="center"/>
    </xf>
    <xf numFmtId="0" fontId="19" fillId="10" borderId="4" xfId="0" applyFont="1" applyFill="1" applyBorder="1" applyAlignment="1">
      <alignment horizontal="center" vertical="center" wrapText="1"/>
    </xf>
    <xf numFmtId="0" fontId="19" fillId="0" borderId="4" xfId="0" applyFont="1" applyBorder="1" applyAlignment="1">
      <alignment horizontal="center" vertical="center"/>
    </xf>
    <xf numFmtId="0" fontId="19" fillId="11" borderId="4" xfId="0" applyFont="1" applyFill="1" applyBorder="1" applyAlignment="1">
      <alignment horizontal="center" vertical="center"/>
    </xf>
    <xf numFmtId="0" fontId="19" fillId="12" borderId="4" xfId="0" applyFont="1" applyFill="1" applyBorder="1" applyAlignment="1">
      <alignment horizontal="center" vertical="center"/>
    </xf>
    <xf numFmtId="0" fontId="18" fillId="0" borderId="0" xfId="0" applyFont="1" applyAlignment="1">
      <alignment horizontal="center" vertical="center"/>
    </xf>
    <xf numFmtId="0" fontId="19" fillId="13" borderId="4" xfId="0" applyFont="1" applyFill="1" applyBorder="1" applyAlignment="1">
      <alignment horizontal="center" vertical="center"/>
    </xf>
    <xf numFmtId="0" fontId="19" fillId="0" borderId="4" xfId="0" applyFont="1" applyBorder="1" applyAlignment="1">
      <alignment horizontal="left" vertical="center"/>
    </xf>
    <xf numFmtId="0" fontId="18" fillId="0" borderId="4" xfId="0" applyFont="1" applyBorder="1" applyAlignment="1">
      <alignment horizontal="left" vertical="center"/>
    </xf>
    <xf numFmtId="14" fontId="18" fillId="0" borderId="4" xfId="0" applyNumberFormat="1" applyFont="1" applyBorder="1" applyAlignment="1">
      <alignment horizontal="center" vertical="center"/>
    </xf>
    <xf numFmtId="1" fontId="18" fillId="0" borderId="4" xfId="0" applyNumberFormat="1" applyFont="1" applyBorder="1" applyAlignment="1">
      <alignment horizontal="center" vertical="center" wrapText="1"/>
    </xf>
    <xf numFmtId="0" fontId="18" fillId="0" borderId="4" xfId="0" applyFont="1" applyBorder="1" applyAlignment="1">
      <alignment horizontal="center" vertical="center"/>
    </xf>
    <xf numFmtId="0" fontId="18" fillId="0" borderId="4" xfId="0" applyFont="1" applyBorder="1" applyAlignment="1">
      <alignment horizontal="left" vertical="top" wrapText="1"/>
    </xf>
    <xf numFmtId="0" fontId="18" fillId="0" borderId="4" xfId="0" applyFont="1" applyBorder="1" applyAlignment="1">
      <alignment horizontal="left" vertical="center" wrapText="1"/>
    </xf>
    <xf numFmtId="0" fontId="18" fillId="0" borderId="0" xfId="0" applyFont="1" applyAlignment="1">
      <alignment horizontal="left" vertical="center"/>
    </xf>
    <xf numFmtId="0" fontId="18" fillId="0" borderId="13" xfId="0" applyFont="1" applyBorder="1" applyAlignment="1">
      <alignment horizontal="left" vertical="center" wrapText="1"/>
    </xf>
    <xf numFmtId="14" fontId="18" fillId="0" borderId="13" xfId="0" applyNumberFormat="1" applyFont="1" applyBorder="1" applyAlignment="1">
      <alignment horizontal="center" vertical="center"/>
    </xf>
    <xf numFmtId="0" fontId="18" fillId="0" borderId="13" xfId="0" applyFont="1" applyBorder="1" applyAlignment="1">
      <alignment horizontal="center" vertical="center"/>
    </xf>
    <xf numFmtId="1" fontId="18" fillId="0" borderId="13" xfId="0" applyNumberFormat="1" applyFont="1" applyBorder="1" applyAlignment="1">
      <alignment horizontal="center" vertical="center" wrapText="1"/>
    </xf>
    <xf numFmtId="0" fontId="18" fillId="0" borderId="13" xfId="0" applyFont="1" applyBorder="1" applyAlignment="1">
      <alignment horizontal="left" vertical="top" wrapText="1"/>
    </xf>
    <xf numFmtId="0" fontId="18" fillId="0" borderId="0" xfId="0" applyFont="1"/>
    <xf numFmtId="0" fontId="29" fillId="0" borderId="13" xfId="0" applyFont="1" applyBorder="1" applyAlignment="1">
      <alignment horizontal="center" vertical="center" wrapText="1"/>
    </xf>
    <xf numFmtId="0" fontId="32" fillId="0" borderId="14" xfId="0" applyFont="1" applyBorder="1"/>
    <xf numFmtId="0" fontId="32" fillId="0" borderId="15" xfId="0" applyFont="1" applyBorder="1"/>
    <xf numFmtId="0" fontId="19" fillId="0" borderId="13" xfId="0" applyFont="1" applyBorder="1" applyAlignment="1">
      <alignment horizontal="center" vertical="center"/>
    </xf>
  </cellXfs>
  <cellStyles count="1">
    <cellStyle name="Normal" xfId="0" builtinId="0"/>
  </cellStyles>
  <dxfs count="1">
    <dxf>
      <fill>
        <patternFill patternType="solid">
          <fgColor rgb="FFEA9999"/>
          <bgColor rgb="FFEA999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Quattrocento Sans"/>
        <a:ea typeface="Quattrocento Sans"/>
        <a:cs typeface="Quattrocento Sans"/>
      </a:majorFont>
      <a:minorFont>
        <a:latin typeface="Quattrocento Sans"/>
        <a:ea typeface="Quattrocento Sans"/>
        <a:cs typeface="Quattrocento Sans"/>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3C47D"/>
  </sheetPr>
  <dimension ref="A1:AN80"/>
  <sheetViews>
    <sheetView tabSelected="1" topLeftCell="B1" workbookViewId="0">
      <pane ySplit="1" topLeftCell="A58" activePane="bottomLeft" state="frozen"/>
      <selection pane="bottomLeft" activeCell="D63" sqref="D63"/>
    </sheetView>
  </sheetViews>
  <sheetFormatPr baseColWidth="10" defaultColWidth="11.21875" defaultRowHeight="15" customHeight="1"/>
  <cols>
    <col min="1" max="1" width="8.109375" customWidth="1"/>
    <col min="2" max="2" width="6.6640625" customWidth="1"/>
    <col min="3" max="3" width="20.33203125" customWidth="1"/>
    <col min="4" max="4" width="63.5546875" customWidth="1"/>
    <col min="5" max="5" width="19.5546875" hidden="1" customWidth="1"/>
    <col min="6" max="6" width="13.5546875" customWidth="1"/>
    <col min="7" max="7" width="10.6640625" customWidth="1"/>
    <col min="8" max="8" width="10.33203125" customWidth="1"/>
    <col min="9" max="11" width="9.21875" customWidth="1"/>
    <col min="12" max="12" width="12.33203125" customWidth="1"/>
    <col min="13" max="13" width="8.109375" customWidth="1"/>
    <col min="14" max="14" width="11.77734375" customWidth="1"/>
    <col min="15" max="15" width="9.21875" customWidth="1"/>
    <col min="16" max="16" width="11.77734375" customWidth="1"/>
    <col min="17" max="17" width="33.44140625" customWidth="1"/>
    <col min="18" max="18" width="8" customWidth="1"/>
    <col min="19" max="40" width="10.5546875" customWidth="1"/>
  </cols>
  <sheetData>
    <row r="1" spans="1:40" ht="38.25">
      <c r="A1" s="1" t="s">
        <v>0</v>
      </c>
      <c r="B1" s="2" t="s">
        <v>1</v>
      </c>
      <c r="C1" s="3" t="s">
        <v>2</v>
      </c>
      <c r="D1" s="4" t="s">
        <v>3</v>
      </c>
      <c r="E1" s="5" t="s">
        <v>4</v>
      </c>
      <c r="F1" s="6" t="s">
        <v>5</v>
      </c>
      <c r="G1" s="7" t="s">
        <v>6</v>
      </c>
      <c r="H1" s="8" t="s">
        <v>7</v>
      </c>
      <c r="I1" s="9" t="s">
        <v>8</v>
      </c>
      <c r="J1" s="9" t="s">
        <v>9</v>
      </c>
      <c r="K1" s="10" t="s">
        <v>10</v>
      </c>
      <c r="L1" s="10" t="s">
        <v>11</v>
      </c>
      <c r="M1" s="11" t="s">
        <v>12</v>
      </c>
      <c r="N1" s="12" t="s">
        <v>13</v>
      </c>
      <c r="O1" s="13" t="s">
        <v>14</v>
      </c>
      <c r="P1" s="13" t="s">
        <v>15</v>
      </c>
      <c r="Q1" s="14" t="s">
        <v>16</v>
      </c>
      <c r="R1" s="15" t="s">
        <v>17</v>
      </c>
      <c r="S1" s="4"/>
      <c r="T1" s="4"/>
      <c r="U1" s="4"/>
      <c r="V1" s="4"/>
      <c r="W1" s="16"/>
      <c r="X1" s="16"/>
      <c r="Y1" s="16"/>
      <c r="Z1" s="16"/>
      <c r="AA1" s="16"/>
      <c r="AB1" s="16"/>
      <c r="AC1" s="16"/>
      <c r="AD1" s="16"/>
      <c r="AE1" s="16"/>
      <c r="AF1" s="16"/>
      <c r="AG1" s="16"/>
      <c r="AH1" s="16"/>
      <c r="AI1" s="16"/>
      <c r="AJ1" s="16"/>
      <c r="AK1" s="16"/>
      <c r="AL1" s="16"/>
      <c r="AM1" s="16"/>
      <c r="AN1" s="16"/>
    </row>
    <row r="2" spans="1:40" ht="53.25" customHeight="1">
      <c r="A2" s="17" t="s">
        <v>18</v>
      </c>
      <c r="B2" s="18">
        <v>309</v>
      </c>
      <c r="C2" s="19" t="s">
        <v>19</v>
      </c>
      <c r="D2" s="20" t="s">
        <v>20</v>
      </c>
      <c r="E2" s="21"/>
      <c r="F2" s="22" t="s">
        <v>21</v>
      </c>
      <c r="G2" s="23">
        <v>100</v>
      </c>
      <c r="H2" s="24">
        <f>IF(OR(J2="",K2="",K2&lt;J2),0,NETWORKDAYS(J2,K2,Hoja2!$A$2:$A$53))</f>
        <v>14</v>
      </c>
      <c r="I2" s="25">
        <v>45835</v>
      </c>
      <c r="J2" s="25">
        <v>45841</v>
      </c>
      <c r="K2" s="26">
        <v>45860</v>
      </c>
      <c r="L2" s="26">
        <v>45860</v>
      </c>
      <c r="M2" s="27">
        <f ca="1">IF(OR(J2="",AND(L2="",TODAY()&lt;J2),AND(L2&lt;&gt;"",L2&lt;J2)),0,
   IF(L2="",
      NETWORKDAYS(J2,TODAY(),Hoja2!$A$2:$A$53),
      NETWORKDAYS(J2,L2,Hoja2!$A$2:$A$53)
   )
)</f>
        <v>14</v>
      </c>
      <c r="N2" s="28"/>
      <c r="O2" s="28">
        <v>45861</v>
      </c>
      <c r="P2" s="28">
        <v>45861</v>
      </c>
      <c r="Q2" s="29" t="s">
        <v>22</v>
      </c>
      <c r="R2" s="30" t="s">
        <v>23</v>
      </c>
      <c r="S2" s="31"/>
      <c r="T2" s="31"/>
      <c r="U2" s="31"/>
      <c r="V2" s="31"/>
      <c r="W2" s="31"/>
      <c r="X2" s="31"/>
      <c r="Y2" s="31"/>
      <c r="Z2" s="31"/>
      <c r="AA2" s="31"/>
      <c r="AB2" s="31"/>
      <c r="AC2" s="31"/>
      <c r="AD2" s="31"/>
      <c r="AE2" s="31"/>
      <c r="AF2" s="31"/>
      <c r="AG2" s="31"/>
      <c r="AH2" s="31"/>
      <c r="AI2" s="31"/>
      <c r="AJ2" s="31"/>
      <c r="AK2" s="31"/>
      <c r="AL2" s="31"/>
      <c r="AM2" s="31"/>
      <c r="AN2" s="31"/>
    </row>
    <row r="3" spans="1:40" ht="53.25" customHeight="1">
      <c r="A3" s="32" t="s">
        <v>18</v>
      </c>
      <c r="B3" s="33">
        <v>310</v>
      </c>
      <c r="C3" s="34" t="s">
        <v>24</v>
      </c>
      <c r="D3" s="35" t="s">
        <v>25</v>
      </c>
      <c r="E3" s="36"/>
      <c r="F3" s="37" t="s">
        <v>21</v>
      </c>
      <c r="G3" s="38">
        <v>100</v>
      </c>
      <c r="H3" s="39">
        <f>IF(OR(J3="",K3="",K3&lt;J3),0,NETWORKDAYS(J3,K3,Hoja2!$A$2:$A$53))</f>
        <v>3</v>
      </c>
      <c r="I3" s="40">
        <v>45835</v>
      </c>
      <c r="J3" s="40">
        <v>45839</v>
      </c>
      <c r="K3" s="41">
        <v>45841</v>
      </c>
      <c r="L3" s="41">
        <v>45841</v>
      </c>
      <c r="M3" s="42">
        <f ca="1">IF(OR(J3="",AND(L3="",TODAY()&lt;J3),AND(L3&lt;&gt;"",L3&lt;J3)),0,
   IF(L3="",
      NETWORKDAYS(J3,TODAY(),Hoja2!$A$2:$A$53),
      NETWORKDAYS(J3,L3,Hoja2!$A$2:$A$53)
   )
)</f>
        <v>3</v>
      </c>
      <c r="N3" s="43"/>
      <c r="O3" s="43">
        <v>45849</v>
      </c>
      <c r="P3" s="43">
        <v>45870</v>
      </c>
      <c r="Q3" s="44" t="s">
        <v>26</v>
      </c>
      <c r="R3" s="45" t="s">
        <v>23</v>
      </c>
      <c r="S3" s="46"/>
      <c r="T3" s="46"/>
      <c r="U3" s="46"/>
      <c r="V3" s="46"/>
      <c r="W3" s="46"/>
      <c r="X3" s="46"/>
      <c r="Y3" s="46"/>
      <c r="Z3" s="46"/>
      <c r="AA3" s="46"/>
      <c r="AB3" s="46"/>
      <c r="AC3" s="46"/>
      <c r="AD3" s="46"/>
      <c r="AE3" s="46"/>
      <c r="AF3" s="46"/>
      <c r="AG3" s="46"/>
      <c r="AH3" s="46"/>
      <c r="AI3" s="46"/>
      <c r="AJ3" s="46"/>
      <c r="AK3" s="46"/>
      <c r="AL3" s="46"/>
      <c r="AM3" s="46"/>
      <c r="AN3" s="46"/>
    </row>
    <row r="4" spans="1:40" ht="53.25" customHeight="1">
      <c r="A4" s="17" t="s">
        <v>18</v>
      </c>
      <c r="B4" s="18" t="s">
        <v>27</v>
      </c>
      <c r="C4" s="19" t="s">
        <v>28</v>
      </c>
      <c r="D4" s="20" t="s">
        <v>29</v>
      </c>
      <c r="E4" s="21"/>
      <c r="F4" s="22" t="s">
        <v>21</v>
      </c>
      <c r="G4" s="23">
        <v>100</v>
      </c>
      <c r="H4" s="24">
        <f>IF(OR(J4="",K4="",K4&lt;J4),0,NETWORKDAYS(J4,K4,Hoja2!$A$2:$A$53))</f>
        <v>0</v>
      </c>
      <c r="I4" s="25">
        <v>45835</v>
      </c>
      <c r="J4" s="25">
        <v>45870</v>
      </c>
      <c r="K4" s="26">
        <v>45853</v>
      </c>
      <c r="L4" s="26">
        <v>45870</v>
      </c>
      <c r="M4" s="27">
        <f ca="1">IF(OR(J4="",AND(L4="",TODAY()&lt;J4),AND(L4&lt;&gt;"",L4&lt;J4)),0,
   IF(L4="",
      NETWORKDAYS(J4,TODAY(),Hoja2!$A$2:$A$53),
      NETWORKDAYS(J4,L4,Hoja2!$A$2:$A$53)
   )
)</f>
        <v>1</v>
      </c>
      <c r="N4" s="28"/>
      <c r="O4" s="28">
        <v>45870</v>
      </c>
      <c r="P4" s="28">
        <v>45870</v>
      </c>
      <c r="Q4" s="29" t="s">
        <v>30</v>
      </c>
      <c r="R4" s="30" t="s">
        <v>23</v>
      </c>
      <c r="S4" s="31"/>
      <c r="T4" s="31"/>
      <c r="U4" s="31"/>
      <c r="V4" s="31"/>
      <c r="W4" s="31"/>
      <c r="X4" s="31"/>
      <c r="Y4" s="31"/>
      <c r="Z4" s="31"/>
      <c r="AA4" s="31"/>
      <c r="AB4" s="31"/>
      <c r="AC4" s="31"/>
      <c r="AD4" s="31"/>
      <c r="AE4" s="31"/>
      <c r="AF4" s="31"/>
      <c r="AG4" s="31"/>
      <c r="AH4" s="31"/>
      <c r="AI4" s="31"/>
      <c r="AJ4" s="31"/>
      <c r="AK4" s="31"/>
      <c r="AL4" s="31"/>
      <c r="AM4" s="31"/>
      <c r="AN4" s="31"/>
    </row>
    <row r="5" spans="1:40" ht="53.25" customHeight="1">
      <c r="A5" s="32" t="s">
        <v>18</v>
      </c>
      <c r="B5" s="33">
        <v>306</v>
      </c>
      <c r="C5" s="34" t="s">
        <v>31</v>
      </c>
      <c r="D5" s="35" t="s">
        <v>32</v>
      </c>
      <c r="E5" s="36"/>
      <c r="F5" s="37" t="s">
        <v>21</v>
      </c>
      <c r="G5" s="38">
        <v>100</v>
      </c>
      <c r="H5" s="39">
        <f>IF(OR(J5="",K5="",K5&lt;J5),0,NETWORKDAYS(J5,K5,Hoja2!$A$2:$A$53))</f>
        <v>3</v>
      </c>
      <c r="I5" s="40">
        <v>45804</v>
      </c>
      <c r="J5" s="40">
        <v>45877</v>
      </c>
      <c r="K5" s="41">
        <v>45881</v>
      </c>
      <c r="L5" s="41">
        <v>45881</v>
      </c>
      <c r="M5" s="42">
        <f ca="1">IF(OR(J5="",AND(L5="",TODAY()&lt;J5),AND(L5&lt;&gt;"",L5&lt;J5)),0,
   IF(L5="",
      NETWORKDAYS(J5,TODAY(),Hoja2!$A$2:$A$53),
      NETWORKDAYS(J5,L5,Hoja2!$A$2:$A$53)
   )
)</f>
        <v>3</v>
      </c>
      <c r="N5" s="43"/>
      <c r="O5" s="43">
        <v>45881</v>
      </c>
      <c r="P5" s="43">
        <v>45968</v>
      </c>
      <c r="Q5" s="44" t="s">
        <v>33</v>
      </c>
      <c r="R5" s="45" t="s">
        <v>23</v>
      </c>
      <c r="S5" s="46"/>
      <c r="T5" s="46"/>
      <c r="U5" s="46"/>
      <c r="V5" s="46"/>
      <c r="W5" s="46"/>
      <c r="X5" s="46"/>
      <c r="Y5" s="46"/>
      <c r="Z5" s="46"/>
      <c r="AA5" s="46"/>
      <c r="AB5" s="46"/>
      <c r="AC5" s="46"/>
      <c r="AD5" s="46"/>
      <c r="AE5" s="46"/>
      <c r="AF5" s="46"/>
      <c r="AG5" s="46"/>
      <c r="AH5" s="46"/>
      <c r="AI5" s="46"/>
      <c r="AJ5" s="46"/>
      <c r="AK5" s="46"/>
      <c r="AL5" s="46"/>
      <c r="AM5" s="46"/>
      <c r="AN5" s="46"/>
    </row>
    <row r="6" spans="1:40" ht="53.25" customHeight="1">
      <c r="A6" s="17" t="s">
        <v>18</v>
      </c>
      <c r="B6" s="18">
        <v>302</v>
      </c>
      <c r="C6" s="19" t="s">
        <v>34</v>
      </c>
      <c r="D6" s="20" t="s">
        <v>35</v>
      </c>
      <c r="E6" s="21"/>
      <c r="F6" s="22" t="s">
        <v>21</v>
      </c>
      <c r="G6" s="23">
        <v>100</v>
      </c>
      <c r="H6" s="24">
        <f>IF(OR(J6="",K6="",K6&lt;J6),0,NETWORKDAYS(J6,K6,Hoja2!$A$2:$A$53))</f>
        <v>1</v>
      </c>
      <c r="I6" s="25">
        <v>45798</v>
      </c>
      <c r="J6" s="25">
        <v>45898</v>
      </c>
      <c r="K6" s="26">
        <v>45898</v>
      </c>
      <c r="L6" s="26">
        <v>45898</v>
      </c>
      <c r="M6" s="27">
        <f ca="1">IF(OR(J6="",AND(L6="",TODAY()&lt;J6),AND(L6&lt;&gt;"",L6&lt;J6)),0,
   IF(L6="",
      NETWORKDAYS(J6,TODAY(),Hoja2!$A$2:$A$53),
      NETWORKDAYS(J6,L6,Hoja2!$A$2:$A$53)
   )
)</f>
        <v>1</v>
      </c>
      <c r="N6" s="28"/>
      <c r="O6" s="28">
        <v>45898</v>
      </c>
      <c r="P6" s="28">
        <v>45898</v>
      </c>
      <c r="Q6" s="29" t="s">
        <v>36</v>
      </c>
      <c r="R6" s="30" t="s">
        <v>23</v>
      </c>
      <c r="S6" s="31"/>
      <c r="T6" s="31"/>
      <c r="U6" s="31"/>
      <c r="V6" s="31"/>
      <c r="W6" s="31"/>
      <c r="X6" s="31"/>
      <c r="Y6" s="31"/>
      <c r="Z6" s="31"/>
      <c r="AA6" s="31"/>
      <c r="AB6" s="31"/>
      <c r="AC6" s="31"/>
      <c r="AD6" s="31"/>
      <c r="AE6" s="31"/>
      <c r="AF6" s="31"/>
      <c r="AG6" s="31"/>
      <c r="AH6" s="31"/>
      <c r="AI6" s="31"/>
      <c r="AJ6" s="31"/>
      <c r="AK6" s="31"/>
      <c r="AL6" s="31"/>
      <c r="AM6" s="31"/>
      <c r="AN6" s="31"/>
    </row>
    <row r="7" spans="1:40" ht="53.25" customHeight="1">
      <c r="A7" s="32" t="s">
        <v>37</v>
      </c>
      <c r="B7" s="33">
        <v>293</v>
      </c>
      <c r="C7" s="34" t="s">
        <v>38</v>
      </c>
      <c r="D7" s="35" t="s">
        <v>39</v>
      </c>
      <c r="E7" s="36"/>
      <c r="F7" s="37" t="s">
        <v>21</v>
      </c>
      <c r="G7" s="38">
        <v>100</v>
      </c>
      <c r="H7" s="39">
        <f>IF(OR(J7="",K7="",K7&lt;J7),0,NETWORKDAYS(J7,K7,Hoja2!$A$2:$A$53))</f>
        <v>26</v>
      </c>
      <c r="I7" s="40">
        <v>45925</v>
      </c>
      <c r="J7" s="40">
        <v>45931</v>
      </c>
      <c r="K7" s="41">
        <v>45968</v>
      </c>
      <c r="L7" s="41">
        <v>45937</v>
      </c>
      <c r="M7" s="42">
        <f ca="1">IF(OR(J7="",AND(L7="",TODAY()&lt;J7),AND(L7&lt;&gt;"",L7&lt;J7)),0,
   IF(L7="",
      NETWORKDAYS(J7,TODAY(),Hoja2!$A$2:$A$53),
      NETWORKDAYS(J7,L7,Hoja2!$A$2:$A$53)
   )
)</f>
        <v>5</v>
      </c>
      <c r="N7" s="43"/>
      <c r="O7" s="41">
        <v>45937</v>
      </c>
      <c r="P7" s="41">
        <v>45937</v>
      </c>
      <c r="Q7" s="44" t="s">
        <v>40</v>
      </c>
      <c r="R7" s="45" t="s">
        <v>23</v>
      </c>
      <c r="S7" s="47"/>
      <c r="T7" s="46"/>
      <c r="U7" s="46"/>
      <c r="V7" s="46"/>
      <c r="W7" s="46"/>
      <c r="X7" s="46"/>
      <c r="Y7" s="46"/>
      <c r="Z7" s="46"/>
      <c r="AA7" s="46"/>
      <c r="AB7" s="46"/>
      <c r="AC7" s="46"/>
      <c r="AD7" s="46"/>
      <c r="AE7" s="46"/>
      <c r="AF7" s="46"/>
      <c r="AG7" s="46"/>
      <c r="AH7" s="46"/>
      <c r="AI7" s="46"/>
      <c r="AJ7" s="46"/>
      <c r="AK7" s="46"/>
      <c r="AL7" s="46"/>
      <c r="AM7" s="46"/>
      <c r="AN7" s="46"/>
    </row>
    <row r="8" spans="1:40" ht="53.25" customHeight="1">
      <c r="A8" s="17" t="s">
        <v>18</v>
      </c>
      <c r="B8" s="18">
        <v>305</v>
      </c>
      <c r="C8" s="19" t="s">
        <v>41</v>
      </c>
      <c r="D8" s="20" t="s">
        <v>42</v>
      </c>
      <c r="E8" s="21"/>
      <c r="F8" s="22" t="s">
        <v>21</v>
      </c>
      <c r="G8" s="23">
        <v>100</v>
      </c>
      <c r="H8" s="24">
        <f>IF(OR(J8="",K8="",K8&lt;J8),0,NETWORKDAYS(J8,K8,Hoja2!$A$2:$A$53))</f>
        <v>1</v>
      </c>
      <c r="I8" s="25">
        <v>45832</v>
      </c>
      <c r="J8" s="25">
        <v>45876</v>
      </c>
      <c r="K8" s="26">
        <v>45877</v>
      </c>
      <c r="L8" s="26">
        <v>45877</v>
      </c>
      <c r="M8" s="27">
        <f ca="1">IF(OR(J8="",AND(L8="",TODAY()&lt;J8),AND(L8&lt;&gt;"",L8&lt;J8)),0,
   IF(L8="",
      NETWORKDAYS(J8,TODAY(),Hoja2!$A$2:$A$53),
      NETWORKDAYS(J8,L8,Hoja2!$A$2:$A$53)
   )
)</f>
        <v>1</v>
      </c>
      <c r="N8" s="28"/>
      <c r="O8" s="28">
        <v>45877</v>
      </c>
      <c r="P8" s="28"/>
      <c r="Q8" s="29" t="s">
        <v>43</v>
      </c>
      <c r="R8" s="30" t="s">
        <v>23</v>
      </c>
      <c r="S8" s="31"/>
      <c r="T8" s="31"/>
      <c r="U8" s="31"/>
      <c r="V8" s="31"/>
      <c r="W8" s="31"/>
      <c r="X8" s="31"/>
      <c r="Y8" s="31"/>
      <c r="Z8" s="31"/>
      <c r="AA8" s="31"/>
      <c r="AB8" s="31"/>
      <c r="AC8" s="31"/>
      <c r="AD8" s="31"/>
      <c r="AE8" s="31"/>
      <c r="AF8" s="31"/>
      <c r="AG8" s="31"/>
      <c r="AH8" s="31"/>
      <c r="AI8" s="31"/>
      <c r="AJ8" s="31"/>
      <c r="AK8" s="31"/>
      <c r="AL8" s="31"/>
      <c r="AM8" s="31"/>
      <c r="AN8" s="31"/>
    </row>
    <row r="9" spans="1:40" ht="53.25" customHeight="1">
      <c r="A9" s="32" t="s">
        <v>18</v>
      </c>
      <c r="B9" s="33">
        <v>304</v>
      </c>
      <c r="C9" s="34" t="s">
        <v>44</v>
      </c>
      <c r="D9" s="35" t="s">
        <v>45</v>
      </c>
      <c r="E9" s="36"/>
      <c r="F9" s="37" t="s">
        <v>21</v>
      </c>
      <c r="G9" s="38">
        <v>100</v>
      </c>
      <c r="H9" s="39">
        <f>IF(OR(J9="",K9="",K9&lt;J9),0,NETWORKDAYS(J9,K9,Hoja2!$A$2:$A$53))</f>
        <v>2</v>
      </c>
      <c r="I9" s="40">
        <v>45804</v>
      </c>
      <c r="J9" s="40">
        <v>45804</v>
      </c>
      <c r="K9" s="41">
        <v>45805</v>
      </c>
      <c r="L9" s="41">
        <v>45805</v>
      </c>
      <c r="M9" s="42">
        <f ca="1">IF(OR(J9="",AND(L9="",TODAY()&lt;J9),AND(L9&lt;&gt;"",L9&lt;J9)),0,
   IF(L9="",
      NETWORKDAYS(J9,TODAY(),Hoja2!$A$2:$A$53),
      NETWORKDAYS(J9,L9,Hoja2!$A$2:$A$53)
   )
)</f>
        <v>2</v>
      </c>
      <c r="N9" s="43"/>
      <c r="O9" s="43"/>
      <c r="P9" s="43">
        <v>45805</v>
      </c>
      <c r="Q9" s="44" t="s">
        <v>46</v>
      </c>
      <c r="R9" s="45" t="s">
        <v>23</v>
      </c>
      <c r="S9" s="46"/>
      <c r="T9" s="46"/>
      <c r="U9" s="46"/>
      <c r="V9" s="46"/>
      <c r="W9" s="46"/>
      <c r="X9" s="46"/>
      <c r="Y9" s="46"/>
      <c r="Z9" s="46"/>
      <c r="AA9" s="46"/>
      <c r="AB9" s="46"/>
      <c r="AC9" s="46"/>
      <c r="AD9" s="46"/>
      <c r="AE9" s="46"/>
      <c r="AF9" s="46"/>
      <c r="AG9" s="46"/>
      <c r="AH9" s="46"/>
      <c r="AI9" s="46"/>
      <c r="AJ9" s="46"/>
      <c r="AK9" s="46"/>
      <c r="AL9" s="46"/>
      <c r="AM9" s="46"/>
      <c r="AN9" s="46"/>
    </row>
    <row r="10" spans="1:40" ht="53.25" customHeight="1">
      <c r="A10" s="17" t="s">
        <v>18</v>
      </c>
      <c r="B10" s="18" t="s">
        <v>47</v>
      </c>
      <c r="C10" s="19" t="s">
        <v>48</v>
      </c>
      <c r="D10" s="20" t="s">
        <v>49</v>
      </c>
      <c r="E10" s="21"/>
      <c r="F10" s="22" t="s">
        <v>21</v>
      </c>
      <c r="G10" s="23">
        <v>100</v>
      </c>
      <c r="H10" s="24">
        <f>IF(OR(J10="",K10="",K10&lt;J10),0,NETWORKDAYS(J10,K10,Hoja2!$A$2:$A$53))</f>
        <v>9</v>
      </c>
      <c r="I10" s="25">
        <v>45804</v>
      </c>
      <c r="J10" s="25">
        <v>45873</v>
      </c>
      <c r="K10" s="26">
        <v>45884</v>
      </c>
      <c r="L10" s="26">
        <v>45884</v>
      </c>
      <c r="M10" s="27">
        <f ca="1">IF(OR(J10="",AND(L10="",TODAY()&lt;J10),AND(L10&lt;&gt;"",L10&lt;J10)),0,
   IF(L10="",
      NETWORKDAYS(J10,TODAY(),Hoja2!$A$2:$A$53),
      NETWORKDAYS(J10,L10,Hoja2!$A$2:$A$53)
   )
)</f>
        <v>9</v>
      </c>
      <c r="N10" s="28"/>
      <c r="O10" s="28">
        <v>45884</v>
      </c>
      <c r="P10" s="28">
        <v>45890</v>
      </c>
      <c r="Q10" s="29" t="s">
        <v>50</v>
      </c>
      <c r="R10" s="30" t="s">
        <v>23</v>
      </c>
      <c r="S10" s="31"/>
      <c r="T10" s="31"/>
      <c r="U10" s="31"/>
      <c r="V10" s="31"/>
      <c r="W10" s="31"/>
      <c r="X10" s="31"/>
      <c r="Y10" s="31"/>
      <c r="Z10" s="31"/>
      <c r="AA10" s="31"/>
      <c r="AB10" s="31"/>
      <c r="AC10" s="31"/>
      <c r="AD10" s="31"/>
      <c r="AE10" s="31"/>
      <c r="AF10" s="31"/>
      <c r="AG10" s="31"/>
      <c r="AH10" s="31"/>
      <c r="AI10" s="31"/>
      <c r="AJ10" s="31"/>
      <c r="AK10" s="31"/>
      <c r="AL10" s="31"/>
      <c r="AM10" s="31"/>
      <c r="AN10" s="31"/>
    </row>
    <row r="11" spans="1:40" ht="42.75">
      <c r="A11" s="32" t="s">
        <v>18</v>
      </c>
      <c r="B11" s="33" t="s">
        <v>51</v>
      </c>
      <c r="C11" s="34" t="s">
        <v>52</v>
      </c>
      <c r="D11" s="35" t="s">
        <v>53</v>
      </c>
      <c r="E11" s="36"/>
      <c r="F11" s="37" t="s">
        <v>21</v>
      </c>
      <c r="G11" s="38">
        <v>100</v>
      </c>
      <c r="H11" s="39">
        <f>IF(OR(J11="",K11="",K11&lt;J11),0,NETWORKDAYS(J11,K11,Hoja2!$A$2:$A$53))</f>
        <v>4</v>
      </c>
      <c r="I11" s="40">
        <v>45800</v>
      </c>
      <c r="J11" s="40">
        <v>45800</v>
      </c>
      <c r="K11" s="43">
        <v>45805</v>
      </c>
      <c r="L11" s="43">
        <v>45805</v>
      </c>
      <c r="M11" s="42">
        <f ca="1">IF(OR(J11="",AND(L11="",TODAY()&lt;J11),AND(L11&lt;&gt;"",L11&lt;J11)),0,
   IF(L11="",
      NETWORKDAYS(J11,TODAY(),Hoja2!$A$2:$A$53),
      NETWORKDAYS(J11,L11,Hoja2!$A$2:$A$53)
   )
)</f>
        <v>4</v>
      </c>
      <c r="N11" s="43"/>
      <c r="O11" s="43">
        <v>45805</v>
      </c>
      <c r="P11" s="43">
        <v>45807</v>
      </c>
      <c r="Q11" s="44" t="s">
        <v>54</v>
      </c>
      <c r="R11" s="45" t="s">
        <v>23</v>
      </c>
      <c r="S11" s="46"/>
      <c r="T11" s="46"/>
      <c r="U11" s="46"/>
      <c r="V11" s="46"/>
      <c r="W11" s="46"/>
      <c r="X11" s="46"/>
      <c r="Y11" s="46"/>
      <c r="Z11" s="46"/>
      <c r="AA11" s="46"/>
      <c r="AB11" s="46"/>
      <c r="AC11" s="46"/>
      <c r="AD11" s="46"/>
      <c r="AE11" s="46"/>
      <c r="AF11" s="46"/>
      <c r="AG11" s="46"/>
      <c r="AH11" s="46"/>
      <c r="AI11" s="46"/>
      <c r="AJ11" s="46"/>
      <c r="AK11" s="46"/>
      <c r="AL11" s="46"/>
      <c r="AM11" s="46"/>
      <c r="AN11" s="46"/>
    </row>
    <row r="12" spans="1:40" ht="57">
      <c r="A12" s="17" t="s">
        <v>37</v>
      </c>
      <c r="B12" s="18" t="s">
        <v>55</v>
      </c>
      <c r="C12" s="19" t="s">
        <v>56</v>
      </c>
      <c r="D12" s="20" t="s">
        <v>57</v>
      </c>
      <c r="E12" s="21"/>
      <c r="F12" s="22" t="s">
        <v>21</v>
      </c>
      <c r="G12" s="23">
        <v>100</v>
      </c>
      <c r="H12" s="24">
        <f>IF(OR(J12="",K12="",K12&lt;J12),0,NETWORKDAYS(J12,K12,Hoja2!$A$2:$A$53))</f>
        <v>5</v>
      </c>
      <c r="I12" s="25">
        <v>45826</v>
      </c>
      <c r="J12" s="25">
        <v>45826</v>
      </c>
      <c r="K12" s="26">
        <v>45833</v>
      </c>
      <c r="L12" s="26">
        <v>45833</v>
      </c>
      <c r="M12" s="27">
        <f ca="1">IF(OR(J12="",AND(L12="",TODAY()&lt;J12),AND(L12&lt;&gt;"",L12&lt;J12)),0,
   IF(L12="",
      NETWORKDAYS(J12,TODAY(),Hoja2!$A$2:$A$53),
      NETWORKDAYS(J12,L12,Hoja2!$A$2:$A$53)
   )
)</f>
        <v>5</v>
      </c>
      <c r="N12" s="28"/>
      <c r="O12" s="28">
        <v>45833</v>
      </c>
      <c r="P12" s="28">
        <v>45835</v>
      </c>
      <c r="Q12" s="29" t="s">
        <v>58</v>
      </c>
      <c r="R12" s="30" t="s">
        <v>23</v>
      </c>
      <c r="S12" s="31"/>
      <c r="T12" s="31"/>
      <c r="U12" s="31"/>
      <c r="V12" s="31"/>
      <c r="W12" s="31"/>
      <c r="X12" s="31"/>
      <c r="Y12" s="31"/>
      <c r="Z12" s="31"/>
      <c r="AA12" s="31"/>
      <c r="AB12" s="31"/>
      <c r="AC12" s="31"/>
      <c r="AD12" s="31"/>
      <c r="AE12" s="31"/>
      <c r="AF12" s="31"/>
      <c r="AG12" s="31"/>
      <c r="AH12" s="31"/>
      <c r="AI12" s="31"/>
      <c r="AJ12" s="31"/>
      <c r="AK12" s="31"/>
      <c r="AL12" s="31"/>
      <c r="AM12" s="31"/>
      <c r="AN12" s="31"/>
    </row>
    <row r="13" spans="1:40" ht="57">
      <c r="A13" s="32" t="s">
        <v>37</v>
      </c>
      <c r="B13" s="33" t="s">
        <v>59</v>
      </c>
      <c r="C13" s="34" t="s">
        <v>60</v>
      </c>
      <c r="D13" s="35" t="s">
        <v>61</v>
      </c>
      <c r="E13" s="36"/>
      <c r="F13" s="37" t="s">
        <v>21</v>
      </c>
      <c r="G13" s="38">
        <v>100</v>
      </c>
      <c r="H13" s="39">
        <f>IF(OR(J13="",K13="",K13&lt;J13),0,NETWORKDAYS(J13,K13,Hoja2!$A$2:$A$53))</f>
        <v>2</v>
      </c>
      <c r="I13" s="40">
        <v>45835</v>
      </c>
      <c r="J13" s="40">
        <v>45845</v>
      </c>
      <c r="K13" s="41">
        <v>45846</v>
      </c>
      <c r="L13" s="41">
        <v>45846</v>
      </c>
      <c r="M13" s="42">
        <f ca="1">IF(OR(J13="",AND(L13="",TODAY()&lt;J13),AND(L13&lt;&gt;"",L13&lt;J13)),0,
   IF(L13="",
      NETWORKDAYS(J13,TODAY(),Hoja2!$A$2:$A$53),
      NETWORKDAYS(J13,L13,Hoja2!$A$2:$A$53)
   )
)</f>
        <v>2</v>
      </c>
      <c r="N13" s="43"/>
      <c r="O13" s="43">
        <v>45847</v>
      </c>
      <c r="P13" s="43">
        <v>45849</v>
      </c>
      <c r="Q13" s="44" t="s">
        <v>62</v>
      </c>
      <c r="R13" s="45" t="s">
        <v>23</v>
      </c>
      <c r="S13" s="46"/>
      <c r="T13" s="46"/>
      <c r="U13" s="46"/>
      <c r="V13" s="46"/>
      <c r="W13" s="46"/>
      <c r="X13" s="46"/>
      <c r="Y13" s="46"/>
      <c r="Z13" s="46"/>
      <c r="AA13" s="46"/>
      <c r="AB13" s="46"/>
      <c r="AC13" s="46"/>
      <c r="AD13" s="46"/>
      <c r="AE13" s="46"/>
      <c r="AF13" s="46"/>
      <c r="AG13" s="46"/>
      <c r="AH13" s="46"/>
      <c r="AI13" s="46"/>
      <c r="AJ13" s="46"/>
      <c r="AK13" s="46"/>
      <c r="AL13" s="46"/>
      <c r="AM13" s="46"/>
      <c r="AN13" s="46"/>
    </row>
    <row r="14" spans="1:40" ht="28.5">
      <c r="A14" s="17" t="s">
        <v>37</v>
      </c>
      <c r="B14" s="18" t="s">
        <v>63</v>
      </c>
      <c r="C14" s="19" t="s">
        <v>64</v>
      </c>
      <c r="D14" s="20" t="s">
        <v>65</v>
      </c>
      <c r="E14" s="21"/>
      <c r="F14" s="22" t="s">
        <v>21</v>
      </c>
      <c r="G14" s="23">
        <v>100</v>
      </c>
      <c r="H14" s="24">
        <f>IF(OR(J14="",K14="",K14&lt;J14),0,NETWORKDAYS(J14,K14,Hoja2!$A$2:$A$53))</f>
        <v>5</v>
      </c>
      <c r="I14" s="25">
        <v>45847</v>
      </c>
      <c r="J14" s="25">
        <v>45852</v>
      </c>
      <c r="K14" s="26">
        <v>45856</v>
      </c>
      <c r="L14" s="26">
        <v>45856</v>
      </c>
      <c r="M14" s="27">
        <f ca="1">IF(OR(J14="",AND(L14="",TODAY()&lt;J14),AND(L14&lt;&gt;"",L14&lt;J14)),0,
   IF(L14="",
      NETWORKDAYS(J14,TODAY(),Hoja2!$A$2:$A$53),
      NETWORKDAYS(J14,L14,Hoja2!$A$2:$A$53)
   )
)</f>
        <v>5</v>
      </c>
      <c r="N14" s="28"/>
      <c r="O14" s="28">
        <v>45856</v>
      </c>
      <c r="P14" s="28">
        <v>45859</v>
      </c>
      <c r="Q14" s="29" t="s">
        <v>66</v>
      </c>
      <c r="R14" s="30" t="s">
        <v>23</v>
      </c>
      <c r="S14" s="31"/>
      <c r="T14" s="31"/>
      <c r="U14" s="31"/>
      <c r="V14" s="31"/>
      <c r="W14" s="31"/>
      <c r="X14" s="31"/>
      <c r="Y14" s="31"/>
      <c r="Z14" s="31"/>
      <c r="AA14" s="31"/>
      <c r="AB14" s="31"/>
      <c r="AC14" s="31"/>
      <c r="AD14" s="31"/>
      <c r="AE14" s="31"/>
      <c r="AF14" s="31"/>
      <c r="AG14" s="31"/>
      <c r="AH14" s="31"/>
      <c r="AI14" s="31"/>
      <c r="AJ14" s="31"/>
      <c r="AK14" s="31"/>
      <c r="AL14" s="31"/>
      <c r="AM14" s="31"/>
      <c r="AN14" s="31"/>
    </row>
    <row r="15" spans="1:40" ht="57">
      <c r="A15" s="32" t="s">
        <v>18</v>
      </c>
      <c r="B15" s="33" t="s">
        <v>67</v>
      </c>
      <c r="C15" s="34" t="s">
        <v>68</v>
      </c>
      <c r="D15" s="35" t="s">
        <v>69</v>
      </c>
      <c r="E15" s="36"/>
      <c r="F15" s="37" t="s">
        <v>21</v>
      </c>
      <c r="G15" s="38">
        <v>100</v>
      </c>
      <c r="H15" s="39">
        <f>IF(OR(J15="",K15="",K15&lt;J15),0,NETWORKDAYS(J15,K15,Hoja2!$A$2:$A$53))</f>
        <v>10</v>
      </c>
      <c r="I15" s="40">
        <v>45814</v>
      </c>
      <c r="J15" s="40">
        <v>45814</v>
      </c>
      <c r="K15" s="43">
        <v>45827</v>
      </c>
      <c r="L15" s="43">
        <v>45821</v>
      </c>
      <c r="M15" s="42">
        <f ca="1">IF(OR(J15="",AND(L15="",TODAY()&lt;J15),AND(L15&lt;&gt;"",L15&lt;J15)),0,
   IF(L15="",
      NETWORKDAYS(J15,TODAY(),Hoja2!$A$2:$A$53),
      NETWORKDAYS(J15,L15,Hoja2!$A$2:$A$53)
   )
)</f>
        <v>6</v>
      </c>
      <c r="N15" s="43"/>
      <c r="O15" s="43">
        <v>45821</v>
      </c>
      <c r="P15" s="43">
        <v>45827</v>
      </c>
      <c r="Q15" s="44" t="s">
        <v>70</v>
      </c>
      <c r="R15" s="45" t="s">
        <v>23</v>
      </c>
      <c r="S15" s="46"/>
      <c r="T15" s="46"/>
      <c r="U15" s="46"/>
      <c r="V15" s="46"/>
      <c r="W15" s="46"/>
      <c r="X15" s="46"/>
      <c r="Y15" s="46"/>
      <c r="Z15" s="46"/>
      <c r="AA15" s="46"/>
      <c r="AB15" s="46"/>
      <c r="AC15" s="46"/>
      <c r="AD15" s="46"/>
      <c r="AE15" s="46"/>
      <c r="AF15" s="46"/>
      <c r="AG15" s="46"/>
      <c r="AH15" s="46"/>
      <c r="AI15" s="46"/>
      <c r="AJ15" s="46"/>
      <c r="AK15" s="46"/>
      <c r="AL15" s="46"/>
      <c r="AM15" s="46"/>
      <c r="AN15" s="46"/>
    </row>
    <row r="16" spans="1:40" ht="51">
      <c r="A16" s="17" t="s">
        <v>18</v>
      </c>
      <c r="B16" s="18" t="s">
        <v>71</v>
      </c>
      <c r="C16" s="19" t="s">
        <v>72</v>
      </c>
      <c r="D16" s="20" t="s">
        <v>73</v>
      </c>
      <c r="E16" s="21"/>
      <c r="F16" s="22" t="s">
        <v>21</v>
      </c>
      <c r="G16" s="23">
        <v>100</v>
      </c>
      <c r="H16" s="24">
        <f>IF(OR(J16="",K16="",K16&lt;J16),0,NETWORKDAYS(J16,K16,Hoja2!$A$2:$A$53))</f>
        <v>15</v>
      </c>
      <c r="I16" s="25">
        <v>45814</v>
      </c>
      <c r="J16" s="25">
        <v>45814</v>
      </c>
      <c r="K16" s="26">
        <v>45835</v>
      </c>
      <c r="L16" s="26">
        <v>45835</v>
      </c>
      <c r="M16" s="27">
        <f ca="1">IF(OR(J16="",AND(L16="",TODAY()&lt;J16),AND(L16&lt;&gt;"",L16&lt;J16)),0,
   IF(L16="",
      NETWORKDAYS(J16,TODAY(),Hoja2!$A$2:$A$53),
      NETWORKDAYS(J16,L16,Hoja2!$A$2:$A$53)
   )
)</f>
        <v>15</v>
      </c>
      <c r="N16" s="28"/>
      <c r="O16" s="28">
        <v>45835</v>
      </c>
      <c r="P16" s="28">
        <v>45847</v>
      </c>
      <c r="Q16" s="29" t="s">
        <v>74</v>
      </c>
      <c r="R16" s="30" t="s">
        <v>23</v>
      </c>
      <c r="S16" s="31"/>
      <c r="T16" s="31"/>
      <c r="U16" s="31"/>
      <c r="V16" s="31"/>
      <c r="W16" s="31"/>
      <c r="X16" s="31"/>
      <c r="Y16" s="31"/>
      <c r="Z16" s="31"/>
      <c r="AA16" s="31"/>
      <c r="AB16" s="31"/>
      <c r="AC16" s="31"/>
      <c r="AD16" s="31"/>
      <c r="AE16" s="31"/>
      <c r="AF16" s="31"/>
      <c r="AG16" s="31"/>
      <c r="AH16" s="31"/>
      <c r="AI16" s="31"/>
      <c r="AJ16" s="31"/>
      <c r="AK16" s="31"/>
      <c r="AL16" s="31"/>
      <c r="AM16" s="31"/>
      <c r="AN16" s="31"/>
    </row>
    <row r="17" spans="1:40" ht="42.75">
      <c r="A17" s="32" t="s">
        <v>18</v>
      </c>
      <c r="B17" s="33" t="s">
        <v>75</v>
      </c>
      <c r="C17" s="34" t="s">
        <v>76</v>
      </c>
      <c r="D17" s="35" t="s">
        <v>77</v>
      </c>
      <c r="E17" s="36"/>
      <c r="F17" s="37" t="s">
        <v>21</v>
      </c>
      <c r="G17" s="38">
        <v>100</v>
      </c>
      <c r="H17" s="39">
        <f>IF(OR(J17="",K17="",K17&lt;J17),0,NETWORKDAYS(J17,K17,Hoja2!$A$2:$A$53))</f>
        <v>2</v>
      </c>
      <c r="I17" s="40">
        <v>45881</v>
      </c>
      <c r="J17" s="40">
        <v>45881</v>
      </c>
      <c r="K17" s="41">
        <v>45882</v>
      </c>
      <c r="L17" s="41">
        <v>45882</v>
      </c>
      <c r="M17" s="42">
        <f ca="1">IF(OR(J17="",AND(L17="",TODAY()&lt;J17),AND(L17&lt;&gt;"",L17&lt;J17)),0,
   IF(L17="",
      NETWORKDAYS(J17,TODAY(),Hoja2!$A$2:$A$53),
      NETWORKDAYS(J17,L17,Hoja2!$A$2:$A$53)
   )
)</f>
        <v>2</v>
      </c>
      <c r="N17" s="43"/>
      <c r="O17" s="43">
        <v>45882</v>
      </c>
      <c r="P17" s="43">
        <v>45896</v>
      </c>
      <c r="Q17" s="44" t="s">
        <v>78</v>
      </c>
      <c r="R17" s="45" t="s">
        <v>23</v>
      </c>
      <c r="S17" s="46"/>
      <c r="T17" s="46"/>
      <c r="U17" s="46"/>
      <c r="V17" s="46"/>
      <c r="W17" s="46"/>
      <c r="X17" s="46"/>
      <c r="Y17" s="46"/>
      <c r="Z17" s="46"/>
      <c r="AA17" s="46"/>
      <c r="AB17" s="46"/>
      <c r="AC17" s="46"/>
      <c r="AD17" s="46"/>
      <c r="AE17" s="46"/>
      <c r="AF17" s="46"/>
      <c r="AG17" s="46"/>
      <c r="AH17" s="46"/>
      <c r="AI17" s="46"/>
      <c r="AJ17" s="46"/>
      <c r="AK17" s="46"/>
      <c r="AL17" s="46"/>
      <c r="AM17" s="46"/>
      <c r="AN17" s="46"/>
    </row>
    <row r="18" spans="1:40" ht="306">
      <c r="A18" s="17" t="s">
        <v>18</v>
      </c>
      <c r="B18" s="18">
        <v>311</v>
      </c>
      <c r="C18" s="19" t="s">
        <v>79</v>
      </c>
      <c r="D18" s="20" t="s">
        <v>80</v>
      </c>
      <c r="E18" s="21"/>
      <c r="F18" s="22" t="s">
        <v>21</v>
      </c>
      <c r="G18" s="23">
        <v>100</v>
      </c>
      <c r="H18" s="24">
        <f>IF(OR(J18="",K18="",K18&lt;J18),0,NETWORKDAYS(J18,K18,Hoja2!$A$2:$A$53))</f>
        <v>3</v>
      </c>
      <c r="I18" s="25">
        <v>45870</v>
      </c>
      <c r="J18" s="25">
        <v>45874</v>
      </c>
      <c r="K18" s="26">
        <v>45877</v>
      </c>
      <c r="L18" s="26">
        <v>45877</v>
      </c>
      <c r="M18" s="27">
        <f ca="1">IF(OR(J18="",AND(L18="",TODAY()&lt;J18),AND(L18&lt;&gt;"",L18&lt;J18)),0,
   IF(L18="",
      NETWORKDAYS(J18,TODAY(),Hoja2!$A$2:$A$53),
      NETWORKDAYS(J18,L18,Hoja2!$A$2:$A$53)
   )
)</f>
        <v>3</v>
      </c>
      <c r="N18" s="28"/>
      <c r="O18" s="28">
        <v>45877</v>
      </c>
      <c r="P18" s="28">
        <v>45881</v>
      </c>
      <c r="Q18" s="29" t="s">
        <v>81</v>
      </c>
      <c r="R18" s="30" t="s">
        <v>23</v>
      </c>
      <c r="S18" s="31"/>
      <c r="T18" s="31"/>
      <c r="U18" s="31"/>
      <c r="V18" s="31"/>
      <c r="W18" s="31"/>
      <c r="X18" s="31"/>
      <c r="Y18" s="31"/>
      <c r="Z18" s="31"/>
      <c r="AA18" s="31"/>
      <c r="AB18" s="31"/>
      <c r="AC18" s="31"/>
      <c r="AD18" s="31"/>
      <c r="AE18" s="31"/>
      <c r="AF18" s="31"/>
      <c r="AG18" s="31"/>
      <c r="AH18" s="31"/>
      <c r="AI18" s="31"/>
      <c r="AJ18" s="31"/>
      <c r="AK18" s="31"/>
      <c r="AL18" s="31"/>
      <c r="AM18" s="31"/>
      <c r="AN18" s="31"/>
    </row>
    <row r="19" spans="1:40" ht="76.5">
      <c r="A19" s="32" t="s">
        <v>18</v>
      </c>
      <c r="B19" s="33">
        <v>312</v>
      </c>
      <c r="C19" s="34" t="s">
        <v>82</v>
      </c>
      <c r="D19" s="35" t="s">
        <v>83</v>
      </c>
      <c r="E19" s="36"/>
      <c r="F19" s="37" t="s">
        <v>21</v>
      </c>
      <c r="G19" s="38">
        <v>100</v>
      </c>
      <c r="H19" s="39">
        <f>IF(OR(J19="",K19="",K19&lt;J19),0,NETWORKDAYS(J19,K19,Hoja2!$A$2:$A$53))</f>
        <v>2</v>
      </c>
      <c r="I19" s="40">
        <v>45882</v>
      </c>
      <c r="J19" s="40">
        <v>45891</v>
      </c>
      <c r="K19" s="41">
        <v>45894</v>
      </c>
      <c r="L19" s="41">
        <v>45895</v>
      </c>
      <c r="M19" s="42">
        <f ca="1">IF(OR(J19="",AND(L19="",TODAY()&lt;J19),AND(L19&lt;&gt;"",L19&lt;J19)),0,
   IF(L19="",
      NETWORKDAYS(J19,TODAY(),Hoja2!$A$2:$A$53),
      NETWORKDAYS(J19,L19,Hoja2!$A$2:$A$53)
   )
)</f>
        <v>3</v>
      </c>
      <c r="N19" s="43"/>
      <c r="O19" s="43">
        <v>45895</v>
      </c>
      <c r="P19" s="43">
        <v>45895</v>
      </c>
      <c r="Q19" s="44"/>
      <c r="R19" s="45" t="s">
        <v>23</v>
      </c>
      <c r="S19" s="46"/>
      <c r="T19" s="46"/>
      <c r="U19" s="46"/>
      <c r="V19" s="46"/>
      <c r="W19" s="46"/>
      <c r="X19" s="46"/>
      <c r="Y19" s="46"/>
      <c r="Z19" s="46"/>
      <c r="AA19" s="46"/>
      <c r="AB19" s="46"/>
      <c r="AC19" s="46"/>
      <c r="AD19" s="46"/>
      <c r="AE19" s="46"/>
      <c r="AF19" s="46"/>
      <c r="AG19" s="46"/>
      <c r="AH19" s="46"/>
      <c r="AI19" s="46"/>
      <c r="AJ19" s="46"/>
      <c r="AK19" s="46"/>
      <c r="AL19" s="46"/>
      <c r="AM19" s="46"/>
      <c r="AN19" s="46"/>
    </row>
    <row r="20" spans="1:40" ht="59.25" customHeight="1">
      <c r="A20" s="17" t="s">
        <v>37</v>
      </c>
      <c r="B20" s="18" t="s">
        <v>84</v>
      </c>
      <c r="C20" s="19" t="s">
        <v>85</v>
      </c>
      <c r="D20" s="20" t="s">
        <v>86</v>
      </c>
      <c r="E20" s="21"/>
      <c r="F20" s="22" t="s">
        <v>21</v>
      </c>
      <c r="G20" s="23">
        <v>100</v>
      </c>
      <c r="H20" s="24">
        <f>IF(OR(J20="",K20="",K20&lt;J20),0,NETWORKDAYS(J20,K20,Hoja2!$A$2:$A$53))</f>
        <v>3</v>
      </c>
      <c r="I20" s="25">
        <v>45891</v>
      </c>
      <c r="J20" s="25">
        <v>45891</v>
      </c>
      <c r="K20" s="26">
        <v>45895</v>
      </c>
      <c r="L20" s="26">
        <v>45895</v>
      </c>
      <c r="M20" s="27">
        <f ca="1">IF(OR(J20="",AND(L20="",TODAY()&lt;J20),AND(L20&lt;&gt;"",L20&lt;J20)),0,
   IF(L20="",
      NETWORKDAYS(J20,TODAY(),Hoja2!$A$2:$A$53),
      NETWORKDAYS(J20,L20,Hoja2!$A$2:$A$53)
   )
)</f>
        <v>3</v>
      </c>
      <c r="N20" s="28"/>
      <c r="O20" s="28">
        <v>45895</v>
      </c>
      <c r="P20" s="28">
        <v>45898</v>
      </c>
      <c r="Q20" s="29" t="s">
        <v>87</v>
      </c>
      <c r="R20" s="30" t="s">
        <v>23</v>
      </c>
      <c r="S20" s="31"/>
      <c r="T20" s="31"/>
      <c r="U20" s="31"/>
      <c r="V20" s="31"/>
      <c r="W20" s="31"/>
      <c r="X20" s="31"/>
      <c r="Y20" s="31"/>
      <c r="Z20" s="31"/>
      <c r="AA20" s="31"/>
      <c r="AB20" s="31"/>
      <c r="AC20" s="31"/>
      <c r="AD20" s="31"/>
      <c r="AE20" s="31"/>
      <c r="AF20" s="31"/>
      <c r="AG20" s="31"/>
      <c r="AH20" s="31"/>
      <c r="AI20" s="31"/>
      <c r="AJ20" s="31"/>
      <c r="AK20" s="31"/>
      <c r="AL20" s="31"/>
      <c r="AM20" s="31"/>
      <c r="AN20" s="31"/>
    </row>
    <row r="21" spans="1:40" ht="76.5">
      <c r="A21" s="32" t="s">
        <v>37</v>
      </c>
      <c r="B21" s="33" t="s">
        <v>88</v>
      </c>
      <c r="C21" s="34" t="s">
        <v>89</v>
      </c>
      <c r="D21" s="35" t="s">
        <v>90</v>
      </c>
      <c r="E21" s="36"/>
      <c r="F21" s="37" t="s">
        <v>91</v>
      </c>
      <c r="G21" s="38">
        <v>95</v>
      </c>
      <c r="H21" s="39">
        <f>IF(OR(J21="",K21="",K21&lt;J21),0,NETWORKDAYS(J21,K21,Hoja2!$A$2:$A$53))</f>
        <v>8</v>
      </c>
      <c r="I21" s="40">
        <v>45891</v>
      </c>
      <c r="J21" s="40">
        <v>46078</v>
      </c>
      <c r="K21" s="41">
        <v>46087</v>
      </c>
      <c r="L21" s="41"/>
      <c r="M21" s="42">
        <f ca="1">IF(OR(J21="",AND(L21="",TODAY()&lt;J21),AND(L21&lt;&gt;"",L21&lt;J21)),0,
   IF(L21="",
      NETWORKDAYS(J21,TODAY(),Hoja2!$A$2:$A$53),
      NETWORKDAYS(J21,L21,Hoja2!$A$2:$A$53)
   )
)</f>
        <v>79</v>
      </c>
      <c r="N21" s="43"/>
      <c r="O21" s="43">
        <v>46090</v>
      </c>
      <c r="P21" s="43">
        <v>46092</v>
      </c>
      <c r="Q21" s="44" t="s">
        <v>92</v>
      </c>
      <c r="R21" s="45" t="s">
        <v>23</v>
      </c>
      <c r="S21" s="46"/>
      <c r="T21" s="46"/>
      <c r="U21" s="46"/>
      <c r="V21" s="46"/>
      <c r="W21" s="46"/>
      <c r="X21" s="46"/>
      <c r="Y21" s="46"/>
      <c r="Z21" s="46"/>
      <c r="AA21" s="46"/>
      <c r="AB21" s="46"/>
      <c r="AC21" s="46"/>
      <c r="AD21" s="46"/>
      <c r="AE21" s="46"/>
      <c r="AF21" s="46"/>
      <c r="AG21" s="46"/>
      <c r="AH21" s="46"/>
      <c r="AI21" s="46"/>
      <c r="AJ21" s="46"/>
      <c r="AK21" s="46"/>
      <c r="AL21" s="46"/>
      <c r="AM21" s="46"/>
      <c r="AN21" s="46"/>
    </row>
    <row r="22" spans="1:40" ht="63.75">
      <c r="A22" s="17" t="s">
        <v>37</v>
      </c>
      <c r="B22" s="18" t="s">
        <v>93</v>
      </c>
      <c r="C22" s="19" t="s">
        <v>94</v>
      </c>
      <c r="D22" s="20" t="s">
        <v>95</v>
      </c>
      <c r="E22" s="21"/>
      <c r="F22" s="22" t="s">
        <v>21</v>
      </c>
      <c r="G22" s="23">
        <v>100</v>
      </c>
      <c r="H22" s="24">
        <f>IF(OR(J22="",K22="",K22&lt;J22),0,NETWORKDAYS(J22,K22,Hoja2!$A$2:$A$53))</f>
        <v>6</v>
      </c>
      <c r="I22" s="25">
        <v>45897</v>
      </c>
      <c r="J22" s="25">
        <v>45897</v>
      </c>
      <c r="K22" s="26">
        <v>45904</v>
      </c>
      <c r="L22" s="26">
        <v>45904</v>
      </c>
      <c r="M22" s="27">
        <f ca="1">IF(OR(J22="",AND(L22="",TODAY()&lt;J22),AND(L22&lt;&gt;"",L22&lt;J22)),0,
   IF(L22="",
      NETWORKDAYS(J22,TODAY(),Hoja2!$A$2:$A$53),
      NETWORKDAYS(J22,L22,Hoja2!$A$2:$A$53)
   )
)</f>
        <v>6</v>
      </c>
      <c r="N22" s="28"/>
      <c r="O22" s="28">
        <v>45905</v>
      </c>
      <c r="P22" s="28">
        <v>45908</v>
      </c>
      <c r="Q22" s="29" t="s">
        <v>96</v>
      </c>
      <c r="R22" s="30" t="s">
        <v>23</v>
      </c>
      <c r="S22" s="31"/>
      <c r="T22" s="31"/>
      <c r="U22" s="31"/>
      <c r="V22" s="31"/>
      <c r="W22" s="31"/>
      <c r="X22" s="31"/>
      <c r="Y22" s="31"/>
      <c r="Z22" s="31"/>
      <c r="AA22" s="31"/>
      <c r="AB22" s="31"/>
      <c r="AC22" s="31"/>
      <c r="AD22" s="31"/>
      <c r="AE22" s="31"/>
      <c r="AF22" s="31"/>
      <c r="AG22" s="31"/>
      <c r="AH22" s="31"/>
      <c r="AI22" s="31"/>
      <c r="AJ22" s="31"/>
      <c r="AK22" s="31"/>
      <c r="AL22" s="31"/>
      <c r="AM22" s="31"/>
      <c r="AN22" s="31"/>
    </row>
    <row r="23" spans="1:40" ht="49.5" customHeight="1">
      <c r="A23" s="32" t="s">
        <v>18</v>
      </c>
      <c r="B23" s="33" t="s">
        <v>97</v>
      </c>
      <c r="C23" s="34" t="s">
        <v>98</v>
      </c>
      <c r="D23" s="35" t="s">
        <v>99</v>
      </c>
      <c r="E23" s="36"/>
      <c r="F23" s="37" t="s">
        <v>100</v>
      </c>
      <c r="G23" s="38">
        <v>60</v>
      </c>
      <c r="H23" s="39">
        <f>IF(OR(J23="",K23="",K23&lt;J23),0,NETWORKDAYS(J23,K23,Hoja2!$A$2:$A$53))</f>
        <v>0</v>
      </c>
      <c r="I23" s="40">
        <v>45898</v>
      </c>
      <c r="J23" s="40">
        <v>45898</v>
      </c>
      <c r="K23" s="41"/>
      <c r="L23" s="41"/>
      <c r="M23" s="42">
        <f ca="1">IF(OR(J23="",AND(L23="",TODAY()&lt;J23),AND(L23&lt;&gt;"",L23&lt;J23)),0,
   IF(L23="",
      NETWORKDAYS(J23,TODAY(),Hoja2!$A$2:$A$53),
      NETWORKDAYS(J23,L23,Hoja2!$A$2:$A$53)
   )
)</f>
        <v>200</v>
      </c>
      <c r="N23" s="43"/>
      <c r="O23" s="43"/>
      <c r="P23" s="43"/>
      <c r="Q23" s="44" t="s">
        <v>101</v>
      </c>
      <c r="R23" s="45" t="s">
        <v>102</v>
      </c>
      <c r="S23" s="46"/>
      <c r="T23" s="46"/>
      <c r="U23" s="46"/>
      <c r="V23" s="46"/>
      <c r="W23" s="46"/>
      <c r="X23" s="46"/>
      <c r="Y23" s="46"/>
      <c r="Z23" s="46"/>
      <c r="AA23" s="46"/>
      <c r="AB23" s="46"/>
      <c r="AC23" s="46"/>
      <c r="AD23" s="46"/>
      <c r="AE23" s="46"/>
      <c r="AF23" s="46"/>
      <c r="AG23" s="46"/>
      <c r="AH23" s="46"/>
      <c r="AI23" s="46"/>
      <c r="AJ23" s="46"/>
      <c r="AK23" s="46"/>
      <c r="AL23" s="46"/>
      <c r="AM23" s="46"/>
      <c r="AN23" s="46"/>
    </row>
    <row r="24" spans="1:40" ht="51">
      <c r="A24" s="17" t="s">
        <v>18</v>
      </c>
      <c r="B24" s="18" t="s">
        <v>103</v>
      </c>
      <c r="C24" s="19" t="s">
        <v>104</v>
      </c>
      <c r="D24" s="20" t="s">
        <v>105</v>
      </c>
      <c r="E24" s="21"/>
      <c r="F24" s="22" t="s">
        <v>21</v>
      </c>
      <c r="G24" s="23">
        <v>100</v>
      </c>
      <c r="H24" s="24">
        <f>IF(OR(J24="",K24="",K24&lt;J24),0,NETWORKDAYS(J24,K24,Hoja2!$A$2:$A$53))</f>
        <v>1</v>
      </c>
      <c r="I24" s="25">
        <v>45905</v>
      </c>
      <c r="J24" s="25">
        <v>45908</v>
      </c>
      <c r="K24" s="26">
        <v>45908</v>
      </c>
      <c r="L24" s="26">
        <v>45909</v>
      </c>
      <c r="M24" s="27">
        <f ca="1">IF(OR(J24="",AND(L24="",TODAY()&lt;J24),AND(L24&lt;&gt;"",L24&lt;J24)),0,
   IF(L24="",
      NETWORKDAYS(J24,TODAY(),Hoja2!$A$2:$A$53),
      NETWORKDAYS(J24,L24,Hoja2!$A$2:$A$53)
   )
)</f>
        <v>2</v>
      </c>
      <c r="N24" s="28"/>
      <c r="O24" s="28">
        <v>45909</v>
      </c>
      <c r="P24" s="28">
        <v>45909</v>
      </c>
      <c r="Q24" s="29" t="s">
        <v>106</v>
      </c>
      <c r="R24" s="30" t="s">
        <v>23</v>
      </c>
      <c r="S24" s="31"/>
      <c r="T24" s="31"/>
      <c r="U24" s="31"/>
      <c r="V24" s="31"/>
      <c r="W24" s="31"/>
      <c r="X24" s="31"/>
      <c r="Y24" s="31"/>
      <c r="Z24" s="31"/>
      <c r="AA24" s="31"/>
      <c r="AB24" s="31"/>
      <c r="AC24" s="31"/>
      <c r="AD24" s="31"/>
      <c r="AE24" s="31"/>
      <c r="AF24" s="31"/>
      <c r="AG24" s="31"/>
      <c r="AH24" s="31"/>
      <c r="AI24" s="31"/>
      <c r="AJ24" s="31"/>
      <c r="AK24" s="31"/>
      <c r="AL24" s="31"/>
      <c r="AM24" s="31"/>
      <c r="AN24" s="31"/>
    </row>
    <row r="25" spans="1:40" ht="42.75">
      <c r="A25" s="32" t="s">
        <v>18</v>
      </c>
      <c r="B25" s="33" t="s">
        <v>107</v>
      </c>
      <c r="C25" s="34" t="s">
        <v>108</v>
      </c>
      <c r="D25" s="35" t="s">
        <v>109</v>
      </c>
      <c r="E25" s="36"/>
      <c r="F25" s="37" t="s">
        <v>110</v>
      </c>
      <c r="G25" s="38"/>
      <c r="H25" s="39">
        <f>IF(OR(J25="",K25="",K25&lt;J25),0,NETWORKDAYS(J25,K25,Hoja2!$A$2:$A$53))</f>
        <v>0</v>
      </c>
      <c r="I25" s="40">
        <v>45905</v>
      </c>
      <c r="J25" s="40"/>
      <c r="K25" s="41"/>
      <c r="L25" s="41"/>
      <c r="M25" s="42">
        <f ca="1">IF(OR(J25="",AND(L25="",TODAY()&lt;J25),AND(L25&lt;&gt;"",L25&lt;J25)),0,
   IF(L25="",
      NETWORKDAYS(J25,TODAY(),Hoja2!$A$2:$A$53),
      NETWORKDAYS(J25,L25,Hoja2!$A$2:$A$53)
   )
)</f>
        <v>0</v>
      </c>
      <c r="N25" s="43"/>
      <c r="O25" s="43"/>
      <c r="P25" s="43"/>
      <c r="Q25" s="44" t="s">
        <v>111</v>
      </c>
      <c r="R25" s="45" t="s">
        <v>102</v>
      </c>
      <c r="S25" s="46"/>
      <c r="T25" s="46"/>
      <c r="U25" s="46"/>
      <c r="V25" s="46"/>
      <c r="W25" s="46"/>
      <c r="X25" s="46"/>
      <c r="Y25" s="46"/>
      <c r="Z25" s="46"/>
      <c r="AA25" s="46"/>
      <c r="AB25" s="46"/>
      <c r="AC25" s="46"/>
      <c r="AD25" s="46"/>
      <c r="AE25" s="46"/>
      <c r="AF25" s="46"/>
      <c r="AG25" s="46"/>
      <c r="AH25" s="46"/>
      <c r="AI25" s="46"/>
      <c r="AJ25" s="46"/>
      <c r="AK25" s="46"/>
      <c r="AL25" s="46"/>
      <c r="AM25" s="46"/>
      <c r="AN25" s="46"/>
    </row>
    <row r="26" spans="1:40" ht="63.75">
      <c r="A26" s="17" t="s">
        <v>18</v>
      </c>
      <c r="B26" s="18" t="s">
        <v>112</v>
      </c>
      <c r="C26" s="19" t="s">
        <v>113</v>
      </c>
      <c r="D26" s="20" t="s">
        <v>114</v>
      </c>
      <c r="E26" s="21"/>
      <c r="F26" s="22" t="s">
        <v>21</v>
      </c>
      <c r="G26" s="23">
        <v>100</v>
      </c>
      <c r="H26" s="24">
        <f>IF(OR(J26="",K26="",K26&lt;J26),0,NETWORKDAYS(J26,K26,Hoja2!$A$2:$A$53))</f>
        <v>1</v>
      </c>
      <c r="I26" s="25">
        <v>45911</v>
      </c>
      <c r="J26" s="48">
        <v>45912</v>
      </c>
      <c r="K26" s="48">
        <v>45912</v>
      </c>
      <c r="L26" s="48">
        <v>45912</v>
      </c>
      <c r="M26" s="27">
        <f ca="1">IF(OR(J26="",AND(L26="",TODAY()&lt;J26),AND(L26&lt;&gt;"",L26&lt;J26)),0,
   IF(L26="",
      NETWORKDAYS(J26,TODAY(),Hoja2!$A$2:$A$53),
      NETWORKDAYS(J26,L26,Hoja2!$A$2:$A$53)
   )
)</f>
        <v>1</v>
      </c>
      <c r="N26" s="49"/>
      <c r="O26" s="49">
        <v>45912</v>
      </c>
      <c r="P26" s="49">
        <v>45912</v>
      </c>
      <c r="Q26" s="29" t="s">
        <v>115</v>
      </c>
      <c r="R26" s="30" t="s">
        <v>23</v>
      </c>
      <c r="S26" s="31"/>
      <c r="T26" s="31"/>
      <c r="U26" s="31"/>
      <c r="V26" s="31"/>
      <c r="W26" s="31"/>
      <c r="X26" s="31"/>
      <c r="Y26" s="31"/>
      <c r="Z26" s="31"/>
      <c r="AA26" s="31"/>
      <c r="AB26" s="31"/>
      <c r="AC26" s="31"/>
      <c r="AD26" s="31"/>
      <c r="AE26" s="31"/>
      <c r="AF26" s="31"/>
      <c r="AG26" s="31"/>
      <c r="AH26" s="31"/>
      <c r="AI26" s="31"/>
      <c r="AJ26" s="31"/>
      <c r="AK26" s="31"/>
      <c r="AL26" s="31"/>
      <c r="AM26" s="31"/>
      <c r="AN26" s="31"/>
    </row>
    <row r="27" spans="1:40" ht="51">
      <c r="A27" s="32" t="s">
        <v>18</v>
      </c>
      <c r="B27" s="33">
        <v>315</v>
      </c>
      <c r="C27" s="34" t="s">
        <v>116</v>
      </c>
      <c r="D27" s="35" t="s">
        <v>117</v>
      </c>
      <c r="E27" s="36"/>
      <c r="F27" s="37" t="s">
        <v>21</v>
      </c>
      <c r="G27" s="38">
        <v>100</v>
      </c>
      <c r="H27" s="39">
        <f>IF(OR(J27="",K27="",K27&lt;J27),0,NETWORKDAYS(J27,K27,Hoja2!$A$2:$A$53))</f>
        <v>3</v>
      </c>
      <c r="I27" s="40" t="s">
        <v>118</v>
      </c>
      <c r="J27" s="40">
        <v>45923</v>
      </c>
      <c r="K27" s="40">
        <v>45925</v>
      </c>
      <c r="L27" s="40">
        <v>45925</v>
      </c>
      <c r="M27" s="42">
        <f ca="1">IF(OR(J27="",AND(L27="",TODAY()&lt;J27),AND(L27&lt;&gt;"",L27&lt;J27)),0,
   IF(L27="",
      NETWORKDAYS(J27,TODAY(),Hoja2!$A$2:$A$53),
      NETWORKDAYS(J27,L27,Hoja2!$A$2:$A$53)
   )
)</f>
        <v>3</v>
      </c>
      <c r="N27" s="43"/>
      <c r="O27" s="40">
        <v>45925</v>
      </c>
      <c r="P27" s="40">
        <v>45925</v>
      </c>
      <c r="Q27" s="44" t="s">
        <v>119</v>
      </c>
      <c r="R27" s="45" t="s">
        <v>23</v>
      </c>
      <c r="S27" s="46"/>
      <c r="T27" s="46"/>
      <c r="U27" s="46"/>
      <c r="V27" s="46"/>
      <c r="W27" s="46"/>
      <c r="X27" s="46"/>
      <c r="Y27" s="46"/>
      <c r="Z27" s="46"/>
      <c r="AA27" s="46"/>
      <c r="AB27" s="46"/>
      <c r="AC27" s="46"/>
      <c r="AD27" s="46"/>
      <c r="AE27" s="46"/>
      <c r="AF27" s="46"/>
      <c r="AG27" s="46"/>
      <c r="AH27" s="46"/>
      <c r="AI27" s="46"/>
      <c r="AJ27" s="46"/>
      <c r="AK27" s="46"/>
      <c r="AL27" s="46"/>
      <c r="AM27" s="46"/>
      <c r="AN27" s="46"/>
    </row>
    <row r="28" spans="1:40" ht="51">
      <c r="A28" s="17" t="s">
        <v>18</v>
      </c>
      <c r="B28" s="18">
        <v>314</v>
      </c>
      <c r="C28" s="19" t="s">
        <v>120</v>
      </c>
      <c r="D28" s="20" t="s">
        <v>121</v>
      </c>
      <c r="E28" s="21"/>
      <c r="F28" s="22" t="s">
        <v>21</v>
      </c>
      <c r="G28" s="23">
        <v>100</v>
      </c>
      <c r="H28" s="24">
        <f>IF(OR(J28="",K28="",K28&lt;J28),0,NETWORKDAYS(J28,K28,Hoja2!$A$2:$A$53))</f>
        <v>2</v>
      </c>
      <c r="I28" s="25" t="s">
        <v>118</v>
      </c>
      <c r="J28" s="25">
        <v>45917</v>
      </c>
      <c r="K28" s="26">
        <v>45918</v>
      </c>
      <c r="L28" s="26">
        <v>45918</v>
      </c>
      <c r="M28" s="27">
        <f ca="1">IF(OR(J28="",AND(L28="",TODAY()&lt;J28),AND(L28&lt;&gt;"",L28&lt;J28)),0,
   IF(L28="",
      NETWORKDAYS(J28,TODAY(),Hoja2!$A$2:$A$53),
      NETWORKDAYS(J28,L28,Hoja2!$A$2:$A$53)
   )
)</f>
        <v>2</v>
      </c>
      <c r="N28" s="28"/>
      <c r="O28" s="28">
        <v>45918</v>
      </c>
      <c r="P28" s="28">
        <v>45918</v>
      </c>
      <c r="Q28" s="29" t="s">
        <v>122</v>
      </c>
      <c r="R28" s="30" t="s">
        <v>23</v>
      </c>
      <c r="S28" s="31"/>
      <c r="T28" s="31"/>
      <c r="U28" s="31"/>
      <c r="V28" s="31"/>
      <c r="W28" s="31"/>
      <c r="X28" s="31"/>
      <c r="Y28" s="31"/>
      <c r="Z28" s="31"/>
      <c r="AA28" s="31"/>
      <c r="AB28" s="31"/>
      <c r="AC28" s="31"/>
      <c r="AD28" s="31"/>
      <c r="AE28" s="31"/>
      <c r="AF28" s="31"/>
      <c r="AG28" s="31"/>
      <c r="AH28" s="31"/>
      <c r="AI28" s="31"/>
      <c r="AJ28" s="31"/>
      <c r="AK28" s="31"/>
      <c r="AL28" s="31"/>
      <c r="AM28" s="31"/>
      <c r="AN28" s="31"/>
    </row>
    <row r="29" spans="1:40" ht="140.25">
      <c r="A29" s="32" t="s">
        <v>18</v>
      </c>
      <c r="B29" s="33">
        <v>313</v>
      </c>
      <c r="C29" s="34" t="s">
        <v>123</v>
      </c>
      <c r="D29" s="35" t="s">
        <v>124</v>
      </c>
      <c r="E29" s="36"/>
      <c r="F29" s="37" t="s">
        <v>21</v>
      </c>
      <c r="G29" s="38">
        <v>100</v>
      </c>
      <c r="H29" s="39">
        <f>IF(OR(J29="",K29="",K29&lt;J29),0,NETWORKDAYS(J29,K29,Hoja2!$A$2:$A$53))</f>
        <v>5</v>
      </c>
      <c r="I29" s="40" t="s">
        <v>118</v>
      </c>
      <c r="J29" s="40">
        <v>45912</v>
      </c>
      <c r="K29" s="41">
        <v>45918</v>
      </c>
      <c r="L29" s="41">
        <v>45917</v>
      </c>
      <c r="M29" s="42">
        <f ca="1">IF(OR(J29="",AND(L29="",TODAY()&lt;J29),AND(L29&lt;&gt;"",L29&lt;J29)),0,
   IF(L29="",
      NETWORKDAYS(J29,TODAY(),Hoja2!$A$2:$A$53),
      NETWORKDAYS(J29,L29,Hoja2!$A$2:$A$53)
   )
)</f>
        <v>4</v>
      </c>
      <c r="N29" s="43"/>
      <c r="O29" s="43">
        <v>45917</v>
      </c>
      <c r="P29" s="43">
        <v>45916</v>
      </c>
      <c r="Q29" s="44" t="s">
        <v>125</v>
      </c>
      <c r="R29" s="45" t="s">
        <v>23</v>
      </c>
      <c r="S29" s="46"/>
      <c r="T29" s="46"/>
      <c r="U29" s="46"/>
      <c r="V29" s="46"/>
      <c r="W29" s="46"/>
      <c r="X29" s="46"/>
      <c r="Y29" s="46"/>
      <c r="Z29" s="46"/>
      <c r="AA29" s="46"/>
      <c r="AB29" s="46"/>
      <c r="AC29" s="46"/>
      <c r="AD29" s="46"/>
      <c r="AE29" s="46"/>
      <c r="AF29" s="46"/>
      <c r="AG29" s="46"/>
      <c r="AH29" s="46"/>
      <c r="AI29" s="46"/>
      <c r="AJ29" s="46"/>
      <c r="AK29" s="46"/>
      <c r="AL29" s="46"/>
      <c r="AM29" s="46"/>
      <c r="AN29" s="46"/>
    </row>
    <row r="30" spans="1:40" ht="57">
      <c r="A30" s="17" t="s">
        <v>37</v>
      </c>
      <c r="B30" s="18" t="s">
        <v>126</v>
      </c>
      <c r="C30" s="19" t="s">
        <v>127</v>
      </c>
      <c r="D30" s="20" t="s">
        <v>128</v>
      </c>
      <c r="E30" s="21"/>
      <c r="F30" s="22" t="s">
        <v>21</v>
      </c>
      <c r="G30" s="23">
        <v>100</v>
      </c>
      <c r="H30" s="24">
        <f>IF(OR(J30="",K30="",K30&lt;J30),0,NETWORKDAYS(J30,K30,Hoja2!$A$2:$A$53))</f>
        <v>3</v>
      </c>
      <c r="I30" s="25">
        <v>45917</v>
      </c>
      <c r="J30" s="25">
        <v>45917</v>
      </c>
      <c r="K30" s="26">
        <v>45919</v>
      </c>
      <c r="L30" s="26">
        <v>45919</v>
      </c>
      <c r="M30" s="27">
        <f ca="1">IF(OR(J30="",AND(L30="",TODAY()&lt;J30),AND(L30&lt;&gt;"",L30&lt;J30)),0,
   IF(L30="",
      NETWORKDAYS(J30,TODAY(),Hoja2!$A$2:$A$53),
      NETWORKDAYS(J30,L30,Hoja2!$A$2:$A$53)
   )
)</f>
        <v>3</v>
      </c>
      <c r="N30" s="28"/>
      <c r="O30" s="28">
        <v>45919</v>
      </c>
      <c r="P30" s="28">
        <v>45923</v>
      </c>
      <c r="Q30" s="29" t="s">
        <v>129</v>
      </c>
      <c r="R30" s="30" t="s">
        <v>23</v>
      </c>
      <c r="S30" s="31"/>
      <c r="T30" s="31"/>
      <c r="U30" s="31"/>
      <c r="V30" s="31"/>
      <c r="W30" s="31"/>
      <c r="X30" s="31"/>
      <c r="Y30" s="31"/>
      <c r="Z30" s="31"/>
      <c r="AA30" s="31"/>
      <c r="AB30" s="31"/>
      <c r="AC30" s="31"/>
      <c r="AD30" s="31"/>
      <c r="AE30" s="31"/>
      <c r="AF30" s="31"/>
      <c r="AG30" s="31"/>
      <c r="AH30" s="31"/>
      <c r="AI30" s="31"/>
      <c r="AJ30" s="31"/>
      <c r="AK30" s="31"/>
      <c r="AL30" s="31"/>
      <c r="AM30" s="31"/>
      <c r="AN30" s="31"/>
    </row>
    <row r="31" spans="1:40" ht="28.5">
      <c r="A31" s="32" t="s">
        <v>37</v>
      </c>
      <c r="B31" s="33" t="s">
        <v>130</v>
      </c>
      <c r="C31" s="34" t="s">
        <v>131</v>
      </c>
      <c r="D31" s="35" t="s">
        <v>132</v>
      </c>
      <c r="E31" s="36"/>
      <c r="F31" s="37" t="s">
        <v>21</v>
      </c>
      <c r="G31" s="38">
        <v>100</v>
      </c>
      <c r="H31" s="39">
        <f>IF(OR(J31="",K31="",K31&lt;J31),0,NETWORKDAYS(J31,K31,Hoja2!$A$2:$A$53))</f>
        <v>3</v>
      </c>
      <c r="I31" s="40">
        <v>45923</v>
      </c>
      <c r="J31" s="40">
        <v>45923</v>
      </c>
      <c r="K31" s="41">
        <v>45925</v>
      </c>
      <c r="L31" s="41">
        <v>45925</v>
      </c>
      <c r="M31" s="42">
        <f ca="1">IF(OR(J31="",AND(L31="",TODAY()&lt;J31),AND(L31&lt;&gt;"",L31&lt;J31)),0,
   IF(L31="",
      NETWORKDAYS(J31,TODAY(),Hoja2!$A$2:$A$53),
      NETWORKDAYS(J31,L31,Hoja2!$A$2:$A$53)
   )
)</f>
        <v>3</v>
      </c>
      <c r="N31" s="43"/>
      <c r="O31" s="43">
        <v>45925</v>
      </c>
      <c r="P31" s="43">
        <v>45926</v>
      </c>
      <c r="Q31" s="44" t="s">
        <v>133</v>
      </c>
      <c r="R31" s="45" t="s">
        <v>23</v>
      </c>
      <c r="S31" s="46"/>
      <c r="T31" s="46"/>
      <c r="U31" s="46"/>
      <c r="V31" s="46"/>
      <c r="W31" s="46"/>
      <c r="X31" s="46"/>
      <c r="Y31" s="46"/>
      <c r="Z31" s="46"/>
      <c r="AA31" s="46"/>
      <c r="AB31" s="46"/>
      <c r="AC31" s="46"/>
      <c r="AD31" s="46"/>
      <c r="AE31" s="46"/>
      <c r="AF31" s="46"/>
      <c r="AG31" s="46"/>
      <c r="AH31" s="46"/>
      <c r="AI31" s="46"/>
      <c r="AJ31" s="46"/>
      <c r="AK31" s="46"/>
      <c r="AL31" s="46"/>
      <c r="AM31" s="46"/>
      <c r="AN31" s="46"/>
    </row>
    <row r="32" spans="1:40" ht="51">
      <c r="A32" s="17" t="s">
        <v>18</v>
      </c>
      <c r="B32" s="18" t="s">
        <v>134</v>
      </c>
      <c r="C32" s="19" t="s">
        <v>135</v>
      </c>
      <c r="D32" s="20" t="s">
        <v>136</v>
      </c>
      <c r="E32" s="21"/>
      <c r="F32" s="22" t="s">
        <v>21</v>
      </c>
      <c r="G32" s="23">
        <v>100</v>
      </c>
      <c r="H32" s="24">
        <f>IF(OR(J32="",K32="",K32&lt;J32),0,NETWORKDAYS(J32,K32,Hoja2!$A$2:$A$53))</f>
        <v>1</v>
      </c>
      <c r="I32" s="25">
        <v>45924</v>
      </c>
      <c r="J32" s="25">
        <v>45925</v>
      </c>
      <c r="K32" s="25">
        <v>45925</v>
      </c>
      <c r="L32" s="25">
        <v>45925</v>
      </c>
      <c r="M32" s="27">
        <f ca="1">IF(OR(J32="",AND(L32="",TODAY()&lt;J32),AND(L32&lt;&gt;"",L32&lt;J32)),0,
   IF(L32="",
      NETWORKDAYS(J32,TODAY(),Hoja2!$A$2:$A$53),
      NETWORKDAYS(J32,L32,Hoja2!$A$2:$A$53)
   )
)</f>
        <v>1</v>
      </c>
      <c r="N32" s="50"/>
      <c r="O32" s="50">
        <v>45925</v>
      </c>
      <c r="P32" s="50">
        <v>45925</v>
      </c>
      <c r="Q32" s="29" t="s">
        <v>137</v>
      </c>
      <c r="R32" s="30" t="s">
        <v>23</v>
      </c>
      <c r="S32" s="31"/>
      <c r="T32" s="31"/>
      <c r="U32" s="31"/>
      <c r="V32" s="31"/>
      <c r="W32" s="31"/>
      <c r="X32" s="31"/>
      <c r="Y32" s="31"/>
      <c r="Z32" s="31"/>
      <c r="AA32" s="31"/>
      <c r="AB32" s="31"/>
      <c r="AC32" s="31"/>
      <c r="AD32" s="31"/>
      <c r="AE32" s="31"/>
      <c r="AF32" s="31"/>
      <c r="AG32" s="31"/>
      <c r="AH32" s="31"/>
      <c r="AI32" s="31"/>
      <c r="AJ32" s="31"/>
      <c r="AK32" s="31"/>
      <c r="AL32" s="31"/>
      <c r="AM32" s="31"/>
      <c r="AN32" s="31"/>
    </row>
    <row r="33" spans="1:40" ht="229.5">
      <c r="A33" s="32" t="s">
        <v>18</v>
      </c>
      <c r="B33" s="33">
        <v>316</v>
      </c>
      <c r="C33" s="34" t="s">
        <v>138</v>
      </c>
      <c r="D33" s="35" t="s">
        <v>139</v>
      </c>
      <c r="E33" s="36"/>
      <c r="F33" s="37" t="s">
        <v>100</v>
      </c>
      <c r="G33" s="38">
        <v>30</v>
      </c>
      <c r="H33" s="39">
        <f>IF(OR(J33="",K33="",K33&lt;J33),0,NETWORKDAYS(J33,K33,Hoja2!$A$2:$A$53))</f>
        <v>15</v>
      </c>
      <c r="I33" s="40">
        <v>45929</v>
      </c>
      <c r="J33" s="40">
        <v>45933</v>
      </c>
      <c r="K33" s="41">
        <v>45954</v>
      </c>
      <c r="L33" s="41"/>
      <c r="M33" s="42">
        <f ca="1">IF(OR(J33="",AND(L33="",TODAY()&lt;J33),AND(L33&lt;&gt;"",L33&lt;J33)),0,
   IF(L33="",
      NETWORKDAYS(J33,TODAY(),Hoja2!$A$2:$A$53),
      NETWORKDAYS(J33,L33,Hoja2!$A$2:$A$53)
   )
)</f>
        <v>175</v>
      </c>
      <c r="N33" s="43"/>
      <c r="O33" s="43"/>
      <c r="P33" s="43"/>
      <c r="Q33" s="44" t="s">
        <v>140</v>
      </c>
      <c r="R33" s="45" t="s">
        <v>102</v>
      </c>
      <c r="S33" s="46"/>
      <c r="T33" s="46"/>
      <c r="U33" s="46"/>
      <c r="V33" s="46"/>
      <c r="W33" s="46"/>
      <c r="X33" s="46"/>
      <c r="Y33" s="46"/>
      <c r="Z33" s="46"/>
      <c r="AA33" s="46"/>
      <c r="AB33" s="46"/>
      <c r="AC33" s="46"/>
      <c r="AD33" s="46"/>
      <c r="AE33" s="46"/>
      <c r="AF33" s="46"/>
      <c r="AG33" s="46"/>
      <c r="AH33" s="46"/>
      <c r="AI33" s="46"/>
      <c r="AJ33" s="46"/>
      <c r="AK33" s="46"/>
      <c r="AL33" s="46"/>
      <c r="AM33" s="46"/>
      <c r="AN33" s="46"/>
    </row>
    <row r="34" spans="1:40" ht="51">
      <c r="A34" s="17" t="s">
        <v>37</v>
      </c>
      <c r="B34" s="18" t="s">
        <v>141</v>
      </c>
      <c r="C34" s="19" t="s">
        <v>142</v>
      </c>
      <c r="D34" s="20" t="s">
        <v>143</v>
      </c>
      <c r="E34" s="21"/>
      <c r="F34" s="22" t="s">
        <v>21</v>
      </c>
      <c r="G34" s="23">
        <v>100</v>
      </c>
      <c r="H34" s="24">
        <f>IF(OR(J34="",K34="",K34&lt;J34),0,NETWORKDAYS(J34,K34,Hoja2!$A$2:$A$53))</f>
        <v>7</v>
      </c>
      <c r="I34" s="25">
        <v>45925</v>
      </c>
      <c r="J34" s="25">
        <v>45932</v>
      </c>
      <c r="K34" s="26">
        <v>45940</v>
      </c>
      <c r="L34" s="28">
        <v>45938</v>
      </c>
      <c r="M34" s="27">
        <f ca="1">IF(OR(J34="",AND(L34="",TODAY()&lt;J34),AND(L34&lt;&gt;"",L34&lt;J34)),0,
   IF(L34="",
      NETWORKDAYS(J34,TODAY(),Hoja2!$A$2:$A$53),
      NETWORKDAYS(J34,L34,Hoja2!$A$2:$A$53)
   )
)</f>
        <v>5</v>
      </c>
      <c r="N34" s="28"/>
      <c r="O34" s="28">
        <v>45938</v>
      </c>
      <c r="P34" s="28">
        <v>45940</v>
      </c>
      <c r="Q34" s="29" t="s">
        <v>144</v>
      </c>
      <c r="R34" s="30" t="s">
        <v>23</v>
      </c>
      <c r="S34" s="51"/>
      <c r="T34" s="51"/>
      <c r="U34" s="51"/>
      <c r="V34" s="51"/>
      <c r="W34" s="51"/>
      <c r="X34" s="51"/>
      <c r="Y34" s="51"/>
      <c r="Z34" s="51"/>
      <c r="AA34" s="51"/>
      <c r="AB34" s="51"/>
      <c r="AC34" s="51"/>
      <c r="AD34" s="51"/>
      <c r="AE34" s="51"/>
      <c r="AF34" s="51"/>
      <c r="AG34" s="51"/>
      <c r="AH34" s="51"/>
      <c r="AI34" s="51"/>
      <c r="AJ34" s="51"/>
      <c r="AK34" s="51"/>
      <c r="AL34" s="51"/>
      <c r="AM34" s="51"/>
      <c r="AN34" s="52"/>
    </row>
    <row r="35" spans="1:40" ht="38.25">
      <c r="A35" s="32" t="s">
        <v>37</v>
      </c>
      <c r="B35" s="33" t="s">
        <v>145</v>
      </c>
      <c r="C35" s="34" t="s">
        <v>146</v>
      </c>
      <c r="D35" s="35" t="s">
        <v>147</v>
      </c>
      <c r="E35" s="36"/>
      <c r="F35" s="37" t="s">
        <v>21</v>
      </c>
      <c r="G35" s="38">
        <v>100</v>
      </c>
      <c r="H35" s="39">
        <f>IF(OR(J35="",K35="",K35&lt;J35),0,NETWORKDAYS(J35,K35,Hoja2!$A$2:$A$53))</f>
        <v>6</v>
      </c>
      <c r="I35" s="40">
        <v>45954</v>
      </c>
      <c r="J35" s="40">
        <v>45968</v>
      </c>
      <c r="K35" s="41">
        <v>45975</v>
      </c>
      <c r="L35" s="43">
        <v>45975</v>
      </c>
      <c r="M35" s="42">
        <f ca="1">IF(OR(J35="",AND(L35="",TODAY()&lt;J35),AND(L35&lt;&gt;"",L35&lt;J35)),0,
   IF(L35="",
      NETWORKDAYS(J35,TODAY(),Hoja2!$A$2:$A$53),
      NETWORKDAYS(J35,L35,Hoja2!$A$2:$A$53)
   )
)</f>
        <v>6</v>
      </c>
      <c r="N35" s="43"/>
      <c r="O35" s="43">
        <v>45975</v>
      </c>
      <c r="P35" s="43">
        <v>45975</v>
      </c>
      <c r="Q35" s="44" t="s">
        <v>148</v>
      </c>
      <c r="R35" s="45" t="s">
        <v>23</v>
      </c>
      <c r="S35" s="53"/>
      <c r="T35" s="53"/>
      <c r="U35" s="53"/>
      <c r="V35" s="53"/>
      <c r="W35" s="53"/>
      <c r="X35" s="53"/>
      <c r="Y35" s="53"/>
      <c r="Z35" s="53"/>
      <c r="AA35" s="53"/>
      <c r="AB35" s="53"/>
      <c r="AC35" s="53"/>
      <c r="AD35" s="53"/>
      <c r="AE35" s="53"/>
      <c r="AF35" s="53"/>
      <c r="AG35" s="53"/>
      <c r="AH35" s="53"/>
      <c r="AI35" s="53"/>
      <c r="AJ35" s="53"/>
      <c r="AK35" s="53"/>
      <c r="AL35" s="53"/>
      <c r="AM35" s="53"/>
      <c r="AN35" s="54"/>
    </row>
    <row r="36" spans="1:40" ht="42.75">
      <c r="A36" s="17" t="s">
        <v>37</v>
      </c>
      <c r="B36" s="18" t="s">
        <v>149</v>
      </c>
      <c r="C36" s="19" t="s">
        <v>150</v>
      </c>
      <c r="D36" s="20" t="s">
        <v>151</v>
      </c>
      <c r="E36" s="21"/>
      <c r="F36" s="22" t="s">
        <v>21</v>
      </c>
      <c r="G36" s="23">
        <v>100</v>
      </c>
      <c r="H36" s="24">
        <f>IF(OR(J36="",K36="",K36&lt;J36),0,NETWORKDAYS(J36,K36,Hoja2!$A$2:$A$53))</f>
        <v>6</v>
      </c>
      <c r="I36" s="25">
        <v>45960</v>
      </c>
      <c r="J36" s="25">
        <v>45961</v>
      </c>
      <c r="K36" s="26">
        <v>45971</v>
      </c>
      <c r="L36" s="28">
        <v>45971</v>
      </c>
      <c r="M36" s="27">
        <f ca="1">IF(OR(J36="",AND(L36="",TODAY()&lt;J36),AND(L36&lt;&gt;"",L36&lt;J36)),0,
   IF(L36="",
      NETWORKDAYS(J36,TODAY(),Hoja2!$A$2:$A$53),
      NETWORKDAYS(J36,L36,Hoja2!$A$2:$A$53)
   )
)</f>
        <v>6</v>
      </c>
      <c r="N36" s="28"/>
      <c r="O36" s="28">
        <v>45971</v>
      </c>
      <c r="P36" s="28">
        <v>45971</v>
      </c>
      <c r="Q36" s="29" t="s">
        <v>152</v>
      </c>
      <c r="R36" s="30" t="s">
        <v>23</v>
      </c>
      <c r="S36" s="51"/>
      <c r="T36" s="51"/>
      <c r="U36" s="51"/>
      <c r="V36" s="51"/>
      <c r="W36" s="51"/>
      <c r="X36" s="51"/>
      <c r="Y36" s="51"/>
      <c r="Z36" s="51"/>
      <c r="AA36" s="51"/>
      <c r="AB36" s="51"/>
      <c r="AC36" s="51"/>
      <c r="AD36" s="51"/>
      <c r="AE36" s="51"/>
      <c r="AF36" s="51"/>
      <c r="AG36" s="51"/>
      <c r="AH36" s="51"/>
      <c r="AI36" s="51"/>
      <c r="AJ36" s="51"/>
      <c r="AK36" s="51"/>
      <c r="AL36" s="51"/>
      <c r="AM36" s="51"/>
      <c r="AN36" s="52"/>
    </row>
    <row r="37" spans="1:40" ht="25.5">
      <c r="A37" s="32" t="s">
        <v>37</v>
      </c>
      <c r="B37" s="33" t="s">
        <v>153</v>
      </c>
      <c r="C37" s="34" t="s">
        <v>154</v>
      </c>
      <c r="D37" s="35" t="s">
        <v>155</v>
      </c>
      <c r="E37" s="36"/>
      <c r="F37" s="37" t="s">
        <v>110</v>
      </c>
      <c r="G37" s="38">
        <v>0</v>
      </c>
      <c r="H37" s="39">
        <f>IF(OR(J37="",K37="",K37&lt;J37),0,NETWORKDAYS(J37,K37,Hoja2!$A$2:$A$53))</f>
        <v>0</v>
      </c>
      <c r="I37" s="40">
        <v>45957</v>
      </c>
      <c r="J37" s="40"/>
      <c r="K37" s="41"/>
      <c r="L37" s="41"/>
      <c r="M37" s="42">
        <f ca="1">IF(OR(J37="",AND(L37="",TODAY()&lt;J37),AND(L37&lt;&gt;"",L37&lt;J37)),0,
   IF(L37="",
      NETWORKDAYS(J37,TODAY(),Hoja2!$A$2:$A$53),
      NETWORKDAYS(J37,L37,Hoja2!$A$2:$A$53)
   )
)</f>
        <v>0</v>
      </c>
      <c r="N37" s="43"/>
      <c r="O37" s="43"/>
      <c r="P37" s="43"/>
      <c r="Q37" s="44" t="s">
        <v>156</v>
      </c>
      <c r="R37" s="45" t="s">
        <v>102</v>
      </c>
      <c r="S37" s="53"/>
      <c r="T37" s="53"/>
      <c r="U37" s="53"/>
      <c r="V37" s="53"/>
      <c r="W37" s="53"/>
      <c r="X37" s="53"/>
      <c r="Y37" s="53"/>
      <c r="Z37" s="53"/>
      <c r="AA37" s="53"/>
      <c r="AB37" s="53"/>
      <c r="AC37" s="53"/>
      <c r="AD37" s="53"/>
      <c r="AE37" s="53"/>
      <c r="AF37" s="53"/>
      <c r="AG37" s="53"/>
      <c r="AH37" s="53"/>
      <c r="AI37" s="53"/>
      <c r="AJ37" s="53"/>
      <c r="AK37" s="53"/>
      <c r="AL37" s="53"/>
      <c r="AM37" s="53"/>
      <c r="AN37" s="54"/>
    </row>
    <row r="38" spans="1:40" ht="42.75">
      <c r="A38" s="17" t="s">
        <v>37</v>
      </c>
      <c r="B38" s="18" t="s">
        <v>157</v>
      </c>
      <c r="C38" s="19" t="s">
        <v>158</v>
      </c>
      <c r="D38" s="20" t="s">
        <v>159</v>
      </c>
      <c r="E38" s="21"/>
      <c r="F38" s="22" t="s">
        <v>21</v>
      </c>
      <c r="G38" s="23">
        <v>100</v>
      </c>
      <c r="H38" s="24">
        <f>IF(OR(J38="",K38="",K38&lt;J38),0,NETWORKDAYS(J38,K38,Hoja2!$A$2:$A$53))</f>
        <v>2</v>
      </c>
      <c r="I38" s="25">
        <v>46092</v>
      </c>
      <c r="J38" s="25">
        <v>46093</v>
      </c>
      <c r="K38" s="26">
        <v>46094</v>
      </c>
      <c r="L38" s="26"/>
      <c r="M38" s="27">
        <f ca="1">IF(OR(J38="",AND(L38="",TODAY()&lt;J38),AND(L38&lt;&gt;"",L38&lt;J38)),0,
   IF(L38="",
      NETWORKDAYS(J38,TODAY(),Hoja2!$A$2:$A$53),
      NETWORKDAYS(J38,L38,Hoja2!$A$2:$A$53)
   )
)</f>
        <v>68</v>
      </c>
      <c r="N38" s="28"/>
      <c r="O38" s="28">
        <v>46097</v>
      </c>
      <c r="P38" s="28">
        <v>46098</v>
      </c>
      <c r="Q38" s="29" t="s">
        <v>160</v>
      </c>
      <c r="R38" s="30" t="s">
        <v>23</v>
      </c>
      <c r="S38" s="51"/>
      <c r="T38" s="51"/>
      <c r="U38" s="51"/>
      <c r="V38" s="51"/>
      <c r="W38" s="51"/>
      <c r="X38" s="51"/>
      <c r="Y38" s="51"/>
      <c r="Z38" s="51"/>
      <c r="AA38" s="51"/>
      <c r="AB38" s="51"/>
      <c r="AC38" s="51"/>
      <c r="AD38" s="51"/>
      <c r="AE38" s="51"/>
      <c r="AF38" s="51"/>
      <c r="AG38" s="51"/>
      <c r="AH38" s="51"/>
      <c r="AI38" s="51"/>
      <c r="AJ38" s="51"/>
      <c r="AK38" s="51"/>
      <c r="AL38" s="51"/>
      <c r="AM38" s="51"/>
      <c r="AN38" s="52"/>
    </row>
    <row r="39" spans="1:40" ht="63.75">
      <c r="A39" s="32" t="s">
        <v>37</v>
      </c>
      <c r="B39" s="33" t="s">
        <v>161</v>
      </c>
      <c r="C39" s="34" t="s">
        <v>162</v>
      </c>
      <c r="D39" s="35" t="s">
        <v>163</v>
      </c>
      <c r="E39" s="36"/>
      <c r="F39" s="37" t="s">
        <v>21</v>
      </c>
      <c r="G39" s="38">
        <v>100</v>
      </c>
      <c r="H39" s="39">
        <f>IF(OR(J39="",K39="",K39&lt;J39),0,NETWORKDAYS(J39,K39,Hoja2!$A$2:$A$53))</f>
        <v>6</v>
      </c>
      <c r="I39" s="40">
        <v>45968</v>
      </c>
      <c r="J39" s="40">
        <v>45968</v>
      </c>
      <c r="K39" s="41">
        <v>45975</v>
      </c>
      <c r="L39" s="43">
        <v>45981</v>
      </c>
      <c r="M39" s="42">
        <f ca="1">IF(OR(J39="",AND(L39="",TODAY()&lt;J39),AND(L39&lt;&gt;"",L39&lt;J39)),0,
   IF(L39="",
      NETWORKDAYS(J39,TODAY(),Hoja2!$A$2:$A$53),
      NETWORKDAYS(J39,L39,Hoja2!$A$2:$A$53)
   )
)</f>
        <v>9</v>
      </c>
      <c r="N39" s="43"/>
      <c r="O39" s="43">
        <v>45981</v>
      </c>
      <c r="P39" s="43">
        <v>45981</v>
      </c>
      <c r="Q39" s="44" t="s">
        <v>164</v>
      </c>
      <c r="R39" s="45" t="s">
        <v>23</v>
      </c>
      <c r="S39" s="53"/>
      <c r="T39" s="53"/>
      <c r="U39" s="53"/>
      <c r="V39" s="53"/>
      <c r="W39" s="53"/>
      <c r="X39" s="53"/>
      <c r="Y39" s="53"/>
      <c r="Z39" s="53"/>
      <c r="AA39" s="53"/>
      <c r="AB39" s="53"/>
      <c r="AC39" s="53"/>
      <c r="AD39" s="53"/>
      <c r="AE39" s="53"/>
      <c r="AF39" s="53"/>
      <c r="AG39" s="53"/>
      <c r="AH39" s="53"/>
      <c r="AI39" s="53"/>
      <c r="AJ39" s="53"/>
      <c r="AK39" s="53"/>
      <c r="AL39" s="53"/>
      <c r="AM39" s="53"/>
      <c r="AN39" s="54"/>
    </row>
    <row r="40" spans="1:40" ht="71.25">
      <c r="A40" s="17" t="s">
        <v>37</v>
      </c>
      <c r="B40" s="18" t="s">
        <v>165</v>
      </c>
      <c r="C40" s="19" t="s">
        <v>166</v>
      </c>
      <c r="D40" s="20" t="s">
        <v>167</v>
      </c>
      <c r="E40" s="21"/>
      <c r="F40" s="22" t="s">
        <v>21</v>
      </c>
      <c r="G40" s="23">
        <v>100</v>
      </c>
      <c r="H40" s="24">
        <f>IF(OR(J40="",K40="",K40&lt;J40),0,NETWORKDAYS(J40,K40,Hoja2!$A$2:$A$53))</f>
        <v>6</v>
      </c>
      <c r="I40" s="25">
        <v>45968</v>
      </c>
      <c r="J40" s="25">
        <v>45968</v>
      </c>
      <c r="K40" s="26">
        <v>45975</v>
      </c>
      <c r="L40" s="28">
        <v>45981</v>
      </c>
      <c r="M40" s="27">
        <f ca="1">IF(OR(J40="",AND(L40="",TODAY()&lt;J40),AND(L40&lt;&gt;"",L40&lt;J40)),0,
   IF(L40="",
      NETWORKDAYS(J40,TODAY(),Hoja2!$A$2:$A$53),
      NETWORKDAYS(J40,L40,Hoja2!$A$2:$A$53)
   )
)</f>
        <v>9</v>
      </c>
      <c r="N40" s="28"/>
      <c r="O40" s="28">
        <v>45981</v>
      </c>
      <c r="P40" s="28">
        <v>45981</v>
      </c>
      <c r="Q40" s="29" t="s">
        <v>168</v>
      </c>
      <c r="R40" s="30" t="s">
        <v>23</v>
      </c>
      <c r="S40" s="51"/>
      <c r="T40" s="51"/>
      <c r="U40" s="51"/>
      <c r="V40" s="51"/>
      <c r="W40" s="51"/>
      <c r="X40" s="51"/>
      <c r="Y40" s="51"/>
      <c r="Z40" s="51"/>
      <c r="AA40" s="51"/>
      <c r="AB40" s="51"/>
      <c r="AC40" s="51"/>
      <c r="AD40" s="51"/>
      <c r="AE40" s="51"/>
      <c r="AF40" s="51"/>
      <c r="AG40" s="51"/>
      <c r="AH40" s="51"/>
      <c r="AI40" s="51"/>
      <c r="AJ40" s="51"/>
      <c r="AK40" s="51"/>
      <c r="AL40" s="51"/>
      <c r="AM40" s="51"/>
      <c r="AN40" s="52"/>
    </row>
    <row r="41" spans="1:40" ht="28.5">
      <c r="A41" s="32" t="s">
        <v>37</v>
      </c>
      <c r="B41" s="33" t="s">
        <v>169</v>
      </c>
      <c r="C41" s="34" t="s">
        <v>170</v>
      </c>
      <c r="D41" s="35" t="s">
        <v>171</v>
      </c>
      <c r="E41" s="36"/>
      <c r="F41" s="37" t="s">
        <v>21</v>
      </c>
      <c r="G41" s="38">
        <v>100</v>
      </c>
      <c r="H41" s="39">
        <f>IF(OR(J41="",K41="",K41&lt;J41),0,NETWORKDAYS(J41,K41,Hoja2!$A$2:$A$53))</f>
        <v>1</v>
      </c>
      <c r="I41" s="40">
        <v>45973</v>
      </c>
      <c r="J41" s="40">
        <v>45981</v>
      </c>
      <c r="K41" s="41">
        <v>45981</v>
      </c>
      <c r="L41" s="41">
        <v>45981</v>
      </c>
      <c r="M41" s="42">
        <f ca="1">IF(OR(J41="",AND(L41="",TODAY()&lt;J41),AND(L41&lt;&gt;"",L41&lt;J41)),0,
   IF(L41="",
      NETWORKDAYS(J41,TODAY(),Hoja2!$A$2:$A$53),
      NETWORKDAYS(J41,L41,Hoja2!$A$2:$A$53)
   )
)</f>
        <v>1</v>
      </c>
      <c r="N41" s="43"/>
      <c r="O41" s="43">
        <v>45981</v>
      </c>
      <c r="P41" s="43">
        <v>45981</v>
      </c>
      <c r="Q41" s="44" t="s">
        <v>172</v>
      </c>
      <c r="R41" s="45" t="s">
        <v>23</v>
      </c>
      <c r="S41" s="55"/>
      <c r="T41" s="55"/>
      <c r="U41" s="55"/>
      <c r="V41" s="55"/>
      <c r="W41" s="55"/>
      <c r="X41" s="55"/>
      <c r="Y41" s="55"/>
      <c r="Z41" s="55"/>
      <c r="AA41" s="55"/>
      <c r="AB41" s="55"/>
      <c r="AC41" s="55"/>
      <c r="AD41" s="55"/>
      <c r="AE41" s="55"/>
      <c r="AF41" s="55"/>
      <c r="AG41" s="55"/>
      <c r="AH41" s="55"/>
      <c r="AI41" s="55"/>
      <c r="AJ41" s="55"/>
      <c r="AK41" s="55"/>
      <c r="AL41" s="55"/>
      <c r="AM41" s="55"/>
      <c r="AN41" s="56"/>
    </row>
    <row r="42" spans="1:40" ht="38.25">
      <c r="A42" s="17" t="s">
        <v>37</v>
      </c>
      <c r="B42" s="18" t="s">
        <v>173</v>
      </c>
      <c r="C42" s="19" t="s">
        <v>174</v>
      </c>
      <c r="D42" s="20" t="s">
        <v>175</v>
      </c>
      <c r="E42" s="21"/>
      <c r="F42" s="22" t="s">
        <v>21</v>
      </c>
      <c r="G42" s="23">
        <v>100</v>
      </c>
      <c r="H42" s="24">
        <f>IF(OR(J42="",K42="",K42&lt;J42),0,NETWORKDAYS(J42,K42,Hoja2!$A$2:$A$53))</f>
        <v>1</v>
      </c>
      <c r="I42" s="25">
        <v>45973</v>
      </c>
      <c r="J42" s="25">
        <v>45973</v>
      </c>
      <c r="K42" s="25">
        <v>45973</v>
      </c>
      <c r="L42" s="25">
        <v>45973</v>
      </c>
      <c r="M42" s="27">
        <f ca="1">IF(OR(J42="",AND(L42="",TODAY()&lt;J42),AND(L42&lt;&gt;"",L42&lt;J42)),0,
   IF(L42="",
      NETWORKDAYS(J42,TODAY(),Hoja2!$A$2:$A$53),
      NETWORKDAYS(J42,L42,Hoja2!$A$2:$A$53)
   )
)</f>
        <v>1</v>
      </c>
      <c r="N42" s="50"/>
      <c r="O42" s="50">
        <v>45973</v>
      </c>
      <c r="P42" s="50">
        <v>45973</v>
      </c>
      <c r="Q42" s="29" t="s">
        <v>176</v>
      </c>
      <c r="R42" s="30" t="s">
        <v>23</v>
      </c>
      <c r="S42" s="57"/>
      <c r="T42" s="57"/>
      <c r="U42" s="57"/>
      <c r="V42" s="57"/>
      <c r="W42" s="57"/>
      <c r="X42" s="57"/>
      <c r="Y42" s="57"/>
      <c r="Z42" s="57"/>
      <c r="AA42" s="57"/>
      <c r="AB42" s="57"/>
      <c r="AC42" s="57"/>
      <c r="AD42" s="57"/>
      <c r="AE42" s="57"/>
      <c r="AF42" s="57"/>
      <c r="AG42" s="57"/>
      <c r="AH42" s="57"/>
      <c r="AI42" s="57"/>
      <c r="AJ42" s="57"/>
      <c r="AK42" s="57"/>
      <c r="AL42" s="57"/>
      <c r="AM42" s="57"/>
      <c r="AN42" s="58"/>
    </row>
    <row r="43" spans="1:40" ht="28.5">
      <c r="A43" s="32" t="s">
        <v>37</v>
      </c>
      <c r="B43" s="33" t="s">
        <v>177</v>
      </c>
      <c r="C43" s="34" t="s">
        <v>178</v>
      </c>
      <c r="D43" s="35" t="s">
        <v>179</v>
      </c>
      <c r="E43" s="36"/>
      <c r="F43" s="37" t="s">
        <v>21</v>
      </c>
      <c r="G43" s="38">
        <v>100</v>
      </c>
      <c r="H43" s="39">
        <f>IF(OR(J43="",K43="",K43&lt;J43),0,NETWORKDAYS(J43,K43,Hoja2!$A$2:$A$53))</f>
        <v>1</v>
      </c>
      <c r="I43" s="40">
        <v>45973</v>
      </c>
      <c r="J43" s="40">
        <v>45973</v>
      </c>
      <c r="K43" s="40">
        <v>45973</v>
      </c>
      <c r="L43" s="40">
        <v>45973</v>
      </c>
      <c r="M43" s="42">
        <f ca="1">IF(OR(J43="",AND(L43="",TODAY()&lt;J43),AND(L43&lt;&gt;"",L43&lt;J43)),0,
   IF(L43="",
      NETWORKDAYS(J43,TODAY(),Hoja2!$A$2:$A$53),
      NETWORKDAYS(J43,L43,Hoja2!$A$2:$A$53)
   )
)</f>
        <v>1</v>
      </c>
      <c r="N43" s="59"/>
      <c r="O43" s="59">
        <v>45973</v>
      </c>
      <c r="P43" s="59">
        <v>45973</v>
      </c>
      <c r="Q43" s="44" t="s">
        <v>180</v>
      </c>
      <c r="R43" s="45" t="s">
        <v>23</v>
      </c>
      <c r="S43" s="55"/>
      <c r="T43" s="55"/>
      <c r="U43" s="55"/>
      <c r="V43" s="55"/>
      <c r="W43" s="55"/>
      <c r="X43" s="55"/>
      <c r="Y43" s="55"/>
      <c r="Z43" s="55"/>
      <c r="AA43" s="55"/>
      <c r="AB43" s="55"/>
      <c r="AC43" s="55"/>
      <c r="AD43" s="55"/>
      <c r="AE43" s="55"/>
      <c r="AF43" s="55"/>
      <c r="AG43" s="55"/>
      <c r="AH43" s="55"/>
      <c r="AI43" s="55"/>
      <c r="AJ43" s="55"/>
      <c r="AK43" s="55"/>
      <c r="AL43" s="55"/>
      <c r="AM43" s="55"/>
      <c r="AN43" s="56"/>
    </row>
    <row r="44" spans="1:40" ht="42.75">
      <c r="A44" s="17" t="s">
        <v>37</v>
      </c>
      <c r="B44" s="18" t="s">
        <v>181</v>
      </c>
      <c r="C44" s="19" t="s">
        <v>182</v>
      </c>
      <c r="D44" s="20" t="s">
        <v>183</v>
      </c>
      <c r="E44" s="21"/>
      <c r="F44" s="22" t="s">
        <v>21</v>
      </c>
      <c r="G44" s="23">
        <v>100</v>
      </c>
      <c r="H44" s="24">
        <f>IF(OR(J44="",K44="",K44&lt;J44),0,NETWORKDAYS(J44,K44,Hoja2!$A$2:$A$53))</f>
        <v>3</v>
      </c>
      <c r="I44" s="25">
        <v>45974</v>
      </c>
      <c r="J44" s="25">
        <v>45974</v>
      </c>
      <c r="K44" s="28">
        <v>45979</v>
      </c>
      <c r="L44" s="28">
        <v>45979</v>
      </c>
      <c r="M44" s="27">
        <f ca="1">IF(OR(J44="",AND(L44="",TODAY()&lt;J44),AND(L44&lt;&gt;"",L44&lt;J44)),0,
   IF(L44="",
      NETWORKDAYS(J44,TODAY(),Hoja2!$A$2:$A$53),
      NETWORKDAYS(J44,L44,Hoja2!$A$2:$A$53)
   )
)</f>
        <v>3</v>
      </c>
      <c r="N44" s="28"/>
      <c r="O44" s="28">
        <v>45979</v>
      </c>
      <c r="P44" s="28">
        <v>45985</v>
      </c>
      <c r="Q44" s="29" t="s">
        <v>184</v>
      </c>
      <c r="R44" s="30" t="s">
        <v>23</v>
      </c>
      <c r="S44" s="57"/>
      <c r="T44" s="57"/>
      <c r="U44" s="57"/>
      <c r="V44" s="57"/>
      <c r="W44" s="57"/>
      <c r="X44" s="57"/>
      <c r="Y44" s="57"/>
      <c r="Z44" s="57"/>
      <c r="AA44" s="57"/>
      <c r="AB44" s="57"/>
      <c r="AC44" s="57"/>
      <c r="AD44" s="57"/>
      <c r="AE44" s="57"/>
      <c r="AF44" s="57"/>
      <c r="AG44" s="57"/>
      <c r="AH44" s="57"/>
      <c r="AI44" s="57"/>
      <c r="AJ44" s="57"/>
      <c r="AK44" s="57"/>
      <c r="AL44" s="57"/>
      <c r="AM44" s="57"/>
      <c r="AN44" s="58"/>
    </row>
    <row r="45" spans="1:40" ht="42.75">
      <c r="A45" s="32" t="s">
        <v>37</v>
      </c>
      <c r="B45" s="33" t="s">
        <v>185</v>
      </c>
      <c r="C45" s="34" t="s">
        <v>186</v>
      </c>
      <c r="D45" s="35" t="s">
        <v>187</v>
      </c>
      <c r="E45" s="36"/>
      <c r="F45" s="37" t="s">
        <v>21</v>
      </c>
      <c r="G45" s="38">
        <v>100</v>
      </c>
      <c r="H45" s="39">
        <f>IF(OR(J45="",K45="",K45&lt;J45),0,NETWORKDAYS(J45,K45,Hoja2!$A$2:$A$53))</f>
        <v>6</v>
      </c>
      <c r="I45" s="40">
        <v>45988</v>
      </c>
      <c r="J45" s="40">
        <v>46009</v>
      </c>
      <c r="K45" s="41">
        <v>46017</v>
      </c>
      <c r="L45" s="41">
        <v>46028</v>
      </c>
      <c r="M45" s="42">
        <f ca="1">IF(OR(J45="",AND(L45="",TODAY()&lt;J45),AND(L45&lt;&gt;"",L45&lt;J45)),0,
   IF(L45="",
      NETWORKDAYS(J45,TODAY(),Hoja2!$A$2:$A$53),
      NETWORKDAYS(J45,L45,Hoja2!$A$2:$A$53)
   )
)</f>
        <v>12</v>
      </c>
      <c r="N45" s="43"/>
      <c r="O45" s="43">
        <v>46017</v>
      </c>
      <c r="P45" s="43">
        <v>46027</v>
      </c>
      <c r="Q45" s="44" t="s">
        <v>188</v>
      </c>
      <c r="R45" s="45" t="s">
        <v>23</v>
      </c>
      <c r="S45" s="55"/>
      <c r="T45" s="55"/>
      <c r="U45" s="55"/>
      <c r="V45" s="55"/>
      <c r="W45" s="55"/>
      <c r="X45" s="55"/>
      <c r="Y45" s="55"/>
      <c r="Z45" s="55"/>
      <c r="AA45" s="55"/>
      <c r="AB45" s="55"/>
      <c r="AC45" s="55"/>
      <c r="AD45" s="55"/>
      <c r="AE45" s="55"/>
      <c r="AF45" s="55"/>
      <c r="AG45" s="55"/>
      <c r="AH45" s="55"/>
      <c r="AI45" s="55"/>
      <c r="AJ45" s="55"/>
      <c r="AK45" s="55"/>
      <c r="AL45" s="55"/>
      <c r="AM45" s="55"/>
      <c r="AN45" s="56"/>
    </row>
    <row r="46" spans="1:40" ht="42.75">
      <c r="A46" s="17" t="s">
        <v>37</v>
      </c>
      <c r="B46" s="18" t="s">
        <v>189</v>
      </c>
      <c r="C46" s="19" t="s">
        <v>190</v>
      </c>
      <c r="D46" s="20" t="s">
        <v>191</v>
      </c>
      <c r="E46" s="21"/>
      <c r="F46" s="22" t="s">
        <v>21</v>
      </c>
      <c r="G46" s="23">
        <v>100</v>
      </c>
      <c r="H46" s="24">
        <f>IF(OR(J46="",K46="",K46&lt;J46),0,NETWORKDAYS(J46,K46,Hoja2!$A$2:$A$53))</f>
        <v>6</v>
      </c>
      <c r="I46" s="25">
        <v>45989</v>
      </c>
      <c r="J46" s="25">
        <v>45989</v>
      </c>
      <c r="K46" s="26">
        <v>45996</v>
      </c>
      <c r="L46" s="26">
        <v>45996</v>
      </c>
      <c r="M46" s="27">
        <f ca="1">IF(OR(J46="",AND(L46="",TODAY()&lt;J46),AND(L46&lt;&gt;"",L46&lt;J46)),0,
   IF(L46="",
      NETWORKDAYS(J46,TODAY(),Hoja2!$A$2:$A$53),
      NETWORKDAYS(J46,L46,Hoja2!$A$2:$A$53)
   )
)</f>
        <v>6</v>
      </c>
      <c r="N46" s="28"/>
      <c r="O46" s="28">
        <v>46003</v>
      </c>
      <c r="P46" s="28">
        <v>46003</v>
      </c>
      <c r="Q46" s="29" t="s">
        <v>192</v>
      </c>
      <c r="R46" s="30" t="s">
        <v>23</v>
      </c>
      <c r="S46" s="51"/>
      <c r="T46" s="51"/>
      <c r="U46" s="51"/>
      <c r="V46" s="51"/>
      <c r="W46" s="51"/>
      <c r="X46" s="51"/>
      <c r="Y46" s="51"/>
      <c r="Z46" s="51"/>
      <c r="AA46" s="51"/>
      <c r="AB46" s="51"/>
      <c r="AC46" s="51"/>
      <c r="AD46" s="51"/>
      <c r="AE46" s="51"/>
      <c r="AF46" s="51"/>
      <c r="AG46" s="51"/>
      <c r="AH46" s="51"/>
      <c r="AI46" s="51"/>
      <c r="AJ46" s="51"/>
      <c r="AK46" s="51"/>
      <c r="AL46" s="51"/>
      <c r="AM46" s="51"/>
      <c r="AN46" s="52"/>
    </row>
    <row r="47" spans="1:40" ht="28.5">
      <c r="A47" s="32" t="s">
        <v>37</v>
      </c>
      <c r="B47" s="33" t="s">
        <v>193</v>
      </c>
      <c r="C47" s="34" t="s">
        <v>194</v>
      </c>
      <c r="D47" s="35" t="s">
        <v>195</v>
      </c>
      <c r="E47" s="36"/>
      <c r="F47" s="37" t="s">
        <v>21</v>
      </c>
      <c r="G47" s="38">
        <v>100</v>
      </c>
      <c r="H47" s="39">
        <f>IF(OR(J47="",K47="",K47&lt;J47),0,NETWORKDAYS(J47,K47,Hoja2!$A$2:$A$53))</f>
        <v>5</v>
      </c>
      <c r="I47" s="40">
        <v>46001</v>
      </c>
      <c r="J47" s="40">
        <v>46021</v>
      </c>
      <c r="K47" s="41">
        <v>46028</v>
      </c>
      <c r="L47" s="41">
        <v>46027</v>
      </c>
      <c r="M47" s="42">
        <f ca="1">IF(OR(J47="",AND(L47="",TODAY()&lt;J47),AND(L47&lt;&gt;"",L47&lt;J47)),0,
   IF(L47="",
      NETWORKDAYS(J47,TODAY(),Hoja2!$A$2:$A$53),
      NETWORKDAYS(J47,L47,Hoja2!$A$2:$A$53)
   )
)</f>
        <v>4</v>
      </c>
      <c r="N47" s="43"/>
      <c r="O47" s="43">
        <v>46027</v>
      </c>
      <c r="P47" s="43">
        <v>46028</v>
      </c>
      <c r="Q47" s="44" t="s">
        <v>196</v>
      </c>
      <c r="R47" s="45" t="s">
        <v>23</v>
      </c>
      <c r="S47" s="55"/>
      <c r="T47" s="55"/>
      <c r="U47" s="55"/>
      <c r="V47" s="55"/>
      <c r="W47" s="55"/>
      <c r="X47" s="55"/>
      <c r="Y47" s="55"/>
      <c r="Z47" s="55"/>
      <c r="AA47" s="55"/>
      <c r="AB47" s="55"/>
      <c r="AC47" s="55"/>
      <c r="AD47" s="55"/>
      <c r="AE47" s="55"/>
      <c r="AF47" s="55"/>
      <c r="AG47" s="55"/>
      <c r="AH47" s="55"/>
      <c r="AI47" s="55"/>
      <c r="AJ47" s="55"/>
      <c r="AK47" s="55"/>
      <c r="AL47" s="55"/>
      <c r="AM47" s="55"/>
      <c r="AN47" s="56"/>
    </row>
    <row r="48" spans="1:40" ht="38.25">
      <c r="A48" s="17" t="s">
        <v>37</v>
      </c>
      <c r="B48" s="18" t="s">
        <v>197</v>
      </c>
      <c r="C48" s="19" t="s">
        <v>198</v>
      </c>
      <c r="D48" s="20" t="s">
        <v>199</v>
      </c>
      <c r="E48" s="21"/>
      <c r="F48" s="22" t="s">
        <v>21</v>
      </c>
      <c r="G48" s="23">
        <v>100</v>
      </c>
      <c r="H48" s="24">
        <f>IF(OR(J48="",K48="",K48&lt;J48),0,NETWORKDAYS(J48,K48,Hoja2!$A$2:$A$53))</f>
        <v>15</v>
      </c>
      <c r="I48" s="25">
        <v>46029</v>
      </c>
      <c r="J48" s="25">
        <v>46058</v>
      </c>
      <c r="K48" s="26">
        <v>46078</v>
      </c>
      <c r="L48" s="26">
        <v>46078</v>
      </c>
      <c r="M48" s="27">
        <f ca="1">IF(OR(J48="",AND(L48="",TODAY()&lt;J48),AND(L48&lt;&gt;"",L48&lt;J48)),0,
   IF(L48="",
      NETWORKDAYS(J48,TODAY(),Hoja2!$A$2:$A$53),
      NETWORKDAYS(J48,L48,Hoja2!$A$2:$A$53)
   )
)</f>
        <v>15</v>
      </c>
      <c r="N48" s="28"/>
      <c r="O48" s="28">
        <v>46080</v>
      </c>
      <c r="P48" s="28">
        <v>46091</v>
      </c>
      <c r="Q48" s="29" t="s">
        <v>200</v>
      </c>
      <c r="R48" s="30" t="s">
        <v>23</v>
      </c>
      <c r="S48" s="57"/>
      <c r="T48" s="57"/>
      <c r="U48" s="57"/>
      <c r="V48" s="57"/>
      <c r="W48" s="57"/>
      <c r="X48" s="57"/>
      <c r="Y48" s="57"/>
      <c r="Z48" s="57"/>
      <c r="AA48" s="57"/>
      <c r="AB48" s="57"/>
      <c r="AC48" s="57"/>
      <c r="AD48" s="57"/>
      <c r="AE48" s="57"/>
      <c r="AF48" s="57"/>
      <c r="AG48" s="57"/>
      <c r="AH48" s="57"/>
      <c r="AI48" s="57"/>
      <c r="AJ48" s="57"/>
      <c r="AK48" s="57"/>
      <c r="AL48" s="57"/>
      <c r="AM48" s="57"/>
      <c r="AN48" s="58"/>
    </row>
    <row r="49" spans="1:40" ht="38.25">
      <c r="A49" s="32" t="s">
        <v>37</v>
      </c>
      <c r="B49" s="33" t="s">
        <v>201</v>
      </c>
      <c r="C49" s="34" t="s">
        <v>202</v>
      </c>
      <c r="D49" s="35" t="s">
        <v>203</v>
      </c>
      <c r="E49" s="36"/>
      <c r="F49" s="37" t="s">
        <v>21</v>
      </c>
      <c r="G49" s="38">
        <v>100</v>
      </c>
      <c r="H49" s="39">
        <f>IF(OR(J49="",K49="",K49&lt;J49),0,NETWORKDAYS(J49,K49,Hoja2!$A$2:$A$53))</f>
        <v>1</v>
      </c>
      <c r="I49" s="40">
        <v>46035</v>
      </c>
      <c r="J49" s="40">
        <v>46035</v>
      </c>
      <c r="K49" s="41">
        <v>46035</v>
      </c>
      <c r="L49" s="41">
        <v>46035</v>
      </c>
      <c r="M49" s="42">
        <f ca="1">IF(OR(J49="",AND(L49="",TODAY()&lt;J49),AND(L49&lt;&gt;"",L49&lt;J49)),0,
   IF(L49="",
      NETWORKDAYS(J49,TODAY(),Hoja2!$A$2:$A$53),
      NETWORKDAYS(J49,L49,Hoja2!$A$2:$A$53)
   )
)</f>
        <v>1</v>
      </c>
      <c r="N49" s="43"/>
      <c r="O49" s="43">
        <v>46035</v>
      </c>
      <c r="P49" s="43">
        <v>46035</v>
      </c>
      <c r="Q49" s="44" t="s">
        <v>204</v>
      </c>
      <c r="R49" s="45" t="s">
        <v>23</v>
      </c>
      <c r="S49" s="55"/>
      <c r="T49" s="55"/>
      <c r="U49" s="55"/>
      <c r="V49" s="55"/>
      <c r="W49" s="55"/>
      <c r="X49" s="55"/>
      <c r="Y49" s="55"/>
      <c r="Z49" s="55"/>
      <c r="AA49" s="55"/>
      <c r="AB49" s="55"/>
      <c r="AC49" s="55"/>
      <c r="AD49" s="55"/>
      <c r="AE49" s="55"/>
      <c r="AF49" s="55"/>
      <c r="AG49" s="55"/>
      <c r="AH49" s="55"/>
      <c r="AI49" s="55"/>
      <c r="AJ49" s="55"/>
      <c r="AK49" s="55"/>
      <c r="AL49" s="55"/>
      <c r="AM49" s="55"/>
      <c r="AN49" s="56"/>
    </row>
    <row r="50" spans="1:40" ht="38.25">
      <c r="A50" s="17" t="s">
        <v>37</v>
      </c>
      <c r="B50" s="18" t="s">
        <v>205</v>
      </c>
      <c r="C50" s="19" t="s">
        <v>206</v>
      </c>
      <c r="D50" s="20" t="s">
        <v>203</v>
      </c>
      <c r="E50" s="21"/>
      <c r="F50" s="22" t="s">
        <v>21</v>
      </c>
      <c r="G50" s="23">
        <v>100</v>
      </c>
      <c r="H50" s="24">
        <f>IF(OR(J50="",K50="",K50&lt;J50),0,NETWORKDAYS(J50,K50,Hoja2!$A$2:$A$53))</f>
        <v>1</v>
      </c>
      <c r="I50" s="25">
        <v>46036</v>
      </c>
      <c r="J50" s="25">
        <v>46036</v>
      </c>
      <c r="K50" s="26">
        <v>46036</v>
      </c>
      <c r="L50" s="26">
        <v>46036</v>
      </c>
      <c r="M50" s="27">
        <f ca="1">IF(OR(J50="",AND(L50="",TODAY()&lt;J50),AND(L50&lt;&gt;"",L50&lt;J50)),0,
   IF(L50="",
      NETWORKDAYS(J50,TODAY(),Hoja2!$A$2:$A$53),
      NETWORKDAYS(J50,L50,Hoja2!$A$2:$A$53)
   )
)</f>
        <v>1</v>
      </c>
      <c r="N50" s="28"/>
      <c r="O50" s="28">
        <v>46036</v>
      </c>
      <c r="P50" s="28">
        <v>46036</v>
      </c>
      <c r="Q50" s="29" t="s">
        <v>207</v>
      </c>
      <c r="R50" s="30" t="s">
        <v>23</v>
      </c>
      <c r="S50" s="57"/>
      <c r="T50" s="57"/>
      <c r="U50" s="57"/>
      <c r="V50" s="57"/>
      <c r="W50" s="57"/>
      <c r="X50" s="57"/>
      <c r="Y50" s="57"/>
      <c r="Z50" s="57"/>
      <c r="AA50" s="57"/>
      <c r="AB50" s="57"/>
      <c r="AC50" s="57"/>
      <c r="AD50" s="57"/>
      <c r="AE50" s="57"/>
      <c r="AF50" s="57"/>
      <c r="AG50" s="57"/>
      <c r="AH50" s="57"/>
      <c r="AI50" s="57"/>
      <c r="AJ50" s="57"/>
      <c r="AK50" s="57"/>
      <c r="AL50" s="57"/>
      <c r="AM50" s="57"/>
      <c r="AN50" s="58"/>
    </row>
    <row r="51" spans="1:40" ht="38.25">
      <c r="A51" s="32" t="s">
        <v>37</v>
      </c>
      <c r="B51" s="33" t="s">
        <v>208</v>
      </c>
      <c r="C51" s="34" t="s">
        <v>209</v>
      </c>
      <c r="D51" s="35" t="s">
        <v>210</v>
      </c>
      <c r="E51" s="36"/>
      <c r="F51" s="37" t="s">
        <v>21</v>
      </c>
      <c r="G51" s="38">
        <v>100</v>
      </c>
      <c r="H51" s="39">
        <f>IF(OR(J51="",K51="",K51&lt;J51),0,NETWORKDAYS(J51,K51,Hoja2!$A$2:$A$53))</f>
        <v>7</v>
      </c>
      <c r="I51" s="40">
        <v>46037</v>
      </c>
      <c r="J51" s="40">
        <v>46064</v>
      </c>
      <c r="K51" s="43">
        <v>46072</v>
      </c>
      <c r="L51" s="43">
        <v>46072</v>
      </c>
      <c r="M51" s="42">
        <f ca="1">IF(OR(J51="",AND(L51="",TODAY()&lt;J51),AND(L51&lt;&gt;"",L51&lt;J51)),0,
   IF(L51="",
      NETWORKDAYS(J51,TODAY(),Hoja2!$A$2:$A$53),
      NETWORKDAYS(J51,L51,Hoja2!$A$2:$A$53)
   )
)</f>
        <v>7</v>
      </c>
      <c r="N51" s="43"/>
      <c r="O51" s="43">
        <v>46072</v>
      </c>
      <c r="P51" s="43">
        <v>46076</v>
      </c>
      <c r="Q51" s="44" t="s">
        <v>211</v>
      </c>
      <c r="R51" s="45" t="s">
        <v>23</v>
      </c>
      <c r="S51" s="55"/>
      <c r="T51" s="55"/>
      <c r="U51" s="55"/>
      <c r="V51" s="55"/>
      <c r="W51" s="55"/>
      <c r="X51" s="55"/>
      <c r="Y51" s="55"/>
      <c r="Z51" s="55"/>
      <c r="AA51" s="55"/>
      <c r="AB51" s="55"/>
      <c r="AC51" s="55"/>
      <c r="AD51" s="55"/>
      <c r="AE51" s="55"/>
      <c r="AF51" s="55"/>
      <c r="AG51" s="55"/>
      <c r="AH51" s="55"/>
      <c r="AI51" s="55"/>
      <c r="AJ51" s="55"/>
      <c r="AK51" s="55"/>
      <c r="AL51" s="55"/>
      <c r="AM51" s="55"/>
      <c r="AN51" s="56"/>
    </row>
    <row r="52" spans="1:40" ht="28.5">
      <c r="A52" s="17" t="s">
        <v>37</v>
      </c>
      <c r="B52" s="18" t="s">
        <v>212</v>
      </c>
      <c r="C52" s="19" t="s">
        <v>213</v>
      </c>
      <c r="D52" s="20" t="s">
        <v>214</v>
      </c>
      <c r="E52" s="21"/>
      <c r="F52" s="22" t="s">
        <v>21</v>
      </c>
      <c r="G52" s="23">
        <v>100</v>
      </c>
      <c r="H52" s="24">
        <f>IF(OR(J52="",K52="",K52&lt;J52),0,NETWORKDAYS(J52,K52,Hoja2!$A$2:$A$53))</f>
        <v>1</v>
      </c>
      <c r="I52" s="25">
        <v>46066</v>
      </c>
      <c r="J52" s="25">
        <v>46066</v>
      </c>
      <c r="K52" s="25">
        <v>46066</v>
      </c>
      <c r="L52" s="25">
        <v>46066</v>
      </c>
      <c r="M52" s="27">
        <f ca="1">IF(OR(J52="",AND(L52="",TODAY()&lt;J52),AND(L52&lt;&gt;"",L52&lt;J52)),0,
   IF(L52="",
      NETWORKDAYS(J52,TODAY(),Hoja2!$A$2:$A$53),
      NETWORKDAYS(J52,L52,Hoja2!$A$2:$A$53)
   )
)</f>
        <v>1</v>
      </c>
      <c r="N52" s="28"/>
      <c r="O52" s="28">
        <v>46066</v>
      </c>
      <c r="P52" s="28">
        <v>46066</v>
      </c>
      <c r="Q52" s="29" t="s">
        <v>215</v>
      </c>
      <c r="R52" s="30" t="s">
        <v>23</v>
      </c>
      <c r="S52" s="57"/>
      <c r="T52" s="57"/>
      <c r="U52" s="57"/>
      <c r="V52" s="57"/>
      <c r="W52" s="57"/>
      <c r="X52" s="57"/>
      <c r="Y52" s="57"/>
      <c r="Z52" s="57"/>
      <c r="AA52" s="57"/>
      <c r="AB52" s="57"/>
      <c r="AC52" s="57"/>
      <c r="AD52" s="57"/>
      <c r="AE52" s="57"/>
      <c r="AF52" s="57"/>
      <c r="AG52" s="57"/>
      <c r="AH52" s="57"/>
      <c r="AI52" s="57"/>
      <c r="AJ52" s="57"/>
      <c r="AK52" s="57"/>
      <c r="AL52" s="57"/>
      <c r="AM52" s="57"/>
      <c r="AN52" s="58"/>
    </row>
    <row r="53" spans="1:40" ht="71.25">
      <c r="A53" s="32" t="s">
        <v>37</v>
      </c>
      <c r="B53" s="33" t="s">
        <v>216</v>
      </c>
      <c r="C53" s="34" t="s">
        <v>217</v>
      </c>
      <c r="D53" s="35" t="s">
        <v>218</v>
      </c>
      <c r="E53" s="36"/>
      <c r="F53" s="37" t="s">
        <v>21</v>
      </c>
      <c r="G53" s="38">
        <v>100</v>
      </c>
      <c r="H53" s="39">
        <f>IF(OR(J53="",K53="",K53&lt;J53),0,NETWORKDAYS(J53,K53,Hoja2!$A$2:$A$53))</f>
        <v>2</v>
      </c>
      <c r="I53" s="40">
        <v>46069</v>
      </c>
      <c r="J53" s="40">
        <v>46070</v>
      </c>
      <c r="K53" s="41">
        <v>46071</v>
      </c>
      <c r="L53" s="41">
        <v>46071</v>
      </c>
      <c r="M53" s="42">
        <f ca="1">IF(OR(J53="",AND(L53="",TODAY()&lt;J53),AND(L53&lt;&gt;"",L53&lt;J53)),0,
   IF(L53="",
      NETWORKDAYS(J53,TODAY(),Hoja2!$A$2:$A$53),
      NETWORKDAYS(J53,L53,Hoja2!$A$2:$A$53)
   )
)</f>
        <v>2</v>
      </c>
      <c r="N53" s="43"/>
      <c r="O53" s="43">
        <v>46071</v>
      </c>
      <c r="P53" s="43">
        <v>46071</v>
      </c>
      <c r="Q53" s="44" t="s">
        <v>219</v>
      </c>
      <c r="R53" s="45" t="s">
        <v>23</v>
      </c>
      <c r="S53" s="55"/>
      <c r="T53" s="55"/>
      <c r="U53" s="55"/>
      <c r="V53" s="55"/>
      <c r="W53" s="55"/>
      <c r="X53" s="55"/>
      <c r="Y53" s="55"/>
      <c r="Z53" s="55"/>
      <c r="AA53" s="55"/>
      <c r="AB53" s="55"/>
      <c r="AC53" s="55"/>
      <c r="AD53" s="55"/>
      <c r="AE53" s="55"/>
      <c r="AF53" s="55"/>
      <c r="AG53" s="55"/>
      <c r="AH53" s="55"/>
      <c r="AI53" s="55"/>
      <c r="AJ53" s="55"/>
      <c r="AK53" s="55"/>
      <c r="AL53" s="55"/>
      <c r="AM53" s="55"/>
      <c r="AN53" s="56"/>
    </row>
    <row r="54" spans="1:40" ht="28.5">
      <c r="A54" s="17" t="s">
        <v>37</v>
      </c>
      <c r="B54" s="18" t="s">
        <v>220</v>
      </c>
      <c r="C54" s="19" t="s">
        <v>221</v>
      </c>
      <c r="D54" s="20" t="s">
        <v>222</v>
      </c>
      <c r="E54" s="21"/>
      <c r="F54" s="22" t="s">
        <v>21</v>
      </c>
      <c r="G54" s="23">
        <v>100</v>
      </c>
      <c r="H54" s="24">
        <f>IF(OR(J54="",K54="",K54&lt;J54),0,NETWORKDAYS(J54,K54,Hoja2!$A$2:$A$53))</f>
        <v>1</v>
      </c>
      <c r="I54" s="25">
        <v>46069</v>
      </c>
      <c r="J54" s="25">
        <v>46071</v>
      </c>
      <c r="K54" s="26">
        <v>46071</v>
      </c>
      <c r="L54" s="26">
        <v>46071</v>
      </c>
      <c r="M54" s="27">
        <f ca="1">IF(OR(J54="",AND(L54="",TODAY()&lt;J54),AND(L54&lt;&gt;"",L54&lt;J54)),0,
   IF(L54="",
      NETWORKDAYS(J54,TODAY(),Hoja2!$A$2:$A$53),
      NETWORKDAYS(J54,L54,Hoja2!$A$2:$A$53)
   )
)</f>
        <v>1</v>
      </c>
      <c r="N54" s="28"/>
      <c r="O54" s="28">
        <v>46071</v>
      </c>
      <c r="P54" s="28">
        <v>46071</v>
      </c>
      <c r="Q54" s="29" t="s">
        <v>223</v>
      </c>
      <c r="R54" s="30" t="s">
        <v>23</v>
      </c>
      <c r="S54" s="57"/>
      <c r="T54" s="57"/>
      <c r="U54" s="57"/>
      <c r="V54" s="57"/>
      <c r="W54" s="57"/>
      <c r="X54" s="57"/>
      <c r="Y54" s="57"/>
      <c r="Z54" s="57"/>
      <c r="AA54" s="57"/>
      <c r="AB54" s="57"/>
      <c r="AC54" s="57"/>
      <c r="AD54" s="57"/>
      <c r="AE54" s="57"/>
      <c r="AF54" s="57"/>
      <c r="AG54" s="57"/>
      <c r="AH54" s="57"/>
      <c r="AI54" s="57"/>
      <c r="AJ54" s="57"/>
      <c r="AK54" s="57"/>
      <c r="AL54" s="57"/>
      <c r="AM54" s="57"/>
      <c r="AN54" s="58"/>
    </row>
    <row r="55" spans="1:40" ht="38.25">
      <c r="A55" s="32" t="s">
        <v>37</v>
      </c>
      <c r="B55" s="33" t="s">
        <v>224</v>
      </c>
      <c r="C55" s="34" t="s">
        <v>225</v>
      </c>
      <c r="D55" s="35" t="s">
        <v>226</v>
      </c>
      <c r="E55" s="36"/>
      <c r="F55" s="37" t="s">
        <v>21</v>
      </c>
      <c r="G55" s="38">
        <v>100</v>
      </c>
      <c r="H55" s="39">
        <f>IF(OR(J55="",K55="",K55&lt;J55),0,NETWORKDAYS(J55,K55,Hoja2!$A$2:$A$53))</f>
        <v>8</v>
      </c>
      <c r="I55" s="40">
        <v>46073</v>
      </c>
      <c r="J55" s="40">
        <v>46078</v>
      </c>
      <c r="K55" s="41">
        <v>46087</v>
      </c>
      <c r="L55" s="41">
        <v>46086</v>
      </c>
      <c r="M55" s="42">
        <f ca="1">IF(OR(J55="",AND(L55="",TODAY()&lt;J55),AND(L55&lt;&gt;"",L55&lt;J55)),0,
   IF(L55="",
      NETWORKDAYS(J55,TODAY(),Hoja2!$A$2:$A$53),
      NETWORKDAYS(J55,L55,Hoja2!$A$2:$A$53)
   )
)</f>
        <v>7</v>
      </c>
      <c r="N55" s="43"/>
      <c r="O55" s="43">
        <v>46086</v>
      </c>
      <c r="P55" s="43">
        <v>46087</v>
      </c>
      <c r="Q55" s="44" t="s">
        <v>227</v>
      </c>
      <c r="R55" s="45" t="s">
        <v>23</v>
      </c>
      <c r="S55" s="55"/>
      <c r="T55" s="55"/>
      <c r="U55" s="55"/>
      <c r="V55" s="55"/>
      <c r="W55" s="55"/>
      <c r="X55" s="55"/>
      <c r="Y55" s="55"/>
      <c r="Z55" s="55"/>
      <c r="AA55" s="55"/>
      <c r="AB55" s="55"/>
      <c r="AC55" s="55"/>
      <c r="AD55" s="55"/>
      <c r="AE55" s="55"/>
      <c r="AF55" s="55"/>
      <c r="AG55" s="55"/>
      <c r="AH55" s="55"/>
      <c r="AI55" s="55"/>
      <c r="AJ55" s="55"/>
      <c r="AK55" s="55"/>
      <c r="AL55" s="55"/>
      <c r="AM55" s="55"/>
      <c r="AN55" s="56"/>
    </row>
    <row r="56" spans="1:40" ht="42.75">
      <c r="A56" s="17" t="s">
        <v>37</v>
      </c>
      <c r="B56" s="18" t="s">
        <v>228</v>
      </c>
      <c r="C56" s="19" t="s">
        <v>229</v>
      </c>
      <c r="D56" s="20" t="s">
        <v>230</v>
      </c>
      <c r="E56" s="21"/>
      <c r="F56" s="22" t="s">
        <v>21</v>
      </c>
      <c r="G56" s="23">
        <v>100</v>
      </c>
      <c r="H56" s="24">
        <f>IF(OR(J56="",K56="",K56&lt;J56),0,NETWORKDAYS(J56,K56,Hoja2!$A$2:$A$53))</f>
        <v>2</v>
      </c>
      <c r="I56" s="25">
        <v>46080</v>
      </c>
      <c r="J56" s="25">
        <v>46098</v>
      </c>
      <c r="K56" s="26">
        <v>46099</v>
      </c>
      <c r="L56" s="26"/>
      <c r="M56" s="27">
        <f ca="1">IF(OR(J56="",AND(L56="",TODAY()&lt;J56),AND(L56&lt;&gt;"",L56&lt;J56)),0,
   IF(L56="",
      NETWORKDAYS(J56,TODAY(),Hoja2!$A$2:$A$53),
      NETWORKDAYS(J56,L56,Hoja2!$A$2:$A$53)
   )
)</f>
        <v>65</v>
      </c>
      <c r="N56" s="28"/>
      <c r="O56" s="28">
        <v>46099</v>
      </c>
      <c r="P56" s="28">
        <v>46105</v>
      </c>
      <c r="Q56" s="29" t="s">
        <v>231</v>
      </c>
      <c r="R56" s="30" t="s">
        <v>23</v>
      </c>
      <c r="S56" s="57"/>
      <c r="T56" s="57"/>
      <c r="U56" s="57"/>
      <c r="V56" s="57"/>
      <c r="W56" s="57"/>
      <c r="X56" s="57"/>
      <c r="Y56" s="57"/>
      <c r="Z56" s="57"/>
      <c r="AA56" s="57"/>
      <c r="AB56" s="57"/>
      <c r="AC56" s="57"/>
      <c r="AD56" s="57"/>
      <c r="AE56" s="57"/>
      <c r="AF56" s="57"/>
      <c r="AG56" s="57"/>
      <c r="AH56" s="57"/>
      <c r="AI56" s="57"/>
      <c r="AJ56" s="57"/>
      <c r="AK56" s="57"/>
      <c r="AL56" s="57"/>
      <c r="AM56" s="57"/>
      <c r="AN56" s="58"/>
    </row>
    <row r="57" spans="1:40" ht="42.75">
      <c r="A57" s="32" t="s">
        <v>37</v>
      </c>
      <c r="B57" s="33" t="s">
        <v>232</v>
      </c>
      <c r="C57" s="34" t="s">
        <v>233</v>
      </c>
      <c r="D57" s="35" t="s">
        <v>234</v>
      </c>
      <c r="E57" s="36"/>
      <c r="F57" s="37" t="s">
        <v>21</v>
      </c>
      <c r="G57" s="38">
        <v>100</v>
      </c>
      <c r="H57" s="39">
        <f>IF(OR(J57="",K57="",K57&lt;J57),0,NETWORKDAYS(J57,K57,Hoja2!$A$2:$A$53))</f>
        <v>1</v>
      </c>
      <c r="I57" s="40">
        <v>46094</v>
      </c>
      <c r="J57" s="40">
        <v>46099</v>
      </c>
      <c r="K57" s="41">
        <v>46099</v>
      </c>
      <c r="L57" s="41"/>
      <c r="M57" s="42">
        <f ca="1">IF(OR(J57="",AND(L57="",TODAY()&lt;J57),AND(L57&lt;&gt;"",L57&lt;J57)),0,
   IF(L57="",
      NETWORKDAYS(J57,TODAY(),Hoja2!$A$2:$A$53),
      NETWORKDAYS(J57,L57,Hoja2!$A$2:$A$53)
   )
)</f>
        <v>64</v>
      </c>
      <c r="N57" s="43"/>
      <c r="O57" s="43">
        <v>46099</v>
      </c>
      <c r="P57" s="43">
        <v>46099</v>
      </c>
      <c r="Q57" s="44" t="s">
        <v>235</v>
      </c>
      <c r="R57" s="45" t="s">
        <v>23</v>
      </c>
      <c r="S57" s="55"/>
      <c r="T57" s="55"/>
      <c r="U57" s="55"/>
      <c r="V57" s="55"/>
      <c r="W57" s="55"/>
      <c r="X57" s="55"/>
      <c r="Y57" s="55"/>
      <c r="Z57" s="55"/>
      <c r="AA57" s="55"/>
      <c r="AB57" s="55"/>
      <c r="AC57" s="55"/>
      <c r="AD57" s="55"/>
      <c r="AE57" s="55"/>
      <c r="AF57" s="55"/>
      <c r="AG57" s="55"/>
      <c r="AH57" s="55"/>
      <c r="AI57" s="55"/>
      <c r="AJ57" s="55"/>
      <c r="AK57" s="55"/>
      <c r="AL57" s="55"/>
      <c r="AM57" s="55"/>
      <c r="AN57" s="56"/>
    </row>
    <row r="58" spans="1:40" ht="42.75">
      <c r="A58" s="17" t="s">
        <v>37</v>
      </c>
      <c r="B58" s="18" t="s">
        <v>236</v>
      </c>
      <c r="C58" s="19" t="s">
        <v>237</v>
      </c>
      <c r="D58" s="20" t="s">
        <v>238</v>
      </c>
      <c r="E58" s="21"/>
      <c r="F58" s="22" t="s">
        <v>21</v>
      </c>
      <c r="G58" s="23">
        <v>100</v>
      </c>
      <c r="H58" s="24">
        <f>IF(OR(J58="",K58="",K58&lt;J58),0,NETWORKDAYS(J58,K58,Hoja2!$A$2:$A$53))</f>
        <v>7</v>
      </c>
      <c r="I58" s="25">
        <v>46101</v>
      </c>
      <c r="J58" s="25">
        <v>46132</v>
      </c>
      <c r="K58" s="26">
        <v>46140</v>
      </c>
      <c r="L58" s="26"/>
      <c r="M58" s="27">
        <f ca="1">IF(OR(J58="",AND(L58="",TODAY()&lt;J58),AND(L58&lt;&gt;"",L58&lt;J58)),0,
   IF(L58="",
      NETWORKDAYS(J58,TODAY(),Hoja2!$A$2:$A$53),
      NETWORKDAYS(J58,L58,Hoja2!$A$2:$A$53)
   )
)</f>
        <v>44</v>
      </c>
      <c r="N58" s="28"/>
      <c r="O58" s="28">
        <v>46141</v>
      </c>
      <c r="P58" s="28">
        <v>46146</v>
      </c>
      <c r="Q58" s="29" t="s">
        <v>239</v>
      </c>
      <c r="R58" s="30" t="s">
        <v>23</v>
      </c>
      <c r="S58" s="57"/>
      <c r="T58" s="57"/>
      <c r="U58" s="57"/>
      <c r="V58" s="57"/>
      <c r="W58" s="57"/>
      <c r="X58" s="57"/>
      <c r="Y58" s="57"/>
      <c r="Z58" s="57"/>
      <c r="AA58" s="57"/>
      <c r="AB58" s="57"/>
      <c r="AC58" s="57"/>
      <c r="AD58" s="57"/>
      <c r="AE58" s="57"/>
      <c r="AF58" s="57"/>
      <c r="AG58" s="57"/>
      <c r="AH58" s="57"/>
      <c r="AI58" s="57"/>
      <c r="AJ58" s="57"/>
      <c r="AK58" s="57"/>
      <c r="AL58" s="57"/>
      <c r="AM58" s="57"/>
      <c r="AN58" s="58"/>
    </row>
    <row r="59" spans="1:40" ht="28.5">
      <c r="A59" s="32" t="s">
        <v>37</v>
      </c>
      <c r="B59" s="33" t="s">
        <v>240</v>
      </c>
      <c r="C59" s="34" t="s">
        <v>241</v>
      </c>
      <c r="D59" s="35" t="s">
        <v>242</v>
      </c>
      <c r="E59" s="36"/>
      <c r="F59" s="37" t="s">
        <v>243</v>
      </c>
      <c r="G59" s="38">
        <v>60</v>
      </c>
      <c r="H59" s="39">
        <f>IF(OR(J59="",K59="",K59&lt;J59),0,NETWORKDAYS(J59,K59,Hoja2!$A$2:$A$53))</f>
        <v>0</v>
      </c>
      <c r="I59" s="40">
        <v>46106</v>
      </c>
      <c r="J59" s="40">
        <v>46108</v>
      </c>
      <c r="K59" s="41"/>
      <c r="L59" s="41"/>
      <c r="M59" s="42">
        <f ca="1">IF(OR(J59="",AND(L59="",TODAY()&lt;J59),AND(L59&lt;&gt;"",L59&lt;J59)),0,
   IF(L59="",
      NETWORKDAYS(J59,TODAY(),Hoja2!$A$2:$A$53),
      NETWORKDAYS(J59,L59,Hoja2!$A$2:$A$53)
   )
)</f>
        <v>58</v>
      </c>
      <c r="N59" s="43"/>
      <c r="O59" s="43"/>
      <c r="P59" s="43"/>
      <c r="Q59" s="44" t="s">
        <v>244</v>
      </c>
      <c r="R59" s="45" t="s">
        <v>23</v>
      </c>
      <c r="S59" s="60"/>
      <c r="T59" s="60"/>
      <c r="U59" s="60"/>
      <c r="V59" s="60"/>
      <c r="W59" s="60"/>
      <c r="X59" s="60"/>
      <c r="Y59" s="60"/>
      <c r="Z59" s="60"/>
      <c r="AA59" s="60"/>
      <c r="AB59" s="60"/>
      <c r="AC59" s="60"/>
      <c r="AD59" s="60"/>
      <c r="AE59" s="60"/>
      <c r="AF59" s="60"/>
      <c r="AG59" s="60"/>
      <c r="AH59" s="60"/>
      <c r="AI59" s="60"/>
      <c r="AJ59" s="60"/>
      <c r="AK59" s="60"/>
      <c r="AL59" s="60"/>
      <c r="AM59" s="60"/>
      <c r="AN59" s="61"/>
    </row>
    <row r="60" spans="1:40" ht="28.5">
      <c r="A60" s="17" t="s">
        <v>37</v>
      </c>
      <c r="B60" s="18" t="s">
        <v>245</v>
      </c>
      <c r="C60" s="19" t="s">
        <v>246</v>
      </c>
      <c r="D60" s="20" t="s">
        <v>247</v>
      </c>
      <c r="E60" s="21"/>
      <c r="F60" s="22" t="s">
        <v>21</v>
      </c>
      <c r="G60" s="23">
        <v>100</v>
      </c>
      <c r="H60" s="24">
        <f>IF(OR(J60="",K60="",K60&lt;J60),0,NETWORKDAYS(J60,K60,Hoja2!$A$2:$A$53))</f>
        <v>1</v>
      </c>
      <c r="I60" s="25">
        <v>46127</v>
      </c>
      <c r="J60" s="25">
        <v>46127</v>
      </c>
      <c r="K60" s="26">
        <v>46127</v>
      </c>
      <c r="L60" s="26">
        <v>46127</v>
      </c>
      <c r="M60" s="27">
        <f ca="1">IF(OR(J60="",AND(L60="",TODAY()&lt;J60),AND(L60&lt;&gt;"",L60&lt;J60)),0,
   IF(L60="",
      NETWORKDAYS(J60,TODAY(),Hoja2!$A$2:$A$53),
      NETWORKDAYS(J60,L60,Hoja2!$A$2:$A$53)
   )
)</f>
        <v>1</v>
      </c>
      <c r="N60" s="28"/>
      <c r="O60" s="28">
        <v>46127</v>
      </c>
      <c r="P60" s="28">
        <v>46127</v>
      </c>
      <c r="Q60" s="29" t="s">
        <v>248</v>
      </c>
      <c r="R60" s="30" t="s">
        <v>23</v>
      </c>
      <c r="S60" s="62"/>
      <c r="T60" s="62"/>
      <c r="U60" s="62"/>
      <c r="V60" s="62"/>
      <c r="W60" s="62"/>
      <c r="X60" s="62"/>
      <c r="Y60" s="62"/>
      <c r="Z60" s="62"/>
      <c r="AA60" s="62"/>
      <c r="AB60" s="62"/>
      <c r="AC60" s="62"/>
      <c r="AD60" s="62"/>
      <c r="AE60" s="62"/>
      <c r="AF60" s="62"/>
      <c r="AG60" s="62"/>
      <c r="AH60" s="62"/>
      <c r="AI60" s="62"/>
      <c r="AJ60" s="62"/>
      <c r="AK60" s="62"/>
      <c r="AL60" s="62"/>
      <c r="AM60" s="62"/>
      <c r="AN60" s="63"/>
    </row>
    <row r="61" spans="1:40" ht="28.5">
      <c r="A61" s="32" t="s">
        <v>37</v>
      </c>
      <c r="B61" s="33" t="s">
        <v>249</v>
      </c>
      <c r="C61" s="34" t="s">
        <v>250</v>
      </c>
      <c r="D61" s="35" t="s">
        <v>251</v>
      </c>
      <c r="E61" s="36"/>
      <c r="F61" s="37" t="s">
        <v>21</v>
      </c>
      <c r="G61" s="38">
        <v>100</v>
      </c>
      <c r="H61" s="39">
        <f>IF(OR(J61="",K61="",K61&lt;J61),0,NETWORKDAYS(J61,K61,Hoja2!$A$2:$A$53))</f>
        <v>1</v>
      </c>
      <c r="I61" s="40">
        <v>46132</v>
      </c>
      <c r="J61" s="40">
        <v>46133</v>
      </c>
      <c r="K61" s="41">
        <v>46133</v>
      </c>
      <c r="L61" s="41">
        <v>46133</v>
      </c>
      <c r="M61" s="42">
        <f ca="1">IF(OR(J61="",AND(L61="",TODAY()&lt;J61),AND(L61&lt;&gt;"",L61&lt;J61)),0,
   IF(L61="",
      NETWORKDAYS(J61,TODAY(),Hoja2!$A$2:$A$53),
      NETWORKDAYS(J61,L61,Hoja2!$A$2:$A$53)
   )
)</f>
        <v>1</v>
      </c>
      <c r="N61" s="43"/>
      <c r="O61" s="43">
        <v>46134</v>
      </c>
      <c r="P61" s="43">
        <v>46134</v>
      </c>
      <c r="Q61" s="44" t="s">
        <v>252</v>
      </c>
      <c r="R61" s="45" t="s">
        <v>23</v>
      </c>
      <c r="S61" s="60"/>
      <c r="T61" s="60"/>
      <c r="U61" s="60"/>
      <c r="V61" s="60"/>
      <c r="W61" s="60"/>
      <c r="X61" s="60"/>
      <c r="Y61" s="60"/>
      <c r="Z61" s="60"/>
      <c r="AA61" s="60"/>
      <c r="AB61" s="60"/>
      <c r="AC61" s="60"/>
      <c r="AD61" s="60"/>
      <c r="AE61" s="60"/>
      <c r="AF61" s="60"/>
      <c r="AG61" s="60"/>
      <c r="AH61" s="60"/>
      <c r="AI61" s="60"/>
      <c r="AJ61" s="60"/>
      <c r="AK61" s="60"/>
      <c r="AL61" s="60"/>
      <c r="AM61" s="60"/>
      <c r="AN61" s="61"/>
    </row>
    <row r="62" spans="1:40" ht="28.5">
      <c r="A62" s="17" t="s">
        <v>37</v>
      </c>
      <c r="B62" s="18" t="s">
        <v>253</v>
      </c>
      <c r="C62" s="19" t="s">
        <v>250</v>
      </c>
      <c r="D62" s="20" t="s">
        <v>254</v>
      </c>
      <c r="E62" s="21"/>
      <c r="F62" s="22" t="s">
        <v>21</v>
      </c>
      <c r="G62" s="23">
        <v>100</v>
      </c>
      <c r="H62" s="24">
        <f>IF(OR(J62="",K62="",K62&lt;J62),0,NETWORKDAYS(J62,K62,Hoja2!$A$2:$A$53))</f>
        <v>1</v>
      </c>
      <c r="I62" s="25">
        <v>46136</v>
      </c>
      <c r="J62" s="25">
        <v>46136</v>
      </c>
      <c r="K62" s="26">
        <v>46136</v>
      </c>
      <c r="L62" s="26">
        <v>46136</v>
      </c>
      <c r="M62" s="27">
        <f ca="1">IF(OR(J62="",AND(L62="",TODAY()&lt;J62),AND(L62&lt;&gt;"",L62&lt;J62)),0,
   IF(L62="",
      NETWORKDAYS(J62,TODAY(),Hoja2!$A$2:$A$53),
      NETWORKDAYS(J62,L62,Hoja2!$A$2:$A$53)
   )
)</f>
        <v>1</v>
      </c>
      <c r="N62" s="28"/>
      <c r="O62" s="28">
        <v>46136</v>
      </c>
      <c r="P62" s="28">
        <v>46139</v>
      </c>
      <c r="Q62" s="29" t="s">
        <v>255</v>
      </c>
      <c r="R62" s="30" t="s">
        <v>23</v>
      </c>
      <c r="S62" s="62"/>
      <c r="T62" s="62"/>
      <c r="U62" s="62"/>
      <c r="V62" s="62"/>
      <c r="W62" s="62"/>
      <c r="X62" s="62"/>
      <c r="Y62" s="62"/>
      <c r="Z62" s="62"/>
      <c r="AA62" s="62"/>
      <c r="AB62" s="62"/>
      <c r="AC62" s="62"/>
      <c r="AD62" s="62"/>
      <c r="AE62" s="62"/>
      <c r="AF62" s="62"/>
      <c r="AG62" s="62"/>
      <c r="AH62" s="62"/>
      <c r="AI62" s="62"/>
      <c r="AJ62" s="62"/>
      <c r="AK62" s="62"/>
      <c r="AL62" s="62"/>
      <c r="AM62" s="62"/>
      <c r="AN62" s="63"/>
    </row>
    <row r="63" spans="1:40" ht="28.5">
      <c r="A63" s="32" t="s">
        <v>37</v>
      </c>
      <c r="B63" s="33" t="s">
        <v>256</v>
      </c>
      <c r="C63" s="34" t="s">
        <v>257</v>
      </c>
      <c r="D63" s="35" t="s">
        <v>254</v>
      </c>
      <c r="E63" s="36"/>
      <c r="F63" s="37" t="s">
        <v>21</v>
      </c>
      <c r="G63" s="38">
        <v>100</v>
      </c>
      <c r="H63" s="39">
        <f>IF(OR(J63="",K63="",K63&lt;J63),0,NETWORKDAYS(J63,K63,Hoja2!$A$2:$A$53))</f>
        <v>4</v>
      </c>
      <c r="I63" s="40">
        <v>46139</v>
      </c>
      <c r="J63" s="40">
        <v>46140</v>
      </c>
      <c r="K63" s="41">
        <v>46146</v>
      </c>
      <c r="L63" s="41">
        <v>46142</v>
      </c>
      <c r="M63" s="42">
        <f ca="1">IF(OR(J63="",AND(L63="",TODAY()&lt;J63),AND(L63&lt;&gt;"",L63&lt;J63)),0,
   IF(L63="",
      NETWORKDAYS(J63,TODAY(),Hoja2!$A$2:$A$53),
      NETWORKDAYS(J63,L63,Hoja2!$A$2:$A$53)
   )
)</f>
        <v>3</v>
      </c>
      <c r="N63" s="43"/>
      <c r="O63" s="43">
        <v>46142</v>
      </c>
      <c r="P63" s="43">
        <v>46146</v>
      </c>
      <c r="Q63" s="44" t="s">
        <v>258</v>
      </c>
      <c r="R63" s="45" t="s">
        <v>23</v>
      </c>
      <c r="S63" s="60"/>
      <c r="T63" s="60"/>
      <c r="U63" s="60"/>
      <c r="V63" s="60"/>
      <c r="W63" s="60"/>
      <c r="X63" s="60"/>
      <c r="Y63" s="60"/>
      <c r="Z63" s="60"/>
      <c r="AA63" s="60"/>
      <c r="AB63" s="60"/>
      <c r="AC63" s="60"/>
      <c r="AD63" s="60"/>
      <c r="AE63" s="60"/>
      <c r="AF63" s="60"/>
      <c r="AG63" s="60"/>
      <c r="AH63" s="60"/>
      <c r="AI63" s="60"/>
      <c r="AJ63" s="60"/>
      <c r="AK63" s="60"/>
      <c r="AL63" s="60"/>
      <c r="AM63" s="60"/>
      <c r="AN63" s="61"/>
    </row>
    <row r="64" spans="1:40" ht="71.25">
      <c r="A64" s="17" t="s">
        <v>37</v>
      </c>
      <c r="B64" s="18" t="s">
        <v>259</v>
      </c>
      <c r="C64" s="19" t="s">
        <v>260</v>
      </c>
      <c r="D64" s="20" t="s">
        <v>261</v>
      </c>
      <c r="E64" s="21"/>
      <c r="F64" s="22" t="s">
        <v>21</v>
      </c>
      <c r="G64" s="23">
        <v>100</v>
      </c>
      <c r="H64" s="24">
        <f>IF(OR(J64="",K64="",K64&lt;J64),0,NETWORKDAYS(J64,K64,Hoja2!$A$2:$A$53))</f>
        <v>2</v>
      </c>
      <c r="I64" s="25">
        <v>46136</v>
      </c>
      <c r="J64" s="25">
        <v>46139</v>
      </c>
      <c r="K64" s="26">
        <v>46140</v>
      </c>
      <c r="L64" s="26">
        <v>46140</v>
      </c>
      <c r="M64" s="27">
        <f ca="1">IF(OR(J64="",AND(L64="",TODAY()&lt;J64),AND(L64&lt;&gt;"",L64&lt;J64)),0,
   IF(L64="",
      NETWORKDAYS(J64,TODAY(),Hoja2!$A$2:$A$53),
      NETWORKDAYS(J64,L64,Hoja2!$A$2:$A$53)
   )
)</f>
        <v>2</v>
      </c>
      <c r="N64" s="28"/>
      <c r="O64" s="28">
        <v>46140</v>
      </c>
      <c r="P64" s="28">
        <v>46148</v>
      </c>
      <c r="Q64" s="29" t="s">
        <v>262</v>
      </c>
      <c r="R64" s="30" t="s">
        <v>23</v>
      </c>
      <c r="S64" s="62"/>
      <c r="T64" s="62"/>
      <c r="U64" s="62"/>
      <c r="V64" s="62"/>
      <c r="W64" s="62"/>
      <c r="X64" s="62"/>
      <c r="Y64" s="62"/>
      <c r="Z64" s="62"/>
      <c r="AA64" s="62"/>
      <c r="AB64" s="62"/>
      <c r="AC64" s="62"/>
      <c r="AD64" s="62"/>
      <c r="AE64" s="62"/>
      <c r="AF64" s="62"/>
      <c r="AG64" s="62"/>
      <c r="AH64" s="62"/>
      <c r="AI64" s="62"/>
      <c r="AJ64" s="62"/>
      <c r="AK64" s="62"/>
      <c r="AL64" s="62"/>
      <c r="AM64" s="62"/>
      <c r="AN64" s="63"/>
    </row>
    <row r="65" spans="1:40" ht="42.75">
      <c r="A65" s="32" t="s">
        <v>37</v>
      </c>
      <c r="B65" s="33" t="s">
        <v>263</v>
      </c>
      <c r="C65" s="34" t="s">
        <v>264</v>
      </c>
      <c r="D65" s="35" t="s">
        <v>265</v>
      </c>
      <c r="E65" s="36"/>
      <c r="F65" s="37" t="s">
        <v>21</v>
      </c>
      <c r="G65" s="38">
        <v>100</v>
      </c>
      <c r="H65" s="39">
        <f>IF(OR(J65="",K65="",K65&lt;J65),0,NETWORKDAYS(J65,K65,Hoja2!$A$2:$A$53))</f>
        <v>1</v>
      </c>
      <c r="I65" s="64">
        <v>46168</v>
      </c>
      <c r="J65" s="40">
        <v>46168</v>
      </c>
      <c r="K65" s="40">
        <v>46168</v>
      </c>
      <c r="L65" s="41"/>
      <c r="M65" s="42">
        <f ca="1">IF(OR(J65="",AND(L65="",TODAY()&lt;J65),AND(L65&lt;&gt;"",L65&lt;J65)),0,
   IF(L65="",
      NETWORKDAYS(J65,TODAY(),Hoja2!$A$2:$A$53),
      NETWORKDAYS(J65,L65,Hoja2!$A$2:$A$53)
   )
)</f>
        <v>20</v>
      </c>
      <c r="N65" s="43"/>
      <c r="O65" s="43">
        <v>46168</v>
      </c>
      <c r="P65" s="43">
        <v>46168</v>
      </c>
      <c r="Q65" s="44" t="s">
        <v>266</v>
      </c>
      <c r="R65" s="45" t="s">
        <v>23</v>
      </c>
      <c r="S65" s="60"/>
      <c r="T65" s="60"/>
      <c r="U65" s="60"/>
      <c r="V65" s="60"/>
      <c r="W65" s="60"/>
      <c r="X65" s="60"/>
      <c r="Y65" s="60"/>
      <c r="Z65" s="60"/>
      <c r="AA65" s="60"/>
      <c r="AB65" s="60"/>
      <c r="AC65" s="60"/>
      <c r="AD65" s="60"/>
      <c r="AE65" s="60"/>
      <c r="AF65" s="60"/>
      <c r="AG65" s="60"/>
      <c r="AH65" s="60"/>
      <c r="AI65" s="60"/>
      <c r="AJ65" s="60"/>
      <c r="AK65" s="60"/>
      <c r="AL65" s="60"/>
      <c r="AM65" s="60"/>
      <c r="AN65" s="61"/>
    </row>
    <row r="66" spans="1:40" ht="42.75">
      <c r="A66" s="17" t="s">
        <v>37</v>
      </c>
      <c r="B66" s="18" t="s">
        <v>267</v>
      </c>
      <c r="C66" s="19" t="s">
        <v>268</v>
      </c>
      <c r="D66" s="20" t="s">
        <v>269</v>
      </c>
      <c r="E66" s="21"/>
      <c r="F66" s="22" t="s">
        <v>21</v>
      </c>
      <c r="G66" s="23">
        <v>100</v>
      </c>
      <c r="H66" s="24">
        <f>IF(OR(J66="",K66="",K66&lt;J66),0,NETWORKDAYS(J66,K66,Hoja2!$A$2:$A$53))</f>
        <v>2</v>
      </c>
      <c r="I66" s="65">
        <v>46168</v>
      </c>
      <c r="J66" s="25">
        <v>46169</v>
      </c>
      <c r="K66" s="25">
        <v>46170</v>
      </c>
      <c r="L66" s="26"/>
      <c r="M66" s="27">
        <f ca="1">IF(OR(J66="",AND(L66="",TODAY()&lt;J66),AND(L66&lt;&gt;"",L66&lt;J66)),0,
   IF(L66="",
      NETWORKDAYS(J66,TODAY(),Hoja2!$A$2:$A$53),
      NETWORKDAYS(J66,L66,Hoja2!$A$2:$A$53)
   )
)</f>
        <v>19</v>
      </c>
      <c r="N66" s="28"/>
      <c r="O66" s="28">
        <v>46170</v>
      </c>
      <c r="P66" s="28">
        <v>46170</v>
      </c>
      <c r="Q66" s="29" t="s">
        <v>270</v>
      </c>
      <c r="R66" s="30" t="s">
        <v>23</v>
      </c>
      <c r="S66" s="62"/>
      <c r="T66" s="62"/>
      <c r="U66" s="62"/>
      <c r="V66" s="62"/>
      <c r="W66" s="62"/>
      <c r="X66" s="62"/>
      <c r="Y66" s="62"/>
      <c r="Z66" s="62"/>
      <c r="AA66" s="62"/>
      <c r="AB66" s="62"/>
      <c r="AC66" s="62"/>
      <c r="AD66" s="62"/>
      <c r="AE66" s="62"/>
      <c r="AF66" s="62"/>
      <c r="AG66" s="62"/>
      <c r="AH66" s="62"/>
      <c r="AI66" s="62"/>
      <c r="AJ66" s="62"/>
      <c r="AK66" s="62"/>
      <c r="AL66" s="62"/>
      <c r="AM66" s="62"/>
      <c r="AN66" s="63"/>
    </row>
    <row r="67" spans="1:40" ht="42.75">
      <c r="A67" s="32" t="s">
        <v>37</v>
      </c>
      <c r="B67" s="33" t="s">
        <v>271</v>
      </c>
      <c r="C67" s="34" t="s">
        <v>272</v>
      </c>
      <c r="D67" s="35" t="s">
        <v>273</v>
      </c>
      <c r="E67" s="36"/>
      <c r="F67" s="37" t="s">
        <v>110</v>
      </c>
      <c r="G67" s="38">
        <v>0</v>
      </c>
      <c r="H67" s="39">
        <f>IF(OR(J67="",K67="",K67&lt;J67),0,NETWORKDAYS(J67,K67,Hoja2!$A$2:$A$53))</f>
        <v>0</v>
      </c>
      <c r="I67" s="40"/>
      <c r="J67" s="40"/>
      <c r="K67" s="41"/>
      <c r="L67" s="41"/>
      <c r="M67" s="42">
        <f ca="1">IF(OR(J67="",AND(L67="",TODAY()&lt;J67),AND(L67&lt;&gt;"",L67&lt;J67)),0,
   IF(L67="",
      NETWORKDAYS(J67,TODAY(),Hoja2!$A$2:$A$53),
      NETWORKDAYS(J67,L67,Hoja2!$A$2:$A$53)
   )
)</f>
        <v>0</v>
      </c>
      <c r="N67" s="43"/>
      <c r="O67" s="43"/>
      <c r="P67" s="43"/>
      <c r="Q67" s="44" t="s">
        <v>274</v>
      </c>
      <c r="R67" s="45" t="s">
        <v>102</v>
      </c>
      <c r="S67" s="60"/>
      <c r="T67" s="60"/>
      <c r="U67" s="60"/>
      <c r="V67" s="60"/>
      <c r="W67" s="60"/>
      <c r="X67" s="60"/>
      <c r="Y67" s="60"/>
      <c r="Z67" s="60"/>
      <c r="AA67" s="60"/>
      <c r="AB67" s="60"/>
      <c r="AC67" s="60"/>
      <c r="AD67" s="60"/>
      <c r="AE67" s="60"/>
      <c r="AF67" s="60"/>
      <c r="AG67" s="60"/>
      <c r="AH67" s="60"/>
      <c r="AI67" s="60"/>
      <c r="AJ67" s="60"/>
      <c r="AK67" s="60"/>
      <c r="AL67" s="60"/>
      <c r="AM67" s="60"/>
      <c r="AN67" s="61"/>
    </row>
    <row r="68" spans="1:40" ht="51">
      <c r="A68" s="17" t="s">
        <v>37</v>
      </c>
      <c r="B68" s="18" t="s">
        <v>275</v>
      </c>
      <c r="C68" s="19" t="s">
        <v>276</v>
      </c>
      <c r="D68" s="20" t="s">
        <v>277</v>
      </c>
      <c r="E68" s="21"/>
      <c r="F68" s="22" t="s">
        <v>243</v>
      </c>
      <c r="G68" s="23">
        <v>80</v>
      </c>
      <c r="H68" s="24">
        <f>IF(OR(J68="",K68="",K68&lt;J68),0,NETWORKDAYS(J68,K68,Hoja2!$A$2:$A$53))</f>
        <v>0</v>
      </c>
      <c r="I68" s="25">
        <v>46167</v>
      </c>
      <c r="J68" s="25">
        <v>46170</v>
      </c>
      <c r="K68" s="26"/>
      <c r="L68" s="26"/>
      <c r="M68" s="27">
        <f ca="1">IF(OR(J68="",AND(L68="",TODAY()&lt;J68),AND(L68&lt;&gt;"",L68&lt;J68)),0,
   IF(L68="",
      NETWORKDAYS(J68,TODAY(),Hoja2!$A$2:$A$53),
      NETWORKDAYS(J68,L68,Hoja2!$A$2:$A$53)
   )
)</f>
        <v>18</v>
      </c>
      <c r="N68" s="28"/>
      <c r="O68" s="28"/>
      <c r="P68" s="28"/>
      <c r="Q68" s="29" t="s">
        <v>278</v>
      </c>
      <c r="R68" s="30" t="s">
        <v>23</v>
      </c>
      <c r="S68" s="62"/>
      <c r="T68" s="62"/>
      <c r="U68" s="62"/>
      <c r="V68" s="62"/>
      <c r="W68" s="62"/>
      <c r="X68" s="62"/>
      <c r="Y68" s="62"/>
      <c r="Z68" s="62"/>
      <c r="AA68" s="62"/>
      <c r="AB68" s="62"/>
      <c r="AC68" s="62"/>
      <c r="AD68" s="62"/>
      <c r="AE68" s="62"/>
      <c r="AF68" s="62"/>
      <c r="AG68" s="62"/>
      <c r="AH68" s="62"/>
      <c r="AI68" s="62"/>
      <c r="AJ68" s="62"/>
      <c r="AK68" s="62"/>
      <c r="AL68" s="62"/>
      <c r="AM68" s="62"/>
      <c r="AN68" s="63"/>
    </row>
    <row r="69" spans="1:40" ht="42.75">
      <c r="A69" s="32" t="s">
        <v>37</v>
      </c>
      <c r="B69" s="33" t="s">
        <v>279</v>
      </c>
      <c r="C69" s="34" t="s">
        <v>280</v>
      </c>
      <c r="D69" s="35" t="s">
        <v>281</v>
      </c>
      <c r="E69" s="36"/>
      <c r="F69" s="37" t="s">
        <v>243</v>
      </c>
      <c r="G69" s="38">
        <v>10</v>
      </c>
      <c r="H69" s="39">
        <f>IF(OR(J69="",K69="",K69&lt;J69),0,NETWORKDAYS(J69,K69,Hoja2!$A$2:$A$53))</f>
        <v>0</v>
      </c>
      <c r="I69" s="40">
        <v>46174</v>
      </c>
      <c r="J69" s="40">
        <v>46176</v>
      </c>
      <c r="K69" s="41"/>
      <c r="L69" s="41"/>
      <c r="M69" s="42">
        <f ca="1">IF(OR(J69="",AND(L69="",TODAY()&lt;J69),AND(L69&lt;&gt;"",L69&lt;J69)),0,
   IF(L69="",
      NETWORKDAYS(J69,TODAY(),Hoja2!$A$2:$A$53),
      NETWORKDAYS(J69,L69,Hoja2!$A$2:$A$53)
   )
)</f>
        <v>14</v>
      </c>
      <c r="N69" s="43"/>
      <c r="O69" s="43"/>
      <c r="P69" s="43"/>
      <c r="Q69" s="44" t="s">
        <v>282</v>
      </c>
      <c r="R69" s="45" t="s">
        <v>23</v>
      </c>
      <c r="S69" s="60"/>
      <c r="T69" s="60"/>
      <c r="U69" s="60"/>
      <c r="V69" s="60"/>
      <c r="W69" s="60"/>
      <c r="X69" s="60"/>
      <c r="Y69" s="60"/>
      <c r="Z69" s="60"/>
      <c r="AA69" s="60"/>
      <c r="AB69" s="60"/>
      <c r="AC69" s="60"/>
      <c r="AD69" s="60"/>
      <c r="AE69" s="60"/>
      <c r="AF69" s="60"/>
      <c r="AG69" s="60"/>
      <c r="AH69" s="60"/>
      <c r="AI69" s="60"/>
      <c r="AJ69" s="60"/>
      <c r="AK69" s="60"/>
      <c r="AL69" s="60"/>
      <c r="AM69" s="60"/>
      <c r="AN69" s="61"/>
    </row>
    <row r="70" spans="1:40" ht="38.25">
      <c r="A70" s="66" t="s">
        <v>37</v>
      </c>
      <c r="B70" s="18" t="s">
        <v>283</v>
      </c>
      <c r="C70" s="67" t="s">
        <v>284</v>
      </c>
      <c r="D70" s="20" t="s">
        <v>281</v>
      </c>
      <c r="E70" s="68"/>
      <c r="F70" s="22" t="s">
        <v>110</v>
      </c>
      <c r="G70" s="23">
        <v>0</v>
      </c>
      <c r="H70" s="24">
        <f>IF(OR(J70="",K70="",K70&lt;J70),0,NETWORKDAYS(J70,K70,Hoja2!$A$2:$A$53))</f>
        <v>0</v>
      </c>
      <c r="I70" s="69">
        <v>46182</v>
      </c>
      <c r="J70" s="25"/>
      <c r="K70" s="26"/>
      <c r="L70" s="26"/>
      <c r="M70" s="27">
        <f ca="1">IF(OR(J70="",AND(L70="",TODAY()&lt;J70),AND(L70&lt;&gt;"",L70&lt;J70)),0,
   IF(L70="",
      NETWORKDAYS(J70,TODAY(),Hoja2!$A$2:$A$53),
      NETWORKDAYS(J70,L70,Hoja2!$A$2:$A$53)
   )
)</f>
        <v>0</v>
      </c>
      <c r="N70" s="28"/>
      <c r="O70" s="28"/>
      <c r="P70" s="28"/>
      <c r="Q70" s="29"/>
      <c r="R70" s="30" t="s">
        <v>102</v>
      </c>
      <c r="S70" s="62"/>
      <c r="T70" s="62"/>
      <c r="U70" s="62"/>
      <c r="V70" s="62"/>
      <c r="W70" s="62"/>
      <c r="X70" s="62"/>
      <c r="Y70" s="62"/>
      <c r="Z70" s="62"/>
      <c r="AA70" s="62"/>
      <c r="AB70" s="62"/>
      <c r="AC70" s="62"/>
      <c r="AD70" s="62"/>
      <c r="AE70" s="62"/>
      <c r="AF70" s="62"/>
      <c r="AG70" s="62"/>
      <c r="AH70" s="62"/>
      <c r="AI70" s="62"/>
      <c r="AJ70" s="62"/>
      <c r="AK70" s="62"/>
      <c r="AL70" s="62"/>
      <c r="AM70" s="62"/>
      <c r="AN70" s="63"/>
    </row>
    <row r="71" spans="1:40" ht="42.75">
      <c r="A71" s="32" t="s">
        <v>37</v>
      </c>
      <c r="B71" s="33" t="s">
        <v>285</v>
      </c>
      <c r="C71" s="34" t="s">
        <v>286</v>
      </c>
      <c r="D71" s="35" t="s">
        <v>287</v>
      </c>
      <c r="E71" s="36"/>
      <c r="F71" s="37" t="s">
        <v>110</v>
      </c>
      <c r="G71" s="38">
        <v>0</v>
      </c>
      <c r="H71" s="39">
        <f>IF(OR(J71="",K71="",K71&lt;J71),0,NETWORKDAYS(J71,K71,Hoja2!$A$2:$A$53))</f>
        <v>0</v>
      </c>
      <c r="I71" s="70">
        <v>46182</v>
      </c>
      <c r="J71" s="59"/>
      <c r="K71" s="43"/>
      <c r="L71" s="43"/>
      <c r="M71" s="42">
        <f ca="1">IF(OR(J71="",AND(L71="",TODAY()&lt;J71),AND(L71&lt;&gt;"",L71&lt;J71)),0,
   IF(L71="",
      NETWORKDAYS(J71,TODAY(),Hoja2!$A$2:$A$53),
      NETWORKDAYS(J71,L71,Hoja2!$A$2:$A$53)
   )
)</f>
        <v>0</v>
      </c>
      <c r="N71" s="43"/>
      <c r="O71" s="43"/>
      <c r="P71" s="43"/>
      <c r="Q71" s="44"/>
      <c r="R71" s="45" t="s">
        <v>102</v>
      </c>
      <c r="S71" s="60"/>
      <c r="T71" s="60"/>
      <c r="U71" s="60"/>
      <c r="V71" s="60"/>
      <c r="W71" s="60"/>
      <c r="X71" s="60"/>
      <c r="Y71" s="60"/>
      <c r="Z71" s="60"/>
      <c r="AA71" s="60"/>
      <c r="AB71" s="60"/>
      <c r="AC71" s="60"/>
      <c r="AD71" s="60"/>
      <c r="AE71" s="60"/>
      <c r="AF71" s="60"/>
      <c r="AG71" s="60"/>
      <c r="AH71" s="60"/>
      <c r="AI71" s="60"/>
      <c r="AJ71" s="60"/>
      <c r="AK71" s="60"/>
      <c r="AL71" s="60"/>
      <c r="AM71" s="60"/>
      <c r="AN71" s="61"/>
    </row>
    <row r="72" spans="1:40" ht="28.5">
      <c r="A72" s="17" t="s">
        <v>37</v>
      </c>
      <c r="B72" s="18" t="s">
        <v>288</v>
      </c>
      <c r="C72" s="19" t="s">
        <v>289</v>
      </c>
      <c r="D72" s="20" t="s">
        <v>290</v>
      </c>
      <c r="E72" s="21"/>
      <c r="F72" s="22" t="s">
        <v>91</v>
      </c>
      <c r="G72" s="23">
        <v>100</v>
      </c>
      <c r="H72" s="24">
        <f>IF(OR(J72="",K72="",K72&lt;J72),0,NETWORKDAYS(J72,K72,Hoja2!$A$2:$A$53))</f>
        <v>2</v>
      </c>
      <c r="I72" s="25">
        <v>46190</v>
      </c>
      <c r="J72" s="25">
        <v>46191</v>
      </c>
      <c r="K72" s="26">
        <v>46192</v>
      </c>
      <c r="L72" s="26"/>
      <c r="M72" s="27">
        <f ca="1">IF(OR(J72="",AND(L72="",TODAY()&lt;J72),AND(L72&lt;&gt;"",L72&lt;J72)),0,
   IF(L72="",
      NETWORKDAYS(J72,TODAY(),Hoja2!$A$2:$A$53),
      NETWORKDAYS(J72,L72,Hoja2!$A$2:$A$53)
   )
)</f>
        <v>5</v>
      </c>
      <c r="N72" s="28"/>
      <c r="O72" s="28">
        <v>46192</v>
      </c>
      <c r="P72" s="28"/>
      <c r="Q72" s="29" t="s">
        <v>291</v>
      </c>
      <c r="R72" s="30" t="s">
        <v>102</v>
      </c>
      <c r="S72" s="62"/>
      <c r="T72" s="62"/>
      <c r="U72" s="62"/>
      <c r="V72" s="62"/>
      <c r="W72" s="62"/>
      <c r="X72" s="62"/>
      <c r="Y72" s="62"/>
      <c r="Z72" s="62"/>
      <c r="AA72" s="62"/>
      <c r="AB72" s="62"/>
      <c r="AC72" s="62"/>
      <c r="AD72" s="62"/>
      <c r="AE72" s="62"/>
      <c r="AF72" s="62"/>
      <c r="AG72" s="62"/>
      <c r="AH72" s="62"/>
      <c r="AI72" s="62"/>
      <c r="AJ72" s="62"/>
      <c r="AK72" s="62"/>
      <c r="AL72" s="62"/>
      <c r="AM72" s="62"/>
      <c r="AN72" s="63"/>
    </row>
    <row r="73" spans="1:40" ht="57">
      <c r="A73" s="32" t="s">
        <v>37</v>
      </c>
      <c r="B73" s="33"/>
      <c r="C73" s="34" t="s">
        <v>292</v>
      </c>
      <c r="D73" s="35"/>
      <c r="E73" s="36"/>
      <c r="F73" s="37" t="s">
        <v>110</v>
      </c>
      <c r="G73" s="38">
        <v>0</v>
      </c>
      <c r="H73" s="39">
        <f>IF(OR(J73="",K73="",K73&lt;J73),0,NETWORKDAYS(J73,K73,Hoja2!$A$2:$A$53))</f>
        <v>0</v>
      </c>
      <c r="I73" s="70"/>
      <c r="J73" s="59"/>
      <c r="K73" s="43"/>
      <c r="L73" s="43"/>
      <c r="M73" s="42">
        <f ca="1">IF(OR(J73="",AND(L73="",TODAY()&lt;J73),AND(L73&lt;&gt;"",L73&lt;J73)),0,
   IF(L73="",
      NETWORKDAYS(J73,TODAY(),Hoja2!$A$2:$A$53),
      NETWORKDAYS(J73,L73,Hoja2!$A$2:$A$53)
   )
)</f>
        <v>0</v>
      </c>
      <c r="N73" s="43"/>
      <c r="O73" s="43"/>
      <c r="P73" s="43"/>
      <c r="Q73" s="44" t="s">
        <v>293</v>
      </c>
      <c r="R73" s="45" t="s">
        <v>102</v>
      </c>
      <c r="S73" s="60"/>
      <c r="T73" s="60"/>
      <c r="U73" s="60"/>
      <c r="V73" s="60"/>
      <c r="W73" s="60"/>
      <c r="X73" s="60"/>
      <c r="Y73" s="60"/>
      <c r="Z73" s="60"/>
      <c r="AA73" s="60"/>
      <c r="AB73" s="60"/>
      <c r="AC73" s="60"/>
      <c r="AD73" s="60"/>
      <c r="AE73" s="60"/>
      <c r="AF73" s="60"/>
      <c r="AG73" s="60"/>
      <c r="AH73" s="60"/>
      <c r="AI73" s="60"/>
      <c r="AJ73" s="60"/>
      <c r="AK73" s="60"/>
      <c r="AL73" s="60"/>
      <c r="AM73" s="60"/>
      <c r="AN73" s="61"/>
    </row>
    <row r="74" spans="1:40" ht="71.25">
      <c r="A74" s="17" t="s">
        <v>37</v>
      </c>
      <c r="B74" s="18"/>
      <c r="C74" s="19" t="s">
        <v>294</v>
      </c>
      <c r="D74" s="20" t="s">
        <v>295</v>
      </c>
      <c r="E74" s="21"/>
      <c r="F74" s="22" t="s">
        <v>110</v>
      </c>
      <c r="G74" s="23">
        <v>0</v>
      </c>
      <c r="H74" s="24">
        <f>IF(OR(J74="",K74="",K74&lt;J74),0,NETWORKDAYS(J74,K74,Hoja2!$A$2:$A$53))</f>
        <v>0</v>
      </c>
      <c r="I74" s="69"/>
      <c r="J74" s="50"/>
      <c r="K74" s="28"/>
      <c r="L74" s="28"/>
      <c r="M74" s="27">
        <f ca="1">IF(OR(J74="",AND(L74="",TODAY()&lt;J74),AND(L74&lt;&gt;"",L74&lt;J74)),0,
   IF(L74="",
      NETWORKDAYS(J74,TODAY(),Hoja2!$A$2:$A$53),
      NETWORKDAYS(J74,L74,Hoja2!$A$2:$A$53)
   )
)</f>
        <v>0</v>
      </c>
      <c r="N74" s="28"/>
      <c r="O74" s="28"/>
      <c r="P74" s="28"/>
      <c r="Q74" s="29"/>
      <c r="R74" s="30" t="s">
        <v>102</v>
      </c>
      <c r="S74" s="62"/>
      <c r="T74" s="62"/>
      <c r="U74" s="62"/>
      <c r="V74" s="62"/>
      <c r="W74" s="62"/>
      <c r="X74" s="62"/>
      <c r="Y74" s="62"/>
      <c r="Z74" s="62"/>
      <c r="AA74" s="62"/>
      <c r="AB74" s="62"/>
      <c r="AC74" s="62"/>
      <c r="AD74" s="62"/>
      <c r="AE74" s="62"/>
      <c r="AF74" s="62"/>
      <c r="AG74" s="62"/>
      <c r="AH74" s="62"/>
      <c r="AI74" s="62"/>
      <c r="AJ74" s="62"/>
      <c r="AK74" s="62"/>
      <c r="AL74" s="62"/>
      <c r="AM74" s="62"/>
      <c r="AN74" s="63"/>
    </row>
    <row r="75" spans="1:40" ht="42.75">
      <c r="A75" s="32"/>
      <c r="B75" s="33"/>
      <c r="C75" s="34" t="s">
        <v>296</v>
      </c>
      <c r="D75" s="35"/>
      <c r="E75" s="36"/>
      <c r="F75" s="37" t="s">
        <v>110</v>
      </c>
      <c r="G75" s="38">
        <v>0</v>
      </c>
      <c r="H75" s="39">
        <f>IF(OR(J75="",K75="",K75&lt;J75),0,NETWORKDAYS(J75,K75,Hoja2!$A$2:$A$53))</f>
        <v>0</v>
      </c>
      <c r="I75" s="70"/>
      <c r="J75" s="59"/>
      <c r="K75" s="43"/>
      <c r="L75" s="43"/>
      <c r="M75" s="42">
        <f ca="1">IF(OR(J75="",AND(L75="",TODAY()&lt;J75),AND(L75&lt;&gt;"",L75&lt;J75)),0,
   IF(L75="",
      NETWORKDAYS(J75,TODAY(),Hoja2!$A$2:$A$53),
      NETWORKDAYS(J75,L75,Hoja2!$A$2:$A$53)
   )
)</f>
        <v>0</v>
      </c>
      <c r="N75" s="43"/>
      <c r="O75" s="43"/>
      <c r="P75" s="43"/>
      <c r="Q75" s="44"/>
      <c r="R75" s="45" t="s">
        <v>102</v>
      </c>
      <c r="S75" s="60"/>
      <c r="T75" s="60"/>
      <c r="U75" s="60"/>
      <c r="V75" s="60"/>
      <c r="W75" s="60"/>
      <c r="X75" s="60"/>
      <c r="Y75" s="60"/>
      <c r="Z75" s="60"/>
      <c r="AA75" s="60"/>
      <c r="AB75" s="60"/>
      <c r="AC75" s="60"/>
      <c r="AD75" s="60"/>
      <c r="AE75" s="60"/>
      <c r="AF75" s="60"/>
      <c r="AG75" s="60"/>
      <c r="AH75" s="60"/>
      <c r="AI75" s="60"/>
      <c r="AJ75" s="60"/>
      <c r="AK75" s="60"/>
      <c r="AL75" s="60"/>
      <c r="AM75" s="60"/>
      <c r="AN75" s="61"/>
    </row>
    <row r="76" spans="1:40" ht="57">
      <c r="A76" s="17"/>
      <c r="B76" s="18"/>
      <c r="C76" s="19" t="s">
        <v>297</v>
      </c>
      <c r="D76" s="20"/>
      <c r="E76" s="21"/>
      <c r="F76" s="22" t="s">
        <v>110</v>
      </c>
      <c r="G76" s="23">
        <v>0</v>
      </c>
      <c r="H76" s="24">
        <f>IF(OR(J76="",K76="",K76&lt;J76),0,NETWORKDAYS(J76,K76,Hoja2!$A$2:$A$53))</f>
        <v>0</v>
      </c>
      <c r="I76" s="69"/>
      <c r="J76" s="50"/>
      <c r="K76" s="28"/>
      <c r="L76" s="28"/>
      <c r="M76" s="27">
        <f ca="1">IF(OR(J76="",AND(L76="",TODAY()&lt;J76),AND(L76&lt;&gt;"",L76&lt;J76)),0,
   IF(L76="",
      NETWORKDAYS(J76,TODAY(),Hoja2!$A$2:$A$53),
      NETWORKDAYS(J76,L76,Hoja2!$A$2:$A$53)
   )
)</f>
        <v>0</v>
      </c>
      <c r="N76" s="28"/>
      <c r="O76" s="28"/>
      <c r="P76" s="28"/>
      <c r="Q76" s="29" t="s">
        <v>293</v>
      </c>
      <c r="R76" s="30" t="s">
        <v>102</v>
      </c>
      <c r="S76" s="62"/>
      <c r="T76" s="62"/>
      <c r="U76" s="62"/>
      <c r="V76" s="62"/>
      <c r="W76" s="62"/>
      <c r="X76" s="62"/>
      <c r="Y76" s="62"/>
      <c r="Z76" s="62"/>
      <c r="AA76" s="62"/>
      <c r="AB76" s="62"/>
      <c r="AC76" s="62"/>
      <c r="AD76" s="62"/>
      <c r="AE76" s="62"/>
      <c r="AF76" s="62"/>
      <c r="AG76" s="62"/>
      <c r="AH76" s="62"/>
      <c r="AI76" s="62"/>
      <c r="AJ76" s="62"/>
      <c r="AK76" s="62"/>
      <c r="AL76" s="62"/>
      <c r="AM76" s="62"/>
      <c r="AN76" s="63"/>
    </row>
    <row r="77" spans="1:40" ht="71.25">
      <c r="A77" s="32"/>
      <c r="B77" s="33"/>
      <c r="C77" s="34" t="s">
        <v>294</v>
      </c>
      <c r="D77" s="35" t="s">
        <v>295</v>
      </c>
      <c r="E77" s="36"/>
      <c r="F77" s="37" t="s">
        <v>110</v>
      </c>
      <c r="G77" s="38">
        <v>0</v>
      </c>
      <c r="H77" s="39">
        <f>IF(OR(J77="",K77="",K77&lt;J77),0,NETWORKDAYS(J77,K77,Hoja2!$A$2:$A$53))</f>
        <v>0</v>
      </c>
      <c r="I77" s="70"/>
      <c r="J77" s="59"/>
      <c r="K77" s="43"/>
      <c r="L77" s="43"/>
      <c r="M77" s="42">
        <f ca="1">IF(OR(J77="",AND(L77="",TODAY()&lt;J77),AND(L77&lt;&gt;"",L77&lt;J77)),0,
   IF(L77="",
      NETWORKDAYS(J77,TODAY(),Hoja2!$A$2:$A$53),
      NETWORKDAYS(J77,L77,Hoja2!$A$2:$A$53)
   )
)</f>
        <v>0</v>
      </c>
      <c r="N77" s="43"/>
      <c r="O77" s="43"/>
      <c r="P77" s="43"/>
      <c r="Q77" s="44"/>
      <c r="R77" s="45" t="s">
        <v>102</v>
      </c>
      <c r="S77" s="60"/>
      <c r="T77" s="60"/>
      <c r="U77" s="60"/>
      <c r="V77" s="60"/>
      <c r="W77" s="60"/>
      <c r="X77" s="60"/>
      <c r="Y77" s="60"/>
      <c r="Z77" s="60"/>
      <c r="AA77" s="60"/>
      <c r="AB77" s="60"/>
      <c r="AC77" s="60"/>
      <c r="AD77" s="60"/>
      <c r="AE77" s="60"/>
      <c r="AF77" s="60"/>
      <c r="AG77" s="60"/>
      <c r="AH77" s="60"/>
      <c r="AI77" s="60"/>
      <c r="AJ77" s="60"/>
      <c r="AK77" s="60"/>
      <c r="AL77" s="60"/>
      <c r="AM77" s="60"/>
      <c r="AN77" s="61"/>
    </row>
    <row r="78" spans="1:40" ht="42.75">
      <c r="A78" s="17"/>
      <c r="B78" s="18"/>
      <c r="C78" s="19" t="s">
        <v>296</v>
      </c>
      <c r="D78" s="20"/>
      <c r="E78" s="21"/>
      <c r="F78" s="22" t="s">
        <v>110</v>
      </c>
      <c r="G78" s="23">
        <v>0</v>
      </c>
      <c r="H78" s="24">
        <f>IF(OR(J78="",K78="",K78&lt;J78),0,NETWORKDAYS(J78,K78,Hoja2!$A$2:$A$53))</f>
        <v>0</v>
      </c>
      <c r="I78" s="25"/>
      <c r="J78" s="25"/>
      <c r="K78" s="26"/>
      <c r="L78" s="26"/>
      <c r="M78" s="27">
        <f ca="1">IF(OR(J78="",AND(L78="",TODAY()&lt;J78),AND(L78&lt;&gt;"",L78&lt;J78)),0,
   IF(L78="",
      NETWORKDAYS(J78,TODAY(),Hoja2!$A$2:$A$53),
      NETWORKDAYS(J78,L78,Hoja2!$A$2:$A$53)
   )
)</f>
        <v>0</v>
      </c>
      <c r="N78" s="28"/>
      <c r="O78" s="28"/>
      <c r="P78" s="28"/>
      <c r="Q78" s="29" t="s">
        <v>298</v>
      </c>
      <c r="R78" s="30" t="s">
        <v>102</v>
      </c>
      <c r="S78" s="62"/>
      <c r="T78" s="62"/>
      <c r="U78" s="62"/>
      <c r="V78" s="62"/>
      <c r="W78" s="62"/>
      <c r="X78" s="62"/>
      <c r="Y78" s="62"/>
      <c r="Z78" s="62"/>
      <c r="AA78" s="62"/>
      <c r="AB78" s="62"/>
      <c r="AC78" s="62"/>
      <c r="AD78" s="62"/>
      <c r="AE78" s="62"/>
      <c r="AF78" s="62"/>
      <c r="AG78" s="62"/>
      <c r="AH78" s="62"/>
      <c r="AI78" s="62"/>
      <c r="AJ78" s="62"/>
      <c r="AK78" s="62"/>
      <c r="AL78" s="62"/>
      <c r="AM78" s="62"/>
      <c r="AN78" s="63"/>
    </row>
    <row r="79" spans="1:40" ht="42.75">
      <c r="A79" s="32" t="s">
        <v>37</v>
      </c>
      <c r="B79" s="33"/>
      <c r="C79" s="34" t="s">
        <v>299</v>
      </c>
      <c r="D79" s="35" t="s">
        <v>300</v>
      </c>
      <c r="E79" s="36"/>
      <c r="F79" s="37" t="s">
        <v>110</v>
      </c>
      <c r="G79" s="38">
        <v>0</v>
      </c>
      <c r="H79" s="39">
        <f>IF(OR(J79="",K79="",K79&lt;J79),0,NETWORKDAYS(J79,K79,Hoja2!$A$2:$A$53))</f>
        <v>0</v>
      </c>
      <c r="I79" s="40"/>
      <c r="J79" s="40"/>
      <c r="K79" s="41"/>
      <c r="L79" s="41"/>
      <c r="M79" s="42">
        <f ca="1">IF(OR(J79="",AND(L79="",TODAY()&lt;J79),AND(L79&lt;&gt;"",L79&lt;J79)),0,
   IF(L79="",
      NETWORKDAYS(J79,TODAY(),Hoja2!$A$2:$A$53),
      NETWORKDAYS(J79,L79,Hoja2!$A$2:$A$53)
   )
)</f>
        <v>0</v>
      </c>
      <c r="N79" s="43"/>
      <c r="O79" s="43"/>
      <c r="P79" s="43"/>
      <c r="Q79" s="44" t="s">
        <v>298</v>
      </c>
      <c r="R79" s="45" t="s">
        <v>102</v>
      </c>
      <c r="S79" s="60"/>
      <c r="T79" s="60"/>
      <c r="U79" s="60"/>
      <c r="V79" s="60"/>
      <c r="W79" s="60"/>
      <c r="X79" s="60"/>
      <c r="Y79" s="60"/>
      <c r="Z79" s="60"/>
      <c r="AA79" s="60"/>
      <c r="AB79" s="60"/>
      <c r="AC79" s="60"/>
      <c r="AD79" s="60"/>
      <c r="AE79" s="60"/>
      <c r="AF79" s="60"/>
      <c r="AG79" s="60"/>
      <c r="AH79" s="60"/>
      <c r="AI79" s="60"/>
      <c r="AJ79" s="60"/>
      <c r="AK79" s="60"/>
      <c r="AL79" s="60"/>
      <c r="AM79" s="60"/>
      <c r="AN79" s="61"/>
    </row>
    <row r="80" spans="1:40" ht="38.25">
      <c r="A80" s="17" t="s">
        <v>37</v>
      </c>
      <c r="B80" s="18"/>
      <c r="C80" s="19" t="s">
        <v>301</v>
      </c>
      <c r="D80" s="20" t="s">
        <v>302</v>
      </c>
      <c r="E80" s="21"/>
      <c r="F80" s="22" t="s">
        <v>110</v>
      </c>
      <c r="G80" s="23">
        <v>0</v>
      </c>
      <c r="H80" s="24">
        <f>IF(OR(J80="",K80="",K80&lt;J80),0,NETWORKDAYS(J80,K80,Hoja2!$A$2:$A$53))</f>
        <v>0</v>
      </c>
      <c r="I80" s="69"/>
      <c r="J80" s="50"/>
      <c r="K80" s="28"/>
      <c r="L80" s="28"/>
      <c r="M80" s="27">
        <f ca="1">IF(OR(J80="",AND(L80="",TODAY()&lt;J80),AND(L80&lt;&gt;"",L80&lt;J80)),0,
   IF(L80="",
      NETWORKDAYS(J80,TODAY(),Hoja2!$A$2:$A$53),
      NETWORKDAYS(J80,L80,Hoja2!$A$2:$A$53)
   )
)</f>
        <v>0</v>
      </c>
      <c r="N80" s="28"/>
      <c r="O80" s="28"/>
      <c r="P80" s="28"/>
      <c r="Q80" s="29"/>
      <c r="R80" s="30" t="s">
        <v>102</v>
      </c>
      <c r="S80" s="62"/>
      <c r="T80" s="62"/>
      <c r="U80" s="62"/>
      <c r="V80" s="62"/>
      <c r="W80" s="62"/>
      <c r="X80" s="62"/>
      <c r="Y80" s="62"/>
      <c r="Z80" s="62"/>
      <c r="AA80" s="62"/>
      <c r="AB80" s="62"/>
      <c r="AC80" s="62"/>
      <c r="AD80" s="62"/>
      <c r="AE80" s="62"/>
      <c r="AF80" s="62"/>
      <c r="AG80" s="62"/>
      <c r="AH80" s="62"/>
      <c r="AI80" s="62"/>
      <c r="AJ80" s="62"/>
      <c r="AK80" s="62"/>
      <c r="AL80" s="62"/>
      <c r="AM80" s="62"/>
      <c r="AN80" s="63"/>
    </row>
  </sheetData>
  <autoFilter ref="A1:R80"/>
  <conditionalFormatting sqref="B7:B79">
    <cfRule type="expression" dxfId="0" priority="2">
      <formula>COUNTIF(B7:B80, B7)&gt;1</formula>
    </cfRule>
  </conditionalFormatting>
  <dataValidations count="2">
    <dataValidation type="custom" allowBlank="1" showDropDown="1" sqref="I2:L25 N2:P25 I26 I27:L80 N27:P80">
      <formula1>OR(NOT(ISERROR(DATEVALUE(I2))), AND(ISNUMBER(I2), LEFT(CELL("format", I2))="D"))</formula1>
    </dataValidation>
    <dataValidation type="list" allowBlank="1" sqref="F2:F80">
      <formula1>"FINALIZADO,EN PROCESO,PAUSADO,EN TEST,PENDIENTE,PRUEBAS CLIENTE,PRUEBAS IMAGINE,PASO A PRODUCCION,PENDIENTE CLIENTE"</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1.21875" defaultRowHeight="15" customHeight="1"/>
  <cols>
    <col min="1" max="6" width="10.5546875" customWidth="1"/>
  </cols>
  <sheetData>
    <row r="1" spans="1:2" ht="17.25" customHeight="1">
      <c r="A1" s="71">
        <v>45292</v>
      </c>
      <c r="B1" s="72" t="s">
        <v>303</v>
      </c>
    </row>
    <row r="2" spans="1:2" ht="17.25" customHeight="1">
      <c r="A2" s="71">
        <v>45299</v>
      </c>
      <c r="B2" s="72" t="s">
        <v>304</v>
      </c>
    </row>
    <row r="3" spans="1:2" ht="17.25" customHeight="1">
      <c r="A3" s="71">
        <v>45376</v>
      </c>
      <c r="B3" s="72" t="s">
        <v>305</v>
      </c>
    </row>
    <row r="4" spans="1:2" ht="17.25" customHeight="1">
      <c r="A4" s="71">
        <v>45379</v>
      </c>
      <c r="B4" s="72" t="s">
        <v>306</v>
      </c>
    </row>
    <row r="5" spans="1:2" ht="17.25" customHeight="1">
      <c r="A5" s="71">
        <v>45380</v>
      </c>
      <c r="B5" s="72" t="s">
        <v>307</v>
      </c>
    </row>
    <row r="6" spans="1:2" ht="17.25" customHeight="1">
      <c r="A6" s="71">
        <v>45413</v>
      </c>
      <c r="B6" s="72" t="s">
        <v>308</v>
      </c>
    </row>
    <row r="7" spans="1:2" ht="17.25" customHeight="1">
      <c r="A7" s="71">
        <v>45425</v>
      </c>
      <c r="B7" s="72" t="s">
        <v>309</v>
      </c>
    </row>
    <row r="8" spans="1:2" ht="17.25" customHeight="1">
      <c r="A8" s="71">
        <v>45446</v>
      </c>
      <c r="B8" s="72" t="s">
        <v>310</v>
      </c>
    </row>
    <row r="9" spans="1:2" ht="17.25" customHeight="1">
      <c r="A9" s="71">
        <v>45453</v>
      </c>
      <c r="B9" s="72" t="s">
        <v>311</v>
      </c>
    </row>
    <row r="10" spans="1:2" ht="17.25" customHeight="1">
      <c r="A10" s="71">
        <v>45474</v>
      </c>
      <c r="B10" s="72" t="s">
        <v>312</v>
      </c>
    </row>
    <row r="11" spans="1:2" ht="17.25" customHeight="1">
      <c r="A11" s="71">
        <v>45493</v>
      </c>
      <c r="B11" s="72" t="s">
        <v>313</v>
      </c>
    </row>
    <row r="12" spans="1:2" ht="17.25" customHeight="1">
      <c r="A12" s="71">
        <v>45511</v>
      </c>
      <c r="B12" s="72" t="s">
        <v>314</v>
      </c>
    </row>
    <row r="13" spans="1:2" ht="17.25" customHeight="1">
      <c r="A13" s="71">
        <v>45523</v>
      </c>
      <c r="B13" s="72" t="s">
        <v>315</v>
      </c>
    </row>
    <row r="14" spans="1:2" ht="17.25" customHeight="1">
      <c r="A14" s="71">
        <v>45579</v>
      </c>
      <c r="B14" s="72" t="s">
        <v>316</v>
      </c>
    </row>
    <row r="15" spans="1:2" ht="17.25" customHeight="1">
      <c r="A15" s="71">
        <v>45600</v>
      </c>
      <c r="B15" s="72" t="s">
        <v>317</v>
      </c>
    </row>
    <row r="16" spans="1:2" ht="17.25" customHeight="1">
      <c r="A16" s="71">
        <v>45607</v>
      </c>
      <c r="B16" s="72" t="s">
        <v>318</v>
      </c>
    </row>
    <row r="17" spans="1:2" ht="17.25" customHeight="1">
      <c r="A17" s="71">
        <v>45634</v>
      </c>
      <c r="B17" s="72" t="s">
        <v>319</v>
      </c>
    </row>
    <row r="18" spans="1:2" ht="17.25" customHeight="1">
      <c r="A18" s="71">
        <v>45651</v>
      </c>
      <c r="B18" s="72" t="s">
        <v>320</v>
      </c>
    </row>
    <row r="19" spans="1:2" ht="17.25" customHeight="1">
      <c r="A19" s="71">
        <v>45658</v>
      </c>
      <c r="B19" s="73" t="s">
        <v>321</v>
      </c>
    </row>
    <row r="20" spans="1:2" ht="17.25" customHeight="1">
      <c r="A20" s="71">
        <v>45663</v>
      </c>
      <c r="B20" s="73" t="s">
        <v>322</v>
      </c>
    </row>
    <row r="21" spans="1:2" ht="17.25" customHeight="1">
      <c r="A21" s="71">
        <v>45740</v>
      </c>
      <c r="B21" s="73" t="s">
        <v>323</v>
      </c>
    </row>
    <row r="22" spans="1:2" ht="17.25" customHeight="1">
      <c r="A22" s="71">
        <v>45764</v>
      </c>
      <c r="B22" s="73" t="s">
        <v>324</v>
      </c>
    </row>
    <row r="23" spans="1:2" ht="17.25" customHeight="1">
      <c r="A23" s="71">
        <v>45765</v>
      </c>
      <c r="B23" s="73" t="s">
        <v>325</v>
      </c>
    </row>
    <row r="24" spans="1:2" ht="17.25" customHeight="1">
      <c r="A24" s="71">
        <v>45778</v>
      </c>
      <c r="B24" s="73" t="s">
        <v>326</v>
      </c>
    </row>
    <row r="25" spans="1:2" ht="17.25" customHeight="1">
      <c r="A25" s="71">
        <v>45810</v>
      </c>
      <c r="B25" s="73" t="s">
        <v>327</v>
      </c>
    </row>
    <row r="26" spans="1:2" ht="17.25" customHeight="1">
      <c r="A26" s="71">
        <v>45831</v>
      </c>
      <c r="B26" s="73" t="s">
        <v>328</v>
      </c>
    </row>
    <row r="27" spans="1:2" ht="17.25" customHeight="1">
      <c r="A27" s="71">
        <v>45838</v>
      </c>
      <c r="B27" s="73" t="s">
        <v>329</v>
      </c>
    </row>
    <row r="28" spans="1:2" ht="17.25" customHeight="1">
      <c r="A28" s="71">
        <v>45858</v>
      </c>
      <c r="B28" s="73" t="s">
        <v>330</v>
      </c>
    </row>
    <row r="29" spans="1:2" ht="17.25" customHeight="1">
      <c r="A29" s="71">
        <v>45876</v>
      </c>
      <c r="B29" s="73" t="s">
        <v>331</v>
      </c>
    </row>
    <row r="30" spans="1:2" ht="17.25" customHeight="1">
      <c r="A30" s="71">
        <v>45887</v>
      </c>
      <c r="B30" s="73" t="s">
        <v>332</v>
      </c>
    </row>
    <row r="31" spans="1:2" ht="17.25" customHeight="1">
      <c r="A31" s="71">
        <v>45943</v>
      </c>
      <c r="B31" s="73" t="s">
        <v>333</v>
      </c>
    </row>
    <row r="32" spans="1:2" ht="17.25" customHeight="1">
      <c r="A32" s="71">
        <v>45964</v>
      </c>
      <c r="B32" s="73" t="s">
        <v>334</v>
      </c>
    </row>
    <row r="33" spans="1:2" ht="17.25" customHeight="1">
      <c r="A33" s="71">
        <v>45978</v>
      </c>
      <c r="B33" s="73" t="s">
        <v>335</v>
      </c>
    </row>
    <row r="34" spans="1:2" ht="17.25" customHeight="1">
      <c r="A34" s="71">
        <v>45999</v>
      </c>
      <c r="B34" s="73" t="s">
        <v>336</v>
      </c>
    </row>
    <row r="35" spans="1:2" ht="17.25" customHeight="1">
      <c r="A35" s="71">
        <v>46016</v>
      </c>
      <c r="B35" s="73" t="s">
        <v>337</v>
      </c>
    </row>
    <row r="36" spans="1:2" ht="17.25" customHeight="1">
      <c r="A36" s="71">
        <v>46023</v>
      </c>
      <c r="B36" s="73" t="s">
        <v>321</v>
      </c>
    </row>
    <row r="37" spans="1:2" ht="17.25" customHeight="1">
      <c r="A37" s="71">
        <v>46034</v>
      </c>
      <c r="B37" s="73" t="s">
        <v>322</v>
      </c>
    </row>
    <row r="38" spans="1:2" ht="17.25" customHeight="1">
      <c r="A38" s="71">
        <v>46104</v>
      </c>
      <c r="B38" s="73" t="s">
        <v>323</v>
      </c>
    </row>
    <row r="39" spans="1:2" ht="17.25" customHeight="1">
      <c r="A39" s="71">
        <v>46114</v>
      </c>
      <c r="B39" s="73" t="s">
        <v>324</v>
      </c>
    </row>
    <row r="40" spans="1:2" ht="17.25" customHeight="1">
      <c r="A40" s="71">
        <v>46115</v>
      </c>
      <c r="B40" s="73" t="s">
        <v>325</v>
      </c>
    </row>
    <row r="41" spans="1:2" ht="17.25" customHeight="1">
      <c r="A41" s="71">
        <v>46143</v>
      </c>
      <c r="B41" s="73" t="s">
        <v>326</v>
      </c>
    </row>
    <row r="42" spans="1:2" ht="17.25" customHeight="1">
      <c r="A42" s="71">
        <v>46160</v>
      </c>
      <c r="B42" s="73" t="s">
        <v>327</v>
      </c>
    </row>
    <row r="43" spans="1:2" ht="17.25" customHeight="1">
      <c r="A43" s="71">
        <v>46181</v>
      </c>
      <c r="B43" s="73" t="s">
        <v>328</v>
      </c>
    </row>
    <row r="44" spans="1:2" ht="17.25" customHeight="1">
      <c r="A44" s="71">
        <v>46188</v>
      </c>
      <c r="B44" s="73" t="s">
        <v>338</v>
      </c>
    </row>
    <row r="45" spans="1:2" ht="17.25" customHeight="1">
      <c r="A45" s="71">
        <v>46202</v>
      </c>
      <c r="B45" s="73" t="s">
        <v>339</v>
      </c>
    </row>
    <row r="46" spans="1:2" ht="17.25" customHeight="1">
      <c r="A46" s="71">
        <v>46223</v>
      </c>
      <c r="B46" s="73" t="s">
        <v>330</v>
      </c>
    </row>
    <row r="47" spans="1:2" ht="17.25" customHeight="1">
      <c r="A47" s="71">
        <v>46241</v>
      </c>
      <c r="B47" s="73" t="s">
        <v>331</v>
      </c>
    </row>
    <row r="48" spans="1:2" ht="17.25" customHeight="1">
      <c r="A48" s="71">
        <v>46251</v>
      </c>
      <c r="B48" s="73" t="s">
        <v>332</v>
      </c>
    </row>
    <row r="49" spans="1:2" ht="17.25" customHeight="1">
      <c r="A49" s="71">
        <v>46307</v>
      </c>
      <c r="B49" s="73" t="s">
        <v>333</v>
      </c>
    </row>
    <row r="50" spans="1:2" ht="17.25" customHeight="1">
      <c r="A50" s="71">
        <v>46328</v>
      </c>
      <c r="B50" s="73" t="s">
        <v>334</v>
      </c>
    </row>
    <row r="51" spans="1:2" ht="17.25" customHeight="1">
      <c r="A51" s="71">
        <v>46342</v>
      </c>
      <c r="B51" s="73" t="s">
        <v>335</v>
      </c>
    </row>
    <row r="52" spans="1:2" ht="17.25" customHeight="1">
      <c r="A52" s="71">
        <v>46364</v>
      </c>
      <c r="B52" s="73" t="s">
        <v>336</v>
      </c>
    </row>
    <row r="53" spans="1:2" ht="17.25" customHeight="1">
      <c r="A53" s="71">
        <v>46381</v>
      </c>
      <c r="B53" s="73" t="s">
        <v>337</v>
      </c>
    </row>
    <row r="54" spans="1:2" ht="17.25" customHeight="1"/>
    <row r="55" spans="1:2" ht="17.25" customHeight="1"/>
    <row r="56" spans="1:2" ht="17.25" customHeight="1"/>
    <row r="57" spans="1:2" ht="17.25" customHeight="1"/>
    <row r="58" spans="1:2" ht="17.25" customHeight="1"/>
    <row r="59" spans="1:2" ht="17.25" customHeight="1"/>
    <row r="60" spans="1:2" ht="17.25" customHeight="1"/>
    <row r="61" spans="1:2" ht="17.25" customHeight="1"/>
    <row r="62" spans="1:2" ht="17.25" customHeight="1"/>
    <row r="63" spans="1:2" ht="17.25" customHeight="1"/>
    <row r="64" spans="1:2"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1000"/>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10" defaultColWidth="11.21875" defaultRowHeight="15" customHeight="1"/>
  <cols>
    <col min="1" max="1" width="18" customWidth="1"/>
    <col min="2" max="10" width="10.5546875" customWidth="1"/>
    <col min="11" max="12" width="13.5546875" customWidth="1"/>
    <col min="13" max="26" width="10.5546875" customWidth="1"/>
  </cols>
  <sheetData>
    <row r="1" spans="1:97" ht="15.75">
      <c r="A1" s="74" t="s">
        <v>340</v>
      </c>
      <c r="B1" s="75"/>
      <c r="C1" s="75"/>
      <c r="D1" s="75"/>
      <c r="E1" s="75"/>
      <c r="F1" s="75"/>
      <c r="G1" s="75"/>
      <c r="H1" s="75"/>
      <c r="I1" s="75"/>
      <c r="J1" s="75"/>
      <c r="K1" s="75"/>
      <c r="L1" s="75"/>
      <c r="M1" s="75"/>
      <c r="N1" s="75"/>
      <c r="O1" s="75"/>
      <c r="P1" s="75"/>
      <c r="Q1" s="75"/>
      <c r="R1" s="75"/>
      <c r="S1" s="75"/>
      <c r="T1" s="75"/>
      <c r="U1" s="75"/>
      <c r="V1" s="75"/>
      <c r="W1" s="75"/>
      <c r="X1" s="75"/>
      <c r="Y1" s="75"/>
      <c r="Z1" s="75"/>
    </row>
    <row r="2" spans="1:97">
      <c r="A2" s="75"/>
      <c r="B2" s="75"/>
      <c r="C2" s="75"/>
      <c r="D2" s="75"/>
      <c r="E2" s="75"/>
      <c r="F2" s="75"/>
      <c r="G2" s="75"/>
      <c r="H2" s="75"/>
      <c r="I2" s="75"/>
      <c r="J2" s="75"/>
      <c r="K2" s="75"/>
      <c r="L2" s="75"/>
      <c r="M2" s="75"/>
      <c r="N2" s="75"/>
      <c r="O2" s="75"/>
      <c r="P2" s="75"/>
      <c r="Q2" s="75"/>
      <c r="R2" s="75"/>
      <c r="S2" s="75"/>
      <c r="T2" s="75"/>
      <c r="U2" s="75"/>
      <c r="V2" s="75"/>
      <c r="W2" s="75"/>
      <c r="X2" s="75"/>
      <c r="Y2" s="75"/>
      <c r="Z2" s="75"/>
    </row>
    <row r="3" spans="1:97" ht="32.25" customHeight="1">
      <c r="A3" s="76" t="s">
        <v>341</v>
      </c>
      <c r="B3" s="77">
        <v>45596</v>
      </c>
      <c r="C3" s="77">
        <v>45597</v>
      </c>
      <c r="D3" s="77">
        <v>45601</v>
      </c>
      <c r="E3" s="77">
        <v>45602</v>
      </c>
      <c r="F3" s="77">
        <v>45603</v>
      </c>
      <c r="G3" s="77">
        <v>45604</v>
      </c>
      <c r="H3" s="77">
        <v>45608</v>
      </c>
      <c r="I3" s="77">
        <v>45609</v>
      </c>
      <c r="J3" s="77">
        <v>45610</v>
      </c>
      <c r="K3" s="77">
        <v>45611</v>
      </c>
      <c r="L3" s="77">
        <v>45614</v>
      </c>
      <c r="M3" s="77">
        <v>45615</v>
      </c>
      <c r="N3" s="77">
        <v>45616</v>
      </c>
      <c r="O3" s="77">
        <v>45617</v>
      </c>
      <c r="P3" s="77">
        <v>45618</v>
      </c>
      <c r="Q3" s="78">
        <v>45621</v>
      </c>
      <c r="R3" s="78">
        <v>45622</v>
      </c>
      <c r="S3" s="78">
        <v>45623</v>
      </c>
      <c r="T3" s="78">
        <v>45624</v>
      </c>
      <c r="U3" s="78">
        <v>45625</v>
      </c>
      <c r="V3" s="78">
        <v>45628</v>
      </c>
      <c r="W3" s="78">
        <v>45629</v>
      </c>
      <c r="X3" s="78">
        <v>45630</v>
      </c>
      <c r="Y3" s="78">
        <v>45631</v>
      </c>
      <c r="Z3" s="78">
        <v>45632</v>
      </c>
      <c r="AA3" s="78">
        <v>45635</v>
      </c>
      <c r="AB3" s="78">
        <v>45636</v>
      </c>
      <c r="AC3" s="78">
        <v>45637</v>
      </c>
      <c r="AD3" s="78">
        <v>45638</v>
      </c>
      <c r="AE3" s="79">
        <v>45639</v>
      </c>
      <c r="AF3" s="77">
        <v>45642</v>
      </c>
      <c r="AG3" s="77">
        <v>45643</v>
      </c>
      <c r="AH3" s="77">
        <v>45644</v>
      </c>
      <c r="AI3" s="77">
        <v>45645</v>
      </c>
      <c r="AJ3" s="77">
        <v>45646</v>
      </c>
      <c r="AK3" s="77">
        <v>45649</v>
      </c>
      <c r="AL3" s="77">
        <v>45650</v>
      </c>
      <c r="AM3" s="77">
        <v>45652</v>
      </c>
      <c r="AN3" s="77">
        <v>45653</v>
      </c>
      <c r="AO3" s="77">
        <v>45656</v>
      </c>
      <c r="AP3" s="77">
        <v>45656</v>
      </c>
      <c r="AQ3" s="77">
        <v>45664</v>
      </c>
      <c r="AR3" s="77">
        <v>45665</v>
      </c>
      <c r="AS3" s="77">
        <v>45666</v>
      </c>
      <c r="AT3" s="77">
        <v>45667</v>
      </c>
      <c r="AU3" s="77">
        <v>45670</v>
      </c>
      <c r="AV3" s="77">
        <v>45671</v>
      </c>
      <c r="AW3" s="77">
        <v>45672</v>
      </c>
      <c r="AX3" s="77">
        <v>45673</v>
      </c>
      <c r="AY3" s="77">
        <v>45674</v>
      </c>
      <c r="AZ3" s="77">
        <v>45677</v>
      </c>
      <c r="BA3" s="77">
        <v>45678</v>
      </c>
      <c r="BB3" s="77">
        <v>45679</v>
      </c>
      <c r="BC3" s="77">
        <v>45680</v>
      </c>
      <c r="BD3" s="77">
        <v>45681</v>
      </c>
      <c r="BE3" s="77">
        <v>45684</v>
      </c>
      <c r="BF3" s="77">
        <v>45685</v>
      </c>
      <c r="BG3" s="77">
        <v>45686</v>
      </c>
      <c r="BH3" s="77">
        <v>45687</v>
      </c>
      <c r="BI3" s="77">
        <v>45688</v>
      </c>
      <c r="BJ3" s="78">
        <v>45691</v>
      </c>
      <c r="BK3" s="78">
        <v>45692</v>
      </c>
      <c r="BL3" s="78">
        <v>45693</v>
      </c>
      <c r="BM3" s="78">
        <v>45694</v>
      </c>
      <c r="BN3" s="78">
        <v>45695</v>
      </c>
      <c r="BO3" s="78">
        <v>45698</v>
      </c>
      <c r="BP3" s="78">
        <v>45699</v>
      </c>
      <c r="BQ3" s="78">
        <v>45700</v>
      </c>
      <c r="BR3" s="78">
        <v>45701</v>
      </c>
      <c r="BS3" s="78">
        <v>45702</v>
      </c>
      <c r="BT3" s="78">
        <v>45705</v>
      </c>
      <c r="BU3" s="78">
        <v>45706</v>
      </c>
      <c r="BV3" s="78">
        <v>45707</v>
      </c>
      <c r="BW3" s="78">
        <v>45708</v>
      </c>
      <c r="BX3" s="78">
        <v>45709</v>
      </c>
      <c r="BY3" s="78">
        <v>45712</v>
      </c>
      <c r="BZ3" s="78">
        <v>45713</v>
      </c>
      <c r="CA3" s="78">
        <v>45714</v>
      </c>
      <c r="CB3" s="78">
        <v>45715</v>
      </c>
      <c r="CC3" s="78">
        <v>45716</v>
      </c>
      <c r="CD3" s="78">
        <v>45719</v>
      </c>
      <c r="CE3" s="78">
        <v>45720</v>
      </c>
      <c r="CF3" s="78">
        <v>45721</v>
      </c>
      <c r="CG3" s="78">
        <v>45722</v>
      </c>
      <c r="CH3" s="78">
        <v>45723</v>
      </c>
      <c r="CI3" s="78">
        <v>45726</v>
      </c>
      <c r="CJ3" s="78">
        <v>45727</v>
      </c>
      <c r="CK3" s="78">
        <v>45728</v>
      </c>
      <c r="CL3" s="78">
        <v>45729</v>
      </c>
      <c r="CM3" s="78">
        <v>45730</v>
      </c>
      <c r="CN3" s="78">
        <v>45733</v>
      </c>
      <c r="CO3" s="78">
        <v>45734</v>
      </c>
      <c r="CP3" s="78">
        <v>45735</v>
      </c>
      <c r="CQ3" s="78">
        <v>45736</v>
      </c>
      <c r="CR3" s="78">
        <v>45737</v>
      </c>
      <c r="CS3" s="78">
        <v>45741</v>
      </c>
    </row>
    <row r="4" spans="1:97" ht="30.75" customHeight="1">
      <c r="A4" s="80" t="s">
        <v>342</v>
      </c>
      <c r="B4" s="81" t="s">
        <v>343</v>
      </c>
      <c r="C4" s="82" t="s">
        <v>344</v>
      </c>
      <c r="D4" s="83" t="s">
        <v>343</v>
      </c>
      <c r="E4" s="83" t="s">
        <v>343</v>
      </c>
      <c r="F4" s="83" t="s">
        <v>343</v>
      </c>
      <c r="G4" s="83" t="s">
        <v>343</v>
      </c>
      <c r="H4" s="83" t="s">
        <v>343</v>
      </c>
      <c r="I4" s="83" t="s">
        <v>343</v>
      </c>
      <c r="J4" s="83" t="s">
        <v>343</v>
      </c>
      <c r="K4" s="83" t="s">
        <v>343</v>
      </c>
      <c r="L4" s="83" t="s">
        <v>343</v>
      </c>
      <c r="M4" s="83" t="s">
        <v>343</v>
      </c>
      <c r="N4" s="83" t="s">
        <v>343</v>
      </c>
      <c r="O4" s="83" t="s">
        <v>345</v>
      </c>
      <c r="P4" s="84" t="s">
        <v>343</v>
      </c>
      <c r="Q4" s="83" t="s">
        <v>343</v>
      </c>
      <c r="R4" s="83" t="s">
        <v>343</v>
      </c>
      <c r="S4" s="83" t="s">
        <v>343</v>
      </c>
      <c r="T4" s="83" t="s">
        <v>343</v>
      </c>
      <c r="U4" s="84" t="s">
        <v>346</v>
      </c>
      <c r="V4" s="83" t="s">
        <v>343</v>
      </c>
      <c r="W4" s="83" t="s">
        <v>343</v>
      </c>
      <c r="X4" s="83" t="s">
        <v>343</v>
      </c>
      <c r="Y4" s="83" t="s">
        <v>343</v>
      </c>
      <c r="Z4" s="83" t="s">
        <v>343</v>
      </c>
      <c r="AA4" s="83" t="s">
        <v>343</v>
      </c>
      <c r="AB4" s="83" t="s">
        <v>343</v>
      </c>
      <c r="AC4" s="83" t="s">
        <v>343</v>
      </c>
      <c r="AD4" s="83" t="s">
        <v>343</v>
      </c>
      <c r="AE4" s="109" t="s">
        <v>347</v>
      </c>
      <c r="AF4" s="83" t="s">
        <v>343</v>
      </c>
      <c r="AG4" s="83" t="s">
        <v>343</v>
      </c>
      <c r="AH4" s="83" t="s">
        <v>343</v>
      </c>
      <c r="AI4" s="83" t="s">
        <v>343</v>
      </c>
      <c r="AJ4" s="83" t="s">
        <v>343</v>
      </c>
      <c r="AK4" s="83" t="s">
        <v>343</v>
      </c>
      <c r="AL4" s="109" t="s">
        <v>348</v>
      </c>
      <c r="AM4" s="83" t="s">
        <v>346</v>
      </c>
      <c r="AN4" s="83" t="s">
        <v>346</v>
      </c>
      <c r="AO4" s="83" t="s">
        <v>343</v>
      </c>
      <c r="AP4" s="109" t="s">
        <v>349</v>
      </c>
      <c r="AQ4" s="83" t="s">
        <v>343</v>
      </c>
      <c r="AR4" s="83" t="s">
        <v>343</v>
      </c>
      <c r="AS4" s="109" t="s">
        <v>349</v>
      </c>
      <c r="AT4" s="85" t="s">
        <v>343</v>
      </c>
      <c r="AU4" s="83" t="s">
        <v>343</v>
      </c>
      <c r="AV4" s="83" t="s">
        <v>343</v>
      </c>
      <c r="AW4" s="83" t="s">
        <v>343</v>
      </c>
      <c r="AX4" s="83" t="s">
        <v>343</v>
      </c>
      <c r="AY4" s="109" t="s">
        <v>349</v>
      </c>
      <c r="AZ4" s="83" t="s">
        <v>343</v>
      </c>
      <c r="BA4" s="83" t="s">
        <v>343</v>
      </c>
      <c r="BB4" s="83" t="s">
        <v>343</v>
      </c>
      <c r="BC4" s="83" t="s">
        <v>343</v>
      </c>
      <c r="BD4" s="83" t="s">
        <v>343</v>
      </c>
      <c r="BE4" s="83" t="s">
        <v>343</v>
      </c>
      <c r="BF4" s="83" t="s">
        <v>343</v>
      </c>
      <c r="BG4" s="83" t="s">
        <v>343</v>
      </c>
      <c r="BH4" s="83" t="s">
        <v>343</v>
      </c>
      <c r="BI4" s="84" t="s">
        <v>343</v>
      </c>
      <c r="BJ4" s="109" t="s">
        <v>349</v>
      </c>
      <c r="BK4" s="84" t="s">
        <v>350</v>
      </c>
      <c r="BL4" s="84" t="s">
        <v>350</v>
      </c>
      <c r="BM4" s="84" t="s">
        <v>350</v>
      </c>
      <c r="BN4" s="84" t="s">
        <v>350</v>
      </c>
      <c r="BO4" s="84" t="s">
        <v>350</v>
      </c>
      <c r="BP4" s="84" t="s">
        <v>350</v>
      </c>
      <c r="BQ4" s="84" t="s">
        <v>350</v>
      </c>
      <c r="BR4" s="83" t="s">
        <v>343</v>
      </c>
      <c r="BS4" s="83" t="s">
        <v>343</v>
      </c>
      <c r="BT4" s="83" t="s">
        <v>343</v>
      </c>
      <c r="BU4" s="83" t="s">
        <v>343</v>
      </c>
      <c r="BV4" s="83" t="s">
        <v>343</v>
      </c>
      <c r="BW4" s="83" t="s">
        <v>343</v>
      </c>
      <c r="BX4" s="83" t="s">
        <v>343</v>
      </c>
      <c r="BY4" s="83" t="s">
        <v>343</v>
      </c>
      <c r="BZ4" s="83" t="s">
        <v>343</v>
      </c>
      <c r="CA4" s="83" t="s">
        <v>343</v>
      </c>
      <c r="CB4" s="83" t="s">
        <v>343</v>
      </c>
      <c r="CC4" s="83" t="s">
        <v>343</v>
      </c>
      <c r="CD4" s="83" t="s">
        <v>343</v>
      </c>
      <c r="CE4" s="83" t="s">
        <v>343</v>
      </c>
      <c r="CF4" s="83" t="s">
        <v>343</v>
      </c>
      <c r="CG4" s="83"/>
      <c r="CH4" s="83"/>
      <c r="CI4" s="109" t="s">
        <v>351</v>
      </c>
      <c r="CJ4" s="83"/>
      <c r="CK4" s="83"/>
      <c r="CL4" s="83"/>
      <c r="CM4" s="83"/>
      <c r="CN4" s="83"/>
      <c r="CO4" s="83"/>
      <c r="CP4" s="83"/>
      <c r="CQ4" s="83"/>
      <c r="CR4" s="83"/>
      <c r="CS4" s="83" t="s">
        <v>343</v>
      </c>
    </row>
    <row r="5" spans="1:97" ht="15.75" customHeight="1">
      <c r="A5" s="80" t="s">
        <v>352</v>
      </c>
      <c r="B5" s="81" t="s">
        <v>343</v>
      </c>
      <c r="C5" s="83" t="s">
        <v>343</v>
      </c>
      <c r="D5" s="83" t="s">
        <v>343</v>
      </c>
      <c r="E5" s="83" t="s">
        <v>343</v>
      </c>
      <c r="F5" s="83" t="s">
        <v>343</v>
      </c>
      <c r="G5" s="83" t="s">
        <v>343</v>
      </c>
      <c r="H5" s="83" t="s">
        <v>343</v>
      </c>
      <c r="I5" s="83" t="s">
        <v>343</v>
      </c>
      <c r="J5" s="83" t="s">
        <v>343</v>
      </c>
      <c r="K5" s="83" t="s">
        <v>343</v>
      </c>
      <c r="L5" s="83" t="s">
        <v>350</v>
      </c>
      <c r="M5" s="83" t="s">
        <v>350</v>
      </c>
      <c r="N5" s="83" t="s">
        <v>350</v>
      </c>
      <c r="O5" s="83" t="s">
        <v>350</v>
      </c>
      <c r="P5" s="84" t="s">
        <v>350</v>
      </c>
      <c r="Q5" s="83" t="s">
        <v>343</v>
      </c>
      <c r="R5" s="83" t="s">
        <v>343</v>
      </c>
      <c r="S5" s="83" t="s">
        <v>343</v>
      </c>
      <c r="T5" s="83" t="s">
        <v>343</v>
      </c>
      <c r="U5" s="84" t="s">
        <v>343</v>
      </c>
      <c r="V5" s="83" t="s">
        <v>343</v>
      </c>
      <c r="W5" s="83" t="s">
        <v>343</v>
      </c>
      <c r="X5" s="83" t="s">
        <v>343</v>
      </c>
      <c r="Y5" s="83" t="s">
        <v>343</v>
      </c>
      <c r="Z5" s="83" t="s">
        <v>343</v>
      </c>
      <c r="AA5" s="83" t="s">
        <v>343</v>
      </c>
      <c r="AB5" s="83" t="s">
        <v>343</v>
      </c>
      <c r="AC5" s="83" t="s">
        <v>343</v>
      </c>
      <c r="AD5" s="83" t="s">
        <v>343</v>
      </c>
      <c r="AE5" s="110"/>
      <c r="AF5" s="83" t="s">
        <v>343</v>
      </c>
      <c r="AG5" s="83" t="s">
        <v>343</v>
      </c>
      <c r="AH5" s="83" t="s">
        <v>343</v>
      </c>
      <c r="AI5" s="83" t="s">
        <v>343</v>
      </c>
      <c r="AJ5" s="83" t="s">
        <v>343</v>
      </c>
      <c r="AK5" s="83" t="s">
        <v>343</v>
      </c>
      <c r="AL5" s="110"/>
      <c r="AM5" s="83" t="s">
        <v>343</v>
      </c>
      <c r="AN5" s="83" t="s">
        <v>343</v>
      </c>
      <c r="AO5" s="83" t="s">
        <v>343</v>
      </c>
      <c r="AP5" s="110"/>
      <c r="AQ5" s="83" t="s">
        <v>350</v>
      </c>
      <c r="AR5" s="83" t="s">
        <v>350</v>
      </c>
      <c r="AS5" s="110"/>
      <c r="AT5" s="83" t="s">
        <v>350</v>
      </c>
      <c r="AU5" s="83" t="s">
        <v>350</v>
      </c>
      <c r="AV5" s="83" t="s">
        <v>350</v>
      </c>
      <c r="AW5" s="83" t="s">
        <v>350</v>
      </c>
      <c r="AX5" s="83" t="s">
        <v>350</v>
      </c>
      <c r="AY5" s="110"/>
      <c r="AZ5" s="83" t="s">
        <v>350</v>
      </c>
      <c r="BA5" s="83" t="s">
        <v>343</v>
      </c>
      <c r="BB5" s="83" t="s">
        <v>343</v>
      </c>
      <c r="BC5" s="83" t="s">
        <v>343</v>
      </c>
      <c r="BD5" s="83" t="s">
        <v>343</v>
      </c>
      <c r="BE5" s="83" t="s">
        <v>343</v>
      </c>
      <c r="BF5" s="83" t="s">
        <v>343</v>
      </c>
      <c r="BG5" s="83" t="s">
        <v>343</v>
      </c>
      <c r="BH5" s="83" t="s">
        <v>343</v>
      </c>
      <c r="BI5" s="84" t="s">
        <v>343</v>
      </c>
      <c r="BJ5" s="110"/>
      <c r="BK5" s="84" t="s">
        <v>343</v>
      </c>
      <c r="BL5" s="84" t="s">
        <v>343</v>
      </c>
      <c r="BM5" s="83" t="s">
        <v>343</v>
      </c>
      <c r="BN5" s="84" t="s">
        <v>343</v>
      </c>
      <c r="BO5" s="83" t="s">
        <v>343</v>
      </c>
      <c r="BP5" s="83" t="s">
        <v>343</v>
      </c>
      <c r="BQ5" s="83" t="s">
        <v>343</v>
      </c>
      <c r="BR5" s="83" t="s">
        <v>343</v>
      </c>
      <c r="BS5" s="83" t="s">
        <v>343</v>
      </c>
      <c r="BT5" s="83" t="s">
        <v>343</v>
      </c>
      <c r="BU5" s="83" t="s">
        <v>343</v>
      </c>
      <c r="BV5" s="83" t="s">
        <v>343</v>
      </c>
      <c r="BW5" s="83" t="s">
        <v>343</v>
      </c>
      <c r="BX5" s="83" t="s">
        <v>343</v>
      </c>
      <c r="BY5" s="83" t="s">
        <v>343</v>
      </c>
      <c r="BZ5" s="83" t="s">
        <v>343</v>
      </c>
      <c r="CA5" s="83" t="s">
        <v>343</v>
      </c>
      <c r="CB5" s="83" t="s">
        <v>343</v>
      </c>
      <c r="CC5" s="83" t="s">
        <v>343</v>
      </c>
      <c r="CD5" s="83" t="s">
        <v>343</v>
      </c>
      <c r="CE5" s="83" t="s">
        <v>343</v>
      </c>
      <c r="CF5" s="83" t="s">
        <v>343</v>
      </c>
      <c r="CG5" s="83"/>
      <c r="CH5" s="83"/>
      <c r="CI5" s="110"/>
      <c r="CJ5" s="83"/>
      <c r="CK5" s="83"/>
      <c r="CL5" s="83"/>
      <c r="CM5" s="83"/>
      <c r="CN5" s="83"/>
      <c r="CO5" s="83"/>
      <c r="CP5" s="83"/>
      <c r="CQ5" s="83"/>
      <c r="CR5" s="83"/>
      <c r="CS5" s="83" t="s">
        <v>343</v>
      </c>
    </row>
    <row r="6" spans="1:97" ht="15.75">
      <c r="A6" s="80" t="s">
        <v>353</v>
      </c>
      <c r="B6" s="81" t="s">
        <v>343</v>
      </c>
      <c r="C6" s="83" t="s">
        <v>343</v>
      </c>
      <c r="D6" s="83" t="s">
        <v>343</v>
      </c>
      <c r="E6" s="83" t="s">
        <v>343</v>
      </c>
      <c r="F6" s="83" t="s">
        <v>343</v>
      </c>
      <c r="G6" s="83" t="s">
        <v>343</v>
      </c>
      <c r="H6" s="83" t="s">
        <v>343</v>
      </c>
      <c r="I6" s="83" t="s">
        <v>343</v>
      </c>
      <c r="J6" s="83" t="s">
        <v>343</v>
      </c>
      <c r="K6" s="86" t="s">
        <v>354</v>
      </c>
      <c r="L6" s="83" t="s">
        <v>343</v>
      </c>
      <c r="M6" s="83" t="s">
        <v>343</v>
      </c>
      <c r="N6" s="83" t="s">
        <v>343</v>
      </c>
      <c r="O6" s="83" t="s">
        <v>345</v>
      </c>
      <c r="P6" s="84" t="s">
        <v>343</v>
      </c>
      <c r="Q6" s="83" t="s">
        <v>343</v>
      </c>
      <c r="R6" s="83" t="s">
        <v>343</v>
      </c>
      <c r="S6" s="83" t="s">
        <v>343</v>
      </c>
      <c r="T6" s="83" t="s">
        <v>343</v>
      </c>
      <c r="U6" s="84" t="s">
        <v>343</v>
      </c>
      <c r="V6" s="83" t="s">
        <v>343</v>
      </c>
      <c r="W6" s="83" t="s">
        <v>343</v>
      </c>
      <c r="X6" s="83" t="s">
        <v>343</v>
      </c>
      <c r="Y6" s="83" t="s">
        <v>343</v>
      </c>
      <c r="Z6" s="83" t="s">
        <v>343</v>
      </c>
      <c r="AA6" s="83" t="s">
        <v>343</v>
      </c>
      <c r="AB6" s="83" t="s">
        <v>343</v>
      </c>
      <c r="AC6" s="83" t="s">
        <v>343</v>
      </c>
      <c r="AD6" s="83" t="s">
        <v>343</v>
      </c>
      <c r="AE6" s="110"/>
      <c r="AF6" s="83" t="s">
        <v>343</v>
      </c>
      <c r="AG6" s="83" t="s">
        <v>343</v>
      </c>
      <c r="AH6" s="83" t="s">
        <v>343</v>
      </c>
      <c r="AI6" s="83" t="s">
        <v>343</v>
      </c>
      <c r="AJ6" s="83" t="s">
        <v>343</v>
      </c>
      <c r="AK6" s="83" t="s">
        <v>343</v>
      </c>
      <c r="AL6" s="110"/>
      <c r="AM6" s="83" t="s">
        <v>343</v>
      </c>
      <c r="AN6" s="83" t="s">
        <v>343</v>
      </c>
      <c r="AO6" s="83" t="s">
        <v>343</v>
      </c>
      <c r="AP6" s="110"/>
      <c r="AQ6" s="83" t="s">
        <v>343</v>
      </c>
      <c r="AR6" s="83" t="s">
        <v>343</v>
      </c>
      <c r="AS6" s="110"/>
      <c r="AT6" s="83" t="s">
        <v>343</v>
      </c>
      <c r="AU6" s="83" t="s">
        <v>343</v>
      </c>
      <c r="AV6" s="83" t="s">
        <v>343</v>
      </c>
      <c r="AW6" s="83" t="s">
        <v>343</v>
      </c>
      <c r="AX6" s="83" t="s">
        <v>343</v>
      </c>
      <c r="AY6" s="110"/>
      <c r="AZ6" s="83" t="s">
        <v>343</v>
      </c>
      <c r="BA6" s="83" t="s">
        <v>343</v>
      </c>
      <c r="BB6" s="83" t="s">
        <v>343</v>
      </c>
      <c r="BC6" s="83" t="s">
        <v>343</v>
      </c>
      <c r="BD6" s="83" t="s">
        <v>343</v>
      </c>
      <c r="BE6" s="83" t="s">
        <v>343</v>
      </c>
      <c r="BF6" s="83" t="s">
        <v>343</v>
      </c>
      <c r="BG6" s="83" t="s">
        <v>343</v>
      </c>
      <c r="BH6" s="83" t="s">
        <v>343</v>
      </c>
      <c r="BI6" s="84" t="s">
        <v>343</v>
      </c>
      <c r="BJ6" s="110"/>
      <c r="BK6" s="84" t="s">
        <v>343</v>
      </c>
      <c r="BL6" s="84" t="s">
        <v>343</v>
      </c>
      <c r="BM6" s="83" t="s">
        <v>355</v>
      </c>
      <c r="BN6" s="84" t="s">
        <v>343</v>
      </c>
      <c r="BO6" s="83" t="s">
        <v>343</v>
      </c>
      <c r="BP6" s="83" t="s">
        <v>343</v>
      </c>
      <c r="BQ6" s="83" t="s">
        <v>343</v>
      </c>
      <c r="BR6" s="83" t="s">
        <v>343</v>
      </c>
      <c r="BS6" s="83" t="s">
        <v>343</v>
      </c>
      <c r="BT6" s="83" t="s">
        <v>343</v>
      </c>
      <c r="BU6" s="83" t="s">
        <v>343</v>
      </c>
      <c r="BV6" s="83" t="s">
        <v>343</v>
      </c>
      <c r="BW6" s="83" t="s">
        <v>343</v>
      </c>
      <c r="BX6" s="83" t="s">
        <v>343</v>
      </c>
      <c r="BY6" s="83" t="s">
        <v>343</v>
      </c>
      <c r="BZ6" s="83" t="s">
        <v>343</v>
      </c>
      <c r="CA6" s="83" t="s">
        <v>343</v>
      </c>
      <c r="CB6" s="83" t="s">
        <v>343</v>
      </c>
      <c r="CC6" s="83" t="s">
        <v>343</v>
      </c>
      <c r="CD6" s="83" t="s">
        <v>343</v>
      </c>
      <c r="CE6" s="83" t="s">
        <v>343</v>
      </c>
      <c r="CF6" s="83" t="s">
        <v>343</v>
      </c>
      <c r="CG6" s="83"/>
      <c r="CH6" s="83"/>
      <c r="CI6" s="110"/>
      <c r="CJ6" s="83"/>
      <c r="CK6" s="83"/>
      <c r="CL6" s="83"/>
      <c r="CM6" s="83"/>
      <c r="CN6" s="83"/>
      <c r="CO6" s="83"/>
      <c r="CP6" s="83"/>
      <c r="CQ6" s="83"/>
      <c r="CR6" s="83"/>
      <c r="CS6" s="83" t="s">
        <v>343</v>
      </c>
    </row>
    <row r="7" spans="1:97" ht="15.75" hidden="1" customHeight="1">
      <c r="A7" s="80" t="s">
        <v>356</v>
      </c>
      <c r="B7" s="81" t="s">
        <v>343</v>
      </c>
      <c r="C7" s="83" t="s">
        <v>343</v>
      </c>
      <c r="D7" s="83" t="s">
        <v>343</v>
      </c>
      <c r="E7" s="83" t="s">
        <v>343</v>
      </c>
      <c r="F7" s="83" t="s">
        <v>343</v>
      </c>
      <c r="G7" s="83" t="s">
        <v>343</v>
      </c>
      <c r="H7" s="83" t="s">
        <v>343</v>
      </c>
      <c r="I7" s="83" t="s">
        <v>343</v>
      </c>
      <c r="J7" s="83" t="s">
        <v>343</v>
      </c>
      <c r="K7" s="83" t="s">
        <v>343</v>
      </c>
      <c r="L7" s="86" t="s">
        <v>354</v>
      </c>
      <c r="M7" s="83" t="s">
        <v>343</v>
      </c>
      <c r="N7" s="83" t="s">
        <v>343</v>
      </c>
      <c r="O7" s="83" t="s">
        <v>345</v>
      </c>
      <c r="P7" s="84" t="s">
        <v>343</v>
      </c>
      <c r="Q7" s="83" t="s">
        <v>343</v>
      </c>
      <c r="R7" s="83" t="s">
        <v>343</v>
      </c>
      <c r="S7" s="83" t="s">
        <v>343</v>
      </c>
      <c r="T7" s="83" t="s">
        <v>343</v>
      </c>
      <c r="U7" s="84" t="s">
        <v>357</v>
      </c>
      <c r="V7" s="83" t="s">
        <v>343</v>
      </c>
      <c r="W7" s="83" t="s">
        <v>343</v>
      </c>
      <c r="X7" s="83" t="s">
        <v>343</v>
      </c>
      <c r="Y7" s="83" t="s">
        <v>343</v>
      </c>
      <c r="Z7" s="83" t="s">
        <v>346</v>
      </c>
      <c r="AA7" s="83" t="s">
        <v>343</v>
      </c>
      <c r="AB7" s="83" t="s">
        <v>343</v>
      </c>
      <c r="AC7" s="83" t="s">
        <v>343</v>
      </c>
      <c r="AD7" s="83" t="s">
        <v>343</v>
      </c>
      <c r="AE7" s="110"/>
      <c r="AF7" s="83" t="s">
        <v>343</v>
      </c>
      <c r="AG7" s="83" t="s">
        <v>343</v>
      </c>
      <c r="AH7" s="83" t="s">
        <v>343</v>
      </c>
      <c r="AI7" s="83" t="s">
        <v>343</v>
      </c>
      <c r="AJ7" s="83" t="s">
        <v>343</v>
      </c>
      <c r="AK7" s="83" t="s">
        <v>343</v>
      </c>
      <c r="AL7" s="110"/>
      <c r="AM7" s="83" t="s">
        <v>343</v>
      </c>
      <c r="AN7" s="83" t="s">
        <v>343</v>
      </c>
      <c r="AO7" s="83" t="s">
        <v>343</v>
      </c>
      <c r="AP7" s="110"/>
      <c r="AQ7" s="83" t="s">
        <v>343</v>
      </c>
      <c r="AR7" s="83" t="s">
        <v>343</v>
      </c>
      <c r="AS7" s="110"/>
      <c r="AT7" s="83" t="s">
        <v>343</v>
      </c>
      <c r="AU7" s="83" t="s">
        <v>346</v>
      </c>
      <c r="AV7" s="83" t="s">
        <v>343</v>
      </c>
      <c r="AW7" s="83" t="s">
        <v>343</v>
      </c>
      <c r="AX7" s="83" t="s">
        <v>343</v>
      </c>
      <c r="AY7" s="110"/>
      <c r="AZ7" s="83" t="s">
        <v>343</v>
      </c>
      <c r="BA7" s="83" t="s">
        <v>343</v>
      </c>
      <c r="BB7" s="83" t="s">
        <v>343</v>
      </c>
      <c r="BC7" s="83" t="s">
        <v>343</v>
      </c>
      <c r="BD7" s="83" t="s">
        <v>343</v>
      </c>
      <c r="BE7" s="83" t="s">
        <v>343</v>
      </c>
      <c r="BF7" s="83" t="s">
        <v>343</v>
      </c>
      <c r="BG7" s="83" t="s">
        <v>343</v>
      </c>
      <c r="BH7" s="83" t="s">
        <v>343</v>
      </c>
      <c r="BI7" s="84" t="s">
        <v>343</v>
      </c>
      <c r="BJ7" s="110"/>
      <c r="BK7" s="84" t="s">
        <v>343</v>
      </c>
      <c r="BL7" s="84" t="s">
        <v>343</v>
      </c>
      <c r="BM7" s="83" t="s">
        <v>343</v>
      </c>
      <c r="BN7" s="84" t="s">
        <v>343</v>
      </c>
      <c r="BO7" s="83" t="s">
        <v>346</v>
      </c>
      <c r="BP7" s="83"/>
      <c r="BQ7" s="83"/>
      <c r="BR7" s="83"/>
      <c r="BS7" s="83"/>
      <c r="BT7" s="83"/>
      <c r="BU7" s="83" t="s">
        <v>343</v>
      </c>
      <c r="BV7" s="83" t="s">
        <v>343</v>
      </c>
      <c r="BW7" s="83" t="s">
        <v>343</v>
      </c>
      <c r="BX7" s="83" t="s">
        <v>343</v>
      </c>
      <c r="BY7" s="83"/>
      <c r="BZ7" s="83"/>
      <c r="CA7" s="83"/>
      <c r="CB7" s="83"/>
      <c r="CC7" s="83"/>
      <c r="CD7" s="83"/>
      <c r="CE7" s="83"/>
      <c r="CF7" s="83"/>
      <c r="CG7" s="83"/>
      <c r="CH7" s="83"/>
      <c r="CI7" s="110"/>
      <c r="CJ7" s="83"/>
      <c r="CK7" s="83"/>
      <c r="CL7" s="83"/>
      <c r="CM7" s="83"/>
      <c r="CN7" s="83"/>
      <c r="CO7" s="83"/>
      <c r="CP7" s="83"/>
      <c r="CQ7" s="83"/>
      <c r="CR7" s="83"/>
      <c r="CS7" s="83"/>
    </row>
    <row r="8" spans="1:97" ht="15.75" hidden="1" customHeight="1">
      <c r="A8" s="80" t="s">
        <v>358</v>
      </c>
      <c r="B8" s="81" t="s">
        <v>343</v>
      </c>
      <c r="C8" s="83" t="s">
        <v>343</v>
      </c>
      <c r="D8" s="83" t="s">
        <v>343</v>
      </c>
      <c r="E8" s="83" t="s">
        <v>343</v>
      </c>
      <c r="F8" s="83" t="s">
        <v>343</v>
      </c>
      <c r="G8" s="83" t="s">
        <v>343</v>
      </c>
      <c r="H8" s="83" t="s">
        <v>343</v>
      </c>
      <c r="I8" s="83" t="s">
        <v>343</v>
      </c>
      <c r="J8" s="83" t="s">
        <v>343</v>
      </c>
      <c r="K8" s="83" t="s">
        <v>343</v>
      </c>
      <c r="L8" s="83" t="s">
        <v>346</v>
      </c>
      <c r="M8" s="83" t="s">
        <v>343</v>
      </c>
      <c r="N8" s="83" t="s">
        <v>343</v>
      </c>
      <c r="O8" s="83" t="s">
        <v>345</v>
      </c>
      <c r="P8" s="84" t="s">
        <v>343</v>
      </c>
      <c r="Q8" s="83" t="s">
        <v>343</v>
      </c>
      <c r="R8" s="83" t="s">
        <v>343</v>
      </c>
      <c r="S8" s="83" t="s">
        <v>343</v>
      </c>
      <c r="T8" s="83" t="s">
        <v>343</v>
      </c>
      <c r="U8" s="84" t="s">
        <v>343</v>
      </c>
      <c r="V8" s="83" t="s">
        <v>343</v>
      </c>
      <c r="W8" s="83" t="s">
        <v>359</v>
      </c>
      <c r="X8" s="83" t="s">
        <v>343</v>
      </c>
      <c r="Y8" s="83" t="s">
        <v>343</v>
      </c>
      <c r="Z8" s="83" t="s">
        <v>343</v>
      </c>
      <c r="AA8" s="83" t="s">
        <v>343</v>
      </c>
      <c r="AB8" s="83" t="s">
        <v>346</v>
      </c>
      <c r="AC8" s="83" t="s">
        <v>343</v>
      </c>
      <c r="AD8" s="83" t="s">
        <v>343</v>
      </c>
      <c r="AE8" s="110"/>
      <c r="AF8" s="83" t="s">
        <v>343</v>
      </c>
      <c r="AG8" s="83" t="s">
        <v>343</v>
      </c>
      <c r="AH8" s="83" t="s">
        <v>343</v>
      </c>
      <c r="AI8" s="83" t="s">
        <v>343</v>
      </c>
      <c r="AJ8" s="83" t="s">
        <v>343</v>
      </c>
      <c r="AK8" s="83" t="s">
        <v>343</v>
      </c>
      <c r="AL8" s="110"/>
      <c r="AM8" s="83" t="s">
        <v>343</v>
      </c>
      <c r="AN8" s="83" t="s">
        <v>346</v>
      </c>
      <c r="AO8" s="83" t="s">
        <v>343</v>
      </c>
      <c r="AP8" s="110"/>
      <c r="AQ8" s="83" t="s">
        <v>343</v>
      </c>
      <c r="AR8" s="83" t="s">
        <v>343</v>
      </c>
      <c r="AS8" s="110"/>
      <c r="AT8" s="83" t="s">
        <v>343</v>
      </c>
      <c r="AU8" s="83" t="s">
        <v>343</v>
      </c>
      <c r="AV8" s="83" t="s">
        <v>343</v>
      </c>
      <c r="AW8" s="83" t="s">
        <v>343</v>
      </c>
      <c r="AX8" s="83" t="s">
        <v>343</v>
      </c>
      <c r="AY8" s="110"/>
      <c r="AZ8" s="83" t="s">
        <v>343</v>
      </c>
      <c r="BA8" s="83" t="s">
        <v>343</v>
      </c>
      <c r="BB8" s="83" t="s">
        <v>343</v>
      </c>
      <c r="BC8" s="83" t="s">
        <v>343</v>
      </c>
      <c r="BD8" s="83" t="s">
        <v>343</v>
      </c>
      <c r="BE8" s="83" t="s">
        <v>343</v>
      </c>
      <c r="BF8" s="83" t="s">
        <v>343</v>
      </c>
      <c r="BG8" s="83" t="s">
        <v>360</v>
      </c>
      <c r="BH8" s="83" t="s">
        <v>343</v>
      </c>
      <c r="BI8" s="84" t="s">
        <v>343</v>
      </c>
      <c r="BJ8" s="110"/>
      <c r="BK8" s="84" t="s">
        <v>343</v>
      </c>
      <c r="BL8" s="84" t="s">
        <v>343</v>
      </c>
      <c r="BM8" s="83" t="s">
        <v>343</v>
      </c>
      <c r="BN8" s="84" t="s">
        <v>343</v>
      </c>
      <c r="BO8" s="83" t="s">
        <v>343</v>
      </c>
      <c r="BP8" s="83" t="s">
        <v>343</v>
      </c>
      <c r="BQ8" s="83" t="s">
        <v>343</v>
      </c>
      <c r="BR8" s="83" t="s">
        <v>343</v>
      </c>
      <c r="BS8" s="83" t="s">
        <v>343</v>
      </c>
      <c r="BT8" s="83" t="s">
        <v>343</v>
      </c>
      <c r="BU8" s="83" t="s">
        <v>343</v>
      </c>
      <c r="BV8" s="83" t="s">
        <v>343</v>
      </c>
      <c r="BW8" s="83" t="s">
        <v>343</v>
      </c>
      <c r="BX8" s="83" t="s">
        <v>361</v>
      </c>
      <c r="BY8" s="83"/>
      <c r="BZ8" s="83"/>
      <c r="CA8" s="83"/>
      <c r="CB8" s="83"/>
      <c r="CC8" s="83"/>
      <c r="CD8" s="83"/>
      <c r="CE8" s="83"/>
      <c r="CF8" s="83"/>
      <c r="CG8" s="83"/>
      <c r="CH8" s="83"/>
      <c r="CI8" s="110"/>
      <c r="CJ8" s="83"/>
      <c r="CK8" s="83"/>
      <c r="CL8" s="83"/>
      <c r="CM8" s="83"/>
      <c r="CN8" s="83"/>
      <c r="CO8" s="83"/>
      <c r="CP8" s="83"/>
      <c r="CQ8" s="83"/>
      <c r="CR8" s="83"/>
      <c r="CS8" s="83"/>
    </row>
    <row r="9" spans="1:97" ht="15.75">
      <c r="A9" s="80" t="s">
        <v>362</v>
      </c>
      <c r="B9" s="81" t="s">
        <v>343</v>
      </c>
      <c r="C9" s="83" t="s">
        <v>343</v>
      </c>
      <c r="D9" s="83" t="s">
        <v>343</v>
      </c>
      <c r="E9" s="83" t="s">
        <v>343</v>
      </c>
      <c r="F9" s="83" t="s">
        <v>343</v>
      </c>
      <c r="G9" s="83" t="s">
        <v>343</v>
      </c>
      <c r="H9" s="83" t="s">
        <v>343</v>
      </c>
      <c r="I9" s="83" t="s">
        <v>343</v>
      </c>
      <c r="J9" s="83" t="s">
        <v>343</v>
      </c>
      <c r="K9" s="83" t="s">
        <v>343</v>
      </c>
      <c r="L9" s="83" t="s">
        <v>343</v>
      </c>
      <c r="M9" s="83" t="s">
        <v>343</v>
      </c>
      <c r="N9" s="83" t="s">
        <v>343</v>
      </c>
      <c r="O9" s="86" t="s">
        <v>354</v>
      </c>
      <c r="P9" s="84" t="s">
        <v>343</v>
      </c>
      <c r="Q9" s="83" t="s">
        <v>343</v>
      </c>
      <c r="R9" s="83" t="s">
        <v>343</v>
      </c>
      <c r="S9" s="83" t="s">
        <v>343</v>
      </c>
      <c r="T9" s="83" t="s">
        <v>343</v>
      </c>
      <c r="U9" s="84" t="s">
        <v>343</v>
      </c>
      <c r="V9" s="83" t="s">
        <v>343</v>
      </c>
      <c r="W9" s="83" t="s">
        <v>343</v>
      </c>
      <c r="X9" s="83" t="s">
        <v>343</v>
      </c>
      <c r="Y9" s="83" t="s">
        <v>343</v>
      </c>
      <c r="Z9" s="83" t="s">
        <v>343</v>
      </c>
      <c r="AA9" s="83" t="s">
        <v>343</v>
      </c>
      <c r="AB9" s="83" t="s">
        <v>343</v>
      </c>
      <c r="AC9" s="83" t="s">
        <v>343</v>
      </c>
      <c r="AD9" s="83" t="s">
        <v>343</v>
      </c>
      <c r="AE9" s="110"/>
      <c r="AF9" s="83" t="s">
        <v>343</v>
      </c>
      <c r="AG9" s="83" t="s">
        <v>343</v>
      </c>
      <c r="AH9" s="83" t="s">
        <v>343</v>
      </c>
      <c r="AI9" s="83" t="s">
        <v>343</v>
      </c>
      <c r="AJ9" s="83" t="s">
        <v>343</v>
      </c>
      <c r="AK9" s="83" t="s">
        <v>343</v>
      </c>
      <c r="AL9" s="110"/>
      <c r="AM9" s="83" t="s">
        <v>343</v>
      </c>
      <c r="AN9" s="83" t="s">
        <v>343</v>
      </c>
      <c r="AO9" s="83" t="s">
        <v>343</v>
      </c>
      <c r="AP9" s="110"/>
      <c r="AQ9" s="83" t="s">
        <v>343</v>
      </c>
      <c r="AR9" s="83" t="s">
        <v>343</v>
      </c>
      <c r="AS9" s="110"/>
      <c r="AT9" s="83" t="s">
        <v>343</v>
      </c>
      <c r="AU9" s="83" t="s">
        <v>343</v>
      </c>
      <c r="AV9" s="83" t="s">
        <v>343</v>
      </c>
      <c r="AW9" s="83" t="s">
        <v>343</v>
      </c>
      <c r="AX9" s="83" t="s">
        <v>343</v>
      </c>
      <c r="AY9" s="110"/>
      <c r="AZ9" s="83" t="s">
        <v>343</v>
      </c>
      <c r="BA9" s="83" t="s">
        <v>343</v>
      </c>
      <c r="BB9" s="83" t="s">
        <v>343</v>
      </c>
      <c r="BC9" s="83" t="s">
        <v>343</v>
      </c>
      <c r="BD9" s="83" t="s">
        <v>343</v>
      </c>
      <c r="BE9" s="83" t="s">
        <v>343</v>
      </c>
      <c r="BF9" s="83" t="s">
        <v>343</v>
      </c>
      <c r="BG9" s="83" t="s">
        <v>343</v>
      </c>
      <c r="BH9" s="83" t="s">
        <v>343</v>
      </c>
      <c r="BI9" s="84" t="s">
        <v>343</v>
      </c>
      <c r="BJ9" s="110"/>
      <c r="BK9" s="84" t="s">
        <v>343</v>
      </c>
      <c r="BL9" s="84" t="s">
        <v>343</v>
      </c>
      <c r="BM9" s="83" t="s">
        <v>343</v>
      </c>
      <c r="BN9" s="84" t="s">
        <v>343</v>
      </c>
      <c r="BO9" s="83" t="s">
        <v>343</v>
      </c>
      <c r="BP9" s="83" t="s">
        <v>343</v>
      </c>
      <c r="BQ9" s="83" t="s">
        <v>343</v>
      </c>
      <c r="BR9" s="83" t="s">
        <v>343</v>
      </c>
      <c r="BS9" s="83" t="s">
        <v>343</v>
      </c>
      <c r="BT9" s="83" t="s">
        <v>343</v>
      </c>
      <c r="BU9" s="83" t="s">
        <v>343</v>
      </c>
      <c r="BV9" s="83" t="s">
        <v>343</v>
      </c>
      <c r="BW9" s="83" t="s">
        <v>343</v>
      </c>
      <c r="BX9" s="83" t="s">
        <v>343</v>
      </c>
      <c r="BY9" s="83" t="s">
        <v>343</v>
      </c>
      <c r="BZ9" s="83" t="s">
        <v>343</v>
      </c>
      <c r="CA9" s="83" t="s">
        <v>343</v>
      </c>
      <c r="CB9" s="83" t="s">
        <v>343</v>
      </c>
      <c r="CC9" s="83" t="s">
        <v>343</v>
      </c>
      <c r="CD9" s="83" t="s">
        <v>343</v>
      </c>
      <c r="CE9" s="83" t="s">
        <v>343</v>
      </c>
      <c r="CF9" s="83" t="s">
        <v>343</v>
      </c>
      <c r="CG9" s="83"/>
      <c r="CH9" s="83"/>
      <c r="CI9" s="110"/>
      <c r="CJ9" s="83"/>
      <c r="CK9" s="83"/>
      <c r="CL9" s="83"/>
      <c r="CM9" s="83"/>
      <c r="CN9" s="83"/>
      <c r="CO9" s="83"/>
      <c r="CP9" s="83"/>
      <c r="CQ9" s="83"/>
      <c r="CR9" s="83"/>
      <c r="CS9" s="83" t="s">
        <v>343</v>
      </c>
    </row>
    <row r="10" spans="1:97" ht="15.75">
      <c r="A10" s="80" t="s">
        <v>363</v>
      </c>
      <c r="B10" s="81" t="s">
        <v>343</v>
      </c>
      <c r="C10" s="83" t="s">
        <v>343</v>
      </c>
      <c r="D10" s="83" t="s">
        <v>343</v>
      </c>
      <c r="E10" s="83" t="s">
        <v>343</v>
      </c>
      <c r="F10" s="83" t="s">
        <v>343</v>
      </c>
      <c r="G10" s="83" t="s">
        <v>343</v>
      </c>
      <c r="H10" s="83" t="s">
        <v>343</v>
      </c>
      <c r="I10" s="83" t="s">
        <v>346</v>
      </c>
      <c r="J10" s="83" t="s">
        <v>343</v>
      </c>
      <c r="K10" s="83" t="s">
        <v>346</v>
      </c>
      <c r="L10" s="83" t="s">
        <v>343</v>
      </c>
      <c r="M10" s="83" t="s">
        <v>343</v>
      </c>
      <c r="N10" s="83" t="s">
        <v>346</v>
      </c>
      <c r="O10" s="83" t="s">
        <v>345</v>
      </c>
      <c r="P10" s="84" t="s">
        <v>346</v>
      </c>
      <c r="Q10" s="83" t="s">
        <v>346</v>
      </c>
      <c r="R10" s="83" t="s">
        <v>343</v>
      </c>
      <c r="S10" s="83" t="s">
        <v>343</v>
      </c>
      <c r="T10" s="83" t="s">
        <v>343</v>
      </c>
      <c r="U10" s="84" t="s">
        <v>346</v>
      </c>
      <c r="V10" s="83" t="s">
        <v>343</v>
      </c>
      <c r="W10" s="83" t="s">
        <v>343</v>
      </c>
      <c r="X10" s="83" t="s">
        <v>343</v>
      </c>
      <c r="Y10" s="83" t="s">
        <v>343</v>
      </c>
      <c r="Z10" s="83" t="s">
        <v>343</v>
      </c>
      <c r="AA10" s="83" t="s">
        <v>343</v>
      </c>
      <c r="AB10" s="83" t="s">
        <v>343</v>
      </c>
      <c r="AC10" s="83" t="s">
        <v>343</v>
      </c>
      <c r="AD10" s="83" t="s">
        <v>343</v>
      </c>
      <c r="AE10" s="110"/>
      <c r="AF10" s="83" t="s">
        <v>343</v>
      </c>
      <c r="AG10" s="83" t="s">
        <v>343</v>
      </c>
      <c r="AH10" s="83" t="s">
        <v>343</v>
      </c>
      <c r="AI10" s="83" t="s">
        <v>343</v>
      </c>
      <c r="AJ10" s="83" t="s">
        <v>343</v>
      </c>
      <c r="AK10" s="83" t="s">
        <v>346</v>
      </c>
      <c r="AL10" s="110"/>
      <c r="AM10" s="83" t="s">
        <v>346</v>
      </c>
      <c r="AN10" s="83" t="s">
        <v>343</v>
      </c>
      <c r="AO10" s="83" t="s">
        <v>343</v>
      </c>
      <c r="AP10" s="110"/>
      <c r="AQ10" s="83" t="s">
        <v>343</v>
      </c>
      <c r="AR10" s="83" t="s">
        <v>343</v>
      </c>
      <c r="AS10" s="110"/>
      <c r="AT10" s="83" t="s">
        <v>343</v>
      </c>
      <c r="AU10" s="83" t="s">
        <v>343</v>
      </c>
      <c r="AV10" s="83" t="s">
        <v>343</v>
      </c>
      <c r="AW10" s="83" t="s">
        <v>343</v>
      </c>
      <c r="AX10" s="83" t="s">
        <v>343</v>
      </c>
      <c r="AY10" s="110"/>
      <c r="AZ10" s="83" t="s">
        <v>343</v>
      </c>
      <c r="BA10" s="83" t="s">
        <v>346</v>
      </c>
      <c r="BB10" s="83" t="s">
        <v>346</v>
      </c>
      <c r="BC10" s="83" t="s">
        <v>346</v>
      </c>
      <c r="BD10" s="83" t="s">
        <v>346</v>
      </c>
      <c r="BE10" s="83" t="s">
        <v>346</v>
      </c>
      <c r="BF10" s="83" t="s">
        <v>343</v>
      </c>
      <c r="BG10" s="83" t="s">
        <v>343</v>
      </c>
      <c r="BH10" s="83" t="s">
        <v>343</v>
      </c>
      <c r="BI10" s="84" t="s">
        <v>343</v>
      </c>
      <c r="BJ10" s="110"/>
      <c r="BK10" s="84" t="s">
        <v>343</v>
      </c>
      <c r="BL10" s="84" t="s">
        <v>343</v>
      </c>
      <c r="BM10" s="83" t="s">
        <v>343</v>
      </c>
      <c r="BN10" s="84" t="s">
        <v>343</v>
      </c>
      <c r="BO10" s="83" t="s">
        <v>343</v>
      </c>
      <c r="BP10" s="83" t="s">
        <v>343</v>
      </c>
      <c r="BQ10" s="83" t="s">
        <v>343</v>
      </c>
      <c r="BR10" s="83" t="s">
        <v>343</v>
      </c>
      <c r="BS10" s="83" t="s">
        <v>343</v>
      </c>
      <c r="BT10" s="83" t="s">
        <v>343</v>
      </c>
      <c r="BU10" s="83" t="s">
        <v>343</v>
      </c>
      <c r="BV10" s="83" t="s">
        <v>343</v>
      </c>
      <c r="BW10" s="83" t="s">
        <v>346</v>
      </c>
      <c r="BX10" s="83" t="s">
        <v>343</v>
      </c>
      <c r="BY10" s="83" t="s">
        <v>343</v>
      </c>
      <c r="BZ10" s="83" t="s">
        <v>343</v>
      </c>
      <c r="CA10" s="83" t="s">
        <v>343</v>
      </c>
      <c r="CB10" s="83" t="s">
        <v>343</v>
      </c>
      <c r="CC10" s="83" t="s">
        <v>343</v>
      </c>
      <c r="CD10" s="83" t="s">
        <v>343</v>
      </c>
      <c r="CE10" s="83" t="s">
        <v>343</v>
      </c>
      <c r="CF10" s="83" t="s">
        <v>343</v>
      </c>
      <c r="CG10" s="83"/>
      <c r="CH10" s="83"/>
      <c r="CI10" s="110"/>
      <c r="CJ10" s="83"/>
      <c r="CK10" s="83"/>
      <c r="CL10" s="83"/>
      <c r="CM10" s="83"/>
      <c r="CN10" s="83"/>
      <c r="CO10" s="83"/>
      <c r="CP10" s="83"/>
      <c r="CQ10" s="83"/>
      <c r="CR10" s="83"/>
      <c r="CS10" s="83" t="s">
        <v>343</v>
      </c>
    </row>
    <row r="11" spans="1:97" ht="15.75">
      <c r="A11" s="80" t="s">
        <v>364</v>
      </c>
      <c r="B11" s="81" t="s">
        <v>343</v>
      </c>
      <c r="C11" s="83" t="s">
        <v>343</v>
      </c>
      <c r="D11" s="83" t="s">
        <v>343</v>
      </c>
      <c r="E11" s="83" t="s">
        <v>343</v>
      </c>
      <c r="F11" s="83" t="s">
        <v>343</v>
      </c>
      <c r="G11" s="83" t="s">
        <v>343</v>
      </c>
      <c r="H11" s="83" t="s">
        <v>343</v>
      </c>
      <c r="I11" s="83" t="s">
        <v>343</v>
      </c>
      <c r="J11" s="83" t="s">
        <v>365</v>
      </c>
      <c r="K11" s="83" t="s">
        <v>346</v>
      </c>
      <c r="L11" s="83" t="s">
        <v>343</v>
      </c>
      <c r="M11" s="83" t="s">
        <v>346</v>
      </c>
      <c r="N11" s="83" t="s">
        <v>343</v>
      </c>
      <c r="O11" s="83" t="s">
        <v>345</v>
      </c>
      <c r="P11" s="84" t="s">
        <v>343</v>
      </c>
      <c r="Q11" s="83" t="s">
        <v>343</v>
      </c>
      <c r="R11" s="83" t="s">
        <v>343</v>
      </c>
      <c r="S11" s="83" t="s">
        <v>346</v>
      </c>
      <c r="T11" s="83" t="s">
        <v>346</v>
      </c>
      <c r="U11" s="84" t="s">
        <v>346</v>
      </c>
      <c r="V11" s="83" t="s">
        <v>343</v>
      </c>
      <c r="W11" s="83" t="s">
        <v>343</v>
      </c>
      <c r="X11" s="83" t="s">
        <v>343</v>
      </c>
      <c r="Y11" s="83" t="s">
        <v>343</v>
      </c>
      <c r="Z11" s="83" t="s">
        <v>343</v>
      </c>
      <c r="AA11" s="83" t="s">
        <v>343</v>
      </c>
      <c r="AB11" s="83" t="s">
        <v>343</v>
      </c>
      <c r="AC11" s="83" t="s">
        <v>343</v>
      </c>
      <c r="AD11" s="83" t="s">
        <v>346</v>
      </c>
      <c r="AE11" s="110"/>
      <c r="AF11" s="83" t="s">
        <v>343</v>
      </c>
      <c r="AG11" s="83" t="s">
        <v>343</v>
      </c>
      <c r="AH11" s="83" t="s">
        <v>343</v>
      </c>
      <c r="AI11" s="83" t="s">
        <v>343</v>
      </c>
      <c r="AJ11" s="83" t="s">
        <v>343</v>
      </c>
      <c r="AK11" s="83" t="s">
        <v>343</v>
      </c>
      <c r="AL11" s="110"/>
      <c r="AM11" s="83" t="s">
        <v>343</v>
      </c>
      <c r="AN11" s="83" t="s">
        <v>343</v>
      </c>
      <c r="AO11" s="83" t="s">
        <v>343</v>
      </c>
      <c r="AP11" s="110"/>
      <c r="AQ11" s="83" t="s">
        <v>343</v>
      </c>
      <c r="AR11" s="83" t="s">
        <v>343</v>
      </c>
      <c r="AS11" s="110"/>
      <c r="AT11" s="83" t="s">
        <v>343</v>
      </c>
      <c r="AU11" s="83" t="s">
        <v>346</v>
      </c>
      <c r="AV11" s="83" t="s">
        <v>346</v>
      </c>
      <c r="AW11" s="83" t="s">
        <v>343</v>
      </c>
      <c r="AX11" s="83" t="s">
        <v>343</v>
      </c>
      <c r="AY11" s="110"/>
      <c r="AZ11" s="83" t="s">
        <v>346</v>
      </c>
      <c r="BA11" s="83" t="s">
        <v>343</v>
      </c>
      <c r="BB11" s="83" t="s">
        <v>343</v>
      </c>
      <c r="BC11" s="83" t="s">
        <v>343</v>
      </c>
      <c r="BD11" s="83" t="s">
        <v>343</v>
      </c>
      <c r="BE11" s="83" t="s">
        <v>346</v>
      </c>
      <c r="BF11" s="83" t="s">
        <v>346</v>
      </c>
      <c r="BG11" s="83" t="s">
        <v>346</v>
      </c>
      <c r="BH11" s="83" t="s">
        <v>343</v>
      </c>
      <c r="BI11" s="84" t="s">
        <v>343</v>
      </c>
      <c r="BJ11" s="110"/>
      <c r="BK11" s="84" t="s">
        <v>343</v>
      </c>
      <c r="BL11" s="84" t="s">
        <v>343</v>
      </c>
      <c r="BM11" s="83" t="s">
        <v>343</v>
      </c>
      <c r="BN11" s="84" t="s">
        <v>343</v>
      </c>
      <c r="BO11" s="83" t="s">
        <v>346</v>
      </c>
      <c r="BP11" s="83" t="s">
        <v>343</v>
      </c>
      <c r="BQ11" s="83" t="s">
        <v>343</v>
      </c>
      <c r="BR11" s="83" t="s">
        <v>366</v>
      </c>
      <c r="BS11" s="83" t="s">
        <v>343</v>
      </c>
      <c r="BT11" s="83" t="s">
        <v>343</v>
      </c>
      <c r="BU11" s="83" t="s">
        <v>343</v>
      </c>
      <c r="BV11" s="83" t="s">
        <v>343</v>
      </c>
      <c r="BW11" s="83" t="s">
        <v>343</v>
      </c>
      <c r="BX11" s="83" t="s">
        <v>343</v>
      </c>
      <c r="BY11" s="83" t="s">
        <v>343</v>
      </c>
      <c r="BZ11" s="83" t="s">
        <v>343</v>
      </c>
      <c r="CA11" s="83" t="s">
        <v>343</v>
      </c>
      <c r="CB11" s="83" t="s">
        <v>346</v>
      </c>
      <c r="CC11" s="83" t="s">
        <v>346</v>
      </c>
      <c r="CD11" s="83" t="s">
        <v>343</v>
      </c>
      <c r="CE11" s="83" t="s">
        <v>343</v>
      </c>
      <c r="CF11" s="83" t="s">
        <v>343</v>
      </c>
      <c r="CG11" s="83"/>
      <c r="CH11" s="83"/>
      <c r="CI11" s="110"/>
      <c r="CJ11" s="83"/>
      <c r="CK11" s="83"/>
      <c r="CL11" s="83"/>
      <c r="CM11" s="83"/>
      <c r="CN11" s="83"/>
      <c r="CO11" s="83"/>
      <c r="CP11" s="83"/>
      <c r="CQ11" s="83"/>
      <c r="CR11" s="83"/>
      <c r="CS11" s="83" t="s">
        <v>343</v>
      </c>
    </row>
    <row r="12" spans="1:97" ht="15.75">
      <c r="A12" s="80" t="s">
        <v>367</v>
      </c>
      <c r="B12" s="81" t="s">
        <v>343</v>
      </c>
      <c r="C12" s="83" t="s">
        <v>346</v>
      </c>
      <c r="D12" s="83" t="s">
        <v>343</v>
      </c>
      <c r="E12" s="83" t="s">
        <v>343</v>
      </c>
      <c r="F12" s="83" t="s">
        <v>346</v>
      </c>
      <c r="G12" s="83" t="s">
        <v>346</v>
      </c>
      <c r="H12" s="83" t="s">
        <v>343</v>
      </c>
      <c r="I12" s="83" t="s">
        <v>346</v>
      </c>
      <c r="J12" s="83" t="s">
        <v>343</v>
      </c>
      <c r="K12" s="83" t="s">
        <v>346</v>
      </c>
      <c r="L12" s="83" t="s">
        <v>343</v>
      </c>
      <c r="M12" s="83" t="s">
        <v>346</v>
      </c>
      <c r="N12" s="83" t="s">
        <v>346</v>
      </c>
      <c r="O12" s="83" t="s">
        <v>345</v>
      </c>
      <c r="P12" s="84" t="s">
        <v>343</v>
      </c>
      <c r="Q12" s="83" t="s">
        <v>346</v>
      </c>
      <c r="R12" s="83" t="s">
        <v>346</v>
      </c>
      <c r="S12" s="83" t="s">
        <v>346</v>
      </c>
      <c r="T12" s="83" t="s">
        <v>346</v>
      </c>
      <c r="U12" s="84" t="s">
        <v>346</v>
      </c>
      <c r="V12" s="83" t="s">
        <v>346</v>
      </c>
      <c r="W12" s="83" t="s">
        <v>343</v>
      </c>
      <c r="X12" s="83" t="s">
        <v>346</v>
      </c>
      <c r="Y12" s="83" t="s">
        <v>346</v>
      </c>
      <c r="Z12" s="83" t="s">
        <v>343</v>
      </c>
      <c r="AA12" s="83" t="s">
        <v>346</v>
      </c>
      <c r="AB12" s="83" t="s">
        <v>346</v>
      </c>
      <c r="AC12" s="83" t="s">
        <v>343</v>
      </c>
      <c r="AD12" s="83" t="s">
        <v>346</v>
      </c>
      <c r="AE12" s="110"/>
      <c r="AF12" s="83" t="s">
        <v>346</v>
      </c>
      <c r="AG12" s="83" t="s">
        <v>346</v>
      </c>
      <c r="AH12" s="83" t="s">
        <v>346</v>
      </c>
      <c r="AI12" s="83" t="s">
        <v>346</v>
      </c>
      <c r="AJ12" s="83" t="s">
        <v>343</v>
      </c>
      <c r="AK12" s="83" t="s">
        <v>343</v>
      </c>
      <c r="AL12" s="110"/>
      <c r="AM12" s="83" t="s">
        <v>346</v>
      </c>
      <c r="AN12" s="83" t="s">
        <v>346</v>
      </c>
      <c r="AO12" s="83" t="s">
        <v>346</v>
      </c>
      <c r="AP12" s="110"/>
      <c r="AQ12" s="83" t="s">
        <v>346</v>
      </c>
      <c r="AR12" s="83" t="s">
        <v>346</v>
      </c>
      <c r="AS12" s="110"/>
      <c r="AT12" s="83" t="s">
        <v>346</v>
      </c>
      <c r="AU12" s="83" t="s">
        <v>346</v>
      </c>
      <c r="AV12" s="83" t="s">
        <v>343</v>
      </c>
      <c r="AW12" s="83" t="s">
        <v>343</v>
      </c>
      <c r="AX12" s="83" t="s">
        <v>346</v>
      </c>
      <c r="AY12" s="110"/>
      <c r="AZ12" s="83" t="s">
        <v>346</v>
      </c>
      <c r="BA12" s="83" t="s">
        <v>346</v>
      </c>
      <c r="BB12" s="83" t="s">
        <v>346</v>
      </c>
      <c r="BC12" s="83" t="s">
        <v>343</v>
      </c>
      <c r="BD12" s="83" t="s">
        <v>346</v>
      </c>
      <c r="BE12" s="83" t="s">
        <v>343</v>
      </c>
      <c r="BF12" s="83" t="s">
        <v>346</v>
      </c>
      <c r="BG12" s="83" t="s">
        <v>346</v>
      </c>
      <c r="BH12" s="83" t="s">
        <v>343</v>
      </c>
      <c r="BI12" s="84" t="s">
        <v>346</v>
      </c>
      <c r="BJ12" s="110"/>
      <c r="BK12" s="84" t="s">
        <v>346</v>
      </c>
      <c r="BL12" s="84" t="s">
        <v>346</v>
      </c>
      <c r="BM12" s="83" t="s">
        <v>343</v>
      </c>
      <c r="BN12" s="84" t="s">
        <v>346</v>
      </c>
      <c r="BO12" s="83" t="s">
        <v>346</v>
      </c>
      <c r="BP12" s="83" t="s">
        <v>346</v>
      </c>
      <c r="BQ12" s="83" t="s">
        <v>346</v>
      </c>
      <c r="BR12" s="83" t="s">
        <v>343</v>
      </c>
      <c r="BS12" s="83" t="s">
        <v>346</v>
      </c>
      <c r="BT12" s="83" t="s">
        <v>346</v>
      </c>
      <c r="BU12" s="83" t="s">
        <v>343</v>
      </c>
      <c r="BV12" s="83" t="s">
        <v>343</v>
      </c>
      <c r="BW12" s="83" t="s">
        <v>346</v>
      </c>
      <c r="BX12" s="83" t="s">
        <v>346</v>
      </c>
      <c r="BY12" s="83" t="s">
        <v>343</v>
      </c>
      <c r="BZ12" s="83" t="s">
        <v>346</v>
      </c>
      <c r="CA12" s="83" t="s">
        <v>346</v>
      </c>
      <c r="CB12" s="83" t="s">
        <v>343</v>
      </c>
      <c r="CC12" s="83" t="s">
        <v>346</v>
      </c>
      <c r="CD12" s="83" t="s">
        <v>346</v>
      </c>
      <c r="CE12" s="83" t="s">
        <v>343</v>
      </c>
      <c r="CF12" s="83" t="s">
        <v>346</v>
      </c>
      <c r="CG12" s="83"/>
      <c r="CH12" s="83"/>
      <c r="CI12" s="110"/>
      <c r="CJ12" s="83"/>
      <c r="CK12" s="83"/>
      <c r="CL12" s="83"/>
      <c r="CM12" s="83"/>
      <c r="CN12" s="83"/>
      <c r="CO12" s="83"/>
      <c r="CP12" s="83"/>
      <c r="CQ12" s="83"/>
      <c r="CR12" s="83"/>
      <c r="CS12" s="83" t="s">
        <v>346</v>
      </c>
    </row>
    <row r="13" spans="1:97" ht="15.75">
      <c r="A13" s="80" t="s">
        <v>368</v>
      </c>
      <c r="B13" s="81" t="s">
        <v>343</v>
      </c>
      <c r="C13" s="83" t="s">
        <v>346</v>
      </c>
      <c r="D13" s="83" t="s">
        <v>346</v>
      </c>
      <c r="E13" s="83" t="s">
        <v>346</v>
      </c>
      <c r="F13" s="83" t="s">
        <v>346</v>
      </c>
      <c r="G13" s="83" t="s">
        <v>346</v>
      </c>
      <c r="H13" s="83" t="s">
        <v>346</v>
      </c>
      <c r="I13" s="83" t="s">
        <v>346</v>
      </c>
      <c r="J13" s="83" t="s">
        <v>343</v>
      </c>
      <c r="K13" s="83" t="s">
        <v>346</v>
      </c>
      <c r="L13" s="83" t="s">
        <v>346</v>
      </c>
      <c r="M13" s="83" t="s">
        <v>343</v>
      </c>
      <c r="N13" s="83" t="s">
        <v>346</v>
      </c>
      <c r="O13" s="83" t="s">
        <v>345</v>
      </c>
      <c r="P13" s="84" t="s">
        <v>346</v>
      </c>
      <c r="Q13" s="83" t="s">
        <v>346</v>
      </c>
      <c r="R13" s="83" t="s">
        <v>346</v>
      </c>
      <c r="S13" s="83" t="s">
        <v>346</v>
      </c>
      <c r="T13" s="83" t="s">
        <v>346</v>
      </c>
      <c r="U13" s="84" t="s">
        <v>346</v>
      </c>
      <c r="V13" s="83" t="s">
        <v>343</v>
      </c>
      <c r="W13" s="83" t="s">
        <v>346</v>
      </c>
      <c r="X13" s="83" t="s">
        <v>346</v>
      </c>
      <c r="Y13" s="83" t="s">
        <v>346</v>
      </c>
      <c r="Z13" s="83" t="s">
        <v>346</v>
      </c>
      <c r="AA13" s="83" t="s">
        <v>346</v>
      </c>
      <c r="AB13" s="83" t="s">
        <v>346</v>
      </c>
      <c r="AC13" s="83" t="s">
        <v>343</v>
      </c>
      <c r="AD13" s="83" t="s">
        <v>346</v>
      </c>
      <c r="AE13" s="111"/>
      <c r="AF13" s="83" t="s">
        <v>346</v>
      </c>
      <c r="AG13" s="83" t="s">
        <v>346</v>
      </c>
      <c r="AH13" s="83" t="s">
        <v>346</v>
      </c>
      <c r="AI13" s="83" t="s">
        <v>343</v>
      </c>
      <c r="AJ13" s="83" t="s">
        <v>346</v>
      </c>
      <c r="AK13" s="83" t="s">
        <v>346</v>
      </c>
      <c r="AL13" s="111"/>
      <c r="AM13" s="83" t="s">
        <v>346</v>
      </c>
      <c r="AN13" s="83" t="s">
        <v>346</v>
      </c>
      <c r="AO13" s="83" t="s">
        <v>346</v>
      </c>
      <c r="AP13" s="111"/>
      <c r="AQ13" s="83" t="s">
        <v>346</v>
      </c>
      <c r="AR13" s="83" t="s">
        <v>346</v>
      </c>
      <c r="AS13" s="111"/>
      <c r="AT13" s="83" t="s">
        <v>346</v>
      </c>
      <c r="AU13" s="83" t="s">
        <v>346</v>
      </c>
      <c r="AV13" s="83" t="s">
        <v>346</v>
      </c>
      <c r="AW13" s="83" t="s">
        <v>346</v>
      </c>
      <c r="AX13" s="83" t="s">
        <v>346</v>
      </c>
      <c r="AY13" s="111"/>
      <c r="AZ13" s="83" t="s">
        <v>346</v>
      </c>
      <c r="BA13" s="83" t="s">
        <v>346</v>
      </c>
      <c r="BB13" s="83" t="s">
        <v>346</v>
      </c>
      <c r="BC13" s="83" t="s">
        <v>346</v>
      </c>
      <c r="BD13" s="83" t="s">
        <v>346</v>
      </c>
      <c r="BE13" s="83" t="s">
        <v>346</v>
      </c>
      <c r="BF13" s="83" t="s">
        <v>346</v>
      </c>
      <c r="BG13" s="83" t="s">
        <v>346</v>
      </c>
      <c r="BH13" s="83" t="s">
        <v>346</v>
      </c>
      <c r="BI13" s="84" t="s">
        <v>346</v>
      </c>
      <c r="BJ13" s="111"/>
      <c r="BK13" s="84" t="s">
        <v>346</v>
      </c>
      <c r="BL13" s="84" t="s">
        <v>346</v>
      </c>
      <c r="BM13" s="83" t="s">
        <v>346</v>
      </c>
      <c r="BN13" s="84" t="s">
        <v>346</v>
      </c>
      <c r="BO13" s="83" t="s">
        <v>346</v>
      </c>
      <c r="BP13" s="83" t="s">
        <v>346</v>
      </c>
      <c r="BQ13" s="83" t="s">
        <v>346</v>
      </c>
      <c r="BR13" s="83" t="s">
        <v>366</v>
      </c>
      <c r="BS13" s="83" t="s">
        <v>346</v>
      </c>
      <c r="BT13" s="83" t="s">
        <v>346</v>
      </c>
      <c r="BU13" s="83" t="s">
        <v>346</v>
      </c>
      <c r="BV13" s="83" t="s">
        <v>346</v>
      </c>
      <c r="BW13" s="83" t="s">
        <v>346</v>
      </c>
      <c r="BX13" s="83" t="s">
        <v>346</v>
      </c>
      <c r="BY13" s="83" t="s">
        <v>346</v>
      </c>
      <c r="BZ13" s="83" t="s">
        <v>346</v>
      </c>
      <c r="CA13" s="83" t="s">
        <v>346</v>
      </c>
      <c r="CB13" s="83" t="s">
        <v>346</v>
      </c>
      <c r="CC13" s="83" t="s">
        <v>346</v>
      </c>
      <c r="CD13" s="83" t="s">
        <v>343</v>
      </c>
      <c r="CE13" s="83" t="s">
        <v>343</v>
      </c>
      <c r="CF13" s="83" t="s">
        <v>343</v>
      </c>
      <c r="CG13" s="83"/>
      <c r="CH13" s="83"/>
      <c r="CI13" s="111"/>
      <c r="CJ13" s="83"/>
      <c r="CK13" s="83"/>
      <c r="CL13" s="83"/>
      <c r="CM13" s="83"/>
      <c r="CN13" s="83"/>
      <c r="CO13" s="83"/>
      <c r="CP13" s="83"/>
      <c r="CQ13" s="83"/>
      <c r="CR13" s="83"/>
      <c r="CS13" s="83" t="s">
        <v>346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J4:BJ13"/>
    <mergeCell ref="CI4:CI13"/>
    <mergeCell ref="AE4:AE13"/>
    <mergeCell ref="AL4:AL13"/>
    <mergeCell ref="AP4:AP13"/>
    <mergeCell ref="AS4:AS13"/>
    <mergeCell ref="AY4:AY13"/>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baseColWidth="10" defaultColWidth="11.21875" defaultRowHeight="15" customHeight="1"/>
  <cols>
    <col min="1" max="1" width="13.109375" customWidth="1"/>
    <col min="2" max="2" width="35.77734375" customWidth="1"/>
    <col min="3" max="3" width="17.109375" customWidth="1"/>
    <col min="4" max="4" width="11.109375" customWidth="1"/>
    <col min="5" max="5" width="10.6640625" customWidth="1"/>
    <col min="7" max="7" width="10" customWidth="1"/>
    <col min="8" max="8" width="9.88671875" customWidth="1"/>
    <col min="9" max="9" width="4.77734375" customWidth="1"/>
    <col min="10" max="10" width="9.88671875" customWidth="1"/>
    <col min="11" max="11" width="13.33203125" customWidth="1"/>
    <col min="12" max="12" width="66.6640625" customWidth="1"/>
    <col min="13" max="26" width="10.5546875" customWidth="1"/>
  </cols>
  <sheetData>
    <row r="1" spans="1:26" ht="25.5">
      <c r="A1" s="87" t="s">
        <v>369</v>
      </c>
      <c r="B1" s="87" t="s">
        <v>2</v>
      </c>
      <c r="C1" s="87" t="s">
        <v>4</v>
      </c>
      <c r="D1" s="87" t="s">
        <v>5</v>
      </c>
      <c r="E1" s="88" t="s">
        <v>8</v>
      </c>
      <c r="F1" s="88" t="s">
        <v>9</v>
      </c>
      <c r="G1" s="89" t="s">
        <v>10</v>
      </c>
      <c r="H1" s="88" t="s">
        <v>11</v>
      </c>
      <c r="I1" s="90" t="s">
        <v>12</v>
      </c>
      <c r="J1" s="91" t="s">
        <v>370</v>
      </c>
      <c r="K1" s="92" t="s">
        <v>371</v>
      </c>
      <c r="L1" s="90" t="s">
        <v>372</v>
      </c>
      <c r="M1" s="93"/>
      <c r="N1" s="93"/>
      <c r="O1" s="93"/>
      <c r="P1" s="93"/>
      <c r="Q1" s="93"/>
      <c r="R1" s="93"/>
      <c r="S1" s="93"/>
      <c r="T1" s="93"/>
      <c r="U1" s="93"/>
      <c r="V1" s="93"/>
      <c r="W1" s="93"/>
      <c r="X1" s="93"/>
      <c r="Y1" s="93"/>
      <c r="Z1" s="93"/>
    </row>
    <row r="2" spans="1:26" ht="38.25">
      <c r="A2" s="94" t="s">
        <v>373</v>
      </c>
      <c r="B2" s="95" t="s">
        <v>374</v>
      </c>
      <c r="C2" s="96"/>
      <c r="D2" s="96" t="s">
        <v>21</v>
      </c>
      <c r="E2" s="97">
        <v>45567</v>
      </c>
      <c r="F2" s="97">
        <v>45567</v>
      </c>
      <c r="G2" s="97">
        <v>45568</v>
      </c>
      <c r="H2" s="97">
        <v>45569</v>
      </c>
      <c r="I2" s="98">
        <f ca="1">IF(ISBLANK(H2), NETWORKDAYS(F2, TODAY(),Hoja2!$A$1:$A$18), NETWORKDAYS(F2, H2, Hoja2!$A$1:$A$18))</f>
        <v>3</v>
      </c>
      <c r="J2" s="97">
        <v>45572</v>
      </c>
      <c r="K2" s="99"/>
      <c r="L2" s="100" t="s">
        <v>375</v>
      </c>
      <c r="M2" s="93"/>
      <c r="N2" s="93"/>
      <c r="O2" s="93"/>
      <c r="P2" s="93"/>
      <c r="Q2" s="93"/>
      <c r="R2" s="93"/>
      <c r="S2" s="93"/>
      <c r="T2" s="93"/>
      <c r="U2" s="93"/>
      <c r="V2" s="93"/>
      <c r="W2" s="93"/>
      <c r="X2" s="93"/>
      <c r="Y2" s="93"/>
      <c r="Z2" s="93"/>
    </row>
    <row r="3" spans="1:26" ht="51">
      <c r="A3" s="94" t="s">
        <v>362</v>
      </c>
      <c r="B3" s="112" t="s">
        <v>376</v>
      </c>
      <c r="C3" s="101" t="s">
        <v>377</v>
      </c>
      <c r="D3" s="96" t="s">
        <v>110</v>
      </c>
      <c r="E3" s="97">
        <v>45575</v>
      </c>
      <c r="F3" s="97"/>
      <c r="G3" s="97"/>
      <c r="H3" s="99">
        <v>0</v>
      </c>
      <c r="I3" s="98">
        <f ca="1">IF(ISBLANK(H3), NETWORKDAYS(F3, TODAY(),Hoja2!$A$1:$A$18), NETWORKDAYS(F3, H3, Hoja2!$A$1:$A$18))</f>
        <v>0</v>
      </c>
      <c r="J3" s="97">
        <v>45569</v>
      </c>
      <c r="K3" s="97"/>
      <c r="L3" s="100" t="s">
        <v>378</v>
      </c>
      <c r="M3" s="102"/>
      <c r="N3" s="93"/>
      <c r="O3" s="93"/>
      <c r="P3" s="93"/>
      <c r="Q3" s="93"/>
      <c r="R3" s="93"/>
      <c r="S3" s="93"/>
      <c r="T3" s="93"/>
      <c r="U3" s="93"/>
      <c r="V3" s="93"/>
      <c r="W3" s="93"/>
      <c r="X3" s="93"/>
      <c r="Y3" s="93"/>
      <c r="Z3" s="93"/>
    </row>
    <row r="4" spans="1:26" ht="51">
      <c r="A4" s="94" t="s">
        <v>362</v>
      </c>
      <c r="B4" s="110"/>
      <c r="C4" s="103" t="s">
        <v>379</v>
      </c>
      <c r="D4" s="96" t="s">
        <v>110</v>
      </c>
      <c r="E4" s="97">
        <v>45575</v>
      </c>
      <c r="F4" s="104"/>
      <c r="G4" s="104"/>
      <c r="H4" s="105">
        <v>0</v>
      </c>
      <c r="I4" s="106">
        <f ca="1">IF(ISBLANK(H4), NETWORKDAYS(F4, TODAY(),Hoja2!$A$1:$A$18), NETWORKDAYS(F4, H4, Hoja2!$A$1:$A$18))</f>
        <v>0</v>
      </c>
      <c r="J4" s="104">
        <v>45569</v>
      </c>
      <c r="K4" s="104"/>
      <c r="L4" s="107" t="s">
        <v>380</v>
      </c>
      <c r="M4" s="102"/>
      <c r="N4" s="93"/>
      <c r="O4" s="93"/>
      <c r="P4" s="93"/>
      <c r="Q4" s="93"/>
      <c r="R4" s="93"/>
      <c r="S4" s="93"/>
      <c r="T4" s="93"/>
      <c r="U4" s="93"/>
      <c r="V4" s="93"/>
      <c r="W4" s="93"/>
      <c r="X4" s="93"/>
      <c r="Y4" s="93"/>
      <c r="Z4" s="93"/>
    </row>
    <row r="5" spans="1:26" ht="51">
      <c r="A5" s="94" t="s">
        <v>362</v>
      </c>
      <c r="B5" s="90" t="s">
        <v>381</v>
      </c>
      <c r="C5" s="96" t="s">
        <v>382</v>
      </c>
      <c r="D5" s="96" t="s">
        <v>110</v>
      </c>
      <c r="E5" s="97">
        <v>45575</v>
      </c>
      <c r="F5" s="97"/>
      <c r="G5" s="97"/>
      <c r="H5" s="99">
        <v>0</v>
      </c>
      <c r="I5" s="98">
        <f ca="1">IF(ISBLANK(H5), NETWORKDAYS(F5, TODAY(),Hoja2!$A$1:$A$18), NETWORKDAYS(F5, H5, Hoja2!$A$1:$A$18))</f>
        <v>0</v>
      </c>
      <c r="J5" s="97">
        <v>45569</v>
      </c>
      <c r="K5" s="97"/>
      <c r="L5" s="100" t="s">
        <v>380</v>
      </c>
      <c r="M5" s="102"/>
      <c r="N5" s="93"/>
      <c r="O5" s="93"/>
      <c r="P5" s="93"/>
      <c r="Q5" s="93"/>
      <c r="R5" s="93"/>
      <c r="S5" s="93"/>
      <c r="T5" s="93"/>
      <c r="U5" s="93"/>
      <c r="V5" s="93"/>
      <c r="W5" s="93"/>
      <c r="X5" s="93"/>
      <c r="Y5" s="93"/>
      <c r="Z5" s="93"/>
    </row>
    <row r="6" spans="1:26">
      <c r="A6" s="108"/>
      <c r="B6" s="108"/>
      <c r="C6" s="108"/>
      <c r="D6" s="108"/>
      <c r="E6" s="108"/>
      <c r="F6" s="108"/>
      <c r="G6" s="108"/>
      <c r="H6" s="108"/>
      <c r="I6" s="108"/>
      <c r="J6" s="108"/>
      <c r="K6" s="108"/>
      <c r="L6" s="108"/>
      <c r="M6" s="108"/>
      <c r="N6" s="108"/>
      <c r="O6" s="108"/>
      <c r="P6" s="108"/>
      <c r="Q6" s="108"/>
      <c r="R6" s="108"/>
      <c r="S6" s="108"/>
      <c r="T6" s="108"/>
      <c r="U6" s="108"/>
      <c r="V6" s="108"/>
      <c r="W6" s="108"/>
      <c r="X6" s="108"/>
      <c r="Y6" s="108"/>
      <c r="Z6" s="108"/>
    </row>
    <row r="7" spans="1:26">
      <c r="A7" s="108"/>
      <c r="B7" s="108"/>
      <c r="C7" s="108"/>
      <c r="D7" s="108"/>
      <c r="E7" s="108"/>
      <c r="F7" s="108"/>
      <c r="G7" s="108"/>
      <c r="H7" s="108"/>
      <c r="I7" s="108"/>
      <c r="J7" s="108"/>
      <c r="K7" s="108"/>
      <c r="L7" s="108"/>
      <c r="M7" s="108"/>
      <c r="N7" s="108"/>
      <c r="O7" s="108"/>
      <c r="P7" s="108"/>
      <c r="Q7" s="108"/>
      <c r="R7" s="108"/>
      <c r="S7" s="108"/>
      <c r="T7" s="108"/>
      <c r="U7" s="108"/>
      <c r="V7" s="108"/>
      <c r="W7" s="108"/>
      <c r="X7" s="108"/>
      <c r="Y7" s="108"/>
      <c r="Z7" s="108"/>
    </row>
    <row r="8" spans="1:26">
      <c r="A8" s="108"/>
      <c r="B8" s="108"/>
      <c r="C8" s="108"/>
      <c r="D8" s="108"/>
      <c r="E8" s="108"/>
      <c r="F8" s="108"/>
      <c r="G8" s="108"/>
      <c r="H8" s="108"/>
      <c r="I8" s="108"/>
      <c r="J8" s="108"/>
      <c r="K8" s="108"/>
      <c r="L8" s="108"/>
      <c r="M8" s="108"/>
      <c r="N8" s="108"/>
      <c r="O8" s="108"/>
      <c r="P8" s="108"/>
      <c r="Q8" s="108"/>
      <c r="R8" s="108"/>
      <c r="S8" s="108"/>
      <c r="T8" s="108"/>
      <c r="U8" s="108"/>
      <c r="V8" s="108"/>
      <c r="W8" s="108"/>
      <c r="X8" s="108"/>
      <c r="Y8" s="108"/>
      <c r="Z8" s="108"/>
    </row>
    <row r="9" spans="1:26">
      <c r="A9" s="108"/>
      <c r="B9" s="108"/>
      <c r="C9" s="108"/>
      <c r="D9" s="108"/>
      <c r="E9" s="108"/>
      <c r="F9" s="108"/>
      <c r="G9" s="108"/>
      <c r="H9" s="108"/>
      <c r="I9" s="108"/>
      <c r="J9" s="108"/>
      <c r="K9" s="108"/>
      <c r="L9" s="108"/>
      <c r="M9" s="108"/>
      <c r="N9" s="108"/>
      <c r="O9" s="108"/>
      <c r="P9" s="108"/>
      <c r="Q9" s="108"/>
      <c r="R9" s="108"/>
      <c r="S9" s="108"/>
      <c r="T9" s="108"/>
      <c r="U9" s="108"/>
      <c r="V9" s="108"/>
      <c r="W9" s="108"/>
      <c r="X9" s="108"/>
      <c r="Y9" s="108"/>
      <c r="Z9" s="108"/>
    </row>
    <row r="10" spans="1:26">
      <c r="A10" s="108"/>
      <c r="B10" s="108"/>
      <c r="C10" s="108"/>
      <c r="D10" s="108"/>
      <c r="E10" s="108"/>
      <c r="F10" s="108"/>
      <c r="G10" s="108"/>
      <c r="H10" s="108"/>
      <c r="I10" s="108"/>
      <c r="J10" s="108"/>
      <c r="K10" s="108"/>
      <c r="L10" s="108"/>
      <c r="M10" s="108"/>
      <c r="N10" s="108"/>
      <c r="O10" s="108"/>
      <c r="P10" s="108"/>
      <c r="Q10" s="108"/>
      <c r="R10" s="108"/>
      <c r="S10" s="108"/>
      <c r="T10" s="108"/>
      <c r="U10" s="108"/>
      <c r="V10" s="108"/>
      <c r="W10" s="108"/>
      <c r="X10" s="108"/>
      <c r="Y10" s="108"/>
      <c r="Z10" s="108"/>
    </row>
    <row r="11" spans="1:26">
      <c r="A11" s="108"/>
      <c r="B11" s="108"/>
      <c r="C11" s="108"/>
      <c r="D11" s="108"/>
      <c r="E11" s="108"/>
      <c r="F11" s="108"/>
      <c r="G11" s="108"/>
      <c r="H11" s="108"/>
      <c r="I11" s="108"/>
      <c r="J11" s="108"/>
      <c r="K11" s="108"/>
      <c r="L11" s="108"/>
      <c r="M11" s="108"/>
      <c r="N11" s="108"/>
      <c r="O11" s="108"/>
      <c r="P11" s="108"/>
      <c r="Q11" s="108"/>
      <c r="R11" s="108"/>
      <c r="S11" s="108"/>
      <c r="T11" s="108"/>
      <c r="U11" s="108"/>
      <c r="V11" s="108"/>
      <c r="W11" s="108"/>
      <c r="X11" s="108"/>
      <c r="Y11" s="108"/>
      <c r="Z11" s="108"/>
    </row>
    <row r="12" spans="1:26">
      <c r="A12" s="108"/>
      <c r="B12" s="108"/>
      <c r="C12" s="108"/>
      <c r="D12" s="108"/>
      <c r="E12" s="108"/>
      <c r="F12" s="108"/>
      <c r="G12" s="108"/>
      <c r="H12" s="108"/>
      <c r="I12" s="108"/>
      <c r="J12" s="108"/>
      <c r="K12" s="108"/>
      <c r="L12" s="108"/>
      <c r="M12" s="108"/>
      <c r="N12" s="108"/>
      <c r="O12" s="108"/>
      <c r="P12" s="108"/>
      <c r="Q12" s="108"/>
      <c r="R12" s="108"/>
      <c r="S12" s="108"/>
      <c r="T12" s="108"/>
      <c r="U12" s="108"/>
      <c r="V12" s="108"/>
      <c r="W12" s="108"/>
      <c r="X12" s="108"/>
      <c r="Y12" s="108"/>
      <c r="Z12" s="108"/>
    </row>
    <row r="13" spans="1:26">
      <c r="A13" s="108"/>
      <c r="B13" s="10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spans="1:26">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spans="1:26">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spans="1:26">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spans="1:26">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spans="1:26">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spans="1:26">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spans="1:26">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spans="1:26" ht="15.75"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spans="1:26" ht="15.75"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spans="1:26" ht="15.75"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spans="1:26" ht="15.75"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spans="1:26" ht="15.75"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spans="1:26" ht="15.75"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spans="1:26" ht="15.75"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spans="1:26" ht="15.75"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spans="1:26" ht="15.75"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spans="1:26" ht="15.75"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spans="1:26" ht="15.75"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spans="1:26" ht="15.75"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spans="1:26" ht="15.75"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spans="1:26" ht="15.75"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spans="1:26" ht="15.75"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spans="1:26" ht="15.75"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spans="1:26" ht="15.75"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spans="1:26" ht="15.75"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spans="1:26" ht="15.75"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spans="1:26" ht="15.75"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spans="1:26" ht="15.75"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spans="1:26" ht="15.75"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spans="1:26" ht="15.75"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spans="1:26" ht="15.75"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spans="1:26" ht="15.75"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spans="1:26" ht="15.75"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spans="1:26" ht="15.75"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spans="1:26" ht="15.75"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spans="1:26" ht="15.75"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spans="1:26" ht="15.75"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spans="1:26" ht="15.75"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spans="1:26" ht="15.75"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spans="1:26" ht="15.75"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spans="1:26" ht="15.75"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spans="1:26" ht="15.75"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spans="1:26" ht="15.75"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spans="1:26" ht="15.75"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spans="1:26" ht="15.75"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spans="1:26" ht="15.75"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spans="1:26" ht="15.75"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spans="1:26" ht="15.75"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spans="1:26" ht="15.75"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spans="1:26" ht="15.75"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spans="1:26" ht="15.75"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spans="1:26" ht="15.75"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spans="1:26" ht="15.75"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spans="1:26" ht="15.75"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spans="1:26" ht="15.75"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spans="1:26" ht="15.75"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spans="1:26" ht="15.75"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spans="1:26" ht="15.75"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spans="1:26" ht="15.75"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spans="1:26" ht="15.75"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spans="1:26" ht="15.75"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spans="1:26" ht="15.75"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spans="1:26" ht="15.75"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spans="1:26" ht="15.75"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spans="1:26" ht="15.75"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spans="1:26" ht="15.75"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spans="1:26" ht="15.75"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spans="1:26" ht="15.75"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spans="1:26" ht="15.75"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spans="1:26" ht="15.75"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spans="1:26" ht="15.75"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spans="1:26" ht="15.75"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spans="1:26" ht="15.75"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spans="1:26" ht="15.75"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spans="1:26" ht="15.75"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spans="1:26" ht="15.75"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spans="1:26" ht="15.75"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spans="1:26" ht="15.75"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spans="1:26" ht="15.75"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spans="1:26" ht="15.75"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spans="1:26" ht="15.75"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spans="1:26" ht="15.75"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spans="1:26" ht="15.75"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spans="1:26" ht="15.75"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spans="1:26" ht="15.75"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spans="1:26" ht="15.75"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spans="1:26" ht="15.75"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spans="1:26" ht="15.75"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spans="1:26" ht="15.75"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spans="1:26" ht="15.75"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spans="1:26" ht="15.75"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spans="1:26" ht="15.75"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spans="1:26" ht="15.75"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spans="1:26" ht="15.75"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spans="1:26" ht="15.75"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spans="1:26" ht="15.75"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spans="1:26" ht="15.75"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spans="1:26" ht="15.75"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spans="1:26" ht="15.75"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spans="1:26" ht="15.75"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spans="1:26" ht="15.75"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spans="1:26" ht="15.75"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spans="1:26" ht="15.75"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spans="1:26" ht="15.75"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spans="1:26" ht="15.75"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spans="1:26" ht="15.75"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spans="1:26" ht="15.75"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spans="1:26" ht="15.75"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spans="1:26" ht="15.75"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spans="1:26" ht="15.75"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spans="1:26" ht="15.75"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spans="1:26" ht="15.75"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spans="1:26" ht="15.75"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spans="1:26" ht="15.75"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spans="1:26" ht="15.75"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spans="1:26" ht="15.75"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spans="1:26" ht="15.75"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spans="1:26" ht="15.75"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spans="1:26" ht="15.75"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spans="1:26" ht="15.75"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spans="1:26" ht="15.75"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spans="1:26" ht="15.75"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spans="1:26" ht="15.75"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spans="1:26" ht="15.75"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spans="1:26" ht="15.75"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spans="1:26" ht="15.75"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spans="1:26" ht="15.75"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spans="1:26" ht="15.75"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spans="1:26" ht="15.75"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spans="1:26" ht="15.75"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spans="1:26" ht="15.75"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spans="1:26" ht="15.75"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spans="1:26" ht="15.75"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spans="1:26" ht="15.75"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spans="1:26" ht="15.75"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spans="1:26" ht="15.75"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spans="1:26" ht="15.75"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spans="1:26" ht="15.75"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spans="1:26" ht="15.75"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spans="1:26" ht="15.75"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spans="1:26" ht="15.75"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spans="1:26" ht="15.75"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spans="1:26" ht="15.75"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spans="1:26" ht="15.75"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spans="1:26" ht="15.75"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spans="1:26" ht="15.75"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spans="1:26" ht="15.75"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spans="1:26" ht="15.75"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spans="1:26" ht="15.75"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spans="1:26" ht="15.75"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spans="1:26" ht="15.75"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spans="1:26" ht="15.75"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spans="1:26" ht="15.75"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spans="1:26" ht="15.75"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spans="1:26" ht="15.75"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spans="1:26" ht="15.75"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spans="1:26" ht="15.75"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spans="1:26" ht="15.75"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spans="1:26" ht="15.75"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spans="1:26" ht="15.75"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spans="1:26" ht="15.75"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spans="1:26" ht="15.75"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spans="1:26" ht="15.75"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spans="1:26" ht="15.75"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spans="1:26" ht="15.75"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spans="1:26" ht="15.75"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spans="1:26" ht="15.75"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spans="1:26" ht="15.75"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spans="1:26" ht="15.75"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spans="1:26" ht="15.75"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spans="1:26" ht="15.75"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spans="1:26" ht="15.75"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spans="1:26" ht="15.75"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spans="1:26" ht="15.75"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spans="1:26" ht="15.75"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spans="1:26" ht="15.75"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spans="1:26" ht="15.75"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spans="1:26" ht="15.75"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spans="1:26" ht="15.75"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spans="1:26" ht="15.75"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spans="1:26" ht="15.75"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spans="1:26" ht="15.75"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spans="1:26" ht="15.75"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spans="1:26" ht="15.75"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spans="1:26" ht="15.75"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spans="1:26" ht="15.75"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spans="1:26" ht="15.75"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spans="1:26" ht="15.75"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spans="1:26" ht="15.75"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spans="1:26" ht="15.75"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spans="1:26" ht="15.75"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spans="1:26" ht="15.75"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spans="1:26" ht="15.75"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spans="1:26" ht="15.75"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spans="1:26" ht="15.75"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spans="1:26" ht="15.75"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spans="1:26" ht="15.75"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spans="1:26" ht="15.75"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spans="1:26" ht="15.75"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spans="1:26" ht="15.75"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spans="1:26" ht="15.75"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spans="1:26" ht="15.75"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spans="1:26" ht="15.75"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spans="1:26" ht="15.75"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spans="1:26" ht="15.75"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spans="1:26" ht="15.75"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spans="1:26" ht="15.75"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3:B4"/>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EN PROCESO (Colmedica)</vt:lpstr>
      <vt:lpstr>Hoja2</vt:lpstr>
      <vt:lpstr>ASISTENCIA</vt:lpstr>
      <vt:lpstr>pruebas 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FABIO HERNAN FORERO GARZON</dc:creator>
  <cp:lastModifiedBy>FABIO HERNAN FORERO GARZON</cp:lastModifiedBy>
  <dcterms:created xsi:type="dcterms:W3CDTF">2024-10-01T20:42:53Z</dcterms:created>
  <dcterms:modified xsi:type="dcterms:W3CDTF">2026-06-24T14:48:55Z</dcterms:modified>
</cp:coreProperties>
</file>
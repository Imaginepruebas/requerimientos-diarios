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(Colmedica)'!$A$1:$R$61</definedName>
  </definedNames>
  <calcPr calcId="162913"/>
  <extLst>
    <ext uri="GoogleSheetsCustomDataVersion2">
      <go:sheetsCustomData xmlns:go="http://customooxmlschemas.google.com/" r:id="rId8" roundtripDataChecksum="pgUx+4f9siTnwWzOIB3arU/84qiY6wq17w4RAcnpgKM="/>
    </ext>
  </extLst>
</workbook>
</file>

<file path=xl/calcChain.xml><?xml version="1.0" encoding="utf-8"?>
<calcChain xmlns="http://schemas.openxmlformats.org/spreadsheetml/2006/main">
  <c r="I5" i="4" l="1"/>
  <c r="I4" i="4"/>
  <c r="I3" i="4"/>
  <c r="I2" i="4"/>
  <c r="M61" i="1"/>
  <c r="H61" i="1"/>
  <c r="M60" i="1"/>
  <c r="H60" i="1"/>
  <c r="M59" i="1"/>
  <c r="H59" i="1"/>
  <c r="M58" i="1"/>
  <c r="H58" i="1"/>
  <c r="M57" i="1"/>
  <c r="H57" i="1"/>
  <c r="M56" i="1"/>
  <c r="H56" i="1"/>
  <c r="M55" i="1"/>
  <c r="H55" i="1"/>
  <c r="M54" i="1"/>
  <c r="H54" i="1"/>
  <c r="M53" i="1"/>
  <c r="H53" i="1"/>
  <c r="M52" i="1"/>
  <c r="H52" i="1"/>
  <c r="M51" i="1"/>
  <c r="H51" i="1"/>
  <c r="M50" i="1"/>
  <c r="H50" i="1"/>
  <c r="M49" i="1"/>
  <c r="M48" i="1"/>
  <c r="M47" i="1"/>
  <c r="M46" i="1"/>
  <c r="H46" i="1"/>
  <c r="M45" i="1"/>
  <c r="H45" i="1"/>
  <c r="M44" i="1"/>
  <c r="H44" i="1"/>
  <c r="M43" i="1"/>
  <c r="H43" i="1"/>
  <c r="M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<sst xmlns="http://schemas.openxmlformats.org/spreadsheetml/2006/main" count="1273" uniqueCount="318">
  <si>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</si>
  <si>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</si>
  <si>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</si>
  <si>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</si>
  <si>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</si>
  <si>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</si>
  <si>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</si>
  <si>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</si>
  <si>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</si>
  <si>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</si>
  <si>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</si>
  <si>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</si>
  <si>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</si>
  <si>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</si>
  <si>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</si>
  <si>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</si>
  <si>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</si>
  <si>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</si>
  <si>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</si>
  <si>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</si>
  <si>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</si>
  <si>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</si>
  <si>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</si>
  <si>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</si>
  <si>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</si>
  <si>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</si>
  <si>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</si>
  <si>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</si>
  <si>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</si>
  <si>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</si>
  <si>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</si>
  <si>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</si>
  <si>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</si>
  <si>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</si>
  <si>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</si>
  <si>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</si>
  <si>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</si>
  <si>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</si>
  <si>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</si>
  <si>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</si>
  <si>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</si>
  <si>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</si>
  <si>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</si>
  <si>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</si>
  <si>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</si>
  <si>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</si>
  <si>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</si>
  <si>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</si>
  <si>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</si>
  <si>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</si>
  <si>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</si>
  <si>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</si>
  <si>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</si>
  <si>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</si>
  <si>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</si>
  <si>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</si>
  <si>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</si>
  <si>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</si>
  <si>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</si>
  <si>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</si>
  <si>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</si>
  <si>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</si>
  <si>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</si>
  <si>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</si>
  <si>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</si>
  <si>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</si>
  <si>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</si>
  <si>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</si>
  <si>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</si>
  <si>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</si>
  <si>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</si>
  <si>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</si>
  <si>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</si>
  <si>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</si>
  <si>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</si>
  <si>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</si>
  <si>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</si>
  <si>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</si>
  <si>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</si>
  <si>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</si>
  <si>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</si>
  <si>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</si>
  <si>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</si>
  <si>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</si>
  <si>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</si>
  <si>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</si>
  <si>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</si>
  <si>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</si>
  <si>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</si>
  <si>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</si>
  <si>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</si>
  <si>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</si>
  <si>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</si>
  <si>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</si>
  <si>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</si>
  <si>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</si>
  <si>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</si>
  <si>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</si>
  <si>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</si>
  <si>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</si>
  <si>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</si>
  <si>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</si>
  <si>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</si>
  <si>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</si>
  <si>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</si>
  <si>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</si>
  <si>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</si>
  <si>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</si>
  <si>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</si>
  <si>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</si>
  <si>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</si>
  <si>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</si>
  <si>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</si>
  <si>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</si>
  <si>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</si>
  <si>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</si>
  <si>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</si>
  <si>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</si>
  <si>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</si>
  <si>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</si>
  <si>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</si>
  <si>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</si>
  <si>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</si>
  <si>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</si>
  <si>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</si>
  <si>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</si>
  <si>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</si>
  <si>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</si>
  <si>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</si>
  <si>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</si>
  <si>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</si>
  <si>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</si>
  <si>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</si>
  <si>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</si>
  <si>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</si>
  <si>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</si>
  <si>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</si>
  <si>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</si>
  <si>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</si>
  <si>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</si>
  <si>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</si>
  <si>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</si>
  <si>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</si>
  <si>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</si>
  <si>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</si>
  <si>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</si>
  <si>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</si>
  <si>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</si>
  <si>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</si>
  <si>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</si>
  <si>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</si>
  <si>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</si>
  <si>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</si>
  <si>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</si>
  <si>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</si>
  <si>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</si>
  <si>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</si>
  <si>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</si>
  <si>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</si>
  <si>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</si>
  <si>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</si>
  <si>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</si>
  <si>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</si>
  <si>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</si>
  <si>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</si>
  <si>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</si>
  <si>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</si>
  <si>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</si>
  <si>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</si>
  <si>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</si>
  <si>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</si>
  <si>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</si>
  <si>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</si>
  <si>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</si>
  <si>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</si>
  <si>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</si>
  <si>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</si>
  <si>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</si>
  <si>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</si>
  <si>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</si>
  <si>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</si>
  <si>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</si>
  <si>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</si>
  <si>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</si>
  <si>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</si>
  <si>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</si>
  <si>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</si>
  <si>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</si>
  <si>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</si>
  <si>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</si>
  <si>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</si>
  <si>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</si>
  <si>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</si>
  <si>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</si>
  <si>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</si>
  <si>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</si>
  <si>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</si>
  <si>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</si>
  <si>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</si>
  <si>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</si>
  <si>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</si>
  <si>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</si>
  <si>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</si>
  <si>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</si>
  <si>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</si>
  <si>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</si>
  <si>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</si>
  <si>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</si>
  <si>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</si>
  <si>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el dato</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</si>
  <si>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</si>
  <si>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</si>
  <si>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</si>
  <si>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</si>
  <si>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</si>
  <si>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</si>
  <si>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</si>
  <si>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</si>
  <si>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</si>
  <si>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11/02/2026 revisar la generación actual del informe generla del módulo de Riesgo médico, y revisar resultado e identificar posible inconsistencia de duplicados</t>
  </si>
  <si>
    <t>OPT_36</t>
  </si>
  <si>
    <t>Convenios Medicos - Cargue Masivo de Planes a Nits</t>
  </si>
  <si>
    <t>Cargue de excel para relacionar de manera masiva los planes creados nuevos por Colmédica a los diferentes prestadores</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</si>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</sst>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6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1"/>
  <sheetViews>
    <sheetView tabSelected="1" topLeftCell="F1" workbookViewId="0">
      <pane ySplit="1" topLeftCell="A41" activePane="bottomLeft" state="frozen"/>
      <selection pane="bottomLeft" activeCell="L42" sqref="L42"/>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32894</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184</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86</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93</v>
      </c>
      <c r="C22" s="19" t="s">
        <v>94</v>
      </c>
      <c r="D22" s="20" t="s">
        <v>95</v>
      </c>
      <c r="E22" s="21"/>
      <c r="F22" s="22" t="s">
        <v>96</v>
      </c>
      <c r="G22" s="23">
        <v>35</v>
      </c>
      <c r="H22" s="24">
        <f>IF(OR(J22="",K22="",K22&lt;J22),0,NETWORKDAYS(J22,K22,Hoja2!$A$2:$A$53))</f>
        <v>0</v>
      </c>
      <c r="I22" s="25">
        <v>45891</v>
      </c>
      <c r="J22" s="25">
        <v>45909</v>
      </c>
      <c r="K22" s="26"/>
      <c r="L22" s="26"/>
      <c r="M22" s="27">
        <f ca="1">IF(OR(J22="",AND(L22="",TODAY()&lt;J22),AND(L22&lt;&gt;"",L22&lt;J22)),0,
   IF(L22="",
      NETWORKDAYS(J22,TODAY(),Hoja2!$A$2:$A$53),
      NETWORKDAYS(J22,L22,Hoja2!$A$2:$A$53)
   )
)</f>
        <v>112</v>
      </c>
      <c r="N22" s="28"/>
      <c r="O22" s="28"/>
      <c r="P22" s="28"/>
      <c r="Q22" s="29" t="s">
        <v>97</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96</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119</v>
      </c>
      <c r="N24" s="28"/>
      <c r="O24" s="28"/>
      <c r="P24" s="28"/>
      <c r="Q24" s="29" t="s">
        <v>105</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54" t="s">
        <v>45</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113</v>
      </c>
      <c r="C27" s="34" t="s">
        <v>114</v>
      </c>
      <c r="D27" s="35" t="s">
        <v>115</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116</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117</v>
      </c>
      <c r="D28" s="20" t="s">
        <v>118</v>
      </c>
      <c r="E28" s="21"/>
      <c r="F28" s="22" t="s">
        <v>119</v>
      </c>
      <c r="G28" s="23">
        <v>80</v>
      </c>
      <c r="H28" s="24">
        <f>IF(OR(J28="",K28="",K28&lt;J28),0,NETWORKDAYS(J28,K28,Hoja2!$A$2:$A$53))</f>
        <v>3</v>
      </c>
      <c r="I28" s="25" t="s">
        <v>120</v>
      </c>
      <c r="J28" s="25">
        <v>45923</v>
      </c>
      <c r="K28" s="25">
        <v>45925</v>
      </c>
      <c r="L28" s="26"/>
      <c r="M28" s="27">
        <f ca="1">IF(OR(J28="",AND(L28="",TODAY()&lt;J28),AND(L28&lt;&gt;"",L28&lt;J28)),0,
   IF(L28="",
      NETWORKDAYS(J28,TODAY(),Hoja2!$A$2:$A$53),
      NETWORKDAYS(J28,L28,Hoja2!$A$2:$A$53)
   )
)</f>
        <v>102</v>
      </c>
      <c r="N28" s="28"/>
      <c r="O28" s="28"/>
      <c r="P28" s="28"/>
      <c r="Q28" s="29" t="s">
        <v>121</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96</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94</v>
      </c>
      <c r="N34" s="28"/>
      <c r="O34" s="28"/>
      <c r="P34" s="28"/>
      <c r="Q34" s="29" t="s">
        <v>142</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95</v>
      </c>
      <c r="N35" s="43"/>
      <c r="O35" s="43">
        <v>45938</v>
      </c>
      <c r="P35" s="43">
        <v>45940</v>
      </c>
      <c r="Q35" s="44" t="s">
        <v>146</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6"/>
      <c r="M36" s="27">
        <f ca="1">IF(OR(J36="",AND(L36="",TODAY()&lt;J36),AND(L36&lt;&gt;"",L36&lt;J36)),0,
   IF(L36="",
      NETWORKDAYS(J36,TODAY(),Hoja2!$A$2:$A$53),
      NETWORKDAYS(J36,L36,Hoja2!$A$2:$A$53)
   )
)</f>
        <v>71</v>
      </c>
      <c r="N36" s="28"/>
      <c r="O36" s="28">
        <v>45975</v>
      </c>
      <c r="P36" s="28">
        <v>45975</v>
      </c>
      <c r="Q36" s="29" t="s">
        <v>150</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75</v>
      </c>
      <c r="N37" s="43"/>
      <c r="O37" s="43">
        <v>45971</v>
      </c>
      <c r="P37" s="43">
        <v>45971</v>
      </c>
      <c r="Q37" s="44" t="s">
        <v>154</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155</v>
      </c>
      <c r="C38" s="19" t="s">
        <v>156</v>
      </c>
      <c r="D38" s="20" t="s">
        <v>157</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72</v>
      </c>
      <c r="N38" s="28"/>
      <c r="O38" s="28"/>
      <c r="P38" s="28"/>
      <c r="Q38" s="29" t="s">
        <v>158</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159</v>
      </c>
      <c r="C39" s="34" t="s">
        <v>160</v>
      </c>
      <c r="D39" s="35" t="s">
        <v>161</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41</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162</v>
      </c>
      <c r="C40" s="19" t="s">
        <v>163</v>
      </c>
      <c r="D40" s="20" t="s">
        <v>164</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71</v>
      </c>
      <c r="N40" s="28"/>
      <c r="O40" s="28">
        <v>45981</v>
      </c>
      <c r="P40" s="28">
        <v>45981</v>
      </c>
      <c r="Q40" s="29" t="s">
        <v>165</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166</v>
      </c>
      <c r="C41" s="34" t="s">
        <v>167</v>
      </c>
      <c r="D41" s="35" t="s">
        <v>168</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71</v>
      </c>
      <c r="N41" s="43"/>
      <c r="O41" s="43">
        <v>45981</v>
      </c>
      <c r="P41" s="43">
        <v>45981</v>
      </c>
      <c r="Q41" s="44" t="s">
        <v>169</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42.75">
      <c r="A42" s="17" t="s">
        <v>36</v>
      </c>
      <c r="B42" s="18" t="s">
        <v>170</v>
      </c>
      <c r="C42" s="19" t="s">
        <v>171</v>
      </c>
      <c r="D42" s="20"/>
      <c r="E42" s="21"/>
      <c r="F42" s="22" t="s">
        <v>39</v>
      </c>
      <c r="G42" s="23">
        <v>0</v>
      </c>
      <c r="H42" s="61"/>
      <c r="I42" s="62">
        <v>45972</v>
      </c>
      <c r="J42" s="63"/>
      <c r="K42" s="28"/>
      <c r="L42" s="28"/>
      <c r="M42" s="64">
        <f ca="1">IF(ISBLANK(L42), NETWORKDAYS(J42, TODAY(),Hoja2!$A$1:$A$18), NETWORKDAYS(J42, L42, Hoja2!$A$1:$A$18))</f>
        <v>32894</v>
      </c>
      <c r="N42" s="28"/>
      <c r="O42" s="28"/>
      <c r="P42" s="28"/>
      <c r="Q42" s="29"/>
      <c r="R42" s="65" t="s">
        <v>41</v>
      </c>
      <c r="S42" s="59"/>
      <c r="T42" s="59"/>
      <c r="U42" s="59"/>
      <c r="V42" s="59"/>
      <c r="W42" s="59"/>
      <c r="X42" s="59"/>
      <c r="Y42" s="59"/>
      <c r="Z42" s="59"/>
      <c r="AA42" s="59"/>
      <c r="AB42" s="59"/>
      <c r="AC42" s="59"/>
      <c r="AD42" s="59"/>
      <c r="AE42" s="59"/>
      <c r="AF42" s="59"/>
      <c r="AG42" s="59"/>
      <c r="AH42" s="59"/>
      <c r="AI42" s="59"/>
      <c r="AJ42" s="59"/>
      <c r="AK42" s="59"/>
      <c r="AL42" s="59"/>
      <c r="AM42" s="59"/>
      <c r="AN42" s="60"/>
    </row>
    <row r="43" spans="1:40" ht="28.5">
      <c r="A43" s="32" t="s">
        <v>36</v>
      </c>
      <c r="B43" s="33" t="s">
        <v>172</v>
      </c>
      <c r="C43" s="34" t="s">
        <v>173</v>
      </c>
      <c r="D43" s="35" t="s">
        <v>174</v>
      </c>
      <c r="E43" s="36"/>
      <c r="F43" s="37" t="s">
        <v>21</v>
      </c>
      <c r="G43" s="38">
        <v>100</v>
      </c>
      <c r="H43" s="39">
        <f>IF(OR(J43="",K43="",K43&lt;J43),0,NETWORKDAYS(J43,K43,Hoja2!$A$2:$A$53))</f>
        <v>1</v>
      </c>
      <c r="I43" s="40">
        <v>45973</v>
      </c>
      <c r="J43" s="40">
        <v>45981</v>
      </c>
      <c r="K43" s="41">
        <v>45981</v>
      </c>
      <c r="L43" s="41"/>
      <c r="M43" s="42">
        <f ca="1">IF(OR(J43="",AND(L43="",TODAY()&lt;J43),AND(L43&lt;&gt;"",L43&lt;J43)),0,
   IF(L43="",
      NETWORKDAYS(J43,TODAY(),Hoja2!$A$2:$A$53),
      NETWORKDAYS(J43,L43,Hoja2!$A$2:$A$53)
   )
)</f>
        <v>63</v>
      </c>
      <c r="N43" s="43"/>
      <c r="O43" s="43">
        <v>45981</v>
      </c>
      <c r="P43" s="43">
        <v>45981</v>
      </c>
      <c r="Q43" s="44" t="s">
        <v>175</v>
      </c>
      <c r="R43" s="51" t="s">
        <v>45</v>
      </c>
      <c r="S43" s="57"/>
      <c r="T43" s="57"/>
      <c r="U43" s="57"/>
      <c r="V43" s="57"/>
      <c r="W43" s="57"/>
      <c r="X43" s="57"/>
      <c r="Y43" s="57"/>
      <c r="Z43" s="57"/>
      <c r="AA43" s="57"/>
      <c r="AB43" s="57"/>
      <c r="AC43" s="57"/>
      <c r="AD43" s="57"/>
      <c r="AE43" s="57"/>
      <c r="AF43" s="57"/>
      <c r="AG43" s="57"/>
      <c r="AH43" s="57"/>
      <c r="AI43" s="57"/>
      <c r="AJ43" s="57"/>
      <c r="AK43" s="57"/>
      <c r="AL43" s="57"/>
      <c r="AM43" s="57"/>
      <c r="AN43" s="58"/>
    </row>
    <row r="44" spans="1:40" ht="38.25">
      <c r="A44" s="17" t="s">
        <v>36</v>
      </c>
      <c r="B44" s="18" t="s">
        <v>176</v>
      </c>
      <c r="C44" s="19" t="s">
        <v>177</v>
      </c>
      <c r="D44" s="20" t="s">
        <v>178</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3"/>
      <c r="O44" s="63">
        <v>45973</v>
      </c>
      <c r="P44" s="63">
        <v>45973</v>
      </c>
      <c r="Q44" s="29"/>
      <c r="R44" s="52" t="s">
        <v>45</v>
      </c>
      <c r="S44" s="59"/>
      <c r="T44" s="59"/>
      <c r="U44" s="59"/>
      <c r="V44" s="59"/>
      <c r="W44" s="59"/>
      <c r="X44" s="59"/>
      <c r="Y44" s="59"/>
      <c r="Z44" s="59"/>
      <c r="AA44" s="59"/>
      <c r="AB44" s="59"/>
      <c r="AC44" s="59"/>
      <c r="AD44" s="59"/>
      <c r="AE44" s="59"/>
      <c r="AF44" s="59"/>
      <c r="AG44" s="59"/>
      <c r="AH44" s="59"/>
      <c r="AI44" s="59"/>
      <c r="AJ44" s="59"/>
      <c r="AK44" s="59"/>
      <c r="AL44" s="59"/>
      <c r="AM44" s="59"/>
      <c r="AN44" s="60"/>
    </row>
    <row r="45" spans="1:40" ht="28.5">
      <c r="A45" s="32" t="s">
        <v>36</v>
      </c>
      <c r="B45" s="33" t="s">
        <v>179</v>
      </c>
      <c r="C45" s="34" t="s">
        <v>180</v>
      </c>
      <c r="D45" s="35" t="s">
        <v>181</v>
      </c>
      <c r="E45" s="36"/>
      <c r="F45" s="37" t="s">
        <v>21</v>
      </c>
      <c r="G45" s="38">
        <v>100</v>
      </c>
      <c r="H45" s="39">
        <f>IF(OR(J45="",K45="",K45&lt;J45),0,NETWORKDAYS(J45,K45,Hoja2!$A$2:$A$53))</f>
        <v>0</v>
      </c>
      <c r="I45" s="40">
        <v>45973</v>
      </c>
      <c r="J45" s="40"/>
      <c r="K45" s="41"/>
      <c r="L45" s="41"/>
      <c r="M45" s="42">
        <f ca="1">IF(OR(J45="",AND(L45="",TODAY()&lt;J45),AND(L45&lt;&gt;"",L45&lt;J45)),0,
   IF(L45="",
      NETWORKDAYS(J45,TODAY(),Hoja2!$A$2:$A$53),
      NETWORKDAYS(J45,L45,Hoja2!$A$2:$A$53)
   )
)</f>
        <v>0</v>
      </c>
      <c r="N45" s="49"/>
      <c r="O45" s="49">
        <v>45973</v>
      </c>
      <c r="P45" s="49">
        <v>45973</v>
      </c>
      <c r="Q45" s="44"/>
      <c r="R45" s="51" t="s">
        <v>45</v>
      </c>
      <c r="S45" s="57"/>
      <c r="T45" s="57"/>
      <c r="U45" s="57"/>
      <c r="V45" s="57"/>
      <c r="W45" s="57"/>
      <c r="X45" s="57"/>
      <c r="Y45" s="57"/>
      <c r="Z45" s="57"/>
      <c r="AA45" s="57"/>
      <c r="AB45" s="57"/>
      <c r="AC45" s="57"/>
      <c r="AD45" s="57"/>
      <c r="AE45" s="57"/>
      <c r="AF45" s="57"/>
      <c r="AG45" s="57"/>
      <c r="AH45" s="57"/>
      <c r="AI45" s="57"/>
      <c r="AJ45" s="57"/>
      <c r="AK45" s="57"/>
      <c r="AL45" s="57"/>
      <c r="AM45" s="57"/>
      <c r="AN45" s="58"/>
    </row>
    <row r="46" spans="1:40" ht="42.75">
      <c r="A46" s="17" t="s">
        <v>36</v>
      </c>
      <c r="B46" s="18" t="s">
        <v>182</v>
      </c>
      <c r="C46" s="19" t="s">
        <v>183</v>
      </c>
      <c r="D46" s="20" t="s">
        <v>184</v>
      </c>
      <c r="E46" s="21"/>
      <c r="F46" s="22" t="s">
        <v>21</v>
      </c>
      <c r="G46" s="23">
        <v>100</v>
      </c>
      <c r="H46" s="24">
        <f>IF(OR(J46="",K46="",K46&lt;J46),0,NETWORKDAYS(J46,K46,Hoja2!$A$2:$A$53))</f>
        <v>0</v>
      </c>
      <c r="I46" s="25">
        <v>45974</v>
      </c>
      <c r="J46" s="25"/>
      <c r="K46" s="26"/>
      <c r="L46" s="26"/>
      <c r="M46" s="27">
        <f ca="1">IF(OR(J46="",AND(L46="",TODAY()&lt;J46),AND(L46&lt;&gt;"",L46&lt;J46)),0,
   IF(L46="",
      NETWORKDAYS(J46,TODAY(),Hoja2!$A$2:$A$53),
      NETWORKDAYS(J46,L46,Hoja2!$A$2:$A$53)
   )
)</f>
        <v>0</v>
      </c>
      <c r="N46" s="28"/>
      <c r="O46" s="28">
        <v>45979</v>
      </c>
      <c r="P46" s="28">
        <v>45985</v>
      </c>
      <c r="Q46" s="29" t="s">
        <v>185</v>
      </c>
      <c r="R46" s="52" t="s">
        <v>45</v>
      </c>
      <c r="S46" s="59"/>
      <c r="T46" s="59"/>
      <c r="U46" s="59"/>
      <c r="V46" s="59"/>
      <c r="W46" s="59"/>
      <c r="X46" s="59"/>
      <c r="Y46" s="59"/>
      <c r="Z46" s="59"/>
      <c r="AA46" s="59"/>
      <c r="AB46" s="59"/>
      <c r="AC46" s="59"/>
      <c r="AD46" s="59"/>
      <c r="AE46" s="59"/>
      <c r="AF46" s="59"/>
      <c r="AG46" s="59"/>
      <c r="AH46" s="59"/>
      <c r="AI46" s="59"/>
      <c r="AJ46" s="59"/>
      <c r="AK46" s="59"/>
      <c r="AL46" s="59"/>
      <c r="AM46" s="59"/>
      <c r="AN46" s="60"/>
    </row>
    <row r="47" spans="1:40" ht="71.25">
      <c r="A47" s="32" t="s">
        <v>36</v>
      </c>
      <c r="B47" s="33" t="s">
        <v>186</v>
      </c>
      <c r="C47" s="34" t="s">
        <v>187</v>
      </c>
      <c r="D47" s="35" t="s">
        <v>188</v>
      </c>
      <c r="E47" s="36"/>
      <c r="F47" s="37" t="s">
        <v>39</v>
      </c>
      <c r="G47" s="38">
        <v>0</v>
      </c>
      <c r="H47" s="47"/>
      <c r="I47" s="48">
        <v>45980</v>
      </c>
      <c r="J47" s="49"/>
      <c r="K47" s="43"/>
      <c r="L47" s="43"/>
      <c r="M47" s="50">
        <f ca="1">IF(ISBLANK(L47), NETWORKDAYS(J47, TODAY(),Hoja2!$A$1:$A$18), NETWORKDAYS(J47, L47, Hoja2!$A$1:$A$18))</f>
        <v>32894</v>
      </c>
      <c r="N47" s="43"/>
      <c r="O47" s="43"/>
      <c r="P47" s="43"/>
      <c r="Q47" s="44"/>
      <c r="R47" s="66" t="s">
        <v>41</v>
      </c>
      <c r="S47" s="57"/>
      <c r="T47" s="57"/>
      <c r="U47" s="57"/>
      <c r="V47" s="57"/>
      <c r="W47" s="57"/>
      <c r="X47" s="57"/>
      <c r="Y47" s="57"/>
      <c r="Z47" s="57"/>
      <c r="AA47" s="57"/>
      <c r="AB47" s="57"/>
      <c r="AC47" s="57"/>
      <c r="AD47" s="57"/>
      <c r="AE47" s="57"/>
      <c r="AF47" s="57"/>
      <c r="AG47" s="57"/>
      <c r="AH47" s="57"/>
      <c r="AI47" s="57"/>
      <c r="AJ47" s="57"/>
      <c r="AK47" s="57"/>
      <c r="AL47" s="57"/>
      <c r="AM47" s="57"/>
      <c r="AN47" s="58"/>
    </row>
    <row r="48" spans="1:40" ht="42.75">
      <c r="A48" s="17" t="s">
        <v>36</v>
      </c>
      <c r="B48" s="18" t="s">
        <v>189</v>
      </c>
      <c r="C48" s="19" t="s">
        <v>190</v>
      </c>
      <c r="D48" s="20" t="s">
        <v>191</v>
      </c>
      <c r="E48" s="21"/>
      <c r="F48" s="22" t="s">
        <v>39</v>
      </c>
      <c r="G48" s="23">
        <v>0</v>
      </c>
      <c r="H48" s="61"/>
      <c r="I48" s="62">
        <v>45981</v>
      </c>
      <c r="J48" s="63"/>
      <c r="K48" s="28"/>
      <c r="L48" s="28"/>
      <c r="M48" s="64">
        <f ca="1">IF(ISBLANK(L48), NETWORKDAYS(J48, TODAY(),Hoja2!$A$1:$A$18), NETWORKDAYS(J48, L48, Hoja2!$A$1:$A$18))</f>
        <v>32894</v>
      </c>
      <c r="N48" s="28"/>
      <c r="O48" s="28"/>
      <c r="P48" s="28"/>
      <c r="Q48" s="29"/>
      <c r="R48" s="65" t="s">
        <v>41</v>
      </c>
      <c r="S48" s="59"/>
      <c r="T48" s="59"/>
      <c r="U48" s="59"/>
      <c r="V48" s="59"/>
      <c r="W48" s="59"/>
      <c r="X48" s="59"/>
      <c r="Y48" s="59"/>
      <c r="Z48" s="59"/>
      <c r="AA48" s="59"/>
      <c r="AB48" s="59"/>
      <c r="AC48" s="59"/>
      <c r="AD48" s="59"/>
      <c r="AE48" s="59"/>
      <c r="AF48" s="59"/>
      <c r="AG48" s="59"/>
      <c r="AH48" s="59"/>
      <c r="AI48" s="59"/>
      <c r="AJ48" s="59"/>
      <c r="AK48" s="59"/>
      <c r="AL48" s="59"/>
      <c r="AM48" s="59"/>
      <c r="AN48" s="60"/>
    </row>
    <row r="49" spans="1:40" ht="57">
      <c r="A49" s="32" t="s">
        <v>36</v>
      </c>
      <c r="B49" s="33" t="s">
        <v>192</v>
      </c>
      <c r="C49" s="34" t="s">
        <v>193</v>
      </c>
      <c r="D49" s="35"/>
      <c r="E49" s="36"/>
      <c r="F49" s="37" t="s">
        <v>39</v>
      </c>
      <c r="G49" s="38">
        <v>0</v>
      </c>
      <c r="H49" s="47"/>
      <c r="I49" s="48">
        <v>45986</v>
      </c>
      <c r="J49" s="49"/>
      <c r="K49" s="43"/>
      <c r="L49" s="43"/>
      <c r="M49" s="50">
        <f ca="1">IF(ISBLANK(L49), NETWORKDAYS(J49, TODAY(),Hoja2!$A$1:$A$18), NETWORKDAYS(J49, L49, Hoja2!$A$1:$A$18))</f>
        <v>32894</v>
      </c>
      <c r="N49" s="43"/>
      <c r="O49" s="43"/>
      <c r="P49" s="43"/>
      <c r="Q49" s="44"/>
      <c r="R49" s="66" t="s">
        <v>41</v>
      </c>
      <c r="S49" s="57"/>
      <c r="T49" s="57"/>
      <c r="U49" s="57"/>
      <c r="V49" s="57"/>
      <c r="W49" s="57"/>
      <c r="X49" s="57"/>
      <c r="Y49" s="57"/>
      <c r="Z49" s="57"/>
      <c r="AA49" s="57"/>
      <c r="AB49" s="57"/>
      <c r="AC49" s="57"/>
      <c r="AD49" s="57"/>
      <c r="AE49" s="57"/>
      <c r="AF49" s="57"/>
      <c r="AG49" s="57"/>
      <c r="AH49" s="57"/>
      <c r="AI49" s="57"/>
      <c r="AJ49" s="57"/>
      <c r="AK49" s="57"/>
      <c r="AL49" s="57"/>
      <c r="AM49" s="57"/>
      <c r="AN49" s="58"/>
    </row>
    <row r="50" spans="1:40" ht="42.75">
      <c r="A50" s="17" t="s">
        <v>36</v>
      </c>
      <c r="B50" s="18" t="s">
        <v>194</v>
      </c>
      <c r="C50" s="19" t="s">
        <v>195</v>
      </c>
      <c r="D50" s="20" t="s">
        <v>196</v>
      </c>
      <c r="E50" s="21"/>
      <c r="F50" s="22" t="s">
        <v>21</v>
      </c>
      <c r="G50" s="23">
        <v>100</v>
      </c>
      <c r="H50" s="24">
        <f>IF(OR(J50="",K50="",K50&lt;J50),0,NETWORKDAYS(J50,K50,Hoja2!$A$2:$A$53))</f>
        <v>6</v>
      </c>
      <c r="I50" s="25">
        <v>45988</v>
      </c>
      <c r="J50" s="25">
        <v>46009</v>
      </c>
      <c r="K50" s="26">
        <v>46017</v>
      </c>
      <c r="L50" s="26">
        <v>46028</v>
      </c>
      <c r="M50" s="27">
        <f ca="1">IF(OR(J50="",AND(L50="",TODAY()&lt;J50),AND(L50&lt;&gt;"",L50&lt;J50)),0,
   IF(L50="",
      NETWORKDAYS(J50,TODAY(),Hoja2!$A$2:$A$53),
      NETWORKDAYS(J50,L50,Hoja2!$A$2:$A$53)
   )
)</f>
        <v>12</v>
      </c>
      <c r="N50" s="28"/>
      <c r="O50" s="28">
        <v>46017</v>
      </c>
      <c r="P50" s="28">
        <v>46027</v>
      </c>
      <c r="Q50" s="29" t="s">
        <v>197</v>
      </c>
      <c r="R50" s="52" t="s">
        <v>45</v>
      </c>
      <c r="S50" s="59"/>
      <c r="T50" s="59"/>
      <c r="U50" s="59"/>
      <c r="V50" s="59"/>
      <c r="W50" s="59"/>
      <c r="X50" s="59"/>
      <c r="Y50" s="59"/>
      <c r="Z50" s="59"/>
      <c r="AA50" s="59"/>
      <c r="AB50" s="59"/>
      <c r="AC50" s="59"/>
      <c r="AD50" s="59"/>
      <c r="AE50" s="59"/>
      <c r="AF50" s="59"/>
      <c r="AG50" s="59"/>
      <c r="AH50" s="59"/>
      <c r="AI50" s="59"/>
      <c r="AJ50" s="59"/>
      <c r="AK50" s="59"/>
      <c r="AL50" s="59"/>
      <c r="AM50" s="59"/>
      <c r="AN50" s="60"/>
    </row>
    <row r="51" spans="1:40" ht="42.75">
      <c r="A51" s="32" t="s">
        <v>36</v>
      </c>
      <c r="B51" s="33" t="s">
        <v>198</v>
      </c>
      <c r="C51" s="34" t="s">
        <v>199</v>
      </c>
      <c r="D51" s="35" t="s">
        <v>200</v>
      </c>
      <c r="E51" s="36"/>
      <c r="F51" s="37" t="s">
        <v>21</v>
      </c>
      <c r="G51" s="38">
        <v>100</v>
      </c>
      <c r="H51" s="39">
        <f>IF(OR(J51="",K51="",K51&lt;J51),0,NETWORKDAYS(J51,K51,Hoja2!$A$2:$A$53))</f>
        <v>6</v>
      </c>
      <c r="I51" s="40">
        <v>45989</v>
      </c>
      <c r="J51" s="40">
        <v>45989</v>
      </c>
      <c r="K51" s="41">
        <v>45996</v>
      </c>
      <c r="L51" s="41">
        <v>45996</v>
      </c>
      <c r="M51" s="42">
        <f ca="1">IF(OR(J51="",AND(L51="",TODAY()&lt;J51),AND(L51&lt;&gt;"",L51&lt;J51)),0,
   IF(L51="",
      NETWORKDAYS(J51,TODAY(),Hoja2!$A$2:$A$53),
      NETWORKDAYS(J51,L51,Hoja2!$A$2:$A$53)
   )
)</f>
        <v>6</v>
      </c>
      <c r="N51" s="43"/>
      <c r="O51" s="43">
        <v>46003</v>
      </c>
      <c r="P51" s="43">
        <v>46003</v>
      </c>
      <c r="Q51" s="44" t="s">
        <v>201</v>
      </c>
      <c r="R51" s="51" t="s">
        <v>45</v>
      </c>
      <c r="S51" s="57"/>
      <c r="T51" s="57"/>
      <c r="U51" s="57"/>
      <c r="V51" s="57"/>
      <c r="W51" s="57"/>
      <c r="X51" s="57"/>
      <c r="Y51" s="57"/>
      <c r="Z51" s="57"/>
      <c r="AA51" s="57"/>
      <c r="AB51" s="57"/>
      <c r="AC51" s="57"/>
      <c r="AD51" s="57"/>
      <c r="AE51" s="57"/>
      <c r="AF51" s="57"/>
      <c r="AG51" s="57"/>
      <c r="AH51" s="57"/>
      <c r="AI51" s="57"/>
      <c r="AJ51" s="57"/>
      <c r="AK51" s="57"/>
      <c r="AL51" s="57"/>
      <c r="AM51" s="57"/>
      <c r="AN51" s="58"/>
    </row>
    <row r="52" spans="1:40" ht="28.5">
      <c r="A52" s="17" t="s">
        <v>36</v>
      </c>
      <c r="B52" s="18" t="s">
        <v>202</v>
      </c>
      <c r="C52" s="19" t="s">
        <v>203</v>
      </c>
      <c r="D52" s="20" t="s">
        <v>204</v>
      </c>
      <c r="E52" s="21"/>
      <c r="F52" s="22" t="s">
        <v>21</v>
      </c>
      <c r="G52" s="23">
        <v>100</v>
      </c>
      <c r="H52" s="24">
        <f>IF(OR(J52="",K52="",K52&lt;J52),0,NETWORKDAYS(J52,K52,Hoja2!$A$2:$A$53))</f>
        <v>5</v>
      </c>
      <c r="I52" s="25">
        <v>46001</v>
      </c>
      <c r="J52" s="25">
        <v>46021</v>
      </c>
      <c r="K52" s="26">
        <v>46028</v>
      </c>
      <c r="L52" s="26">
        <v>46027</v>
      </c>
      <c r="M52" s="27">
        <f ca="1">IF(OR(J52="",AND(L52="",TODAY()&lt;J52),AND(L52&lt;&gt;"",L52&lt;J52)),0,
   IF(L52="",
      NETWORKDAYS(J52,TODAY(),Hoja2!$A$2:$A$53),
      NETWORKDAYS(J52,L52,Hoja2!$A$2:$A$53)
   )
)</f>
        <v>4</v>
      </c>
      <c r="N52" s="28"/>
      <c r="O52" s="28">
        <v>46027</v>
      </c>
      <c r="P52" s="28">
        <v>46028</v>
      </c>
      <c r="Q52" s="29" t="s">
        <v>205</v>
      </c>
      <c r="R52" s="52" t="s">
        <v>45</v>
      </c>
      <c r="S52" s="59"/>
      <c r="T52" s="59"/>
      <c r="U52" s="59"/>
      <c r="V52" s="59"/>
      <c r="W52" s="59"/>
      <c r="X52" s="59"/>
      <c r="Y52" s="59"/>
      <c r="Z52" s="59"/>
      <c r="AA52" s="59"/>
      <c r="AB52" s="59"/>
      <c r="AC52" s="59"/>
      <c r="AD52" s="59"/>
      <c r="AE52" s="59"/>
      <c r="AF52" s="59"/>
      <c r="AG52" s="59"/>
      <c r="AH52" s="59"/>
      <c r="AI52" s="59"/>
      <c r="AJ52" s="59"/>
      <c r="AK52" s="59"/>
      <c r="AL52" s="59"/>
      <c r="AM52" s="59"/>
      <c r="AN52" s="60"/>
    </row>
    <row r="53" spans="1:40" ht="38.25">
      <c r="A53" s="32" t="s">
        <v>36</v>
      </c>
      <c r="B53" s="33" t="s">
        <v>206</v>
      </c>
      <c r="C53" s="34" t="s">
        <v>207</v>
      </c>
      <c r="D53" s="35" t="s">
        <v>208</v>
      </c>
      <c r="E53" s="36"/>
      <c r="F53" s="37" t="s">
        <v>119</v>
      </c>
      <c r="G53" s="38">
        <v>55</v>
      </c>
      <c r="H53" s="39">
        <f>IF(OR(J53="",K53="",K53&lt;J53),0,NETWORKDAYS(J53,K53,Hoja2!$A$2:$A$53))</f>
        <v>12</v>
      </c>
      <c r="I53" s="40">
        <v>46029</v>
      </c>
      <c r="J53" s="40">
        <v>46058</v>
      </c>
      <c r="K53" s="41">
        <v>46073</v>
      </c>
      <c r="L53" s="41"/>
      <c r="M53" s="42">
        <f ca="1">IF(OR(J53="",AND(L53="",TODAY()&lt;J53),AND(L53&lt;&gt;"",L53&lt;J53)),0,
   IF(L53="",
      NETWORKDAYS(J53,TODAY(),Hoja2!$A$2:$A$53),
      NETWORKDAYS(J53,L53,Hoja2!$A$2:$A$53)
   )
)</f>
        <v>12</v>
      </c>
      <c r="N53" s="43"/>
      <c r="O53" s="43"/>
      <c r="P53" s="43"/>
      <c r="Q53" s="44" t="s">
        <v>209</v>
      </c>
      <c r="R53" s="51" t="s">
        <v>45</v>
      </c>
      <c r="S53" s="57"/>
      <c r="T53" s="57"/>
      <c r="U53" s="57"/>
      <c r="V53" s="57"/>
      <c r="W53" s="57"/>
      <c r="X53" s="57"/>
      <c r="Y53" s="57"/>
      <c r="Z53" s="57"/>
      <c r="AA53" s="57"/>
      <c r="AB53" s="57"/>
      <c r="AC53" s="57"/>
      <c r="AD53" s="57"/>
      <c r="AE53" s="57"/>
      <c r="AF53" s="57"/>
      <c r="AG53" s="57"/>
      <c r="AH53" s="57"/>
      <c r="AI53" s="57"/>
      <c r="AJ53" s="57"/>
      <c r="AK53" s="57"/>
      <c r="AL53" s="57"/>
      <c r="AM53" s="57"/>
      <c r="AN53" s="58"/>
    </row>
    <row r="54" spans="1:40" ht="38.25">
      <c r="A54" s="17" t="s">
        <v>36</v>
      </c>
      <c r="B54" s="18" t="s">
        <v>170</v>
      </c>
      <c r="C54" s="19" t="s">
        <v>210</v>
      </c>
      <c r="D54" s="20" t="s">
        <v>211</v>
      </c>
      <c r="E54" s="21"/>
      <c r="F54" s="22" t="s">
        <v>21</v>
      </c>
      <c r="G54" s="23">
        <v>100</v>
      </c>
      <c r="H54" s="24">
        <f>IF(OR(J54="",K54="",K54&lt;J54),0,NETWORKDAYS(J54,K54,Hoja2!$A$2:$A$53))</f>
        <v>1</v>
      </c>
      <c r="I54" s="25">
        <v>46035</v>
      </c>
      <c r="J54" s="25">
        <v>46035</v>
      </c>
      <c r="K54" s="26">
        <v>46035</v>
      </c>
      <c r="L54" s="26"/>
      <c r="M54" s="27">
        <f ca="1">IF(OR(J54="",AND(L54="",TODAY()&lt;J54),AND(L54&lt;&gt;"",L54&lt;J54)),0,
   IF(L54="",
      NETWORKDAYS(J54,TODAY(),Hoja2!$A$2:$A$53),
      NETWORKDAYS(J54,L54,Hoja2!$A$2:$A$53)
   )
)</f>
        <v>29</v>
      </c>
      <c r="N54" s="28"/>
      <c r="O54" s="28">
        <v>46035</v>
      </c>
      <c r="P54" s="28">
        <v>46035</v>
      </c>
      <c r="Q54" s="29" t="s">
        <v>212</v>
      </c>
      <c r="R54" s="30" t="s">
        <v>45</v>
      </c>
      <c r="S54" s="59"/>
      <c r="T54" s="59"/>
      <c r="U54" s="59"/>
      <c r="V54" s="59"/>
      <c r="W54" s="59"/>
      <c r="X54" s="59"/>
      <c r="Y54" s="59"/>
      <c r="Z54" s="59"/>
      <c r="AA54" s="59"/>
      <c r="AB54" s="59"/>
      <c r="AC54" s="59"/>
      <c r="AD54" s="59"/>
      <c r="AE54" s="59"/>
      <c r="AF54" s="59"/>
      <c r="AG54" s="59"/>
      <c r="AH54" s="59"/>
      <c r="AI54" s="59"/>
      <c r="AJ54" s="59"/>
      <c r="AK54" s="59"/>
      <c r="AL54" s="59"/>
      <c r="AM54" s="59"/>
      <c r="AN54" s="60"/>
    </row>
    <row r="55" spans="1:40" ht="38.25">
      <c r="A55" s="32" t="s">
        <v>36</v>
      </c>
      <c r="B55" s="33" t="s">
        <v>213</v>
      </c>
      <c r="C55" s="34" t="s">
        <v>214</v>
      </c>
      <c r="D55" s="35" t="s">
        <v>211</v>
      </c>
      <c r="E55" s="36"/>
      <c r="F55" s="37" t="s">
        <v>21</v>
      </c>
      <c r="G55" s="38">
        <v>100</v>
      </c>
      <c r="H55" s="39">
        <f>IF(OR(J55="",K55="",K55&lt;J55),0,NETWORKDAYS(J55,K55,Hoja2!$A$2:$A$53))</f>
        <v>1</v>
      </c>
      <c r="I55" s="40">
        <v>46036</v>
      </c>
      <c r="J55" s="40">
        <v>46036</v>
      </c>
      <c r="K55" s="41">
        <v>46036</v>
      </c>
      <c r="L55" s="41"/>
      <c r="M55" s="42">
        <f ca="1">IF(OR(J55="",AND(L55="",TODAY()&lt;J55),AND(L55&lt;&gt;"",L55&lt;J55)),0,
   IF(L55="",
      NETWORKDAYS(J55,TODAY(),Hoja2!$A$2:$A$53),
      NETWORKDAYS(J55,L55,Hoja2!$A$2:$A$53)
   )
)</f>
        <v>28</v>
      </c>
      <c r="N55" s="43"/>
      <c r="O55" s="43">
        <v>46036</v>
      </c>
      <c r="P55" s="43">
        <v>46036</v>
      </c>
      <c r="Q55" s="44" t="s">
        <v>215</v>
      </c>
      <c r="R55" s="45" t="s">
        <v>45</v>
      </c>
      <c r="S55" s="57"/>
      <c r="T55" s="57"/>
      <c r="U55" s="57"/>
      <c r="V55" s="57"/>
      <c r="W55" s="57"/>
      <c r="X55" s="57"/>
      <c r="Y55" s="57"/>
      <c r="Z55" s="57"/>
      <c r="AA55" s="57"/>
      <c r="AB55" s="57"/>
      <c r="AC55" s="57"/>
      <c r="AD55" s="57"/>
      <c r="AE55" s="57"/>
      <c r="AF55" s="57"/>
      <c r="AG55" s="57"/>
      <c r="AH55" s="57"/>
      <c r="AI55" s="57"/>
      <c r="AJ55" s="57"/>
      <c r="AK55" s="57"/>
      <c r="AL55" s="57"/>
      <c r="AM55" s="57"/>
      <c r="AN55" s="58"/>
    </row>
    <row r="56" spans="1:40" ht="38.25">
      <c r="A56" s="17" t="s">
        <v>36</v>
      </c>
      <c r="B56" s="18" t="s">
        <v>216</v>
      </c>
      <c r="C56" s="19" t="s">
        <v>217</v>
      </c>
      <c r="D56" s="20" t="s">
        <v>218</v>
      </c>
      <c r="E56" s="21"/>
      <c r="F56" s="22" t="s">
        <v>119</v>
      </c>
      <c r="G56" s="23">
        <v>10</v>
      </c>
      <c r="H56" s="24">
        <f>IF(OR(J56="",K56="",K56&lt;J56),0,NETWORKDAYS(J56,K56,Hoja2!$A$2:$A$53))</f>
        <v>0</v>
      </c>
      <c r="I56" s="25">
        <v>46037</v>
      </c>
      <c r="J56" s="25">
        <v>46064</v>
      </c>
      <c r="K56" s="26"/>
      <c r="L56" s="26"/>
      <c r="M56" s="27">
        <f ca="1">IF(OR(J56="",AND(L56="",TODAY()&lt;J56),AND(L56&lt;&gt;"",L56&lt;J56)),0,
   IF(L56="",
      NETWORKDAYS(J56,TODAY(),Hoja2!$A$2:$A$53),
      NETWORKDAYS(J56,L56,Hoja2!$A$2:$A$53)
   )
)</f>
        <v>8</v>
      </c>
      <c r="N56" s="28"/>
      <c r="O56" s="28"/>
      <c r="P56" s="28"/>
      <c r="Q56" s="29" t="s">
        <v>219</v>
      </c>
      <c r="R56" s="30" t="s">
        <v>45</v>
      </c>
      <c r="S56" s="59"/>
      <c r="T56" s="59"/>
      <c r="U56" s="59"/>
      <c r="V56" s="59"/>
      <c r="W56" s="59"/>
      <c r="X56" s="59"/>
      <c r="Y56" s="59"/>
      <c r="Z56" s="59"/>
      <c r="AA56" s="59"/>
      <c r="AB56" s="59"/>
      <c r="AC56" s="59"/>
      <c r="AD56" s="59"/>
      <c r="AE56" s="59"/>
      <c r="AF56" s="59"/>
      <c r="AG56" s="59"/>
      <c r="AH56" s="59"/>
      <c r="AI56" s="59"/>
      <c r="AJ56" s="59"/>
      <c r="AK56" s="59"/>
      <c r="AL56" s="59"/>
      <c r="AM56" s="59"/>
      <c r="AN56" s="60"/>
    </row>
    <row r="57" spans="1:40" ht="42.75">
      <c r="A57" s="32" t="s">
        <v>36</v>
      </c>
      <c r="B57" s="33" t="s">
        <v>220</v>
      </c>
      <c r="C57" s="34" t="s">
        <v>221</v>
      </c>
      <c r="D57" s="35" t="s">
        <v>222</v>
      </c>
      <c r="E57" s="36"/>
      <c r="F57" s="37" t="s">
        <v>39</v>
      </c>
      <c r="G57" s="38"/>
      <c r="H57" s="39">
        <f>IF(OR(J57="",K57="",K57&lt;J57),0,NETWORKDAYS(J57,K57,Hoja2!$A$2:$A$53))</f>
        <v>0</v>
      </c>
      <c r="I57" s="40"/>
      <c r="J57" s="40"/>
      <c r="K57" s="41"/>
      <c r="L57" s="41"/>
      <c r="M57" s="42">
        <f ca="1">IF(OR(J57="",AND(L57="",TODAY()&lt;J57),AND(L57&lt;&gt;"",L57&lt;J57)),0,
   IF(L57="",
      NETWORKDAYS(J57,TODAY(),Hoja2!$A$2:$A$53),
      NETWORKDAYS(J57,L57,Hoja2!$A$2:$A$53)
   )
)</f>
        <v>0</v>
      </c>
      <c r="N57" s="43"/>
      <c r="O57" s="43"/>
      <c r="P57" s="43"/>
      <c r="Q57" s="44"/>
      <c r="R57" s="45" t="s">
        <v>41</v>
      </c>
      <c r="S57" s="57"/>
      <c r="T57" s="57"/>
      <c r="U57" s="57"/>
      <c r="V57" s="57"/>
      <c r="W57" s="57"/>
      <c r="X57" s="57"/>
      <c r="Y57" s="57"/>
      <c r="Z57" s="57"/>
      <c r="AA57" s="57"/>
      <c r="AB57" s="57"/>
      <c r="AC57" s="57"/>
      <c r="AD57" s="57"/>
      <c r="AE57" s="57"/>
      <c r="AF57" s="57"/>
      <c r="AG57" s="57"/>
      <c r="AH57" s="57"/>
      <c r="AI57" s="57"/>
      <c r="AJ57" s="57"/>
      <c r="AK57" s="57"/>
      <c r="AL57" s="57"/>
      <c r="AM57" s="57"/>
      <c r="AN57" s="58"/>
    </row>
    <row r="58" spans="1:40" ht="28.5">
      <c r="A58" s="17" t="s">
        <v>36</v>
      </c>
      <c r="B58" s="18" t="s">
        <v>223</v>
      </c>
      <c r="C58" s="19" t="s">
        <v>224</v>
      </c>
      <c r="D58" s="20" t="s">
        <v>225</v>
      </c>
      <c r="E58" s="21"/>
      <c r="F58" s="22" t="s">
        <v>21</v>
      </c>
      <c r="G58" s="23">
        <v>100</v>
      </c>
      <c r="H58" s="24">
        <f>IF(OR(J58="",K58="",K58&lt;J58),0,NETWORKDAYS(J58,K58,Hoja2!$A$2:$A$53))</f>
        <v>0</v>
      </c>
      <c r="I58" s="25">
        <v>46066</v>
      </c>
      <c r="J58" s="25">
        <v>46066</v>
      </c>
      <c r="K58" s="26"/>
      <c r="L58" s="26"/>
      <c r="M58" s="27">
        <f ca="1">IF(OR(J58="",AND(L58="",TODAY()&lt;J58),AND(L58&lt;&gt;"",L58&lt;J58)),0,
   IF(L58="",
      NETWORKDAYS(J58,TODAY(),Hoja2!$A$2:$A$53),
      NETWORKDAYS(J58,L58,Hoja2!$A$2:$A$53)
   )
)</f>
        <v>6</v>
      </c>
      <c r="N58" s="28"/>
      <c r="O58" s="28">
        <v>46066</v>
      </c>
      <c r="P58" s="28">
        <v>46066</v>
      </c>
      <c r="Q58" s="29" t="s">
        <v>226</v>
      </c>
      <c r="R58" s="30" t="s">
        <v>45</v>
      </c>
      <c r="S58" s="59"/>
      <c r="T58" s="59"/>
      <c r="U58" s="59"/>
      <c r="V58" s="59"/>
      <c r="W58" s="59"/>
      <c r="X58" s="59"/>
      <c r="Y58" s="59"/>
      <c r="Z58" s="59"/>
      <c r="AA58" s="59"/>
      <c r="AB58" s="59"/>
      <c r="AC58" s="59"/>
      <c r="AD58" s="59"/>
      <c r="AE58" s="59"/>
      <c r="AF58" s="59"/>
      <c r="AG58" s="59"/>
      <c r="AH58" s="59"/>
      <c r="AI58" s="59"/>
      <c r="AJ58" s="59"/>
      <c r="AK58" s="59"/>
      <c r="AL58" s="59"/>
      <c r="AM58" s="59"/>
      <c r="AN58" s="60"/>
    </row>
    <row r="59" spans="1:40" ht="38.25">
      <c r="A59" s="32" t="s">
        <v>36</v>
      </c>
      <c r="B59" s="33" t="s">
        <v>227</v>
      </c>
      <c r="C59" s="34" t="s">
        <v>228</v>
      </c>
      <c r="D59" s="35" t="s">
        <v>229</v>
      </c>
      <c r="E59" s="36"/>
      <c r="F59" s="37" t="s">
        <v>39</v>
      </c>
      <c r="G59" s="38"/>
      <c r="H59" s="39">
        <f>IF(OR(J59="",K59="",K59&lt;J59),0,NETWORKDAYS(J59,K59,Hoja2!$A$2:$A$53))</f>
        <v>0</v>
      </c>
      <c r="I59" s="40"/>
      <c r="J59" s="40"/>
      <c r="K59" s="41"/>
      <c r="L59" s="41"/>
      <c r="M59" s="42">
        <f ca="1">IF(OR(J59="",AND(L59="",TODAY()&lt;J59),AND(L59&lt;&gt;"",L59&lt;J59)),0,
   IF(L59="",
      NETWORKDAYS(J59,TODAY(),Hoja2!$A$2:$A$53),
      NETWORKDAYS(J59,L59,Hoja2!$A$2:$A$53)
   )
)</f>
        <v>0</v>
      </c>
      <c r="N59" s="43"/>
      <c r="O59" s="43"/>
      <c r="P59" s="43"/>
      <c r="Q59" s="44"/>
      <c r="R59" s="45" t="s">
        <v>41</v>
      </c>
      <c r="S59" s="57"/>
      <c r="T59" s="57"/>
      <c r="U59" s="57"/>
      <c r="V59" s="57"/>
      <c r="W59" s="57"/>
      <c r="X59" s="57"/>
      <c r="Y59" s="57"/>
      <c r="Z59" s="57"/>
      <c r="AA59" s="57"/>
      <c r="AB59" s="57"/>
      <c r="AC59" s="57"/>
      <c r="AD59" s="57"/>
      <c r="AE59" s="57"/>
      <c r="AF59" s="57"/>
      <c r="AG59" s="57"/>
      <c r="AH59" s="57"/>
      <c r="AI59" s="57"/>
      <c r="AJ59" s="57"/>
      <c r="AK59" s="57"/>
      <c r="AL59" s="57"/>
      <c r="AM59" s="57"/>
      <c r="AN59" s="58"/>
    </row>
    <row r="60" spans="1:40" ht="71.25">
      <c r="A60" s="17" t="s">
        <v>36</v>
      </c>
      <c r="B60" s="18" t="s">
        <v>230</v>
      </c>
      <c r="C60" s="19" t="s">
        <v>231</v>
      </c>
      <c r="D60" s="20" t="s">
        <v>232</v>
      </c>
      <c r="E60" s="21"/>
      <c r="F60" s="22" t="s">
        <v>21</v>
      </c>
      <c r="G60" s="23">
        <v>100</v>
      </c>
      <c r="H60" s="24">
        <f>IF(OR(J60="",K60="",K60&lt;J60),0,NETWORKDAYS(J60,K60,Hoja2!$A$2:$A$53))</f>
        <v>2</v>
      </c>
      <c r="I60" s="25">
        <v>46069</v>
      </c>
      <c r="J60" s="25">
        <v>46070</v>
      </c>
      <c r="K60" s="26">
        <v>46071</v>
      </c>
      <c r="L60" s="26"/>
      <c r="M60" s="27">
        <f ca="1">IF(OR(J60="",AND(L60="",TODAY()&lt;J60),AND(L60&lt;&gt;"",L60&lt;J60)),0,
   IF(L60="",
      NETWORKDAYS(J60,TODAY(),Hoja2!$A$2:$A$53),
      NETWORKDAYS(J60,L60,Hoja2!$A$2:$A$53)
   )
)</f>
        <v>4</v>
      </c>
      <c r="N60" s="28"/>
      <c r="O60" s="28">
        <v>46071</v>
      </c>
      <c r="P60" s="28">
        <v>46071</v>
      </c>
      <c r="Q60" s="29" t="s">
        <v>233</v>
      </c>
      <c r="R60" s="30" t="s">
        <v>45</v>
      </c>
      <c r="S60" s="59"/>
      <c r="T60" s="59"/>
      <c r="U60" s="59"/>
      <c r="V60" s="59"/>
      <c r="W60" s="59"/>
      <c r="X60" s="59"/>
      <c r="Y60" s="59"/>
      <c r="Z60" s="59"/>
      <c r="AA60" s="59"/>
      <c r="AB60" s="59"/>
      <c r="AC60" s="59"/>
      <c r="AD60" s="59"/>
      <c r="AE60" s="59"/>
      <c r="AF60" s="59"/>
      <c r="AG60" s="59"/>
      <c r="AH60" s="59"/>
      <c r="AI60" s="59"/>
      <c r="AJ60" s="59"/>
      <c r="AK60" s="59"/>
      <c r="AL60" s="59"/>
      <c r="AM60" s="59"/>
      <c r="AN60" s="60"/>
    </row>
    <row r="61" spans="1:40" ht="28.5">
      <c r="A61" s="32" t="s">
        <v>36</v>
      </c>
      <c r="B61" s="33" t="s">
        <v>234</v>
      </c>
      <c r="C61" s="34" t="s">
        <v>235</v>
      </c>
      <c r="D61" s="35" t="s">
        <v>236</v>
      </c>
      <c r="E61" s="36"/>
      <c r="F61" s="37" t="s">
        <v>21</v>
      </c>
      <c r="G61" s="38">
        <v>100</v>
      </c>
      <c r="H61" s="39">
        <f>IF(OR(J61="",K61="",K61&lt;J61),0,NETWORKDAYS(J61,K61,Hoja2!$A$2:$A$53))</f>
        <v>1</v>
      </c>
      <c r="I61" s="40">
        <v>46071</v>
      </c>
      <c r="J61" s="40">
        <v>46071</v>
      </c>
      <c r="K61" s="41">
        <v>46071</v>
      </c>
      <c r="L61" s="41"/>
      <c r="M61" s="42">
        <f ca="1">IF(OR(J61="",AND(L61="",TODAY()&lt;J61),AND(L61&lt;&gt;"",L61&lt;J61)),0,
   IF(L61="",
      NETWORKDAYS(J61,TODAY(),Hoja2!$A$2:$A$53),
      NETWORKDAYS(J61,L61,Hoja2!$A$2:$A$53)
   )
)</f>
        <v>3</v>
      </c>
      <c r="N61" s="43"/>
      <c r="O61" s="43">
        <v>46071</v>
      </c>
      <c r="P61" s="43">
        <v>46071</v>
      </c>
      <c r="Q61" s="44" t="s">
        <v>237</v>
      </c>
      <c r="R61" s="45" t="s">
        <v>45</v>
      </c>
      <c r="S61" s="57"/>
      <c r="T61" s="57"/>
      <c r="U61" s="57"/>
      <c r="V61" s="57"/>
      <c r="W61" s="57"/>
      <c r="X61" s="57"/>
      <c r="Y61" s="57"/>
      <c r="Z61" s="57"/>
      <c r="AA61" s="57"/>
      <c r="AB61" s="57"/>
      <c r="AC61" s="57"/>
      <c r="AD61" s="57"/>
      <c r="AE61" s="57"/>
      <c r="AF61" s="57"/>
      <c r="AG61" s="57"/>
      <c r="AH61" s="57"/>
      <c r="AI61" s="57"/>
      <c r="AJ61" s="57"/>
      <c r="AK61" s="57"/>
      <c r="AL61" s="57"/>
      <c r="AM61" s="57"/>
      <c r="AN61" s="58"/>
    </row>
  </sheetData>
  <autoFilter ref="A1:R61"/>
  <conditionalFormatting sqref="B8:B61">
    <cfRule type="expression" dxfId="0" priority="2">
      <formula>COUNTIF(B8:B61, B8)&gt;1</formula>
    </cfRule>
  </conditionalFormatting>
  <dataValidations count="2">
    <dataValidation type="list" allowBlank="1" sqref="F2:F61">
      <formula1>"FINALIZADO,EN PROCESO,PAUSADO,EN TEST,PENDIENTE,PRUEBAS CLIENTE,PRUEBAS IMAGINE,PASO A PRODUCCION"</formula1>
    </dataValidation>
    <dataValidation type="custom" allowBlank="1" showDropDown="1" sqref="I2:L26 N2:P26 I27 I28:L61 N28:P61">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7">
        <v>45292</v>
      </c>
      <c r="B1" s="68" t="s">
        <v>238</v>
      </c>
    </row>
    <row r="2" spans="1:2" ht="17.25" customHeight="1">
      <c r="A2" s="67">
        <v>45299</v>
      </c>
      <c r="B2" s="68" t="s">
        <v>239</v>
      </c>
    </row>
    <row r="3" spans="1:2" ht="17.25" customHeight="1">
      <c r="A3" s="67">
        <v>45376</v>
      </c>
      <c r="B3" s="68" t="s">
        <v>240</v>
      </c>
    </row>
    <row r="4" spans="1:2" ht="17.25" customHeight="1">
      <c r="A4" s="67">
        <v>45379</v>
      </c>
      <c r="B4" s="68" t="s">
        <v>241</v>
      </c>
    </row>
    <row r="5" spans="1:2" ht="17.25" customHeight="1">
      <c r="A5" s="67">
        <v>45380</v>
      </c>
      <c r="B5" s="68" t="s">
        <v>242</v>
      </c>
    </row>
    <row r="6" spans="1:2" ht="17.25" customHeight="1">
      <c r="A6" s="67">
        <v>45413</v>
      </c>
      <c r="B6" s="68" t="s">
        <v>243</v>
      </c>
    </row>
    <row r="7" spans="1:2" ht="17.25" customHeight="1">
      <c r="A7" s="67">
        <v>45425</v>
      </c>
      <c r="B7" s="68" t="s">
        <v>244</v>
      </c>
    </row>
    <row r="8" spans="1:2" ht="17.25" customHeight="1">
      <c r="A8" s="67">
        <v>45446</v>
      </c>
      <c r="B8" s="68" t="s">
        <v>245</v>
      </c>
    </row>
    <row r="9" spans="1:2" ht="17.25" customHeight="1">
      <c r="A9" s="67">
        <v>45453</v>
      </c>
      <c r="B9" s="68" t="s">
        <v>246</v>
      </c>
    </row>
    <row r="10" spans="1:2" ht="17.25" customHeight="1">
      <c r="A10" s="67">
        <v>45474</v>
      </c>
      <c r="B10" s="68" t="s">
        <v>247</v>
      </c>
    </row>
    <row r="11" spans="1:2" ht="17.25" customHeight="1">
      <c r="A11" s="67">
        <v>45493</v>
      </c>
      <c r="B11" s="68" t="s">
        <v>248</v>
      </c>
    </row>
    <row r="12" spans="1:2" ht="17.25" customHeight="1">
      <c r="A12" s="67">
        <v>45511</v>
      </c>
      <c r="B12" s="68" t="s">
        <v>249</v>
      </c>
    </row>
    <row r="13" spans="1:2" ht="17.25" customHeight="1">
      <c r="A13" s="67">
        <v>45523</v>
      </c>
      <c r="B13" s="68" t="s">
        <v>250</v>
      </c>
    </row>
    <row r="14" spans="1:2" ht="17.25" customHeight="1">
      <c r="A14" s="67">
        <v>45579</v>
      </c>
      <c r="B14" s="68" t="s">
        <v>251</v>
      </c>
    </row>
    <row r="15" spans="1:2" ht="17.25" customHeight="1">
      <c r="A15" s="67">
        <v>45600</v>
      </c>
      <c r="B15" s="68" t="s">
        <v>252</v>
      </c>
    </row>
    <row r="16" spans="1:2" ht="17.25" customHeight="1">
      <c r="A16" s="67">
        <v>45607</v>
      </c>
      <c r="B16" s="68" t="s">
        <v>253</v>
      </c>
    </row>
    <row r="17" spans="1:2" ht="17.25" customHeight="1">
      <c r="A17" s="67">
        <v>45634</v>
      </c>
      <c r="B17" s="68" t="s">
        <v>254</v>
      </c>
    </row>
    <row r="18" spans="1:2" ht="17.25" customHeight="1">
      <c r="A18" s="67">
        <v>45651</v>
      </c>
      <c r="B18" s="68" t="s">
        <v>255</v>
      </c>
    </row>
    <row r="19" spans="1:2" ht="17.25" customHeight="1">
      <c r="A19" s="67">
        <v>45658</v>
      </c>
      <c r="B19" s="69" t="s">
        <v>256</v>
      </c>
    </row>
    <row r="20" spans="1:2" ht="17.25" customHeight="1">
      <c r="A20" s="67">
        <v>45663</v>
      </c>
      <c r="B20" s="69" t="s">
        <v>257</v>
      </c>
    </row>
    <row r="21" spans="1:2" ht="17.25" customHeight="1">
      <c r="A21" s="67">
        <v>45740</v>
      </c>
      <c r="B21" s="69" t="s">
        <v>258</v>
      </c>
    </row>
    <row r="22" spans="1:2" ht="17.25" customHeight="1">
      <c r="A22" s="67">
        <v>45764</v>
      </c>
      <c r="B22" s="69" t="s">
        <v>259</v>
      </c>
    </row>
    <row r="23" spans="1:2" ht="17.25" customHeight="1">
      <c r="A23" s="67">
        <v>45765</v>
      </c>
      <c r="B23" s="69" t="s">
        <v>260</v>
      </c>
    </row>
    <row r="24" spans="1:2" ht="17.25" customHeight="1">
      <c r="A24" s="67">
        <v>45778</v>
      </c>
      <c r="B24" s="69" t="s">
        <v>261</v>
      </c>
    </row>
    <row r="25" spans="1:2" ht="17.25" customHeight="1">
      <c r="A25" s="67">
        <v>45810</v>
      </c>
      <c r="B25" s="69" t="s">
        <v>262</v>
      </c>
    </row>
    <row r="26" spans="1:2" ht="17.25" customHeight="1">
      <c r="A26" s="67">
        <v>45831</v>
      </c>
      <c r="B26" s="69" t="s">
        <v>263</v>
      </c>
    </row>
    <row r="27" spans="1:2" ht="17.25" customHeight="1">
      <c r="A27" s="67">
        <v>45838</v>
      </c>
      <c r="B27" s="69" t="s">
        <v>264</v>
      </c>
    </row>
    <row r="28" spans="1:2" ht="17.25" customHeight="1">
      <c r="A28" s="67">
        <v>45858</v>
      </c>
      <c r="B28" s="69" t="s">
        <v>265</v>
      </c>
    </row>
    <row r="29" spans="1:2" ht="17.25" customHeight="1">
      <c r="A29" s="67">
        <v>45876</v>
      </c>
      <c r="B29" s="69" t="s">
        <v>266</v>
      </c>
    </row>
    <row r="30" spans="1:2" ht="17.25" customHeight="1">
      <c r="A30" s="67">
        <v>45887</v>
      </c>
      <c r="B30" s="69" t="s">
        <v>267</v>
      </c>
    </row>
    <row r="31" spans="1:2" ht="17.25" customHeight="1">
      <c r="A31" s="67">
        <v>45943</v>
      </c>
      <c r="B31" s="69" t="s">
        <v>268</v>
      </c>
    </row>
    <row r="32" spans="1:2" ht="17.25" customHeight="1">
      <c r="A32" s="67">
        <v>45964</v>
      </c>
      <c r="B32" s="69" t="s">
        <v>269</v>
      </c>
    </row>
    <row r="33" spans="1:2" ht="17.25" customHeight="1">
      <c r="A33" s="67">
        <v>45978</v>
      </c>
      <c r="B33" s="69" t="s">
        <v>270</v>
      </c>
    </row>
    <row r="34" spans="1:2" ht="17.25" customHeight="1">
      <c r="A34" s="67">
        <v>45999</v>
      </c>
      <c r="B34" s="69" t="s">
        <v>271</v>
      </c>
    </row>
    <row r="35" spans="1:2" ht="17.25" customHeight="1">
      <c r="A35" s="67">
        <v>46016</v>
      </c>
      <c r="B35" s="69" t="s">
        <v>272</v>
      </c>
    </row>
    <row r="36" spans="1:2" ht="17.25" customHeight="1">
      <c r="A36" s="67">
        <v>46023</v>
      </c>
      <c r="B36" s="69" t="s">
        <v>256</v>
      </c>
    </row>
    <row r="37" spans="1:2" ht="17.25" customHeight="1">
      <c r="A37" s="67">
        <v>46034</v>
      </c>
      <c r="B37" s="69" t="s">
        <v>257</v>
      </c>
    </row>
    <row r="38" spans="1:2" ht="17.25" customHeight="1">
      <c r="A38" s="67">
        <v>46104</v>
      </c>
      <c r="B38" s="69" t="s">
        <v>258</v>
      </c>
    </row>
    <row r="39" spans="1:2" ht="17.25" customHeight="1">
      <c r="A39" s="67">
        <v>46114</v>
      </c>
      <c r="B39" s="69" t="s">
        <v>259</v>
      </c>
    </row>
    <row r="40" spans="1:2" ht="17.25" customHeight="1">
      <c r="A40" s="67">
        <v>46115</v>
      </c>
      <c r="B40" s="69" t="s">
        <v>260</v>
      </c>
    </row>
    <row r="41" spans="1:2" ht="17.25" customHeight="1">
      <c r="A41" s="67">
        <v>46143</v>
      </c>
      <c r="B41" s="69" t="s">
        <v>261</v>
      </c>
    </row>
    <row r="42" spans="1:2" ht="17.25" customHeight="1">
      <c r="A42" s="67">
        <v>46160</v>
      </c>
      <c r="B42" s="69" t="s">
        <v>262</v>
      </c>
    </row>
    <row r="43" spans="1:2" ht="17.25" customHeight="1">
      <c r="A43" s="67">
        <v>46181</v>
      </c>
      <c r="B43" s="69" t="s">
        <v>263</v>
      </c>
    </row>
    <row r="44" spans="1:2" ht="17.25" customHeight="1">
      <c r="A44" s="67">
        <v>46188</v>
      </c>
      <c r="B44" s="69" t="s">
        <v>273</v>
      </c>
    </row>
    <row r="45" spans="1:2" ht="17.25" customHeight="1">
      <c r="A45" s="67">
        <v>46202</v>
      </c>
      <c r="B45" s="69" t="s">
        <v>274</v>
      </c>
    </row>
    <row r="46" spans="1:2" ht="17.25" customHeight="1">
      <c r="A46" s="67">
        <v>46223</v>
      </c>
      <c r="B46" s="69" t="s">
        <v>265</v>
      </c>
    </row>
    <row r="47" spans="1:2" ht="17.25" customHeight="1">
      <c r="A47" s="67">
        <v>46241</v>
      </c>
      <c r="B47" s="69" t="s">
        <v>266</v>
      </c>
    </row>
    <row r="48" spans="1:2" ht="17.25" customHeight="1">
      <c r="A48" s="67">
        <v>46251</v>
      </c>
      <c r="B48" s="69" t="s">
        <v>267</v>
      </c>
    </row>
    <row r="49" spans="1:2" ht="17.25" customHeight="1">
      <c r="A49" s="67">
        <v>46307</v>
      </c>
      <c r="B49" s="69" t="s">
        <v>268</v>
      </c>
    </row>
    <row r="50" spans="1:2" ht="17.25" customHeight="1">
      <c r="A50" s="67">
        <v>46328</v>
      </c>
      <c r="B50" s="69" t="s">
        <v>269</v>
      </c>
    </row>
    <row r="51" spans="1:2" ht="17.25" customHeight="1">
      <c r="A51" s="67">
        <v>46342</v>
      </c>
      <c r="B51" s="69" t="s">
        <v>270</v>
      </c>
    </row>
    <row r="52" spans="1:2" ht="17.25" customHeight="1">
      <c r="A52" s="67">
        <v>46364</v>
      </c>
      <c r="B52" s="69" t="s">
        <v>271</v>
      </c>
    </row>
    <row r="53" spans="1:2" ht="17.25" customHeight="1">
      <c r="A53" s="67">
        <v>46381</v>
      </c>
      <c r="B53" s="69" t="s">
        <v>272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0" t="s">
        <v>275</v>
      </c>
      <c r="B1" s="71"/>
      <c r="C1" s="71"/>
      <c r="D1" s="71"/>
      <c r="E1" s="71"/>
      <c r="F1" s="71"/>
      <c r="G1" s="71"/>
      <c r="H1" s="71"/>
      <c r="I1" s="71"/>
      <c r="J1" s="71"/>
      <c r="K1" s="71"/>
      <c r="L1" s="71"/>
      <c r="M1" s="71"/>
      <c r="N1" s="71"/>
      <c r="O1" s="71"/>
      <c r="P1" s="71"/>
      <c r="Q1" s="71"/>
      <c r="R1" s="71"/>
      <c r="S1" s="71"/>
      <c r="T1" s="71"/>
      <c r="U1" s="71"/>
      <c r="V1" s="71"/>
      <c r="W1" s="71"/>
      <c r="X1" s="71"/>
      <c r="Y1" s="71"/>
      <c r="Z1" s="71"/>
    </row>
    <row r="2" spans="1:97">
      <c r="A2" s="71"/>
      <c r="B2" s="71"/>
      <c r="C2" s="71"/>
      <c r="D2" s="71"/>
      <c r="E2" s="71"/>
      <c r="F2" s="71"/>
      <c r="G2" s="71"/>
      <c r="H2" s="71"/>
      <c r="I2" s="71"/>
      <c r="J2" s="71"/>
      <c r="K2" s="71"/>
      <c r="L2" s="71"/>
      <c r="M2" s="71"/>
      <c r="N2" s="71"/>
      <c r="O2" s="71"/>
      <c r="P2" s="71"/>
      <c r="Q2" s="71"/>
      <c r="R2" s="71"/>
      <c r="S2" s="71"/>
      <c r="T2" s="71"/>
      <c r="U2" s="71"/>
      <c r="V2" s="71"/>
      <c r="W2" s="71"/>
      <c r="X2" s="71"/>
      <c r="Y2" s="71"/>
      <c r="Z2" s="71"/>
    </row>
    <row r="3" spans="1:97" ht="32.25" customHeight="1">
      <c r="A3" s="72" t="s">
        <v>276</v>
      </c>
      <c r="B3" s="73">
        <v>45596</v>
      </c>
      <c r="C3" s="73">
        <v>45597</v>
      </c>
      <c r="D3" s="73">
        <v>45601</v>
      </c>
      <c r="E3" s="73">
        <v>45602</v>
      </c>
      <c r="F3" s="73">
        <v>45603</v>
      </c>
      <c r="G3" s="73">
        <v>45604</v>
      </c>
      <c r="H3" s="73">
        <v>45608</v>
      </c>
      <c r="I3" s="73">
        <v>45609</v>
      </c>
      <c r="J3" s="73">
        <v>45610</v>
      </c>
      <c r="K3" s="73">
        <v>45611</v>
      </c>
      <c r="L3" s="73">
        <v>45614</v>
      </c>
      <c r="M3" s="73">
        <v>45615</v>
      </c>
      <c r="N3" s="73">
        <v>45616</v>
      </c>
      <c r="O3" s="73">
        <v>45617</v>
      </c>
      <c r="P3" s="73">
        <v>45618</v>
      </c>
      <c r="Q3" s="74">
        <v>45621</v>
      </c>
      <c r="R3" s="74">
        <v>45622</v>
      </c>
      <c r="S3" s="74">
        <v>45623</v>
      </c>
      <c r="T3" s="74">
        <v>45624</v>
      </c>
      <c r="U3" s="74">
        <v>45625</v>
      </c>
      <c r="V3" s="74">
        <v>45628</v>
      </c>
      <c r="W3" s="74">
        <v>45629</v>
      </c>
      <c r="X3" s="74">
        <v>45630</v>
      </c>
      <c r="Y3" s="74">
        <v>45631</v>
      </c>
      <c r="Z3" s="74">
        <v>45632</v>
      </c>
      <c r="AA3" s="74">
        <v>45635</v>
      </c>
      <c r="AB3" s="74">
        <v>45636</v>
      </c>
      <c r="AC3" s="74">
        <v>45637</v>
      </c>
      <c r="AD3" s="74">
        <v>45638</v>
      </c>
      <c r="AE3" s="75">
        <v>45639</v>
      </c>
      <c r="AF3" s="73">
        <v>45642</v>
      </c>
      <c r="AG3" s="73">
        <v>45643</v>
      </c>
      <c r="AH3" s="73">
        <v>45644</v>
      </c>
      <c r="AI3" s="73">
        <v>45645</v>
      </c>
      <c r="AJ3" s="73">
        <v>45646</v>
      </c>
      <c r="AK3" s="73">
        <v>45649</v>
      </c>
      <c r="AL3" s="73">
        <v>45650</v>
      </c>
      <c r="AM3" s="73">
        <v>45652</v>
      </c>
      <c r="AN3" s="73">
        <v>45653</v>
      </c>
      <c r="AO3" s="73">
        <v>45656</v>
      </c>
      <c r="AP3" s="73">
        <v>45656</v>
      </c>
      <c r="AQ3" s="73">
        <v>45664</v>
      </c>
      <c r="AR3" s="73">
        <v>45665</v>
      </c>
      <c r="AS3" s="73">
        <v>45666</v>
      </c>
      <c r="AT3" s="73">
        <v>45667</v>
      </c>
      <c r="AU3" s="73">
        <v>45670</v>
      </c>
      <c r="AV3" s="73">
        <v>45671</v>
      </c>
      <c r="AW3" s="73">
        <v>45672</v>
      </c>
      <c r="AX3" s="73">
        <v>45673</v>
      </c>
      <c r="AY3" s="73">
        <v>45674</v>
      </c>
      <c r="AZ3" s="73">
        <v>45677</v>
      </c>
      <c r="BA3" s="73">
        <v>45678</v>
      </c>
      <c r="BB3" s="73">
        <v>45679</v>
      </c>
      <c r="BC3" s="73">
        <v>45680</v>
      </c>
      <c r="BD3" s="73">
        <v>45681</v>
      </c>
      <c r="BE3" s="73">
        <v>45684</v>
      </c>
      <c r="BF3" s="73">
        <v>45685</v>
      </c>
      <c r="BG3" s="73">
        <v>45686</v>
      </c>
      <c r="BH3" s="73">
        <v>45687</v>
      </c>
      <c r="BI3" s="73">
        <v>45688</v>
      </c>
      <c r="BJ3" s="74">
        <v>45691</v>
      </c>
      <c r="BK3" s="74">
        <v>45692</v>
      </c>
      <c r="BL3" s="74">
        <v>45693</v>
      </c>
      <c r="BM3" s="74">
        <v>45694</v>
      </c>
      <c r="BN3" s="74">
        <v>45695</v>
      </c>
      <c r="BO3" s="74">
        <v>45698</v>
      </c>
      <c r="BP3" s="74">
        <v>45699</v>
      </c>
      <c r="BQ3" s="74">
        <v>45700</v>
      </c>
      <c r="BR3" s="74">
        <v>45701</v>
      </c>
      <c r="BS3" s="74">
        <v>45702</v>
      </c>
      <c r="BT3" s="74">
        <v>45705</v>
      </c>
      <c r="BU3" s="74">
        <v>45706</v>
      </c>
      <c r="BV3" s="74">
        <v>45707</v>
      </c>
      <c r="BW3" s="74">
        <v>45708</v>
      </c>
      <c r="BX3" s="74">
        <v>45709</v>
      </c>
      <c r="BY3" s="74">
        <v>45712</v>
      </c>
      <c r="BZ3" s="74">
        <v>45713</v>
      </c>
      <c r="CA3" s="74">
        <v>45714</v>
      </c>
      <c r="CB3" s="74">
        <v>45715</v>
      </c>
      <c r="CC3" s="74">
        <v>45716</v>
      </c>
      <c r="CD3" s="74">
        <v>45719</v>
      </c>
      <c r="CE3" s="74">
        <v>45720</v>
      </c>
      <c r="CF3" s="74">
        <v>45721</v>
      </c>
      <c r="CG3" s="74">
        <v>45722</v>
      </c>
      <c r="CH3" s="74">
        <v>45723</v>
      </c>
      <c r="CI3" s="74">
        <v>45726</v>
      </c>
      <c r="CJ3" s="74">
        <v>45727</v>
      </c>
      <c r="CK3" s="74">
        <v>45728</v>
      </c>
      <c r="CL3" s="74">
        <v>45729</v>
      </c>
      <c r="CM3" s="74">
        <v>45730</v>
      </c>
      <c r="CN3" s="74">
        <v>45733</v>
      </c>
      <c r="CO3" s="74">
        <v>45734</v>
      </c>
      <c r="CP3" s="74">
        <v>45735</v>
      </c>
      <c r="CQ3" s="74">
        <v>45736</v>
      </c>
      <c r="CR3" s="74">
        <v>45737</v>
      </c>
      <c r="CS3" s="74">
        <v>45741</v>
      </c>
    </row>
    <row r="4" spans="1:97" ht="30.75" customHeight="1">
      <c r="A4" s="76" t="s">
        <v>277</v>
      </c>
      <c r="B4" s="77" t="s">
        <v>278</v>
      </c>
      <c r="C4" s="78" t="s">
        <v>279</v>
      </c>
      <c r="D4" s="79" t="s">
        <v>278</v>
      </c>
      <c r="E4" s="79" t="s">
        <v>278</v>
      </c>
      <c r="F4" s="79" t="s">
        <v>278</v>
      </c>
      <c r="G4" s="79" t="s">
        <v>278</v>
      </c>
      <c r="H4" s="79" t="s">
        <v>278</v>
      </c>
      <c r="I4" s="79" t="s">
        <v>278</v>
      </c>
      <c r="J4" s="79" t="s">
        <v>278</v>
      </c>
      <c r="K4" s="79" t="s">
        <v>278</v>
      </c>
      <c r="L4" s="79" t="s">
        <v>278</v>
      </c>
      <c r="M4" s="79" t="s">
        <v>278</v>
      </c>
      <c r="N4" s="79" t="s">
        <v>278</v>
      </c>
      <c r="O4" s="79" t="s">
        <v>280</v>
      </c>
      <c r="P4" s="80" t="s">
        <v>278</v>
      </c>
      <c r="Q4" s="79" t="s">
        <v>278</v>
      </c>
      <c r="R4" s="79" t="s">
        <v>278</v>
      </c>
      <c r="S4" s="79" t="s">
        <v>278</v>
      </c>
      <c r="T4" s="79" t="s">
        <v>278</v>
      </c>
      <c r="U4" s="80" t="s">
        <v>281</v>
      </c>
      <c r="V4" s="79" t="s">
        <v>278</v>
      </c>
      <c r="W4" s="79" t="s">
        <v>278</v>
      </c>
      <c r="X4" s="79" t="s">
        <v>278</v>
      </c>
      <c r="Y4" s="79" t="s">
        <v>278</v>
      </c>
      <c r="Z4" s="79" t="s">
        <v>278</v>
      </c>
      <c r="AA4" s="79" t="s">
        <v>278</v>
      </c>
      <c r="AB4" s="79" t="s">
        <v>278</v>
      </c>
      <c r="AC4" s="79" t="s">
        <v>278</v>
      </c>
      <c r="AD4" s="79" t="s">
        <v>278</v>
      </c>
      <c r="AE4" s="105" t="s">
        <v>282</v>
      </c>
      <c r="AF4" s="79" t="s">
        <v>278</v>
      </c>
      <c r="AG4" s="79" t="s">
        <v>278</v>
      </c>
      <c r="AH4" s="79" t="s">
        <v>278</v>
      </c>
      <c r="AI4" s="79" t="s">
        <v>278</v>
      </c>
      <c r="AJ4" s="79" t="s">
        <v>278</v>
      </c>
      <c r="AK4" s="79" t="s">
        <v>278</v>
      </c>
      <c r="AL4" s="105" t="s">
        <v>283</v>
      </c>
      <c r="AM4" s="79" t="s">
        <v>281</v>
      </c>
      <c r="AN4" s="79" t="s">
        <v>281</v>
      </c>
      <c r="AO4" s="79" t="s">
        <v>278</v>
      </c>
      <c r="AP4" s="105" t="s">
        <v>284</v>
      </c>
      <c r="AQ4" s="79" t="s">
        <v>278</v>
      </c>
      <c r="AR4" s="79" t="s">
        <v>278</v>
      </c>
      <c r="AS4" s="105" t="s">
        <v>284</v>
      </c>
      <c r="AT4" s="81" t="s">
        <v>278</v>
      </c>
      <c r="AU4" s="79" t="s">
        <v>278</v>
      </c>
      <c r="AV4" s="79" t="s">
        <v>278</v>
      </c>
      <c r="AW4" s="79" t="s">
        <v>278</v>
      </c>
      <c r="AX4" s="79" t="s">
        <v>278</v>
      </c>
      <c r="AY4" s="105" t="s">
        <v>284</v>
      </c>
      <c r="AZ4" s="79" t="s">
        <v>278</v>
      </c>
      <c r="BA4" s="79" t="s">
        <v>278</v>
      </c>
      <c r="BB4" s="79" t="s">
        <v>278</v>
      </c>
      <c r="BC4" s="79" t="s">
        <v>278</v>
      </c>
      <c r="BD4" s="79" t="s">
        <v>278</v>
      </c>
      <c r="BE4" s="79" t="s">
        <v>278</v>
      </c>
      <c r="BF4" s="79" t="s">
        <v>278</v>
      </c>
      <c r="BG4" s="79" t="s">
        <v>278</v>
      </c>
      <c r="BH4" s="79" t="s">
        <v>278</v>
      </c>
      <c r="BI4" s="80" t="s">
        <v>278</v>
      </c>
      <c r="BJ4" s="105" t="s">
        <v>284</v>
      </c>
      <c r="BK4" s="80" t="s">
        <v>285</v>
      </c>
      <c r="BL4" s="80" t="s">
        <v>285</v>
      </c>
      <c r="BM4" s="80" t="s">
        <v>285</v>
      </c>
      <c r="BN4" s="80" t="s">
        <v>285</v>
      </c>
      <c r="BO4" s="80" t="s">
        <v>285</v>
      </c>
      <c r="BP4" s="80" t="s">
        <v>285</v>
      </c>
      <c r="BQ4" s="80" t="s">
        <v>285</v>
      </c>
      <c r="BR4" s="79" t="s">
        <v>278</v>
      </c>
      <c r="BS4" s="79" t="s">
        <v>278</v>
      </c>
      <c r="BT4" s="79" t="s">
        <v>278</v>
      </c>
      <c r="BU4" s="79" t="s">
        <v>278</v>
      </c>
      <c r="BV4" s="79" t="s">
        <v>278</v>
      </c>
      <c r="BW4" s="79" t="s">
        <v>278</v>
      </c>
      <c r="BX4" s="79" t="s">
        <v>278</v>
      </c>
      <c r="BY4" s="79" t="s">
        <v>278</v>
      </c>
      <c r="BZ4" s="79" t="s">
        <v>278</v>
      </c>
      <c r="CA4" s="79" t="s">
        <v>278</v>
      </c>
      <c r="CB4" s="79" t="s">
        <v>278</v>
      </c>
      <c r="CC4" s="79" t="s">
        <v>278</v>
      </c>
      <c r="CD4" s="79" t="s">
        <v>278</v>
      </c>
      <c r="CE4" s="79" t="s">
        <v>278</v>
      </c>
      <c r="CF4" s="79" t="s">
        <v>278</v>
      </c>
      <c r="CG4" s="79"/>
      <c r="CH4" s="79"/>
      <c r="CI4" s="105" t="s">
        <v>286</v>
      </c>
      <c r="CJ4" s="79"/>
      <c r="CK4" s="79"/>
      <c r="CL4" s="79"/>
      <c r="CM4" s="79"/>
      <c r="CN4" s="79"/>
      <c r="CO4" s="79"/>
      <c r="CP4" s="79"/>
      <c r="CQ4" s="79"/>
      <c r="CR4" s="79"/>
      <c r="CS4" s="79" t="s">
        <v>278</v>
      </c>
    </row>
    <row r="5" spans="1:97" ht="15.75" customHeight="1">
      <c r="A5" s="76" t="s">
        <v>287</v>
      </c>
      <c r="B5" s="77" t="s">
        <v>278</v>
      </c>
      <c r="C5" s="79" t="s">
        <v>278</v>
      </c>
      <c r="D5" s="79" t="s">
        <v>278</v>
      </c>
      <c r="E5" s="79" t="s">
        <v>278</v>
      </c>
      <c r="F5" s="79" t="s">
        <v>278</v>
      </c>
      <c r="G5" s="79" t="s">
        <v>278</v>
      </c>
      <c r="H5" s="79" t="s">
        <v>278</v>
      </c>
      <c r="I5" s="79" t="s">
        <v>278</v>
      </c>
      <c r="J5" s="79" t="s">
        <v>278</v>
      </c>
      <c r="K5" s="79" t="s">
        <v>278</v>
      </c>
      <c r="L5" s="79" t="s">
        <v>285</v>
      </c>
      <c r="M5" s="79" t="s">
        <v>285</v>
      </c>
      <c r="N5" s="79" t="s">
        <v>285</v>
      </c>
      <c r="O5" s="79" t="s">
        <v>285</v>
      </c>
      <c r="P5" s="80" t="s">
        <v>285</v>
      </c>
      <c r="Q5" s="79" t="s">
        <v>278</v>
      </c>
      <c r="R5" s="79" t="s">
        <v>278</v>
      </c>
      <c r="S5" s="79" t="s">
        <v>278</v>
      </c>
      <c r="T5" s="79" t="s">
        <v>278</v>
      </c>
      <c r="U5" s="80" t="s">
        <v>278</v>
      </c>
      <c r="V5" s="79" t="s">
        <v>278</v>
      </c>
      <c r="W5" s="79" t="s">
        <v>278</v>
      </c>
      <c r="X5" s="79" t="s">
        <v>278</v>
      </c>
      <c r="Y5" s="79" t="s">
        <v>278</v>
      </c>
      <c r="Z5" s="79" t="s">
        <v>278</v>
      </c>
      <c r="AA5" s="79" t="s">
        <v>278</v>
      </c>
      <c r="AB5" s="79" t="s">
        <v>278</v>
      </c>
      <c r="AC5" s="79" t="s">
        <v>278</v>
      </c>
      <c r="AD5" s="79" t="s">
        <v>278</v>
      </c>
      <c r="AE5" s="106"/>
      <c r="AF5" s="79" t="s">
        <v>278</v>
      </c>
      <c r="AG5" s="79" t="s">
        <v>278</v>
      </c>
      <c r="AH5" s="79" t="s">
        <v>278</v>
      </c>
      <c r="AI5" s="79" t="s">
        <v>278</v>
      </c>
      <c r="AJ5" s="79" t="s">
        <v>278</v>
      </c>
      <c r="AK5" s="79" t="s">
        <v>278</v>
      </c>
      <c r="AL5" s="106"/>
      <c r="AM5" s="79" t="s">
        <v>278</v>
      </c>
      <c r="AN5" s="79" t="s">
        <v>278</v>
      </c>
      <c r="AO5" s="79" t="s">
        <v>278</v>
      </c>
      <c r="AP5" s="106"/>
      <c r="AQ5" s="79" t="s">
        <v>285</v>
      </c>
      <c r="AR5" s="79" t="s">
        <v>285</v>
      </c>
      <c r="AS5" s="106"/>
      <c r="AT5" s="79" t="s">
        <v>285</v>
      </c>
      <c r="AU5" s="79" t="s">
        <v>285</v>
      </c>
      <c r="AV5" s="79" t="s">
        <v>285</v>
      </c>
      <c r="AW5" s="79" t="s">
        <v>285</v>
      </c>
      <c r="AX5" s="79" t="s">
        <v>285</v>
      </c>
      <c r="AY5" s="106"/>
      <c r="AZ5" s="79" t="s">
        <v>285</v>
      </c>
      <c r="BA5" s="79" t="s">
        <v>278</v>
      </c>
      <c r="BB5" s="79" t="s">
        <v>278</v>
      </c>
      <c r="BC5" s="79" t="s">
        <v>278</v>
      </c>
      <c r="BD5" s="79" t="s">
        <v>278</v>
      </c>
      <c r="BE5" s="79" t="s">
        <v>278</v>
      </c>
      <c r="BF5" s="79" t="s">
        <v>278</v>
      </c>
      <c r="BG5" s="79" t="s">
        <v>278</v>
      </c>
      <c r="BH5" s="79" t="s">
        <v>278</v>
      </c>
      <c r="BI5" s="80" t="s">
        <v>278</v>
      </c>
      <c r="BJ5" s="106"/>
      <c r="BK5" s="80" t="s">
        <v>278</v>
      </c>
      <c r="BL5" s="80" t="s">
        <v>278</v>
      </c>
      <c r="BM5" s="79" t="s">
        <v>278</v>
      </c>
      <c r="BN5" s="80" t="s">
        <v>278</v>
      </c>
      <c r="BO5" s="79" t="s">
        <v>278</v>
      </c>
      <c r="BP5" s="79" t="s">
        <v>278</v>
      </c>
      <c r="BQ5" s="79" t="s">
        <v>278</v>
      </c>
      <c r="BR5" s="79" t="s">
        <v>278</v>
      </c>
      <c r="BS5" s="79" t="s">
        <v>278</v>
      </c>
      <c r="BT5" s="79" t="s">
        <v>278</v>
      </c>
      <c r="BU5" s="79" t="s">
        <v>278</v>
      </c>
      <c r="BV5" s="79" t="s">
        <v>278</v>
      </c>
      <c r="BW5" s="79" t="s">
        <v>278</v>
      </c>
      <c r="BX5" s="79" t="s">
        <v>278</v>
      </c>
      <c r="BY5" s="79" t="s">
        <v>278</v>
      </c>
      <c r="BZ5" s="79" t="s">
        <v>278</v>
      </c>
      <c r="CA5" s="79" t="s">
        <v>278</v>
      </c>
      <c r="CB5" s="79" t="s">
        <v>278</v>
      </c>
      <c r="CC5" s="79" t="s">
        <v>278</v>
      </c>
      <c r="CD5" s="79" t="s">
        <v>278</v>
      </c>
      <c r="CE5" s="79" t="s">
        <v>278</v>
      </c>
      <c r="CF5" s="79" t="s">
        <v>278</v>
      </c>
      <c r="CG5" s="79"/>
      <c r="CH5" s="79"/>
      <c r="CI5" s="106"/>
      <c r="CJ5" s="79"/>
      <c r="CK5" s="79"/>
      <c r="CL5" s="79"/>
      <c r="CM5" s="79"/>
      <c r="CN5" s="79"/>
      <c r="CO5" s="79"/>
      <c r="CP5" s="79"/>
      <c r="CQ5" s="79"/>
      <c r="CR5" s="79"/>
      <c r="CS5" s="79" t="s">
        <v>278</v>
      </c>
    </row>
    <row r="6" spans="1:97" ht="15.75">
      <c r="A6" s="76" t="s">
        <v>288</v>
      </c>
      <c r="B6" s="77" t="s">
        <v>278</v>
      </c>
      <c r="C6" s="79" t="s">
        <v>278</v>
      </c>
      <c r="D6" s="79" t="s">
        <v>278</v>
      </c>
      <c r="E6" s="79" t="s">
        <v>278</v>
      </c>
      <c r="F6" s="79" t="s">
        <v>278</v>
      </c>
      <c r="G6" s="79" t="s">
        <v>278</v>
      </c>
      <c r="H6" s="79" t="s">
        <v>278</v>
      </c>
      <c r="I6" s="79" t="s">
        <v>278</v>
      </c>
      <c r="J6" s="79" t="s">
        <v>278</v>
      </c>
      <c r="K6" s="82" t="s">
        <v>289</v>
      </c>
      <c r="L6" s="79" t="s">
        <v>278</v>
      </c>
      <c r="M6" s="79" t="s">
        <v>278</v>
      </c>
      <c r="N6" s="79" t="s">
        <v>278</v>
      </c>
      <c r="O6" s="79" t="s">
        <v>280</v>
      </c>
      <c r="P6" s="80" t="s">
        <v>278</v>
      </c>
      <c r="Q6" s="79" t="s">
        <v>278</v>
      </c>
      <c r="R6" s="79" t="s">
        <v>278</v>
      </c>
      <c r="S6" s="79" t="s">
        <v>278</v>
      </c>
      <c r="T6" s="79" t="s">
        <v>278</v>
      </c>
      <c r="U6" s="80" t="s">
        <v>278</v>
      </c>
      <c r="V6" s="79" t="s">
        <v>278</v>
      </c>
      <c r="W6" s="79" t="s">
        <v>278</v>
      </c>
      <c r="X6" s="79" t="s">
        <v>278</v>
      </c>
      <c r="Y6" s="79" t="s">
        <v>278</v>
      </c>
      <c r="Z6" s="79" t="s">
        <v>278</v>
      </c>
      <c r="AA6" s="79" t="s">
        <v>278</v>
      </c>
      <c r="AB6" s="79" t="s">
        <v>278</v>
      </c>
      <c r="AC6" s="79" t="s">
        <v>278</v>
      </c>
      <c r="AD6" s="79" t="s">
        <v>278</v>
      </c>
      <c r="AE6" s="106"/>
      <c r="AF6" s="79" t="s">
        <v>278</v>
      </c>
      <c r="AG6" s="79" t="s">
        <v>278</v>
      </c>
      <c r="AH6" s="79" t="s">
        <v>278</v>
      </c>
      <c r="AI6" s="79" t="s">
        <v>278</v>
      </c>
      <c r="AJ6" s="79" t="s">
        <v>278</v>
      </c>
      <c r="AK6" s="79" t="s">
        <v>278</v>
      </c>
      <c r="AL6" s="106"/>
      <c r="AM6" s="79" t="s">
        <v>278</v>
      </c>
      <c r="AN6" s="79" t="s">
        <v>278</v>
      </c>
      <c r="AO6" s="79" t="s">
        <v>278</v>
      </c>
      <c r="AP6" s="106"/>
      <c r="AQ6" s="79" t="s">
        <v>278</v>
      </c>
      <c r="AR6" s="79" t="s">
        <v>278</v>
      </c>
      <c r="AS6" s="106"/>
      <c r="AT6" s="79" t="s">
        <v>278</v>
      </c>
      <c r="AU6" s="79" t="s">
        <v>278</v>
      </c>
      <c r="AV6" s="79" t="s">
        <v>278</v>
      </c>
      <c r="AW6" s="79" t="s">
        <v>278</v>
      </c>
      <c r="AX6" s="79" t="s">
        <v>278</v>
      </c>
      <c r="AY6" s="106"/>
      <c r="AZ6" s="79" t="s">
        <v>278</v>
      </c>
      <c r="BA6" s="79" t="s">
        <v>278</v>
      </c>
      <c r="BB6" s="79" t="s">
        <v>278</v>
      </c>
      <c r="BC6" s="79" t="s">
        <v>278</v>
      </c>
      <c r="BD6" s="79" t="s">
        <v>278</v>
      </c>
      <c r="BE6" s="79" t="s">
        <v>278</v>
      </c>
      <c r="BF6" s="79" t="s">
        <v>278</v>
      </c>
      <c r="BG6" s="79" t="s">
        <v>278</v>
      </c>
      <c r="BH6" s="79" t="s">
        <v>278</v>
      </c>
      <c r="BI6" s="80" t="s">
        <v>278</v>
      </c>
      <c r="BJ6" s="106"/>
      <c r="BK6" s="80" t="s">
        <v>278</v>
      </c>
      <c r="BL6" s="80" t="s">
        <v>278</v>
      </c>
      <c r="BM6" s="79" t="s">
        <v>290</v>
      </c>
      <c r="BN6" s="80" t="s">
        <v>278</v>
      </c>
      <c r="BO6" s="79" t="s">
        <v>278</v>
      </c>
      <c r="BP6" s="79" t="s">
        <v>278</v>
      </c>
      <c r="BQ6" s="79" t="s">
        <v>278</v>
      </c>
      <c r="BR6" s="79" t="s">
        <v>278</v>
      </c>
      <c r="BS6" s="79" t="s">
        <v>278</v>
      </c>
      <c r="BT6" s="79" t="s">
        <v>278</v>
      </c>
      <c r="BU6" s="79" t="s">
        <v>278</v>
      </c>
      <c r="BV6" s="79" t="s">
        <v>278</v>
      </c>
      <c r="BW6" s="79" t="s">
        <v>278</v>
      </c>
      <c r="BX6" s="79" t="s">
        <v>278</v>
      </c>
      <c r="BY6" s="79" t="s">
        <v>278</v>
      </c>
      <c r="BZ6" s="79" t="s">
        <v>278</v>
      </c>
      <c r="CA6" s="79" t="s">
        <v>278</v>
      </c>
      <c r="CB6" s="79" t="s">
        <v>278</v>
      </c>
      <c r="CC6" s="79" t="s">
        <v>278</v>
      </c>
      <c r="CD6" s="79" t="s">
        <v>278</v>
      </c>
      <c r="CE6" s="79" t="s">
        <v>278</v>
      </c>
      <c r="CF6" s="79" t="s">
        <v>278</v>
      </c>
      <c r="CG6" s="79"/>
      <c r="CH6" s="79"/>
      <c r="CI6" s="106"/>
      <c r="CJ6" s="79"/>
      <c r="CK6" s="79"/>
      <c r="CL6" s="79"/>
      <c r="CM6" s="79"/>
      <c r="CN6" s="79"/>
      <c r="CO6" s="79"/>
      <c r="CP6" s="79"/>
      <c r="CQ6" s="79"/>
      <c r="CR6" s="79"/>
      <c r="CS6" s="79" t="s">
        <v>278</v>
      </c>
    </row>
    <row r="7" spans="1:97" ht="15.75" hidden="1" customHeight="1">
      <c r="A7" s="76" t="s">
        <v>291</v>
      </c>
      <c r="B7" s="77" t="s">
        <v>278</v>
      </c>
      <c r="C7" s="79" t="s">
        <v>278</v>
      </c>
      <c r="D7" s="79" t="s">
        <v>278</v>
      </c>
      <c r="E7" s="79" t="s">
        <v>278</v>
      </c>
      <c r="F7" s="79" t="s">
        <v>278</v>
      </c>
      <c r="G7" s="79" t="s">
        <v>278</v>
      </c>
      <c r="H7" s="79" t="s">
        <v>278</v>
      </c>
      <c r="I7" s="79" t="s">
        <v>278</v>
      </c>
      <c r="J7" s="79" t="s">
        <v>278</v>
      </c>
      <c r="K7" s="79" t="s">
        <v>278</v>
      </c>
      <c r="L7" s="82" t="s">
        <v>289</v>
      </c>
      <c r="M7" s="79" t="s">
        <v>278</v>
      </c>
      <c r="N7" s="79" t="s">
        <v>278</v>
      </c>
      <c r="O7" s="79" t="s">
        <v>280</v>
      </c>
      <c r="P7" s="80" t="s">
        <v>278</v>
      </c>
      <c r="Q7" s="79" t="s">
        <v>278</v>
      </c>
      <c r="R7" s="79" t="s">
        <v>278</v>
      </c>
      <c r="S7" s="79" t="s">
        <v>278</v>
      </c>
      <c r="T7" s="79" t="s">
        <v>278</v>
      </c>
      <c r="U7" s="80" t="s">
        <v>292</v>
      </c>
      <c r="V7" s="79" t="s">
        <v>278</v>
      </c>
      <c r="W7" s="79" t="s">
        <v>278</v>
      </c>
      <c r="X7" s="79" t="s">
        <v>278</v>
      </c>
      <c r="Y7" s="79" t="s">
        <v>278</v>
      </c>
      <c r="Z7" s="79" t="s">
        <v>281</v>
      </c>
      <c r="AA7" s="79" t="s">
        <v>278</v>
      </c>
      <c r="AB7" s="79" t="s">
        <v>278</v>
      </c>
      <c r="AC7" s="79" t="s">
        <v>278</v>
      </c>
      <c r="AD7" s="79" t="s">
        <v>278</v>
      </c>
      <c r="AE7" s="106"/>
      <c r="AF7" s="79" t="s">
        <v>278</v>
      </c>
      <c r="AG7" s="79" t="s">
        <v>278</v>
      </c>
      <c r="AH7" s="79" t="s">
        <v>278</v>
      </c>
      <c r="AI7" s="79" t="s">
        <v>278</v>
      </c>
      <c r="AJ7" s="79" t="s">
        <v>278</v>
      </c>
      <c r="AK7" s="79" t="s">
        <v>278</v>
      </c>
      <c r="AL7" s="106"/>
      <c r="AM7" s="79" t="s">
        <v>278</v>
      </c>
      <c r="AN7" s="79" t="s">
        <v>278</v>
      </c>
      <c r="AO7" s="79" t="s">
        <v>278</v>
      </c>
      <c r="AP7" s="106"/>
      <c r="AQ7" s="79" t="s">
        <v>278</v>
      </c>
      <c r="AR7" s="79" t="s">
        <v>278</v>
      </c>
      <c r="AS7" s="106"/>
      <c r="AT7" s="79" t="s">
        <v>278</v>
      </c>
      <c r="AU7" s="79" t="s">
        <v>281</v>
      </c>
      <c r="AV7" s="79" t="s">
        <v>278</v>
      </c>
      <c r="AW7" s="79" t="s">
        <v>278</v>
      </c>
      <c r="AX7" s="79" t="s">
        <v>278</v>
      </c>
      <c r="AY7" s="106"/>
      <c r="AZ7" s="79" t="s">
        <v>278</v>
      </c>
      <c r="BA7" s="79" t="s">
        <v>278</v>
      </c>
      <c r="BB7" s="79" t="s">
        <v>278</v>
      </c>
      <c r="BC7" s="79" t="s">
        <v>278</v>
      </c>
      <c r="BD7" s="79" t="s">
        <v>278</v>
      </c>
      <c r="BE7" s="79" t="s">
        <v>278</v>
      </c>
      <c r="BF7" s="79" t="s">
        <v>278</v>
      </c>
      <c r="BG7" s="79" t="s">
        <v>278</v>
      </c>
      <c r="BH7" s="79" t="s">
        <v>278</v>
      </c>
      <c r="BI7" s="80" t="s">
        <v>278</v>
      </c>
      <c r="BJ7" s="106"/>
      <c r="BK7" s="80" t="s">
        <v>278</v>
      </c>
      <c r="BL7" s="80" t="s">
        <v>278</v>
      </c>
      <c r="BM7" s="79" t="s">
        <v>278</v>
      </c>
      <c r="BN7" s="80" t="s">
        <v>278</v>
      </c>
      <c r="BO7" s="79" t="s">
        <v>281</v>
      </c>
      <c r="BP7" s="79"/>
      <c r="BQ7" s="79"/>
      <c r="BR7" s="79"/>
      <c r="BS7" s="79"/>
      <c r="BT7" s="79"/>
      <c r="BU7" s="79" t="s">
        <v>278</v>
      </c>
      <c r="BV7" s="79" t="s">
        <v>278</v>
      </c>
      <c r="BW7" s="79" t="s">
        <v>278</v>
      </c>
      <c r="BX7" s="79" t="s">
        <v>278</v>
      </c>
      <c r="BY7" s="79"/>
      <c r="BZ7" s="79"/>
      <c r="CA7" s="79"/>
      <c r="CB7" s="79"/>
      <c r="CC7" s="79"/>
      <c r="CD7" s="79"/>
      <c r="CE7" s="79"/>
      <c r="CF7" s="79"/>
      <c r="CG7" s="79"/>
      <c r="CH7" s="79"/>
      <c r="CI7" s="106"/>
      <c r="CJ7" s="79"/>
      <c r="CK7" s="79"/>
      <c r="CL7" s="79"/>
      <c r="CM7" s="79"/>
      <c r="CN7" s="79"/>
      <c r="CO7" s="79"/>
      <c r="CP7" s="79"/>
      <c r="CQ7" s="79"/>
      <c r="CR7" s="79"/>
      <c r="CS7" s="79"/>
    </row>
    <row r="8" spans="1:97" ht="15.75" hidden="1" customHeight="1">
      <c r="A8" s="76" t="s">
        <v>293</v>
      </c>
      <c r="B8" s="77" t="s">
        <v>278</v>
      </c>
      <c r="C8" s="79" t="s">
        <v>278</v>
      </c>
      <c r="D8" s="79" t="s">
        <v>278</v>
      </c>
      <c r="E8" s="79" t="s">
        <v>278</v>
      </c>
      <c r="F8" s="79" t="s">
        <v>278</v>
      </c>
      <c r="G8" s="79" t="s">
        <v>278</v>
      </c>
      <c r="H8" s="79" t="s">
        <v>278</v>
      </c>
      <c r="I8" s="79" t="s">
        <v>278</v>
      </c>
      <c r="J8" s="79" t="s">
        <v>278</v>
      </c>
      <c r="K8" s="79" t="s">
        <v>278</v>
      </c>
      <c r="L8" s="79" t="s">
        <v>281</v>
      </c>
      <c r="M8" s="79" t="s">
        <v>278</v>
      </c>
      <c r="N8" s="79" t="s">
        <v>278</v>
      </c>
      <c r="O8" s="79" t="s">
        <v>280</v>
      </c>
      <c r="P8" s="80" t="s">
        <v>278</v>
      </c>
      <c r="Q8" s="79" t="s">
        <v>278</v>
      </c>
      <c r="R8" s="79" t="s">
        <v>278</v>
      </c>
      <c r="S8" s="79" t="s">
        <v>278</v>
      </c>
      <c r="T8" s="79" t="s">
        <v>278</v>
      </c>
      <c r="U8" s="80" t="s">
        <v>278</v>
      </c>
      <c r="V8" s="79" t="s">
        <v>278</v>
      </c>
      <c r="W8" s="79" t="s">
        <v>294</v>
      </c>
      <c r="X8" s="79" t="s">
        <v>278</v>
      </c>
      <c r="Y8" s="79" t="s">
        <v>278</v>
      </c>
      <c r="Z8" s="79" t="s">
        <v>278</v>
      </c>
      <c r="AA8" s="79" t="s">
        <v>278</v>
      </c>
      <c r="AB8" s="79" t="s">
        <v>281</v>
      </c>
      <c r="AC8" s="79" t="s">
        <v>278</v>
      </c>
      <c r="AD8" s="79" t="s">
        <v>278</v>
      </c>
      <c r="AE8" s="106"/>
      <c r="AF8" s="79" t="s">
        <v>278</v>
      </c>
      <c r="AG8" s="79" t="s">
        <v>278</v>
      </c>
      <c r="AH8" s="79" t="s">
        <v>278</v>
      </c>
      <c r="AI8" s="79" t="s">
        <v>278</v>
      </c>
      <c r="AJ8" s="79" t="s">
        <v>278</v>
      </c>
      <c r="AK8" s="79" t="s">
        <v>278</v>
      </c>
      <c r="AL8" s="106"/>
      <c r="AM8" s="79" t="s">
        <v>278</v>
      </c>
      <c r="AN8" s="79" t="s">
        <v>281</v>
      </c>
      <c r="AO8" s="79" t="s">
        <v>278</v>
      </c>
      <c r="AP8" s="106"/>
      <c r="AQ8" s="79" t="s">
        <v>278</v>
      </c>
      <c r="AR8" s="79" t="s">
        <v>278</v>
      </c>
      <c r="AS8" s="106"/>
      <c r="AT8" s="79" t="s">
        <v>278</v>
      </c>
      <c r="AU8" s="79" t="s">
        <v>278</v>
      </c>
      <c r="AV8" s="79" t="s">
        <v>278</v>
      </c>
      <c r="AW8" s="79" t="s">
        <v>278</v>
      </c>
      <c r="AX8" s="79" t="s">
        <v>278</v>
      </c>
      <c r="AY8" s="106"/>
      <c r="AZ8" s="79" t="s">
        <v>278</v>
      </c>
      <c r="BA8" s="79" t="s">
        <v>278</v>
      </c>
      <c r="BB8" s="79" t="s">
        <v>278</v>
      </c>
      <c r="BC8" s="79" t="s">
        <v>278</v>
      </c>
      <c r="BD8" s="79" t="s">
        <v>278</v>
      </c>
      <c r="BE8" s="79" t="s">
        <v>278</v>
      </c>
      <c r="BF8" s="79" t="s">
        <v>278</v>
      </c>
      <c r="BG8" s="79" t="s">
        <v>295</v>
      </c>
      <c r="BH8" s="79" t="s">
        <v>278</v>
      </c>
      <c r="BI8" s="80" t="s">
        <v>278</v>
      </c>
      <c r="BJ8" s="106"/>
      <c r="BK8" s="80" t="s">
        <v>278</v>
      </c>
      <c r="BL8" s="80" t="s">
        <v>278</v>
      </c>
      <c r="BM8" s="79" t="s">
        <v>278</v>
      </c>
      <c r="BN8" s="80" t="s">
        <v>278</v>
      </c>
      <c r="BO8" s="79" t="s">
        <v>278</v>
      </c>
      <c r="BP8" s="79" t="s">
        <v>278</v>
      </c>
      <c r="BQ8" s="79" t="s">
        <v>278</v>
      </c>
      <c r="BR8" s="79" t="s">
        <v>278</v>
      </c>
      <c r="BS8" s="79" t="s">
        <v>278</v>
      </c>
      <c r="BT8" s="79" t="s">
        <v>278</v>
      </c>
      <c r="BU8" s="79" t="s">
        <v>278</v>
      </c>
      <c r="BV8" s="79" t="s">
        <v>278</v>
      </c>
      <c r="BW8" s="79" t="s">
        <v>278</v>
      </c>
      <c r="BX8" s="79" t="s">
        <v>296</v>
      </c>
      <c r="BY8" s="79"/>
      <c r="BZ8" s="79"/>
      <c r="CA8" s="79"/>
      <c r="CB8" s="79"/>
      <c r="CC8" s="79"/>
      <c r="CD8" s="79"/>
      <c r="CE8" s="79"/>
      <c r="CF8" s="79"/>
      <c r="CG8" s="79"/>
      <c r="CH8" s="79"/>
      <c r="CI8" s="106"/>
      <c r="CJ8" s="79"/>
      <c r="CK8" s="79"/>
      <c r="CL8" s="79"/>
      <c r="CM8" s="79"/>
      <c r="CN8" s="79"/>
      <c r="CO8" s="79"/>
      <c r="CP8" s="79"/>
      <c r="CQ8" s="79"/>
      <c r="CR8" s="79"/>
      <c r="CS8" s="79"/>
    </row>
    <row r="9" spans="1:97" ht="15.75">
      <c r="A9" s="76" t="s">
        <v>297</v>
      </c>
      <c r="B9" s="77" t="s">
        <v>278</v>
      </c>
      <c r="C9" s="79" t="s">
        <v>278</v>
      </c>
      <c r="D9" s="79" t="s">
        <v>278</v>
      </c>
      <c r="E9" s="79" t="s">
        <v>278</v>
      </c>
      <c r="F9" s="79" t="s">
        <v>278</v>
      </c>
      <c r="G9" s="79" t="s">
        <v>278</v>
      </c>
      <c r="H9" s="79" t="s">
        <v>278</v>
      </c>
      <c r="I9" s="79" t="s">
        <v>278</v>
      </c>
      <c r="J9" s="79" t="s">
        <v>278</v>
      </c>
      <c r="K9" s="79" t="s">
        <v>278</v>
      </c>
      <c r="L9" s="79" t="s">
        <v>278</v>
      </c>
      <c r="M9" s="79" t="s">
        <v>278</v>
      </c>
      <c r="N9" s="79" t="s">
        <v>278</v>
      </c>
      <c r="O9" s="82" t="s">
        <v>289</v>
      </c>
      <c r="P9" s="80" t="s">
        <v>278</v>
      </c>
      <c r="Q9" s="79" t="s">
        <v>278</v>
      </c>
      <c r="R9" s="79" t="s">
        <v>278</v>
      </c>
      <c r="S9" s="79" t="s">
        <v>278</v>
      </c>
      <c r="T9" s="79" t="s">
        <v>278</v>
      </c>
      <c r="U9" s="80" t="s">
        <v>278</v>
      </c>
      <c r="V9" s="79" t="s">
        <v>278</v>
      </c>
      <c r="W9" s="79" t="s">
        <v>278</v>
      </c>
      <c r="X9" s="79" t="s">
        <v>278</v>
      </c>
      <c r="Y9" s="79" t="s">
        <v>278</v>
      </c>
      <c r="Z9" s="79" t="s">
        <v>278</v>
      </c>
      <c r="AA9" s="79" t="s">
        <v>278</v>
      </c>
      <c r="AB9" s="79" t="s">
        <v>278</v>
      </c>
      <c r="AC9" s="79" t="s">
        <v>278</v>
      </c>
      <c r="AD9" s="79" t="s">
        <v>278</v>
      </c>
      <c r="AE9" s="106"/>
      <c r="AF9" s="79" t="s">
        <v>278</v>
      </c>
      <c r="AG9" s="79" t="s">
        <v>278</v>
      </c>
      <c r="AH9" s="79" t="s">
        <v>278</v>
      </c>
      <c r="AI9" s="79" t="s">
        <v>278</v>
      </c>
      <c r="AJ9" s="79" t="s">
        <v>278</v>
      </c>
      <c r="AK9" s="79" t="s">
        <v>278</v>
      </c>
      <c r="AL9" s="106"/>
      <c r="AM9" s="79" t="s">
        <v>278</v>
      </c>
      <c r="AN9" s="79" t="s">
        <v>278</v>
      </c>
      <c r="AO9" s="79" t="s">
        <v>278</v>
      </c>
      <c r="AP9" s="106"/>
      <c r="AQ9" s="79" t="s">
        <v>278</v>
      </c>
      <c r="AR9" s="79" t="s">
        <v>278</v>
      </c>
      <c r="AS9" s="106"/>
      <c r="AT9" s="79" t="s">
        <v>278</v>
      </c>
      <c r="AU9" s="79" t="s">
        <v>278</v>
      </c>
      <c r="AV9" s="79" t="s">
        <v>278</v>
      </c>
      <c r="AW9" s="79" t="s">
        <v>278</v>
      </c>
      <c r="AX9" s="79" t="s">
        <v>278</v>
      </c>
      <c r="AY9" s="106"/>
      <c r="AZ9" s="79" t="s">
        <v>278</v>
      </c>
      <c r="BA9" s="79" t="s">
        <v>278</v>
      </c>
      <c r="BB9" s="79" t="s">
        <v>278</v>
      </c>
      <c r="BC9" s="79" t="s">
        <v>278</v>
      </c>
      <c r="BD9" s="79" t="s">
        <v>278</v>
      </c>
      <c r="BE9" s="79" t="s">
        <v>278</v>
      </c>
      <c r="BF9" s="79" t="s">
        <v>278</v>
      </c>
      <c r="BG9" s="79" t="s">
        <v>278</v>
      </c>
      <c r="BH9" s="79" t="s">
        <v>278</v>
      </c>
      <c r="BI9" s="80" t="s">
        <v>278</v>
      </c>
      <c r="BJ9" s="106"/>
      <c r="BK9" s="80" t="s">
        <v>278</v>
      </c>
      <c r="BL9" s="80" t="s">
        <v>278</v>
      </c>
      <c r="BM9" s="79" t="s">
        <v>278</v>
      </c>
      <c r="BN9" s="80" t="s">
        <v>278</v>
      </c>
      <c r="BO9" s="79" t="s">
        <v>278</v>
      </c>
      <c r="BP9" s="79" t="s">
        <v>278</v>
      </c>
      <c r="BQ9" s="79" t="s">
        <v>278</v>
      </c>
      <c r="BR9" s="79" t="s">
        <v>278</v>
      </c>
      <c r="BS9" s="79" t="s">
        <v>278</v>
      </c>
      <c r="BT9" s="79" t="s">
        <v>278</v>
      </c>
      <c r="BU9" s="79" t="s">
        <v>278</v>
      </c>
      <c r="BV9" s="79" t="s">
        <v>278</v>
      </c>
      <c r="BW9" s="79" t="s">
        <v>278</v>
      </c>
      <c r="BX9" s="79" t="s">
        <v>278</v>
      </c>
      <c r="BY9" s="79" t="s">
        <v>278</v>
      </c>
      <c r="BZ9" s="79" t="s">
        <v>278</v>
      </c>
      <c r="CA9" s="79" t="s">
        <v>278</v>
      </c>
      <c r="CB9" s="79" t="s">
        <v>278</v>
      </c>
      <c r="CC9" s="79" t="s">
        <v>278</v>
      </c>
      <c r="CD9" s="79" t="s">
        <v>278</v>
      </c>
      <c r="CE9" s="79" t="s">
        <v>278</v>
      </c>
      <c r="CF9" s="79" t="s">
        <v>278</v>
      </c>
      <c r="CG9" s="79"/>
      <c r="CH9" s="79"/>
      <c r="CI9" s="106"/>
      <c r="CJ9" s="79"/>
      <c r="CK9" s="79"/>
      <c r="CL9" s="79"/>
      <c r="CM9" s="79"/>
      <c r="CN9" s="79"/>
      <c r="CO9" s="79"/>
      <c r="CP9" s="79"/>
      <c r="CQ9" s="79"/>
      <c r="CR9" s="79"/>
      <c r="CS9" s="79" t="s">
        <v>278</v>
      </c>
    </row>
    <row r="10" spans="1:97" ht="15.75">
      <c r="A10" s="76" t="s">
        <v>298</v>
      </c>
      <c r="B10" s="77" t="s">
        <v>278</v>
      </c>
      <c r="C10" s="79" t="s">
        <v>278</v>
      </c>
      <c r="D10" s="79" t="s">
        <v>278</v>
      </c>
      <c r="E10" s="79" t="s">
        <v>278</v>
      </c>
      <c r="F10" s="79" t="s">
        <v>278</v>
      </c>
      <c r="G10" s="79" t="s">
        <v>278</v>
      </c>
      <c r="H10" s="79" t="s">
        <v>278</v>
      </c>
      <c r="I10" s="79" t="s">
        <v>281</v>
      </c>
      <c r="J10" s="79" t="s">
        <v>278</v>
      </c>
      <c r="K10" s="79" t="s">
        <v>281</v>
      </c>
      <c r="L10" s="79" t="s">
        <v>278</v>
      </c>
      <c r="M10" s="79" t="s">
        <v>278</v>
      </c>
      <c r="N10" s="79" t="s">
        <v>281</v>
      </c>
      <c r="O10" s="79" t="s">
        <v>280</v>
      </c>
      <c r="P10" s="80" t="s">
        <v>281</v>
      </c>
      <c r="Q10" s="79" t="s">
        <v>281</v>
      </c>
      <c r="R10" s="79" t="s">
        <v>278</v>
      </c>
      <c r="S10" s="79" t="s">
        <v>278</v>
      </c>
      <c r="T10" s="79" t="s">
        <v>278</v>
      </c>
      <c r="U10" s="80" t="s">
        <v>281</v>
      </c>
      <c r="V10" s="79" t="s">
        <v>278</v>
      </c>
      <c r="W10" s="79" t="s">
        <v>278</v>
      </c>
      <c r="X10" s="79" t="s">
        <v>278</v>
      </c>
      <c r="Y10" s="79" t="s">
        <v>278</v>
      </c>
      <c r="Z10" s="79" t="s">
        <v>278</v>
      </c>
      <c r="AA10" s="79" t="s">
        <v>278</v>
      </c>
      <c r="AB10" s="79" t="s">
        <v>278</v>
      </c>
      <c r="AC10" s="79" t="s">
        <v>278</v>
      </c>
      <c r="AD10" s="79" t="s">
        <v>278</v>
      </c>
      <c r="AE10" s="106"/>
      <c r="AF10" s="79" t="s">
        <v>278</v>
      </c>
      <c r="AG10" s="79" t="s">
        <v>278</v>
      </c>
      <c r="AH10" s="79" t="s">
        <v>278</v>
      </c>
      <c r="AI10" s="79" t="s">
        <v>278</v>
      </c>
      <c r="AJ10" s="79" t="s">
        <v>278</v>
      </c>
      <c r="AK10" s="79" t="s">
        <v>281</v>
      </c>
      <c r="AL10" s="106"/>
      <c r="AM10" s="79" t="s">
        <v>281</v>
      </c>
      <c r="AN10" s="79" t="s">
        <v>278</v>
      </c>
      <c r="AO10" s="79" t="s">
        <v>278</v>
      </c>
      <c r="AP10" s="106"/>
      <c r="AQ10" s="79" t="s">
        <v>278</v>
      </c>
      <c r="AR10" s="79" t="s">
        <v>278</v>
      </c>
      <c r="AS10" s="106"/>
      <c r="AT10" s="79" t="s">
        <v>278</v>
      </c>
      <c r="AU10" s="79" t="s">
        <v>278</v>
      </c>
      <c r="AV10" s="79" t="s">
        <v>278</v>
      </c>
      <c r="AW10" s="79" t="s">
        <v>278</v>
      </c>
      <c r="AX10" s="79" t="s">
        <v>278</v>
      </c>
      <c r="AY10" s="106"/>
      <c r="AZ10" s="79" t="s">
        <v>278</v>
      </c>
      <c r="BA10" s="79" t="s">
        <v>281</v>
      </c>
      <c r="BB10" s="79" t="s">
        <v>281</v>
      </c>
      <c r="BC10" s="79" t="s">
        <v>281</v>
      </c>
      <c r="BD10" s="79" t="s">
        <v>281</v>
      </c>
      <c r="BE10" s="79" t="s">
        <v>281</v>
      </c>
      <c r="BF10" s="79" t="s">
        <v>278</v>
      </c>
      <c r="BG10" s="79" t="s">
        <v>278</v>
      </c>
      <c r="BH10" s="79" t="s">
        <v>278</v>
      </c>
      <c r="BI10" s="80" t="s">
        <v>278</v>
      </c>
      <c r="BJ10" s="106"/>
      <c r="BK10" s="80" t="s">
        <v>278</v>
      </c>
      <c r="BL10" s="80" t="s">
        <v>278</v>
      </c>
      <c r="BM10" s="79" t="s">
        <v>278</v>
      </c>
      <c r="BN10" s="80" t="s">
        <v>278</v>
      </c>
      <c r="BO10" s="79" t="s">
        <v>278</v>
      </c>
      <c r="BP10" s="79" t="s">
        <v>278</v>
      </c>
      <c r="BQ10" s="79" t="s">
        <v>278</v>
      </c>
      <c r="BR10" s="79" t="s">
        <v>278</v>
      </c>
      <c r="BS10" s="79" t="s">
        <v>278</v>
      </c>
      <c r="BT10" s="79" t="s">
        <v>278</v>
      </c>
      <c r="BU10" s="79" t="s">
        <v>278</v>
      </c>
      <c r="BV10" s="79" t="s">
        <v>278</v>
      </c>
      <c r="BW10" s="79" t="s">
        <v>281</v>
      </c>
      <c r="BX10" s="79" t="s">
        <v>278</v>
      </c>
      <c r="BY10" s="79" t="s">
        <v>278</v>
      </c>
      <c r="BZ10" s="79" t="s">
        <v>278</v>
      </c>
      <c r="CA10" s="79" t="s">
        <v>278</v>
      </c>
      <c r="CB10" s="79" t="s">
        <v>278</v>
      </c>
      <c r="CC10" s="79" t="s">
        <v>278</v>
      </c>
      <c r="CD10" s="79" t="s">
        <v>278</v>
      </c>
      <c r="CE10" s="79" t="s">
        <v>278</v>
      </c>
      <c r="CF10" s="79" t="s">
        <v>278</v>
      </c>
      <c r="CG10" s="79"/>
      <c r="CH10" s="79"/>
      <c r="CI10" s="106"/>
      <c r="CJ10" s="79"/>
      <c r="CK10" s="79"/>
      <c r="CL10" s="79"/>
      <c r="CM10" s="79"/>
      <c r="CN10" s="79"/>
      <c r="CO10" s="79"/>
      <c r="CP10" s="79"/>
      <c r="CQ10" s="79"/>
      <c r="CR10" s="79"/>
      <c r="CS10" s="79" t="s">
        <v>278</v>
      </c>
    </row>
    <row r="11" spans="1:97" ht="15.75">
      <c r="A11" s="76" t="s">
        <v>299</v>
      </c>
      <c r="B11" s="77" t="s">
        <v>278</v>
      </c>
      <c r="C11" s="79" t="s">
        <v>278</v>
      </c>
      <c r="D11" s="79" t="s">
        <v>278</v>
      </c>
      <c r="E11" s="79" t="s">
        <v>278</v>
      </c>
      <c r="F11" s="79" t="s">
        <v>278</v>
      </c>
      <c r="G11" s="79" t="s">
        <v>278</v>
      </c>
      <c r="H11" s="79" t="s">
        <v>278</v>
      </c>
      <c r="I11" s="79" t="s">
        <v>278</v>
      </c>
      <c r="J11" s="79" t="s">
        <v>300</v>
      </c>
      <c r="K11" s="79" t="s">
        <v>281</v>
      </c>
      <c r="L11" s="79" t="s">
        <v>278</v>
      </c>
      <c r="M11" s="79" t="s">
        <v>281</v>
      </c>
      <c r="N11" s="79" t="s">
        <v>278</v>
      </c>
      <c r="O11" s="79" t="s">
        <v>280</v>
      </c>
      <c r="P11" s="80" t="s">
        <v>278</v>
      </c>
      <c r="Q11" s="79" t="s">
        <v>278</v>
      </c>
      <c r="R11" s="79" t="s">
        <v>278</v>
      </c>
      <c r="S11" s="79" t="s">
        <v>281</v>
      </c>
      <c r="T11" s="79" t="s">
        <v>281</v>
      </c>
      <c r="U11" s="80" t="s">
        <v>281</v>
      </c>
      <c r="V11" s="79" t="s">
        <v>278</v>
      </c>
      <c r="W11" s="79" t="s">
        <v>278</v>
      </c>
      <c r="X11" s="79" t="s">
        <v>278</v>
      </c>
      <c r="Y11" s="79" t="s">
        <v>278</v>
      </c>
      <c r="Z11" s="79" t="s">
        <v>278</v>
      </c>
      <c r="AA11" s="79" t="s">
        <v>278</v>
      </c>
      <c r="AB11" s="79" t="s">
        <v>278</v>
      </c>
      <c r="AC11" s="79" t="s">
        <v>278</v>
      </c>
      <c r="AD11" s="79" t="s">
        <v>281</v>
      </c>
      <c r="AE11" s="106"/>
      <c r="AF11" s="79" t="s">
        <v>278</v>
      </c>
      <c r="AG11" s="79" t="s">
        <v>278</v>
      </c>
      <c r="AH11" s="79" t="s">
        <v>278</v>
      </c>
      <c r="AI11" s="79" t="s">
        <v>278</v>
      </c>
      <c r="AJ11" s="79" t="s">
        <v>278</v>
      </c>
      <c r="AK11" s="79" t="s">
        <v>278</v>
      </c>
      <c r="AL11" s="106"/>
      <c r="AM11" s="79" t="s">
        <v>278</v>
      </c>
      <c r="AN11" s="79" t="s">
        <v>278</v>
      </c>
      <c r="AO11" s="79" t="s">
        <v>278</v>
      </c>
      <c r="AP11" s="106"/>
      <c r="AQ11" s="79" t="s">
        <v>278</v>
      </c>
      <c r="AR11" s="79" t="s">
        <v>278</v>
      </c>
      <c r="AS11" s="106"/>
      <c r="AT11" s="79" t="s">
        <v>278</v>
      </c>
      <c r="AU11" s="79" t="s">
        <v>281</v>
      </c>
      <c r="AV11" s="79" t="s">
        <v>281</v>
      </c>
      <c r="AW11" s="79" t="s">
        <v>278</v>
      </c>
      <c r="AX11" s="79" t="s">
        <v>278</v>
      </c>
      <c r="AY11" s="106"/>
      <c r="AZ11" s="79" t="s">
        <v>281</v>
      </c>
      <c r="BA11" s="79" t="s">
        <v>278</v>
      </c>
      <c r="BB11" s="79" t="s">
        <v>278</v>
      </c>
      <c r="BC11" s="79" t="s">
        <v>278</v>
      </c>
      <c r="BD11" s="79" t="s">
        <v>278</v>
      </c>
      <c r="BE11" s="79" t="s">
        <v>281</v>
      </c>
      <c r="BF11" s="79" t="s">
        <v>281</v>
      </c>
      <c r="BG11" s="79" t="s">
        <v>281</v>
      </c>
      <c r="BH11" s="79" t="s">
        <v>278</v>
      </c>
      <c r="BI11" s="80" t="s">
        <v>278</v>
      </c>
      <c r="BJ11" s="106"/>
      <c r="BK11" s="80" t="s">
        <v>278</v>
      </c>
      <c r="BL11" s="80" t="s">
        <v>278</v>
      </c>
      <c r="BM11" s="79" t="s">
        <v>278</v>
      </c>
      <c r="BN11" s="80" t="s">
        <v>278</v>
      </c>
      <c r="BO11" s="79" t="s">
        <v>281</v>
      </c>
      <c r="BP11" s="79" t="s">
        <v>278</v>
      </c>
      <c r="BQ11" s="79" t="s">
        <v>278</v>
      </c>
      <c r="BR11" s="79" t="s">
        <v>301</v>
      </c>
      <c r="BS11" s="79" t="s">
        <v>278</v>
      </c>
      <c r="BT11" s="79" t="s">
        <v>278</v>
      </c>
      <c r="BU11" s="79" t="s">
        <v>278</v>
      </c>
      <c r="BV11" s="79" t="s">
        <v>278</v>
      </c>
      <c r="BW11" s="79" t="s">
        <v>278</v>
      </c>
      <c r="BX11" s="79" t="s">
        <v>278</v>
      </c>
      <c r="BY11" s="79" t="s">
        <v>278</v>
      </c>
      <c r="BZ11" s="79" t="s">
        <v>278</v>
      </c>
      <c r="CA11" s="79" t="s">
        <v>278</v>
      </c>
      <c r="CB11" s="79" t="s">
        <v>281</v>
      </c>
      <c r="CC11" s="79" t="s">
        <v>281</v>
      </c>
      <c r="CD11" s="79" t="s">
        <v>278</v>
      </c>
      <c r="CE11" s="79" t="s">
        <v>278</v>
      </c>
      <c r="CF11" s="79" t="s">
        <v>278</v>
      </c>
      <c r="CG11" s="79"/>
      <c r="CH11" s="79"/>
      <c r="CI11" s="106"/>
      <c r="CJ11" s="79"/>
      <c r="CK11" s="79"/>
      <c r="CL11" s="79"/>
      <c r="CM11" s="79"/>
      <c r="CN11" s="79"/>
      <c r="CO11" s="79"/>
      <c r="CP11" s="79"/>
      <c r="CQ11" s="79"/>
      <c r="CR11" s="79"/>
      <c r="CS11" s="79" t="s">
        <v>278</v>
      </c>
    </row>
    <row r="12" spans="1:97" ht="15.75">
      <c r="A12" s="76" t="s">
        <v>302</v>
      </c>
      <c r="B12" s="77" t="s">
        <v>278</v>
      </c>
      <c r="C12" s="79" t="s">
        <v>281</v>
      </c>
      <c r="D12" s="79" t="s">
        <v>278</v>
      </c>
      <c r="E12" s="79" t="s">
        <v>278</v>
      </c>
      <c r="F12" s="79" t="s">
        <v>281</v>
      </c>
      <c r="G12" s="79" t="s">
        <v>281</v>
      </c>
      <c r="H12" s="79" t="s">
        <v>278</v>
      </c>
      <c r="I12" s="79" t="s">
        <v>281</v>
      </c>
      <c r="J12" s="79" t="s">
        <v>278</v>
      </c>
      <c r="K12" s="79" t="s">
        <v>281</v>
      </c>
      <c r="L12" s="79" t="s">
        <v>278</v>
      </c>
      <c r="M12" s="79" t="s">
        <v>281</v>
      </c>
      <c r="N12" s="79" t="s">
        <v>281</v>
      </c>
      <c r="O12" s="79" t="s">
        <v>280</v>
      </c>
      <c r="P12" s="80" t="s">
        <v>278</v>
      </c>
      <c r="Q12" s="79" t="s">
        <v>281</v>
      </c>
      <c r="R12" s="79" t="s">
        <v>281</v>
      </c>
      <c r="S12" s="79" t="s">
        <v>281</v>
      </c>
      <c r="T12" s="79" t="s">
        <v>281</v>
      </c>
      <c r="U12" s="80" t="s">
        <v>281</v>
      </c>
      <c r="V12" s="79" t="s">
        <v>281</v>
      </c>
      <c r="W12" s="79" t="s">
        <v>278</v>
      </c>
      <c r="X12" s="79" t="s">
        <v>281</v>
      </c>
      <c r="Y12" s="79" t="s">
        <v>281</v>
      </c>
      <c r="Z12" s="79" t="s">
        <v>278</v>
      </c>
      <c r="AA12" s="79" t="s">
        <v>281</v>
      </c>
      <c r="AB12" s="79" t="s">
        <v>281</v>
      </c>
      <c r="AC12" s="79" t="s">
        <v>278</v>
      </c>
      <c r="AD12" s="79" t="s">
        <v>281</v>
      </c>
      <c r="AE12" s="106"/>
      <c r="AF12" s="79" t="s">
        <v>281</v>
      </c>
      <c r="AG12" s="79" t="s">
        <v>281</v>
      </c>
      <c r="AH12" s="79" t="s">
        <v>281</v>
      </c>
      <c r="AI12" s="79" t="s">
        <v>281</v>
      </c>
      <c r="AJ12" s="79" t="s">
        <v>278</v>
      </c>
      <c r="AK12" s="79" t="s">
        <v>278</v>
      </c>
      <c r="AL12" s="106"/>
      <c r="AM12" s="79" t="s">
        <v>281</v>
      </c>
      <c r="AN12" s="79" t="s">
        <v>281</v>
      </c>
      <c r="AO12" s="79" t="s">
        <v>281</v>
      </c>
      <c r="AP12" s="106"/>
      <c r="AQ12" s="79" t="s">
        <v>281</v>
      </c>
      <c r="AR12" s="79" t="s">
        <v>281</v>
      </c>
      <c r="AS12" s="106"/>
      <c r="AT12" s="79" t="s">
        <v>281</v>
      </c>
      <c r="AU12" s="79" t="s">
        <v>281</v>
      </c>
      <c r="AV12" s="79" t="s">
        <v>278</v>
      </c>
      <c r="AW12" s="79" t="s">
        <v>278</v>
      </c>
      <c r="AX12" s="79" t="s">
        <v>281</v>
      </c>
      <c r="AY12" s="106"/>
      <c r="AZ12" s="79" t="s">
        <v>281</v>
      </c>
      <c r="BA12" s="79" t="s">
        <v>281</v>
      </c>
      <c r="BB12" s="79" t="s">
        <v>281</v>
      </c>
      <c r="BC12" s="79" t="s">
        <v>278</v>
      </c>
      <c r="BD12" s="79" t="s">
        <v>281</v>
      </c>
      <c r="BE12" s="79" t="s">
        <v>278</v>
      </c>
      <c r="BF12" s="79" t="s">
        <v>281</v>
      </c>
      <c r="BG12" s="79" t="s">
        <v>281</v>
      </c>
      <c r="BH12" s="79" t="s">
        <v>278</v>
      </c>
      <c r="BI12" s="80" t="s">
        <v>281</v>
      </c>
      <c r="BJ12" s="106"/>
      <c r="BK12" s="80" t="s">
        <v>281</v>
      </c>
      <c r="BL12" s="80" t="s">
        <v>281</v>
      </c>
      <c r="BM12" s="79" t="s">
        <v>278</v>
      </c>
      <c r="BN12" s="80" t="s">
        <v>281</v>
      </c>
      <c r="BO12" s="79" t="s">
        <v>281</v>
      </c>
      <c r="BP12" s="79" t="s">
        <v>281</v>
      </c>
      <c r="BQ12" s="79" t="s">
        <v>281</v>
      </c>
      <c r="BR12" s="79" t="s">
        <v>278</v>
      </c>
      <c r="BS12" s="79" t="s">
        <v>281</v>
      </c>
      <c r="BT12" s="79" t="s">
        <v>281</v>
      </c>
      <c r="BU12" s="79" t="s">
        <v>278</v>
      </c>
      <c r="BV12" s="79" t="s">
        <v>278</v>
      </c>
      <c r="BW12" s="79" t="s">
        <v>281</v>
      </c>
      <c r="BX12" s="79" t="s">
        <v>281</v>
      </c>
      <c r="BY12" s="79" t="s">
        <v>278</v>
      </c>
      <c r="BZ12" s="79" t="s">
        <v>281</v>
      </c>
      <c r="CA12" s="79" t="s">
        <v>281</v>
      </c>
      <c r="CB12" s="79" t="s">
        <v>278</v>
      </c>
      <c r="CC12" s="79" t="s">
        <v>281</v>
      </c>
      <c r="CD12" s="79" t="s">
        <v>281</v>
      </c>
      <c r="CE12" s="79" t="s">
        <v>278</v>
      </c>
      <c r="CF12" s="79" t="s">
        <v>281</v>
      </c>
      <c r="CG12" s="79"/>
      <c r="CH12" s="79"/>
      <c r="CI12" s="106"/>
      <c r="CJ12" s="79"/>
      <c r="CK12" s="79"/>
      <c r="CL12" s="79"/>
      <c r="CM12" s="79"/>
      <c r="CN12" s="79"/>
      <c r="CO12" s="79"/>
      <c r="CP12" s="79"/>
      <c r="CQ12" s="79"/>
      <c r="CR12" s="79"/>
      <c r="CS12" s="79" t="s">
        <v>281</v>
      </c>
    </row>
    <row r="13" spans="1:97" ht="15.75">
      <c r="A13" s="76" t="s">
        <v>303</v>
      </c>
      <c r="B13" s="77" t="s">
        <v>278</v>
      </c>
      <c r="C13" s="79" t="s">
        <v>281</v>
      </c>
      <c r="D13" s="79" t="s">
        <v>281</v>
      </c>
      <c r="E13" s="79" t="s">
        <v>281</v>
      </c>
      <c r="F13" s="79" t="s">
        <v>281</v>
      </c>
      <c r="G13" s="79" t="s">
        <v>281</v>
      </c>
      <c r="H13" s="79" t="s">
        <v>281</v>
      </c>
      <c r="I13" s="79" t="s">
        <v>281</v>
      </c>
      <c r="J13" s="79" t="s">
        <v>278</v>
      </c>
      <c r="K13" s="79" t="s">
        <v>281</v>
      </c>
      <c r="L13" s="79" t="s">
        <v>281</v>
      </c>
      <c r="M13" s="79" t="s">
        <v>278</v>
      </c>
      <c r="N13" s="79" t="s">
        <v>281</v>
      </c>
      <c r="O13" s="79" t="s">
        <v>280</v>
      </c>
      <c r="P13" s="80" t="s">
        <v>281</v>
      </c>
      <c r="Q13" s="79" t="s">
        <v>281</v>
      </c>
      <c r="R13" s="79" t="s">
        <v>281</v>
      </c>
      <c r="S13" s="79" t="s">
        <v>281</v>
      </c>
      <c r="T13" s="79" t="s">
        <v>281</v>
      </c>
      <c r="U13" s="80" t="s">
        <v>281</v>
      </c>
      <c r="V13" s="79" t="s">
        <v>278</v>
      </c>
      <c r="W13" s="79" t="s">
        <v>281</v>
      </c>
      <c r="X13" s="79" t="s">
        <v>281</v>
      </c>
      <c r="Y13" s="79" t="s">
        <v>281</v>
      </c>
      <c r="Z13" s="79" t="s">
        <v>281</v>
      </c>
      <c r="AA13" s="79" t="s">
        <v>281</v>
      </c>
      <c r="AB13" s="79" t="s">
        <v>281</v>
      </c>
      <c r="AC13" s="79" t="s">
        <v>278</v>
      </c>
      <c r="AD13" s="79" t="s">
        <v>281</v>
      </c>
      <c r="AE13" s="107"/>
      <c r="AF13" s="79" t="s">
        <v>281</v>
      </c>
      <c r="AG13" s="79" t="s">
        <v>281</v>
      </c>
      <c r="AH13" s="79" t="s">
        <v>281</v>
      </c>
      <c r="AI13" s="79" t="s">
        <v>278</v>
      </c>
      <c r="AJ13" s="79" t="s">
        <v>281</v>
      </c>
      <c r="AK13" s="79" t="s">
        <v>281</v>
      </c>
      <c r="AL13" s="107"/>
      <c r="AM13" s="79" t="s">
        <v>281</v>
      </c>
      <c r="AN13" s="79" t="s">
        <v>281</v>
      </c>
      <c r="AO13" s="79" t="s">
        <v>281</v>
      </c>
      <c r="AP13" s="107"/>
      <c r="AQ13" s="79" t="s">
        <v>281</v>
      </c>
      <c r="AR13" s="79" t="s">
        <v>281</v>
      </c>
      <c r="AS13" s="107"/>
      <c r="AT13" s="79" t="s">
        <v>281</v>
      </c>
      <c r="AU13" s="79" t="s">
        <v>281</v>
      </c>
      <c r="AV13" s="79" t="s">
        <v>281</v>
      </c>
      <c r="AW13" s="79" t="s">
        <v>281</v>
      </c>
      <c r="AX13" s="79" t="s">
        <v>281</v>
      </c>
      <c r="AY13" s="107"/>
      <c r="AZ13" s="79" t="s">
        <v>281</v>
      </c>
      <c r="BA13" s="79" t="s">
        <v>281</v>
      </c>
      <c r="BB13" s="79" t="s">
        <v>281</v>
      </c>
      <c r="BC13" s="79" t="s">
        <v>281</v>
      </c>
      <c r="BD13" s="79" t="s">
        <v>281</v>
      </c>
      <c r="BE13" s="79" t="s">
        <v>281</v>
      </c>
      <c r="BF13" s="79" t="s">
        <v>281</v>
      </c>
      <c r="BG13" s="79" t="s">
        <v>281</v>
      </c>
      <c r="BH13" s="79" t="s">
        <v>281</v>
      </c>
      <c r="BI13" s="80" t="s">
        <v>281</v>
      </c>
      <c r="BJ13" s="107"/>
      <c r="BK13" s="80" t="s">
        <v>281</v>
      </c>
      <c r="BL13" s="80" t="s">
        <v>281</v>
      </c>
      <c r="BM13" s="79" t="s">
        <v>281</v>
      </c>
      <c r="BN13" s="80" t="s">
        <v>281</v>
      </c>
      <c r="BO13" s="79" t="s">
        <v>281</v>
      </c>
      <c r="BP13" s="79" t="s">
        <v>281</v>
      </c>
      <c r="BQ13" s="79" t="s">
        <v>281</v>
      </c>
      <c r="BR13" s="79" t="s">
        <v>301</v>
      </c>
      <c r="BS13" s="79" t="s">
        <v>281</v>
      </c>
      <c r="BT13" s="79" t="s">
        <v>281</v>
      </c>
      <c r="BU13" s="79" t="s">
        <v>281</v>
      </c>
      <c r="BV13" s="79" t="s">
        <v>281</v>
      </c>
      <c r="BW13" s="79" t="s">
        <v>281</v>
      </c>
      <c r="BX13" s="79" t="s">
        <v>281</v>
      </c>
      <c r="BY13" s="79" t="s">
        <v>281</v>
      </c>
      <c r="BZ13" s="79" t="s">
        <v>281</v>
      </c>
      <c r="CA13" s="79" t="s">
        <v>281</v>
      </c>
      <c r="CB13" s="79" t="s">
        <v>281</v>
      </c>
      <c r="CC13" s="79" t="s">
        <v>281</v>
      </c>
      <c r="CD13" s="79" t="s">
        <v>278</v>
      </c>
      <c r="CE13" s="79" t="s">
        <v>278</v>
      </c>
      <c r="CF13" s="79" t="s">
        <v>278</v>
      </c>
      <c r="CG13" s="79"/>
      <c r="CH13" s="79"/>
      <c r="CI13" s="107"/>
      <c r="CJ13" s="79"/>
      <c r="CK13" s="79"/>
      <c r="CL13" s="79"/>
      <c r="CM13" s="79"/>
      <c r="CN13" s="79"/>
      <c r="CO13" s="79"/>
      <c r="CP13" s="79"/>
      <c r="CQ13" s="79"/>
      <c r="CR13" s="79"/>
      <c r="CS13" s="79" t="s">
        <v>281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3" t="s">
        <v>304</v>
      </c>
      <c r="B1" s="83" t="s">
        <v>2</v>
      </c>
      <c r="C1" s="83" t="s">
        <v>4</v>
      </c>
      <c r="D1" s="83" t="s">
        <v>5</v>
      </c>
      <c r="E1" s="84" t="s">
        <v>8</v>
      </c>
      <c r="F1" s="84" t="s">
        <v>9</v>
      </c>
      <c r="G1" s="85" t="s">
        <v>10</v>
      </c>
      <c r="H1" s="84" t="s">
        <v>11</v>
      </c>
      <c r="I1" s="86" t="s">
        <v>12</v>
      </c>
      <c r="J1" s="87" t="s">
        <v>305</v>
      </c>
      <c r="K1" s="88" t="s">
        <v>306</v>
      </c>
      <c r="L1" s="86" t="s">
        <v>307</v>
      </c>
      <c r="M1" s="89"/>
      <c r="N1" s="89"/>
      <c r="O1" s="89"/>
      <c r="P1" s="89"/>
      <c r="Q1" s="89"/>
      <c r="R1" s="89"/>
      <c r="S1" s="89"/>
      <c r="T1" s="89"/>
      <c r="U1" s="89"/>
      <c r="V1" s="89"/>
      <c r="W1" s="89"/>
      <c r="X1" s="89"/>
      <c r="Y1" s="89"/>
      <c r="Z1" s="89"/>
    </row>
    <row r="2" spans="1:26" ht="38.25">
      <c r="A2" s="90" t="s">
        <v>308</v>
      </c>
      <c r="B2" s="91" t="s">
        <v>309</v>
      </c>
      <c r="C2" s="92"/>
      <c r="D2" s="92" t="s">
        <v>21</v>
      </c>
      <c r="E2" s="93">
        <v>45567</v>
      </c>
      <c r="F2" s="93">
        <v>45567</v>
      </c>
      <c r="G2" s="93">
        <v>45568</v>
      </c>
      <c r="H2" s="93">
        <v>45569</v>
      </c>
      <c r="I2" s="94">
        <f ca="1">IF(ISBLANK(H2), NETWORKDAYS(F2, TODAY(),Hoja2!$A$1:$A$18), NETWORKDAYS(F2, H2, Hoja2!$A$1:$A$18))</f>
        <v>3</v>
      </c>
      <c r="J2" s="93">
        <v>45572</v>
      </c>
      <c r="K2" s="95"/>
      <c r="L2" s="96" t="s">
        <v>310</v>
      </c>
      <c r="M2" s="89"/>
      <c r="N2" s="89"/>
      <c r="O2" s="89"/>
      <c r="P2" s="89"/>
      <c r="Q2" s="89"/>
      <c r="R2" s="89"/>
      <c r="S2" s="89"/>
      <c r="T2" s="89"/>
      <c r="U2" s="89"/>
      <c r="V2" s="89"/>
      <c r="W2" s="89"/>
      <c r="X2" s="89"/>
      <c r="Y2" s="89"/>
      <c r="Z2" s="89"/>
    </row>
    <row r="3" spans="1:26" ht="51">
      <c r="A3" s="90" t="s">
        <v>297</v>
      </c>
      <c r="B3" s="108" t="s">
        <v>311</v>
      </c>
      <c r="C3" s="97" t="s">
        <v>312</v>
      </c>
      <c r="D3" s="92" t="s">
        <v>39</v>
      </c>
      <c r="E3" s="93">
        <v>45575</v>
      </c>
      <c r="F3" s="93"/>
      <c r="G3" s="93"/>
      <c r="H3" s="95">
        <v>0</v>
      </c>
      <c r="I3" s="94">
        <f ca="1">IF(ISBLANK(H3), NETWORKDAYS(F3, TODAY(),Hoja2!$A$1:$A$18), NETWORKDAYS(F3, H3, Hoja2!$A$1:$A$18))</f>
        <v>0</v>
      </c>
      <c r="J3" s="93">
        <v>45569</v>
      </c>
      <c r="K3" s="93"/>
      <c r="L3" s="96" t="s">
        <v>313</v>
      </c>
      <c r="M3" s="98"/>
      <c r="N3" s="89"/>
      <c r="O3" s="89"/>
      <c r="P3" s="89"/>
      <c r="Q3" s="89"/>
      <c r="R3" s="89"/>
      <c r="S3" s="89"/>
      <c r="T3" s="89"/>
      <c r="U3" s="89"/>
      <c r="V3" s="89"/>
      <c r="W3" s="89"/>
      <c r="X3" s="89"/>
      <c r="Y3" s="89"/>
      <c r="Z3" s="89"/>
    </row>
    <row r="4" spans="1:26" ht="51">
      <c r="A4" s="90" t="s">
        <v>297</v>
      </c>
      <c r="B4" s="106"/>
      <c r="C4" s="99" t="s">
        <v>314</v>
      </c>
      <c r="D4" s="92" t="s">
        <v>39</v>
      </c>
      <c r="E4" s="93">
        <v>45575</v>
      </c>
      <c r="F4" s="100"/>
      <c r="G4" s="100"/>
      <c r="H4" s="101">
        <v>0</v>
      </c>
      <c r="I4" s="102">
        <f ca="1">IF(ISBLANK(H4), NETWORKDAYS(F4, TODAY(),Hoja2!$A$1:$A$18), NETWORKDAYS(F4, H4, Hoja2!$A$1:$A$18))</f>
        <v>0</v>
      </c>
      <c r="J4" s="100">
        <v>45569</v>
      </c>
      <c r="K4" s="100"/>
      <c r="L4" s="103" t="s">
        <v>315</v>
      </c>
      <c r="M4" s="98"/>
      <c r="N4" s="89"/>
      <c r="O4" s="89"/>
      <c r="P4" s="89"/>
      <c r="Q4" s="89"/>
      <c r="R4" s="89"/>
      <c r="S4" s="89"/>
      <c r="T4" s="89"/>
      <c r="U4" s="89"/>
      <c r="V4" s="89"/>
      <c r="W4" s="89"/>
      <c r="X4" s="89"/>
      <c r="Y4" s="89"/>
      <c r="Z4" s="89"/>
    </row>
    <row r="5" spans="1:26" ht="51">
      <c r="A5" s="90" t="s">
        <v>297</v>
      </c>
      <c r="B5" s="86" t="s">
        <v>316</v>
      </c>
      <c r="C5" s="92" t="s">
        <v>317</v>
      </c>
      <c r="D5" s="92" t="s">
        <v>39</v>
      </c>
      <c r="E5" s="93">
        <v>45575</v>
      </c>
      <c r="F5" s="93"/>
      <c r="G5" s="93"/>
      <c r="H5" s="95">
        <v>0</v>
      </c>
      <c r="I5" s="94">
        <f ca="1">IF(ISBLANK(H5), NETWORKDAYS(F5, TODAY(),Hoja2!$A$1:$A$18), NETWORKDAYS(F5, H5, Hoja2!$A$1:$A$18))</f>
        <v>0</v>
      </c>
      <c r="J5" s="93">
        <v>45569</v>
      </c>
      <c r="K5" s="93"/>
      <c r="L5" s="96" t="s">
        <v>315</v>
      </c>
      <c r="M5" s="98"/>
      <c r="N5" s="89"/>
      <c r="O5" s="89"/>
      <c r="P5" s="89"/>
      <c r="Q5" s="89"/>
      <c r="R5" s="89"/>
      <c r="S5" s="89"/>
      <c r="T5" s="89"/>
      <c r="U5" s="89"/>
      <c r="V5" s="89"/>
      <c r="W5" s="89"/>
      <c r="X5" s="89"/>
      <c r="Y5" s="89"/>
      <c r="Z5" s="89"/>
    </row>
    <row r="6" spans="1:26">
      <c r="A6" s="104"/>
      <c r="B6" s="104"/>
      <c r="C6" s="104"/>
      <c r="D6" s="104"/>
      <c r="E6" s="104"/>
      <c r="F6" s="104"/>
      <c r="G6" s="104"/>
      <c r="H6" s="104"/>
      <c r="I6" s="104"/>
      <c r="J6" s="104"/>
      <c r="K6" s="104"/>
      <c r="L6" s="104"/>
      <c r="M6" s="104"/>
      <c r="N6" s="104"/>
      <c r="O6" s="104"/>
      <c r="P6" s="104"/>
      <c r="Q6" s="104"/>
      <c r="R6" s="104"/>
      <c r="S6" s="104"/>
      <c r="T6" s="104"/>
      <c r="U6" s="104"/>
      <c r="V6" s="104"/>
      <c r="W6" s="104"/>
      <c r="X6" s="104"/>
      <c r="Y6" s="104"/>
      <c r="Z6" s="104"/>
    </row>
    <row r="7" spans="1:26">
      <c r="A7" s="104"/>
      <c r="B7" s="104"/>
      <c r="C7" s="104"/>
      <c r="D7" s="104"/>
      <c r="E7" s="104"/>
      <c r="F7" s="104"/>
      <c r="G7" s="104"/>
      <c r="H7" s="104"/>
      <c r="I7" s="104"/>
      <c r="J7" s="104"/>
      <c r="K7" s="104"/>
      <c r="L7" s="104"/>
      <c r="M7" s="104"/>
      <c r="N7" s="104"/>
      <c r="O7" s="104"/>
      <c r="P7" s="104"/>
      <c r="Q7" s="104"/>
      <c r="R7" s="104"/>
      <c r="S7" s="104"/>
      <c r="T7" s="104"/>
      <c r="U7" s="104"/>
      <c r="V7" s="104"/>
      <c r="W7" s="104"/>
      <c r="X7" s="104"/>
      <c r="Y7" s="104"/>
      <c r="Z7" s="104"/>
    </row>
    <row r="8" spans="1:26">
      <c r="A8" s="104"/>
      <c r="B8" s="104"/>
      <c r="C8" s="104"/>
      <c r="D8" s="104"/>
      <c r="E8" s="104"/>
      <c r="F8" s="104"/>
      <c r="G8" s="104"/>
      <c r="H8" s="104"/>
      <c r="I8" s="104"/>
      <c r="J8" s="104"/>
      <c r="K8" s="104"/>
      <c r="L8" s="104"/>
      <c r="M8" s="104"/>
      <c r="N8" s="104"/>
      <c r="O8" s="104"/>
      <c r="P8" s="104"/>
      <c r="Q8" s="104"/>
      <c r="R8" s="104"/>
      <c r="S8" s="104"/>
      <c r="T8" s="104"/>
      <c r="U8" s="104"/>
      <c r="V8" s="104"/>
      <c r="W8" s="104"/>
      <c r="X8" s="104"/>
      <c r="Y8" s="104"/>
      <c r="Z8" s="104"/>
    </row>
    <row r="9" spans="1:26">
      <c r="A9" s="104"/>
      <c r="B9" s="104"/>
      <c r="C9" s="104"/>
      <c r="D9" s="104"/>
      <c r="E9" s="104"/>
      <c r="F9" s="104"/>
      <c r="G9" s="104"/>
      <c r="H9" s="104"/>
      <c r="I9" s="104"/>
      <c r="J9" s="104"/>
      <c r="K9" s="104"/>
      <c r="L9" s="104"/>
      <c r="M9" s="104"/>
      <c r="N9" s="104"/>
      <c r="O9" s="104"/>
      <c r="P9" s="104"/>
      <c r="Q9" s="104"/>
      <c r="R9" s="104"/>
      <c r="S9" s="104"/>
      <c r="T9" s="104"/>
      <c r="U9" s="104"/>
      <c r="V9" s="104"/>
      <c r="W9" s="104"/>
      <c r="X9" s="104"/>
      <c r="Y9" s="104"/>
      <c r="Z9" s="104"/>
    </row>
    <row r="10" spans="1:26">
      <c r="A10" s="104"/>
      <c r="B10" s="104"/>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spans="1:26">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spans="1:26">
      <c r="A12" s="104"/>
      <c r="B12" s="104"/>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spans="1:26">
      <c r="A13" s="104"/>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spans="1:26">
      <c r="A14" s="104"/>
      <c r="B14" s="104"/>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spans="1:26">
      <c r="A15" s="104"/>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spans="1:26">
      <c r="A16" s="104"/>
      <c r="B16" s="104"/>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spans="1:26">
      <c r="A17" s="104"/>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spans="1:26">
      <c r="A18" s="104"/>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spans="1:26">
      <c r="A19" s="104"/>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spans="1:26">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spans="1:26" ht="15.75" customHeight="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spans="1:26" ht="15.75" customHeight="1">
      <c r="A22" s="104"/>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spans="1:26" ht="15.75" customHeight="1">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spans="1:26" ht="15.75" customHeight="1">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spans="1:26" ht="15.75" customHeight="1">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spans="1:26" ht="15.75" customHeight="1">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spans="1:26" ht="15.75" customHeight="1">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spans="1:26" ht="15.75" customHeight="1">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spans="1:26" ht="15.75" customHeight="1">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spans="1:26" ht="15.75" customHeight="1">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spans="1:26" ht="15.75" customHeight="1">
      <c r="A31" s="104"/>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spans="1:26" ht="15.75" customHeight="1">
      <c r="A32" s="104"/>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spans="1:26" ht="15.75" customHeight="1">
      <c r="A33" s="104"/>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spans="1:26" ht="15.75" customHeight="1">
      <c r="A34" s="104"/>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spans="1:26" ht="15.75" customHeight="1">
      <c r="A35" s="104"/>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spans="1:26" ht="15.75" customHeight="1">
      <c r="A36" s="104"/>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spans="1:26" ht="15.75" customHeight="1">
      <c r="A37" s="104"/>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spans="1:26" ht="15.75" customHeight="1">
      <c r="A38" s="104"/>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spans="1:26" ht="15.75" customHeight="1">
      <c r="A39" s="104"/>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spans="1:26" ht="15.7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spans="1:26" ht="15.75" customHeight="1">
      <c r="A41" s="104"/>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spans="1:26" ht="15.75" customHeight="1">
      <c r="A42" s="104"/>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spans="1:26" ht="15.75" customHeight="1">
      <c r="A43" s="104"/>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spans="1:26" ht="15.75" customHeight="1">
      <c r="A44" s="104"/>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spans="1:26" ht="15.75"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spans="1:26" ht="15.75" customHeight="1">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spans="1:26" ht="15.75" customHeight="1">
      <c r="A47" s="104"/>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spans="1:26" ht="15.75" customHeight="1">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spans="1:26" ht="15.75" customHeight="1">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spans="1:26" ht="15.75" customHeight="1">
      <c r="A50" s="104"/>
      <c r="B50" s="104"/>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row>
    <row r="51" spans="1:26" ht="15.75" customHeight="1">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row>
    <row r="52" spans="1:26" ht="15.75" customHeight="1">
      <c r="A52" s="104"/>
      <c r="B52" s="104"/>
      <c r="C52" s="104"/>
      <c r="D52" s="104"/>
      <c r="E52" s="104"/>
      <c r="F52" s="104"/>
      <c r="G52" s="104"/>
      <c r="H52" s="104"/>
      <c r="I52" s="104"/>
      <c r="J52" s="104"/>
      <c r="K52" s="104"/>
      <c r="L52" s="104"/>
      <c r="M52" s="104"/>
      <c r="N52" s="104"/>
      <c r="O52" s="104"/>
      <c r="P52" s="104"/>
      <c r="Q52" s="104"/>
      <c r="R52" s="104"/>
      <c r="S52" s="104"/>
      <c r="T52" s="104"/>
      <c r="U52" s="104"/>
      <c r="V52" s="104"/>
      <c r="W52" s="104"/>
      <c r="X52" s="104"/>
      <c r="Y52" s="104"/>
      <c r="Z52" s="104"/>
    </row>
    <row r="53" spans="1:26" ht="15.75" customHeight="1">
      <c r="A53" s="104"/>
      <c r="B53" s="104"/>
      <c r="C53" s="104"/>
      <c r="D53" s="104"/>
      <c r="E53" s="104"/>
      <c r="F53" s="104"/>
      <c r="G53" s="104"/>
      <c r="H53" s="104"/>
      <c r="I53" s="104"/>
      <c r="J53" s="104"/>
      <c r="K53" s="104"/>
      <c r="L53" s="104"/>
      <c r="M53" s="104"/>
      <c r="N53" s="104"/>
      <c r="O53" s="104"/>
      <c r="P53" s="104"/>
      <c r="Q53" s="104"/>
      <c r="R53" s="104"/>
      <c r="S53" s="104"/>
      <c r="T53" s="104"/>
      <c r="U53" s="104"/>
      <c r="V53" s="104"/>
      <c r="W53" s="104"/>
      <c r="X53" s="104"/>
      <c r="Y53" s="104"/>
      <c r="Z53" s="104"/>
    </row>
    <row r="54" spans="1:26" ht="15.75" customHeight="1">
      <c r="A54" s="104"/>
      <c r="B54" s="104"/>
      <c r="C54" s="104"/>
      <c r="D54" s="104"/>
      <c r="E54" s="104"/>
      <c r="F54" s="104"/>
      <c r="G54" s="104"/>
      <c r="H54" s="104"/>
      <c r="I54" s="104"/>
      <c r="J54" s="104"/>
      <c r="K54" s="104"/>
      <c r="L54" s="104"/>
      <c r="M54" s="104"/>
      <c r="N54" s="104"/>
      <c r="O54" s="104"/>
      <c r="P54" s="104"/>
      <c r="Q54" s="104"/>
      <c r="R54" s="104"/>
      <c r="S54" s="104"/>
      <c r="T54" s="104"/>
      <c r="U54" s="104"/>
      <c r="V54" s="104"/>
      <c r="W54" s="104"/>
      <c r="X54" s="104"/>
      <c r="Y54" s="104"/>
      <c r="Z54" s="104"/>
    </row>
    <row r="55" spans="1:26" ht="15.75" customHeight="1">
      <c r="A55" s="104"/>
      <c r="B55" s="104"/>
      <c r="C55" s="104"/>
      <c r="D55" s="104"/>
      <c r="E55" s="104"/>
      <c r="F55" s="104"/>
      <c r="G55" s="104"/>
      <c r="H55" s="104"/>
      <c r="I55" s="104"/>
      <c r="J55" s="104"/>
      <c r="K55" s="104"/>
      <c r="L55" s="104"/>
      <c r="M55" s="104"/>
      <c r="N55" s="104"/>
      <c r="O55" s="104"/>
      <c r="P55" s="104"/>
      <c r="Q55" s="104"/>
      <c r="R55" s="104"/>
      <c r="S55" s="104"/>
      <c r="T55" s="104"/>
      <c r="U55" s="104"/>
      <c r="V55" s="104"/>
      <c r="W55" s="104"/>
      <c r="X55" s="104"/>
      <c r="Y55" s="104"/>
      <c r="Z55" s="104"/>
    </row>
    <row r="56" spans="1:26" ht="15.75" customHeight="1">
      <c r="A56" s="104"/>
      <c r="B56" s="104"/>
      <c r="C56" s="104"/>
      <c r="D56" s="104"/>
      <c r="E56" s="104"/>
      <c r="F56" s="104"/>
      <c r="G56" s="104"/>
      <c r="H56" s="104"/>
      <c r="I56" s="104"/>
      <c r="J56" s="104"/>
      <c r="K56" s="104"/>
      <c r="L56" s="104"/>
      <c r="M56" s="104"/>
      <c r="N56" s="104"/>
      <c r="O56" s="104"/>
      <c r="P56" s="104"/>
      <c r="Q56" s="104"/>
      <c r="R56" s="104"/>
      <c r="S56" s="104"/>
      <c r="T56" s="104"/>
      <c r="U56" s="104"/>
      <c r="V56" s="104"/>
      <c r="W56" s="104"/>
      <c r="X56" s="104"/>
      <c r="Y56" s="104"/>
      <c r="Z56" s="104"/>
    </row>
    <row r="57" spans="1:26" ht="15.75" customHeight="1">
      <c r="A57" s="104"/>
      <c r="B57" s="104"/>
      <c r="C57" s="104"/>
      <c r="D57" s="104"/>
      <c r="E57" s="104"/>
      <c r="F57" s="104"/>
      <c r="G57" s="104"/>
      <c r="H57" s="104"/>
      <c r="I57" s="104"/>
      <c r="J57" s="104"/>
      <c r="K57" s="104"/>
      <c r="L57" s="104"/>
      <c r="M57" s="104"/>
      <c r="N57" s="104"/>
      <c r="O57" s="104"/>
      <c r="P57" s="104"/>
      <c r="Q57" s="104"/>
      <c r="R57" s="104"/>
      <c r="S57" s="104"/>
      <c r="T57" s="104"/>
      <c r="U57" s="104"/>
      <c r="V57" s="104"/>
      <c r="W57" s="104"/>
      <c r="X57" s="104"/>
      <c r="Y57" s="104"/>
      <c r="Z57" s="104"/>
    </row>
    <row r="58" spans="1:26" ht="15.75" customHeight="1">
      <c r="A58" s="104"/>
      <c r="B58" s="104"/>
      <c r="C58" s="104"/>
      <c r="D58" s="104"/>
      <c r="E58" s="104"/>
      <c r="F58" s="104"/>
      <c r="G58" s="104"/>
      <c r="H58" s="104"/>
      <c r="I58" s="104"/>
      <c r="J58" s="104"/>
      <c r="K58" s="104"/>
      <c r="L58" s="104"/>
      <c r="M58" s="104"/>
      <c r="N58" s="104"/>
      <c r="O58" s="104"/>
      <c r="P58" s="104"/>
      <c r="Q58" s="104"/>
      <c r="R58" s="104"/>
      <c r="S58" s="104"/>
      <c r="T58" s="104"/>
      <c r="U58" s="104"/>
      <c r="V58" s="104"/>
      <c r="W58" s="104"/>
      <c r="X58" s="104"/>
      <c r="Y58" s="104"/>
      <c r="Z58" s="104"/>
    </row>
    <row r="59" spans="1:26" ht="15.75" customHeight="1">
      <c r="A59" s="104"/>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spans="1:26" ht="15.75" customHeight="1">
      <c r="A60" s="104"/>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spans="1:26" ht="15.7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spans="1:26" ht="15.7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spans="1:26" ht="15.7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spans="1:26" ht="15.7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spans="1:26" ht="15.7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spans="1:26" ht="15.7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spans="1:26" ht="15.7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spans="1:26" ht="15.7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spans="1:26" ht="15.7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spans="1:26" ht="15.7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spans="1:26" ht="15.7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spans="1:26" ht="15.7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spans="1:26" ht="15.7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spans="1:26" ht="15.7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spans="1:26" ht="15.7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spans="1:26" ht="15.7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spans="1:26" ht="15.7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spans="1:26" ht="15.7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spans="1:26" ht="15.7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spans="1:26" ht="15.7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spans="1:26"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spans="1:26"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spans="1:26"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spans="1:26"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spans="1:26"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spans="1:2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spans="1:26"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spans="1:26"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spans="1:26"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spans="1:26"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spans="1:26"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spans="1:26"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spans="1:26"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spans="1:26"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spans="1:26"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spans="1:2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spans="1:26"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spans="1:26"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spans="1:26"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spans="1:26"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spans="1:26"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spans="1:26"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spans="1:26"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spans="1:26"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spans="1:26"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spans="1:2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spans="1:26"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spans="1:26"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spans="1:26"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spans="1:26"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spans="1:26"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spans="1:26"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spans="1:26"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spans="1:26"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spans="1:26"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spans="1:2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spans="1:26"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spans="1:26"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spans="1:26"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spans="1:26"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spans="1:26"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spans="1:26"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spans="1:26"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spans="1:26"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spans="1:26"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spans="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spans="1:26"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spans="1:26"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spans="1:26"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spans="1:26"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spans="1:26"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spans="1:26"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spans="1:26"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spans="1:26"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spans="1:26"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spans="1:2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spans="1:26"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spans="1:26"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spans="1:26"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spans="1:26"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spans="1:26"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spans="1:26"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spans="1:26"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spans="1:26"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spans="1:26"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spans="1:2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spans="1:26"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spans="1:26"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spans="1:26"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spans="1:26"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spans="1:26"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spans="1:26"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spans="1:26"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spans="1:26"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spans="1:26"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spans="1:2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spans="1:26"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spans="1:26"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spans="1:26"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spans="1:26"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spans="1:26"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spans="1:26"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spans="1:26"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spans="1:26"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spans="1:26"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spans="1:2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spans="1:26"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spans="1:26"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spans="1:26"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spans="1:26"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spans="1:26"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spans="1:26"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spans="1:26"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spans="1:26"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spans="1:26"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spans="1:2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spans="1:26"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spans="1:26"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spans="1:26"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spans="1:26"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spans="1:26"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spans="1:26"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spans="1:26"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spans="1:26"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spans="1:26"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spans="1:2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spans="1:26"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spans="1:26"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spans="1:26"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spans="1:26"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spans="1:26"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spans="1:26"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spans="1:26"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spans="1:26"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spans="1:26"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spans="1:2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spans="1:26"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spans="1:26"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spans="1:26"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spans="1:26"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spans="1:26"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spans="1:26"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spans="1:26"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spans="1:26"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spans="1:26"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spans="1:2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spans="1:26"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spans="1:26"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spans="1:26"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spans="1:26"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spans="1:26"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spans="1:26"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spans="1:26"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spans="1:26"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spans="1:26"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spans="1:2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spans="1:26"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spans="1:26"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spans="1:26"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spans="1:26"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2026-02-20T18:30:38Z</dcterms:modified>
</cp:coreProperties>
</file>
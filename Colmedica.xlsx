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(Colmedica)'!$A$1:$R$62</definedName>
  </definedNames>
  <calcPr calcId="162913"/>
  <extLst>
    <ext uri="GoogleSheetsCustomDataVersion2">
      <go:sheetsCustomData xmlns:go="http://customooxmlschemas.google.com/" r:id="rId8" roundtripDataChecksum="RcR0Oeiyak7CPBnUElyiULKs4ww9CTXeCqxXN2a/bsM="/>
    </ext>
  </extLst>
</workbook>
</file>

<file path=xl/calcChain.xml><?xml version="1.0" encoding="utf-8"?>
<calcChain xmlns="http://schemas.openxmlformats.org/spreadsheetml/2006/main">
  <c r="I5" i="4" l="1"/>
  <c r="I4" i="4"/>
  <c r="I3" i="4"/>
  <c r="I2" i="4"/>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M47" i="1"/>
  <c r="M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<sst xmlns="http://schemas.openxmlformats.org/spreadsheetml/2006/main" count="1288" uniqueCount="330">
  <si>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</si>
  <si>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</si>
  <si>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</si>
  <si>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</si>
  <si>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</si>
  <si>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</si>
  <si>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</si>
  <si>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</si>
  <si>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</si>
  <si>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</si>
  <si>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</si>
  <si>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</si>
  <si>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</si>
  <si>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</si>
  <si>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</si>
  <si>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</si>
  <si>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</si>
  <si>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</si>
  <si>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</si>
  <si>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</si>
  <si>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</si>
  <si>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</si>
  <si>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</si>
  <si>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True</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</si>
  <si>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</si>
  <si>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</si>
  <si>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</si>
  <si>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</si>
  <si>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</si>
  <si>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</si>
  <si>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</si>
  <si>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</si>
  <si>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</si>
  <si>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7/11/2025 se publica en poducción que es la fecha en la que Colmédica empieza a enviar estas afiliaciones</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</si>
  <si>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</si>
  <si>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</si>
  <si>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</si>
  <si>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</si>
  <si>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</si>
  <si>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</si>
  <si>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</si>
  <si>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</si>
  <si>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</si>
  <si>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</si>
  <si>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</si>
  <si>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</si>
  <si>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</si>
  <si>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</si>
  <si>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</si>
  <si>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</si>
  <si>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</si>
  <si>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</si>
  <si>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</si>
  <si>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</si>
  <si>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</si>
  <si>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</si>
  <si>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</si>
  <si>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</si>
  <si>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</si>
  <si>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</si>
  <si>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</si>
  <si>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</si>
  <si>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</si>
  <si>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</si>
  <si>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</si>
  <si>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</si>
  <si>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</si>
  <si>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</si>
  <si>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</si>
  <si>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</si>
  <si>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</si>
  <si>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</si>
  <si>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</si>
  <si>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</si>
  <si>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</si>
  <si>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</si>
  <si>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</si>
  <si>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</si>
  <si>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</si>
  <si>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</si>
  <si>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</si>
  <si>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</si>
  <si>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</si>
  <si>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</si>
  <si>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</si>
  <si>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</si>
  <si>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</si>
  <si>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</si>
  <si>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</si>
  <si>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</si>
  <si>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</si>
  <si>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</si>
  <si>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</si>
  <si>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</si>
  <si>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</si>
  <si>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</si>
  <si>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EN PROCESO</t>
  </si>
  <si>
    <t xml:space="preserve">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
25/02/2026 se retoma, el desarrollo dandole un vuelco para unificar el código y dejarlo de manera virtual
26/02/2026 ajustes a la pagina a conexiones de bases de datos dependiendo de la base donde se encuentre la tabla
27/02/2026 Ajuste de ciclos y querys según las funciones y/o clases defindas en la conexión ya existente. Ya no genera error el código, pero se le está haciendo seguimiento a los querys y ejecución para obtener el resultado de los respectivos archivos
6/03/2026 se terminaron de ajustar los errores de la pagina en la generación de afiliaciones nuevas
9/03/2026 se empiezan a validar inconsistencias para la generación de Inclusiones. y como ya se generan archivos, pues se debe realizar la comparación de estructura y data con la generada actualmente por el access.
10/03/2026 se hicieron ajsutes por homologación para los nombres de los archivos de inclusiones
11/03/2026 se pasa a producción la pagina, para empezar a hacer pruebas controladas comparando ambos sistemas
12/03/2026 pruebas con los archivos  en produccion, como no todos los días se generan la misma cantidad y los mismos archivos se identifacn unos no generados con la nomenclatura correcta, pero se generan en otro archivo, 
13/03/2026 pruebas con los archivos en produccion, como no todos los días se generan la misma cantidad y los mismos archivos se identifacn unos no generados con la nomenclatura correcta, perose generan en otro archivo, </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</si>
  <si>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</si>
  <si>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</si>
  <si>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</si>
  <si>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</si>
  <si>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</si>
  <si>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</si>
  <si>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</si>
  <si>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</si>
  <si>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</si>
  <si>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</si>
  <si>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</si>
  <si>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</si>
  <si>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</si>
  <si>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</si>
  <si>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</si>
  <si>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</si>
  <si>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5/09/2025 Posible mejora detectada por Imagine -Jennifer</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</si>
  <si>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</si>
  <si>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</si>
  <si>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</si>
  <si>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</si>
  <si>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</si>
  <si>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</si>
  <si>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</si>
  <si>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</si>
  <si>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</si>
  <si>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</si>
  <si>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</si>
  <si>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</si>
  <si>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</si>
  <si>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</si>
  <si>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</si>
  <si>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</si>
  <si>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</si>
  <si>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</si>
  <si>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</si>
  <si>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</si>
  <si>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</si>
  <si>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</si>
  <si>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</si>
  <si>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</si>
  <si>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</si>
  <si>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</si>
  <si>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</si>
  <si>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</si>
  <si>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</si>
  <si>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</si>
  <si>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</si>
  <si>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</si>
  <si>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</si>
  <si>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</si>
  <si>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</si>
  <si>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</si>
  <si>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</si>
  <si>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</si>
  <si>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</si>
  <si>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</si>
  <si>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</si>
  <si>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</si>
  <si>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</si>
  <si>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</si>
  <si>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</si>
  <si>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</si>
  <si>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</si>
  <si>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</si>
  <si>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5/11/2025 Posible mejora detectada por Imagine -Jennifer
12/03/2026 se inicia con el desarrollo para el envío del correo a las 3 personas de mantenimiento de colectivos, se adiciona la función del envío del archivo que se sube, por correo electronico
16/03/2026 se adicionan cuentas para el envío de correos, por la adminitracion del envio de correos, y se debio adicionar un campo nuevo en el cargue, dado que dentro del cuerpo del correo salia un datos que no se pedía en el excel - se pasa a  pruebas, para ser validado por el usuario</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</si>
  <si>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</si>
  <si>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</si>
  <si>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</si>
  <si>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</si>
  <si>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</si>
  <si>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</si>
  <si>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</si>
  <si>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</si>
  <si>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</si>
  <si>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</si>
  <si>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</si>
  <si>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</si>
  <si>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</si>
  <si>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</si>
  <si>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</si>
  <si>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12/11/2025 se adiciona en la revisión de las imágenes la eliminación de los documentos que son informativos, e iguales para todos los usuarios y no son necesarios queden adjuntos a la afiliacion</t>
  </si>
  <si>
    <t>OPT_25</t>
  </si>
  <si>
    <t>Afiliaciones Pre - Parentescos XML</t>
  </si>
  <si>
    <t>Ajustar un parentesco que no se estaba cargando desde el xml por cambio en su escritura</t>
  </si>
  <si>
    <t>12/11/2025 se adicionan los parentescos nuevos creados para hacer la respectiva hologación al tramitar la afiliación</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</si>
  <si>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</si>
  <si>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</si>
  <si>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</si>
  <si>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</si>
  <si>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</si>
  <si>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</si>
  <si>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</si>
  <si>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19/11/2025 Posible mejora detectada por Imagine -Jennifer</t>
  </si>
  <si>
    <t>OPT_28</t>
  </si>
  <si>
    <t>Afiliaciones POS - Consumo Puntual de las afiliaciones</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</si>
  <si>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</si>
  <si>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</si>
  <si>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</si>
  <si>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</si>
  <si>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</si>
  <si>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</si>
  <si>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</si>
  <si>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</si>
  <si>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</si>
  <si>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</si>
  <si>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</si>
  <si>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</si>
  <si>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</si>
  <si>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</si>
  <si>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</si>
  <si>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</si>
  <si>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</si>
  <si>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5/02/2026 Se revisa documento enviado por el área comercial, para validar los ajustes solicitados para la plataforma de Normalización de Afiliaciones, Se renombfran columnas y eliminan las solicitadas
6/02/2026 se inicia con la adición de columnas y la modificación en query para obtener el datos
9/02/2026 modificación en las vistas de modales con la información de devolucions y auditoria médica
11/02/2026 Se validan los filtros solicitados sobre los campos para consultas puntuales
27/02/2026 se confirman, cambios, y se informa al cliente para la revisión
3/03/2026 se hace reunión con el átrea para hacer retroalimentación, y piden unos ajustes de forma para poder pasar a producción
4/03/2026 se empiezan a hacer los ajustes solicitados en la reunión anterioir
10/03/2026 se hace reunión para mostrar los ajustes según la última reunión, y se aprueban por parte del área para paso a producción</t>
  </si>
  <si>
    <t>OPT_22</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</si>
  <si>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</si>
  <si>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</si>
  <si>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</si>
  <si>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</si>
  <si>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</si>
  <si>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</si>
  <si>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</si>
  <si>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</si>
  <si>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</si>
  <si>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</si>
  <si>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OPT_36</t>
  </si>
  <si>
    <t>Convenios Medicos - Cargue Masivo de Planes a Nits</t>
  </si>
  <si>
    <t>Cargue de excel para relacionar de manera masiva los planes creados nuevos por Colmédica a los diferentes prestadores</t>
  </si>
  <si>
    <t>01/2026 Posible mejora detectada por Imagine -Jennifer</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</si>
  <si>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</si>
  <si>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</si>
  <si>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</si>
  <si>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</si>
  <si>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</si>
  <si>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</si>
  <si>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</si>
  <si>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</si>
  <si>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</si>
  <si>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</si>
  <si>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</si>
  <si>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OPT_40</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</si>
  <si>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</si>
  <si>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</si>
  <si>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</si>
  <si>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OPT_41</t>
  </si>
  <si>
    <t>Afiliaciones PRE - Consulta Sarlaft</t>
  </si>
  <si>
    <t>Se debe hacer la consulta por el titular y los usuarios que vengan en el formulario mayores de edad, incluir en base de datos y se debe modificar el cargue de respuesta de infolat, por que ya se cargaran varios soportes a la misma solicitud</t>
  </si>
  <si>
    <t>25/02/2026 Se crea campo nuevo para diferenciar el titular del beneficiario.,se Realiza revisión del momento en el que se coloca la información en la tabla de consulta sarlaft para que se empiecen a almacenar los usuarios que sean mayores a 18 años
26/02/2026 en el proceso de consulta, de captura y verificación del sarlaft, se ajusta para omitir los registros que corresponden a beneficiarios, dado que por ellos no se recibirá documento, sino solo el del titular, más sin embargo si se llegase a devolver por alguna inconsistencia, los registros de los beneficiarios, tambien deben quedar devueltos, o de lo contrario enviarse para la consulta
3/03/2026 se inician los ajustes para la carga de los soportes y que no se renombren los soportes con solo el numero de solicitud, sino que queden solicitud y cc de la consulta. Se confirma el proceso que hace la lectura del PDF para guardar si  viene reportado en listas y ajustar tambien que lea el pdf afiliacion_identificacion
5/03/2026 confirmacion de la última parte del proceso, donde despues se valida el resultado de la lectura del pdf, para saber si la solicitud queda devuelta o continua el proceso normal, y se adjunta la imagen a cada afiliación. se dispone en pruebas y valida
6/03/2026 Se pasa a produccion y se hacen 2 pruebas controladas para revisar el proceso completo</t>
  </si>
  <si>
    <t>OPT_42</t>
  </si>
  <si>
    <t>Convenios Medicos - Ajuste cuerpo del correo campaña</t>
  </si>
  <si>
    <t>Ajuste al cuerpo del correo por cambio en las páginas de Colmedica - Aliansalud para los prestadores</t>
  </si>
  <si>
    <t>27/02/2026 solicitan ejemplo de correos de los diferentes prestadores, para jacer modificaciones al cuerpo del correo de la campaña
2/03/2026 se envía correo ejemplos por cada tipo de prestador solicitado.
16/03/2026 alcance al correo para hacer seguimiento, no se han recibido los cambios que mencionaron, se recibe finalizando la tarde el correo con los ajustes respectivos
17/03/2026 se validan los cambios, y se procede a relaizarlos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</si>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</sst>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7">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49" fontId="20" fillId="5" borderId="0" xfId="0" applyNumberFormat="1"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49" fontId="20" fillId="6" borderId="0" xfId="0" applyNumberFormat="1"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0" fontId="20" fillId="6" borderId="0" xfId="0" applyFont="1" applyFill="1" applyAlignment="1"/>
    <xf numFmtId="0" fontId="20" fillId="5" borderId="0" xfId="0" applyFont="1" applyFill="1" applyAlignment="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164" fontId="18" fillId="5" borderId="4" xfId="0" applyNumberFormat="1" applyFont="1" applyFill="1" applyBorder="1" applyAlignment="1">
      <alignment vertical="center" wrapText="1"/>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2"/>
  <sheetViews>
    <sheetView tabSelected="1" workbookViewId="0">
      <pane ySplit="1" topLeftCell="A51" activePane="bottomLeft" state="frozen"/>
      <selection pane="bottomLeft" activeCell="A63" sqref="A63"/>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23</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24</v>
      </c>
      <c r="D3" s="35" t="s">
        <v>25</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26</v>
      </c>
      <c r="R3" s="45" t="s">
        <v>23</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27</v>
      </c>
      <c r="C4" s="19" t="s">
        <v>28</v>
      </c>
      <c r="D4" s="20" t="s">
        <v>29</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30</v>
      </c>
      <c r="R4" s="30" t="s">
        <v>23</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31</v>
      </c>
      <c r="D5" s="35" t="s">
        <v>32</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v>45968</v>
      </c>
      <c r="Q5" s="44" t="s">
        <v>33</v>
      </c>
      <c r="R5" s="45" t="s">
        <v>23</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34</v>
      </c>
      <c r="D6" s="20" t="s">
        <v>35</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36</v>
      </c>
      <c r="R6" s="30" t="s">
        <v>23</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37</v>
      </c>
      <c r="B7" s="33">
        <v>294</v>
      </c>
      <c r="C7" s="34" t="s">
        <v>38</v>
      </c>
      <c r="D7" s="35" t="s">
        <v>39</v>
      </c>
      <c r="E7" s="36"/>
      <c r="F7" s="37" t="s">
        <v>40</v>
      </c>
      <c r="G7" s="38">
        <v>0</v>
      </c>
      <c r="H7" s="47"/>
      <c r="I7" s="48">
        <v>45925</v>
      </c>
      <c r="J7" s="49"/>
      <c r="K7" s="43"/>
      <c r="L7" s="43"/>
      <c r="M7" s="42">
        <f ca="1">IF(OR(J7="",AND(L7="",TODAY()&lt;J7),AND(L7&lt;&gt;"",L7&lt;J7)),0,
   IF(L7="",
      NETWORKDAYS(J7,TODAY(),Hoja2!$A$2:$A$53),
      NETWORKDAYS(J7,L7,Hoja2!$A$2:$A$53)
   )
)</f>
        <v>0</v>
      </c>
      <c r="N7" s="43"/>
      <c r="O7" s="43"/>
      <c r="P7" s="43"/>
      <c r="Q7" s="44" t="s">
        <v>41</v>
      </c>
      <c r="R7" s="45" t="s">
        <v>42</v>
      </c>
      <c r="S7" s="50"/>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37</v>
      </c>
      <c r="B8" s="18">
        <v>293</v>
      </c>
      <c r="C8" s="19" t="s">
        <v>43</v>
      </c>
      <c r="D8" s="20" t="s">
        <v>44</v>
      </c>
      <c r="E8" s="21"/>
      <c r="F8" s="22" t="s">
        <v>21</v>
      </c>
      <c r="G8" s="23">
        <v>100</v>
      </c>
      <c r="H8" s="24">
        <f>IF(OR(J8="",K8="",K8&lt;J8),0,NETWORKDAYS(J8,K8,Hoja2!$A$2:$A$53))</f>
        <v>26</v>
      </c>
      <c r="I8" s="25">
        <v>45925</v>
      </c>
      <c r="J8" s="25">
        <v>45931</v>
      </c>
      <c r="K8" s="26">
        <v>45968</v>
      </c>
      <c r="L8" s="26">
        <v>45937</v>
      </c>
      <c r="M8" s="27">
        <f ca="1">IF(OR(J8="",AND(L8="",TODAY()&lt;J8),AND(L8&lt;&gt;"",L8&lt;J8)),0,
   IF(L8="",
      NETWORKDAYS(J8,TODAY(),Hoja2!$A$2:$A$53),
      NETWORKDAYS(J8,L8,Hoja2!$A$2:$A$53)
   )
)</f>
        <v>5</v>
      </c>
      <c r="N8" s="28"/>
      <c r="O8" s="26">
        <v>45937</v>
      </c>
      <c r="P8" s="26">
        <v>45937</v>
      </c>
      <c r="Q8" s="29" t="s">
        <v>45</v>
      </c>
      <c r="R8" s="30" t="s">
        <v>23</v>
      </c>
      <c r="S8" s="51"/>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45" t="s">
        <v>23</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30" t="s">
        <v>23</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45" t="s">
        <v>23</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4</v>
      </c>
      <c r="I12" s="25">
        <v>45800</v>
      </c>
      <c r="J12" s="25">
        <v>45800</v>
      </c>
      <c r="K12" s="28">
        <v>45805</v>
      </c>
      <c r="L12" s="28">
        <v>45805</v>
      </c>
      <c r="M12" s="27">
        <f ca="1">IF(OR(J12="",AND(L12="",TODAY()&lt;J12),AND(L12&lt;&gt;"",L12&lt;J12)),0,
   IF(L12="",
      NETWORKDAYS(J12,TODAY(),Hoja2!$A$2:$A$53),
      NETWORKDAYS(J12,L12,Hoja2!$A$2:$A$53)
   )
)</f>
        <v>4</v>
      </c>
      <c r="N12" s="28"/>
      <c r="O12" s="28">
        <v>45805</v>
      </c>
      <c r="P12" s="28">
        <v>45807</v>
      </c>
      <c r="Q12" s="29" t="s">
        <v>59</v>
      </c>
      <c r="R12" s="30" t="s">
        <v>23</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37</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45" t="s">
        <v>23</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37</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30" t="s">
        <v>23</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37</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45" t="s">
        <v>23</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10</v>
      </c>
      <c r="I16" s="25">
        <v>45814</v>
      </c>
      <c r="J16" s="25">
        <v>45814</v>
      </c>
      <c r="K16" s="28">
        <v>45827</v>
      </c>
      <c r="L16" s="28">
        <v>45821</v>
      </c>
      <c r="M16" s="27">
        <f ca="1">IF(OR(J16="",AND(L16="",TODAY()&lt;J16),AND(L16&lt;&gt;"",L16&lt;J16)),0,
   IF(L16="",
      NETWORKDAYS(J16,TODAY(),Hoja2!$A$2:$A$53),
      NETWORKDAYS(J16,L16,Hoja2!$A$2:$A$53)
   )
)</f>
        <v>6</v>
      </c>
      <c r="N16" s="28"/>
      <c r="O16" s="28">
        <v>45821</v>
      </c>
      <c r="P16" s="28">
        <v>45827</v>
      </c>
      <c r="Q16" s="29" t="s">
        <v>75</v>
      </c>
      <c r="R16" s="30" t="s">
        <v>23</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76</v>
      </c>
      <c r="C17" s="34" t="s">
        <v>77</v>
      </c>
      <c r="D17" s="35" t="s">
        <v>78</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79</v>
      </c>
      <c r="R17" s="45" t="s">
        <v>23</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80</v>
      </c>
      <c r="C18" s="19" t="s">
        <v>81</v>
      </c>
      <c r="D18" s="20" t="s">
        <v>82</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83</v>
      </c>
      <c r="R18" s="30" t="s">
        <v>23</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84</v>
      </c>
      <c r="D19" s="35" t="s">
        <v>85</v>
      </c>
      <c r="E19" s="36"/>
      <c r="F19" s="37" t="s">
        <v>21</v>
      </c>
      <c r="G19" s="38">
        <v>100</v>
      </c>
      <c r="H19" s="39">
        <f>IF(OR(J19="",K19="",K19&lt;J19),0,NETWORKDAYS(J19,K19,Hoja2!$A$2:$A$53))</f>
        <v>3</v>
      </c>
      <c r="I19" s="40">
        <v>45870</v>
      </c>
      <c r="J19" s="40">
        <v>45874</v>
      </c>
      <c r="K19" s="41">
        <v>45877</v>
      </c>
      <c r="L19" s="41">
        <v>45877</v>
      </c>
      <c r="M19" s="42">
        <f ca="1">IF(OR(J19="",AND(L19="",TODAY()&lt;J19),AND(L19&lt;&gt;"",L19&lt;J19)),0,
   IF(L19="",
      NETWORKDAYS(J19,TODAY(),Hoja2!$A$2:$A$53),
      NETWORKDAYS(J19,L19,Hoja2!$A$2:$A$53)
   )
)</f>
        <v>3</v>
      </c>
      <c r="N19" s="43"/>
      <c r="O19" s="43">
        <v>45877</v>
      </c>
      <c r="P19" s="43">
        <v>45881</v>
      </c>
      <c r="Q19" s="44" t="s">
        <v>86</v>
      </c>
      <c r="R19" s="45" t="s">
        <v>23</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87</v>
      </c>
      <c r="D20" s="20" t="s">
        <v>88</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30" t="s">
        <v>23</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37</v>
      </c>
      <c r="B21" s="33" t="s">
        <v>89</v>
      </c>
      <c r="C21" s="34" t="s">
        <v>90</v>
      </c>
      <c r="D21" s="35" t="s">
        <v>91</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92</v>
      </c>
      <c r="R21" s="45" t="s">
        <v>23</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37</v>
      </c>
      <c r="B22" s="18" t="s">
        <v>93</v>
      </c>
      <c r="C22" s="19" t="s">
        <v>94</v>
      </c>
      <c r="D22" s="20" t="s">
        <v>95</v>
      </c>
      <c r="E22" s="21"/>
      <c r="F22" s="22" t="s">
        <v>96</v>
      </c>
      <c r="G22" s="23">
        <v>95</v>
      </c>
      <c r="H22" s="24">
        <f>IF(OR(J22="",K22="",K22&lt;J22),0,NETWORKDAYS(J22,K22,Hoja2!$A$2:$A$53))</f>
        <v>8</v>
      </c>
      <c r="I22" s="25">
        <v>45891</v>
      </c>
      <c r="J22" s="25">
        <v>46078</v>
      </c>
      <c r="K22" s="26">
        <v>46087</v>
      </c>
      <c r="L22" s="26"/>
      <c r="M22" s="27">
        <f ca="1">IF(OR(J22="",AND(L22="",TODAY()&lt;J22),AND(L22&lt;&gt;"",L22&lt;J22)),0,
   IF(L22="",
      NETWORKDAYS(J22,TODAY(),Hoja2!$A$2:$A$53),
      NETWORKDAYS(J22,L22,Hoja2!$A$2:$A$53)
   )
)</f>
        <v>15</v>
      </c>
      <c r="N22" s="28"/>
      <c r="O22" s="28">
        <v>46090</v>
      </c>
      <c r="P22" s="28">
        <v>46092</v>
      </c>
      <c r="Q22" s="29" t="s">
        <v>97</v>
      </c>
      <c r="R22" s="30" t="s">
        <v>23</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37</v>
      </c>
      <c r="B23" s="33" t="s">
        <v>98</v>
      </c>
      <c r="C23" s="34" t="s">
        <v>99</v>
      </c>
      <c r="D23" s="35" t="s">
        <v>100</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101</v>
      </c>
      <c r="R23" s="45" t="s">
        <v>23</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102</v>
      </c>
      <c r="C24" s="19" t="s">
        <v>103</v>
      </c>
      <c r="D24" s="20" t="s">
        <v>104</v>
      </c>
      <c r="E24" s="21"/>
      <c r="F24" s="22" t="s">
        <v>105</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136</v>
      </c>
      <c r="N24" s="28"/>
      <c r="O24" s="28"/>
      <c r="P24" s="28"/>
      <c r="Q24" s="29" t="s">
        <v>106</v>
      </c>
      <c r="R24" s="30" t="s">
        <v>42</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107</v>
      </c>
      <c r="C25" s="34" t="s">
        <v>108</v>
      </c>
      <c r="D25" s="35" t="s">
        <v>109</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110</v>
      </c>
      <c r="R25" s="45" t="s">
        <v>23</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111</v>
      </c>
      <c r="C26" s="19" t="s">
        <v>112</v>
      </c>
      <c r="D26" s="20" t="s">
        <v>113</v>
      </c>
      <c r="E26" s="21"/>
      <c r="F26" s="22" t="s">
        <v>40</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t="s">
        <v>114</v>
      </c>
      <c r="R26" s="30" t="s">
        <v>42</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115</v>
      </c>
      <c r="C27" s="34" t="s">
        <v>116</v>
      </c>
      <c r="D27" s="35" t="s">
        <v>117</v>
      </c>
      <c r="E27" s="36"/>
      <c r="F27" s="37" t="s">
        <v>21</v>
      </c>
      <c r="G27" s="38">
        <v>100</v>
      </c>
      <c r="H27" s="39">
        <f>IF(OR(J27="",K27="",K27&lt;J27),0,NETWORKDAYS(J27,K27,Hoja2!$A$2:$A$53))</f>
        <v>1</v>
      </c>
      <c r="I27" s="40">
        <v>45911</v>
      </c>
      <c r="J27" s="52">
        <v>45912</v>
      </c>
      <c r="K27" s="52">
        <v>45912</v>
      </c>
      <c r="L27" s="52">
        <v>45912</v>
      </c>
      <c r="M27" s="42">
        <f ca="1">IF(OR(J27="",AND(L27="",TODAY()&lt;J27),AND(L27&lt;&gt;"",L27&lt;J27)),0,
   IF(L27="",
      NETWORKDAYS(J27,TODAY(),Hoja2!$A$2:$A$53),
      NETWORKDAYS(J27,L27,Hoja2!$A$2:$A$53)
   )
)</f>
        <v>1</v>
      </c>
      <c r="N27" s="53"/>
      <c r="O27" s="53">
        <v>45912</v>
      </c>
      <c r="P27" s="53">
        <v>45912</v>
      </c>
      <c r="Q27" s="44" t="s">
        <v>118</v>
      </c>
      <c r="R27" s="45" t="s">
        <v>23</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119</v>
      </c>
      <c r="D28" s="20" t="s">
        <v>120</v>
      </c>
      <c r="E28" s="21"/>
      <c r="F28" s="22" t="s">
        <v>21</v>
      </c>
      <c r="G28" s="23">
        <v>100</v>
      </c>
      <c r="H28" s="24">
        <f>IF(OR(J28="",K28="",K28&lt;J28),0,NETWORKDAYS(J28,K28,Hoja2!$A$2:$A$53))</f>
        <v>3</v>
      </c>
      <c r="I28" s="25" t="s">
        <v>121</v>
      </c>
      <c r="J28" s="25">
        <v>45923</v>
      </c>
      <c r="K28" s="25">
        <v>45925</v>
      </c>
      <c r="L28" s="25">
        <v>45925</v>
      </c>
      <c r="M28" s="27">
        <f ca="1">IF(OR(J28="",AND(L28="",TODAY()&lt;J28),AND(L28&lt;&gt;"",L28&lt;J28)),0,
   IF(L28="",
      NETWORKDAYS(J28,TODAY(),Hoja2!$A$2:$A$53),
      NETWORKDAYS(J28,L28,Hoja2!$A$2:$A$53)
   )
)</f>
        <v>3</v>
      </c>
      <c r="N28" s="28"/>
      <c r="O28" s="25">
        <v>45925</v>
      </c>
      <c r="P28" s="25">
        <v>45925</v>
      </c>
      <c r="Q28" s="29" t="s">
        <v>122</v>
      </c>
      <c r="R28" s="30" t="s">
        <v>23</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123</v>
      </c>
      <c r="D29" s="35" t="s">
        <v>124</v>
      </c>
      <c r="E29" s="36"/>
      <c r="F29" s="37" t="s">
        <v>21</v>
      </c>
      <c r="G29" s="38">
        <v>100</v>
      </c>
      <c r="H29" s="39">
        <f>IF(OR(J29="",K29="",K29&lt;J29),0,NETWORKDAYS(J29,K29,Hoja2!$A$2:$A$53))</f>
        <v>2</v>
      </c>
      <c r="I29" s="40" t="s">
        <v>121</v>
      </c>
      <c r="J29" s="40">
        <v>45917</v>
      </c>
      <c r="K29" s="41">
        <v>45918</v>
      </c>
      <c r="L29" s="41">
        <v>45918</v>
      </c>
      <c r="M29" s="42">
        <f ca="1">IF(OR(J29="",AND(L29="",TODAY()&lt;J29),AND(L29&lt;&gt;"",L29&lt;J29)),0,
   IF(L29="",
      NETWORKDAYS(J29,TODAY(),Hoja2!$A$2:$A$53),
      NETWORKDAYS(J29,L29,Hoja2!$A$2:$A$53)
   )
)</f>
        <v>2</v>
      </c>
      <c r="N29" s="43"/>
      <c r="O29" s="43">
        <v>45918</v>
      </c>
      <c r="P29" s="43">
        <v>45918</v>
      </c>
      <c r="Q29" s="44" t="s">
        <v>125</v>
      </c>
      <c r="R29" s="45" t="s">
        <v>23</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126</v>
      </c>
      <c r="D30" s="20" t="s">
        <v>127</v>
      </c>
      <c r="E30" s="21"/>
      <c r="F30" s="22" t="s">
        <v>21</v>
      </c>
      <c r="G30" s="23">
        <v>100</v>
      </c>
      <c r="H30" s="24">
        <f>IF(OR(J30="",K30="",K30&lt;J30),0,NETWORKDAYS(J30,K30,Hoja2!$A$2:$A$53))</f>
        <v>5</v>
      </c>
      <c r="I30" s="25" t="s">
        <v>121</v>
      </c>
      <c r="J30" s="25">
        <v>45912</v>
      </c>
      <c r="K30" s="26">
        <v>45918</v>
      </c>
      <c r="L30" s="26">
        <v>45917</v>
      </c>
      <c r="M30" s="27">
        <f ca="1">IF(OR(J30="",AND(L30="",TODAY()&lt;J30),AND(L30&lt;&gt;"",L30&lt;J30)),0,
   IF(L30="",
      NETWORKDAYS(J30,TODAY(),Hoja2!$A$2:$A$53),
      NETWORKDAYS(J30,L30,Hoja2!$A$2:$A$53)
   )
)</f>
        <v>4</v>
      </c>
      <c r="N30" s="28"/>
      <c r="O30" s="28">
        <v>45917</v>
      </c>
      <c r="P30" s="28">
        <v>45916</v>
      </c>
      <c r="Q30" s="29" t="s">
        <v>128</v>
      </c>
      <c r="R30" s="30" t="s">
        <v>23</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37</v>
      </c>
      <c r="B31" s="33" t="s">
        <v>129</v>
      </c>
      <c r="C31" s="34" t="s">
        <v>130</v>
      </c>
      <c r="D31" s="35" t="s">
        <v>131</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132</v>
      </c>
      <c r="R31" s="45" t="s">
        <v>23</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37</v>
      </c>
      <c r="B32" s="18" t="s">
        <v>133</v>
      </c>
      <c r="C32" s="19" t="s">
        <v>134</v>
      </c>
      <c r="D32" s="20" t="s">
        <v>135</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136</v>
      </c>
      <c r="R32" s="30" t="s">
        <v>23</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137</v>
      </c>
      <c r="C33" s="34" t="s">
        <v>138</v>
      </c>
      <c r="D33" s="35" t="s">
        <v>139</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140</v>
      </c>
      <c r="R33" s="45" t="s">
        <v>23</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141</v>
      </c>
      <c r="D34" s="20" t="s">
        <v>142</v>
      </c>
      <c r="E34" s="21"/>
      <c r="F34" s="22" t="s">
        <v>105</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111</v>
      </c>
      <c r="N34" s="28"/>
      <c r="O34" s="28"/>
      <c r="P34" s="28"/>
      <c r="Q34" s="29" t="s">
        <v>143</v>
      </c>
      <c r="R34" s="30" t="s">
        <v>42</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37</v>
      </c>
      <c r="B35" s="33" t="s">
        <v>144</v>
      </c>
      <c r="C35" s="34" t="s">
        <v>145</v>
      </c>
      <c r="D35" s="35" t="s">
        <v>146</v>
      </c>
      <c r="E35" s="36"/>
      <c r="F35" s="37" t="s">
        <v>21</v>
      </c>
      <c r="G35" s="38">
        <v>100</v>
      </c>
      <c r="H35" s="39">
        <f>IF(OR(J35="",K35="",K35&lt;J35),0,NETWORKDAYS(J35,K35,Hoja2!$A$2:$A$53))</f>
        <v>7</v>
      </c>
      <c r="I35" s="40">
        <v>45925</v>
      </c>
      <c r="J35" s="40">
        <v>45932</v>
      </c>
      <c r="K35" s="41">
        <v>45940</v>
      </c>
      <c r="L35" s="43">
        <v>45938</v>
      </c>
      <c r="M35" s="42">
        <f ca="1">IF(OR(J35="",AND(L35="",TODAY()&lt;J35),AND(L35&lt;&gt;"",L35&lt;J35)),0,
   IF(L35="",
      NETWORKDAYS(J35,TODAY(),Hoja2!$A$2:$A$53),
      NETWORKDAYS(J35,L35,Hoja2!$A$2:$A$53)
   )
)</f>
        <v>5</v>
      </c>
      <c r="N35" s="43"/>
      <c r="O35" s="43">
        <v>45938</v>
      </c>
      <c r="P35" s="43">
        <v>45940</v>
      </c>
      <c r="Q35" s="44" t="s">
        <v>147</v>
      </c>
      <c r="R35" s="45" t="s">
        <v>23</v>
      </c>
      <c r="S35" s="54"/>
      <c r="T35" s="54"/>
      <c r="U35" s="54"/>
      <c r="V35" s="54"/>
      <c r="W35" s="54"/>
      <c r="X35" s="54"/>
      <c r="Y35" s="54"/>
      <c r="Z35" s="54"/>
      <c r="AA35" s="54"/>
      <c r="AB35" s="54"/>
      <c r="AC35" s="54"/>
      <c r="AD35" s="54"/>
      <c r="AE35" s="54"/>
      <c r="AF35" s="54"/>
      <c r="AG35" s="54"/>
      <c r="AH35" s="54"/>
      <c r="AI35" s="54"/>
      <c r="AJ35" s="54"/>
      <c r="AK35" s="54"/>
      <c r="AL35" s="54"/>
      <c r="AM35" s="54"/>
      <c r="AN35" s="55"/>
    </row>
    <row r="36" spans="1:40" ht="38.25">
      <c r="A36" s="17" t="s">
        <v>37</v>
      </c>
      <c r="B36" s="18" t="s">
        <v>148</v>
      </c>
      <c r="C36" s="19" t="s">
        <v>149</v>
      </c>
      <c r="D36" s="20" t="s">
        <v>150</v>
      </c>
      <c r="E36" s="21"/>
      <c r="F36" s="22" t="s">
        <v>21</v>
      </c>
      <c r="G36" s="23">
        <v>100</v>
      </c>
      <c r="H36" s="24">
        <f>IF(OR(J36="",K36="",K36&lt;J36),0,NETWORKDAYS(J36,K36,Hoja2!$A$2:$A$53))</f>
        <v>6</v>
      </c>
      <c r="I36" s="25">
        <v>45954</v>
      </c>
      <c r="J36" s="25">
        <v>45968</v>
      </c>
      <c r="K36" s="26">
        <v>45975</v>
      </c>
      <c r="L36" s="28">
        <v>45975</v>
      </c>
      <c r="M36" s="27">
        <f ca="1">IF(OR(J36="",AND(L36="",TODAY()&lt;J36),AND(L36&lt;&gt;"",L36&lt;J36)),0,
   IF(L36="",
      NETWORKDAYS(J36,TODAY(),Hoja2!$A$2:$A$53),
      NETWORKDAYS(J36,L36,Hoja2!$A$2:$A$53)
   )
)</f>
        <v>6</v>
      </c>
      <c r="N36" s="28"/>
      <c r="O36" s="28">
        <v>45975</v>
      </c>
      <c r="P36" s="28">
        <v>45975</v>
      </c>
      <c r="Q36" s="29" t="s">
        <v>151</v>
      </c>
      <c r="R36" s="30" t="s">
        <v>23</v>
      </c>
      <c r="S36" s="56"/>
      <c r="T36" s="56"/>
      <c r="U36" s="56"/>
      <c r="V36" s="56"/>
      <c r="W36" s="56"/>
      <c r="X36" s="56"/>
      <c r="Y36" s="56"/>
      <c r="Z36" s="56"/>
      <c r="AA36" s="56"/>
      <c r="AB36" s="56"/>
      <c r="AC36" s="56"/>
      <c r="AD36" s="56"/>
      <c r="AE36" s="56"/>
      <c r="AF36" s="56"/>
      <c r="AG36" s="56"/>
      <c r="AH36" s="56"/>
      <c r="AI36" s="56"/>
      <c r="AJ36" s="56"/>
      <c r="AK36" s="56"/>
      <c r="AL36" s="56"/>
      <c r="AM36" s="56"/>
      <c r="AN36" s="57"/>
    </row>
    <row r="37" spans="1:40" ht="42.75">
      <c r="A37" s="32" t="s">
        <v>37</v>
      </c>
      <c r="B37" s="33" t="s">
        <v>152</v>
      </c>
      <c r="C37" s="34" t="s">
        <v>153</v>
      </c>
      <c r="D37" s="35" t="s">
        <v>154</v>
      </c>
      <c r="E37" s="36"/>
      <c r="F37" s="37" t="s">
        <v>21</v>
      </c>
      <c r="G37" s="38">
        <v>100</v>
      </c>
      <c r="H37" s="39">
        <f>IF(OR(J37="",K37="",K37&lt;J37),0,NETWORKDAYS(J37,K37,Hoja2!$A$2:$A$53))</f>
        <v>6</v>
      </c>
      <c r="I37" s="40">
        <v>45960</v>
      </c>
      <c r="J37" s="40">
        <v>45961</v>
      </c>
      <c r="K37" s="41">
        <v>45971</v>
      </c>
      <c r="L37" s="43">
        <v>45971</v>
      </c>
      <c r="M37" s="42">
        <f ca="1">IF(OR(J37="",AND(L37="",TODAY()&lt;J37),AND(L37&lt;&gt;"",L37&lt;J37)),0,
   IF(L37="",
      NETWORKDAYS(J37,TODAY(),Hoja2!$A$2:$A$53),
      NETWORKDAYS(J37,L37,Hoja2!$A$2:$A$53)
   )
)</f>
        <v>6</v>
      </c>
      <c r="N37" s="43"/>
      <c r="O37" s="43">
        <v>45971</v>
      </c>
      <c r="P37" s="43">
        <v>45971</v>
      </c>
      <c r="Q37" s="44" t="s">
        <v>155</v>
      </c>
      <c r="R37" s="45" t="s">
        <v>23</v>
      </c>
      <c r="S37" s="54"/>
      <c r="T37" s="54"/>
      <c r="U37" s="54"/>
      <c r="V37" s="54"/>
      <c r="W37" s="54"/>
      <c r="X37" s="54"/>
      <c r="Y37" s="54"/>
      <c r="Z37" s="54"/>
      <c r="AA37" s="54"/>
      <c r="AB37" s="54"/>
      <c r="AC37" s="54"/>
      <c r="AD37" s="54"/>
      <c r="AE37" s="54"/>
      <c r="AF37" s="54"/>
      <c r="AG37" s="54"/>
      <c r="AH37" s="54"/>
      <c r="AI37" s="54"/>
      <c r="AJ37" s="54"/>
      <c r="AK37" s="54"/>
      <c r="AL37" s="54"/>
      <c r="AM37" s="54"/>
      <c r="AN37" s="55"/>
    </row>
    <row r="38" spans="1:40" ht="25.5">
      <c r="A38" s="17" t="s">
        <v>37</v>
      </c>
      <c r="B38" s="18" t="s">
        <v>156</v>
      </c>
      <c r="C38" s="19" t="s">
        <v>157</v>
      </c>
      <c r="D38" s="20" t="s">
        <v>158</v>
      </c>
      <c r="E38" s="21"/>
      <c r="F38" s="22" t="s">
        <v>40</v>
      </c>
      <c r="G38" s="23">
        <v>10</v>
      </c>
      <c r="H38" s="24">
        <f>IF(OR(J38="",K38="",K38&lt;J38),0,NETWORKDAYS(J38,K38,Hoja2!$A$2:$A$53))</f>
        <v>0</v>
      </c>
      <c r="I38" s="25">
        <v>45957</v>
      </c>
      <c r="J38" s="25">
        <v>45967</v>
      </c>
      <c r="K38" s="26"/>
      <c r="L38" s="26"/>
      <c r="M38" s="27">
        <f ca="1">IF(OR(J38="",AND(L38="",TODAY()&lt;J38),AND(L38&lt;&gt;"",L38&lt;J38)),0,
   IF(L38="",
      NETWORKDAYS(J38,TODAY(),Hoja2!$A$2:$A$53),
      NETWORKDAYS(J38,L38,Hoja2!$A$2:$A$53)
   )
)</f>
        <v>89</v>
      </c>
      <c r="N38" s="28"/>
      <c r="O38" s="28"/>
      <c r="P38" s="28"/>
      <c r="Q38" s="29" t="s">
        <v>159</v>
      </c>
      <c r="R38" s="30" t="s">
        <v>42</v>
      </c>
      <c r="S38" s="56"/>
      <c r="T38" s="56"/>
      <c r="U38" s="56"/>
      <c r="V38" s="56"/>
      <c r="W38" s="56"/>
      <c r="X38" s="56"/>
      <c r="Y38" s="56"/>
      <c r="Z38" s="56"/>
      <c r="AA38" s="56"/>
      <c r="AB38" s="56"/>
      <c r="AC38" s="56"/>
      <c r="AD38" s="56"/>
      <c r="AE38" s="56"/>
      <c r="AF38" s="56"/>
      <c r="AG38" s="56"/>
      <c r="AH38" s="56"/>
      <c r="AI38" s="56"/>
      <c r="AJ38" s="56"/>
      <c r="AK38" s="56"/>
      <c r="AL38" s="56"/>
      <c r="AM38" s="56"/>
      <c r="AN38" s="57"/>
    </row>
    <row r="39" spans="1:40" ht="42.75">
      <c r="A39" s="32" t="s">
        <v>37</v>
      </c>
      <c r="B39" s="33" t="s">
        <v>160</v>
      </c>
      <c r="C39" s="34" t="s">
        <v>161</v>
      </c>
      <c r="D39" s="35" t="s">
        <v>162</v>
      </c>
      <c r="E39" s="36"/>
      <c r="F39" s="37" t="s">
        <v>96</v>
      </c>
      <c r="G39" s="38">
        <v>95</v>
      </c>
      <c r="H39" s="39">
        <f>IF(OR(J39="",K39="",K39&lt;J39),0,NETWORKDAYS(J39,K39,Hoja2!$A$2:$A$53))</f>
        <v>2</v>
      </c>
      <c r="I39" s="40">
        <v>46092</v>
      </c>
      <c r="J39" s="40">
        <v>46093</v>
      </c>
      <c r="K39" s="41">
        <v>46094</v>
      </c>
      <c r="L39" s="41"/>
      <c r="M39" s="42">
        <f ca="1">IF(OR(J39="",AND(L39="",TODAY()&lt;J39),AND(L39&lt;&gt;"",L39&lt;J39)),0,
   IF(L39="",
      NETWORKDAYS(J39,TODAY(),Hoja2!$A$2:$A$53),
      NETWORKDAYS(J39,L39,Hoja2!$A$2:$A$53)
   )
)</f>
        <v>4</v>
      </c>
      <c r="N39" s="43"/>
      <c r="O39" s="43">
        <v>46097</v>
      </c>
      <c r="P39" s="43"/>
      <c r="Q39" s="44" t="s">
        <v>163</v>
      </c>
      <c r="R39" s="45" t="s">
        <v>23</v>
      </c>
      <c r="S39" s="54"/>
      <c r="T39" s="54"/>
      <c r="U39" s="54"/>
      <c r="V39" s="54"/>
      <c r="W39" s="54"/>
      <c r="X39" s="54"/>
      <c r="Y39" s="54"/>
      <c r="Z39" s="54"/>
      <c r="AA39" s="54"/>
      <c r="AB39" s="54"/>
      <c r="AC39" s="54"/>
      <c r="AD39" s="54"/>
      <c r="AE39" s="54"/>
      <c r="AF39" s="54"/>
      <c r="AG39" s="54"/>
      <c r="AH39" s="54"/>
      <c r="AI39" s="54"/>
      <c r="AJ39" s="54"/>
      <c r="AK39" s="54"/>
      <c r="AL39" s="54"/>
      <c r="AM39" s="54"/>
      <c r="AN39" s="55"/>
    </row>
    <row r="40" spans="1:40" ht="63.75">
      <c r="A40" s="17" t="s">
        <v>37</v>
      </c>
      <c r="B40" s="18" t="s">
        <v>164</v>
      </c>
      <c r="C40" s="19" t="s">
        <v>165</v>
      </c>
      <c r="D40" s="20" t="s">
        <v>166</v>
      </c>
      <c r="E40" s="21"/>
      <c r="F40" s="22" t="s">
        <v>21</v>
      </c>
      <c r="G40" s="23">
        <v>100</v>
      </c>
      <c r="H40" s="24">
        <f>IF(OR(J40="",K40="",K40&lt;J40),0,NETWORKDAYS(J40,K40,Hoja2!$A$2:$A$53))</f>
        <v>6</v>
      </c>
      <c r="I40" s="25">
        <v>45968</v>
      </c>
      <c r="J40" s="25">
        <v>45968</v>
      </c>
      <c r="K40" s="26">
        <v>45975</v>
      </c>
      <c r="L40" s="28">
        <v>45981</v>
      </c>
      <c r="M40" s="27">
        <f ca="1">IF(OR(J40="",AND(L40="",TODAY()&lt;J40),AND(L40&lt;&gt;"",L40&lt;J40)),0,
   IF(L40="",
      NETWORKDAYS(J40,TODAY(),Hoja2!$A$2:$A$53),
      NETWORKDAYS(J40,L40,Hoja2!$A$2:$A$53)
   )
)</f>
        <v>9</v>
      </c>
      <c r="N40" s="28"/>
      <c r="O40" s="28">
        <v>45981</v>
      </c>
      <c r="P40" s="28">
        <v>45981</v>
      </c>
      <c r="Q40" s="29" t="s">
        <v>167</v>
      </c>
      <c r="R40" s="30" t="s">
        <v>23</v>
      </c>
      <c r="S40" s="56"/>
      <c r="T40" s="56"/>
      <c r="U40" s="56"/>
      <c r="V40" s="56"/>
      <c r="W40" s="56"/>
      <c r="X40" s="56"/>
      <c r="Y40" s="56"/>
      <c r="Z40" s="56"/>
      <c r="AA40" s="56"/>
      <c r="AB40" s="56"/>
      <c r="AC40" s="56"/>
      <c r="AD40" s="56"/>
      <c r="AE40" s="56"/>
      <c r="AF40" s="56"/>
      <c r="AG40" s="56"/>
      <c r="AH40" s="56"/>
      <c r="AI40" s="56"/>
      <c r="AJ40" s="56"/>
      <c r="AK40" s="56"/>
      <c r="AL40" s="56"/>
      <c r="AM40" s="56"/>
      <c r="AN40" s="57"/>
    </row>
    <row r="41" spans="1:40" ht="71.25">
      <c r="A41" s="32" t="s">
        <v>37</v>
      </c>
      <c r="B41" s="33" t="s">
        <v>168</v>
      </c>
      <c r="C41" s="34" t="s">
        <v>169</v>
      </c>
      <c r="D41" s="35" t="s">
        <v>170</v>
      </c>
      <c r="E41" s="36"/>
      <c r="F41" s="37" t="s">
        <v>21</v>
      </c>
      <c r="G41" s="38">
        <v>100</v>
      </c>
      <c r="H41" s="39">
        <f>IF(OR(J41="",K41="",K41&lt;J41),0,NETWORKDAYS(J41,K41,Hoja2!$A$2:$A$53))</f>
        <v>6</v>
      </c>
      <c r="I41" s="40">
        <v>45968</v>
      </c>
      <c r="J41" s="40">
        <v>45968</v>
      </c>
      <c r="K41" s="41">
        <v>45975</v>
      </c>
      <c r="L41" s="43">
        <v>45981</v>
      </c>
      <c r="M41" s="42">
        <f ca="1">IF(OR(J41="",AND(L41="",TODAY()&lt;J41),AND(L41&lt;&gt;"",L41&lt;J41)),0,
   IF(L41="",
      NETWORKDAYS(J41,TODAY(),Hoja2!$A$2:$A$53),
      NETWORKDAYS(J41,L41,Hoja2!$A$2:$A$53)
   )
)</f>
        <v>9</v>
      </c>
      <c r="N41" s="43"/>
      <c r="O41" s="43">
        <v>45981</v>
      </c>
      <c r="P41" s="43">
        <v>45981</v>
      </c>
      <c r="Q41" s="44" t="s">
        <v>171</v>
      </c>
      <c r="R41" s="45" t="s">
        <v>23</v>
      </c>
      <c r="S41" s="54"/>
      <c r="T41" s="54"/>
      <c r="U41" s="54"/>
      <c r="V41" s="54"/>
      <c r="W41" s="54"/>
      <c r="X41" s="54"/>
      <c r="Y41" s="54"/>
      <c r="Z41" s="54"/>
      <c r="AA41" s="54"/>
      <c r="AB41" s="54"/>
      <c r="AC41" s="54"/>
      <c r="AD41" s="54"/>
      <c r="AE41" s="54"/>
      <c r="AF41" s="54"/>
      <c r="AG41" s="54"/>
      <c r="AH41" s="54"/>
      <c r="AI41" s="54"/>
      <c r="AJ41" s="54"/>
      <c r="AK41" s="54"/>
      <c r="AL41" s="54"/>
      <c r="AM41" s="54"/>
      <c r="AN41" s="55"/>
    </row>
    <row r="42" spans="1:40" ht="28.5">
      <c r="A42" s="17" t="s">
        <v>37</v>
      </c>
      <c r="B42" s="18" t="s">
        <v>172</v>
      </c>
      <c r="C42" s="19" t="s">
        <v>173</v>
      </c>
      <c r="D42" s="20" t="s">
        <v>174</v>
      </c>
      <c r="E42" s="21"/>
      <c r="F42" s="22" t="s">
        <v>21</v>
      </c>
      <c r="G42" s="23">
        <v>100</v>
      </c>
      <c r="H42" s="24">
        <f>IF(OR(J42="",K42="",K42&lt;J42),0,NETWORKDAYS(J42,K42,Hoja2!$A$2:$A$53))</f>
        <v>1</v>
      </c>
      <c r="I42" s="25">
        <v>45973</v>
      </c>
      <c r="J42" s="25">
        <v>45981</v>
      </c>
      <c r="K42" s="26">
        <v>45981</v>
      </c>
      <c r="L42" s="26">
        <v>45981</v>
      </c>
      <c r="M42" s="27">
        <f ca="1">IF(OR(J42="",AND(L42="",TODAY()&lt;J42),AND(L42&lt;&gt;"",L42&lt;J42)),0,
   IF(L42="",
      NETWORKDAYS(J42,TODAY(),Hoja2!$A$2:$A$53),
      NETWORKDAYS(J42,L42,Hoja2!$A$2:$A$53)
   )
)</f>
        <v>1</v>
      </c>
      <c r="N42" s="28"/>
      <c r="O42" s="28">
        <v>45981</v>
      </c>
      <c r="P42" s="28">
        <v>45981</v>
      </c>
      <c r="Q42" s="29" t="s">
        <v>175</v>
      </c>
      <c r="R42" s="30" t="s">
        <v>23</v>
      </c>
      <c r="S42" s="58"/>
      <c r="T42" s="58"/>
      <c r="U42" s="58"/>
      <c r="V42" s="58"/>
      <c r="W42" s="58"/>
      <c r="X42" s="58"/>
      <c r="Y42" s="58"/>
      <c r="Z42" s="58"/>
      <c r="AA42" s="58"/>
      <c r="AB42" s="58"/>
      <c r="AC42" s="58"/>
      <c r="AD42" s="58"/>
      <c r="AE42" s="58"/>
      <c r="AF42" s="58"/>
      <c r="AG42" s="58"/>
      <c r="AH42" s="58"/>
      <c r="AI42" s="58"/>
      <c r="AJ42" s="58"/>
      <c r="AK42" s="58"/>
      <c r="AL42" s="58"/>
      <c r="AM42" s="58"/>
      <c r="AN42" s="59"/>
    </row>
    <row r="43" spans="1:40" ht="38.25">
      <c r="A43" s="32" t="s">
        <v>37</v>
      </c>
      <c r="B43" s="33" t="s">
        <v>176</v>
      </c>
      <c r="C43" s="34" t="s">
        <v>177</v>
      </c>
      <c r="D43" s="35" t="s">
        <v>178</v>
      </c>
      <c r="E43" s="36"/>
      <c r="F43" s="37" t="s">
        <v>21</v>
      </c>
      <c r="G43" s="38">
        <v>100</v>
      </c>
      <c r="H43" s="39">
        <f>IF(OR(J43="",K43="",K43&lt;J43),0,NETWORKDAYS(J43,K43,Hoja2!$A$2:$A$53))</f>
        <v>1</v>
      </c>
      <c r="I43" s="40">
        <v>45973</v>
      </c>
      <c r="J43" s="40">
        <v>45973</v>
      </c>
      <c r="K43" s="40">
        <v>45973</v>
      </c>
      <c r="L43" s="40">
        <v>45973</v>
      </c>
      <c r="M43" s="42">
        <f ca="1">IF(OR(J43="",AND(L43="",TODAY()&lt;J43),AND(L43&lt;&gt;"",L43&lt;J43)),0,
   IF(L43="",
      NETWORKDAYS(J43,TODAY(),Hoja2!$A$2:$A$53),
      NETWORKDAYS(J43,L43,Hoja2!$A$2:$A$53)
   )
)</f>
        <v>1</v>
      </c>
      <c r="N43" s="49"/>
      <c r="O43" s="49">
        <v>45973</v>
      </c>
      <c r="P43" s="49">
        <v>45973</v>
      </c>
      <c r="Q43" s="44" t="s">
        <v>179</v>
      </c>
      <c r="R43" s="45" t="s">
        <v>23</v>
      </c>
      <c r="S43" s="60"/>
      <c r="T43" s="60"/>
      <c r="U43" s="60"/>
      <c r="V43" s="60"/>
      <c r="W43" s="60"/>
      <c r="X43" s="60"/>
      <c r="Y43" s="60"/>
      <c r="Z43" s="60"/>
      <c r="AA43" s="60"/>
      <c r="AB43" s="60"/>
      <c r="AC43" s="60"/>
      <c r="AD43" s="60"/>
      <c r="AE43" s="60"/>
      <c r="AF43" s="60"/>
      <c r="AG43" s="60"/>
      <c r="AH43" s="60"/>
      <c r="AI43" s="60"/>
      <c r="AJ43" s="60"/>
      <c r="AK43" s="60"/>
      <c r="AL43" s="60"/>
      <c r="AM43" s="60"/>
      <c r="AN43" s="61"/>
    </row>
    <row r="44" spans="1:40" ht="28.5">
      <c r="A44" s="17" t="s">
        <v>37</v>
      </c>
      <c r="B44" s="18" t="s">
        <v>180</v>
      </c>
      <c r="C44" s="19" t="s">
        <v>181</v>
      </c>
      <c r="D44" s="20" t="s">
        <v>182</v>
      </c>
      <c r="E44" s="21"/>
      <c r="F44" s="22" t="s">
        <v>21</v>
      </c>
      <c r="G44" s="23">
        <v>100</v>
      </c>
      <c r="H44" s="24">
        <f>IF(OR(J44="",K44="",K44&lt;J44),0,NETWORKDAYS(J44,K44,Hoja2!$A$2:$A$53))</f>
        <v>1</v>
      </c>
      <c r="I44" s="25">
        <v>45973</v>
      </c>
      <c r="J44" s="25">
        <v>45973</v>
      </c>
      <c r="K44" s="25">
        <v>45973</v>
      </c>
      <c r="L44" s="25">
        <v>45973</v>
      </c>
      <c r="M44" s="27">
        <f ca="1">IF(OR(J44="",AND(L44="",TODAY()&lt;J44),AND(L44&lt;&gt;"",L44&lt;J44)),0,
   IF(L44="",
      NETWORKDAYS(J44,TODAY(),Hoja2!$A$2:$A$53),
      NETWORKDAYS(J44,L44,Hoja2!$A$2:$A$53)
   )
)</f>
        <v>1</v>
      </c>
      <c r="N44" s="62"/>
      <c r="O44" s="62">
        <v>45973</v>
      </c>
      <c r="P44" s="62">
        <v>45973</v>
      </c>
      <c r="Q44" s="29" t="s">
        <v>183</v>
      </c>
      <c r="R44" s="30" t="s">
        <v>23</v>
      </c>
      <c r="S44" s="58"/>
      <c r="T44" s="58"/>
      <c r="U44" s="58"/>
      <c r="V44" s="58"/>
      <c r="W44" s="58"/>
      <c r="X44" s="58"/>
      <c r="Y44" s="58"/>
      <c r="Z44" s="58"/>
      <c r="AA44" s="58"/>
      <c r="AB44" s="58"/>
      <c r="AC44" s="58"/>
      <c r="AD44" s="58"/>
      <c r="AE44" s="58"/>
      <c r="AF44" s="58"/>
      <c r="AG44" s="58"/>
      <c r="AH44" s="58"/>
      <c r="AI44" s="58"/>
      <c r="AJ44" s="58"/>
      <c r="AK44" s="58"/>
      <c r="AL44" s="58"/>
      <c r="AM44" s="58"/>
      <c r="AN44" s="59"/>
    </row>
    <row r="45" spans="1:40" ht="42.75">
      <c r="A45" s="32" t="s">
        <v>37</v>
      </c>
      <c r="B45" s="33" t="s">
        <v>184</v>
      </c>
      <c r="C45" s="34" t="s">
        <v>185</v>
      </c>
      <c r="D45" s="35" t="s">
        <v>186</v>
      </c>
      <c r="E45" s="36"/>
      <c r="F45" s="37" t="s">
        <v>21</v>
      </c>
      <c r="G45" s="38">
        <v>100</v>
      </c>
      <c r="H45" s="39">
        <f>IF(OR(J45="",K45="",K45&lt;J45),0,NETWORKDAYS(J45,K45,Hoja2!$A$2:$A$53))</f>
        <v>3</v>
      </c>
      <c r="I45" s="40">
        <v>45974</v>
      </c>
      <c r="J45" s="40">
        <v>45974</v>
      </c>
      <c r="K45" s="43">
        <v>45979</v>
      </c>
      <c r="L45" s="43">
        <v>45979</v>
      </c>
      <c r="M45" s="42">
        <f ca="1">IF(OR(J45="",AND(L45="",TODAY()&lt;J45),AND(L45&lt;&gt;"",L45&lt;J45)),0,
   IF(L45="",
      NETWORKDAYS(J45,TODAY(),Hoja2!$A$2:$A$53),
      NETWORKDAYS(J45,L45,Hoja2!$A$2:$A$53)
   )
)</f>
        <v>3</v>
      </c>
      <c r="N45" s="43"/>
      <c r="O45" s="43">
        <v>45979</v>
      </c>
      <c r="P45" s="43">
        <v>45985</v>
      </c>
      <c r="Q45" s="44" t="s">
        <v>187</v>
      </c>
      <c r="R45" s="45" t="s">
        <v>23</v>
      </c>
      <c r="S45" s="60"/>
      <c r="T45" s="60"/>
      <c r="U45" s="60"/>
      <c r="V45" s="60"/>
      <c r="W45" s="60"/>
      <c r="X45" s="60"/>
      <c r="Y45" s="60"/>
      <c r="Z45" s="60"/>
      <c r="AA45" s="60"/>
      <c r="AB45" s="60"/>
      <c r="AC45" s="60"/>
      <c r="AD45" s="60"/>
      <c r="AE45" s="60"/>
      <c r="AF45" s="60"/>
      <c r="AG45" s="60"/>
      <c r="AH45" s="60"/>
      <c r="AI45" s="60"/>
      <c r="AJ45" s="60"/>
      <c r="AK45" s="60"/>
      <c r="AL45" s="60"/>
      <c r="AM45" s="60"/>
      <c r="AN45" s="61"/>
    </row>
    <row r="46" spans="1:40" ht="71.25">
      <c r="A46" s="17" t="s">
        <v>37</v>
      </c>
      <c r="B46" s="18" t="s">
        <v>188</v>
      </c>
      <c r="C46" s="19" t="s">
        <v>189</v>
      </c>
      <c r="D46" s="20" t="s">
        <v>190</v>
      </c>
      <c r="E46" s="21"/>
      <c r="F46" s="22" t="s">
        <v>40</v>
      </c>
      <c r="G46" s="23">
        <v>0</v>
      </c>
      <c r="H46" s="63"/>
      <c r="I46" s="64">
        <v>45980</v>
      </c>
      <c r="J46" s="62"/>
      <c r="K46" s="28"/>
      <c r="L46" s="28"/>
      <c r="M46" s="27">
        <f ca="1">IF(OR(J46="",AND(L46="",TODAY()&lt;J46),AND(L46&lt;&gt;"",L46&lt;J46)),0,
   IF(L46="",
      NETWORKDAYS(J46,TODAY(),Hoja2!$A$2:$A$53),
      NETWORKDAYS(J46,L46,Hoja2!$A$2:$A$53)
   )
)</f>
        <v>0</v>
      </c>
      <c r="N46" s="28"/>
      <c r="O46" s="28"/>
      <c r="P46" s="28"/>
      <c r="Q46" s="29" t="s">
        <v>191</v>
      </c>
      <c r="R46" s="30" t="s">
        <v>42</v>
      </c>
      <c r="S46" s="58"/>
      <c r="T46" s="58"/>
      <c r="U46" s="58"/>
      <c r="V46" s="58"/>
      <c r="W46" s="58"/>
      <c r="X46" s="58"/>
      <c r="Y46" s="58"/>
      <c r="Z46" s="58"/>
      <c r="AA46" s="58"/>
      <c r="AB46" s="58"/>
      <c r="AC46" s="58"/>
      <c r="AD46" s="58"/>
      <c r="AE46" s="58"/>
      <c r="AF46" s="58"/>
      <c r="AG46" s="58"/>
      <c r="AH46" s="58"/>
      <c r="AI46" s="58"/>
      <c r="AJ46" s="58"/>
      <c r="AK46" s="58"/>
      <c r="AL46" s="58"/>
      <c r="AM46" s="58"/>
      <c r="AN46" s="59"/>
    </row>
    <row r="47" spans="1:40" ht="42.75">
      <c r="A47" s="32" t="s">
        <v>37</v>
      </c>
      <c r="B47" s="33" t="s">
        <v>192</v>
      </c>
      <c r="C47" s="34" t="s">
        <v>193</v>
      </c>
      <c r="D47" s="35"/>
      <c r="E47" s="36"/>
      <c r="F47" s="37" t="s">
        <v>40</v>
      </c>
      <c r="G47" s="38">
        <v>0</v>
      </c>
      <c r="H47" s="47"/>
      <c r="I47" s="48"/>
      <c r="J47" s="49"/>
      <c r="K47" s="43"/>
      <c r="L47" s="43"/>
      <c r="M47" s="42">
        <f ca="1">IF(OR(J47="",AND(L47="",TODAY()&lt;J47),AND(L47&lt;&gt;"",L47&lt;J47)),0,
   IF(L47="",
      NETWORKDAYS(J47,TODAY(),Hoja2!$A$2:$A$53),
      NETWORKDAYS(J47,L47,Hoja2!$A$2:$A$53)
   )
)</f>
        <v>0</v>
      </c>
      <c r="N47" s="43"/>
      <c r="O47" s="43"/>
      <c r="P47" s="43"/>
      <c r="Q47" s="44"/>
      <c r="R47" s="45" t="s">
        <v>42</v>
      </c>
      <c r="S47" s="54"/>
      <c r="T47" s="54"/>
      <c r="U47" s="54"/>
      <c r="V47" s="54"/>
      <c r="W47" s="54"/>
      <c r="X47" s="54"/>
      <c r="Y47" s="54"/>
      <c r="Z47" s="54"/>
      <c r="AA47" s="54"/>
      <c r="AB47" s="54"/>
      <c r="AC47" s="54"/>
      <c r="AD47" s="54"/>
      <c r="AE47" s="54"/>
      <c r="AF47" s="54"/>
      <c r="AG47" s="54"/>
      <c r="AH47" s="54"/>
      <c r="AI47" s="54"/>
      <c r="AJ47" s="54"/>
      <c r="AK47" s="54"/>
      <c r="AL47" s="54"/>
      <c r="AM47" s="54"/>
      <c r="AN47" s="55"/>
    </row>
    <row r="48" spans="1:40" ht="57">
      <c r="A48" s="17" t="s">
        <v>37</v>
      </c>
      <c r="B48" s="18" t="s">
        <v>194</v>
      </c>
      <c r="C48" s="19" t="s">
        <v>195</v>
      </c>
      <c r="D48" s="20"/>
      <c r="E48" s="21"/>
      <c r="F48" s="22" t="s">
        <v>40</v>
      </c>
      <c r="G48" s="23">
        <v>0</v>
      </c>
      <c r="H48" s="63"/>
      <c r="I48" s="64"/>
      <c r="J48" s="62"/>
      <c r="K48" s="28"/>
      <c r="L48" s="28"/>
      <c r="M48" s="27">
        <f ca="1">IF(OR(J48="",AND(L48="",TODAY()&lt;J48),AND(L48&lt;&gt;"",L48&lt;J48)),0,
   IF(L48="",
      NETWORKDAYS(J48,TODAY(),Hoja2!$A$2:$A$53),
      NETWORKDAYS(J48,L48,Hoja2!$A$2:$A$53)
   )
)</f>
        <v>0</v>
      </c>
      <c r="N48" s="28"/>
      <c r="O48" s="28"/>
      <c r="P48" s="28"/>
      <c r="Q48" s="29"/>
      <c r="R48" s="30" t="s">
        <v>42</v>
      </c>
      <c r="S48" s="58"/>
      <c r="T48" s="58"/>
      <c r="U48" s="58"/>
      <c r="V48" s="58"/>
      <c r="W48" s="58"/>
      <c r="X48" s="58"/>
      <c r="Y48" s="58"/>
      <c r="Z48" s="58"/>
      <c r="AA48" s="58"/>
      <c r="AB48" s="58"/>
      <c r="AC48" s="58"/>
      <c r="AD48" s="58"/>
      <c r="AE48" s="58"/>
      <c r="AF48" s="58"/>
      <c r="AG48" s="58"/>
      <c r="AH48" s="58"/>
      <c r="AI48" s="58"/>
      <c r="AJ48" s="58"/>
      <c r="AK48" s="58"/>
      <c r="AL48" s="58"/>
      <c r="AM48" s="58"/>
      <c r="AN48" s="59"/>
    </row>
    <row r="49" spans="1:40" ht="42.75">
      <c r="A49" s="32" t="s">
        <v>37</v>
      </c>
      <c r="B49" s="33" t="s">
        <v>196</v>
      </c>
      <c r="C49" s="34" t="s">
        <v>197</v>
      </c>
      <c r="D49" s="35" t="s">
        <v>198</v>
      </c>
      <c r="E49" s="36"/>
      <c r="F49" s="37" t="s">
        <v>21</v>
      </c>
      <c r="G49" s="38">
        <v>100</v>
      </c>
      <c r="H49" s="39">
        <f>IF(OR(J49="",K49="",K49&lt;J49),0,NETWORKDAYS(J49,K49,Hoja2!$A$2:$A$53))</f>
        <v>6</v>
      </c>
      <c r="I49" s="40">
        <v>45988</v>
      </c>
      <c r="J49" s="40">
        <v>46009</v>
      </c>
      <c r="K49" s="41">
        <v>46017</v>
      </c>
      <c r="L49" s="41">
        <v>46028</v>
      </c>
      <c r="M49" s="42">
        <f ca="1">IF(OR(J49="",AND(L49="",TODAY()&lt;J49),AND(L49&lt;&gt;"",L49&lt;J49)),0,
   IF(L49="",
      NETWORKDAYS(J49,TODAY(),Hoja2!$A$2:$A$53),
      NETWORKDAYS(J49,L49,Hoja2!$A$2:$A$53)
   )
)</f>
        <v>12</v>
      </c>
      <c r="N49" s="43"/>
      <c r="O49" s="43">
        <v>46017</v>
      </c>
      <c r="P49" s="43">
        <v>46027</v>
      </c>
      <c r="Q49" s="44" t="s">
        <v>199</v>
      </c>
      <c r="R49" s="45" t="s">
        <v>23</v>
      </c>
      <c r="S49" s="60"/>
      <c r="T49" s="60"/>
      <c r="U49" s="60"/>
      <c r="V49" s="60"/>
      <c r="W49" s="60"/>
      <c r="X49" s="60"/>
      <c r="Y49" s="60"/>
      <c r="Z49" s="60"/>
      <c r="AA49" s="60"/>
      <c r="AB49" s="60"/>
      <c r="AC49" s="60"/>
      <c r="AD49" s="60"/>
      <c r="AE49" s="60"/>
      <c r="AF49" s="60"/>
      <c r="AG49" s="60"/>
      <c r="AH49" s="60"/>
      <c r="AI49" s="60"/>
      <c r="AJ49" s="60"/>
      <c r="AK49" s="60"/>
      <c r="AL49" s="60"/>
      <c r="AM49" s="60"/>
      <c r="AN49" s="61"/>
    </row>
    <row r="50" spans="1:40" ht="42.75">
      <c r="A50" s="17" t="s">
        <v>37</v>
      </c>
      <c r="B50" s="18" t="s">
        <v>200</v>
      </c>
      <c r="C50" s="19" t="s">
        <v>201</v>
      </c>
      <c r="D50" s="20" t="s">
        <v>202</v>
      </c>
      <c r="E50" s="21"/>
      <c r="F50" s="22" t="s">
        <v>21</v>
      </c>
      <c r="G50" s="23">
        <v>100</v>
      </c>
      <c r="H50" s="24">
        <f>IF(OR(J50="",K50="",K50&lt;J50),0,NETWORKDAYS(J50,K50,Hoja2!$A$2:$A$53))</f>
        <v>6</v>
      </c>
      <c r="I50" s="25">
        <v>45989</v>
      </c>
      <c r="J50" s="25">
        <v>45989</v>
      </c>
      <c r="K50" s="26">
        <v>45996</v>
      </c>
      <c r="L50" s="26">
        <v>45996</v>
      </c>
      <c r="M50" s="27">
        <f ca="1">IF(OR(J50="",AND(L50="",TODAY()&lt;J50),AND(L50&lt;&gt;"",L50&lt;J50)),0,
   IF(L50="",
      NETWORKDAYS(J50,TODAY(),Hoja2!$A$2:$A$53),
      NETWORKDAYS(J50,L50,Hoja2!$A$2:$A$53)
   )
)</f>
        <v>6</v>
      </c>
      <c r="N50" s="28"/>
      <c r="O50" s="28">
        <v>46003</v>
      </c>
      <c r="P50" s="28">
        <v>46003</v>
      </c>
      <c r="Q50" s="29" t="s">
        <v>203</v>
      </c>
      <c r="R50" s="30" t="s">
        <v>23</v>
      </c>
      <c r="S50" s="58"/>
      <c r="T50" s="58"/>
      <c r="U50" s="58"/>
      <c r="V50" s="58"/>
      <c r="W50" s="58"/>
      <c r="X50" s="58"/>
      <c r="Y50" s="58"/>
      <c r="Z50" s="58"/>
      <c r="AA50" s="58"/>
      <c r="AB50" s="58"/>
      <c r="AC50" s="58"/>
      <c r="AD50" s="58"/>
      <c r="AE50" s="58"/>
      <c r="AF50" s="58"/>
      <c r="AG50" s="58"/>
      <c r="AH50" s="58"/>
      <c r="AI50" s="58"/>
      <c r="AJ50" s="58"/>
      <c r="AK50" s="58"/>
      <c r="AL50" s="58"/>
      <c r="AM50" s="58"/>
      <c r="AN50" s="59"/>
    </row>
    <row r="51" spans="1:40" ht="28.5">
      <c r="A51" s="32" t="s">
        <v>37</v>
      </c>
      <c r="B51" s="33" t="s">
        <v>204</v>
      </c>
      <c r="C51" s="34" t="s">
        <v>205</v>
      </c>
      <c r="D51" s="35" t="s">
        <v>206</v>
      </c>
      <c r="E51" s="36"/>
      <c r="F51" s="37" t="s">
        <v>21</v>
      </c>
      <c r="G51" s="38">
        <v>100</v>
      </c>
      <c r="H51" s="39">
        <f>IF(OR(J51="",K51="",K51&lt;J51),0,NETWORKDAYS(J51,K51,Hoja2!$A$2:$A$53))</f>
        <v>5</v>
      </c>
      <c r="I51" s="40">
        <v>46001</v>
      </c>
      <c r="J51" s="40">
        <v>46021</v>
      </c>
      <c r="K51" s="41">
        <v>46028</v>
      </c>
      <c r="L51" s="41">
        <v>46027</v>
      </c>
      <c r="M51" s="42">
        <f ca="1">IF(OR(J51="",AND(L51="",TODAY()&lt;J51),AND(L51&lt;&gt;"",L51&lt;J51)),0,
   IF(L51="",
      NETWORKDAYS(J51,TODAY(),Hoja2!$A$2:$A$53),
      NETWORKDAYS(J51,L51,Hoja2!$A$2:$A$53)
   )
)</f>
        <v>4</v>
      </c>
      <c r="N51" s="43"/>
      <c r="O51" s="43">
        <v>46027</v>
      </c>
      <c r="P51" s="43">
        <v>46028</v>
      </c>
      <c r="Q51" s="44" t="s">
        <v>207</v>
      </c>
      <c r="R51" s="45" t="s">
        <v>23</v>
      </c>
      <c r="S51" s="60"/>
      <c r="T51" s="60"/>
      <c r="U51" s="60"/>
      <c r="V51" s="60"/>
      <c r="W51" s="60"/>
      <c r="X51" s="60"/>
      <c r="Y51" s="60"/>
      <c r="Z51" s="60"/>
      <c r="AA51" s="60"/>
      <c r="AB51" s="60"/>
      <c r="AC51" s="60"/>
      <c r="AD51" s="60"/>
      <c r="AE51" s="60"/>
      <c r="AF51" s="60"/>
      <c r="AG51" s="60"/>
      <c r="AH51" s="60"/>
      <c r="AI51" s="60"/>
      <c r="AJ51" s="60"/>
      <c r="AK51" s="60"/>
      <c r="AL51" s="60"/>
      <c r="AM51" s="60"/>
      <c r="AN51" s="61"/>
    </row>
    <row r="52" spans="1:40" ht="38.25">
      <c r="A52" s="17" t="s">
        <v>37</v>
      </c>
      <c r="B52" s="18" t="s">
        <v>208</v>
      </c>
      <c r="C52" s="19" t="s">
        <v>209</v>
      </c>
      <c r="D52" s="20" t="s">
        <v>210</v>
      </c>
      <c r="E52" s="21"/>
      <c r="F52" s="22" t="s">
        <v>21</v>
      </c>
      <c r="G52" s="23">
        <v>100</v>
      </c>
      <c r="H52" s="24">
        <f>IF(OR(J52="",K52="",K52&lt;J52),0,NETWORKDAYS(J52,K52,Hoja2!$A$2:$A$53))</f>
        <v>15</v>
      </c>
      <c r="I52" s="25">
        <v>46029</v>
      </c>
      <c r="J52" s="25">
        <v>46058</v>
      </c>
      <c r="K52" s="26">
        <v>46078</v>
      </c>
      <c r="L52" s="26">
        <v>46078</v>
      </c>
      <c r="M52" s="27">
        <f ca="1">IF(OR(J52="",AND(L52="",TODAY()&lt;J52),AND(L52&lt;&gt;"",L52&lt;J52)),0,
   IF(L52="",
      NETWORKDAYS(J52,TODAY(),Hoja2!$A$2:$A$53),
      NETWORKDAYS(J52,L52,Hoja2!$A$2:$A$53)
   )
)</f>
        <v>15</v>
      </c>
      <c r="N52" s="28"/>
      <c r="O52" s="28">
        <v>46080</v>
      </c>
      <c r="P52" s="28">
        <v>46091</v>
      </c>
      <c r="Q52" s="29" t="s">
        <v>211</v>
      </c>
      <c r="R52" s="30" t="s">
        <v>23</v>
      </c>
      <c r="S52" s="58"/>
      <c r="T52" s="58"/>
      <c r="U52" s="58"/>
      <c r="V52" s="58"/>
      <c r="W52" s="58"/>
      <c r="X52" s="58"/>
      <c r="Y52" s="58"/>
      <c r="Z52" s="58"/>
      <c r="AA52" s="58"/>
      <c r="AB52" s="58"/>
      <c r="AC52" s="58"/>
      <c r="AD52" s="58"/>
      <c r="AE52" s="58"/>
      <c r="AF52" s="58"/>
      <c r="AG52" s="58"/>
      <c r="AH52" s="58"/>
      <c r="AI52" s="58"/>
      <c r="AJ52" s="58"/>
      <c r="AK52" s="58"/>
      <c r="AL52" s="58"/>
      <c r="AM52" s="58"/>
      <c r="AN52" s="59"/>
    </row>
    <row r="53" spans="1:40" ht="38.25">
      <c r="A53" s="32" t="s">
        <v>37</v>
      </c>
      <c r="B53" s="33" t="s">
        <v>212</v>
      </c>
      <c r="C53" s="34" t="s">
        <v>213</v>
      </c>
      <c r="D53" s="35" t="s">
        <v>214</v>
      </c>
      <c r="E53" s="36"/>
      <c r="F53" s="37" t="s">
        <v>21</v>
      </c>
      <c r="G53" s="38">
        <v>100</v>
      </c>
      <c r="H53" s="39">
        <f>IF(OR(J53="",K53="",K53&lt;J53),0,NETWORKDAYS(J53,K53,Hoja2!$A$2:$A$53))</f>
        <v>1</v>
      </c>
      <c r="I53" s="40">
        <v>46035</v>
      </c>
      <c r="J53" s="40">
        <v>46035</v>
      </c>
      <c r="K53" s="41">
        <v>46035</v>
      </c>
      <c r="L53" s="41">
        <v>46035</v>
      </c>
      <c r="M53" s="42">
        <f ca="1">IF(OR(J53="",AND(L53="",TODAY()&lt;J53),AND(L53&lt;&gt;"",L53&lt;J53)),0,
   IF(L53="",
      NETWORKDAYS(J53,TODAY(),Hoja2!$A$2:$A$53),
      NETWORKDAYS(J53,L53,Hoja2!$A$2:$A$53)
   )
)</f>
        <v>1</v>
      </c>
      <c r="N53" s="43"/>
      <c r="O53" s="43">
        <v>46035</v>
      </c>
      <c r="P53" s="43">
        <v>46035</v>
      </c>
      <c r="Q53" s="44" t="s">
        <v>215</v>
      </c>
      <c r="R53" s="45" t="s">
        <v>23</v>
      </c>
      <c r="S53" s="60"/>
      <c r="T53" s="60"/>
      <c r="U53" s="60"/>
      <c r="V53" s="60"/>
      <c r="W53" s="60"/>
      <c r="X53" s="60"/>
      <c r="Y53" s="60"/>
      <c r="Z53" s="60"/>
      <c r="AA53" s="60"/>
      <c r="AB53" s="60"/>
      <c r="AC53" s="60"/>
      <c r="AD53" s="60"/>
      <c r="AE53" s="60"/>
      <c r="AF53" s="60"/>
      <c r="AG53" s="60"/>
      <c r="AH53" s="60"/>
      <c r="AI53" s="60"/>
      <c r="AJ53" s="60"/>
      <c r="AK53" s="60"/>
      <c r="AL53" s="60"/>
      <c r="AM53" s="60"/>
      <c r="AN53" s="61"/>
    </row>
    <row r="54" spans="1:40" ht="38.25">
      <c r="A54" s="17" t="s">
        <v>37</v>
      </c>
      <c r="B54" s="18" t="s">
        <v>216</v>
      </c>
      <c r="C54" s="19" t="s">
        <v>217</v>
      </c>
      <c r="D54" s="20" t="s">
        <v>214</v>
      </c>
      <c r="E54" s="21"/>
      <c r="F54" s="22" t="s">
        <v>21</v>
      </c>
      <c r="G54" s="23">
        <v>100</v>
      </c>
      <c r="H54" s="24">
        <f>IF(OR(J54="",K54="",K54&lt;J54),0,NETWORKDAYS(J54,K54,Hoja2!$A$2:$A$53))</f>
        <v>1</v>
      </c>
      <c r="I54" s="25">
        <v>46036</v>
      </c>
      <c r="J54" s="25">
        <v>46036</v>
      </c>
      <c r="K54" s="26">
        <v>46036</v>
      </c>
      <c r="L54" s="26">
        <v>46036</v>
      </c>
      <c r="M54" s="27">
        <f ca="1">IF(OR(J54="",AND(L54="",TODAY()&lt;J54),AND(L54&lt;&gt;"",L54&lt;J54)),0,
   IF(L54="",
      NETWORKDAYS(J54,TODAY(),Hoja2!$A$2:$A$53),
      NETWORKDAYS(J54,L54,Hoja2!$A$2:$A$53)
   )
)</f>
        <v>1</v>
      </c>
      <c r="N54" s="28"/>
      <c r="O54" s="28">
        <v>46036</v>
      </c>
      <c r="P54" s="28">
        <v>46036</v>
      </c>
      <c r="Q54" s="29" t="s">
        <v>218</v>
      </c>
      <c r="R54" s="30" t="s">
        <v>23</v>
      </c>
      <c r="S54" s="58"/>
      <c r="T54" s="58"/>
      <c r="U54" s="58"/>
      <c r="V54" s="58"/>
      <c r="W54" s="58"/>
      <c r="X54" s="58"/>
      <c r="Y54" s="58"/>
      <c r="Z54" s="58"/>
      <c r="AA54" s="58"/>
      <c r="AB54" s="58"/>
      <c r="AC54" s="58"/>
      <c r="AD54" s="58"/>
      <c r="AE54" s="58"/>
      <c r="AF54" s="58"/>
      <c r="AG54" s="58"/>
      <c r="AH54" s="58"/>
      <c r="AI54" s="58"/>
      <c r="AJ54" s="58"/>
      <c r="AK54" s="58"/>
      <c r="AL54" s="58"/>
      <c r="AM54" s="58"/>
      <c r="AN54" s="59"/>
    </row>
    <row r="55" spans="1:40" ht="38.25">
      <c r="A55" s="32" t="s">
        <v>37</v>
      </c>
      <c r="B55" s="33" t="s">
        <v>219</v>
      </c>
      <c r="C55" s="34" t="s">
        <v>220</v>
      </c>
      <c r="D55" s="35" t="s">
        <v>221</v>
      </c>
      <c r="E55" s="36"/>
      <c r="F55" s="37" t="s">
        <v>21</v>
      </c>
      <c r="G55" s="38">
        <v>100</v>
      </c>
      <c r="H55" s="39">
        <f>IF(OR(J55="",K55="",K55&lt;J55),0,NETWORKDAYS(J55,K55,Hoja2!$A$2:$A$53))</f>
        <v>7</v>
      </c>
      <c r="I55" s="40">
        <v>46037</v>
      </c>
      <c r="J55" s="40">
        <v>46064</v>
      </c>
      <c r="K55" s="43">
        <v>46072</v>
      </c>
      <c r="L55" s="43">
        <v>46072</v>
      </c>
      <c r="M55" s="42">
        <f ca="1">IF(OR(J55="",AND(L55="",TODAY()&lt;J55),AND(L55&lt;&gt;"",L55&lt;J55)),0,
   IF(L55="",
      NETWORKDAYS(J55,TODAY(),Hoja2!$A$2:$A$53),
      NETWORKDAYS(J55,L55,Hoja2!$A$2:$A$53)
   )
)</f>
        <v>7</v>
      </c>
      <c r="N55" s="43"/>
      <c r="O55" s="43">
        <v>46072</v>
      </c>
      <c r="P55" s="43">
        <v>46076</v>
      </c>
      <c r="Q55" s="44" t="s">
        <v>222</v>
      </c>
      <c r="R55" s="45" t="s">
        <v>23</v>
      </c>
      <c r="S55" s="60"/>
      <c r="T55" s="60"/>
      <c r="U55" s="60"/>
      <c r="V55" s="60"/>
      <c r="W55" s="60"/>
      <c r="X55" s="60"/>
      <c r="Y55" s="60"/>
      <c r="Z55" s="60"/>
      <c r="AA55" s="60"/>
      <c r="AB55" s="60"/>
      <c r="AC55" s="60"/>
      <c r="AD55" s="60"/>
      <c r="AE55" s="60"/>
      <c r="AF55" s="60"/>
      <c r="AG55" s="60"/>
      <c r="AH55" s="60"/>
      <c r="AI55" s="60"/>
      <c r="AJ55" s="60"/>
      <c r="AK55" s="60"/>
      <c r="AL55" s="60"/>
      <c r="AM55" s="60"/>
      <c r="AN55" s="61"/>
    </row>
    <row r="56" spans="1:40" ht="42.75">
      <c r="A56" s="17" t="s">
        <v>37</v>
      </c>
      <c r="B56" s="18" t="s">
        <v>223</v>
      </c>
      <c r="C56" s="19" t="s">
        <v>224</v>
      </c>
      <c r="D56" s="20" t="s">
        <v>225</v>
      </c>
      <c r="E56" s="21"/>
      <c r="F56" s="22" t="s">
        <v>40</v>
      </c>
      <c r="G56" s="23">
        <v>0</v>
      </c>
      <c r="H56" s="24">
        <f>IF(OR(J56="",K56="",K56&lt;J56),0,NETWORKDAYS(J56,K56,Hoja2!$A$2:$A$53))</f>
        <v>0</v>
      </c>
      <c r="I56" s="25"/>
      <c r="J56" s="25"/>
      <c r="K56" s="26"/>
      <c r="L56" s="26"/>
      <c r="M56" s="27">
        <f ca="1">IF(OR(J56="",AND(L56="",TODAY()&lt;J56),AND(L56&lt;&gt;"",L56&lt;J56)),0,
   IF(L56="",
      NETWORKDAYS(J56,TODAY(),Hoja2!$A$2:$A$53),
      NETWORKDAYS(J56,L56,Hoja2!$A$2:$A$53)
   )
)</f>
        <v>0</v>
      </c>
      <c r="N56" s="28"/>
      <c r="O56" s="28"/>
      <c r="P56" s="28"/>
      <c r="Q56" s="29" t="s">
        <v>226</v>
      </c>
      <c r="R56" s="30" t="s">
        <v>42</v>
      </c>
      <c r="S56" s="58"/>
      <c r="T56" s="58"/>
      <c r="U56" s="58"/>
      <c r="V56" s="58"/>
      <c r="W56" s="58"/>
      <c r="X56" s="58"/>
      <c r="Y56" s="58"/>
      <c r="Z56" s="58"/>
      <c r="AA56" s="58"/>
      <c r="AB56" s="58"/>
      <c r="AC56" s="58"/>
      <c r="AD56" s="58"/>
      <c r="AE56" s="58"/>
      <c r="AF56" s="58"/>
      <c r="AG56" s="58"/>
      <c r="AH56" s="58"/>
      <c r="AI56" s="58"/>
      <c r="AJ56" s="58"/>
      <c r="AK56" s="58"/>
      <c r="AL56" s="58"/>
      <c r="AM56" s="58"/>
      <c r="AN56" s="59"/>
    </row>
    <row r="57" spans="1:40" ht="28.5">
      <c r="A57" s="32" t="s">
        <v>37</v>
      </c>
      <c r="B57" s="33" t="s">
        <v>227</v>
      </c>
      <c r="C57" s="34" t="s">
        <v>228</v>
      </c>
      <c r="D57" s="35" t="s">
        <v>229</v>
      </c>
      <c r="E57" s="36"/>
      <c r="F57" s="37" t="s">
        <v>21</v>
      </c>
      <c r="G57" s="38">
        <v>100</v>
      </c>
      <c r="H57" s="39">
        <f>IF(OR(J57="",K57="",K57&lt;J57),0,NETWORKDAYS(J57,K57,Hoja2!$A$2:$A$53))</f>
        <v>1</v>
      </c>
      <c r="I57" s="40">
        <v>46066</v>
      </c>
      <c r="J57" s="40">
        <v>46066</v>
      </c>
      <c r="K57" s="40">
        <v>46066</v>
      </c>
      <c r="L57" s="40">
        <v>46066</v>
      </c>
      <c r="M57" s="42">
        <f ca="1">IF(OR(J57="",AND(L57="",TODAY()&lt;J57),AND(L57&lt;&gt;"",L57&lt;J57)),0,
   IF(L57="",
      NETWORKDAYS(J57,TODAY(),Hoja2!$A$2:$A$53),
      NETWORKDAYS(J57,L57,Hoja2!$A$2:$A$53)
   )
)</f>
        <v>1</v>
      </c>
      <c r="N57" s="43"/>
      <c r="O57" s="43">
        <v>46066</v>
      </c>
      <c r="P57" s="43">
        <v>46066</v>
      </c>
      <c r="Q57" s="44" t="s">
        <v>230</v>
      </c>
      <c r="R57" s="45" t="s">
        <v>23</v>
      </c>
      <c r="S57" s="60"/>
      <c r="T57" s="60"/>
      <c r="U57" s="60"/>
      <c r="V57" s="60"/>
      <c r="W57" s="60"/>
      <c r="X57" s="60"/>
      <c r="Y57" s="60"/>
      <c r="Z57" s="60"/>
      <c r="AA57" s="60"/>
      <c r="AB57" s="60"/>
      <c r="AC57" s="60"/>
      <c r="AD57" s="60"/>
      <c r="AE57" s="60"/>
      <c r="AF57" s="60"/>
      <c r="AG57" s="60"/>
      <c r="AH57" s="60"/>
      <c r="AI57" s="60"/>
      <c r="AJ57" s="60"/>
      <c r="AK57" s="60"/>
      <c r="AL57" s="60"/>
      <c r="AM57" s="60"/>
      <c r="AN57" s="61"/>
    </row>
    <row r="58" spans="1:40" ht="38.25">
      <c r="A58" s="17" t="s">
        <v>37</v>
      </c>
      <c r="B58" s="18" t="s">
        <v>231</v>
      </c>
      <c r="C58" s="19" t="s">
        <v>232</v>
      </c>
      <c r="D58" s="20" t="s">
        <v>233</v>
      </c>
      <c r="E58" s="21"/>
      <c r="F58" s="22" t="s">
        <v>40</v>
      </c>
      <c r="G58" s="23">
        <v>0</v>
      </c>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t="s">
        <v>226</v>
      </c>
      <c r="R58" s="30" t="s">
        <v>42</v>
      </c>
      <c r="S58" s="58"/>
      <c r="T58" s="58"/>
      <c r="U58" s="58"/>
      <c r="V58" s="58"/>
      <c r="W58" s="58"/>
      <c r="X58" s="58"/>
      <c r="Y58" s="58"/>
      <c r="Z58" s="58"/>
      <c r="AA58" s="58"/>
      <c r="AB58" s="58"/>
      <c r="AC58" s="58"/>
      <c r="AD58" s="58"/>
      <c r="AE58" s="58"/>
      <c r="AF58" s="58"/>
      <c r="AG58" s="58"/>
      <c r="AH58" s="58"/>
      <c r="AI58" s="58"/>
      <c r="AJ58" s="58"/>
      <c r="AK58" s="58"/>
      <c r="AL58" s="58"/>
      <c r="AM58" s="58"/>
      <c r="AN58" s="59"/>
    </row>
    <row r="59" spans="1:40" ht="71.25">
      <c r="A59" s="32" t="s">
        <v>37</v>
      </c>
      <c r="B59" s="33" t="s">
        <v>234</v>
      </c>
      <c r="C59" s="34" t="s">
        <v>235</v>
      </c>
      <c r="D59" s="35" t="s">
        <v>236</v>
      </c>
      <c r="E59" s="36"/>
      <c r="F59" s="37" t="s">
        <v>21</v>
      </c>
      <c r="G59" s="38">
        <v>100</v>
      </c>
      <c r="H59" s="39">
        <f>IF(OR(J59="",K59="",K59&lt;J59),0,NETWORKDAYS(J59,K59,Hoja2!$A$2:$A$53))</f>
        <v>2</v>
      </c>
      <c r="I59" s="40">
        <v>46069</v>
      </c>
      <c r="J59" s="40">
        <v>46070</v>
      </c>
      <c r="K59" s="41">
        <v>46071</v>
      </c>
      <c r="L59" s="41">
        <v>46071</v>
      </c>
      <c r="M59" s="42">
        <f ca="1">IF(OR(J59="",AND(L59="",TODAY()&lt;J59),AND(L59&lt;&gt;"",L59&lt;J59)),0,
   IF(L59="",
      NETWORKDAYS(J59,TODAY(),Hoja2!$A$2:$A$53),
      NETWORKDAYS(J59,L59,Hoja2!$A$2:$A$53)
   )
)</f>
        <v>2</v>
      </c>
      <c r="N59" s="43"/>
      <c r="O59" s="43">
        <v>46071</v>
      </c>
      <c r="P59" s="43">
        <v>46071</v>
      </c>
      <c r="Q59" s="44" t="s">
        <v>237</v>
      </c>
      <c r="R59" s="45" t="s">
        <v>23</v>
      </c>
      <c r="S59" s="60"/>
      <c r="T59" s="60"/>
      <c r="U59" s="60"/>
      <c r="V59" s="60"/>
      <c r="W59" s="60"/>
      <c r="X59" s="60"/>
      <c r="Y59" s="60"/>
      <c r="Z59" s="60"/>
      <c r="AA59" s="60"/>
      <c r="AB59" s="60"/>
      <c r="AC59" s="60"/>
      <c r="AD59" s="60"/>
      <c r="AE59" s="60"/>
      <c r="AF59" s="60"/>
      <c r="AG59" s="60"/>
      <c r="AH59" s="60"/>
      <c r="AI59" s="60"/>
      <c r="AJ59" s="60"/>
      <c r="AK59" s="60"/>
      <c r="AL59" s="60"/>
      <c r="AM59" s="60"/>
      <c r="AN59" s="61"/>
    </row>
    <row r="60" spans="1:40" ht="28.5">
      <c r="A60" s="17" t="s">
        <v>37</v>
      </c>
      <c r="B60" s="18" t="s">
        <v>238</v>
      </c>
      <c r="C60" s="19" t="s">
        <v>239</v>
      </c>
      <c r="D60" s="20" t="s">
        <v>240</v>
      </c>
      <c r="E60" s="21"/>
      <c r="F60" s="22" t="s">
        <v>21</v>
      </c>
      <c r="G60" s="23">
        <v>100</v>
      </c>
      <c r="H60" s="24">
        <f>IF(OR(J60="",K60="",K60&lt;J60),0,NETWORKDAYS(J60,K60,Hoja2!$A$2:$A$53))</f>
        <v>1</v>
      </c>
      <c r="I60" s="25">
        <v>46069</v>
      </c>
      <c r="J60" s="25">
        <v>46071</v>
      </c>
      <c r="K60" s="26">
        <v>46071</v>
      </c>
      <c r="L60" s="26">
        <v>46071</v>
      </c>
      <c r="M60" s="27">
        <f ca="1">IF(OR(J60="",AND(L60="",TODAY()&lt;J60),AND(L60&lt;&gt;"",L60&lt;J60)),0,
   IF(L60="",
      NETWORKDAYS(J60,TODAY(),Hoja2!$A$2:$A$53),
      NETWORKDAYS(J60,L60,Hoja2!$A$2:$A$53)
   )
)</f>
        <v>1</v>
      </c>
      <c r="N60" s="28"/>
      <c r="O60" s="28">
        <v>46071</v>
      </c>
      <c r="P60" s="28">
        <v>46071</v>
      </c>
      <c r="Q60" s="29" t="s">
        <v>241</v>
      </c>
      <c r="R60" s="30" t="s">
        <v>23</v>
      </c>
      <c r="S60" s="58"/>
      <c r="T60" s="58"/>
      <c r="U60" s="58"/>
      <c r="V60" s="58"/>
      <c r="W60" s="58"/>
      <c r="X60" s="58"/>
      <c r="Y60" s="58"/>
      <c r="Z60" s="58"/>
      <c r="AA60" s="58"/>
      <c r="AB60" s="58"/>
      <c r="AC60" s="58"/>
      <c r="AD60" s="58"/>
      <c r="AE60" s="58"/>
      <c r="AF60" s="58"/>
      <c r="AG60" s="58"/>
      <c r="AH60" s="58"/>
      <c r="AI60" s="58"/>
      <c r="AJ60" s="58"/>
      <c r="AK60" s="58"/>
      <c r="AL60" s="58"/>
      <c r="AM60" s="58"/>
      <c r="AN60" s="59"/>
    </row>
    <row r="61" spans="1:40" ht="38.25">
      <c r="A61" s="32" t="s">
        <v>37</v>
      </c>
      <c r="B61" s="33" t="s">
        <v>242</v>
      </c>
      <c r="C61" s="34" t="s">
        <v>243</v>
      </c>
      <c r="D61" s="35" t="s">
        <v>244</v>
      </c>
      <c r="E61" s="36"/>
      <c r="F61" s="37" t="s">
        <v>21</v>
      </c>
      <c r="G61" s="38">
        <v>100</v>
      </c>
      <c r="H61" s="39">
        <f>IF(OR(J61="",K61="",K61&lt;J61),0,NETWORKDAYS(J61,K61,Hoja2!$A$2:$A$53))</f>
        <v>8</v>
      </c>
      <c r="I61" s="40">
        <v>46073</v>
      </c>
      <c r="J61" s="40">
        <v>46078</v>
      </c>
      <c r="K61" s="41">
        <v>46087</v>
      </c>
      <c r="L61" s="41">
        <v>46086</v>
      </c>
      <c r="M61" s="42">
        <f ca="1">IF(OR(J61="",AND(L61="",TODAY()&lt;J61),AND(L61&lt;&gt;"",L61&lt;J61)),0,
   IF(L61="",
      NETWORKDAYS(J61,TODAY(),Hoja2!$A$2:$A$53),
      NETWORKDAYS(J61,L61,Hoja2!$A$2:$A$53)
   )
)</f>
        <v>7</v>
      </c>
      <c r="N61" s="43"/>
      <c r="O61" s="43">
        <v>46086</v>
      </c>
      <c r="P61" s="43">
        <v>46087</v>
      </c>
      <c r="Q61" s="44" t="s">
        <v>245</v>
      </c>
      <c r="R61" s="45" t="s">
        <v>23</v>
      </c>
      <c r="S61" s="60"/>
      <c r="T61" s="60"/>
      <c r="U61" s="60"/>
      <c r="V61" s="60"/>
      <c r="W61" s="60"/>
      <c r="X61" s="60"/>
      <c r="Y61" s="60"/>
      <c r="Z61" s="60"/>
      <c r="AA61" s="60"/>
      <c r="AB61" s="60"/>
      <c r="AC61" s="60"/>
      <c r="AD61" s="60"/>
      <c r="AE61" s="60"/>
      <c r="AF61" s="60"/>
      <c r="AG61" s="60"/>
      <c r="AH61" s="60"/>
      <c r="AI61" s="60"/>
      <c r="AJ61" s="60"/>
      <c r="AK61" s="60"/>
      <c r="AL61" s="60"/>
      <c r="AM61" s="60"/>
      <c r="AN61" s="61"/>
    </row>
    <row r="62" spans="1:40" ht="42.75">
      <c r="A62" s="17" t="s">
        <v>37</v>
      </c>
      <c r="B62" s="18" t="s">
        <v>246</v>
      </c>
      <c r="C62" s="19" t="s">
        <v>247</v>
      </c>
      <c r="D62" s="20" t="s">
        <v>248</v>
      </c>
      <c r="E62" s="21"/>
      <c r="F62" s="22" t="s">
        <v>96</v>
      </c>
      <c r="G62" s="23">
        <v>0</v>
      </c>
      <c r="H62" s="24">
        <f>IF(OR(J62="",K62="",K62&lt;J62),0,NETWORKDAYS(J62,K62,Hoja2!$A$2:$A$53))</f>
        <v>1</v>
      </c>
      <c r="I62" s="25">
        <v>46080</v>
      </c>
      <c r="J62" s="25">
        <v>46098</v>
      </c>
      <c r="K62" s="26">
        <v>46098</v>
      </c>
      <c r="L62" s="26"/>
      <c r="M62" s="27">
        <f ca="1">IF(OR(J62="",AND(L62="",TODAY()&lt;J62),AND(L62&lt;&gt;"",L62&lt;J62)),0,
   IF(L62="",
      NETWORKDAYS(J62,TODAY(),Hoja2!$A$2:$A$53),
      NETWORKDAYS(J62,L62,Hoja2!$A$2:$A$53)
   )
)</f>
        <v>1</v>
      </c>
      <c r="N62" s="28"/>
      <c r="O62" s="28"/>
      <c r="P62" s="28"/>
      <c r="Q62" s="29" t="s">
        <v>249</v>
      </c>
      <c r="R62" s="30" t="s">
        <v>23</v>
      </c>
      <c r="S62" s="58"/>
      <c r="T62" s="58"/>
      <c r="U62" s="58"/>
      <c r="V62" s="58"/>
      <c r="W62" s="58"/>
      <c r="X62" s="58"/>
      <c r="Y62" s="58"/>
      <c r="Z62" s="58"/>
      <c r="AA62" s="58"/>
      <c r="AB62" s="58"/>
      <c r="AC62" s="58"/>
      <c r="AD62" s="58"/>
      <c r="AE62" s="58"/>
      <c r="AF62" s="58"/>
      <c r="AG62" s="58"/>
      <c r="AH62" s="58"/>
      <c r="AI62" s="58"/>
      <c r="AJ62" s="58"/>
      <c r="AK62" s="58"/>
      <c r="AL62" s="58"/>
      <c r="AM62" s="58"/>
      <c r="AN62" s="59"/>
    </row>
  </sheetData>
  <autoFilter ref="A1:R62"/>
  <conditionalFormatting sqref="B8:B62">
    <cfRule type="expression" dxfId="0" priority="2">
      <formula>COUNTIF(B8:B62, B8)&gt;1</formula>
    </cfRule>
  </conditionalFormatting>
  <dataValidations count="2">
    <dataValidation type="list" allowBlank="1" sqref="F2:F62">
      <formula1>"FINALIZADO,EN PROCESO,PAUSADO,EN TEST,PENDIENTE,PRUEBAS CLIENTE,PRUEBAS IMAGINE,PASO A PRODUCCION"</formula1>
    </dataValidation>
    <dataValidation type="custom" allowBlank="1" showDropDown="1" sqref="I2:L26 N2:P26 I27 I28:L62 N28:P62">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5">
        <v>45292</v>
      </c>
      <c r="B1" s="66" t="s">
        <v>250</v>
      </c>
    </row>
    <row r="2" spans="1:2" ht="17.25" customHeight="1">
      <c r="A2" s="65">
        <v>45299</v>
      </c>
      <c r="B2" s="66" t="s">
        <v>251</v>
      </c>
    </row>
    <row r="3" spans="1:2" ht="17.25" customHeight="1">
      <c r="A3" s="65">
        <v>45376</v>
      </c>
      <c r="B3" s="66" t="s">
        <v>252</v>
      </c>
    </row>
    <row r="4" spans="1:2" ht="17.25" customHeight="1">
      <c r="A4" s="65">
        <v>45379</v>
      </c>
      <c r="B4" s="66" t="s">
        <v>253</v>
      </c>
    </row>
    <row r="5" spans="1:2" ht="17.25" customHeight="1">
      <c r="A5" s="65">
        <v>45380</v>
      </c>
      <c r="B5" s="66" t="s">
        <v>254</v>
      </c>
    </row>
    <row r="6" spans="1:2" ht="17.25" customHeight="1">
      <c r="A6" s="65">
        <v>45413</v>
      </c>
      <c r="B6" s="66" t="s">
        <v>255</v>
      </c>
    </row>
    <row r="7" spans="1:2" ht="17.25" customHeight="1">
      <c r="A7" s="65">
        <v>45425</v>
      </c>
      <c r="B7" s="66" t="s">
        <v>256</v>
      </c>
    </row>
    <row r="8" spans="1:2" ht="17.25" customHeight="1">
      <c r="A8" s="65">
        <v>45446</v>
      </c>
      <c r="B8" s="66" t="s">
        <v>257</v>
      </c>
    </row>
    <row r="9" spans="1:2" ht="17.25" customHeight="1">
      <c r="A9" s="65">
        <v>45453</v>
      </c>
      <c r="B9" s="66" t="s">
        <v>258</v>
      </c>
    </row>
    <row r="10" spans="1:2" ht="17.25" customHeight="1">
      <c r="A10" s="65">
        <v>45474</v>
      </c>
      <c r="B10" s="66" t="s">
        <v>259</v>
      </c>
    </row>
    <row r="11" spans="1:2" ht="17.25" customHeight="1">
      <c r="A11" s="65">
        <v>45493</v>
      </c>
      <c r="B11" s="66" t="s">
        <v>260</v>
      </c>
    </row>
    <row r="12" spans="1:2" ht="17.25" customHeight="1">
      <c r="A12" s="65">
        <v>45511</v>
      </c>
      <c r="B12" s="66" t="s">
        <v>261</v>
      </c>
    </row>
    <row r="13" spans="1:2" ht="17.25" customHeight="1">
      <c r="A13" s="65">
        <v>45523</v>
      </c>
      <c r="B13" s="66" t="s">
        <v>262</v>
      </c>
    </row>
    <row r="14" spans="1:2" ht="17.25" customHeight="1">
      <c r="A14" s="65">
        <v>45579</v>
      </c>
      <c r="B14" s="66" t="s">
        <v>263</v>
      </c>
    </row>
    <row r="15" spans="1:2" ht="17.25" customHeight="1">
      <c r="A15" s="65">
        <v>45600</v>
      </c>
      <c r="B15" s="66" t="s">
        <v>264</v>
      </c>
    </row>
    <row r="16" spans="1:2" ht="17.25" customHeight="1">
      <c r="A16" s="65">
        <v>45607</v>
      </c>
      <c r="B16" s="66" t="s">
        <v>265</v>
      </c>
    </row>
    <row r="17" spans="1:2" ht="17.25" customHeight="1">
      <c r="A17" s="65">
        <v>45634</v>
      </c>
      <c r="B17" s="66" t="s">
        <v>266</v>
      </c>
    </row>
    <row r="18" spans="1:2" ht="17.25" customHeight="1">
      <c r="A18" s="65">
        <v>45651</v>
      </c>
      <c r="B18" s="66" t="s">
        <v>267</v>
      </c>
    </row>
    <row r="19" spans="1:2" ht="17.25" customHeight="1">
      <c r="A19" s="65">
        <v>45658</v>
      </c>
      <c r="B19" s="67" t="s">
        <v>268</v>
      </c>
    </row>
    <row r="20" spans="1:2" ht="17.25" customHeight="1">
      <c r="A20" s="65">
        <v>45663</v>
      </c>
      <c r="B20" s="67" t="s">
        <v>269</v>
      </c>
    </row>
    <row r="21" spans="1:2" ht="17.25" customHeight="1">
      <c r="A21" s="65">
        <v>45740</v>
      </c>
      <c r="B21" s="67" t="s">
        <v>270</v>
      </c>
    </row>
    <row r="22" spans="1:2" ht="17.25" customHeight="1">
      <c r="A22" s="65">
        <v>45764</v>
      </c>
      <c r="B22" s="67" t="s">
        <v>271</v>
      </c>
    </row>
    <row r="23" spans="1:2" ht="17.25" customHeight="1">
      <c r="A23" s="65">
        <v>45765</v>
      </c>
      <c r="B23" s="67" t="s">
        <v>272</v>
      </c>
    </row>
    <row r="24" spans="1:2" ht="17.25" customHeight="1">
      <c r="A24" s="65">
        <v>45778</v>
      </c>
      <c r="B24" s="67" t="s">
        <v>273</v>
      </c>
    </row>
    <row r="25" spans="1:2" ht="17.25" customHeight="1">
      <c r="A25" s="65">
        <v>45810</v>
      </c>
      <c r="B25" s="67" t="s">
        <v>274</v>
      </c>
    </row>
    <row r="26" spans="1:2" ht="17.25" customHeight="1">
      <c r="A26" s="65">
        <v>45831</v>
      </c>
      <c r="B26" s="67" t="s">
        <v>275</v>
      </c>
    </row>
    <row r="27" spans="1:2" ht="17.25" customHeight="1">
      <c r="A27" s="65">
        <v>45838</v>
      </c>
      <c r="B27" s="67" t="s">
        <v>276</v>
      </c>
    </row>
    <row r="28" spans="1:2" ht="17.25" customHeight="1">
      <c r="A28" s="65">
        <v>45858</v>
      </c>
      <c r="B28" s="67" t="s">
        <v>277</v>
      </c>
    </row>
    <row r="29" spans="1:2" ht="17.25" customHeight="1">
      <c r="A29" s="65">
        <v>45876</v>
      </c>
      <c r="B29" s="67" t="s">
        <v>278</v>
      </c>
    </row>
    <row r="30" spans="1:2" ht="17.25" customHeight="1">
      <c r="A30" s="65">
        <v>45887</v>
      </c>
      <c r="B30" s="67" t="s">
        <v>279</v>
      </c>
    </row>
    <row r="31" spans="1:2" ht="17.25" customHeight="1">
      <c r="A31" s="65">
        <v>45943</v>
      </c>
      <c r="B31" s="67" t="s">
        <v>280</v>
      </c>
    </row>
    <row r="32" spans="1:2" ht="17.25" customHeight="1">
      <c r="A32" s="65">
        <v>45964</v>
      </c>
      <c r="B32" s="67" t="s">
        <v>281</v>
      </c>
    </row>
    <row r="33" spans="1:2" ht="17.25" customHeight="1">
      <c r="A33" s="65">
        <v>45978</v>
      </c>
      <c r="B33" s="67" t="s">
        <v>282</v>
      </c>
    </row>
    <row r="34" spans="1:2" ht="17.25" customHeight="1">
      <c r="A34" s="65">
        <v>45999</v>
      </c>
      <c r="B34" s="67" t="s">
        <v>283</v>
      </c>
    </row>
    <row r="35" spans="1:2" ht="17.25" customHeight="1">
      <c r="A35" s="65">
        <v>46016</v>
      </c>
      <c r="B35" s="67" t="s">
        <v>284</v>
      </c>
    </row>
    <row r="36" spans="1:2" ht="17.25" customHeight="1">
      <c r="A36" s="65">
        <v>46023</v>
      </c>
      <c r="B36" s="67" t="s">
        <v>268</v>
      </c>
    </row>
    <row r="37" spans="1:2" ht="17.25" customHeight="1">
      <c r="A37" s="65">
        <v>46034</v>
      </c>
      <c r="B37" s="67" t="s">
        <v>269</v>
      </c>
    </row>
    <row r="38" spans="1:2" ht="17.25" customHeight="1">
      <c r="A38" s="65">
        <v>46104</v>
      </c>
      <c r="B38" s="67" t="s">
        <v>270</v>
      </c>
    </row>
    <row r="39" spans="1:2" ht="17.25" customHeight="1">
      <c r="A39" s="65">
        <v>46114</v>
      </c>
      <c r="B39" s="67" t="s">
        <v>271</v>
      </c>
    </row>
    <row r="40" spans="1:2" ht="17.25" customHeight="1">
      <c r="A40" s="65">
        <v>46115</v>
      </c>
      <c r="B40" s="67" t="s">
        <v>272</v>
      </c>
    </row>
    <row r="41" spans="1:2" ht="17.25" customHeight="1">
      <c r="A41" s="65">
        <v>46143</v>
      </c>
      <c r="B41" s="67" t="s">
        <v>273</v>
      </c>
    </row>
    <row r="42" spans="1:2" ht="17.25" customHeight="1">
      <c r="A42" s="65">
        <v>46160</v>
      </c>
      <c r="B42" s="67" t="s">
        <v>274</v>
      </c>
    </row>
    <row r="43" spans="1:2" ht="17.25" customHeight="1">
      <c r="A43" s="65">
        <v>46181</v>
      </c>
      <c r="B43" s="67" t="s">
        <v>275</v>
      </c>
    </row>
    <row r="44" spans="1:2" ht="17.25" customHeight="1">
      <c r="A44" s="65">
        <v>46188</v>
      </c>
      <c r="B44" s="67" t="s">
        <v>285</v>
      </c>
    </row>
    <row r="45" spans="1:2" ht="17.25" customHeight="1">
      <c r="A45" s="65">
        <v>46202</v>
      </c>
      <c r="B45" s="67" t="s">
        <v>286</v>
      </c>
    </row>
    <row r="46" spans="1:2" ht="17.25" customHeight="1">
      <c r="A46" s="65">
        <v>46223</v>
      </c>
      <c r="B46" s="67" t="s">
        <v>277</v>
      </c>
    </row>
    <row r="47" spans="1:2" ht="17.25" customHeight="1">
      <c r="A47" s="65">
        <v>46241</v>
      </c>
      <c r="B47" s="67" t="s">
        <v>278</v>
      </c>
    </row>
    <row r="48" spans="1:2" ht="17.25" customHeight="1">
      <c r="A48" s="65">
        <v>46251</v>
      </c>
      <c r="B48" s="67" t="s">
        <v>279</v>
      </c>
    </row>
    <row r="49" spans="1:2" ht="17.25" customHeight="1">
      <c r="A49" s="65">
        <v>46307</v>
      </c>
      <c r="B49" s="67" t="s">
        <v>280</v>
      </c>
    </row>
    <row r="50" spans="1:2" ht="17.25" customHeight="1">
      <c r="A50" s="65">
        <v>46328</v>
      </c>
      <c r="B50" s="67" t="s">
        <v>281</v>
      </c>
    </row>
    <row r="51" spans="1:2" ht="17.25" customHeight="1">
      <c r="A51" s="65">
        <v>46342</v>
      </c>
      <c r="B51" s="67" t="s">
        <v>282</v>
      </c>
    </row>
    <row r="52" spans="1:2" ht="17.25" customHeight="1">
      <c r="A52" s="65">
        <v>46364</v>
      </c>
      <c r="B52" s="67" t="s">
        <v>283</v>
      </c>
    </row>
    <row r="53" spans="1:2" ht="17.25" customHeight="1">
      <c r="A53" s="65">
        <v>46381</v>
      </c>
      <c r="B53" s="67" t="s">
        <v>284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68" t="s">
        <v>287</v>
      </c>
      <c r="B1" s="69"/>
      <c r="C1" s="69"/>
      <c r="D1" s="69"/>
      <c r="E1" s="69"/>
      <c r="F1" s="69"/>
      <c r="G1" s="69"/>
      <c r="H1" s="69"/>
      <c r="I1" s="69"/>
      <c r="J1" s="69"/>
      <c r="K1" s="69"/>
      <c r="L1" s="69"/>
      <c r="M1" s="69"/>
      <c r="N1" s="69"/>
      <c r="O1" s="69"/>
      <c r="P1" s="69"/>
      <c r="Q1" s="69"/>
      <c r="R1" s="69"/>
      <c r="S1" s="69"/>
      <c r="T1" s="69"/>
      <c r="U1" s="69"/>
      <c r="V1" s="69"/>
      <c r="W1" s="69"/>
      <c r="X1" s="69"/>
      <c r="Y1" s="69"/>
      <c r="Z1" s="69"/>
    </row>
    <row r="2" spans="1:97">
      <c r="A2" s="69"/>
      <c r="B2" s="69"/>
      <c r="C2" s="69"/>
      <c r="D2" s="69"/>
      <c r="E2" s="69"/>
      <c r="F2" s="69"/>
      <c r="G2" s="69"/>
      <c r="H2" s="69"/>
      <c r="I2" s="69"/>
      <c r="J2" s="69"/>
      <c r="K2" s="69"/>
      <c r="L2" s="69"/>
      <c r="M2" s="69"/>
      <c r="N2" s="69"/>
      <c r="O2" s="69"/>
      <c r="P2" s="69"/>
      <c r="Q2" s="69"/>
      <c r="R2" s="69"/>
      <c r="S2" s="69"/>
      <c r="T2" s="69"/>
      <c r="U2" s="69"/>
      <c r="V2" s="69"/>
      <c r="W2" s="69"/>
      <c r="X2" s="69"/>
      <c r="Y2" s="69"/>
      <c r="Z2" s="69"/>
    </row>
    <row r="3" spans="1:97" ht="32.25" customHeight="1">
      <c r="A3" s="70" t="s">
        <v>288</v>
      </c>
      <c r="B3" s="71">
        <v>45596</v>
      </c>
      <c r="C3" s="71">
        <v>45597</v>
      </c>
      <c r="D3" s="71">
        <v>45601</v>
      </c>
      <c r="E3" s="71">
        <v>45602</v>
      </c>
      <c r="F3" s="71">
        <v>45603</v>
      </c>
      <c r="G3" s="71">
        <v>45604</v>
      </c>
      <c r="H3" s="71">
        <v>45608</v>
      </c>
      <c r="I3" s="71">
        <v>45609</v>
      </c>
      <c r="J3" s="71">
        <v>45610</v>
      </c>
      <c r="K3" s="71">
        <v>45611</v>
      </c>
      <c r="L3" s="71">
        <v>45614</v>
      </c>
      <c r="M3" s="71">
        <v>45615</v>
      </c>
      <c r="N3" s="71">
        <v>45616</v>
      </c>
      <c r="O3" s="71">
        <v>45617</v>
      </c>
      <c r="P3" s="71">
        <v>45618</v>
      </c>
      <c r="Q3" s="72">
        <v>45621</v>
      </c>
      <c r="R3" s="72">
        <v>45622</v>
      </c>
      <c r="S3" s="72">
        <v>45623</v>
      </c>
      <c r="T3" s="72">
        <v>45624</v>
      </c>
      <c r="U3" s="72">
        <v>45625</v>
      </c>
      <c r="V3" s="72">
        <v>45628</v>
      </c>
      <c r="W3" s="72">
        <v>45629</v>
      </c>
      <c r="X3" s="72">
        <v>45630</v>
      </c>
      <c r="Y3" s="72">
        <v>45631</v>
      </c>
      <c r="Z3" s="72">
        <v>45632</v>
      </c>
      <c r="AA3" s="72">
        <v>45635</v>
      </c>
      <c r="AB3" s="72">
        <v>45636</v>
      </c>
      <c r="AC3" s="72">
        <v>45637</v>
      </c>
      <c r="AD3" s="72">
        <v>45638</v>
      </c>
      <c r="AE3" s="73">
        <v>45639</v>
      </c>
      <c r="AF3" s="71">
        <v>45642</v>
      </c>
      <c r="AG3" s="71">
        <v>45643</v>
      </c>
      <c r="AH3" s="71">
        <v>45644</v>
      </c>
      <c r="AI3" s="71">
        <v>45645</v>
      </c>
      <c r="AJ3" s="71">
        <v>45646</v>
      </c>
      <c r="AK3" s="71">
        <v>45649</v>
      </c>
      <c r="AL3" s="71">
        <v>45650</v>
      </c>
      <c r="AM3" s="71">
        <v>45652</v>
      </c>
      <c r="AN3" s="71">
        <v>45653</v>
      </c>
      <c r="AO3" s="71">
        <v>45656</v>
      </c>
      <c r="AP3" s="71">
        <v>45656</v>
      </c>
      <c r="AQ3" s="71">
        <v>45664</v>
      </c>
      <c r="AR3" s="71">
        <v>45665</v>
      </c>
      <c r="AS3" s="71">
        <v>45666</v>
      </c>
      <c r="AT3" s="71">
        <v>45667</v>
      </c>
      <c r="AU3" s="71">
        <v>45670</v>
      </c>
      <c r="AV3" s="71">
        <v>45671</v>
      </c>
      <c r="AW3" s="71">
        <v>45672</v>
      </c>
      <c r="AX3" s="71">
        <v>45673</v>
      </c>
      <c r="AY3" s="71">
        <v>45674</v>
      </c>
      <c r="AZ3" s="71">
        <v>45677</v>
      </c>
      <c r="BA3" s="71">
        <v>45678</v>
      </c>
      <c r="BB3" s="71">
        <v>45679</v>
      </c>
      <c r="BC3" s="71">
        <v>45680</v>
      </c>
      <c r="BD3" s="71">
        <v>45681</v>
      </c>
      <c r="BE3" s="71">
        <v>45684</v>
      </c>
      <c r="BF3" s="71">
        <v>45685</v>
      </c>
      <c r="BG3" s="71">
        <v>45686</v>
      </c>
      <c r="BH3" s="71">
        <v>45687</v>
      </c>
      <c r="BI3" s="71">
        <v>45688</v>
      </c>
      <c r="BJ3" s="72">
        <v>45691</v>
      </c>
      <c r="BK3" s="72">
        <v>45692</v>
      </c>
      <c r="BL3" s="72">
        <v>45693</v>
      </c>
      <c r="BM3" s="72">
        <v>45694</v>
      </c>
      <c r="BN3" s="72">
        <v>45695</v>
      </c>
      <c r="BO3" s="72">
        <v>45698</v>
      </c>
      <c r="BP3" s="72">
        <v>45699</v>
      </c>
      <c r="BQ3" s="72">
        <v>45700</v>
      </c>
      <c r="BR3" s="72">
        <v>45701</v>
      </c>
      <c r="BS3" s="72">
        <v>45702</v>
      </c>
      <c r="BT3" s="72">
        <v>45705</v>
      </c>
      <c r="BU3" s="72">
        <v>45706</v>
      </c>
      <c r="BV3" s="72">
        <v>45707</v>
      </c>
      <c r="BW3" s="72">
        <v>45708</v>
      </c>
      <c r="BX3" s="72">
        <v>45709</v>
      </c>
      <c r="BY3" s="72">
        <v>45712</v>
      </c>
      <c r="BZ3" s="72">
        <v>45713</v>
      </c>
      <c r="CA3" s="72">
        <v>45714</v>
      </c>
      <c r="CB3" s="72">
        <v>45715</v>
      </c>
      <c r="CC3" s="72">
        <v>45716</v>
      </c>
      <c r="CD3" s="72">
        <v>45719</v>
      </c>
      <c r="CE3" s="72">
        <v>45720</v>
      </c>
      <c r="CF3" s="72">
        <v>45721</v>
      </c>
      <c r="CG3" s="72">
        <v>45722</v>
      </c>
      <c r="CH3" s="72">
        <v>45723</v>
      </c>
      <c r="CI3" s="72">
        <v>45726</v>
      </c>
      <c r="CJ3" s="72">
        <v>45727</v>
      </c>
      <c r="CK3" s="72">
        <v>45728</v>
      </c>
      <c r="CL3" s="72">
        <v>45729</v>
      </c>
      <c r="CM3" s="72">
        <v>45730</v>
      </c>
      <c r="CN3" s="72">
        <v>45733</v>
      </c>
      <c r="CO3" s="72">
        <v>45734</v>
      </c>
      <c r="CP3" s="72">
        <v>45735</v>
      </c>
      <c r="CQ3" s="72">
        <v>45736</v>
      </c>
      <c r="CR3" s="72">
        <v>45737</v>
      </c>
      <c r="CS3" s="72">
        <v>45741</v>
      </c>
    </row>
    <row r="4" spans="1:97" ht="30.75" customHeight="1">
      <c r="A4" s="74" t="s">
        <v>289</v>
      </c>
      <c r="B4" s="75" t="s">
        <v>290</v>
      </c>
      <c r="C4" s="76" t="s">
        <v>291</v>
      </c>
      <c r="D4" s="77" t="s">
        <v>290</v>
      </c>
      <c r="E4" s="77" t="s">
        <v>290</v>
      </c>
      <c r="F4" s="77" t="s">
        <v>290</v>
      </c>
      <c r="G4" s="77" t="s">
        <v>290</v>
      </c>
      <c r="H4" s="77" t="s">
        <v>290</v>
      </c>
      <c r="I4" s="77" t="s">
        <v>290</v>
      </c>
      <c r="J4" s="77" t="s">
        <v>290</v>
      </c>
      <c r="K4" s="77" t="s">
        <v>290</v>
      </c>
      <c r="L4" s="77" t="s">
        <v>290</v>
      </c>
      <c r="M4" s="77" t="s">
        <v>290</v>
      </c>
      <c r="N4" s="77" t="s">
        <v>290</v>
      </c>
      <c r="O4" s="77" t="s">
        <v>292</v>
      </c>
      <c r="P4" s="78" t="s">
        <v>290</v>
      </c>
      <c r="Q4" s="77" t="s">
        <v>290</v>
      </c>
      <c r="R4" s="77" t="s">
        <v>290</v>
      </c>
      <c r="S4" s="77" t="s">
        <v>290</v>
      </c>
      <c r="T4" s="77" t="s">
        <v>290</v>
      </c>
      <c r="U4" s="78" t="s">
        <v>293</v>
      </c>
      <c r="V4" s="77" t="s">
        <v>290</v>
      </c>
      <c r="W4" s="77" t="s">
        <v>290</v>
      </c>
      <c r="X4" s="77" t="s">
        <v>290</v>
      </c>
      <c r="Y4" s="77" t="s">
        <v>290</v>
      </c>
      <c r="Z4" s="77" t="s">
        <v>290</v>
      </c>
      <c r="AA4" s="77" t="s">
        <v>290</v>
      </c>
      <c r="AB4" s="77" t="s">
        <v>290</v>
      </c>
      <c r="AC4" s="77" t="s">
        <v>290</v>
      </c>
      <c r="AD4" s="77" t="s">
        <v>290</v>
      </c>
      <c r="AE4" s="103" t="s">
        <v>294</v>
      </c>
      <c r="AF4" s="77" t="s">
        <v>290</v>
      </c>
      <c r="AG4" s="77" t="s">
        <v>290</v>
      </c>
      <c r="AH4" s="77" t="s">
        <v>290</v>
      </c>
      <c r="AI4" s="77" t="s">
        <v>290</v>
      </c>
      <c r="AJ4" s="77" t="s">
        <v>290</v>
      </c>
      <c r="AK4" s="77" t="s">
        <v>290</v>
      </c>
      <c r="AL4" s="103" t="s">
        <v>295</v>
      </c>
      <c r="AM4" s="77" t="s">
        <v>293</v>
      </c>
      <c r="AN4" s="77" t="s">
        <v>293</v>
      </c>
      <c r="AO4" s="77" t="s">
        <v>290</v>
      </c>
      <c r="AP4" s="103" t="s">
        <v>296</v>
      </c>
      <c r="AQ4" s="77" t="s">
        <v>290</v>
      </c>
      <c r="AR4" s="77" t="s">
        <v>290</v>
      </c>
      <c r="AS4" s="103" t="s">
        <v>296</v>
      </c>
      <c r="AT4" s="79" t="s">
        <v>290</v>
      </c>
      <c r="AU4" s="77" t="s">
        <v>290</v>
      </c>
      <c r="AV4" s="77" t="s">
        <v>290</v>
      </c>
      <c r="AW4" s="77" t="s">
        <v>290</v>
      </c>
      <c r="AX4" s="77" t="s">
        <v>290</v>
      </c>
      <c r="AY4" s="103" t="s">
        <v>296</v>
      </c>
      <c r="AZ4" s="77" t="s">
        <v>290</v>
      </c>
      <c r="BA4" s="77" t="s">
        <v>290</v>
      </c>
      <c r="BB4" s="77" t="s">
        <v>290</v>
      </c>
      <c r="BC4" s="77" t="s">
        <v>290</v>
      </c>
      <c r="BD4" s="77" t="s">
        <v>290</v>
      </c>
      <c r="BE4" s="77" t="s">
        <v>290</v>
      </c>
      <c r="BF4" s="77" t="s">
        <v>290</v>
      </c>
      <c r="BG4" s="77" t="s">
        <v>290</v>
      </c>
      <c r="BH4" s="77" t="s">
        <v>290</v>
      </c>
      <c r="BI4" s="78" t="s">
        <v>290</v>
      </c>
      <c r="BJ4" s="103" t="s">
        <v>296</v>
      </c>
      <c r="BK4" s="78" t="s">
        <v>297</v>
      </c>
      <c r="BL4" s="78" t="s">
        <v>297</v>
      </c>
      <c r="BM4" s="78" t="s">
        <v>297</v>
      </c>
      <c r="BN4" s="78" t="s">
        <v>297</v>
      </c>
      <c r="BO4" s="78" t="s">
        <v>297</v>
      </c>
      <c r="BP4" s="78" t="s">
        <v>297</v>
      </c>
      <c r="BQ4" s="78" t="s">
        <v>297</v>
      </c>
      <c r="BR4" s="77" t="s">
        <v>290</v>
      </c>
      <c r="BS4" s="77" t="s">
        <v>290</v>
      </c>
      <c r="BT4" s="77" t="s">
        <v>290</v>
      </c>
      <c r="BU4" s="77" t="s">
        <v>290</v>
      </c>
      <c r="BV4" s="77" t="s">
        <v>290</v>
      </c>
      <c r="BW4" s="77" t="s">
        <v>290</v>
      </c>
      <c r="BX4" s="77" t="s">
        <v>290</v>
      </c>
      <c r="BY4" s="77" t="s">
        <v>290</v>
      </c>
      <c r="BZ4" s="77" t="s">
        <v>290</v>
      </c>
      <c r="CA4" s="77" t="s">
        <v>290</v>
      </c>
      <c r="CB4" s="77" t="s">
        <v>290</v>
      </c>
      <c r="CC4" s="77" t="s">
        <v>290</v>
      </c>
      <c r="CD4" s="77" t="s">
        <v>290</v>
      </c>
      <c r="CE4" s="77" t="s">
        <v>290</v>
      </c>
      <c r="CF4" s="77" t="s">
        <v>290</v>
      </c>
      <c r="CG4" s="77"/>
      <c r="CH4" s="77"/>
      <c r="CI4" s="103" t="s">
        <v>298</v>
      </c>
      <c r="CJ4" s="77"/>
      <c r="CK4" s="77"/>
      <c r="CL4" s="77"/>
      <c r="CM4" s="77"/>
      <c r="CN4" s="77"/>
      <c r="CO4" s="77"/>
      <c r="CP4" s="77"/>
      <c r="CQ4" s="77"/>
      <c r="CR4" s="77"/>
      <c r="CS4" s="77" t="s">
        <v>290</v>
      </c>
    </row>
    <row r="5" spans="1:97" ht="15.75" customHeight="1">
      <c r="A5" s="74" t="s">
        <v>299</v>
      </c>
      <c r="B5" s="75" t="s">
        <v>290</v>
      </c>
      <c r="C5" s="77" t="s">
        <v>290</v>
      </c>
      <c r="D5" s="77" t="s">
        <v>290</v>
      </c>
      <c r="E5" s="77" t="s">
        <v>290</v>
      </c>
      <c r="F5" s="77" t="s">
        <v>290</v>
      </c>
      <c r="G5" s="77" t="s">
        <v>290</v>
      </c>
      <c r="H5" s="77" t="s">
        <v>290</v>
      </c>
      <c r="I5" s="77" t="s">
        <v>290</v>
      </c>
      <c r="J5" s="77" t="s">
        <v>290</v>
      </c>
      <c r="K5" s="77" t="s">
        <v>290</v>
      </c>
      <c r="L5" s="77" t="s">
        <v>297</v>
      </c>
      <c r="M5" s="77" t="s">
        <v>297</v>
      </c>
      <c r="N5" s="77" t="s">
        <v>297</v>
      </c>
      <c r="O5" s="77" t="s">
        <v>297</v>
      </c>
      <c r="P5" s="78" t="s">
        <v>297</v>
      </c>
      <c r="Q5" s="77" t="s">
        <v>290</v>
      </c>
      <c r="R5" s="77" t="s">
        <v>290</v>
      </c>
      <c r="S5" s="77" t="s">
        <v>290</v>
      </c>
      <c r="T5" s="77" t="s">
        <v>290</v>
      </c>
      <c r="U5" s="78" t="s">
        <v>290</v>
      </c>
      <c r="V5" s="77" t="s">
        <v>290</v>
      </c>
      <c r="W5" s="77" t="s">
        <v>290</v>
      </c>
      <c r="X5" s="77" t="s">
        <v>290</v>
      </c>
      <c r="Y5" s="77" t="s">
        <v>290</v>
      </c>
      <c r="Z5" s="77" t="s">
        <v>290</v>
      </c>
      <c r="AA5" s="77" t="s">
        <v>290</v>
      </c>
      <c r="AB5" s="77" t="s">
        <v>290</v>
      </c>
      <c r="AC5" s="77" t="s">
        <v>290</v>
      </c>
      <c r="AD5" s="77" t="s">
        <v>290</v>
      </c>
      <c r="AE5" s="104"/>
      <c r="AF5" s="77" t="s">
        <v>290</v>
      </c>
      <c r="AG5" s="77" t="s">
        <v>290</v>
      </c>
      <c r="AH5" s="77" t="s">
        <v>290</v>
      </c>
      <c r="AI5" s="77" t="s">
        <v>290</v>
      </c>
      <c r="AJ5" s="77" t="s">
        <v>290</v>
      </c>
      <c r="AK5" s="77" t="s">
        <v>290</v>
      </c>
      <c r="AL5" s="104"/>
      <c r="AM5" s="77" t="s">
        <v>290</v>
      </c>
      <c r="AN5" s="77" t="s">
        <v>290</v>
      </c>
      <c r="AO5" s="77" t="s">
        <v>290</v>
      </c>
      <c r="AP5" s="104"/>
      <c r="AQ5" s="77" t="s">
        <v>297</v>
      </c>
      <c r="AR5" s="77" t="s">
        <v>297</v>
      </c>
      <c r="AS5" s="104"/>
      <c r="AT5" s="77" t="s">
        <v>297</v>
      </c>
      <c r="AU5" s="77" t="s">
        <v>297</v>
      </c>
      <c r="AV5" s="77" t="s">
        <v>297</v>
      </c>
      <c r="AW5" s="77" t="s">
        <v>297</v>
      </c>
      <c r="AX5" s="77" t="s">
        <v>297</v>
      </c>
      <c r="AY5" s="104"/>
      <c r="AZ5" s="77" t="s">
        <v>297</v>
      </c>
      <c r="BA5" s="77" t="s">
        <v>290</v>
      </c>
      <c r="BB5" s="77" t="s">
        <v>290</v>
      </c>
      <c r="BC5" s="77" t="s">
        <v>290</v>
      </c>
      <c r="BD5" s="77" t="s">
        <v>290</v>
      </c>
      <c r="BE5" s="77" t="s">
        <v>290</v>
      </c>
      <c r="BF5" s="77" t="s">
        <v>290</v>
      </c>
      <c r="BG5" s="77" t="s">
        <v>290</v>
      </c>
      <c r="BH5" s="77" t="s">
        <v>290</v>
      </c>
      <c r="BI5" s="78" t="s">
        <v>290</v>
      </c>
      <c r="BJ5" s="104"/>
      <c r="BK5" s="78" t="s">
        <v>290</v>
      </c>
      <c r="BL5" s="78" t="s">
        <v>290</v>
      </c>
      <c r="BM5" s="77" t="s">
        <v>290</v>
      </c>
      <c r="BN5" s="78" t="s">
        <v>290</v>
      </c>
      <c r="BO5" s="77" t="s">
        <v>290</v>
      </c>
      <c r="BP5" s="77" t="s">
        <v>290</v>
      </c>
      <c r="BQ5" s="77" t="s">
        <v>290</v>
      </c>
      <c r="BR5" s="77" t="s">
        <v>290</v>
      </c>
      <c r="BS5" s="77" t="s">
        <v>290</v>
      </c>
      <c r="BT5" s="77" t="s">
        <v>290</v>
      </c>
      <c r="BU5" s="77" t="s">
        <v>290</v>
      </c>
      <c r="BV5" s="77" t="s">
        <v>290</v>
      </c>
      <c r="BW5" s="77" t="s">
        <v>290</v>
      </c>
      <c r="BX5" s="77" t="s">
        <v>290</v>
      </c>
      <c r="BY5" s="77" t="s">
        <v>290</v>
      </c>
      <c r="BZ5" s="77" t="s">
        <v>290</v>
      </c>
      <c r="CA5" s="77" t="s">
        <v>290</v>
      </c>
      <c r="CB5" s="77" t="s">
        <v>290</v>
      </c>
      <c r="CC5" s="77" t="s">
        <v>290</v>
      </c>
      <c r="CD5" s="77" t="s">
        <v>290</v>
      </c>
      <c r="CE5" s="77" t="s">
        <v>290</v>
      </c>
      <c r="CF5" s="77" t="s">
        <v>290</v>
      </c>
      <c r="CG5" s="77"/>
      <c r="CH5" s="77"/>
      <c r="CI5" s="104"/>
      <c r="CJ5" s="77"/>
      <c r="CK5" s="77"/>
      <c r="CL5" s="77"/>
      <c r="CM5" s="77"/>
      <c r="CN5" s="77"/>
      <c r="CO5" s="77"/>
      <c r="CP5" s="77"/>
      <c r="CQ5" s="77"/>
      <c r="CR5" s="77"/>
      <c r="CS5" s="77" t="s">
        <v>290</v>
      </c>
    </row>
    <row r="6" spans="1:97" ht="15.75">
      <c r="A6" s="74" t="s">
        <v>300</v>
      </c>
      <c r="B6" s="75" t="s">
        <v>290</v>
      </c>
      <c r="C6" s="77" t="s">
        <v>290</v>
      </c>
      <c r="D6" s="77" t="s">
        <v>290</v>
      </c>
      <c r="E6" s="77" t="s">
        <v>290</v>
      </c>
      <c r="F6" s="77" t="s">
        <v>290</v>
      </c>
      <c r="G6" s="77" t="s">
        <v>290</v>
      </c>
      <c r="H6" s="77" t="s">
        <v>290</v>
      </c>
      <c r="I6" s="77" t="s">
        <v>290</v>
      </c>
      <c r="J6" s="77" t="s">
        <v>290</v>
      </c>
      <c r="K6" s="80" t="s">
        <v>301</v>
      </c>
      <c r="L6" s="77" t="s">
        <v>290</v>
      </c>
      <c r="M6" s="77" t="s">
        <v>290</v>
      </c>
      <c r="N6" s="77" t="s">
        <v>290</v>
      </c>
      <c r="O6" s="77" t="s">
        <v>292</v>
      </c>
      <c r="P6" s="78" t="s">
        <v>290</v>
      </c>
      <c r="Q6" s="77" t="s">
        <v>290</v>
      </c>
      <c r="R6" s="77" t="s">
        <v>290</v>
      </c>
      <c r="S6" s="77" t="s">
        <v>290</v>
      </c>
      <c r="T6" s="77" t="s">
        <v>290</v>
      </c>
      <c r="U6" s="78" t="s">
        <v>290</v>
      </c>
      <c r="V6" s="77" t="s">
        <v>290</v>
      </c>
      <c r="W6" s="77" t="s">
        <v>290</v>
      </c>
      <c r="X6" s="77" t="s">
        <v>290</v>
      </c>
      <c r="Y6" s="77" t="s">
        <v>290</v>
      </c>
      <c r="Z6" s="77" t="s">
        <v>290</v>
      </c>
      <c r="AA6" s="77" t="s">
        <v>290</v>
      </c>
      <c r="AB6" s="77" t="s">
        <v>290</v>
      </c>
      <c r="AC6" s="77" t="s">
        <v>290</v>
      </c>
      <c r="AD6" s="77" t="s">
        <v>290</v>
      </c>
      <c r="AE6" s="104"/>
      <c r="AF6" s="77" t="s">
        <v>290</v>
      </c>
      <c r="AG6" s="77" t="s">
        <v>290</v>
      </c>
      <c r="AH6" s="77" t="s">
        <v>290</v>
      </c>
      <c r="AI6" s="77" t="s">
        <v>290</v>
      </c>
      <c r="AJ6" s="77" t="s">
        <v>290</v>
      </c>
      <c r="AK6" s="77" t="s">
        <v>290</v>
      </c>
      <c r="AL6" s="104"/>
      <c r="AM6" s="77" t="s">
        <v>290</v>
      </c>
      <c r="AN6" s="77" t="s">
        <v>290</v>
      </c>
      <c r="AO6" s="77" t="s">
        <v>290</v>
      </c>
      <c r="AP6" s="104"/>
      <c r="AQ6" s="77" t="s">
        <v>290</v>
      </c>
      <c r="AR6" s="77" t="s">
        <v>290</v>
      </c>
      <c r="AS6" s="104"/>
      <c r="AT6" s="77" t="s">
        <v>290</v>
      </c>
      <c r="AU6" s="77" t="s">
        <v>290</v>
      </c>
      <c r="AV6" s="77" t="s">
        <v>290</v>
      </c>
      <c r="AW6" s="77" t="s">
        <v>290</v>
      </c>
      <c r="AX6" s="77" t="s">
        <v>290</v>
      </c>
      <c r="AY6" s="104"/>
      <c r="AZ6" s="77" t="s">
        <v>290</v>
      </c>
      <c r="BA6" s="77" t="s">
        <v>290</v>
      </c>
      <c r="BB6" s="77" t="s">
        <v>290</v>
      </c>
      <c r="BC6" s="77" t="s">
        <v>290</v>
      </c>
      <c r="BD6" s="77" t="s">
        <v>290</v>
      </c>
      <c r="BE6" s="77" t="s">
        <v>290</v>
      </c>
      <c r="BF6" s="77" t="s">
        <v>290</v>
      </c>
      <c r="BG6" s="77" t="s">
        <v>290</v>
      </c>
      <c r="BH6" s="77" t="s">
        <v>290</v>
      </c>
      <c r="BI6" s="78" t="s">
        <v>290</v>
      </c>
      <c r="BJ6" s="104"/>
      <c r="BK6" s="78" t="s">
        <v>290</v>
      </c>
      <c r="BL6" s="78" t="s">
        <v>290</v>
      </c>
      <c r="BM6" s="77" t="s">
        <v>302</v>
      </c>
      <c r="BN6" s="78" t="s">
        <v>290</v>
      </c>
      <c r="BO6" s="77" t="s">
        <v>290</v>
      </c>
      <c r="BP6" s="77" t="s">
        <v>290</v>
      </c>
      <c r="BQ6" s="77" t="s">
        <v>290</v>
      </c>
      <c r="BR6" s="77" t="s">
        <v>290</v>
      </c>
      <c r="BS6" s="77" t="s">
        <v>290</v>
      </c>
      <c r="BT6" s="77" t="s">
        <v>290</v>
      </c>
      <c r="BU6" s="77" t="s">
        <v>290</v>
      </c>
      <c r="BV6" s="77" t="s">
        <v>290</v>
      </c>
      <c r="BW6" s="77" t="s">
        <v>290</v>
      </c>
      <c r="BX6" s="77" t="s">
        <v>290</v>
      </c>
      <c r="BY6" s="77" t="s">
        <v>290</v>
      </c>
      <c r="BZ6" s="77" t="s">
        <v>290</v>
      </c>
      <c r="CA6" s="77" t="s">
        <v>290</v>
      </c>
      <c r="CB6" s="77" t="s">
        <v>290</v>
      </c>
      <c r="CC6" s="77" t="s">
        <v>290</v>
      </c>
      <c r="CD6" s="77" t="s">
        <v>290</v>
      </c>
      <c r="CE6" s="77" t="s">
        <v>290</v>
      </c>
      <c r="CF6" s="77" t="s">
        <v>290</v>
      </c>
      <c r="CG6" s="77"/>
      <c r="CH6" s="77"/>
      <c r="CI6" s="104"/>
      <c r="CJ6" s="77"/>
      <c r="CK6" s="77"/>
      <c r="CL6" s="77"/>
      <c r="CM6" s="77"/>
      <c r="CN6" s="77"/>
      <c r="CO6" s="77"/>
      <c r="CP6" s="77"/>
      <c r="CQ6" s="77"/>
      <c r="CR6" s="77"/>
      <c r="CS6" s="77" t="s">
        <v>290</v>
      </c>
    </row>
    <row r="7" spans="1:97" ht="15.75" hidden="1" customHeight="1">
      <c r="A7" s="74" t="s">
        <v>303</v>
      </c>
      <c r="B7" s="75" t="s">
        <v>290</v>
      </c>
      <c r="C7" s="77" t="s">
        <v>290</v>
      </c>
      <c r="D7" s="77" t="s">
        <v>290</v>
      </c>
      <c r="E7" s="77" t="s">
        <v>290</v>
      </c>
      <c r="F7" s="77" t="s">
        <v>290</v>
      </c>
      <c r="G7" s="77" t="s">
        <v>290</v>
      </c>
      <c r="H7" s="77" t="s">
        <v>290</v>
      </c>
      <c r="I7" s="77" t="s">
        <v>290</v>
      </c>
      <c r="J7" s="77" t="s">
        <v>290</v>
      </c>
      <c r="K7" s="77" t="s">
        <v>290</v>
      </c>
      <c r="L7" s="80" t="s">
        <v>301</v>
      </c>
      <c r="M7" s="77" t="s">
        <v>290</v>
      </c>
      <c r="N7" s="77" t="s">
        <v>290</v>
      </c>
      <c r="O7" s="77" t="s">
        <v>292</v>
      </c>
      <c r="P7" s="78" t="s">
        <v>290</v>
      </c>
      <c r="Q7" s="77" t="s">
        <v>290</v>
      </c>
      <c r="R7" s="77" t="s">
        <v>290</v>
      </c>
      <c r="S7" s="77" t="s">
        <v>290</v>
      </c>
      <c r="T7" s="77" t="s">
        <v>290</v>
      </c>
      <c r="U7" s="78" t="s">
        <v>304</v>
      </c>
      <c r="V7" s="77" t="s">
        <v>290</v>
      </c>
      <c r="W7" s="77" t="s">
        <v>290</v>
      </c>
      <c r="X7" s="77" t="s">
        <v>290</v>
      </c>
      <c r="Y7" s="77" t="s">
        <v>290</v>
      </c>
      <c r="Z7" s="77" t="s">
        <v>293</v>
      </c>
      <c r="AA7" s="77" t="s">
        <v>290</v>
      </c>
      <c r="AB7" s="77" t="s">
        <v>290</v>
      </c>
      <c r="AC7" s="77" t="s">
        <v>290</v>
      </c>
      <c r="AD7" s="77" t="s">
        <v>290</v>
      </c>
      <c r="AE7" s="104"/>
      <c r="AF7" s="77" t="s">
        <v>290</v>
      </c>
      <c r="AG7" s="77" t="s">
        <v>290</v>
      </c>
      <c r="AH7" s="77" t="s">
        <v>290</v>
      </c>
      <c r="AI7" s="77" t="s">
        <v>290</v>
      </c>
      <c r="AJ7" s="77" t="s">
        <v>290</v>
      </c>
      <c r="AK7" s="77" t="s">
        <v>290</v>
      </c>
      <c r="AL7" s="104"/>
      <c r="AM7" s="77" t="s">
        <v>290</v>
      </c>
      <c r="AN7" s="77" t="s">
        <v>290</v>
      </c>
      <c r="AO7" s="77" t="s">
        <v>290</v>
      </c>
      <c r="AP7" s="104"/>
      <c r="AQ7" s="77" t="s">
        <v>290</v>
      </c>
      <c r="AR7" s="77" t="s">
        <v>290</v>
      </c>
      <c r="AS7" s="104"/>
      <c r="AT7" s="77" t="s">
        <v>290</v>
      </c>
      <c r="AU7" s="77" t="s">
        <v>293</v>
      </c>
      <c r="AV7" s="77" t="s">
        <v>290</v>
      </c>
      <c r="AW7" s="77" t="s">
        <v>290</v>
      </c>
      <c r="AX7" s="77" t="s">
        <v>290</v>
      </c>
      <c r="AY7" s="104"/>
      <c r="AZ7" s="77" t="s">
        <v>290</v>
      </c>
      <c r="BA7" s="77" t="s">
        <v>290</v>
      </c>
      <c r="BB7" s="77" t="s">
        <v>290</v>
      </c>
      <c r="BC7" s="77" t="s">
        <v>290</v>
      </c>
      <c r="BD7" s="77" t="s">
        <v>290</v>
      </c>
      <c r="BE7" s="77" t="s">
        <v>290</v>
      </c>
      <c r="BF7" s="77" t="s">
        <v>290</v>
      </c>
      <c r="BG7" s="77" t="s">
        <v>290</v>
      </c>
      <c r="BH7" s="77" t="s">
        <v>290</v>
      </c>
      <c r="BI7" s="78" t="s">
        <v>290</v>
      </c>
      <c r="BJ7" s="104"/>
      <c r="BK7" s="78" t="s">
        <v>290</v>
      </c>
      <c r="BL7" s="78" t="s">
        <v>290</v>
      </c>
      <c r="BM7" s="77" t="s">
        <v>290</v>
      </c>
      <c r="BN7" s="78" t="s">
        <v>290</v>
      </c>
      <c r="BO7" s="77" t="s">
        <v>293</v>
      </c>
      <c r="BP7" s="77"/>
      <c r="BQ7" s="77"/>
      <c r="BR7" s="77"/>
      <c r="BS7" s="77"/>
      <c r="BT7" s="77"/>
      <c r="BU7" s="77" t="s">
        <v>290</v>
      </c>
      <c r="BV7" s="77" t="s">
        <v>290</v>
      </c>
      <c r="BW7" s="77" t="s">
        <v>290</v>
      </c>
      <c r="BX7" s="77" t="s">
        <v>290</v>
      </c>
      <c r="BY7" s="77"/>
      <c r="BZ7" s="77"/>
      <c r="CA7" s="77"/>
      <c r="CB7" s="77"/>
      <c r="CC7" s="77"/>
      <c r="CD7" s="77"/>
      <c r="CE7" s="77"/>
      <c r="CF7" s="77"/>
      <c r="CG7" s="77"/>
      <c r="CH7" s="77"/>
      <c r="CI7" s="104"/>
      <c r="CJ7" s="77"/>
      <c r="CK7" s="77"/>
      <c r="CL7" s="77"/>
      <c r="CM7" s="77"/>
      <c r="CN7" s="77"/>
      <c r="CO7" s="77"/>
      <c r="CP7" s="77"/>
      <c r="CQ7" s="77"/>
      <c r="CR7" s="77"/>
      <c r="CS7" s="77"/>
    </row>
    <row r="8" spans="1:97" ht="15.75" hidden="1" customHeight="1">
      <c r="A8" s="74" t="s">
        <v>305</v>
      </c>
      <c r="B8" s="75" t="s">
        <v>290</v>
      </c>
      <c r="C8" s="77" t="s">
        <v>290</v>
      </c>
      <c r="D8" s="77" t="s">
        <v>290</v>
      </c>
      <c r="E8" s="77" t="s">
        <v>290</v>
      </c>
      <c r="F8" s="77" t="s">
        <v>290</v>
      </c>
      <c r="G8" s="77" t="s">
        <v>290</v>
      </c>
      <c r="H8" s="77" t="s">
        <v>290</v>
      </c>
      <c r="I8" s="77" t="s">
        <v>290</v>
      </c>
      <c r="J8" s="77" t="s">
        <v>290</v>
      </c>
      <c r="K8" s="77" t="s">
        <v>290</v>
      </c>
      <c r="L8" s="77" t="s">
        <v>293</v>
      </c>
      <c r="M8" s="77" t="s">
        <v>290</v>
      </c>
      <c r="N8" s="77" t="s">
        <v>290</v>
      </c>
      <c r="O8" s="77" t="s">
        <v>292</v>
      </c>
      <c r="P8" s="78" t="s">
        <v>290</v>
      </c>
      <c r="Q8" s="77" t="s">
        <v>290</v>
      </c>
      <c r="R8" s="77" t="s">
        <v>290</v>
      </c>
      <c r="S8" s="77" t="s">
        <v>290</v>
      </c>
      <c r="T8" s="77" t="s">
        <v>290</v>
      </c>
      <c r="U8" s="78" t="s">
        <v>290</v>
      </c>
      <c r="V8" s="77" t="s">
        <v>290</v>
      </c>
      <c r="W8" s="77" t="s">
        <v>306</v>
      </c>
      <c r="X8" s="77" t="s">
        <v>290</v>
      </c>
      <c r="Y8" s="77" t="s">
        <v>290</v>
      </c>
      <c r="Z8" s="77" t="s">
        <v>290</v>
      </c>
      <c r="AA8" s="77" t="s">
        <v>290</v>
      </c>
      <c r="AB8" s="77" t="s">
        <v>293</v>
      </c>
      <c r="AC8" s="77" t="s">
        <v>290</v>
      </c>
      <c r="AD8" s="77" t="s">
        <v>290</v>
      </c>
      <c r="AE8" s="104"/>
      <c r="AF8" s="77" t="s">
        <v>290</v>
      </c>
      <c r="AG8" s="77" t="s">
        <v>290</v>
      </c>
      <c r="AH8" s="77" t="s">
        <v>290</v>
      </c>
      <c r="AI8" s="77" t="s">
        <v>290</v>
      </c>
      <c r="AJ8" s="77" t="s">
        <v>290</v>
      </c>
      <c r="AK8" s="77" t="s">
        <v>290</v>
      </c>
      <c r="AL8" s="104"/>
      <c r="AM8" s="77" t="s">
        <v>290</v>
      </c>
      <c r="AN8" s="77" t="s">
        <v>293</v>
      </c>
      <c r="AO8" s="77" t="s">
        <v>290</v>
      </c>
      <c r="AP8" s="104"/>
      <c r="AQ8" s="77" t="s">
        <v>290</v>
      </c>
      <c r="AR8" s="77" t="s">
        <v>290</v>
      </c>
      <c r="AS8" s="104"/>
      <c r="AT8" s="77" t="s">
        <v>290</v>
      </c>
      <c r="AU8" s="77" t="s">
        <v>290</v>
      </c>
      <c r="AV8" s="77" t="s">
        <v>290</v>
      </c>
      <c r="AW8" s="77" t="s">
        <v>290</v>
      </c>
      <c r="AX8" s="77" t="s">
        <v>290</v>
      </c>
      <c r="AY8" s="104"/>
      <c r="AZ8" s="77" t="s">
        <v>290</v>
      </c>
      <c r="BA8" s="77" t="s">
        <v>290</v>
      </c>
      <c r="BB8" s="77" t="s">
        <v>290</v>
      </c>
      <c r="BC8" s="77" t="s">
        <v>290</v>
      </c>
      <c r="BD8" s="77" t="s">
        <v>290</v>
      </c>
      <c r="BE8" s="77" t="s">
        <v>290</v>
      </c>
      <c r="BF8" s="77" t="s">
        <v>290</v>
      </c>
      <c r="BG8" s="77" t="s">
        <v>307</v>
      </c>
      <c r="BH8" s="77" t="s">
        <v>290</v>
      </c>
      <c r="BI8" s="78" t="s">
        <v>290</v>
      </c>
      <c r="BJ8" s="104"/>
      <c r="BK8" s="78" t="s">
        <v>290</v>
      </c>
      <c r="BL8" s="78" t="s">
        <v>290</v>
      </c>
      <c r="BM8" s="77" t="s">
        <v>290</v>
      </c>
      <c r="BN8" s="78" t="s">
        <v>290</v>
      </c>
      <c r="BO8" s="77" t="s">
        <v>290</v>
      </c>
      <c r="BP8" s="77" t="s">
        <v>290</v>
      </c>
      <c r="BQ8" s="77" t="s">
        <v>290</v>
      </c>
      <c r="BR8" s="77" t="s">
        <v>290</v>
      </c>
      <c r="BS8" s="77" t="s">
        <v>290</v>
      </c>
      <c r="BT8" s="77" t="s">
        <v>290</v>
      </c>
      <c r="BU8" s="77" t="s">
        <v>290</v>
      </c>
      <c r="BV8" s="77" t="s">
        <v>290</v>
      </c>
      <c r="BW8" s="77" t="s">
        <v>290</v>
      </c>
      <c r="BX8" s="77" t="s">
        <v>308</v>
      </c>
      <c r="BY8" s="77"/>
      <c r="BZ8" s="77"/>
      <c r="CA8" s="77"/>
      <c r="CB8" s="77"/>
      <c r="CC8" s="77"/>
      <c r="CD8" s="77"/>
      <c r="CE8" s="77"/>
      <c r="CF8" s="77"/>
      <c r="CG8" s="77"/>
      <c r="CH8" s="77"/>
      <c r="CI8" s="104"/>
      <c r="CJ8" s="77"/>
      <c r="CK8" s="77"/>
      <c r="CL8" s="77"/>
      <c r="CM8" s="77"/>
      <c r="CN8" s="77"/>
      <c r="CO8" s="77"/>
      <c r="CP8" s="77"/>
      <c r="CQ8" s="77"/>
      <c r="CR8" s="77"/>
      <c r="CS8" s="77"/>
    </row>
    <row r="9" spans="1:97" ht="15.75">
      <c r="A9" s="74" t="s">
        <v>309</v>
      </c>
      <c r="B9" s="75" t="s">
        <v>290</v>
      </c>
      <c r="C9" s="77" t="s">
        <v>290</v>
      </c>
      <c r="D9" s="77" t="s">
        <v>290</v>
      </c>
      <c r="E9" s="77" t="s">
        <v>290</v>
      </c>
      <c r="F9" s="77" t="s">
        <v>290</v>
      </c>
      <c r="G9" s="77" t="s">
        <v>290</v>
      </c>
      <c r="H9" s="77" t="s">
        <v>290</v>
      </c>
      <c r="I9" s="77" t="s">
        <v>290</v>
      </c>
      <c r="J9" s="77" t="s">
        <v>290</v>
      </c>
      <c r="K9" s="77" t="s">
        <v>290</v>
      </c>
      <c r="L9" s="77" t="s">
        <v>290</v>
      </c>
      <c r="M9" s="77" t="s">
        <v>290</v>
      </c>
      <c r="N9" s="77" t="s">
        <v>290</v>
      </c>
      <c r="O9" s="80" t="s">
        <v>301</v>
      </c>
      <c r="P9" s="78" t="s">
        <v>290</v>
      </c>
      <c r="Q9" s="77" t="s">
        <v>290</v>
      </c>
      <c r="R9" s="77" t="s">
        <v>290</v>
      </c>
      <c r="S9" s="77" t="s">
        <v>290</v>
      </c>
      <c r="T9" s="77" t="s">
        <v>290</v>
      </c>
      <c r="U9" s="78" t="s">
        <v>290</v>
      </c>
      <c r="V9" s="77" t="s">
        <v>290</v>
      </c>
      <c r="W9" s="77" t="s">
        <v>290</v>
      </c>
      <c r="X9" s="77" t="s">
        <v>290</v>
      </c>
      <c r="Y9" s="77" t="s">
        <v>290</v>
      </c>
      <c r="Z9" s="77" t="s">
        <v>290</v>
      </c>
      <c r="AA9" s="77" t="s">
        <v>290</v>
      </c>
      <c r="AB9" s="77" t="s">
        <v>290</v>
      </c>
      <c r="AC9" s="77" t="s">
        <v>290</v>
      </c>
      <c r="AD9" s="77" t="s">
        <v>290</v>
      </c>
      <c r="AE9" s="104"/>
      <c r="AF9" s="77" t="s">
        <v>290</v>
      </c>
      <c r="AG9" s="77" t="s">
        <v>290</v>
      </c>
      <c r="AH9" s="77" t="s">
        <v>290</v>
      </c>
      <c r="AI9" s="77" t="s">
        <v>290</v>
      </c>
      <c r="AJ9" s="77" t="s">
        <v>290</v>
      </c>
      <c r="AK9" s="77" t="s">
        <v>290</v>
      </c>
      <c r="AL9" s="104"/>
      <c r="AM9" s="77" t="s">
        <v>290</v>
      </c>
      <c r="AN9" s="77" t="s">
        <v>290</v>
      </c>
      <c r="AO9" s="77" t="s">
        <v>290</v>
      </c>
      <c r="AP9" s="104"/>
      <c r="AQ9" s="77" t="s">
        <v>290</v>
      </c>
      <c r="AR9" s="77" t="s">
        <v>290</v>
      </c>
      <c r="AS9" s="104"/>
      <c r="AT9" s="77" t="s">
        <v>290</v>
      </c>
      <c r="AU9" s="77" t="s">
        <v>290</v>
      </c>
      <c r="AV9" s="77" t="s">
        <v>290</v>
      </c>
      <c r="AW9" s="77" t="s">
        <v>290</v>
      </c>
      <c r="AX9" s="77" t="s">
        <v>290</v>
      </c>
      <c r="AY9" s="104"/>
      <c r="AZ9" s="77" t="s">
        <v>290</v>
      </c>
      <c r="BA9" s="77" t="s">
        <v>290</v>
      </c>
      <c r="BB9" s="77" t="s">
        <v>290</v>
      </c>
      <c r="BC9" s="77" t="s">
        <v>290</v>
      </c>
      <c r="BD9" s="77" t="s">
        <v>290</v>
      </c>
      <c r="BE9" s="77" t="s">
        <v>290</v>
      </c>
      <c r="BF9" s="77" t="s">
        <v>290</v>
      </c>
      <c r="BG9" s="77" t="s">
        <v>290</v>
      </c>
      <c r="BH9" s="77" t="s">
        <v>290</v>
      </c>
      <c r="BI9" s="78" t="s">
        <v>290</v>
      </c>
      <c r="BJ9" s="104"/>
      <c r="BK9" s="78" t="s">
        <v>290</v>
      </c>
      <c r="BL9" s="78" t="s">
        <v>290</v>
      </c>
      <c r="BM9" s="77" t="s">
        <v>290</v>
      </c>
      <c r="BN9" s="78" t="s">
        <v>290</v>
      </c>
      <c r="BO9" s="77" t="s">
        <v>290</v>
      </c>
      <c r="BP9" s="77" t="s">
        <v>290</v>
      </c>
      <c r="BQ9" s="77" t="s">
        <v>290</v>
      </c>
      <c r="BR9" s="77" t="s">
        <v>290</v>
      </c>
      <c r="BS9" s="77" t="s">
        <v>290</v>
      </c>
      <c r="BT9" s="77" t="s">
        <v>290</v>
      </c>
      <c r="BU9" s="77" t="s">
        <v>290</v>
      </c>
      <c r="BV9" s="77" t="s">
        <v>290</v>
      </c>
      <c r="BW9" s="77" t="s">
        <v>290</v>
      </c>
      <c r="BX9" s="77" t="s">
        <v>290</v>
      </c>
      <c r="BY9" s="77" t="s">
        <v>290</v>
      </c>
      <c r="BZ9" s="77" t="s">
        <v>290</v>
      </c>
      <c r="CA9" s="77" t="s">
        <v>290</v>
      </c>
      <c r="CB9" s="77" t="s">
        <v>290</v>
      </c>
      <c r="CC9" s="77" t="s">
        <v>290</v>
      </c>
      <c r="CD9" s="77" t="s">
        <v>290</v>
      </c>
      <c r="CE9" s="77" t="s">
        <v>290</v>
      </c>
      <c r="CF9" s="77" t="s">
        <v>290</v>
      </c>
      <c r="CG9" s="77"/>
      <c r="CH9" s="77"/>
      <c r="CI9" s="104"/>
      <c r="CJ9" s="77"/>
      <c r="CK9" s="77"/>
      <c r="CL9" s="77"/>
      <c r="CM9" s="77"/>
      <c r="CN9" s="77"/>
      <c r="CO9" s="77"/>
      <c r="CP9" s="77"/>
      <c r="CQ9" s="77"/>
      <c r="CR9" s="77"/>
      <c r="CS9" s="77" t="s">
        <v>290</v>
      </c>
    </row>
    <row r="10" spans="1:97" ht="15.75">
      <c r="A10" s="74" t="s">
        <v>310</v>
      </c>
      <c r="B10" s="75" t="s">
        <v>290</v>
      </c>
      <c r="C10" s="77" t="s">
        <v>290</v>
      </c>
      <c r="D10" s="77" t="s">
        <v>290</v>
      </c>
      <c r="E10" s="77" t="s">
        <v>290</v>
      </c>
      <c r="F10" s="77" t="s">
        <v>290</v>
      </c>
      <c r="G10" s="77" t="s">
        <v>290</v>
      </c>
      <c r="H10" s="77" t="s">
        <v>290</v>
      </c>
      <c r="I10" s="77" t="s">
        <v>293</v>
      </c>
      <c r="J10" s="77" t="s">
        <v>290</v>
      </c>
      <c r="K10" s="77" t="s">
        <v>293</v>
      </c>
      <c r="L10" s="77" t="s">
        <v>290</v>
      </c>
      <c r="M10" s="77" t="s">
        <v>290</v>
      </c>
      <c r="N10" s="77" t="s">
        <v>293</v>
      </c>
      <c r="O10" s="77" t="s">
        <v>292</v>
      </c>
      <c r="P10" s="78" t="s">
        <v>293</v>
      </c>
      <c r="Q10" s="77" t="s">
        <v>293</v>
      </c>
      <c r="R10" s="77" t="s">
        <v>290</v>
      </c>
      <c r="S10" s="77" t="s">
        <v>290</v>
      </c>
      <c r="T10" s="77" t="s">
        <v>290</v>
      </c>
      <c r="U10" s="78" t="s">
        <v>293</v>
      </c>
      <c r="V10" s="77" t="s">
        <v>290</v>
      </c>
      <c r="W10" s="77" t="s">
        <v>290</v>
      </c>
      <c r="X10" s="77" t="s">
        <v>290</v>
      </c>
      <c r="Y10" s="77" t="s">
        <v>290</v>
      </c>
      <c r="Z10" s="77" t="s">
        <v>290</v>
      </c>
      <c r="AA10" s="77" t="s">
        <v>290</v>
      </c>
      <c r="AB10" s="77" t="s">
        <v>290</v>
      </c>
      <c r="AC10" s="77" t="s">
        <v>290</v>
      </c>
      <c r="AD10" s="77" t="s">
        <v>290</v>
      </c>
      <c r="AE10" s="104"/>
      <c r="AF10" s="77" t="s">
        <v>290</v>
      </c>
      <c r="AG10" s="77" t="s">
        <v>290</v>
      </c>
      <c r="AH10" s="77" t="s">
        <v>290</v>
      </c>
      <c r="AI10" s="77" t="s">
        <v>290</v>
      </c>
      <c r="AJ10" s="77" t="s">
        <v>290</v>
      </c>
      <c r="AK10" s="77" t="s">
        <v>293</v>
      </c>
      <c r="AL10" s="104"/>
      <c r="AM10" s="77" t="s">
        <v>293</v>
      </c>
      <c r="AN10" s="77" t="s">
        <v>290</v>
      </c>
      <c r="AO10" s="77" t="s">
        <v>290</v>
      </c>
      <c r="AP10" s="104"/>
      <c r="AQ10" s="77" t="s">
        <v>290</v>
      </c>
      <c r="AR10" s="77" t="s">
        <v>290</v>
      </c>
      <c r="AS10" s="104"/>
      <c r="AT10" s="77" t="s">
        <v>290</v>
      </c>
      <c r="AU10" s="77" t="s">
        <v>290</v>
      </c>
      <c r="AV10" s="77" t="s">
        <v>290</v>
      </c>
      <c r="AW10" s="77" t="s">
        <v>290</v>
      </c>
      <c r="AX10" s="77" t="s">
        <v>290</v>
      </c>
      <c r="AY10" s="104"/>
      <c r="AZ10" s="77" t="s">
        <v>290</v>
      </c>
      <c r="BA10" s="77" t="s">
        <v>293</v>
      </c>
      <c r="BB10" s="77" t="s">
        <v>293</v>
      </c>
      <c r="BC10" s="77" t="s">
        <v>293</v>
      </c>
      <c r="BD10" s="77" t="s">
        <v>293</v>
      </c>
      <c r="BE10" s="77" t="s">
        <v>293</v>
      </c>
      <c r="BF10" s="77" t="s">
        <v>290</v>
      </c>
      <c r="BG10" s="77" t="s">
        <v>290</v>
      </c>
      <c r="BH10" s="77" t="s">
        <v>290</v>
      </c>
      <c r="BI10" s="78" t="s">
        <v>290</v>
      </c>
      <c r="BJ10" s="104"/>
      <c r="BK10" s="78" t="s">
        <v>290</v>
      </c>
      <c r="BL10" s="78" t="s">
        <v>290</v>
      </c>
      <c r="BM10" s="77" t="s">
        <v>290</v>
      </c>
      <c r="BN10" s="78" t="s">
        <v>290</v>
      </c>
      <c r="BO10" s="77" t="s">
        <v>290</v>
      </c>
      <c r="BP10" s="77" t="s">
        <v>290</v>
      </c>
      <c r="BQ10" s="77" t="s">
        <v>290</v>
      </c>
      <c r="BR10" s="77" t="s">
        <v>290</v>
      </c>
      <c r="BS10" s="77" t="s">
        <v>290</v>
      </c>
      <c r="BT10" s="77" t="s">
        <v>290</v>
      </c>
      <c r="BU10" s="77" t="s">
        <v>290</v>
      </c>
      <c r="BV10" s="77" t="s">
        <v>290</v>
      </c>
      <c r="BW10" s="77" t="s">
        <v>293</v>
      </c>
      <c r="BX10" s="77" t="s">
        <v>290</v>
      </c>
      <c r="BY10" s="77" t="s">
        <v>290</v>
      </c>
      <c r="BZ10" s="77" t="s">
        <v>290</v>
      </c>
      <c r="CA10" s="77" t="s">
        <v>290</v>
      </c>
      <c r="CB10" s="77" t="s">
        <v>290</v>
      </c>
      <c r="CC10" s="77" t="s">
        <v>290</v>
      </c>
      <c r="CD10" s="77" t="s">
        <v>290</v>
      </c>
      <c r="CE10" s="77" t="s">
        <v>290</v>
      </c>
      <c r="CF10" s="77" t="s">
        <v>290</v>
      </c>
      <c r="CG10" s="77"/>
      <c r="CH10" s="77"/>
      <c r="CI10" s="104"/>
      <c r="CJ10" s="77"/>
      <c r="CK10" s="77"/>
      <c r="CL10" s="77"/>
      <c r="CM10" s="77"/>
      <c r="CN10" s="77"/>
      <c r="CO10" s="77"/>
      <c r="CP10" s="77"/>
      <c r="CQ10" s="77"/>
      <c r="CR10" s="77"/>
      <c r="CS10" s="77" t="s">
        <v>290</v>
      </c>
    </row>
    <row r="11" spans="1:97" ht="15.75">
      <c r="A11" s="74" t="s">
        <v>311</v>
      </c>
      <c r="B11" s="75" t="s">
        <v>290</v>
      </c>
      <c r="C11" s="77" t="s">
        <v>290</v>
      </c>
      <c r="D11" s="77" t="s">
        <v>290</v>
      </c>
      <c r="E11" s="77" t="s">
        <v>290</v>
      </c>
      <c r="F11" s="77" t="s">
        <v>290</v>
      </c>
      <c r="G11" s="77" t="s">
        <v>290</v>
      </c>
      <c r="H11" s="77" t="s">
        <v>290</v>
      </c>
      <c r="I11" s="77" t="s">
        <v>290</v>
      </c>
      <c r="J11" s="77" t="s">
        <v>312</v>
      </c>
      <c r="K11" s="77" t="s">
        <v>293</v>
      </c>
      <c r="L11" s="77" t="s">
        <v>290</v>
      </c>
      <c r="M11" s="77" t="s">
        <v>293</v>
      </c>
      <c r="N11" s="77" t="s">
        <v>290</v>
      </c>
      <c r="O11" s="77" t="s">
        <v>292</v>
      </c>
      <c r="P11" s="78" t="s">
        <v>290</v>
      </c>
      <c r="Q11" s="77" t="s">
        <v>290</v>
      </c>
      <c r="R11" s="77" t="s">
        <v>290</v>
      </c>
      <c r="S11" s="77" t="s">
        <v>293</v>
      </c>
      <c r="T11" s="77" t="s">
        <v>293</v>
      </c>
      <c r="U11" s="78" t="s">
        <v>293</v>
      </c>
      <c r="V11" s="77" t="s">
        <v>290</v>
      </c>
      <c r="W11" s="77" t="s">
        <v>290</v>
      </c>
      <c r="X11" s="77" t="s">
        <v>290</v>
      </c>
      <c r="Y11" s="77" t="s">
        <v>290</v>
      </c>
      <c r="Z11" s="77" t="s">
        <v>290</v>
      </c>
      <c r="AA11" s="77" t="s">
        <v>290</v>
      </c>
      <c r="AB11" s="77" t="s">
        <v>290</v>
      </c>
      <c r="AC11" s="77" t="s">
        <v>290</v>
      </c>
      <c r="AD11" s="77" t="s">
        <v>293</v>
      </c>
      <c r="AE11" s="104"/>
      <c r="AF11" s="77" t="s">
        <v>290</v>
      </c>
      <c r="AG11" s="77" t="s">
        <v>290</v>
      </c>
      <c r="AH11" s="77" t="s">
        <v>290</v>
      </c>
      <c r="AI11" s="77" t="s">
        <v>290</v>
      </c>
      <c r="AJ11" s="77" t="s">
        <v>290</v>
      </c>
      <c r="AK11" s="77" t="s">
        <v>290</v>
      </c>
      <c r="AL11" s="104"/>
      <c r="AM11" s="77" t="s">
        <v>290</v>
      </c>
      <c r="AN11" s="77" t="s">
        <v>290</v>
      </c>
      <c r="AO11" s="77" t="s">
        <v>290</v>
      </c>
      <c r="AP11" s="104"/>
      <c r="AQ11" s="77" t="s">
        <v>290</v>
      </c>
      <c r="AR11" s="77" t="s">
        <v>290</v>
      </c>
      <c r="AS11" s="104"/>
      <c r="AT11" s="77" t="s">
        <v>290</v>
      </c>
      <c r="AU11" s="77" t="s">
        <v>293</v>
      </c>
      <c r="AV11" s="77" t="s">
        <v>293</v>
      </c>
      <c r="AW11" s="77" t="s">
        <v>290</v>
      </c>
      <c r="AX11" s="77" t="s">
        <v>290</v>
      </c>
      <c r="AY11" s="104"/>
      <c r="AZ11" s="77" t="s">
        <v>293</v>
      </c>
      <c r="BA11" s="77" t="s">
        <v>290</v>
      </c>
      <c r="BB11" s="77" t="s">
        <v>290</v>
      </c>
      <c r="BC11" s="77" t="s">
        <v>290</v>
      </c>
      <c r="BD11" s="77" t="s">
        <v>290</v>
      </c>
      <c r="BE11" s="77" t="s">
        <v>293</v>
      </c>
      <c r="BF11" s="77" t="s">
        <v>293</v>
      </c>
      <c r="BG11" s="77" t="s">
        <v>293</v>
      </c>
      <c r="BH11" s="77" t="s">
        <v>290</v>
      </c>
      <c r="BI11" s="78" t="s">
        <v>290</v>
      </c>
      <c r="BJ11" s="104"/>
      <c r="BK11" s="78" t="s">
        <v>290</v>
      </c>
      <c r="BL11" s="78" t="s">
        <v>290</v>
      </c>
      <c r="BM11" s="77" t="s">
        <v>290</v>
      </c>
      <c r="BN11" s="78" t="s">
        <v>290</v>
      </c>
      <c r="BO11" s="77" t="s">
        <v>293</v>
      </c>
      <c r="BP11" s="77" t="s">
        <v>290</v>
      </c>
      <c r="BQ11" s="77" t="s">
        <v>290</v>
      </c>
      <c r="BR11" s="77" t="s">
        <v>313</v>
      </c>
      <c r="BS11" s="77" t="s">
        <v>290</v>
      </c>
      <c r="BT11" s="77" t="s">
        <v>290</v>
      </c>
      <c r="BU11" s="77" t="s">
        <v>290</v>
      </c>
      <c r="BV11" s="77" t="s">
        <v>290</v>
      </c>
      <c r="BW11" s="77" t="s">
        <v>290</v>
      </c>
      <c r="BX11" s="77" t="s">
        <v>290</v>
      </c>
      <c r="BY11" s="77" t="s">
        <v>290</v>
      </c>
      <c r="BZ11" s="77" t="s">
        <v>290</v>
      </c>
      <c r="CA11" s="77" t="s">
        <v>290</v>
      </c>
      <c r="CB11" s="77" t="s">
        <v>293</v>
      </c>
      <c r="CC11" s="77" t="s">
        <v>293</v>
      </c>
      <c r="CD11" s="77" t="s">
        <v>290</v>
      </c>
      <c r="CE11" s="77" t="s">
        <v>290</v>
      </c>
      <c r="CF11" s="77" t="s">
        <v>290</v>
      </c>
      <c r="CG11" s="77"/>
      <c r="CH11" s="77"/>
      <c r="CI11" s="104"/>
      <c r="CJ11" s="77"/>
      <c r="CK11" s="77"/>
      <c r="CL11" s="77"/>
      <c r="CM11" s="77"/>
      <c r="CN11" s="77"/>
      <c r="CO11" s="77"/>
      <c r="CP11" s="77"/>
      <c r="CQ11" s="77"/>
      <c r="CR11" s="77"/>
      <c r="CS11" s="77" t="s">
        <v>290</v>
      </c>
    </row>
    <row r="12" spans="1:97" ht="15.75">
      <c r="A12" s="74" t="s">
        <v>314</v>
      </c>
      <c r="B12" s="75" t="s">
        <v>290</v>
      </c>
      <c r="C12" s="77" t="s">
        <v>293</v>
      </c>
      <c r="D12" s="77" t="s">
        <v>290</v>
      </c>
      <c r="E12" s="77" t="s">
        <v>290</v>
      </c>
      <c r="F12" s="77" t="s">
        <v>293</v>
      </c>
      <c r="G12" s="77" t="s">
        <v>293</v>
      </c>
      <c r="H12" s="77" t="s">
        <v>290</v>
      </c>
      <c r="I12" s="77" t="s">
        <v>293</v>
      </c>
      <c r="J12" s="77" t="s">
        <v>290</v>
      </c>
      <c r="K12" s="77" t="s">
        <v>293</v>
      </c>
      <c r="L12" s="77" t="s">
        <v>290</v>
      </c>
      <c r="M12" s="77" t="s">
        <v>293</v>
      </c>
      <c r="N12" s="77" t="s">
        <v>293</v>
      </c>
      <c r="O12" s="77" t="s">
        <v>292</v>
      </c>
      <c r="P12" s="78" t="s">
        <v>290</v>
      </c>
      <c r="Q12" s="77" t="s">
        <v>293</v>
      </c>
      <c r="R12" s="77" t="s">
        <v>293</v>
      </c>
      <c r="S12" s="77" t="s">
        <v>293</v>
      </c>
      <c r="T12" s="77" t="s">
        <v>293</v>
      </c>
      <c r="U12" s="78" t="s">
        <v>293</v>
      </c>
      <c r="V12" s="77" t="s">
        <v>293</v>
      </c>
      <c r="W12" s="77" t="s">
        <v>290</v>
      </c>
      <c r="X12" s="77" t="s">
        <v>293</v>
      </c>
      <c r="Y12" s="77" t="s">
        <v>293</v>
      </c>
      <c r="Z12" s="77" t="s">
        <v>290</v>
      </c>
      <c r="AA12" s="77" t="s">
        <v>293</v>
      </c>
      <c r="AB12" s="77" t="s">
        <v>293</v>
      </c>
      <c r="AC12" s="77" t="s">
        <v>290</v>
      </c>
      <c r="AD12" s="77" t="s">
        <v>293</v>
      </c>
      <c r="AE12" s="104"/>
      <c r="AF12" s="77" t="s">
        <v>293</v>
      </c>
      <c r="AG12" s="77" t="s">
        <v>293</v>
      </c>
      <c r="AH12" s="77" t="s">
        <v>293</v>
      </c>
      <c r="AI12" s="77" t="s">
        <v>293</v>
      </c>
      <c r="AJ12" s="77" t="s">
        <v>290</v>
      </c>
      <c r="AK12" s="77" t="s">
        <v>290</v>
      </c>
      <c r="AL12" s="104"/>
      <c r="AM12" s="77" t="s">
        <v>293</v>
      </c>
      <c r="AN12" s="77" t="s">
        <v>293</v>
      </c>
      <c r="AO12" s="77" t="s">
        <v>293</v>
      </c>
      <c r="AP12" s="104"/>
      <c r="AQ12" s="77" t="s">
        <v>293</v>
      </c>
      <c r="AR12" s="77" t="s">
        <v>293</v>
      </c>
      <c r="AS12" s="104"/>
      <c r="AT12" s="77" t="s">
        <v>293</v>
      </c>
      <c r="AU12" s="77" t="s">
        <v>293</v>
      </c>
      <c r="AV12" s="77" t="s">
        <v>290</v>
      </c>
      <c r="AW12" s="77" t="s">
        <v>290</v>
      </c>
      <c r="AX12" s="77" t="s">
        <v>293</v>
      </c>
      <c r="AY12" s="104"/>
      <c r="AZ12" s="77" t="s">
        <v>293</v>
      </c>
      <c r="BA12" s="77" t="s">
        <v>293</v>
      </c>
      <c r="BB12" s="77" t="s">
        <v>293</v>
      </c>
      <c r="BC12" s="77" t="s">
        <v>290</v>
      </c>
      <c r="BD12" s="77" t="s">
        <v>293</v>
      </c>
      <c r="BE12" s="77" t="s">
        <v>290</v>
      </c>
      <c r="BF12" s="77" t="s">
        <v>293</v>
      </c>
      <c r="BG12" s="77" t="s">
        <v>293</v>
      </c>
      <c r="BH12" s="77" t="s">
        <v>290</v>
      </c>
      <c r="BI12" s="78" t="s">
        <v>293</v>
      </c>
      <c r="BJ12" s="104"/>
      <c r="BK12" s="78" t="s">
        <v>293</v>
      </c>
      <c r="BL12" s="78" t="s">
        <v>293</v>
      </c>
      <c r="BM12" s="77" t="s">
        <v>290</v>
      </c>
      <c r="BN12" s="78" t="s">
        <v>293</v>
      </c>
      <c r="BO12" s="77" t="s">
        <v>293</v>
      </c>
      <c r="BP12" s="77" t="s">
        <v>293</v>
      </c>
      <c r="BQ12" s="77" t="s">
        <v>293</v>
      </c>
      <c r="BR12" s="77" t="s">
        <v>290</v>
      </c>
      <c r="BS12" s="77" t="s">
        <v>293</v>
      </c>
      <c r="BT12" s="77" t="s">
        <v>293</v>
      </c>
      <c r="BU12" s="77" t="s">
        <v>290</v>
      </c>
      <c r="BV12" s="77" t="s">
        <v>290</v>
      </c>
      <c r="BW12" s="77" t="s">
        <v>293</v>
      </c>
      <c r="BX12" s="77" t="s">
        <v>293</v>
      </c>
      <c r="BY12" s="77" t="s">
        <v>290</v>
      </c>
      <c r="BZ12" s="77" t="s">
        <v>293</v>
      </c>
      <c r="CA12" s="77" t="s">
        <v>293</v>
      </c>
      <c r="CB12" s="77" t="s">
        <v>290</v>
      </c>
      <c r="CC12" s="77" t="s">
        <v>293</v>
      </c>
      <c r="CD12" s="77" t="s">
        <v>293</v>
      </c>
      <c r="CE12" s="77" t="s">
        <v>290</v>
      </c>
      <c r="CF12" s="77" t="s">
        <v>293</v>
      </c>
      <c r="CG12" s="77"/>
      <c r="CH12" s="77"/>
      <c r="CI12" s="104"/>
      <c r="CJ12" s="77"/>
      <c r="CK12" s="77"/>
      <c r="CL12" s="77"/>
      <c r="CM12" s="77"/>
      <c r="CN12" s="77"/>
      <c r="CO12" s="77"/>
      <c r="CP12" s="77"/>
      <c r="CQ12" s="77"/>
      <c r="CR12" s="77"/>
      <c r="CS12" s="77" t="s">
        <v>293</v>
      </c>
    </row>
    <row r="13" spans="1:97" ht="15.75">
      <c r="A13" s="74" t="s">
        <v>315</v>
      </c>
      <c r="B13" s="75" t="s">
        <v>290</v>
      </c>
      <c r="C13" s="77" t="s">
        <v>293</v>
      </c>
      <c r="D13" s="77" t="s">
        <v>293</v>
      </c>
      <c r="E13" s="77" t="s">
        <v>293</v>
      </c>
      <c r="F13" s="77" t="s">
        <v>293</v>
      </c>
      <c r="G13" s="77" t="s">
        <v>293</v>
      </c>
      <c r="H13" s="77" t="s">
        <v>293</v>
      </c>
      <c r="I13" s="77" t="s">
        <v>293</v>
      </c>
      <c r="J13" s="77" t="s">
        <v>290</v>
      </c>
      <c r="K13" s="77" t="s">
        <v>293</v>
      </c>
      <c r="L13" s="77" t="s">
        <v>293</v>
      </c>
      <c r="M13" s="77" t="s">
        <v>290</v>
      </c>
      <c r="N13" s="77" t="s">
        <v>293</v>
      </c>
      <c r="O13" s="77" t="s">
        <v>292</v>
      </c>
      <c r="P13" s="78" t="s">
        <v>293</v>
      </c>
      <c r="Q13" s="77" t="s">
        <v>293</v>
      </c>
      <c r="R13" s="77" t="s">
        <v>293</v>
      </c>
      <c r="S13" s="77" t="s">
        <v>293</v>
      </c>
      <c r="T13" s="77" t="s">
        <v>293</v>
      </c>
      <c r="U13" s="78" t="s">
        <v>293</v>
      </c>
      <c r="V13" s="77" t="s">
        <v>290</v>
      </c>
      <c r="W13" s="77" t="s">
        <v>293</v>
      </c>
      <c r="X13" s="77" t="s">
        <v>293</v>
      </c>
      <c r="Y13" s="77" t="s">
        <v>293</v>
      </c>
      <c r="Z13" s="77" t="s">
        <v>293</v>
      </c>
      <c r="AA13" s="77" t="s">
        <v>293</v>
      </c>
      <c r="AB13" s="77" t="s">
        <v>293</v>
      </c>
      <c r="AC13" s="77" t="s">
        <v>290</v>
      </c>
      <c r="AD13" s="77" t="s">
        <v>293</v>
      </c>
      <c r="AE13" s="105"/>
      <c r="AF13" s="77" t="s">
        <v>293</v>
      </c>
      <c r="AG13" s="77" t="s">
        <v>293</v>
      </c>
      <c r="AH13" s="77" t="s">
        <v>293</v>
      </c>
      <c r="AI13" s="77" t="s">
        <v>290</v>
      </c>
      <c r="AJ13" s="77" t="s">
        <v>293</v>
      </c>
      <c r="AK13" s="77" t="s">
        <v>293</v>
      </c>
      <c r="AL13" s="105"/>
      <c r="AM13" s="77" t="s">
        <v>293</v>
      </c>
      <c r="AN13" s="77" t="s">
        <v>293</v>
      </c>
      <c r="AO13" s="77" t="s">
        <v>293</v>
      </c>
      <c r="AP13" s="105"/>
      <c r="AQ13" s="77" t="s">
        <v>293</v>
      </c>
      <c r="AR13" s="77" t="s">
        <v>293</v>
      </c>
      <c r="AS13" s="105"/>
      <c r="AT13" s="77" t="s">
        <v>293</v>
      </c>
      <c r="AU13" s="77" t="s">
        <v>293</v>
      </c>
      <c r="AV13" s="77" t="s">
        <v>293</v>
      </c>
      <c r="AW13" s="77" t="s">
        <v>293</v>
      </c>
      <c r="AX13" s="77" t="s">
        <v>293</v>
      </c>
      <c r="AY13" s="105"/>
      <c r="AZ13" s="77" t="s">
        <v>293</v>
      </c>
      <c r="BA13" s="77" t="s">
        <v>293</v>
      </c>
      <c r="BB13" s="77" t="s">
        <v>293</v>
      </c>
      <c r="BC13" s="77" t="s">
        <v>293</v>
      </c>
      <c r="BD13" s="77" t="s">
        <v>293</v>
      </c>
      <c r="BE13" s="77" t="s">
        <v>293</v>
      </c>
      <c r="BF13" s="77" t="s">
        <v>293</v>
      </c>
      <c r="BG13" s="77" t="s">
        <v>293</v>
      </c>
      <c r="BH13" s="77" t="s">
        <v>293</v>
      </c>
      <c r="BI13" s="78" t="s">
        <v>293</v>
      </c>
      <c r="BJ13" s="105"/>
      <c r="BK13" s="78" t="s">
        <v>293</v>
      </c>
      <c r="BL13" s="78" t="s">
        <v>293</v>
      </c>
      <c r="BM13" s="77" t="s">
        <v>293</v>
      </c>
      <c r="BN13" s="78" t="s">
        <v>293</v>
      </c>
      <c r="BO13" s="77" t="s">
        <v>293</v>
      </c>
      <c r="BP13" s="77" t="s">
        <v>293</v>
      </c>
      <c r="BQ13" s="77" t="s">
        <v>293</v>
      </c>
      <c r="BR13" s="77" t="s">
        <v>313</v>
      </c>
      <c r="BS13" s="77" t="s">
        <v>293</v>
      </c>
      <c r="BT13" s="77" t="s">
        <v>293</v>
      </c>
      <c r="BU13" s="77" t="s">
        <v>293</v>
      </c>
      <c r="BV13" s="77" t="s">
        <v>293</v>
      </c>
      <c r="BW13" s="77" t="s">
        <v>293</v>
      </c>
      <c r="BX13" s="77" t="s">
        <v>293</v>
      </c>
      <c r="BY13" s="77" t="s">
        <v>293</v>
      </c>
      <c r="BZ13" s="77" t="s">
        <v>293</v>
      </c>
      <c r="CA13" s="77" t="s">
        <v>293</v>
      </c>
      <c r="CB13" s="77" t="s">
        <v>293</v>
      </c>
      <c r="CC13" s="77" t="s">
        <v>293</v>
      </c>
      <c r="CD13" s="77" t="s">
        <v>290</v>
      </c>
      <c r="CE13" s="77" t="s">
        <v>290</v>
      </c>
      <c r="CF13" s="77" t="s">
        <v>290</v>
      </c>
      <c r="CG13" s="77"/>
      <c r="CH13" s="77"/>
      <c r="CI13" s="105"/>
      <c r="CJ13" s="77"/>
      <c r="CK13" s="77"/>
      <c r="CL13" s="77"/>
      <c r="CM13" s="77"/>
      <c r="CN13" s="77"/>
      <c r="CO13" s="77"/>
      <c r="CP13" s="77"/>
      <c r="CQ13" s="77"/>
      <c r="CR13" s="77"/>
      <c r="CS13" s="77" t="s">
        <v>293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1" t="s">
        <v>316</v>
      </c>
      <c r="B1" s="81" t="s">
        <v>2</v>
      </c>
      <c r="C1" s="81" t="s">
        <v>4</v>
      </c>
      <c r="D1" s="81" t="s">
        <v>5</v>
      </c>
      <c r="E1" s="82" t="s">
        <v>8</v>
      </c>
      <c r="F1" s="82" t="s">
        <v>9</v>
      </c>
      <c r="G1" s="83" t="s">
        <v>10</v>
      </c>
      <c r="H1" s="82" t="s">
        <v>11</v>
      </c>
      <c r="I1" s="84" t="s">
        <v>12</v>
      </c>
      <c r="J1" s="85" t="s">
        <v>317</v>
      </c>
      <c r="K1" s="86" t="s">
        <v>318</v>
      </c>
      <c r="L1" s="84" t="s">
        <v>319</v>
      </c>
      <c r="M1" s="87"/>
      <c r="N1" s="87"/>
      <c r="O1" s="87"/>
      <c r="P1" s="87"/>
      <c r="Q1" s="87"/>
      <c r="R1" s="87"/>
      <c r="S1" s="87"/>
      <c r="T1" s="87"/>
      <c r="U1" s="87"/>
      <c r="V1" s="87"/>
      <c r="W1" s="87"/>
      <c r="X1" s="87"/>
      <c r="Y1" s="87"/>
      <c r="Z1" s="87"/>
    </row>
    <row r="2" spans="1:26" ht="38.25">
      <c r="A2" s="88" t="s">
        <v>320</v>
      </c>
      <c r="B2" s="89" t="s">
        <v>321</v>
      </c>
      <c r="C2" s="90"/>
      <c r="D2" s="90" t="s">
        <v>21</v>
      </c>
      <c r="E2" s="91">
        <v>45567</v>
      </c>
      <c r="F2" s="91">
        <v>45567</v>
      </c>
      <c r="G2" s="91">
        <v>45568</v>
      </c>
      <c r="H2" s="91">
        <v>45569</v>
      </c>
      <c r="I2" s="92">
        <f ca="1">IF(ISBLANK(H2), NETWORKDAYS(F2, TODAY(),Hoja2!$A$1:$A$18), NETWORKDAYS(F2, H2, Hoja2!$A$1:$A$18))</f>
        <v>3</v>
      </c>
      <c r="J2" s="91">
        <v>45572</v>
      </c>
      <c r="K2" s="93"/>
      <c r="L2" s="94" t="s">
        <v>322</v>
      </c>
      <c r="M2" s="87"/>
      <c r="N2" s="87"/>
      <c r="O2" s="87"/>
      <c r="P2" s="87"/>
      <c r="Q2" s="87"/>
      <c r="R2" s="87"/>
      <c r="S2" s="87"/>
      <c r="T2" s="87"/>
      <c r="U2" s="87"/>
      <c r="V2" s="87"/>
      <c r="W2" s="87"/>
      <c r="X2" s="87"/>
      <c r="Y2" s="87"/>
      <c r="Z2" s="87"/>
    </row>
    <row r="3" spans="1:26" ht="51">
      <c r="A3" s="88" t="s">
        <v>309</v>
      </c>
      <c r="B3" s="106" t="s">
        <v>323</v>
      </c>
      <c r="C3" s="95" t="s">
        <v>324</v>
      </c>
      <c r="D3" s="90" t="s">
        <v>40</v>
      </c>
      <c r="E3" s="91">
        <v>45575</v>
      </c>
      <c r="F3" s="91"/>
      <c r="G3" s="91"/>
      <c r="H3" s="93">
        <v>0</v>
      </c>
      <c r="I3" s="92">
        <f ca="1">IF(ISBLANK(H3), NETWORKDAYS(F3, TODAY(),Hoja2!$A$1:$A$18), NETWORKDAYS(F3, H3, Hoja2!$A$1:$A$18))</f>
        <v>0</v>
      </c>
      <c r="J3" s="91">
        <v>45569</v>
      </c>
      <c r="K3" s="91"/>
      <c r="L3" s="94" t="s">
        <v>325</v>
      </c>
      <c r="M3" s="96"/>
      <c r="N3" s="87"/>
      <c r="O3" s="87"/>
      <c r="P3" s="87"/>
      <c r="Q3" s="87"/>
      <c r="R3" s="87"/>
      <c r="S3" s="87"/>
      <c r="T3" s="87"/>
      <c r="U3" s="87"/>
      <c r="V3" s="87"/>
      <c r="W3" s="87"/>
      <c r="X3" s="87"/>
      <c r="Y3" s="87"/>
      <c r="Z3" s="87"/>
    </row>
    <row r="4" spans="1:26" ht="51">
      <c r="A4" s="88" t="s">
        <v>309</v>
      </c>
      <c r="B4" s="104"/>
      <c r="C4" s="97" t="s">
        <v>326</v>
      </c>
      <c r="D4" s="90" t="s">
        <v>40</v>
      </c>
      <c r="E4" s="91">
        <v>45575</v>
      </c>
      <c r="F4" s="98"/>
      <c r="G4" s="98"/>
      <c r="H4" s="99">
        <v>0</v>
      </c>
      <c r="I4" s="100">
        <f ca="1">IF(ISBLANK(H4), NETWORKDAYS(F4, TODAY(),Hoja2!$A$1:$A$18), NETWORKDAYS(F4, H4, Hoja2!$A$1:$A$18))</f>
        <v>0</v>
      </c>
      <c r="J4" s="98">
        <v>45569</v>
      </c>
      <c r="K4" s="98"/>
      <c r="L4" s="101" t="s">
        <v>327</v>
      </c>
      <c r="M4" s="96"/>
      <c r="N4" s="87"/>
      <c r="O4" s="87"/>
      <c r="P4" s="87"/>
      <c r="Q4" s="87"/>
      <c r="R4" s="87"/>
      <c r="S4" s="87"/>
      <c r="T4" s="87"/>
      <c r="U4" s="87"/>
      <c r="V4" s="87"/>
      <c r="W4" s="87"/>
      <c r="X4" s="87"/>
      <c r="Y4" s="87"/>
      <c r="Z4" s="87"/>
    </row>
    <row r="5" spans="1:26" ht="51">
      <c r="A5" s="88" t="s">
        <v>309</v>
      </c>
      <c r="B5" s="84" t="s">
        <v>328</v>
      </c>
      <c r="C5" s="90" t="s">
        <v>329</v>
      </c>
      <c r="D5" s="90" t="s">
        <v>40</v>
      </c>
      <c r="E5" s="91">
        <v>45575</v>
      </c>
      <c r="F5" s="91"/>
      <c r="G5" s="91"/>
      <c r="H5" s="93">
        <v>0</v>
      </c>
      <c r="I5" s="92">
        <f ca="1">IF(ISBLANK(H5), NETWORKDAYS(F5, TODAY(),Hoja2!$A$1:$A$18), NETWORKDAYS(F5, H5, Hoja2!$A$1:$A$18))</f>
        <v>0</v>
      </c>
      <c r="J5" s="91">
        <v>45569</v>
      </c>
      <c r="K5" s="91"/>
      <c r="L5" s="94" t="s">
        <v>327</v>
      </c>
      <c r="M5" s="96"/>
      <c r="N5" s="87"/>
      <c r="O5" s="87"/>
      <c r="P5" s="87"/>
      <c r="Q5" s="87"/>
      <c r="R5" s="87"/>
      <c r="S5" s="87"/>
      <c r="T5" s="87"/>
      <c r="U5" s="87"/>
      <c r="V5" s="87"/>
      <c r="W5" s="87"/>
      <c r="X5" s="87"/>
      <c r="Y5" s="87"/>
      <c r="Z5" s="87"/>
    </row>
    <row r="6" spans="1:26">
      <c r="A6" s="102"/>
      <c r="B6" s="102"/>
      <c r="C6" s="102"/>
      <c r="D6" s="102"/>
      <c r="E6" s="102"/>
      <c r="F6" s="102"/>
      <c r="G6" s="102"/>
      <c r="H6" s="102"/>
      <c r="I6" s="102"/>
      <c r="J6" s="102"/>
      <c r="K6" s="102"/>
      <c r="L6" s="102"/>
      <c r="M6" s="102"/>
      <c r="N6" s="102"/>
      <c r="O6" s="102"/>
      <c r="P6" s="102"/>
      <c r="Q6" s="102"/>
      <c r="R6" s="102"/>
      <c r="S6" s="102"/>
      <c r="T6" s="102"/>
      <c r="U6" s="102"/>
      <c r="V6" s="102"/>
      <c r="W6" s="102"/>
      <c r="X6" s="102"/>
      <c r="Y6" s="102"/>
      <c r="Z6" s="102"/>
    </row>
    <row r="7" spans="1:26">
      <c r="A7" s="102"/>
      <c r="B7" s="102"/>
      <c r="C7" s="102"/>
      <c r="D7" s="102"/>
      <c r="E7" s="102"/>
      <c r="F7" s="102"/>
      <c r="G7" s="102"/>
      <c r="H7" s="102"/>
      <c r="I7" s="102"/>
      <c r="J7" s="102"/>
      <c r="K7" s="102"/>
      <c r="L7" s="102"/>
      <c r="M7" s="102"/>
      <c r="N7" s="102"/>
      <c r="O7" s="102"/>
      <c r="P7" s="102"/>
      <c r="Q7" s="102"/>
      <c r="R7" s="102"/>
      <c r="S7" s="102"/>
      <c r="T7" s="102"/>
      <c r="U7" s="102"/>
      <c r="V7" s="102"/>
      <c r="W7" s="102"/>
      <c r="X7" s="102"/>
      <c r="Y7" s="102"/>
      <c r="Z7" s="102"/>
    </row>
    <row r="8" spans="1:26">
      <c r="A8" s="102"/>
      <c r="B8" s="102"/>
      <c r="C8" s="102"/>
      <c r="D8" s="102"/>
      <c r="E8" s="102"/>
      <c r="F8" s="102"/>
      <c r="G8" s="102"/>
      <c r="H8" s="102"/>
      <c r="I8" s="102"/>
      <c r="J8" s="102"/>
      <c r="K8" s="102"/>
      <c r="L8" s="102"/>
      <c r="M8" s="102"/>
      <c r="N8" s="102"/>
      <c r="O8" s="102"/>
      <c r="P8" s="102"/>
      <c r="Q8" s="102"/>
      <c r="R8" s="102"/>
      <c r="S8" s="102"/>
      <c r="T8" s="102"/>
      <c r="U8" s="102"/>
      <c r="V8" s="102"/>
      <c r="W8" s="102"/>
      <c r="X8" s="102"/>
      <c r="Y8" s="102"/>
      <c r="Z8" s="102"/>
    </row>
    <row r="9" spans="1:26">
      <c r="A9" s="102"/>
      <c r="B9" s="102"/>
      <c r="C9" s="102"/>
      <c r="D9" s="102"/>
      <c r="E9" s="102"/>
      <c r="F9" s="102"/>
      <c r="G9" s="102"/>
      <c r="H9" s="102"/>
      <c r="I9" s="102"/>
      <c r="J9" s="102"/>
      <c r="K9" s="102"/>
      <c r="L9" s="102"/>
      <c r="M9" s="102"/>
      <c r="N9" s="102"/>
      <c r="O9" s="102"/>
      <c r="P9" s="102"/>
      <c r="Q9" s="102"/>
      <c r="R9" s="102"/>
      <c r="S9" s="102"/>
      <c r="T9" s="102"/>
      <c r="U9" s="102"/>
      <c r="V9" s="102"/>
      <c r="W9" s="102"/>
      <c r="X9" s="102"/>
      <c r="Y9" s="102"/>
      <c r="Z9" s="102"/>
    </row>
    <row r="10" spans="1:26">
      <c r="A10" s="102"/>
      <c r="B10" s="102"/>
      <c r="C10" s="102"/>
      <c r="D10" s="102"/>
      <c r="E10" s="102"/>
      <c r="F10" s="102"/>
      <c r="G10" s="102"/>
      <c r="H10" s="102"/>
      <c r="I10" s="102"/>
      <c r="J10" s="102"/>
      <c r="K10" s="102"/>
      <c r="L10" s="102"/>
      <c r="M10" s="102"/>
      <c r="N10" s="102"/>
      <c r="O10" s="102"/>
      <c r="P10" s="102"/>
      <c r="Q10" s="102"/>
      <c r="R10" s="102"/>
      <c r="S10" s="102"/>
      <c r="T10" s="102"/>
      <c r="U10" s="102"/>
      <c r="V10" s="102"/>
      <c r="W10" s="102"/>
      <c r="X10" s="102"/>
      <c r="Y10" s="102"/>
      <c r="Z10" s="102"/>
    </row>
    <row r="11" spans="1:26">
      <c r="A11" s="102"/>
      <c r="B11" s="102"/>
      <c r="C11" s="102"/>
      <c r="D11" s="102"/>
      <c r="E11" s="102"/>
      <c r="F11" s="102"/>
      <c r="G11" s="102"/>
      <c r="H11" s="102"/>
      <c r="I11" s="102"/>
      <c r="J11" s="102"/>
      <c r="K11" s="102"/>
      <c r="L11" s="102"/>
      <c r="M11" s="102"/>
      <c r="N11" s="102"/>
      <c r="O11" s="102"/>
      <c r="P11" s="102"/>
      <c r="Q11" s="102"/>
      <c r="R11" s="102"/>
      <c r="S11" s="102"/>
      <c r="T11" s="102"/>
      <c r="U11" s="102"/>
      <c r="V11" s="102"/>
      <c r="W11" s="102"/>
      <c r="X11" s="102"/>
      <c r="Y11" s="102"/>
      <c r="Z11" s="102"/>
    </row>
    <row r="12" spans="1:26">
      <c r="A12" s="102"/>
      <c r="B12" s="102"/>
      <c r="C12" s="102"/>
      <c r="D12" s="102"/>
      <c r="E12" s="102"/>
      <c r="F12" s="102"/>
      <c r="G12" s="102"/>
      <c r="H12" s="102"/>
      <c r="I12" s="102"/>
      <c r="J12" s="102"/>
      <c r="K12" s="102"/>
      <c r="L12" s="102"/>
      <c r="M12" s="102"/>
      <c r="N12" s="102"/>
      <c r="O12" s="102"/>
      <c r="P12" s="102"/>
      <c r="Q12" s="102"/>
      <c r="R12" s="102"/>
      <c r="S12" s="102"/>
      <c r="T12" s="102"/>
      <c r="U12" s="102"/>
      <c r="V12" s="102"/>
      <c r="W12" s="102"/>
      <c r="X12" s="102"/>
      <c r="Y12" s="102"/>
      <c r="Z12" s="102"/>
    </row>
    <row r="13" spans="1:26">
      <c r="A13" s="102"/>
      <c r="B13" s="102"/>
      <c r="C13" s="102"/>
      <c r="D13" s="102"/>
      <c r="E13" s="102"/>
      <c r="F13" s="102"/>
      <c r="G13" s="102"/>
      <c r="H13" s="102"/>
      <c r="I13" s="102"/>
      <c r="J13" s="102"/>
      <c r="K13" s="102"/>
      <c r="L13" s="102"/>
      <c r="M13" s="102"/>
      <c r="N13" s="102"/>
      <c r="O13" s="102"/>
      <c r="P13" s="102"/>
      <c r="Q13" s="102"/>
      <c r="R13" s="102"/>
      <c r="S13" s="102"/>
      <c r="T13" s="102"/>
      <c r="U13" s="102"/>
      <c r="V13" s="102"/>
      <c r="W13" s="102"/>
      <c r="X13" s="102"/>
      <c r="Y13" s="102"/>
      <c r="Z13" s="102"/>
    </row>
    <row r="14" spans="1:26">
      <c r="A14" s="102"/>
      <c r="B14" s="102"/>
      <c r="C14" s="102"/>
      <c r="D14" s="102"/>
      <c r="E14" s="102"/>
      <c r="F14" s="102"/>
      <c r="G14" s="102"/>
      <c r="H14" s="102"/>
      <c r="I14" s="102"/>
      <c r="J14" s="102"/>
      <c r="K14" s="102"/>
      <c r="L14" s="102"/>
      <c r="M14" s="102"/>
      <c r="N14" s="102"/>
      <c r="O14" s="102"/>
      <c r="P14" s="102"/>
      <c r="Q14" s="102"/>
      <c r="R14" s="102"/>
      <c r="S14" s="102"/>
      <c r="T14" s="102"/>
      <c r="U14" s="102"/>
      <c r="V14" s="102"/>
      <c r="W14" s="102"/>
      <c r="X14" s="102"/>
      <c r="Y14" s="102"/>
      <c r="Z14" s="102"/>
    </row>
    <row r="15" spans="1:26">
      <c r="A15" s="102"/>
      <c r="B15" s="102"/>
      <c r="C15" s="102"/>
      <c r="D15" s="102"/>
      <c r="E15" s="102"/>
      <c r="F15" s="102"/>
      <c r="G15" s="102"/>
      <c r="H15" s="102"/>
      <c r="I15" s="102"/>
      <c r="J15" s="102"/>
      <c r="K15" s="102"/>
      <c r="L15" s="102"/>
      <c r="M15" s="102"/>
      <c r="N15" s="102"/>
      <c r="O15" s="102"/>
      <c r="P15" s="102"/>
      <c r="Q15" s="102"/>
      <c r="R15" s="102"/>
      <c r="S15" s="102"/>
      <c r="T15" s="102"/>
      <c r="U15" s="102"/>
      <c r="V15" s="102"/>
      <c r="W15" s="102"/>
      <c r="X15" s="102"/>
      <c r="Y15" s="102"/>
      <c r="Z15" s="102"/>
    </row>
    <row r="16" spans="1:26">
      <c r="A16" s="102"/>
      <c r="B16" s="102"/>
      <c r="C16" s="102"/>
      <c r="D16" s="102"/>
      <c r="E16" s="102"/>
      <c r="F16" s="102"/>
      <c r="G16" s="102"/>
      <c r="H16" s="102"/>
      <c r="I16" s="102"/>
      <c r="J16" s="102"/>
      <c r="K16" s="102"/>
      <c r="L16" s="102"/>
      <c r="M16" s="102"/>
      <c r="N16" s="102"/>
      <c r="O16" s="102"/>
      <c r="P16" s="102"/>
      <c r="Q16" s="102"/>
      <c r="R16" s="102"/>
      <c r="S16" s="102"/>
      <c r="T16" s="102"/>
      <c r="U16" s="102"/>
      <c r="V16" s="102"/>
      <c r="W16" s="102"/>
      <c r="X16" s="102"/>
      <c r="Y16" s="102"/>
      <c r="Z16" s="102"/>
    </row>
    <row r="17" spans="1:26">
      <c r="A17" s="102"/>
      <c r="B17" s="102"/>
      <c r="C17" s="102"/>
      <c r="D17" s="102"/>
      <c r="E17" s="102"/>
      <c r="F17" s="102"/>
      <c r="G17" s="102"/>
      <c r="H17" s="102"/>
      <c r="I17" s="102"/>
      <c r="J17" s="102"/>
      <c r="K17" s="102"/>
      <c r="L17" s="102"/>
      <c r="M17" s="102"/>
      <c r="N17" s="102"/>
      <c r="O17" s="102"/>
      <c r="P17" s="102"/>
      <c r="Q17" s="102"/>
      <c r="R17" s="102"/>
      <c r="S17" s="102"/>
      <c r="T17" s="102"/>
      <c r="U17" s="102"/>
      <c r="V17" s="102"/>
      <c r="W17" s="102"/>
      <c r="X17" s="102"/>
      <c r="Y17" s="102"/>
      <c r="Z17" s="102"/>
    </row>
    <row r="18" spans="1:26">
      <c r="A18" s="102"/>
      <c r="B18" s="102"/>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row>
    <row r="19" spans="1:26">
      <c r="A19" s="102"/>
      <c r="B19" s="102"/>
      <c r="C19" s="102"/>
      <c r="D19" s="102"/>
      <c r="E19" s="102"/>
      <c r="F19" s="102"/>
      <c r="G19" s="102"/>
      <c r="H19" s="102"/>
      <c r="I19" s="102"/>
      <c r="J19" s="102"/>
      <c r="K19" s="102"/>
      <c r="L19" s="102"/>
      <c r="M19" s="102"/>
      <c r="N19" s="102"/>
      <c r="O19" s="102"/>
      <c r="P19" s="102"/>
      <c r="Q19" s="102"/>
      <c r="R19" s="102"/>
      <c r="S19" s="102"/>
      <c r="T19" s="102"/>
      <c r="U19" s="102"/>
      <c r="V19" s="102"/>
      <c r="W19" s="102"/>
      <c r="X19" s="102"/>
      <c r="Y19" s="102"/>
      <c r="Z19" s="102"/>
    </row>
    <row r="20" spans="1:26">
      <c r="A20" s="102"/>
      <c r="B20" s="102"/>
      <c r="C20" s="102"/>
      <c r="D20" s="102"/>
      <c r="E20" s="102"/>
      <c r="F20" s="102"/>
      <c r="G20" s="102"/>
      <c r="H20" s="102"/>
      <c r="I20" s="102"/>
      <c r="J20" s="102"/>
      <c r="K20" s="102"/>
      <c r="L20" s="102"/>
      <c r="M20" s="102"/>
      <c r="N20" s="102"/>
      <c r="O20" s="102"/>
      <c r="P20" s="102"/>
      <c r="Q20" s="102"/>
      <c r="R20" s="102"/>
      <c r="S20" s="102"/>
      <c r="T20" s="102"/>
      <c r="U20" s="102"/>
      <c r="V20" s="102"/>
      <c r="W20" s="102"/>
      <c r="X20" s="102"/>
      <c r="Y20" s="102"/>
      <c r="Z20" s="102"/>
    </row>
    <row r="21" spans="1:26" ht="15.75" customHeight="1">
      <c r="A21" s="102"/>
      <c r="B21" s="102"/>
      <c r="C21" s="102"/>
      <c r="D21" s="102"/>
      <c r="E21" s="102"/>
      <c r="F21" s="102"/>
      <c r="G21" s="102"/>
      <c r="H21" s="102"/>
      <c r="I21" s="102"/>
      <c r="J21" s="102"/>
      <c r="K21" s="102"/>
      <c r="L21" s="102"/>
      <c r="M21" s="102"/>
      <c r="N21" s="102"/>
      <c r="O21" s="102"/>
      <c r="P21" s="102"/>
      <c r="Q21" s="102"/>
      <c r="R21" s="102"/>
      <c r="S21" s="102"/>
      <c r="T21" s="102"/>
      <c r="U21" s="102"/>
      <c r="V21" s="102"/>
      <c r="W21" s="102"/>
      <c r="X21" s="102"/>
      <c r="Y21" s="102"/>
      <c r="Z21" s="102"/>
    </row>
    <row r="22" spans="1:26" ht="15.75" customHeight="1">
      <c r="A22" s="102"/>
      <c r="B22" s="102"/>
      <c r="C22" s="102"/>
      <c r="D22" s="102"/>
      <c r="E22" s="102"/>
      <c r="F22" s="102"/>
      <c r="G22" s="102"/>
      <c r="H22" s="102"/>
      <c r="I22" s="102"/>
      <c r="J22" s="102"/>
      <c r="K22" s="102"/>
      <c r="L22" s="102"/>
      <c r="M22" s="102"/>
      <c r="N22" s="102"/>
      <c r="O22" s="102"/>
      <c r="P22" s="102"/>
      <c r="Q22" s="102"/>
      <c r="R22" s="102"/>
      <c r="S22" s="102"/>
      <c r="T22" s="102"/>
      <c r="U22" s="102"/>
      <c r="V22" s="102"/>
      <c r="W22" s="102"/>
      <c r="X22" s="102"/>
      <c r="Y22" s="102"/>
      <c r="Z22" s="102"/>
    </row>
    <row r="23" spans="1:26" ht="15.75" customHeight="1">
      <c r="A23" s="102"/>
      <c r="B23" s="102"/>
      <c r="C23" s="102"/>
      <c r="D23" s="102"/>
      <c r="E23" s="102"/>
      <c r="F23" s="102"/>
      <c r="G23" s="102"/>
      <c r="H23" s="102"/>
      <c r="I23" s="102"/>
      <c r="J23" s="102"/>
      <c r="K23" s="102"/>
      <c r="L23" s="102"/>
      <c r="M23" s="102"/>
      <c r="N23" s="102"/>
      <c r="O23" s="102"/>
      <c r="P23" s="102"/>
      <c r="Q23" s="102"/>
      <c r="R23" s="102"/>
      <c r="S23" s="102"/>
      <c r="T23" s="102"/>
      <c r="U23" s="102"/>
      <c r="V23" s="102"/>
      <c r="W23" s="102"/>
      <c r="X23" s="102"/>
      <c r="Y23" s="102"/>
      <c r="Z23" s="102"/>
    </row>
    <row r="24" spans="1:26" ht="15.75" customHeight="1">
      <c r="A24" s="102"/>
      <c r="B24" s="102"/>
      <c r="C24" s="102"/>
      <c r="D24" s="102"/>
      <c r="E24" s="102"/>
      <c r="F24" s="102"/>
      <c r="G24" s="102"/>
      <c r="H24" s="102"/>
      <c r="I24" s="102"/>
      <c r="J24" s="102"/>
      <c r="K24" s="102"/>
      <c r="L24" s="102"/>
      <c r="M24" s="102"/>
      <c r="N24" s="102"/>
      <c r="O24" s="102"/>
      <c r="P24" s="102"/>
      <c r="Q24" s="102"/>
      <c r="R24" s="102"/>
      <c r="S24" s="102"/>
      <c r="T24" s="102"/>
      <c r="U24" s="102"/>
      <c r="V24" s="102"/>
      <c r="W24" s="102"/>
      <c r="X24" s="102"/>
      <c r="Y24" s="102"/>
      <c r="Z24" s="102"/>
    </row>
    <row r="25" spans="1:26" ht="15.75" customHeight="1">
      <c r="A25" s="102"/>
      <c r="B25" s="102"/>
      <c r="C25" s="102"/>
      <c r="D25" s="102"/>
      <c r="E25" s="102"/>
      <c r="F25" s="102"/>
      <c r="G25" s="102"/>
      <c r="H25" s="102"/>
      <c r="I25" s="102"/>
      <c r="J25" s="102"/>
      <c r="K25" s="102"/>
      <c r="L25" s="102"/>
      <c r="M25" s="102"/>
      <c r="N25" s="102"/>
      <c r="O25" s="102"/>
      <c r="P25" s="102"/>
      <c r="Q25" s="102"/>
      <c r="R25" s="102"/>
      <c r="S25" s="102"/>
      <c r="T25" s="102"/>
      <c r="U25" s="102"/>
      <c r="V25" s="102"/>
      <c r="W25" s="102"/>
      <c r="X25" s="102"/>
      <c r="Y25" s="102"/>
      <c r="Z25" s="102"/>
    </row>
    <row r="26" spans="1:26" ht="15.75" customHeight="1">
      <c r="A26" s="102"/>
      <c r="B26" s="102"/>
      <c r="C26" s="102"/>
      <c r="D26" s="102"/>
      <c r="E26" s="102"/>
      <c r="F26" s="102"/>
      <c r="G26" s="102"/>
      <c r="H26" s="102"/>
      <c r="I26" s="102"/>
      <c r="J26" s="102"/>
      <c r="K26" s="102"/>
      <c r="L26" s="102"/>
      <c r="M26" s="102"/>
      <c r="N26" s="102"/>
      <c r="O26" s="102"/>
      <c r="P26" s="102"/>
      <c r="Q26" s="102"/>
      <c r="R26" s="102"/>
      <c r="S26" s="102"/>
      <c r="T26" s="102"/>
      <c r="U26" s="102"/>
      <c r="V26" s="102"/>
      <c r="W26" s="102"/>
      <c r="X26" s="102"/>
      <c r="Y26" s="102"/>
      <c r="Z26" s="102"/>
    </row>
    <row r="27" spans="1:26" ht="15.75" customHeight="1">
      <c r="A27" s="102"/>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02"/>
    </row>
    <row r="28" spans="1:26" ht="15.75" customHeight="1">
      <c r="A28" s="102"/>
      <c r="B28" s="102"/>
      <c r="C28" s="102"/>
      <c r="D28" s="102"/>
      <c r="E28" s="102"/>
      <c r="F28" s="102"/>
      <c r="G28" s="102"/>
      <c r="H28" s="102"/>
      <c r="I28" s="102"/>
      <c r="J28" s="102"/>
      <c r="K28" s="102"/>
      <c r="L28" s="102"/>
      <c r="M28" s="102"/>
      <c r="N28" s="102"/>
      <c r="O28" s="102"/>
      <c r="P28" s="102"/>
      <c r="Q28" s="102"/>
      <c r="R28" s="102"/>
      <c r="S28" s="102"/>
      <c r="T28" s="102"/>
      <c r="U28" s="102"/>
      <c r="V28" s="102"/>
      <c r="W28" s="102"/>
      <c r="X28" s="102"/>
      <c r="Y28" s="102"/>
      <c r="Z28" s="102"/>
    </row>
    <row r="29" spans="1:26" ht="15.75" customHeight="1">
      <c r="A29" s="102"/>
      <c r="B29" s="102"/>
      <c r="C29" s="102"/>
      <c r="D29" s="102"/>
      <c r="E29" s="102"/>
      <c r="F29" s="102"/>
      <c r="G29" s="102"/>
      <c r="H29" s="102"/>
      <c r="I29" s="102"/>
      <c r="J29" s="102"/>
      <c r="K29" s="102"/>
      <c r="L29" s="102"/>
      <c r="M29" s="102"/>
      <c r="N29" s="102"/>
      <c r="O29" s="102"/>
      <c r="P29" s="102"/>
      <c r="Q29" s="102"/>
      <c r="R29" s="102"/>
      <c r="S29" s="102"/>
      <c r="T29" s="102"/>
      <c r="U29" s="102"/>
      <c r="V29" s="102"/>
      <c r="W29" s="102"/>
      <c r="X29" s="102"/>
      <c r="Y29" s="102"/>
      <c r="Z29" s="102"/>
    </row>
    <row r="30" spans="1:26" ht="15.75" customHeight="1">
      <c r="A30" s="102"/>
      <c r="B30" s="102"/>
      <c r="C30" s="102"/>
      <c r="D30" s="102"/>
      <c r="E30" s="102"/>
      <c r="F30" s="102"/>
      <c r="G30" s="102"/>
      <c r="H30" s="102"/>
      <c r="I30" s="102"/>
      <c r="J30" s="102"/>
      <c r="K30" s="102"/>
      <c r="L30" s="102"/>
      <c r="M30" s="102"/>
      <c r="N30" s="102"/>
      <c r="O30" s="102"/>
      <c r="P30" s="102"/>
      <c r="Q30" s="102"/>
      <c r="R30" s="102"/>
      <c r="S30" s="102"/>
      <c r="T30" s="102"/>
      <c r="U30" s="102"/>
      <c r="V30" s="102"/>
      <c r="W30" s="102"/>
      <c r="X30" s="102"/>
      <c r="Y30" s="102"/>
      <c r="Z30" s="102"/>
    </row>
    <row r="31" spans="1:26" ht="15.75" customHeight="1">
      <c r="A31" s="102"/>
      <c r="B31" s="102"/>
      <c r="C31" s="102"/>
      <c r="D31" s="102"/>
      <c r="E31" s="102"/>
      <c r="F31" s="102"/>
      <c r="G31" s="102"/>
      <c r="H31" s="102"/>
      <c r="I31" s="102"/>
      <c r="J31" s="102"/>
      <c r="K31" s="102"/>
      <c r="L31" s="102"/>
      <c r="M31" s="102"/>
      <c r="N31" s="102"/>
      <c r="O31" s="102"/>
      <c r="P31" s="102"/>
      <c r="Q31" s="102"/>
      <c r="R31" s="102"/>
      <c r="S31" s="102"/>
      <c r="T31" s="102"/>
      <c r="U31" s="102"/>
      <c r="V31" s="102"/>
      <c r="W31" s="102"/>
      <c r="X31" s="102"/>
      <c r="Y31" s="102"/>
      <c r="Z31" s="102"/>
    </row>
    <row r="32" spans="1:26" ht="15.75" customHeight="1">
      <c r="A32" s="102"/>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row>
    <row r="33" spans="1:26" ht="15.75" customHeight="1">
      <c r="A33" s="102"/>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row>
    <row r="34" spans="1:26" ht="15.75" customHeight="1">
      <c r="A34" s="102"/>
      <c r="B34" s="102"/>
      <c r="C34" s="102"/>
      <c r="D34" s="102"/>
      <c r="E34" s="102"/>
      <c r="F34" s="102"/>
      <c r="G34" s="102"/>
      <c r="H34" s="102"/>
      <c r="I34" s="102"/>
      <c r="J34" s="102"/>
      <c r="K34" s="102"/>
      <c r="L34" s="102"/>
      <c r="M34" s="102"/>
      <c r="N34" s="102"/>
      <c r="O34" s="102"/>
      <c r="P34" s="102"/>
      <c r="Q34" s="102"/>
      <c r="R34" s="102"/>
      <c r="S34" s="102"/>
      <c r="T34" s="102"/>
      <c r="U34" s="102"/>
      <c r="V34" s="102"/>
      <c r="W34" s="102"/>
      <c r="X34" s="102"/>
      <c r="Y34" s="102"/>
      <c r="Z34" s="102"/>
    </row>
    <row r="35" spans="1:26" ht="15.75" customHeight="1">
      <c r="A35" s="102"/>
      <c r="B35" s="102"/>
      <c r="C35" s="102"/>
      <c r="D35" s="102"/>
      <c r="E35" s="102"/>
      <c r="F35" s="102"/>
      <c r="G35" s="102"/>
      <c r="H35" s="102"/>
      <c r="I35" s="102"/>
      <c r="J35" s="102"/>
      <c r="K35" s="102"/>
      <c r="L35" s="102"/>
      <c r="M35" s="102"/>
      <c r="N35" s="102"/>
      <c r="O35" s="102"/>
      <c r="P35" s="102"/>
      <c r="Q35" s="102"/>
      <c r="R35" s="102"/>
      <c r="S35" s="102"/>
      <c r="T35" s="102"/>
      <c r="U35" s="102"/>
      <c r="V35" s="102"/>
      <c r="W35" s="102"/>
      <c r="X35" s="102"/>
      <c r="Y35" s="102"/>
      <c r="Z35" s="102"/>
    </row>
    <row r="36" spans="1:26" ht="15.75" customHeight="1">
      <c r="A36" s="102"/>
      <c r="B36" s="102"/>
      <c r="C36" s="102"/>
      <c r="D36" s="102"/>
      <c r="E36" s="102"/>
      <c r="F36" s="102"/>
      <c r="G36" s="102"/>
      <c r="H36" s="102"/>
      <c r="I36" s="102"/>
      <c r="J36" s="102"/>
      <c r="K36" s="102"/>
      <c r="L36" s="102"/>
      <c r="M36" s="102"/>
      <c r="N36" s="102"/>
      <c r="O36" s="102"/>
      <c r="P36" s="102"/>
      <c r="Q36" s="102"/>
      <c r="R36" s="102"/>
      <c r="S36" s="102"/>
      <c r="T36" s="102"/>
      <c r="U36" s="102"/>
      <c r="V36" s="102"/>
      <c r="W36" s="102"/>
      <c r="X36" s="102"/>
      <c r="Y36" s="102"/>
      <c r="Z36" s="102"/>
    </row>
    <row r="37" spans="1:26" ht="15.75" customHeight="1">
      <c r="A37" s="102"/>
      <c r="B37" s="102"/>
      <c r="C37" s="102"/>
      <c r="D37" s="102"/>
      <c r="E37" s="102"/>
      <c r="F37" s="102"/>
      <c r="G37" s="102"/>
      <c r="H37" s="102"/>
      <c r="I37" s="102"/>
      <c r="J37" s="102"/>
      <c r="K37" s="102"/>
      <c r="L37" s="102"/>
      <c r="M37" s="102"/>
      <c r="N37" s="102"/>
      <c r="O37" s="102"/>
      <c r="P37" s="102"/>
      <c r="Q37" s="102"/>
      <c r="R37" s="102"/>
      <c r="S37" s="102"/>
      <c r="T37" s="102"/>
      <c r="U37" s="102"/>
      <c r="V37" s="102"/>
      <c r="W37" s="102"/>
      <c r="X37" s="102"/>
      <c r="Y37" s="102"/>
      <c r="Z37" s="102"/>
    </row>
    <row r="38" spans="1:26" ht="15.75" customHeight="1">
      <c r="A38" s="102"/>
      <c r="B38" s="102"/>
      <c r="C38" s="102"/>
      <c r="D38" s="102"/>
      <c r="E38" s="102"/>
      <c r="F38" s="102"/>
      <c r="G38" s="102"/>
      <c r="H38" s="102"/>
      <c r="I38" s="102"/>
      <c r="J38" s="102"/>
      <c r="K38" s="102"/>
      <c r="L38" s="102"/>
      <c r="M38" s="102"/>
      <c r="N38" s="102"/>
      <c r="O38" s="102"/>
      <c r="P38" s="102"/>
      <c r="Q38" s="102"/>
      <c r="R38" s="102"/>
      <c r="S38" s="102"/>
      <c r="T38" s="102"/>
      <c r="U38" s="102"/>
      <c r="V38" s="102"/>
      <c r="W38" s="102"/>
      <c r="X38" s="102"/>
      <c r="Y38" s="102"/>
      <c r="Z38" s="102"/>
    </row>
    <row r="39" spans="1:26" ht="15.75" customHeight="1">
      <c r="A39" s="102"/>
      <c r="B39" s="102"/>
      <c r="C39" s="102"/>
      <c r="D39" s="102"/>
      <c r="E39" s="102"/>
      <c r="F39" s="102"/>
      <c r="G39" s="102"/>
      <c r="H39" s="102"/>
      <c r="I39" s="102"/>
      <c r="J39" s="102"/>
      <c r="K39" s="102"/>
      <c r="L39" s="102"/>
      <c r="M39" s="102"/>
      <c r="N39" s="102"/>
      <c r="O39" s="102"/>
      <c r="P39" s="102"/>
      <c r="Q39" s="102"/>
      <c r="R39" s="102"/>
      <c r="S39" s="102"/>
      <c r="T39" s="102"/>
      <c r="U39" s="102"/>
      <c r="V39" s="102"/>
      <c r="W39" s="102"/>
      <c r="X39" s="102"/>
      <c r="Y39" s="102"/>
      <c r="Z39" s="102"/>
    </row>
    <row r="40" spans="1:26" ht="15.75" customHeight="1">
      <c r="A40" s="102"/>
      <c r="B40" s="102"/>
      <c r="C40" s="102"/>
      <c r="D40" s="102"/>
      <c r="E40" s="102"/>
      <c r="F40" s="102"/>
      <c r="G40" s="102"/>
      <c r="H40" s="102"/>
      <c r="I40" s="102"/>
      <c r="J40" s="102"/>
      <c r="K40" s="102"/>
      <c r="L40" s="102"/>
      <c r="M40" s="102"/>
      <c r="N40" s="102"/>
      <c r="O40" s="102"/>
      <c r="P40" s="102"/>
      <c r="Q40" s="102"/>
      <c r="R40" s="102"/>
      <c r="S40" s="102"/>
      <c r="T40" s="102"/>
      <c r="U40" s="102"/>
      <c r="V40" s="102"/>
      <c r="W40" s="102"/>
      <c r="X40" s="102"/>
      <c r="Y40" s="102"/>
      <c r="Z40" s="102"/>
    </row>
    <row r="41" spans="1:26" ht="15.75" customHeight="1">
      <c r="A41" s="102"/>
      <c r="B41" s="102"/>
      <c r="C41" s="102"/>
      <c r="D41" s="102"/>
      <c r="E41" s="102"/>
      <c r="F41" s="102"/>
      <c r="G41" s="102"/>
      <c r="H41" s="102"/>
      <c r="I41" s="102"/>
      <c r="J41" s="102"/>
      <c r="K41" s="102"/>
      <c r="L41" s="102"/>
      <c r="M41" s="102"/>
      <c r="N41" s="102"/>
      <c r="O41" s="102"/>
      <c r="P41" s="102"/>
      <c r="Q41" s="102"/>
      <c r="R41" s="102"/>
      <c r="S41" s="102"/>
      <c r="T41" s="102"/>
      <c r="U41" s="102"/>
      <c r="V41" s="102"/>
      <c r="W41" s="102"/>
      <c r="X41" s="102"/>
      <c r="Y41" s="102"/>
      <c r="Z41" s="102"/>
    </row>
    <row r="42" spans="1:26" ht="15.75" customHeight="1">
      <c r="A42" s="102"/>
      <c r="B42" s="102"/>
      <c r="C42" s="102"/>
      <c r="D42" s="102"/>
      <c r="E42" s="102"/>
      <c r="F42" s="102"/>
      <c r="G42" s="102"/>
      <c r="H42" s="102"/>
      <c r="I42" s="102"/>
      <c r="J42" s="102"/>
      <c r="K42" s="102"/>
      <c r="L42" s="102"/>
      <c r="M42" s="102"/>
      <c r="N42" s="102"/>
      <c r="O42" s="102"/>
      <c r="P42" s="102"/>
      <c r="Q42" s="102"/>
      <c r="R42" s="102"/>
      <c r="S42" s="102"/>
      <c r="T42" s="102"/>
      <c r="U42" s="102"/>
      <c r="V42" s="102"/>
      <c r="W42" s="102"/>
      <c r="X42" s="102"/>
      <c r="Y42" s="102"/>
      <c r="Z42" s="102"/>
    </row>
    <row r="43" spans="1:26" ht="15.75" customHeight="1">
      <c r="A43" s="102"/>
      <c r="B43" s="102"/>
      <c r="C43" s="102"/>
      <c r="D43" s="102"/>
      <c r="E43" s="102"/>
      <c r="F43" s="102"/>
      <c r="G43" s="102"/>
      <c r="H43" s="102"/>
      <c r="I43" s="102"/>
      <c r="J43" s="102"/>
      <c r="K43" s="102"/>
      <c r="L43" s="102"/>
      <c r="M43" s="102"/>
      <c r="N43" s="102"/>
      <c r="O43" s="102"/>
      <c r="P43" s="102"/>
      <c r="Q43" s="102"/>
      <c r="R43" s="102"/>
      <c r="S43" s="102"/>
      <c r="T43" s="102"/>
      <c r="U43" s="102"/>
      <c r="V43" s="102"/>
      <c r="W43" s="102"/>
      <c r="X43" s="102"/>
      <c r="Y43" s="102"/>
      <c r="Z43" s="102"/>
    </row>
    <row r="44" spans="1:26" ht="15.75" customHeight="1">
      <c r="A44" s="102"/>
      <c r="B44" s="102"/>
      <c r="C44" s="102"/>
      <c r="D44" s="102"/>
      <c r="E44" s="102"/>
      <c r="F44" s="102"/>
      <c r="G44" s="102"/>
      <c r="H44" s="102"/>
      <c r="I44" s="102"/>
      <c r="J44" s="102"/>
      <c r="K44" s="102"/>
      <c r="L44" s="102"/>
      <c r="M44" s="102"/>
      <c r="N44" s="102"/>
      <c r="O44" s="102"/>
      <c r="P44" s="102"/>
      <c r="Q44" s="102"/>
      <c r="R44" s="102"/>
      <c r="S44" s="102"/>
      <c r="T44" s="102"/>
      <c r="U44" s="102"/>
      <c r="V44" s="102"/>
      <c r="W44" s="102"/>
      <c r="X44" s="102"/>
      <c r="Y44" s="102"/>
      <c r="Z44" s="102"/>
    </row>
    <row r="45" spans="1:26" ht="15.75" customHeight="1">
      <c r="A45" s="102"/>
      <c r="B45" s="102"/>
      <c r="C45" s="102"/>
      <c r="D45" s="102"/>
      <c r="E45" s="102"/>
      <c r="F45" s="102"/>
      <c r="G45" s="102"/>
      <c r="H45" s="102"/>
      <c r="I45" s="102"/>
      <c r="J45" s="102"/>
      <c r="K45" s="102"/>
      <c r="L45" s="102"/>
      <c r="M45" s="102"/>
      <c r="N45" s="102"/>
      <c r="O45" s="102"/>
      <c r="P45" s="102"/>
      <c r="Q45" s="102"/>
      <c r="R45" s="102"/>
      <c r="S45" s="102"/>
      <c r="T45" s="102"/>
      <c r="U45" s="102"/>
      <c r="V45" s="102"/>
      <c r="W45" s="102"/>
      <c r="X45" s="102"/>
      <c r="Y45" s="102"/>
      <c r="Z45" s="102"/>
    </row>
    <row r="46" spans="1:26" ht="15.75" customHeight="1">
      <c r="A46" s="102"/>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02"/>
    </row>
    <row r="47" spans="1:26" ht="15.75" customHeight="1">
      <c r="A47" s="102"/>
      <c r="B47" s="102"/>
      <c r="C47" s="102"/>
      <c r="D47" s="102"/>
      <c r="E47" s="102"/>
      <c r="F47" s="102"/>
      <c r="G47" s="102"/>
      <c r="H47" s="102"/>
      <c r="I47" s="102"/>
      <c r="J47" s="102"/>
      <c r="K47" s="102"/>
      <c r="L47" s="102"/>
      <c r="M47" s="102"/>
      <c r="N47" s="102"/>
      <c r="O47" s="102"/>
      <c r="P47" s="102"/>
      <c r="Q47" s="102"/>
      <c r="R47" s="102"/>
      <c r="S47" s="102"/>
      <c r="T47" s="102"/>
      <c r="U47" s="102"/>
      <c r="V47" s="102"/>
      <c r="W47" s="102"/>
      <c r="X47" s="102"/>
      <c r="Y47" s="102"/>
      <c r="Z47" s="102"/>
    </row>
    <row r="48" spans="1:26" ht="15.75" customHeight="1">
      <c r="A48" s="102"/>
      <c r="B48" s="102"/>
      <c r="C48" s="102"/>
      <c r="D48" s="102"/>
      <c r="E48" s="102"/>
      <c r="F48" s="102"/>
      <c r="G48" s="102"/>
      <c r="H48" s="102"/>
      <c r="I48" s="102"/>
      <c r="J48" s="102"/>
      <c r="K48" s="102"/>
      <c r="L48" s="102"/>
      <c r="M48" s="102"/>
      <c r="N48" s="102"/>
      <c r="O48" s="102"/>
      <c r="P48" s="102"/>
      <c r="Q48" s="102"/>
      <c r="R48" s="102"/>
      <c r="S48" s="102"/>
      <c r="T48" s="102"/>
      <c r="U48" s="102"/>
      <c r="V48" s="102"/>
      <c r="W48" s="102"/>
      <c r="X48" s="102"/>
      <c r="Y48" s="102"/>
      <c r="Z48" s="102"/>
    </row>
    <row r="49" spans="1:26" ht="15.75" customHeight="1">
      <c r="A49" s="102"/>
      <c r="B49" s="102"/>
      <c r="C49" s="102"/>
      <c r="D49" s="102"/>
      <c r="E49" s="102"/>
      <c r="F49" s="102"/>
      <c r="G49" s="102"/>
      <c r="H49" s="102"/>
      <c r="I49" s="102"/>
      <c r="J49" s="102"/>
      <c r="K49" s="102"/>
      <c r="L49" s="102"/>
      <c r="M49" s="102"/>
      <c r="N49" s="102"/>
      <c r="O49" s="102"/>
      <c r="P49" s="102"/>
      <c r="Q49" s="102"/>
      <c r="R49" s="102"/>
      <c r="S49" s="102"/>
      <c r="T49" s="102"/>
      <c r="U49" s="102"/>
      <c r="V49" s="102"/>
      <c r="W49" s="102"/>
      <c r="X49" s="102"/>
      <c r="Y49" s="102"/>
      <c r="Z49" s="102"/>
    </row>
    <row r="50" spans="1:26" ht="15.75" customHeight="1">
      <c r="A50" s="102"/>
      <c r="B50" s="102"/>
      <c r="C50" s="102"/>
      <c r="D50" s="102"/>
      <c r="E50" s="102"/>
      <c r="F50" s="102"/>
      <c r="G50" s="102"/>
      <c r="H50" s="102"/>
      <c r="I50" s="102"/>
      <c r="J50" s="102"/>
      <c r="K50" s="102"/>
      <c r="L50" s="102"/>
      <c r="M50" s="102"/>
      <c r="N50" s="102"/>
      <c r="O50" s="102"/>
      <c r="P50" s="102"/>
      <c r="Q50" s="102"/>
      <c r="R50" s="102"/>
      <c r="S50" s="102"/>
      <c r="T50" s="102"/>
      <c r="U50" s="102"/>
      <c r="V50" s="102"/>
      <c r="W50" s="102"/>
      <c r="X50" s="102"/>
      <c r="Y50" s="102"/>
      <c r="Z50" s="102"/>
    </row>
    <row r="51" spans="1:26" ht="15.75" customHeight="1">
      <c r="A51" s="102"/>
      <c r="B51" s="102"/>
      <c r="C51" s="102"/>
      <c r="D51" s="102"/>
      <c r="E51" s="102"/>
      <c r="F51" s="102"/>
      <c r="G51" s="102"/>
      <c r="H51" s="102"/>
      <c r="I51" s="102"/>
      <c r="J51" s="102"/>
      <c r="K51" s="102"/>
      <c r="L51" s="102"/>
      <c r="M51" s="102"/>
      <c r="N51" s="102"/>
      <c r="O51" s="102"/>
      <c r="P51" s="102"/>
      <c r="Q51" s="102"/>
      <c r="R51" s="102"/>
      <c r="S51" s="102"/>
      <c r="T51" s="102"/>
      <c r="U51" s="102"/>
      <c r="V51" s="102"/>
      <c r="W51" s="102"/>
      <c r="X51" s="102"/>
      <c r="Y51" s="102"/>
      <c r="Z51" s="102"/>
    </row>
    <row r="52" spans="1:26" ht="15.75" customHeight="1">
      <c r="A52" s="102"/>
      <c r="B52" s="102"/>
      <c r="C52" s="102"/>
      <c r="D52" s="102"/>
      <c r="E52" s="102"/>
      <c r="F52" s="102"/>
      <c r="G52" s="102"/>
      <c r="H52" s="102"/>
      <c r="I52" s="102"/>
      <c r="J52" s="102"/>
      <c r="K52" s="102"/>
      <c r="L52" s="102"/>
      <c r="M52" s="102"/>
      <c r="N52" s="102"/>
      <c r="O52" s="102"/>
      <c r="P52" s="102"/>
      <c r="Q52" s="102"/>
      <c r="R52" s="102"/>
      <c r="S52" s="102"/>
      <c r="T52" s="102"/>
      <c r="U52" s="102"/>
      <c r="V52" s="102"/>
      <c r="W52" s="102"/>
      <c r="X52" s="102"/>
      <c r="Y52" s="102"/>
      <c r="Z52" s="102"/>
    </row>
    <row r="53" spans="1:26" ht="15.75" customHeight="1">
      <c r="A53" s="102"/>
      <c r="B53" s="102"/>
      <c r="C53" s="102"/>
      <c r="D53" s="102"/>
      <c r="E53" s="102"/>
      <c r="F53" s="102"/>
      <c r="G53" s="102"/>
      <c r="H53" s="102"/>
      <c r="I53" s="102"/>
      <c r="J53" s="102"/>
      <c r="K53" s="102"/>
      <c r="L53" s="102"/>
      <c r="M53" s="102"/>
      <c r="N53" s="102"/>
      <c r="O53" s="102"/>
      <c r="P53" s="102"/>
      <c r="Q53" s="102"/>
      <c r="R53" s="102"/>
      <c r="S53" s="102"/>
      <c r="T53" s="102"/>
      <c r="U53" s="102"/>
      <c r="V53" s="102"/>
      <c r="W53" s="102"/>
      <c r="X53" s="102"/>
      <c r="Y53" s="102"/>
      <c r="Z53" s="102"/>
    </row>
    <row r="54" spans="1:26" ht="15.75" customHeight="1">
      <c r="A54" s="102"/>
      <c r="B54" s="102"/>
      <c r="C54" s="102"/>
      <c r="D54" s="102"/>
      <c r="E54" s="102"/>
      <c r="F54" s="102"/>
      <c r="G54" s="102"/>
      <c r="H54" s="102"/>
      <c r="I54" s="102"/>
      <c r="J54" s="102"/>
      <c r="K54" s="102"/>
      <c r="L54" s="102"/>
      <c r="M54" s="102"/>
      <c r="N54" s="102"/>
      <c r="O54" s="102"/>
      <c r="P54" s="102"/>
      <c r="Q54" s="102"/>
      <c r="R54" s="102"/>
      <c r="S54" s="102"/>
      <c r="T54" s="102"/>
      <c r="U54" s="102"/>
      <c r="V54" s="102"/>
      <c r="W54" s="102"/>
      <c r="X54" s="102"/>
      <c r="Y54" s="102"/>
      <c r="Z54" s="102"/>
    </row>
    <row r="55" spans="1:26" ht="15.75" customHeight="1">
      <c r="A55" s="102"/>
      <c r="B55" s="102"/>
      <c r="C55" s="102"/>
      <c r="D55" s="102"/>
      <c r="E55" s="102"/>
      <c r="F55" s="102"/>
      <c r="G55" s="102"/>
      <c r="H55" s="102"/>
      <c r="I55" s="102"/>
      <c r="J55" s="102"/>
      <c r="K55" s="102"/>
      <c r="L55" s="102"/>
      <c r="M55" s="102"/>
      <c r="N55" s="102"/>
      <c r="O55" s="102"/>
      <c r="P55" s="102"/>
      <c r="Q55" s="102"/>
      <c r="R55" s="102"/>
      <c r="S55" s="102"/>
      <c r="T55" s="102"/>
      <c r="U55" s="102"/>
      <c r="V55" s="102"/>
      <c r="W55" s="102"/>
      <c r="X55" s="102"/>
      <c r="Y55" s="102"/>
      <c r="Z55" s="102"/>
    </row>
    <row r="56" spans="1:26" ht="15.75" customHeight="1">
      <c r="A56" s="102"/>
      <c r="B56" s="102"/>
      <c r="C56" s="102"/>
      <c r="D56" s="102"/>
      <c r="E56" s="102"/>
      <c r="F56" s="102"/>
      <c r="G56" s="102"/>
      <c r="H56" s="102"/>
      <c r="I56" s="102"/>
      <c r="J56" s="102"/>
      <c r="K56" s="102"/>
      <c r="L56" s="102"/>
      <c r="M56" s="102"/>
      <c r="N56" s="102"/>
      <c r="O56" s="102"/>
      <c r="P56" s="102"/>
      <c r="Q56" s="102"/>
      <c r="R56" s="102"/>
      <c r="S56" s="102"/>
      <c r="T56" s="102"/>
      <c r="U56" s="102"/>
      <c r="V56" s="102"/>
      <c r="W56" s="102"/>
      <c r="X56" s="102"/>
      <c r="Y56" s="102"/>
      <c r="Z56" s="102"/>
    </row>
    <row r="57" spans="1:26" ht="15.75" customHeight="1">
      <c r="A57" s="102"/>
      <c r="B57" s="102"/>
      <c r="C57" s="102"/>
      <c r="D57" s="102"/>
      <c r="E57" s="102"/>
      <c r="F57" s="102"/>
      <c r="G57" s="102"/>
      <c r="H57" s="102"/>
      <c r="I57" s="102"/>
      <c r="J57" s="102"/>
      <c r="K57" s="102"/>
      <c r="L57" s="102"/>
      <c r="M57" s="102"/>
      <c r="N57" s="102"/>
      <c r="O57" s="102"/>
      <c r="P57" s="102"/>
      <c r="Q57" s="102"/>
      <c r="R57" s="102"/>
      <c r="S57" s="102"/>
      <c r="T57" s="102"/>
      <c r="U57" s="102"/>
      <c r="V57" s="102"/>
      <c r="W57" s="102"/>
      <c r="X57" s="102"/>
      <c r="Y57" s="102"/>
      <c r="Z57" s="102"/>
    </row>
    <row r="58" spans="1:26" ht="15.75" customHeight="1">
      <c r="A58" s="102"/>
      <c r="B58" s="102"/>
      <c r="C58" s="102"/>
      <c r="D58" s="102"/>
      <c r="E58" s="102"/>
      <c r="F58" s="102"/>
      <c r="G58" s="102"/>
      <c r="H58" s="102"/>
      <c r="I58" s="102"/>
      <c r="J58" s="102"/>
      <c r="K58" s="102"/>
      <c r="L58" s="102"/>
      <c r="M58" s="102"/>
      <c r="N58" s="102"/>
      <c r="O58" s="102"/>
      <c r="P58" s="102"/>
      <c r="Q58" s="102"/>
      <c r="R58" s="102"/>
      <c r="S58" s="102"/>
      <c r="T58" s="102"/>
      <c r="U58" s="102"/>
      <c r="V58" s="102"/>
      <c r="W58" s="102"/>
      <c r="X58" s="102"/>
      <c r="Y58" s="102"/>
      <c r="Z58" s="102"/>
    </row>
    <row r="59" spans="1:26" ht="15.75" customHeight="1">
      <c r="A59" s="102"/>
      <c r="B59" s="102"/>
      <c r="C59" s="102"/>
      <c r="D59" s="102"/>
      <c r="E59" s="102"/>
      <c r="F59" s="102"/>
      <c r="G59" s="102"/>
      <c r="H59" s="102"/>
      <c r="I59" s="102"/>
      <c r="J59" s="102"/>
      <c r="K59" s="102"/>
      <c r="L59" s="102"/>
      <c r="M59" s="102"/>
      <c r="N59" s="102"/>
      <c r="O59" s="102"/>
      <c r="P59" s="102"/>
      <c r="Q59" s="102"/>
      <c r="R59" s="102"/>
      <c r="S59" s="102"/>
      <c r="T59" s="102"/>
      <c r="U59" s="102"/>
      <c r="V59" s="102"/>
      <c r="W59" s="102"/>
      <c r="X59" s="102"/>
      <c r="Y59" s="102"/>
      <c r="Z59" s="102"/>
    </row>
    <row r="60" spans="1:26" ht="15.75" customHeight="1">
      <c r="A60" s="102"/>
      <c r="B60" s="102"/>
      <c r="C60" s="102"/>
      <c r="D60" s="102"/>
      <c r="E60" s="102"/>
      <c r="F60" s="102"/>
      <c r="G60" s="102"/>
      <c r="H60" s="102"/>
      <c r="I60" s="102"/>
      <c r="J60" s="102"/>
      <c r="K60" s="102"/>
      <c r="L60" s="102"/>
      <c r="M60" s="102"/>
      <c r="N60" s="102"/>
      <c r="O60" s="102"/>
      <c r="P60" s="102"/>
      <c r="Q60" s="102"/>
      <c r="R60" s="102"/>
      <c r="S60" s="102"/>
      <c r="T60" s="102"/>
      <c r="U60" s="102"/>
      <c r="V60" s="102"/>
      <c r="W60" s="102"/>
      <c r="X60" s="102"/>
      <c r="Y60" s="102"/>
      <c r="Z60" s="102"/>
    </row>
    <row r="61" spans="1:26" ht="15.75" customHeight="1">
      <c r="A61" s="102"/>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ht="15.75" customHeight="1">
      <c r="A62" s="102"/>
      <c r="B62" s="102"/>
      <c r="C62" s="102"/>
      <c r="D62" s="102"/>
      <c r="E62" s="102"/>
      <c r="F62" s="102"/>
      <c r="G62" s="102"/>
      <c r="H62" s="102"/>
      <c r="I62" s="102"/>
      <c r="J62" s="102"/>
      <c r="K62" s="102"/>
      <c r="L62" s="102"/>
      <c r="M62" s="102"/>
      <c r="N62" s="102"/>
      <c r="O62" s="102"/>
      <c r="P62" s="102"/>
      <c r="Q62" s="102"/>
      <c r="R62" s="102"/>
      <c r="S62" s="102"/>
      <c r="T62" s="102"/>
      <c r="U62" s="102"/>
      <c r="V62" s="102"/>
      <c r="W62" s="102"/>
      <c r="X62" s="102"/>
      <c r="Y62" s="102"/>
      <c r="Z62" s="102"/>
    </row>
    <row r="63" spans="1:26" ht="15.75" customHeight="1">
      <c r="A63" s="102"/>
      <c r="B63" s="102"/>
      <c r="C63" s="102"/>
      <c r="D63" s="102"/>
      <c r="E63" s="102"/>
      <c r="F63" s="102"/>
      <c r="G63" s="102"/>
      <c r="H63" s="102"/>
      <c r="I63" s="102"/>
      <c r="J63" s="102"/>
      <c r="K63" s="102"/>
      <c r="L63" s="102"/>
      <c r="M63" s="102"/>
      <c r="N63" s="102"/>
      <c r="O63" s="102"/>
      <c r="P63" s="102"/>
      <c r="Q63" s="102"/>
      <c r="R63" s="102"/>
      <c r="S63" s="102"/>
      <c r="T63" s="102"/>
      <c r="U63" s="102"/>
      <c r="V63" s="102"/>
      <c r="W63" s="102"/>
      <c r="X63" s="102"/>
      <c r="Y63" s="102"/>
      <c r="Z63" s="102"/>
    </row>
    <row r="64" spans="1:26" ht="15.75" customHeight="1">
      <c r="A64" s="102"/>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ht="15.75" customHeight="1">
      <c r="A65" s="102"/>
      <c r="B65" s="102"/>
      <c r="C65" s="102"/>
      <c r="D65" s="102"/>
      <c r="E65" s="102"/>
      <c r="F65" s="102"/>
      <c r="G65" s="102"/>
      <c r="H65" s="102"/>
      <c r="I65" s="102"/>
      <c r="J65" s="102"/>
      <c r="K65" s="102"/>
      <c r="L65" s="102"/>
      <c r="M65" s="102"/>
      <c r="N65" s="102"/>
      <c r="O65" s="102"/>
      <c r="P65" s="102"/>
      <c r="Q65" s="102"/>
      <c r="R65" s="102"/>
      <c r="S65" s="102"/>
      <c r="T65" s="102"/>
      <c r="U65" s="102"/>
      <c r="V65" s="102"/>
      <c r="W65" s="102"/>
      <c r="X65" s="102"/>
      <c r="Y65" s="102"/>
      <c r="Z65" s="102"/>
    </row>
    <row r="66" spans="1:26" ht="15.75" customHeight="1">
      <c r="A66" s="102"/>
      <c r="B66" s="102"/>
      <c r="C66" s="102"/>
      <c r="D66" s="102"/>
      <c r="E66" s="102"/>
      <c r="F66" s="102"/>
      <c r="G66" s="102"/>
      <c r="H66" s="102"/>
      <c r="I66" s="102"/>
      <c r="J66" s="102"/>
      <c r="K66" s="102"/>
      <c r="L66" s="102"/>
      <c r="M66" s="102"/>
      <c r="N66" s="102"/>
      <c r="O66" s="102"/>
      <c r="P66" s="102"/>
      <c r="Q66" s="102"/>
      <c r="R66" s="102"/>
      <c r="S66" s="102"/>
      <c r="T66" s="102"/>
      <c r="U66" s="102"/>
      <c r="V66" s="102"/>
      <c r="W66" s="102"/>
      <c r="X66" s="102"/>
      <c r="Y66" s="102"/>
      <c r="Z66" s="102"/>
    </row>
    <row r="67" spans="1:26" ht="15.75" customHeight="1">
      <c r="A67" s="102"/>
      <c r="B67" s="102"/>
      <c r="C67" s="102"/>
      <c r="D67" s="102"/>
      <c r="E67" s="102"/>
      <c r="F67" s="102"/>
      <c r="G67" s="102"/>
      <c r="H67" s="102"/>
      <c r="I67" s="102"/>
      <c r="J67" s="102"/>
      <c r="K67" s="102"/>
      <c r="L67" s="102"/>
      <c r="M67" s="102"/>
      <c r="N67" s="102"/>
      <c r="O67" s="102"/>
      <c r="P67" s="102"/>
      <c r="Q67" s="102"/>
      <c r="R67" s="102"/>
      <c r="S67" s="102"/>
      <c r="T67" s="102"/>
      <c r="U67" s="102"/>
      <c r="V67" s="102"/>
      <c r="W67" s="102"/>
      <c r="X67" s="102"/>
      <c r="Y67" s="102"/>
      <c r="Z67" s="102"/>
    </row>
    <row r="68" spans="1:26" ht="15.75" customHeight="1">
      <c r="A68" s="102"/>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ht="15.75" customHeight="1">
      <c r="A69" s="102"/>
      <c r="B69" s="102"/>
      <c r="C69" s="102"/>
      <c r="D69" s="102"/>
      <c r="E69" s="102"/>
      <c r="F69" s="102"/>
      <c r="G69" s="102"/>
      <c r="H69" s="102"/>
      <c r="I69" s="102"/>
      <c r="J69" s="102"/>
      <c r="K69" s="102"/>
      <c r="L69" s="102"/>
      <c r="M69" s="102"/>
      <c r="N69" s="102"/>
      <c r="O69" s="102"/>
      <c r="P69" s="102"/>
      <c r="Q69" s="102"/>
      <c r="R69" s="102"/>
      <c r="S69" s="102"/>
      <c r="T69" s="102"/>
      <c r="U69" s="102"/>
      <c r="V69" s="102"/>
      <c r="W69" s="102"/>
      <c r="X69" s="102"/>
      <c r="Y69" s="102"/>
      <c r="Z69" s="102"/>
    </row>
    <row r="70" spans="1:26" ht="15.75" customHeight="1">
      <c r="A70" s="102"/>
      <c r="B70" s="102"/>
      <c r="C70" s="102"/>
      <c r="D70" s="102"/>
      <c r="E70" s="102"/>
      <c r="F70" s="102"/>
      <c r="G70" s="102"/>
      <c r="H70" s="102"/>
      <c r="I70" s="102"/>
      <c r="J70" s="102"/>
      <c r="K70" s="102"/>
      <c r="L70" s="102"/>
      <c r="M70" s="102"/>
      <c r="N70" s="102"/>
      <c r="O70" s="102"/>
      <c r="P70" s="102"/>
      <c r="Q70" s="102"/>
      <c r="R70" s="102"/>
      <c r="S70" s="102"/>
      <c r="T70" s="102"/>
      <c r="U70" s="102"/>
      <c r="V70" s="102"/>
      <c r="W70" s="102"/>
      <c r="X70" s="102"/>
      <c r="Y70" s="102"/>
      <c r="Z70" s="102"/>
    </row>
    <row r="71" spans="1:26" ht="15.75" customHeight="1">
      <c r="A71" s="102"/>
      <c r="B71" s="102"/>
      <c r="C71" s="102"/>
      <c r="D71" s="102"/>
      <c r="E71" s="102"/>
      <c r="F71" s="102"/>
      <c r="G71" s="102"/>
      <c r="H71" s="102"/>
      <c r="I71" s="102"/>
      <c r="J71" s="102"/>
      <c r="K71" s="102"/>
      <c r="L71" s="102"/>
      <c r="M71" s="102"/>
      <c r="N71" s="102"/>
      <c r="O71" s="102"/>
      <c r="P71" s="102"/>
      <c r="Q71" s="102"/>
      <c r="R71" s="102"/>
      <c r="S71" s="102"/>
      <c r="T71" s="102"/>
      <c r="U71" s="102"/>
      <c r="V71" s="102"/>
      <c r="W71" s="102"/>
      <c r="X71" s="102"/>
      <c r="Y71" s="102"/>
      <c r="Z71" s="102"/>
    </row>
    <row r="72" spans="1:26" ht="15.75" customHeight="1">
      <c r="A72" s="102"/>
      <c r="B72" s="102"/>
      <c r="C72" s="102"/>
      <c r="D72" s="102"/>
      <c r="E72" s="102"/>
      <c r="F72" s="102"/>
      <c r="G72" s="102"/>
      <c r="H72" s="102"/>
      <c r="I72" s="102"/>
      <c r="J72" s="102"/>
      <c r="K72" s="102"/>
      <c r="L72" s="102"/>
      <c r="M72" s="102"/>
      <c r="N72" s="102"/>
      <c r="O72" s="102"/>
      <c r="P72" s="102"/>
      <c r="Q72" s="102"/>
      <c r="R72" s="102"/>
      <c r="S72" s="102"/>
      <c r="T72" s="102"/>
      <c r="U72" s="102"/>
      <c r="V72" s="102"/>
      <c r="W72" s="102"/>
      <c r="X72" s="102"/>
      <c r="Y72" s="102"/>
      <c r="Z72" s="102"/>
    </row>
    <row r="73" spans="1:26" ht="15.75" customHeight="1">
      <c r="A73" s="102"/>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ht="15.75" customHeight="1">
      <c r="A74" s="102"/>
      <c r="B74" s="102"/>
      <c r="C74" s="102"/>
      <c r="D74" s="102"/>
      <c r="E74" s="102"/>
      <c r="F74" s="102"/>
      <c r="G74" s="102"/>
      <c r="H74" s="102"/>
      <c r="I74" s="102"/>
      <c r="J74" s="102"/>
      <c r="K74" s="102"/>
      <c r="L74" s="102"/>
      <c r="M74" s="102"/>
      <c r="N74" s="102"/>
      <c r="O74" s="102"/>
      <c r="P74" s="102"/>
      <c r="Q74" s="102"/>
      <c r="R74" s="102"/>
      <c r="S74" s="102"/>
      <c r="T74" s="102"/>
      <c r="U74" s="102"/>
      <c r="V74" s="102"/>
      <c r="W74" s="102"/>
      <c r="X74" s="102"/>
      <c r="Y74" s="102"/>
      <c r="Z74" s="102"/>
    </row>
    <row r="75" spans="1:26" ht="15.75" customHeight="1">
      <c r="A75" s="102"/>
      <c r="B75" s="102"/>
      <c r="C75" s="102"/>
      <c r="D75" s="102"/>
      <c r="E75" s="102"/>
      <c r="F75" s="102"/>
      <c r="G75" s="102"/>
      <c r="H75" s="102"/>
      <c r="I75" s="102"/>
      <c r="J75" s="102"/>
      <c r="K75" s="102"/>
      <c r="L75" s="102"/>
      <c r="M75" s="102"/>
      <c r="N75" s="102"/>
      <c r="O75" s="102"/>
      <c r="P75" s="102"/>
      <c r="Q75" s="102"/>
      <c r="R75" s="102"/>
      <c r="S75" s="102"/>
      <c r="T75" s="102"/>
      <c r="U75" s="102"/>
      <c r="V75" s="102"/>
      <c r="W75" s="102"/>
      <c r="X75" s="102"/>
      <c r="Y75" s="102"/>
      <c r="Z75" s="102"/>
    </row>
    <row r="76" spans="1:26" ht="15.75" customHeight="1">
      <c r="A76" s="102"/>
      <c r="B76" s="102"/>
      <c r="C76" s="102"/>
      <c r="D76" s="102"/>
      <c r="E76" s="102"/>
      <c r="F76" s="102"/>
      <c r="G76" s="102"/>
      <c r="H76" s="102"/>
      <c r="I76" s="102"/>
      <c r="J76" s="102"/>
      <c r="K76" s="102"/>
      <c r="L76" s="102"/>
      <c r="M76" s="102"/>
      <c r="N76" s="102"/>
      <c r="O76" s="102"/>
      <c r="P76" s="102"/>
      <c r="Q76" s="102"/>
      <c r="R76" s="102"/>
      <c r="S76" s="102"/>
      <c r="T76" s="102"/>
      <c r="U76" s="102"/>
      <c r="V76" s="102"/>
      <c r="W76" s="102"/>
      <c r="X76" s="102"/>
      <c r="Y76" s="102"/>
      <c r="Z76" s="102"/>
    </row>
    <row r="77" spans="1:26" ht="15.75" customHeight="1">
      <c r="A77" s="102"/>
      <c r="B77" s="102"/>
      <c r="C77" s="102"/>
      <c r="D77" s="102"/>
      <c r="E77" s="102"/>
      <c r="F77" s="102"/>
      <c r="G77" s="102"/>
      <c r="H77" s="102"/>
      <c r="I77" s="102"/>
      <c r="J77" s="102"/>
      <c r="K77" s="102"/>
      <c r="L77" s="102"/>
      <c r="M77" s="102"/>
      <c r="N77" s="102"/>
      <c r="O77" s="102"/>
      <c r="P77" s="102"/>
      <c r="Q77" s="102"/>
      <c r="R77" s="102"/>
      <c r="S77" s="102"/>
      <c r="T77" s="102"/>
      <c r="U77" s="102"/>
      <c r="V77" s="102"/>
      <c r="W77" s="102"/>
      <c r="X77" s="102"/>
      <c r="Y77" s="102"/>
      <c r="Z77" s="102"/>
    </row>
    <row r="78" spans="1:26" ht="15.75" customHeight="1">
      <c r="A78" s="102"/>
      <c r="B78" s="102"/>
      <c r="C78" s="102"/>
      <c r="D78" s="102"/>
      <c r="E78" s="102"/>
      <c r="F78" s="102"/>
      <c r="G78" s="102"/>
      <c r="H78" s="102"/>
      <c r="I78" s="102"/>
      <c r="J78" s="102"/>
      <c r="K78" s="102"/>
      <c r="L78" s="102"/>
      <c r="M78" s="102"/>
      <c r="N78" s="102"/>
      <c r="O78" s="102"/>
      <c r="P78" s="102"/>
      <c r="Q78" s="102"/>
      <c r="R78" s="102"/>
      <c r="S78" s="102"/>
      <c r="T78" s="102"/>
      <c r="U78" s="102"/>
      <c r="V78" s="102"/>
      <c r="W78" s="102"/>
      <c r="X78" s="102"/>
      <c r="Y78" s="102"/>
      <c r="Z78" s="102"/>
    </row>
    <row r="79" spans="1:26" ht="15.75" customHeight="1">
      <c r="A79" s="102"/>
      <c r="B79" s="102"/>
      <c r="C79" s="102"/>
      <c r="D79" s="102"/>
      <c r="E79" s="102"/>
      <c r="F79" s="102"/>
      <c r="G79" s="102"/>
      <c r="H79" s="102"/>
      <c r="I79" s="102"/>
      <c r="J79" s="102"/>
      <c r="K79" s="102"/>
      <c r="L79" s="102"/>
      <c r="M79" s="102"/>
      <c r="N79" s="102"/>
      <c r="O79" s="102"/>
      <c r="P79" s="102"/>
      <c r="Q79" s="102"/>
      <c r="R79" s="102"/>
      <c r="S79" s="102"/>
      <c r="T79" s="102"/>
      <c r="U79" s="102"/>
      <c r="V79" s="102"/>
      <c r="W79" s="102"/>
      <c r="X79" s="102"/>
      <c r="Y79" s="102"/>
      <c r="Z79" s="102"/>
    </row>
    <row r="80" spans="1:26" ht="15.75" customHeight="1">
      <c r="A80" s="102"/>
      <c r="B80" s="102"/>
      <c r="C80" s="102"/>
      <c r="D80" s="102"/>
      <c r="E80" s="102"/>
      <c r="F80" s="102"/>
      <c r="G80" s="102"/>
      <c r="H80" s="102"/>
      <c r="I80" s="102"/>
      <c r="J80" s="102"/>
      <c r="K80" s="102"/>
      <c r="L80" s="102"/>
      <c r="M80" s="102"/>
      <c r="N80" s="102"/>
      <c r="O80" s="102"/>
      <c r="P80" s="102"/>
      <c r="Q80" s="102"/>
      <c r="R80" s="102"/>
      <c r="S80" s="102"/>
      <c r="T80" s="102"/>
      <c r="U80" s="102"/>
      <c r="V80" s="102"/>
      <c r="W80" s="102"/>
      <c r="X80" s="102"/>
      <c r="Y80" s="102"/>
      <c r="Z80" s="102"/>
    </row>
    <row r="81" spans="1:26" ht="15.75" customHeight="1">
      <c r="A81" s="102"/>
      <c r="B81" s="102"/>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02"/>
    </row>
    <row r="82" spans="1:26" ht="15.75" customHeight="1">
      <c r="A82" s="102"/>
      <c r="B82" s="102"/>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row>
    <row r="83" spans="1:26" ht="15.75" customHeight="1">
      <c r="A83" s="102"/>
      <c r="B83" s="102"/>
      <c r="C83" s="102"/>
      <c r="D83" s="102"/>
      <c r="E83" s="102"/>
      <c r="F83" s="102"/>
      <c r="G83" s="102"/>
      <c r="H83" s="102"/>
      <c r="I83" s="102"/>
      <c r="J83" s="102"/>
      <c r="K83" s="102"/>
      <c r="L83" s="102"/>
      <c r="M83" s="102"/>
      <c r="N83" s="102"/>
      <c r="O83" s="102"/>
      <c r="P83" s="102"/>
      <c r="Q83" s="102"/>
      <c r="R83" s="102"/>
      <c r="S83" s="102"/>
      <c r="T83" s="102"/>
      <c r="U83" s="102"/>
      <c r="V83" s="102"/>
      <c r="W83" s="102"/>
      <c r="X83" s="102"/>
      <c r="Y83" s="102"/>
      <c r="Z83" s="102"/>
    </row>
    <row r="84" spans="1:26" ht="15.75" customHeight="1">
      <c r="A84" s="102"/>
      <c r="B84" s="102"/>
      <c r="C84" s="102"/>
      <c r="D84" s="102"/>
      <c r="E84" s="102"/>
      <c r="F84" s="102"/>
      <c r="G84" s="102"/>
      <c r="H84" s="102"/>
      <c r="I84" s="102"/>
      <c r="J84" s="102"/>
      <c r="K84" s="102"/>
      <c r="L84" s="102"/>
      <c r="M84" s="102"/>
      <c r="N84" s="102"/>
      <c r="O84" s="102"/>
      <c r="P84" s="102"/>
      <c r="Q84" s="102"/>
      <c r="R84" s="102"/>
      <c r="S84" s="102"/>
      <c r="T84" s="102"/>
      <c r="U84" s="102"/>
      <c r="V84" s="102"/>
      <c r="W84" s="102"/>
      <c r="X84" s="102"/>
      <c r="Y84" s="102"/>
      <c r="Z84" s="102"/>
    </row>
    <row r="85" spans="1:26" ht="15.75" customHeight="1">
      <c r="A85" s="102"/>
      <c r="B85" s="102"/>
      <c r="C85" s="102"/>
      <c r="D85" s="102"/>
      <c r="E85" s="102"/>
      <c r="F85" s="102"/>
      <c r="G85" s="102"/>
      <c r="H85" s="102"/>
      <c r="I85" s="102"/>
      <c r="J85" s="102"/>
      <c r="K85" s="102"/>
      <c r="L85" s="102"/>
      <c r="M85" s="102"/>
      <c r="N85" s="102"/>
      <c r="O85" s="102"/>
      <c r="P85" s="102"/>
      <c r="Q85" s="102"/>
      <c r="R85" s="102"/>
      <c r="S85" s="102"/>
      <c r="T85" s="102"/>
      <c r="U85" s="102"/>
      <c r="V85" s="102"/>
      <c r="W85" s="102"/>
      <c r="X85" s="102"/>
      <c r="Y85" s="102"/>
      <c r="Z85" s="102"/>
    </row>
    <row r="86" spans="1:26" ht="15.75" customHeight="1">
      <c r="A86" s="102"/>
      <c r="B86" s="102"/>
      <c r="C86" s="102"/>
      <c r="D86" s="102"/>
      <c r="E86" s="102"/>
      <c r="F86" s="102"/>
      <c r="G86" s="102"/>
      <c r="H86" s="102"/>
      <c r="I86" s="102"/>
      <c r="J86" s="102"/>
      <c r="K86" s="102"/>
      <c r="L86" s="102"/>
      <c r="M86" s="102"/>
      <c r="N86" s="102"/>
      <c r="O86" s="102"/>
      <c r="P86" s="102"/>
      <c r="Q86" s="102"/>
      <c r="R86" s="102"/>
      <c r="S86" s="102"/>
      <c r="T86" s="102"/>
      <c r="U86" s="102"/>
      <c r="V86" s="102"/>
      <c r="W86" s="102"/>
      <c r="X86" s="102"/>
      <c r="Y86" s="102"/>
      <c r="Z86" s="102"/>
    </row>
    <row r="87" spans="1:26" ht="15.75" customHeight="1">
      <c r="A87" s="102"/>
      <c r="B87" s="102"/>
      <c r="C87" s="102"/>
      <c r="D87" s="102"/>
      <c r="E87" s="102"/>
      <c r="F87" s="102"/>
      <c r="G87" s="102"/>
      <c r="H87" s="102"/>
      <c r="I87" s="102"/>
      <c r="J87" s="102"/>
      <c r="K87" s="102"/>
      <c r="L87" s="102"/>
      <c r="M87" s="102"/>
      <c r="N87" s="102"/>
      <c r="O87" s="102"/>
      <c r="P87" s="102"/>
      <c r="Q87" s="102"/>
      <c r="R87" s="102"/>
      <c r="S87" s="102"/>
      <c r="T87" s="102"/>
      <c r="U87" s="102"/>
      <c r="V87" s="102"/>
      <c r="W87" s="102"/>
      <c r="X87" s="102"/>
      <c r="Y87" s="102"/>
      <c r="Z87" s="102"/>
    </row>
    <row r="88" spans="1:26" ht="15.75" customHeight="1">
      <c r="A88" s="102"/>
      <c r="B88" s="102"/>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02"/>
    </row>
    <row r="89" spans="1:26" ht="15.75" customHeight="1">
      <c r="A89" s="102"/>
      <c r="B89" s="102"/>
      <c r="C89" s="102"/>
      <c r="D89" s="102"/>
      <c r="E89" s="102"/>
      <c r="F89" s="102"/>
      <c r="G89" s="102"/>
      <c r="H89" s="102"/>
      <c r="I89" s="102"/>
      <c r="J89" s="102"/>
      <c r="K89" s="102"/>
      <c r="L89" s="102"/>
      <c r="M89" s="102"/>
      <c r="N89" s="102"/>
      <c r="O89" s="102"/>
      <c r="P89" s="102"/>
      <c r="Q89" s="102"/>
      <c r="R89" s="102"/>
      <c r="S89" s="102"/>
      <c r="T89" s="102"/>
      <c r="U89" s="102"/>
      <c r="V89" s="102"/>
      <c r="W89" s="102"/>
      <c r="X89" s="102"/>
      <c r="Y89" s="102"/>
      <c r="Z89" s="102"/>
    </row>
    <row r="90" spans="1:26" ht="15.75" customHeight="1">
      <c r="A90" s="102"/>
      <c r="B90" s="102"/>
      <c r="C90" s="102"/>
      <c r="D90" s="102"/>
      <c r="E90" s="102"/>
      <c r="F90" s="102"/>
      <c r="G90" s="102"/>
      <c r="H90" s="102"/>
      <c r="I90" s="102"/>
      <c r="J90" s="102"/>
      <c r="K90" s="102"/>
      <c r="L90" s="102"/>
      <c r="M90" s="102"/>
      <c r="N90" s="102"/>
      <c r="O90" s="102"/>
      <c r="P90" s="102"/>
      <c r="Q90" s="102"/>
      <c r="R90" s="102"/>
      <c r="S90" s="102"/>
      <c r="T90" s="102"/>
      <c r="U90" s="102"/>
      <c r="V90" s="102"/>
      <c r="W90" s="102"/>
      <c r="X90" s="102"/>
      <c r="Y90" s="102"/>
      <c r="Z90" s="102"/>
    </row>
    <row r="91" spans="1:26" ht="15.75" customHeight="1">
      <c r="A91" s="102"/>
      <c r="B91" s="102"/>
      <c r="C91" s="102"/>
      <c r="D91" s="102"/>
      <c r="E91" s="102"/>
      <c r="F91" s="102"/>
      <c r="G91" s="102"/>
      <c r="H91" s="102"/>
      <c r="I91" s="102"/>
      <c r="J91" s="102"/>
      <c r="K91" s="102"/>
      <c r="L91" s="102"/>
      <c r="M91" s="102"/>
      <c r="N91" s="102"/>
      <c r="O91" s="102"/>
      <c r="P91" s="102"/>
      <c r="Q91" s="102"/>
      <c r="R91" s="102"/>
      <c r="S91" s="102"/>
      <c r="T91" s="102"/>
      <c r="U91" s="102"/>
      <c r="V91" s="102"/>
      <c r="W91" s="102"/>
      <c r="X91" s="102"/>
      <c r="Y91" s="102"/>
      <c r="Z91" s="102"/>
    </row>
    <row r="92" spans="1:26" ht="15.75" customHeight="1">
      <c r="A92" s="102"/>
      <c r="B92" s="102"/>
      <c r="C92" s="102"/>
      <c r="D92" s="102"/>
      <c r="E92" s="102"/>
      <c r="F92" s="102"/>
      <c r="G92" s="102"/>
      <c r="H92" s="102"/>
      <c r="I92" s="102"/>
      <c r="J92" s="102"/>
      <c r="K92" s="102"/>
      <c r="L92" s="102"/>
      <c r="M92" s="102"/>
      <c r="N92" s="102"/>
      <c r="O92" s="102"/>
      <c r="P92" s="102"/>
      <c r="Q92" s="102"/>
      <c r="R92" s="102"/>
      <c r="S92" s="102"/>
      <c r="T92" s="102"/>
      <c r="U92" s="102"/>
      <c r="V92" s="102"/>
      <c r="W92" s="102"/>
      <c r="X92" s="102"/>
      <c r="Y92" s="102"/>
      <c r="Z92" s="102"/>
    </row>
    <row r="93" spans="1:26" ht="15.75" customHeight="1">
      <c r="A93" s="102"/>
      <c r="B93" s="102"/>
      <c r="C93" s="102"/>
      <c r="D93" s="102"/>
      <c r="E93" s="102"/>
      <c r="F93" s="102"/>
      <c r="G93" s="102"/>
      <c r="H93" s="102"/>
      <c r="I93" s="102"/>
      <c r="J93" s="102"/>
      <c r="K93" s="102"/>
      <c r="L93" s="102"/>
      <c r="M93" s="102"/>
      <c r="N93" s="102"/>
      <c r="O93" s="102"/>
      <c r="P93" s="102"/>
      <c r="Q93" s="102"/>
      <c r="R93" s="102"/>
      <c r="S93" s="102"/>
      <c r="T93" s="102"/>
      <c r="U93" s="102"/>
      <c r="V93" s="102"/>
      <c r="W93" s="102"/>
      <c r="X93" s="102"/>
      <c r="Y93" s="102"/>
      <c r="Z93" s="102"/>
    </row>
    <row r="94" spans="1:26" ht="15.75" customHeight="1">
      <c r="A94" s="102"/>
      <c r="B94" s="102"/>
      <c r="C94" s="102"/>
      <c r="D94" s="102"/>
      <c r="E94" s="102"/>
      <c r="F94" s="102"/>
      <c r="G94" s="102"/>
      <c r="H94" s="102"/>
      <c r="I94" s="102"/>
      <c r="J94" s="102"/>
      <c r="K94" s="102"/>
      <c r="L94" s="102"/>
      <c r="M94" s="102"/>
      <c r="N94" s="102"/>
      <c r="O94" s="102"/>
      <c r="P94" s="102"/>
      <c r="Q94" s="102"/>
      <c r="R94" s="102"/>
      <c r="S94" s="102"/>
      <c r="T94" s="102"/>
      <c r="U94" s="102"/>
      <c r="V94" s="102"/>
      <c r="W94" s="102"/>
      <c r="X94" s="102"/>
      <c r="Y94" s="102"/>
      <c r="Z94" s="102"/>
    </row>
    <row r="95" spans="1:26" ht="15.75" customHeight="1">
      <c r="A95" s="102"/>
      <c r="B95" s="102"/>
      <c r="C95" s="102"/>
      <c r="D95" s="102"/>
      <c r="E95" s="102"/>
      <c r="F95" s="102"/>
      <c r="G95" s="102"/>
      <c r="H95" s="102"/>
      <c r="I95" s="102"/>
      <c r="J95" s="102"/>
      <c r="K95" s="102"/>
      <c r="L95" s="102"/>
      <c r="M95" s="102"/>
      <c r="N95" s="102"/>
      <c r="O95" s="102"/>
      <c r="P95" s="102"/>
      <c r="Q95" s="102"/>
      <c r="R95" s="102"/>
      <c r="S95" s="102"/>
      <c r="T95" s="102"/>
      <c r="U95" s="102"/>
      <c r="V95" s="102"/>
      <c r="W95" s="102"/>
      <c r="X95" s="102"/>
      <c r="Y95" s="102"/>
      <c r="Z95" s="102"/>
    </row>
    <row r="96" spans="1:26" ht="15.75" customHeight="1">
      <c r="A96" s="102"/>
      <c r="B96" s="102"/>
      <c r="C96" s="102"/>
      <c r="D96" s="102"/>
      <c r="E96" s="102"/>
      <c r="F96" s="102"/>
      <c r="G96" s="102"/>
      <c r="H96" s="102"/>
      <c r="I96" s="102"/>
      <c r="J96" s="102"/>
      <c r="K96" s="102"/>
      <c r="L96" s="102"/>
      <c r="M96" s="102"/>
      <c r="N96" s="102"/>
      <c r="O96" s="102"/>
      <c r="P96" s="102"/>
      <c r="Q96" s="102"/>
      <c r="R96" s="102"/>
      <c r="S96" s="102"/>
      <c r="T96" s="102"/>
      <c r="U96" s="102"/>
      <c r="V96" s="102"/>
      <c r="W96" s="102"/>
      <c r="X96" s="102"/>
      <c r="Y96" s="102"/>
      <c r="Z96" s="102"/>
    </row>
    <row r="97" spans="1:26" ht="15.75" customHeight="1">
      <c r="A97" s="102"/>
      <c r="B97" s="102"/>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row>
    <row r="98" spans="1:26" ht="15.75" customHeight="1">
      <c r="A98" s="102"/>
      <c r="B98" s="102"/>
      <c r="C98" s="102"/>
      <c r="D98" s="102"/>
      <c r="E98" s="102"/>
      <c r="F98" s="102"/>
      <c r="G98" s="102"/>
      <c r="H98" s="102"/>
      <c r="I98" s="102"/>
      <c r="J98" s="102"/>
      <c r="K98" s="102"/>
      <c r="L98" s="102"/>
      <c r="M98" s="102"/>
      <c r="N98" s="102"/>
      <c r="O98" s="102"/>
      <c r="P98" s="102"/>
      <c r="Q98" s="102"/>
      <c r="R98" s="102"/>
      <c r="S98" s="102"/>
      <c r="T98" s="102"/>
      <c r="U98" s="102"/>
      <c r="V98" s="102"/>
      <c r="W98" s="102"/>
      <c r="X98" s="102"/>
      <c r="Y98" s="102"/>
      <c r="Z98" s="102"/>
    </row>
    <row r="99" spans="1:26" ht="15.75" customHeight="1">
      <c r="A99" s="102"/>
      <c r="B99" s="102"/>
      <c r="C99" s="102"/>
      <c r="D99" s="102"/>
      <c r="E99" s="102"/>
      <c r="F99" s="102"/>
      <c r="G99" s="102"/>
      <c r="H99" s="102"/>
      <c r="I99" s="102"/>
      <c r="J99" s="102"/>
      <c r="K99" s="102"/>
      <c r="L99" s="102"/>
      <c r="M99" s="102"/>
      <c r="N99" s="102"/>
      <c r="O99" s="102"/>
      <c r="P99" s="102"/>
      <c r="Q99" s="102"/>
      <c r="R99" s="102"/>
      <c r="S99" s="102"/>
      <c r="T99" s="102"/>
      <c r="U99" s="102"/>
      <c r="V99" s="102"/>
      <c r="W99" s="102"/>
      <c r="X99" s="102"/>
      <c r="Y99" s="102"/>
      <c r="Z99" s="102"/>
    </row>
    <row r="100" spans="1:26" ht="15.75" customHeight="1">
      <c r="A100" s="102"/>
      <c r="B100" s="102"/>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c r="Z100" s="102"/>
    </row>
    <row r="101" spans="1:26" ht="15.75" customHeight="1">
      <c r="A101" s="102"/>
      <c r="B101" s="102"/>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c r="Z101" s="102"/>
    </row>
    <row r="102" spans="1:26" ht="15.75" customHeight="1">
      <c r="A102" s="102"/>
      <c r="B102" s="102"/>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c r="Z102" s="102"/>
    </row>
    <row r="103" spans="1:26" ht="15.75" customHeight="1">
      <c r="A103" s="102"/>
      <c r="B103" s="102"/>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c r="Z103" s="102"/>
    </row>
    <row r="104" spans="1:26" ht="15.75" customHeight="1">
      <c r="A104" s="102"/>
      <c r="B104" s="102"/>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c r="Z104" s="102"/>
    </row>
    <row r="105" spans="1:26" ht="15.75" customHeight="1">
      <c r="A105" s="102"/>
      <c r="B105" s="102"/>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c r="Z105" s="102"/>
    </row>
    <row r="106" spans="1:26" ht="15.75" customHeight="1">
      <c r="A106" s="102"/>
      <c r="B106" s="102"/>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row>
    <row r="107" spans="1:26" ht="15.75" customHeight="1">
      <c r="A107" s="102"/>
      <c r="B107" s="102"/>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row>
    <row r="108" spans="1:26" ht="15.75" customHeight="1">
      <c r="A108" s="102"/>
      <c r="B108" s="102"/>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row>
    <row r="109" spans="1:26" ht="15.75" customHeight="1">
      <c r="A109" s="102"/>
      <c r="B109" s="102"/>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row>
    <row r="110" spans="1:26" ht="15.75" customHeight="1">
      <c r="A110" s="102"/>
      <c r="B110" s="102"/>
      <c r="C110" s="102"/>
      <c r="D110" s="102"/>
      <c r="E110" s="102"/>
      <c r="F110" s="102"/>
      <c r="G110" s="102"/>
      <c r="H110" s="102"/>
      <c r="I110" s="102"/>
      <c r="J110" s="102"/>
      <c r="K110" s="102"/>
      <c r="L110" s="102"/>
      <c r="M110" s="102"/>
      <c r="N110" s="102"/>
      <c r="O110" s="102"/>
      <c r="P110" s="102"/>
      <c r="Q110" s="102"/>
      <c r="R110" s="102"/>
      <c r="S110" s="102"/>
      <c r="T110" s="102"/>
      <c r="U110" s="102"/>
      <c r="V110" s="102"/>
      <c r="W110" s="102"/>
      <c r="X110" s="102"/>
      <c r="Y110" s="102"/>
      <c r="Z110" s="102"/>
    </row>
    <row r="111" spans="1:26" ht="15.75" customHeight="1">
      <c r="A111" s="102"/>
      <c r="B111" s="102"/>
      <c r="C111" s="102"/>
      <c r="D111" s="102"/>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02"/>
    </row>
    <row r="112" spans="1:26" ht="15.75" customHeight="1">
      <c r="A112" s="102"/>
      <c r="B112" s="102"/>
      <c r="C112" s="102"/>
      <c r="D112" s="102"/>
      <c r="E112" s="102"/>
      <c r="F112" s="102"/>
      <c r="G112" s="102"/>
      <c r="H112" s="102"/>
      <c r="I112" s="102"/>
      <c r="J112" s="102"/>
      <c r="K112" s="102"/>
      <c r="L112" s="102"/>
      <c r="M112" s="102"/>
      <c r="N112" s="102"/>
      <c r="O112" s="102"/>
      <c r="P112" s="102"/>
      <c r="Q112" s="102"/>
      <c r="R112" s="102"/>
      <c r="S112" s="102"/>
      <c r="T112" s="102"/>
      <c r="U112" s="102"/>
      <c r="V112" s="102"/>
      <c r="W112" s="102"/>
      <c r="X112" s="102"/>
      <c r="Y112" s="102"/>
      <c r="Z112" s="102"/>
    </row>
    <row r="113" spans="1:26" ht="15.75" customHeight="1">
      <c r="A113" s="102"/>
      <c r="B113" s="102"/>
      <c r="C113" s="102"/>
      <c r="D113" s="102"/>
      <c r="E113" s="102"/>
      <c r="F113" s="102"/>
      <c r="G113" s="102"/>
      <c r="H113" s="102"/>
      <c r="I113" s="102"/>
      <c r="J113" s="102"/>
      <c r="K113" s="102"/>
      <c r="L113" s="102"/>
      <c r="M113" s="102"/>
      <c r="N113" s="102"/>
      <c r="O113" s="102"/>
      <c r="P113" s="102"/>
      <c r="Q113" s="102"/>
      <c r="R113" s="102"/>
      <c r="S113" s="102"/>
      <c r="T113" s="102"/>
      <c r="U113" s="102"/>
      <c r="V113" s="102"/>
      <c r="W113" s="102"/>
      <c r="X113" s="102"/>
      <c r="Y113" s="102"/>
      <c r="Z113" s="102"/>
    </row>
    <row r="114" spans="1:26" ht="15.75" customHeight="1">
      <c r="A114" s="102"/>
      <c r="B114" s="102"/>
      <c r="C114" s="102"/>
      <c r="D114" s="102"/>
      <c r="E114" s="102"/>
      <c r="F114" s="102"/>
      <c r="G114" s="102"/>
      <c r="H114" s="102"/>
      <c r="I114" s="102"/>
      <c r="J114" s="102"/>
      <c r="K114" s="102"/>
      <c r="L114" s="102"/>
      <c r="M114" s="102"/>
      <c r="N114" s="102"/>
      <c r="O114" s="102"/>
      <c r="P114" s="102"/>
      <c r="Q114" s="102"/>
      <c r="R114" s="102"/>
      <c r="S114" s="102"/>
      <c r="T114" s="102"/>
      <c r="U114" s="102"/>
      <c r="V114" s="102"/>
      <c r="W114" s="102"/>
      <c r="X114" s="102"/>
      <c r="Y114" s="102"/>
      <c r="Z114" s="102"/>
    </row>
    <row r="115" spans="1:26" ht="15.75" customHeight="1">
      <c r="A115" s="102"/>
      <c r="B115" s="102"/>
      <c r="C115" s="102"/>
      <c r="D115" s="102"/>
      <c r="E115" s="102"/>
      <c r="F115" s="102"/>
      <c r="G115" s="102"/>
      <c r="H115" s="102"/>
      <c r="I115" s="102"/>
      <c r="J115" s="102"/>
      <c r="K115" s="102"/>
      <c r="L115" s="102"/>
      <c r="M115" s="102"/>
      <c r="N115" s="102"/>
      <c r="O115" s="102"/>
      <c r="P115" s="102"/>
      <c r="Q115" s="102"/>
      <c r="R115" s="102"/>
      <c r="S115" s="102"/>
      <c r="T115" s="102"/>
      <c r="U115" s="102"/>
      <c r="V115" s="102"/>
      <c r="W115" s="102"/>
      <c r="X115" s="102"/>
      <c r="Y115" s="102"/>
      <c r="Z115" s="102"/>
    </row>
    <row r="116" spans="1:26" ht="15.75" customHeight="1">
      <c r="A116" s="102"/>
      <c r="B116" s="102"/>
      <c r="C116" s="102"/>
      <c r="D116" s="102"/>
      <c r="E116" s="102"/>
      <c r="F116" s="102"/>
      <c r="G116" s="102"/>
      <c r="H116" s="102"/>
      <c r="I116" s="102"/>
      <c r="J116" s="102"/>
      <c r="K116" s="102"/>
      <c r="L116" s="102"/>
      <c r="M116" s="102"/>
      <c r="N116" s="102"/>
      <c r="O116" s="102"/>
      <c r="P116" s="102"/>
      <c r="Q116" s="102"/>
      <c r="R116" s="102"/>
      <c r="S116" s="102"/>
      <c r="T116" s="102"/>
      <c r="U116" s="102"/>
      <c r="V116" s="102"/>
      <c r="W116" s="102"/>
      <c r="X116" s="102"/>
      <c r="Y116" s="102"/>
      <c r="Z116" s="102"/>
    </row>
    <row r="117" spans="1:26" ht="15.75" customHeight="1">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row>
    <row r="118" spans="1:26" ht="15.75" customHeight="1">
      <c r="A118" s="102"/>
      <c r="B118" s="102"/>
      <c r="C118" s="102"/>
      <c r="D118" s="102"/>
      <c r="E118" s="102"/>
      <c r="F118" s="102"/>
      <c r="G118" s="102"/>
      <c r="H118" s="102"/>
      <c r="I118" s="102"/>
      <c r="J118" s="102"/>
      <c r="K118" s="102"/>
      <c r="L118" s="102"/>
      <c r="M118" s="102"/>
      <c r="N118" s="102"/>
      <c r="O118" s="102"/>
      <c r="P118" s="102"/>
      <c r="Q118" s="102"/>
      <c r="R118" s="102"/>
      <c r="S118" s="102"/>
      <c r="T118" s="102"/>
      <c r="U118" s="102"/>
      <c r="V118" s="102"/>
      <c r="W118" s="102"/>
      <c r="X118" s="102"/>
      <c r="Y118" s="102"/>
      <c r="Z118" s="102"/>
    </row>
    <row r="119" spans="1:26" ht="15.75" customHeight="1">
      <c r="A119" s="102"/>
      <c r="B119" s="102"/>
      <c r="C119" s="102"/>
      <c r="D119" s="102"/>
      <c r="E119" s="102"/>
      <c r="F119" s="102"/>
      <c r="G119" s="102"/>
      <c r="H119" s="102"/>
      <c r="I119" s="102"/>
      <c r="J119" s="102"/>
      <c r="K119" s="102"/>
      <c r="L119" s="102"/>
      <c r="M119" s="102"/>
      <c r="N119" s="102"/>
      <c r="O119" s="102"/>
      <c r="P119" s="102"/>
      <c r="Q119" s="102"/>
      <c r="R119" s="102"/>
      <c r="S119" s="102"/>
      <c r="T119" s="102"/>
      <c r="U119" s="102"/>
      <c r="V119" s="102"/>
      <c r="W119" s="102"/>
      <c r="X119" s="102"/>
      <c r="Y119" s="102"/>
      <c r="Z119" s="102"/>
    </row>
    <row r="120" spans="1:26" ht="15.75" customHeight="1">
      <c r="A120" s="102"/>
      <c r="B120" s="102"/>
      <c r="C120" s="102"/>
      <c r="D120" s="102"/>
      <c r="E120" s="102"/>
      <c r="F120" s="102"/>
      <c r="G120" s="102"/>
      <c r="H120" s="102"/>
      <c r="I120" s="102"/>
      <c r="J120" s="102"/>
      <c r="K120" s="102"/>
      <c r="L120" s="102"/>
      <c r="M120" s="102"/>
      <c r="N120" s="102"/>
      <c r="O120" s="102"/>
      <c r="P120" s="102"/>
      <c r="Q120" s="102"/>
      <c r="R120" s="102"/>
      <c r="S120" s="102"/>
      <c r="T120" s="102"/>
      <c r="U120" s="102"/>
      <c r="V120" s="102"/>
      <c r="W120" s="102"/>
      <c r="X120" s="102"/>
      <c r="Y120" s="102"/>
      <c r="Z120" s="102"/>
    </row>
    <row r="121" spans="1:26" ht="15.75" customHeight="1">
      <c r="A121" s="102"/>
      <c r="B121" s="102"/>
      <c r="C121" s="102"/>
      <c r="D121" s="102"/>
      <c r="E121" s="102"/>
      <c r="F121" s="102"/>
      <c r="G121" s="102"/>
      <c r="H121" s="102"/>
      <c r="I121" s="102"/>
      <c r="J121" s="102"/>
      <c r="K121" s="102"/>
      <c r="L121" s="102"/>
      <c r="M121" s="102"/>
      <c r="N121" s="102"/>
      <c r="O121" s="102"/>
      <c r="P121" s="102"/>
      <c r="Q121" s="102"/>
      <c r="R121" s="102"/>
      <c r="S121" s="102"/>
      <c r="T121" s="102"/>
      <c r="U121" s="102"/>
      <c r="V121" s="102"/>
      <c r="W121" s="102"/>
      <c r="X121" s="102"/>
      <c r="Y121" s="102"/>
      <c r="Z121" s="102"/>
    </row>
    <row r="122" spans="1:26" ht="15.75" customHeight="1">
      <c r="A122" s="102"/>
      <c r="B122" s="102"/>
      <c r="C122" s="102"/>
      <c r="D122" s="102"/>
      <c r="E122" s="102"/>
      <c r="F122" s="102"/>
      <c r="G122" s="102"/>
      <c r="H122" s="102"/>
      <c r="I122" s="102"/>
      <c r="J122" s="102"/>
      <c r="K122" s="102"/>
      <c r="L122" s="102"/>
      <c r="M122" s="102"/>
      <c r="N122" s="102"/>
      <c r="O122" s="102"/>
      <c r="P122" s="102"/>
      <c r="Q122" s="102"/>
      <c r="R122" s="102"/>
      <c r="S122" s="102"/>
      <c r="T122" s="102"/>
      <c r="U122" s="102"/>
      <c r="V122" s="102"/>
      <c r="W122" s="102"/>
      <c r="X122" s="102"/>
      <c r="Y122" s="102"/>
      <c r="Z122" s="102"/>
    </row>
    <row r="123" spans="1:26" ht="15.75" customHeight="1">
      <c r="A123" s="102"/>
      <c r="B123" s="102"/>
      <c r="C123" s="102"/>
      <c r="D123" s="102"/>
      <c r="E123" s="102"/>
      <c r="F123" s="102"/>
      <c r="G123" s="102"/>
      <c r="H123" s="102"/>
      <c r="I123" s="102"/>
      <c r="J123" s="102"/>
      <c r="K123" s="102"/>
      <c r="L123" s="102"/>
      <c r="M123" s="102"/>
      <c r="N123" s="102"/>
      <c r="O123" s="102"/>
      <c r="P123" s="102"/>
      <c r="Q123" s="102"/>
      <c r="R123" s="102"/>
      <c r="S123" s="102"/>
      <c r="T123" s="102"/>
      <c r="U123" s="102"/>
      <c r="V123" s="102"/>
      <c r="W123" s="102"/>
      <c r="X123" s="102"/>
      <c r="Y123" s="102"/>
      <c r="Z123" s="102"/>
    </row>
    <row r="124" spans="1:26" ht="15.75" customHeight="1">
      <c r="A124" s="102"/>
      <c r="B124" s="102"/>
      <c r="C124" s="102"/>
      <c r="D124" s="102"/>
      <c r="E124" s="102"/>
      <c r="F124" s="102"/>
      <c r="G124" s="102"/>
      <c r="H124" s="102"/>
      <c r="I124" s="102"/>
      <c r="J124" s="102"/>
      <c r="K124" s="102"/>
      <c r="L124" s="102"/>
      <c r="M124" s="102"/>
      <c r="N124" s="102"/>
      <c r="O124" s="102"/>
      <c r="P124" s="102"/>
      <c r="Q124" s="102"/>
      <c r="R124" s="102"/>
      <c r="S124" s="102"/>
      <c r="T124" s="102"/>
      <c r="U124" s="102"/>
      <c r="V124" s="102"/>
      <c r="W124" s="102"/>
      <c r="X124" s="102"/>
      <c r="Y124" s="102"/>
      <c r="Z124" s="102"/>
    </row>
    <row r="125" spans="1:26" ht="15.75" customHeight="1">
      <c r="A125" s="102"/>
      <c r="B125" s="102"/>
      <c r="C125" s="102"/>
      <c r="D125" s="102"/>
      <c r="E125" s="102"/>
      <c r="F125" s="102"/>
      <c r="G125" s="102"/>
      <c r="H125" s="102"/>
      <c r="I125" s="102"/>
      <c r="J125" s="102"/>
      <c r="K125" s="102"/>
      <c r="L125" s="102"/>
      <c r="M125" s="102"/>
      <c r="N125" s="102"/>
      <c r="O125" s="102"/>
      <c r="P125" s="102"/>
      <c r="Q125" s="102"/>
      <c r="R125" s="102"/>
      <c r="S125" s="102"/>
      <c r="T125" s="102"/>
      <c r="U125" s="102"/>
      <c r="V125" s="102"/>
      <c r="W125" s="102"/>
      <c r="X125" s="102"/>
      <c r="Y125" s="102"/>
      <c r="Z125" s="102"/>
    </row>
    <row r="126" spans="1:26" ht="15.75" customHeight="1">
      <c r="A126" s="102"/>
      <c r="B126" s="102"/>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c r="Z126" s="102"/>
    </row>
    <row r="127" spans="1:26" ht="15.75" customHeight="1">
      <c r="A127" s="102"/>
      <c r="B127" s="102"/>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c r="Z127" s="102"/>
    </row>
    <row r="128" spans="1:26" ht="15.75" customHeight="1">
      <c r="A128" s="102"/>
      <c r="B128" s="102"/>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c r="Z128" s="102"/>
    </row>
    <row r="129" spans="1:26" ht="15.75" customHeight="1">
      <c r="A129" s="102"/>
      <c r="B129" s="102"/>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c r="Z129" s="102"/>
    </row>
    <row r="130" spans="1:26" ht="15.75" customHeight="1">
      <c r="A130" s="102"/>
      <c r="B130" s="102"/>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c r="Z130" s="102"/>
    </row>
    <row r="131" spans="1:26" ht="15.75" customHeight="1">
      <c r="A131" s="102"/>
      <c r="B131" s="102"/>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c r="Z131" s="102"/>
    </row>
    <row r="132" spans="1:26" ht="15.75" customHeight="1">
      <c r="A132" s="102"/>
      <c r="B132" s="102"/>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c r="Z132" s="102"/>
    </row>
    <row r="133" spans="1:26" ht="15.75" customHeight="1">
      <c r="A133" s="102"/>
      <c r="B133" s="102"/>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c r="Z133" s="102"/>
    </row>
    <row r="134" spans="1:26" ht="15.75" customHeight="1">
      <c r="A134" s="102"/>
      <c r="B134" s="102"/>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c r="Z134" s="102"/>
    </row>
    <row r="135" spans="1:26" ht="15.75" customHeight="1">
      <c r="A135" s="102"/>
      <c r="B135" s="102"/>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c r="Z135" s="102"/>
    </row>
    <row r="136" spans="1:26" ht="15.75" customHeight="1">
      <c r="A136" s="102"/>
      <c r="B136" s="102"/>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c r="Z136" s="102"/>
    </row>
    <row r="137" spans="1:26" ht="15.75" customHeight="1">
      <c r="A137" s="102"/>
      <c r="B137" s="102"/>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02"/>
    </row>
    <row r="138" spans="1:26" ht="15.75" customHeight="1">
      <c r="A138" s="102"/>
      <c r="B138" s="102"/>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c r="Z138" s="102"/>
    </row>
    <row r="139" spans="1:26" ht="15.75" customHeight="1">
      <c r="A139" s="102"/>
      <c r="B139" s="102"/>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c r="Z139" s="102"/>
    </row>
    <row r="140" spans="1:26" ht="15.75" customHeight="1">
      <c r="A140" s="102"/>
      <c r="B140" s="102"/>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c r="Z140" s="102"/>
    </row>
    <row r="141" spans="1:26" ht="15.75" customHeight="1">
      <c r="A141" s="102"/>
      <c r="B141" s="102"/>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c r="Z141" s="102"/>
    </row>
    <row r="142" spans="1:26" ht="15.75" customHeight="1">
      <c r="A142" s="102"/>
      <c r="B142" s="102"/>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c r="Z142" s="102"/>
    </row>
    <row r="143" spans="1:26" ht="15.75" customHeight="1">
      <c r="A143" s="102"/>
      <c r="B143" s="102"/>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row>
    <row r="144" spans="1:26" ht="15.75" customHeight="1">
      <c r="A144" s="102"/>
      <c r="B144" s="102"/>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02"/>
    </row>
    <row r="145" spans="1:26" ht="15.75" customHeight="1">
      <c r="A145" s="102"/>
      <c r="B145" s="102"/>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c r="Z145" s="102"/>
    </row>
    <row r="146" spans="1:26" ht="15.75" customHeight="1">
      <c r="A146" s="102"/>
      <c r="B146" s="102"/>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c r="Z146" s="102"/>
    </row>
    <row r="147" spans="1:26" ht="15.75" customHeight="1">
      <c r="A147" s="102"/>
      <c r="B147" s="102"/>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c r="Z147" s="102"/>
    </row>
    <row r="148" spans="1:26" ht="15.75" customHeight="1">
      <c r="A148" s="102"/>
      <c r="B148" s="102"/>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row>
    <row r="149" spans="1:26" ht="15.75" customHeight="1">
      <c r="A149" s="102"/>
      <c r="B149" s="102"/>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c r="Z149" s="102"/>
    </row>
    <row r="150" spans="1:26" ht="15.75" customHeight="1">
      <c r="A150" s="102"/>
      <c r="B150" s="102"/>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c r="Z150" s="102"/>
    </row>
    <row r="151" spans="1:26" ht="15.75" customHeight="1">
      <c r="A151" s="102"/>
      <c r="B151" s="102"/>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c r="Z151" s="102"/>
    </row>
    <row r="152" spans="1:26" ht="15.75" customHeight="1">
      <c r="A152" s="102"/>
      <c r="B152" s="102"/>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c r="Z152" s="102"/>
    </row>
    <row r="153" spans="1:26" ht="15.75" customHeight="1">
      <c r="A153" s="102"/>
      <c r="B153" s="102"/>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c r="Z153" s="102"/>
    </row>
    <row r="154" spans="1:26" ht="15.75" customHeight="1">
      <c r="A154" s="102"/>
      <c r="B154" s="102"/>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c r="Z154" s="102"/>
    </row>
    <row r="155" spans="1:26" ht="15.75" customHeight="1">
      <c r="A155" s="102"/>
      <c r="B155" s="102"/>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c r="Z155" s="102"/>
    </row>
    <row r="156" spans="1:26" ht="15.75" customHeight="1">
      <c r="A156" s="102"/>
      <c r="B156" s="102"/>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c r="Z156" s="102"/>
    </row>
    <row r="157" spans="1:26" ht="15.75" customHeight="1">
      <c r="A157" s="102"/>
      <c r="B157" s="102"/>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c r="Z157" s="102"/>
    </row>
    <row r="158" spans="1:26" ht="15.75" customHeight="1">
      <c r="A158" s="102"/>
      <c r="B158" s="102"/>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c r="Z158" s="102"/>
    </row>
    <row r="159" spans="1:26" ht="15.75" customHeight="1">
      <c r="A159" s="102"/>
      <c r="B159" s="102"/>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c r="Z159" s="102"/>
    </row>
    <row r="160" spans="1:26" ht="15.75" customHeight="1">
      <c r="A160" s="102"/>
      <c r="B160" s="102"/>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c r="Z160" s="102"/>
    </row>
    <row r="161" spans="1:26" ht="15.75" customHeight="1">
      <c r="A161" s="102"/>
      <c r="B161" s="102"/>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c r="Z161" s="102"/>
    </row>
    <row r="162" spans="1:26" ht="15.75" customHeight="1">
      <c r="A162" s="102"/>
      <c r="B162" s="102"/>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c r="Z162" s="102"/>
    </row>
    <row r="163" spans="1:26" ht="15.75" customHeight="1">
      <c r="A163" s="102"/>
      <c r="B163" s="102"/>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02"/>
    </row>
    <row r="164" spans="1:26" ht="15.75" customHeight="1">
      <c r="A164" s="102"/>
      <c r="B164" s="102"/>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c r="Z164" s="102"/>
    </row>
    <row r="165" spans="1:26" ht="15.75" customHeight="1">
      <c r="A165" s="102"/>
      <c r="B165" s="102"/>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row>
    <row r="166" spans="1:26" ht="15.75" customHeight="1">
      <c r="A166" s="102"/>
      <c r="B166" s="102"/>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row>
    <row r="167" spans="1:26" ht="15.75" customHeight="1">
      <c r="A167" s="102"/>
      <c r="B167" s="102"/>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row>
    <row r="168" spans="1:26" ht="15.75" customHeight="1">
      <c r="A168" s="102"/>
      <c r="B168" s="102"/>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row>
    <row r="169" spans="1:26" ht="15.75" customHeight="1">
      <c r="A169" s="102"/>
      <c r="B169" s="102"/>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row>
    <row r="170" spans="1:26" ht="15.75" customHeight="1">
      <c r="A170" s="102"/>
      <c r="B170" s="102"/>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row>
    <row r="171" spans="1:26" ht="15.75" customHeight="1">
      <c r="A171" s="102"/>
      <c r="B171" s="102"/>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row>
    <row r="172" spans="1:26" ht="15.75" customHeight="1">
      <c r="A172" s="102"/>
      <c r="B172" s="102"/>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row>
    <row r="173" spans="1:26" ht="15.75" customHeight="1">
      <c r="A173" s="102"/>
      <c r="B173" s="102"/>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row>
    <row r="174" spans="1:26" ht="15.75" customHeight="1">
      <c r="A174" s="102"/>
      <c r="B174" s="102"/>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row>
    <row r="175" spans="1:26" ht="15.75" customHeight="1">
      <c r="A175" s="102"/>
      <c r="B175" s="102"/>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row>
    <row r="176" spans="1:26" ht="15.75" customHeight="1">
      <c r="A176" s="102"/>
      <c r="B176" s="102"/>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row>
    <row r="177" spans="1:26" ht="15.75" customHeight="1">
      <c r="A177" s="102"/>
      <c r="B177" s="102"/>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row>
    <row r="178" spans="1:26" ht="15.75" customHeight="1">
      <c r="A178" s="102"/>
      <c r="B178" s="102"/>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row>
    <row r="179" spans="1:26" ht="15.75" customHeight="1">
      <c r="A179" s="102"/>
      <c r="B179" s="102"/>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row>
    <row r="180" spans="1:26" ht="15.75" customHeight="1">
      <c r="A180" s="102"/>
      <c r="B180" s="102"/>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row>
    <row r="181" spans="1:26" ht="15.75" customHeight="1">
      <c r="A181" s="102"/>
      <c r="B181" s="102"/>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row>
    <row r="182" spans="1:26" ht="15.75" customHeight="1">
      <c r="A182" s="102"/>
      <c r="B182" s="102"/>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row>
    <row r="183" spans="1:26" ht="15.75" customHeight="1">
      <c r="A183" s="102"/>
      <c r="B183" s="102"/>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row>
    <row r="184" spans="1:26" ht="15.75" customHeight="1">
      <c r="A184" s="102"/>
      <c r="B184" s="102"/>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row>
    <row r="185" spans="1:26" ht="15.75" customHeight="1">
      <c r="A185" s="102"/>
      <c r="B185" s="102"/>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row>
    <row r="186" spans="1:26" ht="15.75" customHeight="1">
      <c r="A186" s="102"/>
      <c r="B186" s="102"/>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row>
    <row r="187" spans="1:26" ht="15.75" customHeight="1">
      <c r="A187" s="102"/>
      <c r="B187" s="102"/>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row>
    <row r="188" spans="1:26" ht="15.75" customHeight="1">
      <c r="A188" s="102"/>
      <c r="B188" s="102"/>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row>
    <row r="189" spans="1:26" ht="15.75" customHeight="1">
      <c r="A189" s="102"/>
      <c r="B189" s="102"/>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row>
    <row r="190" spans="1:26" ht="15.75" customHeight="1">
      <c r="A190" s="102"/>
      <c r="B190" s="102"/>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row>
    <row r="191" spans="1:26" ht="15.75" customHeight="1">
      <c r="A191" s="102"/>
      <c r="B191" s="102"/>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row>
    <row r="192" spans="1:26" ht="15.75" customHeight="1">
      <c r="A192" s="102"/>
      <c r="B192" s="102"/>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row>
    <row r="193" spans="1:26" ht="15.75" customHeight="1">
      <c r="A193" s="102"/>
      <c r="B193" s="102"/>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row>
    <row r="194" spans="1:26" ht="15.75" customHeight="1">
      <c r="A194" s="102"/>
      <c r="B194" s="102"/>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row>
    <row r="195" spans="1:26" ht="15.75" customHeight="1">
      <c r="A195" s="102"/>
      <c r="B195" s="102"/>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row>
    <row r="196" spans="1:26" ht="15.75" customHeight="1">
      <c r="A196" s="102"/>
      <c r="B196" s="102"/>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row>
    <row r="197" spans="1:26" ht="15.75" customHeight="1">
      <c r="A197" s="102"/>
      <c r="B197" s="102"/>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row>
    <row r="198" spans="1:26" ht="15.75" customHeight="1">
      <c r="A198" s="102"/>
      <c r="B198" s="102"/>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row>
    <row r="199" spans="1:26" ht="15.75" customHeight="1">
      <c r="A199" s="102"/>
      <c r="B199" s="102"/>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row>
    <row r="200" spans="1:26" ht="15.75" customHeight="1">
      <c r="A200" s="102"/>
      <c r="B200" s="102"/>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row>
    <row r="201" spans="1:26" ht="15.75" customHeight="1">
      <c r="A201" s="102"/>
      <c r="B201" s="102"/>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row>
    <row r="202" spans="1:26" ht="15.75" customHeight="1">
      <c r="A202" s="102"/>
      <c r="B202" s="102"/>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row>
    <row r="203" spans="1:26" ht="15.75" customHeight="1">
      <c r="A203" s="102"/>
      <c r="B203" s="102"/>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row>
    <row r="204" spans="1:26" ht="15.75" customHeight="1">
      <c r="A204" s="102"/>
      <c r="B204" s="102"/>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row>
    <row r="205" spans="1:26" ht="15.75" customHeight="1">
      <c r="A205" s="102"/>
      <c r="B205" s="102"/>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row>
    <row r="206" spans="1:26" ht="15.75" customHeight="1">
      <c r="A206" s="102"/>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row>
    <row r="207" spans="1:26" ht="15.75" customHeight="1">
      <c r="A207" s="102"/>
      <c r="B207" s="102"/>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row>
    <row r="208" spans="1:26" ht="15.75" customHeight="1">
      <c r="A208" s="102"/>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row>
    <row r="209" spans="1:26" ht="15.75" customHeight="1">
      <c r="A209" s="102"/>
      <c r="B209" s="102"/>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row>
    <row r="210" spans="1:26" ht="15.75" customHeight="1">
      <c r="A210" s="102"/>
      <c r="B210" s="102"/>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row>
    <row r="211" spans="1:26" ht="15.75" customHeight="1">
      <c r="A211" s="102"/>
      <c r="B211" s="102"/>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row>
    <row r="212" spans="1:26" ht="15.75" customHeight="1">
      <c r="A212" s="102"/>
      <c r="B212" s="102"/>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row>
    <row r="213" spans="1:26" ht="15.75" customHeight="1">
      <c r="A213" s="102"/>
      <c r="B213" s="102"/>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row>
    <row r="214" spans="1:26" ht="15.75" customHeight="1">
      <c r="A214" s="102"/>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row>
    <row r="215" spans="1:26" ht="15.75" customHeight="1">
      <c r="A215" s="102"/>
      <c r="B215" s="102"/>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row>
    <row r="216" spans="1:26" ht="15.75" customHeight="1">
      <c r="A216" s="102"/>
      <c r="B216" s="102"/>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row>
    <row r="217" spans="1:26" ht="15.75" customHeight="1">
      <c r="A217" s="102"/>
      <c r="B217" s="102"/>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row>
    <row r="218" spans="1:26" ht="15.75" customHeight="1">
      <c r="A218" s="102"/>
      <c r="B218" s="102"/>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row>
    <row r="219" spans="1:26" ht="15.75" customHeight="1">
      <c r="A219" s="102"/>
      <c r="B219" s="102"/>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row>
    <row r="220" spans="1:26" ht="15.75" customHeight="1">
      <c r="A220" s="102"/>
      <c r="B220" s="102"/>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2026-03-17T21:58:03Z</dcterms:modified>
</cp:coreProperties>
</file>
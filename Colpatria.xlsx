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(Colpatria)'!$F$1:$F$56</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<sst xmlns="http://schemas.openxmlformats.org/spreadsheetml/2006/main" count="1255" uniqueCount="320">
  <si>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</si>
  <si>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</si>
  <si>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</si>
  <si>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</si>
  <si>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</si>
  <si>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</si>
  <si>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</si>
  <si>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</si>
  <si>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</si>
  <si>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</si>
  <si>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</si>
  <si>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</si>
  <si>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</si>
  <si>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</si>
  <si>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</si>
  <si>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</si>
  <si>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</si>
  <si>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</si>
  <si>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</si>
  <si>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</si>
  <si>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</si>
  <si>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</si>
  <si>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</si>
  <si>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</si>
  <si>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</si>
  <si>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</si>
  <si>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</si>
  <si>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</si>
  <si>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</si>
  <si>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</si>
  <si>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</si>
  <si>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</si>
  <si>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</si>
  <si>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</si>
  <si>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</si>
  <si>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</si>
  <si>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</si>
  <si>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</si>
  <si>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</si>
  <si>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</si>
  <si>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</si>
  <si>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</si>
  <si>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</si>
  <si>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</si>
  <si>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</si>
  <si>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</si>
  <si>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</si>
  <si>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</si>
  <si>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</si>
  <si>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</si>
  <si>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</si>
  <si>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</si>
  <si>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</si>
  <si>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</si>
  <si>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</si>
  <si>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</si>
  <si>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</si>
  <si>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</si>
  <si>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</si>
  <si>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</si>
  <si>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</si>
  <si>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</si>
  <si>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</si>
  <si>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</si>
  <si>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</si>
  <si>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</si>
  <si>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</si>
  <si>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</si>
  <si>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</si>
  <si>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</si>
  <si>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</si>
  <si>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</si>
  <si>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</si>
  <si>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</si>
  <si>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</si>
  <si>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</si>
  <si>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</si>
  <si>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</si>
  <si>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</si>
  <si>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</si>
  <si>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</si>
  <si>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</si>
  <si>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</si>
  <si>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</si>
  <si>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</si>
  <si>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</si>
  <si>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</si>
  <si>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</si>
  <si>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</si>
  <si>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</si>
  <si>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</si>
  <si>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</si>
  <si>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</si>
  <si>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</si>
  <si>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</si>
  <si>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</si>
  <si>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</si>
  <si>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</si>
  <si>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</si>
  <si>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</si>
  <si>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</si>
  <si>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</si>
  <si>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</si>
  <si>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</si>
  <si>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</si>
  <si>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</si>
  <si>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</si>
  <si>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</si>
  <si>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</si>
  <si>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</si>
  <si>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</si>
  <si>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</si>
  <si>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</si>
  <si>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</si>
  <si>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</si>
  <si>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</si>
  <si>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</si>
  <si>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</si>
  <si>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</si>
  <si>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</si>
  <si>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</si>
  <si>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</si>
  <si>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</si>
  <si>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</si>
  <si>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</si>
  <si>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</si>
  <si>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</si>
  <si>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</si>
  <si>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</si>
  <si>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</si>
  <si>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</si>
  <si>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</si>
  <si>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</si>
  <si>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</si>
  <si>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</si>
  <si>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</si>
  <si>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</si>
  <si>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</si>
  <si>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</si>
  <si>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</si>
  <si>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</si>
  <si>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</si>
  <si>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</si>
  <si>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</si>
  <si>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</si>
  <si>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</si>
  <si>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</si>
  <si>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</si>
  <si>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</si>
  <si>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</si>
  <si>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</si>
  <si>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</si>
  <si>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</si>
  <si>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</si>
  <si>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</si>
  <si>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</si>
  <si>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</si>
  <si>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</si>
  <si>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</si>
  <si>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</si>
  <si>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</si>
  <si>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</si>
  <si>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</si>
  <si>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</si>
  <si>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</si>
  <si>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</si>
  <si>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</si>
  <si>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</si>
  <si>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</si>
  <si>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</si>
  <si>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</si>
  <si>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</si>
  <si>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</si>
  <si>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</si>
  <si>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</si>
  <si>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</si>
  <si>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</si>
  <si>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</si>
  <si>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</si>
  <si>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</si>
  <si>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</si>
  <si>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</si>
  <si>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</si>
  <si>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</si>
  <si>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</si>
  <si>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</si>
  <si>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</si>
  <si>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</si>
  <si>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</si>
  <si>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</si>
  <si>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</si>
  <si>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</si>
  <si>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</si>
  <si>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</si>
  <si>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</si>
  <si>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</si>
  <si>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</si>
  <si>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</si>
  <si>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</si>
  <si>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</si>
  <si>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</si>
  <si>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</si>
  <si>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</si>
  <si>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</si>
  <si>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</si>
  <si>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</si>
  <si>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</si>
  <si>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</si>
  <si>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</si>
  <si>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</si>
  <si>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</si>
  <si>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</si>
  <si>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</si>
  <si>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</si>
  <si>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</si>
  <si>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</si>
  <si>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</si>
  <si>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</si>
  <si>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</si>
  <si>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</si>
  <si>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</si>
  <si>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24/02/2026: Se esta creando el frontend para el flujo de procesamiento de afiliaciones</t>
  </si>
  <si>
    <t>COLP26-0016</t>
  </si>
  <si>
    <t>Migrar Proceso de Novedades Access</t>
  </si>
  <si>
    <t>Se requiere hacer la migracion del modulo de access a web</t>
  </si>
  <si>
    <t>24/02/2026: Se estan creando funcionalidades para automarizar el procesamiento de novedades normales</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</si>
  <si>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</si>
  <si>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</si>
  <si>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</si>
  <si>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</si>
  <si>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</si>
  <si>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</si>
  <si>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</si>
  <si>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edvolucion para determinar como proceder con cada uno</t>
  </si>
  <si>
    <t>COLP26-0019</t>
  </si>
  <si>
    <t>Migrar el Radicador al nuevo aplicativo</t>
  </si>
  <si>
    <t>Se requiere migrar el modulo de radicacion actualmente en PHP al nuevo aplicativo de Imagine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</si>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</sst>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00FFFF"/>
        <bgColor rgb="FF00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4" xfId="0" applyFont="1" applyFill="1" applyBorder="1"/>
    <xf numFmtId="0" fontId="10" fillId="7" borderId="0" xfId="0" applyFont="1" applyFill="1"/>
    <xf numFmtId="0" fontId="15" fillId="4" borderId="4" xfId="0" applyFont="1" applyFill="1" applyBorder="1" applyAlignment="1">
      <alignment vertical="center"/>
    </xf>
    <xf numFmtId="0" fontId="12" fillId="5" borderId="4" xfId="0" applyFont="1" applyFill="1" applyBorder="1"/>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4"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4" xfId="0" applyFont="1" applyFill="1" applyBorder="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12" fillId="5" borderId="4" xfId="0" applyFont="1" applyFill="1" applyBorder="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1" fillId="8" borderId="4" xfId="0" applyFont="1" applyFill="1" applyBorder="1" applyAlignment="1">
      <alignment horizontal="center" vertical="center"/>
    </xf>
    <xf numFmtId="0" fontId="31" fillId="5" borderId="4" xfId="0" applyFont="1" applyFill="1" applyBorder="1" applyAlignment="1">
      <alignment horizontal="center" vertical="center"/>
    </xf>
    <xf numFmtId="0" fontId="32" fillId="5" borderId="4" xfId="0" applyFont="1" applyFill="1" applyBorder="1" applyAlignment="1">
      <alignment horizontal="center" vertical="center"/>
    </xf>
    <xf numFmtId="0" fontId="12" fillId="5" borderId="4" xfId="0" applyFont="1" applyFill="1" applyBorder="1" applyAlignment="1">
      <alignment vertical="center" wrapText="1"/>
    </xf>
    <xf numFmtId="0" fontId="12" fillId="5" borderId="4" xfId="0" applyFont="1" applyFill="1" applyBorder="1" applyAlignment="1">
      <alignment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xf>
    <xf numFmtId="0" fontId="15" fillId="5" borderId="4" xfId="0" applyFont="1" applyFill="1" applyBorder="1" applyAlignment="1">
      <alignment horizontal="left" vertical="top"/>
    </xf>
    <xf numFmtId="0" fontId="31" fillId="7" borderId="4" xfId="0" applyFont="1" applyFill="1" applyBorder="1" applyAlignment="1">
      <alignment horizontal="center" vertical="center"/>
    </xf>
    <xf numFmtId="0" fontId="32"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xf>
    <xf numFmtId="0" fontId="12" fillId="6" borderId="4" xfId="0" applyFont="1" applyFill="1" applyBorder="1" applyAlignment="1"/>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9" borderId="4" xfId="0" applyFont="1" applyFill="1" applyBorder="1" applyAlignment="1">
      <alignment vertical="center"/>
    </xf>
    <xf numFmtId="14" fontId="37" fillId="9" borderId="4" xfId="0" applyNumberFormat="1" applyFont="1" applyFill="1" applyBorder="1" applyAlignment="1">
      <alignment horizontal="center" vertical="center" wrapText="1"/>
    </xf>
    <xf numFmtId="14" fontId="37" fillId="9" borderId="11" xfId="0" applyNumberFormat="1" applyFont="1" applyFill="1" applyBorder="1" applyAlignment="1">
      <alignment horizontal="center" vertical="center" wrapText="1"/>
    </xf>
    <xf numFmtId="14" fontId="37" fillId="9" borderId="12" xfId="0" applyNumberFormat="1" applyFont="1" applyFill="1" applyBorder="1" applyAlignment="1">
      <alignment horizontal="center" vertical="center" wrapText="1"/>
    </xf>
    <xf numFmtId="0" fontId="37" fillId="10"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3" xfId="0" applyFont="1" applyBorder="1"/>
    <xf numFmtId="0" fontId="36" fillId="0" borderId="4" xfId="0" applyFont="1" applyBorder="1" applyAlignment="1">
      <alignment horizontal="center" vertical="center"/>
    </xf>
    <xf numFmtId="0" fontId="40" fillId="0" borderId="4" xfId="0" applyFont="1" applyBorder="1"/>
    <xf numFmtId="0" fontId="16" fillId="11"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1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5" fillId="0" borderId="0" xfId="0" applyFont="1" applyAlignment="1">
      <alignment horizontal="center" vertical="center"/>
    </xf>
    <xf numFmtId="0" fontId="16" fillId="15"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36" fillId="0" borderId="14" xfId="0" applyFont="1" applyBorder="1" applyAlignment="1">
      <alignment horizontal="center" vertical="center" wrapText="1"/>
    </xf>
    <xf numFmtId="0" fontId="39" fillId="0" borderId="15" xfId="0" applyFont="1" applyBorder="1"/>
    <xf numFmtId="0" fontId="39"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56"/>
  <sheetViews>
    <sheetView tabSelected="1" workbookViewId="0">
      <pane ySplit="1" topLeftCell="A2" activePane="bottomLeft" state="frozen"/>
      <selection pane="bottomLeft" activeCell="A3" sqref="A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98</v>
      </c>
      <c r="N2" s="28"/>
      <c r="O2" s="28"/>
      <c r="P2" s="28"/>
      <c r="Q2" s="30" t="s">
        <v>23</v>
      </c>
      <c r="R2" s="31" t="s">
        <v>319</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319</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120</v>
      </c>
      <c r="N4" s="28"/>
      <c r="O4" s="28"/>
      <c r="P4" s="28"/>
      <c r="Q4" s="48" t="s">
        <v>33</v>
      </c>
      <c r="R4" s="49" t="s">
        <v>319</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319</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50">
        <v>45870</v>
      </c>
      <c r="K6" s="50">
        <v>45877</v>
      </c>
      <c r="L6" s="50">
        <v>45954</v>
      </c>
      <c r="M6" s="29">
        <f ca="1">IF(OR(J6="",AND(L6="",TODAY()&lt;J6),AND(L6&lt;&gt;"",L6&lt;J6)),0,
   IF(L6="",
      NETWORKDAYS(J6,TODAY(),Hoja2!$A$2:$A$53),
      NETWORKDAYS(J6,L6,Hoja2!$A$2:$A$53)
   )
)</f>
        <v>58</v>
      </c>
      <c r="N6" s="50"/>
      <c r="O6" s="50">
        <v>45891</v>
      </c>
      <c r="P6" s="50">
        <v>45954</v>
      </c>
      <c r="Q6" s="45" t="s">
        <v>41</v>
      </c>
      <c r="R6" s="49" t="s">
        <v>319</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50">
        <v>45870</v>
      </c>
      <c r="K7" s="50">
        <v>45898</v>
      </c>
      <c r="L7" s="50">
        <v>45954</v>
      </c>
      <c r="M7" s="29">
        <f ca="1">IF(OR(J7="",AND(L7="",TODAY()&lt;J7),AND(L7&lt;&gt;"",L7&lt;J7)),0,
   IF(L7="",
      NETWORKDAYS(J7,TODAY(),Hoja2!$A$2:$A$53),
      NETWORKDAYS(J7,L7,Hoja2!$A$2:$A$53)
   )
)</f>
        <v>58</v>
      </c>
      <c r="N7" s="50"/>
      <c r="O7" s="50">
        <v>45873</v>
      </c>
      <c r="P7" s="50">
        <v>45957</v>
      </c>
      <c r="Q7" s="51" t="s">
        <v>45</v>
      </c>
      <c r="R7" s="46" t="s">
        <v>319</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2" t="s">
        <v>48</v>
      </c>
      <c r="E8" s="38"/>
      <c r="F8" s="39" t="s">
        <v>27</v>
      </c>
      <c r="G8" s="40">
        <v>100</v>
      </c>
      <c r="H8" s="24">
        <f>IF(OR(J8="",K8="",K8&lt;J8),0,NETWORKDAYS(J8,K8,Hoja2!$A$2:$A$53))</f>
        <v>72</v>
      </c>
      <c r="I8" s="41"/>
      <c r="J8" s="50">
        <v>45870</v>
      </c>
      <c r="K8" s="43">
        <v>45975</v>
      </c>
      <c r="L8" s="43">
        <v>46001</v>
      </c>
      <c r="M8" s="29">
        <f ca="1">IF(OR(J8="",AND(L8="",TODAY()&lt;J8),AND(L8&lt;&gt;"",L8&lt;J8)),0,
   IF(L8="",
      NETWORKDAYS(J8,TODAY(),Hoja2!$A$2:$A$53),
      NETWORKDAYS(J8,L8,Hoja2!$A$2:$A$53)
   )
)</f>
        <v>88</v>
      </c>
      <c r="N8" s="43"/>
      <c r="O8" s="43"/>
      <c r="P8" s="50">
        <v>46001</v>
      </c>
      <c r="Q8" s="51" t="s">
        <v>49</v>
      </c>
      <c r="R8" s="49" t="s">
        <v>319</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3"/>
      <c r="F9" s="22" t="s">
        <v>22</v>
      </c>
      <c r="G9" s="23">
        <v>50</v>
      </c>
      <c r="H9" s="24">
        <f>IF(OR(J9="",K9="",K9&lt;J9),0,NETWORKDAYS(J9,K9,Hoja2!$A$2:$A$53))</f>
        <v>63</v>
      </c>
      <c r="I9" s="25"/>
      <c r="J9" s="54">
        <v>45870</v>
      </c>
      <c r="K9" s="27">
        <v>45961</v>
      </c>
      <c r="L9" s="28"/>
      <c r="M9" s="29">
        <f ca="1">IF(OR(J9="",AND(L9="",TODAY()&lt;J9),AND(L9&lt;&gt;"",L9&lt;J9)),0,
   IF(L9="",
      NETWORKDAYS(J9,TODAY(),Hoja2!$A$2:$A$53),
      NETWORKDAYS(J9,L9,Hoja2!$A$2:$A$53)
   )
)</f>
        <v>139</v>
      </c>
      <c r="N9" s="28"/>
      <c r="O9" s="28"/>
      <c r="P9" s="55"/>
      <c r="Q9" s="48" t="s">
        <v>53</v>
      </c>
      <c r="R9" s="46" t="s">
        <v>319</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6"/>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7"/>
      <c r="O10" s="57"/>
      <c r="P10" s="57"/>
      <c r="Q10" s="51" t="s">
        <v>57</v>
      </c>
      <c r="R10" s="49" t="s">
        <v>319</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8"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7"/>
      <c r="Q11" s="45" t="s">
        <v>61</v>
      </c>
      <c r="R11" s="46" t="s">
        <v>319</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9"/>
      <c r="F12" s="60" t="s">
        <v>27</v>
      </c>
      <c r="G12" s="40">
        <v>100</v>
      </c>
      <c r="H12" s="24">
        <f>IF(OR(J12="",K12="",K12&lt;J12),0,NETWORKDAYS(J12,K12,Hoja2!$A$2:$A$53))</f>
        <v>4</v>
      </c>
      <c r="I12" s="57"/>
      <c r="J12" s="42">
        <v>45951</v>
      </c>
      <c r="K12" s="42">
        <v>45954</v>
      </c>
      <c r="L12" s="42">
        <v>45954</v>
      </c>
      <c r="M12" s="29">
        <f ca="1">IF(OR(J12="",AND(L12="",TODAY()&lt;J12),AND(L12&lt;&gt;"",L12&lt;J12)),0,
   IF(L12="",
      NETWORKDAYS(J12,TODAY(),Hoja2!$A$2:$A$53),
      NETWORKDAYS(J12,L12,Hoja2!$A$2:$A$53)
   )
)</f>
        <v>4</v>
      </c>
      <c r="N12" s="44"/>
      <c r="O12" s="44"/>
      <c r="P12" s="57"/>
      <c r="Q12" s="51" t="s">
        <v>65</v>
      </c>
      <c r="R12" s="49" t="s">
        <v>319</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9"/>
      <c r="F13" s="60" t="s">
        <v>27</v>
      </c>
      <c r="G13" s="40">
        <v>100</v>
      </c>
      <c r="H13" s="24">
        <f>IF(OR(J13="",K13="",K13&lt;J13),0,NETWORKDAYS(J13,K13,Hoja2!$A$2:$A$53))</f>
        <v>5</v>
      </c>
      <c r="I13" s="57"/>
      <c r="J13" s="50">
        <v>45950</v>
      </c>
      <c r="K13" s="43">
        <v>45954</v>
      </c>
      <c r="L13" s="43">
        <v>45954</v>
      </c>
      <c r="M13" s="29">
        <f ca="1">IF(OR(J13="",AND(L13="",TODAY()&lt;J13),AND(L13&lt;&gt;"",L13&lt;J13)),0,
   IF(L13="",
      NETWORKDAYS(J13,TODAY(),Hoja2!$A$2:$A$53),
      NETWORKDAYS(J13,L13,Hoja2!$A$2:$A$53)
   )
)</f>
        <v>5</v>
      </c>
      <c r="N13" s="44"/>
      <c r="O13" s="44"/>
      <c r="P13" s="57"/>
      <c r="Q13" s="51" t="s">
        <v>69</v>
      </c>
      <c r="R13" s="46" t="s">
        <v>319</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1"/>
      <c r="F14" s="60" t="s">
        <v>27</v>
      </c>
      <c r="G14" s="40">
        <v>100</v>
      </c>
      <c r="H14" s="24">
        <f>IF(OR(J14="",K14="",K14&lt;J14),0,NETWORKDAYS(J14,K14,Hoja2!$A$2:$A$53))</f>
        <v>3</v>
      </c>
      <c r="I14" s="57"/>
      <c r="J14" s="50">
        <v>45952</v>
      </c>
      <c r="K14" s="43">
        <v>45954</v>
      </c>
      <c r="L14" s="43">
        <v>45954</v>
      </c>
      <c r="M14" s="29">
        <f ca="1">IF(OR(J14="",AND(L14="",TODAY()&lt;J14),AND(L14&lt;&gt;"",L14&lt;J14)),0,
   IF(L14="",
      NETWORKDAYS(J14,TODAY(),Hoja2!$A$2:$A$53),
      NETWORKDAYS(J14,L14,Hoja2!$A$2:$A$53)
   )
)</f>
        <v>3</v>
      </c>
      <c r="N14" s="44"/>
      <c r="O14" s="44"/>
      <c r="P14" s="57"/>
      <c r="Q14" s="45" t="s">
        <v>73</v>
      </c>
      <c r="R14" s="49" t="s">
        <v>319</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2"/>
      <c r="F15" s="60" t="s">
        <v>27</v>
      </c>
      <c r="G15" s="40">
        <v>100</v>
      </c>
      <c r="H15" s="24">
        <f>IF(OR(J15="",K15="",K15&lt;J15),0,NETWORKDAYS(J15,K15,Hoja2!$A$2:$A$53))</f>
        <v>5</v>
      </c>
      <c r="I15" s="57"/>
      <c r="J15" s="50">
        <v>45950</v>
      </c>
      <c r="K15" s="43">
        <v>45954</v>
      </c>
      <c r="L15" s="43">
        <v>45954</v>
      </c>
      <c r="M15" s="29">
        <f ca="1">IF(OR(J15="",AND(L15="",TODAY()&lt;J15),AND(L15&lt;&gt;"",L15&lt;J15)),0,
   IF(L15="",
      NETWORKDAYS(J15,TODAY(),Hoja2!$A$2:$A$53),
      NETWORKDAYS(J15,L15,Hoja2!$A$2:$A$53)
   )
)</f>
        <v>5</v>
      </c>
      <c r="N15" s="44"/>
      <c r="O15" s="44"/>
      <c r="P15" s="57"/>
      <c r="Q15" s="45" t="s">
        <v>77</v>
      </c>
      <c r="R15" s="46" t="s">
        <v>319</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60" t="s">
        <v>27</v>
      </c>
      <c r="G16" s="40">
        <v>100</v>
      </c>
      <c r="H16" s="24">
        <f>IF(OR(J16="",K16="",K16&lt;J16),0,NETWORKDAYS(J16,K16,Hoja2!$A$2:$A$53))</f>
        <v>1</v>
      </c>
      <c r="I16" s="57"/>
      <c r="J16" s="50">
        <v>45954</v>
      </c>
      <c r="K16" s="43">
        <v>45954</v>
      </c>
      <c r="L16" s="43">
        <v>45954</v>
      </c>
      <c r="M16" s="29">
        <f ca="1">IF(OR(J16="",AND(L16="",TODAY()&lt;J16),AND(L16&lt;&gt;"",L16&lt;J16)),0,
   IF(L16="",
      NETWORKDAYS(J16,TODAY(),Hoja2!$A$2:$A$53),
      NETWORKDAYS(J16,L16,Hoja2!$A$2:$A$53)
   )
)</f>
        <v>1</v>
      </c>
      <c r="N16" s="43"/>
      <c r="O16" s="43">
        <v>45954</v>
      </c>
      <c r="P16" s="50">
        <v>45954</v>
      </c>
      <c r="Q16" s="45" t="s">
        <v>81</v>
      </c>
      <c r="R16" s="49" t="s">
        <v>319</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60" t="s">
        <v>27</v>
      </c>
      <c r="G17" s="40">
        <v>100</v>
      </c>
      <c r="H17" s="24">
        <f>IF(OR(J17="",K17="",K17&lt;J17),0,NETWORKDAYS(J17,K17,Hoja2!$A$2:$A$53))</f>
        <v>5</v>
      </c>
      <c r="I17" s="57"/>
      <c r="J17" s="50">
        <v>45957</v>
      </c>
      <c r="K17" s="50">
        <v>45961</v>
      </c>
      <c r="L17" s="50">
        <v>45961</v>
      </c>
      <c r="M17" s="29">
        <f ca="1">IF(OR(J17="",AND(L17="",TODAY()&lt;J17),AND(L17&lt;&gt;"",L17&lt;J17)),0,
   IF(L17="",
      NETWORKDAYS(J17,TODAY(),Hoja2!$A$2:$A$53),
      NETWORKDAYS(J17,L17,Hoja2!$A$2:$A$53)
   )
)</f>
        <v>5</v>
      </c>
      <c r="N17" s="50"/>
      <c r="O17" s="50">
        <v>45961</v>
      </c>
      <c r="P17" s="50">
        <v>45964</v>
      </c>
      <c r="Q17" s="45" t="s">
        <v>85</v>
      </c>
      <c r="R17" s="46" t="s">
        <v>319</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3" t="s">
        <v>89</v>
      </c>
      <c r="G18" s="23">
        <v>80</v>
      </c>
      <c r="H18" s="24">
        <f>IF(OR(J18="",K18="",K18&lt;J18),0,NETWORKDAYS(J18,K18,Hoja2!$A$2:$A$53))</f>
        <v>5</v>
      </c>
      <c r="I18" s="55"/>
      <c r="J18" s="54">
        <v>45957</v>
      </c>
      <c r="K18" s="54">
        <v>45961</v>
      </c>
      <c r="L18" s="55"/>
      <c r="M18" s="29">
        <f ca="1">IF(OR(J18="",AND(L18="",TODAY()&lt;J18),AND(L18&lt;&gt;"",L18&lt;J18)),0,
   IF(L18="",
      NETWORKDAYS(J18,TODAY(),Hoja2!$A$2:$A$53),
      NETWORKDAYS(J18,L18,Hoja2!$A$2:$A$53)
   )
)</f>
        <v>81</v>
      </c>
      <c r="N18" s="55"/>
      <c r="O18" s="55"/>
      <c r="P18" s="55"/>
      <c r="Q18" s="30" t="s">
        <v>90</v>
      </c>
      <c r="R18" s="49" t="s">
        <v>319</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4"/>
      <c r="F19" s="58" t="s">
        <v>27</v>
      </c>
      <c r="G19" s="40">
        <v>100</v>
      </c>
      <c r="H19" s="24">
        <f>IF(OR(J19="",K19="",K19&lt;J19),0,NETWORKDAYS(J19,K19,Hoja2!$A$2:$A$53))</f>
        <v>5</v>
      </c>
      <c r="I19" s="57"/>
      <c r="J19" s="50">
        <v>45957</v>
      </c>
      <c r="K19" s="50">
        <v>45961</v>
      </c>
      <c r="L19" s="50">
        <v>45961</v>
      </c>
      <c r="M19" s="29">
        <f ca="1">IF(OR(J19="",AND(L19="",TODAY()&lt;J19),AND(L19&lt;&gt;"",L19&lt;J19)),0,
   IF(L19="",
      NETWORKDAYS(J19,TODAY(),Hoja2!$A$2:$A$53),
      NETWORKDAYS(J19,L19,Hoja2!$A$2:$A$53)
   )
)</f>
        <v>5</v>
      </c>
      <c r="N19" s="50"/>
      <c r="O19" s="50">
        <v>45961</v>
      </c>
      <c r="P19" s="50">
        <v>45964</v>
      </c>
      <c r="Q19" s="45" t="s">
        <v>94</v>
      </c>
      <c r="R19" s="46" t="s">
        <v>319</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5" t="s">
        <v>97</v>
      </c>
      <c r="E20" s="64"/>
      <c r="F20" s="58" t="s">
        <v>27</v>
      </c>
      <c r="G20" s="66">
        <v>100</v>
      </c>
      <c r="H20" s="24">
        <f>IF(OR(J20="",K20="",K20&lt;J20),0,NETWORKDAYS(J20,K20,Hoja2!$A$2:$A$53))</f>
        <v>5</v>
      </c>
      <c r="I20" s="57"/>
      <c r="J20" s="50">
        <v>45957</v>
      </c>
      <c r="K20" s="50">
        <v>45961</v>
      </c>
      <c r="L20" s="50">
        <v>45961</v>
      </c>
      <c r="M20" s="29">
        <f ca="1">IF(OR(J20="",AND(L20="",TODAY()&lt;J20),AND(L20&lt;&gt;"",L20&lt;J20)),0,
   IF(L20="",
      NETWORKDAYS(J20,TODAY(),Hoja2!$A$2:$A$53),
      NETWORKDAYS(J20,L20,Hoja2!$A$2:$A$53)
   )
)</f>
        <v>5</v>
      </c>
      <c r="N20" s="50"/>
      <c r="O20" s="50">
        <v>45961</v>
      </c>
      <c r="P20" s="50">
        <v>45964</v>
      </c>
      <c r="Q20" s="45" t="s">
        <v>98</v>
      </c>
      <c r="R20" s="49" t="s">
        <v>319</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7" t="s">
        <v>18</v>
      </c>
      <c r="B21" s="35" t="s">
        <v>99</v>
      </c>
      <c r="C21" s="36" t="s">
        <v>100</v>
      </c>
      <c r="D21" s="37" t="s">
        <v>101</v>
      </c>
      <c r="E21" s="64"/>
      <c r="F21" s="58" t="s">
        <v>27</v>
      </c>
      <c r="G21" s="66">
        <v>100</v>
      </c>
      <c r="H21" s="24">
        <f>IF(OR(J21="",K21="",K21&lt;J21),0,NETWORKDAYS(J21,K21,Hoja2!$A$2:$A$53))</f>
        <v>5</v>
      </c>
      <c r="I21" s="57"/>
      <c r="J21" s="50">
        <v>45957</v>
      </c>
      <c r="K21" s="50">
        <v>45961</v>
      </c>
      <c r="L21" s="50">
        <v>45961</v>
      </c>
      <c r="M21" s="29">
        <f ca="1">IF(OR(J21="",AND(L21="",TODAY()&lt;J21),AND(L21&lt;&gt;"",L21&lt;J21)),0,
   IF(L21="",
      NETWORKDAYS(J21,TODAY(),Hoja2!$A$2:$A$53),
      NETWORKDAYS(J21,L21,Hoja2!$A$2:$A$53)
   )
)</f>
        <v>5</v>
      </c>
      <c r="N21" s="50"/>
      <c r="O21" s="50">
        <v>45961</v>
      </c>
      <c r="P21" s="50">
        <v>45964</v>
      </c>
      <c r="Q21" s="45" t="s">
        <v>102</v>
      </c>
      <c r="R21" s="46" t="s">
        <v>319</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7" t="s">
        <v>18</v>
      </c>
      <c r="B22" s="35" t="s">
        <v>103</v>
      </c>
      <c r="C22" s="36" t="s">
        <v>104</v>
      </c>
      <c r="D22" s="37" t="s">
        <v>105</v>
      </c>
      <c r="E22" s="64"/>
      <c r="F22" s="58" t="s">
        <v>27</v>
      </c>
      <c r="G22" s="66">
        <v>100</v>
      </c>
      <c r="H22" s="24">
        <f>IF(OR(J22="",K22="",K22&lt;J22),0,NETWORKDAYS(J22,K22,Hoja2!$A$2:$A$53))</f>
        <v>5</v>
      </c>
      <c r="I22" s="57"/>
      <c r="J22" s="50">
        <v>45957</v>
      </c>
      <c r="K22" s="50">
        <v>45961</v>
      </c>
      <c r="L22" s="50">
        <v>45961</v>
      </c>
      <c r="M22" s="29">
        <f ca="1">IF(OR(J22="",AND(L22="",TODAY()&lt;J22),AND(L22&lt;&gt;"",L22&lt;J22)),0,
   IF(L22="",
      NETWORKDAYS(J22,TODAY(),Hoja2!$A$2:$A$53),
      NETWORKDAYS(J22,L22,Hoja2!$A$2:$A$53)
   )
)</f>
        <v>5</v>
      </c>
      <c r="N22" s="50"/>
      <c r="O22" s="50">
        <v>45961</v>
      </c>
      <c r="P22" s="50">
        <v>45964</v>
      </c>
      <c r="Q22" s="45" t="s">
        <v>106</v>
      </c>
      <c r="R22" s="49" t="s">
        <v>319</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8" t="s">
        <v>18</v>
      </c>
      <c r="B23" s="18" t="s">
        <v>107</v>
      </c>
      <c r="C23" s="19" t="s">
        <v>108</v>
      </c>
      <c r="D23" s="20" t="s">
        <v>109</v>
      </c>
      <c r="E23" s="69"/>
      <c r="F23" s="63" t="s">
        <v>22</v>
      </c>
      <c r="G23" s="70">
        <v>0</v>
      </c>
      <c r="H23" s="24">
        <f>IF(OR(J23="",K23="",K23&lt;J23),0,NETWORKDAYS(J23,K23,Hoja2!$A$2:$A$53))</f>
        <v>23</v>
      </c>
      <c r="I23" s="55"/>
      <c r="J23" s="54">
        <v>45957</v>
      </c>
      <c r="K23" s="54">
        <v>45989</v>
      </c>
      <c r="L23" s="55"/>
      <c r="M23" s="29">
        <f ca="1">IF(OR(J23="",AND(L23="",TODAY()&lt;J23),AND(L23&lt;&gt;"",L23&lt;J23)),0,
   IF(L23="",
      NETWORKDAYS(J23,TODAY(),Hoja2!$A$2:$A$53),
      NETWORKDAYS(J23,L23,Hoja2!$A$2:$A$53)
   )
)</f>
        <v>81</v>
      </c>
      <c r="N23" s="55"/>
      <c r="O23" s="55"/>
      <c r="P23" s="55"/>
      <c r="Q23" s="71"/>
      <c r="R23" s="72" t="s">
        <v>319</v>
      </c>
      <c r="S23" s="73"/>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7" t="s">
        <v>18</v>
      </c>
      <c r="B24" s="35" t="s">
        <v>110</v>
      </c>
      <c r="C24" s="74" t="s">
        <v>111</v>
      </c>
      <c r="D24" s="65" t="s">
        <v>112</v>
      </c>
      <c r="E24" s="75"/>
      <c r="F24" s="51" t="s">
        <v>27</v>
      </c>
      <c r="G24" s="66">
        <v>100</v>
      </c>
      <c r="H24" s="24">
        <f>IF(OR(J24="",K24="",K24&lt;J24),0,NETWORKDAYS(J24,K24,Hoja2!$A$2:$A$53))</f>
        <v>2</v>
      </c>
      <c r="I24" s="57"/>
      <c r="J24" s="50">
        <v>45966</v>
      </c>
      <c r="K24" s="50">
        <v>45967</v>
      </c>
      <c r="L24" s="50">
        <v>45967</v>
      </c>
      <c r="M24" s="29">
        <f ca="1">IF(OR(J24="",AND(L24="",TODAY()&lt;J24),AND(L24&lt;&gt;"",L24&lt;J24)),0,
   IF(L24="",
      NETWORKDAYS(J24,TODAY(),Hoja2!$A$2:$A$53),
      NETWORKDAYS(J24,L24,Hoja2!$A$2:$A$53)
   )
)</f>
        <v>2</v>
      </c>
      <c r="N24" s="57"/>
      <c r="O24" s="57"/>
      <c r="P24" s="50">
        <v>45966</v>
      </c>
      <c r="Q24" s="45" t="s">
        <v>113</v>
      </c>
      <c r="R24" s="49" t="s">
        <v>319</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6" t="s">
        <v>18</v>
      </c>
      <c r="B25" s="35" t="s">
        <v>114</v>
      </c>
      <c r="C25" s="74" t="s">
        <v>115</v>
      </c>
      <c r="D25" s="65" t="s">
        <v>116</v>
      </c>
      <c r="E25" s="75"/>
      <c r="F25" s="51" t="s">
        <v>27</v>
      </c>
      <c r="G25" s="66">
        <v>100</v>
      </c>
      <c r="H25" s="24">
        <f>IF(OR(J25="",K25="",K25&lt;J25),0,NETWORKDAYS(J25,K25,Hoja2!$A$2:$A$53))</f>
        <v>2</v>
      </c>
      <c r="I25" s="57"/>
      <c r="J25" s="50">
        <v>45965</v>
      </c>
      <c r="K25" s="50">
        <v>45966</v>
      </c>
      <c r="L25" s="50">
        <v>45966</v>
      </c>
      <c r="M25" s="29">
        <f ca="1">IF(OR(J25="",AND(L25="",TODAY()&lt;J25),AND(L25&lt;&gt;"",L25&lt;J25)),0,
   IF(L25="",
      NETWORKDAYS(J25,TODAY(),Hoja2!$A$2:$A$53),
      NETWORKDAYS(J25,L25,Hoja2!$A$2:$A$53)
   )
)</f>
        <v>2</v>
      </c>
      <c r="N25" s="50"/>
      <c r="O25" s="50">
        <v>45966</v>
      </c>
      <c r="P25" s="50">
        <v>45966</v>
      </c>
      <c r="Q25" s="45" t="s">
        <v>117</v>
      </c>
      <c r="R25" s="46" t="s">
        <v>319</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6" t="s">
        <v>18</v>
      </c>
      <c r="B26" s="35" t="s">
        <v>118</v>
      </c>
      <c r="C26" s="74" t="s">
        <v>119</v>
      </c>
      <c r="D26" s="65" t="s">
        <v>120</v>
      </c>
      <c r="E26" s="75"/>
      <c r="F26" s="51" t="s">
        <v>27</v>
      </c>
      <c r="G26" s="66">
        <v>100</v>
      </c>
      <c r="H26" s="24">
        <f>IF(OR(J26="",K26="",K26&lt;J26),0,NETWORKDAYS(J26,K26,Hoja2!$A$2:$A$53))</f>
        <v>2</v>
      </c>
      <c r="I26" s="57"/>
      <c r="J26" s="50">
        <v>45967</v>
      </c>
      <c r="K26" s="50">
        <v>45968</v>
      </c>
      <c r="L26" s="50">
        <v>45968</v>
      </c>
      <c r="M26" s="29">
        <f ca="1">IF(OR(J26="",AND(L26="",TODAY()&lt;J26),AND(L26&lt;&gt;"",L26&lt;J26)),0,
   IF(L26="",
      NETWORKDAYS(J26,TODAY(),Hoja2!$A$2:$A$53),
      NETWORKDAYS(J26,L26,Hoja2!$A$2:$A$53)
   )
)</f>
        <v>2</v>
      </c>
      <c r="N26" s="50"/>
      <c r="O26" s="50">
        <v>45968</v>
      </c>
      <c r="P26" s="50">
        <v>45968</v>
      </c>
      <c r="Q26" s="45" t="s">
        <v>121</v>
      </c>
      <c r="R26" s="49" t="s">
        <v>319</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6" t="s">
        <v>18</v>
      </c>
      <c r="B27" s="77" t="s">
        <v>122</v>
      </c>
      <c r="C27" s="74" t="s">
        <v>123</v>
      </c>
      <c r="D27" s="65" t="s">
        <v>124</v>
      </c>
      <c r="E27" s="75"/>
      <c r="F27" s="51" t="s">
        <v>27</v>
      </c>
      <c r="G27" s="66">
        <v>100</v>
      </c>
      <c r="H27" s="24">
        <f>IF(OR(J27="",K27="",K27&lt;J27),0,NETWORKDAYS(J27,K27,Hoja2!$A$2:$A$53))</f>
        <v>1</v>
      </c>
      <c r="I27" s="57"/>
      <c r="J27" s="50">
        <v>45875</v>
      </c>
      <c r="K27" s="50">
        <v>45876</v>
      </c>
      <c r="L27" s="50">
        <v>45876</v>
      </c>
      <c r="M27" s="29">
        <f ca="1">IF(OR(J27="",AND(L27="",TODAY()&lt;J27),AND(L27&lt;&gt;"",L27&lt;J27)),0,
   IF(L27="",
      NETWORKDAYS(J27,TODAY(),Hoja2!$A$2:$A$53),
      NETWORKDAYS(J27,L27,Hoja2!$A$2:$A$53)
   )
)</f>
        <v>1</v>
      </c>
      <c r="N27" s="50"/>
      <c r="O27" s="50">
        <v>45875</v>
      </c>
      <c r="P27" s="50">
        <v>45876</v>
      </c>
      <c r="Q27" s="45" t="s">
        <v>125</v>
      </c>
      <c r="R27" s="46" t="s">
        <v>319</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8" t="s">
        <v>18</v>
      </c>
      <c r="B28" s="79" t="s">
        <v>126</v>
      </c>
      <c r="C28" s="74" t="s">
        <v>127</v>
      </c>
      <c r="D28" s="65" t="s">
        <v>128</v>
      </c>
      <c r="E28" s="80"/>
      <c r="F28" s="51" t="s">
        <v>27</v>
      </c>
      <c r="G28" s="66">
        <v>100</v>
      </c>
      <c r="H28" s="24">
        <f>IF(OR(J28="",K28="",K28&lt;J28),0,NETWORKDAYS(J28,K28,Hoja2!$A$2:$A$53))</f>
        <v>1</v>
      </c>
      <c r="I28" s="57"/>
      <c r="J28" s="50">
        <v>45989</v>
      </c>
      <c r="K28" s="50">
        <v>45989</v>
      </c>
      <c r="L28" s="50">
        <v>45989</v>
      </c>
      <c r="M28" s="29">
        <f ca="1">IF(OR(J28="",AND(L28="",TODAY()&lt;J28),AND(L28&lt;&gt;"",L28&lt;J28)),0,
   IF(L28="",
      NETWORKDAYS(J28,TODAY(),Hoja2!$A$2:$A$53),
      NETWORKDAYS(J28,L28,Hoja2!$A$2:$A$53)
   )
)</f>
        <v>1</v>
      </c>
      <c r="N28" s="50"/>
      <c r="O28" s="50">
        <v>45989</v>
      </c>
      <c r="P28" s="50">
        <v>45989</v>
      </c>
      <c r="Q28" s="45" t="s">
        <v>129</v>
      </c>
      <c r="R28" s="49" t="s">
        <v>319</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6" t="s">
        <v>18</v>
      </c>
      <c r="B29" s="77" t="s">
        <v>130</v>
      </c>
      <c r="C29" s="74" t="s">
        <v>131</v>
      </c>
      <c r="D29" s="65" t="s">
        <v>132</v>
      </c>
      <c r="E29" s="75"/>
      <c r="F29" s="51" t="s">
        <v>27</v>
      </c>
      <c r="G29" s="66">
        <v>100</v>
      </c>
      <c r="H29" s="24">
        <f>IF(OR(J29="",K29="",K29&lt;J29),0,NETWORKDAYS(J29,K29,Hoja2!$A$2:$A$53))</f>
        <v>1</v>
      </c>
      <c r="I29" s="57"/>
      <c r="J29" s="50">
        <v>45989</v>
      </c>
      <c r="K29" s="50">
        <v>45989</v>
      </c>
      <c r="L29" s="50">
        <v>45989</v>
      </c>
      <c r="M29" s="29">
        <f ca="1">IF(OR(J29="",AND(L29="",TODAY()&lt;J29),AND(L29&lt;&gt;"",L29&lt;J29)),0,
   IF(L29="",
      NETWORKDAYS(J29,TODAY(),Hoja2!$A$2:$A$53),
      NETWORKDAYS(J29,L29,Hoja2!$A$2:$A$53)
   )
)</f>
        <v>1</v>
      </c>
      <c r="N29" s="50"/>
      <c r="O29" s="50">
        <v>45989</v>
      </c>
      <c r="P29" s="50">
        <v>46000</v>
      </c>
      <c r="Q29" s="45" t="s">
        <v>133</v>
      </c>
      <c r="R29" s="46" t="s">
        <v>319</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76" t="s">
        <v>18</v>
      </c>
      <c r="B30" s="77" t="s">
        <v>134</v>
      </c>
      <c r="C30" s="74" t="s">
        <v>135</v>
      </c>
      <c r="D30" s="65" t="s">
        <v>136</v>
      </c>
      <c r="E30" s="75"/>
      <c r="F30" s="51" t="s">
        <v>27</v>
      </c>
      <c r="G30" s="66">
        <v>100</v>
      </c>
      <c r="H30" s="81">
        <f>IF(OR(J30="",K30="",K30&lt;J30),0,NETWORKDAYS(J30,K30,Hoja2!$A$2:$A$53))</f>
        <v>1</v>
      </c>
      <c r="I30" s="57"/>
      <c r="J30" s="50">
        <v>45989</v>
      </c>
      <c r="K30" s="50">
        <v>45989</v>
      </c>
      <c r="L30" s="50">
        <v>45989</v>
      </c>
      <c r="M30" s="82">
        <f ca="1">IF(OR(J30="",AND(L30="",TODAY()&lt;J30),AND(L30&lt;&gt;"",L30&lt;J30)),0,
   IF(L30="",
      NETWORKDAYS(J30,TODAY(),Hoja2!$A$2:$A$53),
      NETWORKDAYS(J30,L30,Hoja2!$A$2:$A$53)
   )
)</f>
        <v>1</v>
      </c>
      <c r="N30" s="50"/>
      <c r="O30" s="50">
        <v>45989</v>
      </c>
      <c r="P30" s="50">
        <v>46052</v>
      </c>
      <c r="Q30" s="45" t="s">
        <v>137</v>
      </c>
      <c r="R30" s="49" t="s">
        <v>319</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6" t="s">
        <v>18</v>
      </c>
      <c r="B31" s="77" t="s">
        <v>138</v>
      </c>
      <c r="C31" s="74" t="s">
        <v>139</v>
      </c>
      <c r="D31" s="65" t="s">
        <v>140</v>
      </c>
      <c r="E31" s="75"/>
      <c r="F31" s="51" t="s">
        <v>27</v>
      </c>
      <c r="G31" s="66">
        <v>100</v>
      </c>
      <c r="H31" s="24">
        <f>IF(OR(J31="",K31="",K31&lt;J31),0,NETWORKDAYS(J31,K31,Hoja2!$A$2:$A$53))</f>
        <v>1</v>
      </c>
      <c r="I31" s="57"/>
      <c r="J31" s="50">
        <v>45995</v>
      </c>
      <c r="K31" s="50">
        <v>45995</v>
      </c>
      <c r="L31" s="50">
        <v>45995</v>
      </c>
      <c r="M31" s="29">
        <f ca="1">IF(OR(J31="",AND(L31="",TODAY()&lt;J31),AND(L31&lt;&gt;"",L31&lt;J31)),0,
   IF(L31="",
      NETWORKDAYS(J31,TODAY(),Hoja2!$A$2:$A$53),
      NETWORKDAYS(J31,L31,Hoja2!$A$2:$A$53)
   )
)</f>
        <v>1</v>
      </c>
      <c r="N31" s="50"/>
      <c r="O31" s="50">
        <v>45995</v>
      </c>
      <c r="P31" s="50">
        <v>45995</v>
      </c>
      <c r="Q31" s="45" t="s">
        <v>141</v>
      </c>
      <c r="R31" s="46" t="s">
        <v>319</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6" t="s">
        <v>18</v>
      </c>
      <c r="B32" s="77" t="s">
        <v>142</v>
      </c>
      <c r="C32" s="74" t="s">
        <v>143</v>
      </c>
      <c r="D32" s="65" t="s">
        <v>144</v>
      </c>
      <c r="E32" s="75"/>
      <c r="F32" s="51" t="s">
        <v>27</v>
      </c>
      <c r="G32" s="66">
        <v>100</v>
      </c>
      <c r="H32" s="24">
        <f>IF(OR(J32="",K32="",K32&lt;J32),0,NETWORKDAYS(J32,K32,Hoja2!$A$2:$A$53))</f>
        <v>1</v>
      </c>
      <c r="I32" s="57"/>
      <c r="J32" s="50">
        <v>46002</v>
      </c>
      <c r="K32" s="50">
        <v>46002</v>
      </c>
      <c r="L32" s="50">
        <v>46002</v>
      </c>
      <c r="M32" s="29">
        <f ca="1">IF(OR(J32="",AND(L32="",TODAY()&lt;J32),AND(L32&lt;&gt;"",L32&lt;J32)),0,
   IF(L32="",
      NETWORKDAYS(J32,TODAY(),Hoja2!$A$2:$A$53),
      NETWORKDAYS(J32,L32,Hoja2!$A$2:$A$53)
   )
)</f>
        <v>1</v>
      </c>
      <c r="N32" s="50"/>
      <c r="O32" s="50">
        <v>46002</v>
      </c>
      <c r="P32" s="50">
        <v>46002</v>
      </c>
      <c r="Q32" s="45" t="s">
        <v>145</v>
      </c>
      <c r="R32" s="49" t="s">
        <v>319</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6" t="s">
        <v>18</v>
      </c>
      <c r="B33" s="77" t="s">
        <v>146</v>
      </c>
      <c r="C33" s="74" t="s">
        <v>147</v>
      </c>
      <c r="D33" s="65" t="s">
        <v>148</v>
      </c>
      <c r="E33" s="75"/>
      <c r="F33" s="51" t="s">
        <v>27</v>
      </c>
      <c r="G33" s="66">
        <v>100</v>
      </c>
      <c r="H33" s="24">
        <f>IF(OR(J33="",K33="",K33&lt;J33),0,NETWORKDAYS(J33,K33,Hoja2!$A$2:$A$53))</f>
        <v>1</v>
      </c>
      <c r="I33" s="57"/>
      <c r="J33" s="50">
        <v>46009</v>
      </c>
      <c r="K33" s="50">
        <v>46009</v>
      </c>
      <c r="L33" s="50">
        <v>46009</v>
      </c>
      <c r="M33" s="29">
        <f ca="1">IF(OR(J33="",AND(L33="",TODAY()&lt;J33),AND(L33&lt;&gt;"",L33&lt;J33)),0,
   IF(L33="",
      NETWORKDAYS(J33,TODAY(),Hoja2!$A$2:$A$53),
      NETWORKDAYS(J33,L33,Hoja2!$A$2:$A$53)
   )
)</f>
        <v>1</v>
      </c>
      <c r="N33" s="50"/>
      <c r="O33" s="50">
        <v>46009</v>
      </c>
      <c r="P33" s="50">
        <v>46009</v>
      </c>
      <c r="Q33" s="45" t="s">
        <v>149</v>
      </c>
      <c r="R33" s="46" t="s">
        <v>319</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7" t="s">
        <v>18</v>
      </c>
      <c r="B34" s="77" t="s">
        <v>150</v>
      </c>
      <c r="C34" s="74" t="s">
        <v>151</v>
      </c>
      <c r="D34" s="65" t="s">
        <v>152</v>
      </c>
      <c r="E34" s="75"/>
      <c r="F34" s="51" t="s">
        <v>27</v>
      </c>
      <c r="G34" s="66">
        <v>100</v>
      </c>
      <c r="H34" s="24">
        <f>IF(OR(J34="",K34="",K34&lt;J34),0,NETWORKDAYS(J34,K34,Hoja2!$A$2:$A$53))</f>
        <v>1</v>
      </c>
      <c r="I34" s="57"/>
      <c r="J34" s="50">
        <v>46008</v>
      </c>
      <c r="K34" s="50">
        <v>46008</v>
      </c>
      <c r="L34" s="50">
        <v>46008</v>
      </c>
      <c r="M34" s="29">
        <f ca="1">IF(OR(J34="",AND(L34="",TODAY()&lt;J34),AND(L34&lt;&gt;"",L34&lt;J34)),0,
   IF(L34="",
      NETWORKDAYS(J34,TODAY(),Hoja2!$A$2:$A$53),
      NETWORKDAYS(J34,L34,Hoja2!$A$2:$A$53)
   )
)</f>
        <v>1</v>
      </c>
      <c r="N34" s="50"/>
      <c r="O34" s="50">
        <v>46008</v>
      </c>
      <c r="P34" s="50">
        <v>46008</v>
      </c>
      <c r="Q34" s="45" t="s">
        <v>153</v>
      </c>
      <c r="R34" s="49" t="s">
        <v>319</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76" t="s">
        <v>18</v>
      </c>
      <c r="B35" s="77" t="s">
        <v>154</v>
      </c>
      <c r="C35" s="74" t="s">
        <v>155</v>
      </c>
      <c r="D35" s="65" t="s">
        <v>156</v>
      </c>
      <c r="E35" s="75"/>
      <c r="F35" s="51" t="s">
        <v>27</v>
      </c>
      <c r="G35" s="66">
        <v>100</v>
      </c>
      <c r="H35" s="24">
        <f>IF(OR(J35="",K35="",K35&lt;J35),0,NETWORKDAYS(J35,K35,Hoja2!$A$2:$A$53))</f>
        <v>0</v>
      </c>
      <c r="I35" s="57"/>
      <c r="J35" s="50">
        <v>45962</v>
      </c>
      <c r="K35" s="50"/>
      <c r="L35" s="50"/>
      <c r="M35" s="29">
        <f ca="1">IF(OR(J35="",AND(L35="",TODAY()&lt;J35),AND(L35&lt;&gt;"",L35&lt;J35)),0,
   IF(L35="",
      NETWORKDAYS(J35,TODAY(),Hoja2!$A$2:$A$53),
      NETWORKDAYS(J35,L35,Hoja2!$A$2:$A$53)
   )
)</f>
        <v>76</v>
      </c>
      <c r="N35" s="50"/>
      <c r="O35" s="50"/>
      <c r="P35" s="50">
        <v>46052</v>
      </c>
      <c r="Q35" s="45" t="s">
        <v>157</v>
      </c>
      <c r="R35" s="46" t="s">
        <v>319</v>
      </c>
      <c r="S35" s="83"/>
      <c r="T35" s="84"/>
      <c r="U35" s="84"/>
      <c r="V35" s="84"/>
      <c r="W35" s="84"/>
      <c r="X35" s="84"/>
      <c r="Y35" s="84"/>
      <c r="Z35" s="84"/>
      <c r="AA35" s="84"/>
      <c r="AB35" s="84"/>
      <c r="AC35" s="84"/>
      <c r="AD35" s="84"/>
      <c r="AE35" s="84"/>
      <c r="AF35" s="84"/>
      <c r="AG35" s="84"/>
      <c r="AH35" s="84"/>
      <c r="AI35" s="84"/>
      <c r="AJ35" s="84"/>
      <c r="AK35" s="84"/>
      <c r="AL35" s="84"/>
      <c r="AM35" s="84"/>
      <c r="AN35" s="85"/>
    </row>
    <row r="36" spans="1:40" ht="30">
      <c r="A36" s="76" t="s">
        <v>18</v>
      </c>
      <c r="B36" s="77" t="s">
        <v>158</v>
      </c>
      <c r="C36" s="74" t="s">
        <v>159</v>
      </c>
      <c r="D36" s="65" t="s">
        <v>160</v>
      </c>
      <c r="E36" s="75"/>
      <c r="F36" s="51" t="s">
        <v>27</v>
      </c>
      <c r="G36" s="66">
        <v>100</v>
      </c>
      <c r="H36" s="24">
        <f>IF(OR(J36="",K36="",K36&lt;J36),0,NETWORKDAYS(J36,K36,Hoja2!$A$2:$A$53))</f>
        <v>1</v>
      </c>
      <c r="I36" s="57"/>
      <c r="J36" s="50">
        <v>46022</v>
      </c>
      <c r="K36" s="50">
        <v>46022</v>
      </c>
      <c r="L36" s="50">
        <v>46022</v>
      </c>
      <c r="M36" s="29">
        <f ca="1">IF(OR(J36="",AND(L36="",TODAY()&lt;J36),AND(L36&lt;&gt;"",L36&lt;J36)),0,
   IF(L36="",
      NETWORKDAYS(J36,TODAY(),Hoja2!$A$2:$A$53),
      NETWORKDAYS(J36,L36,Hoja2!$A$2:$A$53)
   )
)</f>
        <v>1</v>
      </c>
      <c r="N36" s="50"/>
      <c r="O36" s="50"/>
      <c r="P36" s="50">
        <v>46022</v>
      </c>
      <c r="Q36" s="45" t="s">
        <v>161</v>
      </c>
      <c r="R36" s="49" t="s">
        <v>319</v>
      </c>
      <c r="S36" s="86"/>
      <c r="T36" s="87"/>
      <c r="U36" s="87"/>
      <c r="V36" s="87"/>
      <c r="W36" s="87"/>
      <c r="X36" s="87"/>
      <c r="Y36" s="87"/>
      <c r="Z36" s="87"/>
      <c r="AA36" s="87"/>
      <c r="AB36" s="87"/>
      <c r="AC36" s="87"/>
      <c r="AD36" s="87"/>
      <c r="AE36" s="87"/>
      <c r="AF36" s="87"/>
      <c r="AG36" s="87"/>
      <c r="AH36" s="87"/>
      <c r="AI36" s="87"/>
      <c r="AJ36" s="87"/>
      <c r="AK36" s="87"/>
      <c r="AL36" s="87"/>
      <c r="AM36" s="87"/>
      <c r="AN36" s="88"/>
    </row>
    <row r="37" spans="1:40" ht="45">
      <c r="A37" s="76" t="s">
        <v>18</v>
      </c>
      <c r="B37" s="77" t="s">
        <v>162</v>
      </c>
      <c r="C37" s="74" t="s">
        <v>163</v>
      </c>
      <c r="D37" s="65" t="s">
        <v>164</v>
      </c>
      <c r="E37" s="75"/>
      <c r="F37" s="51" t="s">
        <v>27</v>
      </c>
      <c r="G37" s="66">
        <v>100</v>
      </c>
      <c r="H37" s="24">
        <f>IF(OR(J37="",K37="",K37&lt;J37),0,NETWORKDAYS(J37,K37,Hoja2!$A$2:$A$53))</f>
        <v>5</v>
      </c>
      <c r="I37" s="57"/>
      <c r="J37" s="50">
        <v>46027</v>
      </c>
      <c r="K37" s="50">
        <v>46031</v>
      </c>
      <c r="L37" s="50">
        <v>46031</v>
      </c>
      <c r="M37" s="29">
        <f ca="1">IF(OR(J37="",AND(L37="",TODAY()&lt;J37),AND(L37&lt;&gt;"",L37&lt;J37)),0,
   IF(L37="",
      NETWORKDAYS(J37,TODAY(),Hoja2!$A$2:$A$53),
      NETWORKDAYS(J37,L37,Hoja2!$A$2:$A$53)
   )
)</f>
        <v>5</v>
      </c>
      <c r="N37" s="50"/>
      <c r="O37" s="50">
        <v>46031</v>
      </c>
      <c r="P37" s="50">
        <v>46052</v>
      </c>
      <c r="Q37" s="45" t="s">
        <v>165</v>
      </c>
      <c r="R37" s="72" t="s">
        <v>319</v>
      </c>
      <c r="S37" s="83"/>
      <c r="T37" s="84"/>
      <c r="U37" s="84"/>
      <c r="V37" s="84"/>
      <c r="W37" s="84"/>
      <c r="X37" s="84"/>
      <c r="Y37" s="84"/>
      <c r="Z37" s="84"/>
      <c r="AA37" s="84"/>
      <c r="AB37" s="84"/>
      <c r="AC37" s="84"/>
      <c r="AD37" s="84"/>
      <c r="AE37" s="84"/>
      <c r="AF37" s="84"/>
      <c r="AG37" s="84"/>
      <c r="AH37" s="84"/>
      <c r="AI37" s="84"/>
      <c r="AJ37" s="84"/>
      <c r="AK37" s="84"/>
      <c r="AL37" s="84"/>
      <c r="AM37" s="84"/>
      <c r="AN37" s="85"/>
    </row>
    <row r="38" spans="1:40" ht="60">
      <c r="A38" s="76" t="s">
        <v>18</v>
      </c>
      <c r="B38" s="77" t="s">
        <v>166</v>
      </c>
      <c r="C38" s="74" t="s">
        <v>167</v>
      </c>
      <c r="D38" s="65" t="s">
        <v>168</v>
      </c>
      <c r="E38" s="75"/>
      <c r="F38" s="51" t="s">
        <v>27</v>
      </c>
      <c r="G38" s="66">
        <v>100</v>
      </c>
      <c r="H38" s="24">
        <f>IF(OR(J38="",K38="",K38&lt;J38),0,NETWORKDAYS(J38,K38,Hoja2!$A$2:$A$53))</f>
        <v>1</v>
      </c>
      <c r="I38" s="57"/>
      <c r="J38" s="50">
        <v>46043</v>
      </c>
      <c r="K38" s="50">
        <v>46043</v>
      </c>
      <c r="L38" s="50">
        <v>46043</v>
      </c>
      <c r="M38" s="29">
        <f ca="1">IF(OR(J38="",AND(L38="",TODAY()&lt;J38),AND(L38&lt;&gt;"",L38&lt;J38)),0,
   IF(L38="",
      NETWORKDAYS(J38,TODAY(),Hoja2!$A$2:$A$53),
      NETWORKDAYS(J38,L38,Hoja2!$A$2:$A$53)
   )
)</f>
        <v>1</v>
      </c>
      <c r="N38" s="50"/>
      <c r="O38" s="50">
        <v>46043</v>
      </c>
      <c r="P38" s="50">
        <v>46043</v>
      </c>
      <c r="Q38" s="45" t="s">
        <v>169</v>
      </c>
      <c r="R38" s="89" t="s">
        <v>319</v>
      </c>
      <c r="S38" s="86"/>
      <c r="T38" s="87"/>
      <c r="U38" s="87"/>
      <c r="V38" s="87"/>
      <c r="W38" s="87"/>
      <c r="X38" s="87"/>
      <c r="Y38" s="87"/>
      <c r="Z38" s="87"/>
      <c r="AA38" s="87"/>
      <c r="AB38" s="87"/>
      <c r="AC38" s="87"/>
      <c r="AD38" s="87"/>
      <c r="AE38" s="87"/>
      <c r="AF38" s="87"/>
      <c r="AG38" s="87"/>
      <c r="AH38" s="87"/>
      <c r="AI38" s="87"/>
      <c r="AJ38" s="87"/>
      <c r="AK38" s="87"/>
      <c r="AL38" s="87"/>
      <c r="AM38" s="87"/>
      <c r="AN38" s="88"/>
    </row>
    <row r="39" spans="1:40" ht="60">
      <c r="A39" s="90" t="s">
        <v>18</v>
      </c>
      <c r="B39" s="91" t="s">
        <v>170</v>
      </c>
      <c r="C39" s="92" t="s">
        <v>171</v>
      </c>
      <c r="D39" s="93" t="s">
        <v>172</v>
      </c>
      <c r="E39" s="94"/>
      <c r="F39" s="48" t="s">
        <v>173</v>
      </c>
      <c r="G39" s="70">
        <v>0</v>
      </c>
      <c r="H39" s="24">
        <f>IF(OR(J39="",K39="",K39&lt;J39),0,NETWORKDAYS(J39,K39,Hoja2!$A$2:$A$53))</f>
        <v>0</v>
      </c>
      <c r="I39" s="55"/>
      <c r="J39" s="54"/>
      <c r="K39" s="54"/>
      <c r="L39" s="54"/>
      <c r="M39" s="29">
        <f ca="1">IF(OR(J39="",AND(L39="",TODAY()&lt;J39),AND(L39&lt;&gt;"",L39&lt;J39)),0,
   IF(L39="",
      NETWORKDAYS(J39,TODAY(),Hoja2!$A$2:$A$53),
      NETWORKDAYS(J39,L39,Hoja2!$A$2:$A$53)
   )
)</f>
        <v>0</v>
      </c>
      <c r="N39" s="54"/>
      <c r="O39" s="54"/>
      <c r="P39" s="55"/>
      <c r="Q39" s="30"/>
      <c r="R39" s="72" t="s">
        <v>319</v>
      </c>
      <c r="S39" s="83"/>
      <c r="T39" s="84"/>
      <c r="U39" s="84"/>
      <c r="V39" s="84"/>
      <c r="W39" s="84"/>
      <c r="X39" s="84"/>
      <c r="Y39" s="84"/>
      <c r="Z39" s="84"/>
      <c r="AA39" s="84"/>
      <c r="AB39" s="84"/>
      <c r="AC39" s="84"/>
      <c r="AD39" s="84"/>
      <c r="AE39" s="84"/>
      <c r="AF39" s="84"/>
      <c r="AG39" s="84"/>
      <c r="AH39" s="84"/>
      <c r="AI39" s="84"/>
      <c r="AJ39" s="84"/>
      <c r="AK39" s="84"/>
      <c r="AL39" s="84"/>
      <c r="AM39" s="84"/>
      <c r="AN39" s="85"/>
    </row>
    <row r="40" spans="1:40" ht="60">
      <c r="A40" s="90" t="s">
        <v>18</v>
      </c>
      <c r="B40" s="91" t="s">
        <v>174</v>
      </c>
      <c r="C40" s="92" t="s">
        <v>175</v>
      </c>
      <c r="D40" s="93" t="s">
        <v>176</v>
      </c>
      <c r="E40" s="94"/>
      <c r="F40" s="48" t="s">
        <v>22</v>
      </c>
      <c r="G40" s="70">
        <v>0</v>
      </c>
      <c r="H40" s="24">
        <f>IF(OR(J40="",K40="",K40&lt;J40),0,NETWORKDAYS(J40,K40,Hoja2!$A$2:$A$53))</f>
        <v>0</v>
      </c>
      <c r="I40" s="55"/>
      <c r="J40" s="54"/>
      <c r="K40" s="54"/>
      <c r="L40" s="54"/>
      <c r="M40" s="29">
        <f ca="1">IF(OR(J40="",AND(L40="",TODAY()&lt;J40),AND(L40&lt;&gt;"",L40&lt;J40)),0,
   IF(L40="",
      NETWORKDAYS(J40,TODAY(),Hoja2!$A$2:$A$53),
      NETWORKDAYS(J40,L40,Hoja2!$A$2:$A$53)
   )
)</f>
        <v>0</v>
      </c>
      <c r="N40" s="54"/>
      <c r="O40" s="54"/>
      <c r="P40" s="55"/>
      <c r="Q40" s="30"/>
      <c r="R40" s="89" t="s">
        <v>319</v>
      </c>
      <c r="S40" s="95"/>
      <c r="T40" s="96"/>
      <c r="U40" s="96"/>
      <c r="V40" s="96"/>
      <c r="W40" s="96"/>
      <c r="X40" s="96"/>
      <c r="Y40" s="96"/>
      <c r="Z40" s="96"/>
      <c r="AA40" s="96"/>
      <c r="AB40" s="96"/>
      <c r="AC40" s="96"/>
      <c r="AD40" s="96"/>
      <c r="AE40" s="96"/>
      <c r="AF40" s="96"/>
      <c r="AG40" s="96"/>
      <c r="AH40" s="96"/>
      <c r="AI40" s="96"/>
      <c r="AJ40" s="96"/>
      <c r="AK40" s="96"/>
      <c r="AL40" s="96"/>
      <c r="AM40" s="96"/>
      <c r="AN40" s="97"/>
    </row>
    <row r="41" spans="1:40" ht="30">
      <c r="A41" s="76" t="s">
        <v>18</v>
      </c>
      <c r="B41" s="77" t="s">
        <v>177</v>
      </c>
      <c r="C41" s="74" t="s">
        <v>178</v>
      </c>
      <c r="D41" s="65" t="s">
        <v>179</v>
      </c>
      <c r="E41" s="75"/>
      <c r="F41" s="51" t="s">
        <v>27</v>
      </c>
      <c r="G41" s="66">
        <v>100</v>
      </c>
      <c r="H41" s="81">
        <f>IF(OR(J41="",K41="",K41&lt;J41),0,NETWORKDAYS(J41,K41,Hoja2!$A$2:$A$53))</f>
        <v>0</v>
      </c>
      <c r="I41" s="57"/>
      <c r="J41" s="50">
        <v>46035</v>
      </c>
      <c r="K41" s="57"/>
      <c r="L41" s="50">
        <v>46037</v>
      </c>
      <c r="M41" s="82">
        <f ca="1">IF(OR(J41="",AND(L41="",TODAY()&lt;J41),AND(L41&lt;&gt;"",L41&lt;J41)),0,
   IF(L41="",
      NETWORKDAYS(J41,TODAY(),Hoja2!$A$2:$A$53),
      NETWORKDAYS(J41,L41,Hoja2!$A$2:$A$53)
   )
)</f>
        <v>3</v>
      </c>
      <c r="N41" s="50"/>
      <c r="O41" s="50">
        <v>46037</v>
      </c>
      <c r="P41" s="50">
        <v>46052</v>
      </c>
      <c r="Q41" s="45" t="s">
        <v>180</v>
      </c>
      <c r="R41" s="72" t="s">
        <v>319</v>
      </c>
      <c r="S41" s="83"/>
      <c r="T41" s="84"/>
      <c r="U41" s="84"/>
      <c r="V41" s="84"/>
      <c r="W41" s="84"/>
      <c r="X41" s="84"/>
      <c r="Y41" s="84"/>
      <c r="Z41" s="84"/>
      <c r="AA41" s="84"/>
      <c r="AB41" s="84"/>
      <c r="AC41" s="84"/>
      <c r="AD41" s="84"/>
      <c r="AE41" s="84"/>
      <c r="AF41" s="84"/>
      <c r="AG41" s="84"/>
      <c r="AH41" s="84"/>
      <c r="AI41" s="84"/>
      <c r="AJ41" s="84"/>
      <c r="AK41" s="84"/>
      <c r="AL41" s="84"/>
      <c r="AM41" s="84"/>
      <c r="AN41" s="85"/>
    </row>
    <row r="42" spans="1:40">
      <c r="A42" s="76" t="s">
        <v>18</v>
      </c>
      <c r="B42" s="77" t="s">
        <v>181</v>
      </c>
      <c r="C42" s="74" t="s">
        <v>182</v>
      </c>
      <c r="D42" s="65" t="s">
        <v>183</v>
      </c>
      <c r="E42" s="75"/>
      <c r="F42" s="51" t="s">
        <v>27</v>
      </c>
      <c r="G42" s="66">
        <v>100</v>
      </c>
      <c r="H42" s="81">
        <f>IF(OR(J42="",K42="",K42&lt;J42),0,NETWORKDAYS(J42,K42,Hoja2!$A$2:$A$53))</f>
        <v>0</v>
      </c>
      <c r="I42" s="57"/>
      <c r="J42" s="50">
        <v>46048</v>
      </c>
      <c r="K42" s="57"/>
      <c r="L42" s="50">
        <v>46049</v>
      </c>
      <c r="M42" s="82">
        <f ca="1">IF(OR(J42="",AND(L42="",TODAY()&lt;J42),AND(L42&lt;&gt;"",L42&lt;J42)),0,
   IF(L42="",
      NETWORKDAYS(J42,TODAY(),Hoja2!$A$2:$A$53),
      NETWORKDAYS(J42,L42,Hoja2!$A$2:$A$53)
   )
)</f>
        <v>2</v>
      </c>
      <c r="N42" s="50"/>
      <c r="O42" s="50">
        <v>46049</v>
      </c>
      <c r="P42" s="50">
        <v>46052</v>
      </c>
      <c r="Q42" s="45" t="s">
        <v>184</v>
      </c>
      <c r="R42" s="89" t="s">
        <v>319</v>
      </c>
      <c r="S42" s="86"/>
      <c r="T42" s="87"/>
      <c r="U42" s="87"/>
      <c r="V42" s="87"/>
      <c r="W42" s="87"/>
      <c r="X42" s="87"/>
      <c r="Y42" s="87"/>
      <c r="Z42" s="87"/>
      <c r="AA42" s="87"/>
      <c r="AB42" s="87"/>
      <c r="AC42" s="87"/>
      <c r="AD42" s="87"/>
      <c r="AE42" s="87"/>
      <c r="AF42" s="87"/>
      <c r="AG42" s="87"/>
      <c r="AH42" s="87"/>
      <c r="AI42" s="87"/>
      <c r="AJ42" s="87"/>
      <c r="AK42" s="87"/>
      <c r="AL42" s="87"/>
      <c r="AM42" s="87"/>
      <c r="AN42" s="88"/>
    </row>
    <row r="43" spans="1:40" ht="45">
      <c r="A43" s="76" t="s">
        <v>18</v>
      </c>
      <c r="B43" s="77" t="s">
        <v>185</v>
      </c>
      <c r="C43" s="74" t="s">
        <v>186</v>
      </c>
      <c r="D43" s="65" t="s">
        <v>187</v>
      </c>
      <c r="E43" s="75"/>
      <c r="F43" s="51" t="s">
        <v>27</v>
      </c>
      <c r="G43" s="66">
        <v>100</v>
      </c>
      <c r="H43" s="81">
        <f>IF(OR(J43="",K43="",K43&lt;J43),0,NETWORKDAYS(J43,K43,Hoja2!$A$2:$A$53))</f>
        <v>0</v>
      </c>
      <c r="I43" s="57"/>
      <c r="J43" s="50">
        <v>46048</v>
      </c>
      <c r="K43" s="57"/>
      <c r="L43" s="50">
        <v>46049</v>
      </c>
      <c r="M43" s="82">
        <f ca="1">IF(OR(J43="",AND(L43="",TODAY()&lt;J43),AND(L43&lt;&gt;"",L43&lt;J43)),0,
   IF(L43="",
      NETWORKDAYS(J43,TODAY(),Hoja2!$A$2:$A$53),
      NETWORKDAYS(J43,L43,Hoja2!$A$2:$A$53)
   )
)</f>
        <v>2</v>
      </c>
      <c r="N43" s="50"/>
      <c r="O43" s="50">
        <v>46049</v>
      </c>
      <c r="P43" s="50">
        <v>46052</v>
      </c>
      <c r="Q43" s="45" t="s">
        <v>188</v>
      </c>
      <c r="R43" s="72" t="s">
        <v>319</v>
      </c>
      <c r="S43" s="83"/>
      <c r="T43" s="84"/>
      <c r="U43" s="84"/>
      <c r="V43" s="84"/>
      <c r="W43" s="84"/>
      <c r="X43" s="84"/>
      <c r="Y43" s="84"/>
      <c r="Z43" s="84"/>
      <c r="AA43" s="84"/>
      <c r="AB43" s="84"/>
      <c r="AC43" s="84"/>
      <c r="AD43" s="84"/>
      <c r="AE43" s="84"/>
      <c r="AF43" s="84"/>
      <c r="AG43" s="84"/>
      <c r="AH43" s="84"/>
      <c r="AI43" s="84"/>
      <c r="AJ43" s="84"/>
      <c r="AK43" s="84"/>
      <c r="AL43" s="84"/>
      <c r="AM43" s="84"/>
      <c r="AN43" s="85"/>
    </row>
    <row r="44" spans="1:40" ht="60">
      <c r="A44" s="90" t="s">
        <v>18</v>
      </c>
      <c r="B44" s="91" t="s">
        <v>189</v>
      </c>
      <c r="C44" s="92" t="s">
        <v>190</v>
      </c>
      <c r="D44" s="93" t="s">
        <v>191</v>
      </c>
      <c r="E44" s="94"/>
      <c r="F44" s="48" t="s">
        <v>173</v>
      </c>
      <c r="G44" s="70">
        <v>0</v>
      </c>
      <c r="H44" s="24">
        <f>IF(OR(J44="",K44="",K44&lt;J44),0,NETWORKDAYS(J44,K44,Hoja2!$A$2:$A$53))</f>
        <v>0</v>
      </c>
      <c r="I44" s="55"/>
      <c r="J44" s="55"/>
      <c r="K44" s="55"/>
      <c r="L44" s="55"/>
      <c r="M44" s="29">
        <f ca="1">IF(OR(J44="",AND(L44="",TODAY()&lt;J44),AND(L44&lt;&gt;"",L44&lt;J44)),0,
   IF(L44="",
      NETWORKDAYS(J44,TODAY(),Hoja2!$A$2:$A$53),
      NETWORKDAYS(J44,L44,Hoja2!$A$2:$A$53)
   )
)</f>
        <v>0</v>
      </c>
      <c r="N44" s="55"/>
      <c r="O44" s="55"/>
      <c r="P44" s="55"/>
      <c r="Q44" s="71"/>
      <c r="R44" s="89" t="s">
        <v>319</v>
      </c>
      <c r="S44" s="86"/>
      <c r="T44" s="87"/>
      <c r="U44" s="87"/>
      <c r="V44" s="87"/>
      <c r="W44" s="87"/>
      <c r="X44" s="87"/>
      <c r="Y44" s="87"/>
      <c r="Z44" s="87"/>
      <c r="AA44" s="87"/>
      <c r="AB44" s="87"/>
      <c r="AC44" s="87"/>
      <c r="AD44" s="87"/>
      <c r="AE44" s="87"/>
      <c r="AF44" s="87"/>
      <c r="AG44" s="87"/>
      <c r="AH44" s="87"/>
      <c r="AI44" s="87"/>
      <c r="AJ44" s="87"/>
      <c r="AK44" s="87"/>
      <c r="AL44" s="87"/>
      <c r="AM44" s="87"/>
      <c r="AN44" s="88"/>
    </row>
    <row r="45" spans="1:40" ht="30">
      <c r="A45" s="90" t="s">
        <v>18</v>
      </c>
      <c r="B45" s="91" t="s">
        <v>192</v>
      </c>
      <c r="C45" s="92" t="s">
        <v>193</v>
      </c>
      <c r="D45" s="93" t="s">
        <v>194</v>
      </c>
      <c r="E45" s="94"/>
      <c r="F45" s="48" t="s">
        <v>173</v>
      </c>
      <c r="G45" s="70">
        <v>0</v>
      </c>
      <c r="H45" s="24">
        <f>IF(OR(J45="",K45="",K45&lt;J45),0,NETWORKDAYS(J45,K45,Hoja2!$A$2:$A$53))</f>
        <v>0</v>
      </c>
      <c r="I45" s="55"/>
      <c r="J45" s="55"/>
      <c r="K45" s="55"/>
      <c r="L45" s="55"/>
      <c r="M45" s="29">
        <f ca="1">IF(OR(J45="",AND(L45="",TODAY()&lt;J45),AND(L45&lt;&gt;"",L45&lt;J45)),0,
   IF(L45="",
      NETWORKDAYS(J45,TODAY(),Hoja2!$A$2:$A$53),
      NETWORKDAYS(J45,L45,Hoja2!$A$2:$A$53)
   )
)</f>
        <v>0</v>
      </c>
      <c r="N45" s="55"/>
      <c r="O45" s="55"/>
      <c r="P45" s="55"/>
      <c r="Q45" s="71"/>
      <c r="R45" s="72" t="s">
        <v>319</v>
      </c>
      <c r="S45" s="83"/>
      <c r="T45" s="84"/>
      <c r="U45" s="84"/>
      <c r="V45" s="84"/>
      <c r="W45" s="84"/>
      <c r="X45" s="84"/>
      <c r="Y45" s="84"/>
      <c r="Z45" s="84"/>
      <c r="AA45" s="84"/>
      <c r="AB45" s="84"/>
      <c r="AC45" s="84"/>
      <c r="AD45" s="84"/>
      <c r="AE45" s="84"/>
      <c r="AF45" s="84"/>
      <c r="AG45" s="84"/>
      <c r="AH45" s="84"/>
      <c r="AI45" s="84"/>
      <c r="AJ45" s="84"/>
      <c r="AK45" s="84"/>
      <c r="AL45" s="84"/>
      <c r="AM45" s="84"/>
      <c r="AN45" s="85"/>
    </row>
    <row r="46" spans="1:40" ht="45">
      <c r="A46" s="76" t="s">
        <v>18</v>
      </c>
      <c r="B46" s="77" t="s">
        <v>195</v>
      </c>
      <c r="C46" s="74" t="s">
        <v>196</v>
      </c>
      <c r="D46" s="65" t="s">
        <v>197</v>
      </c>
      <c r="E46" s="75"/>
      <c r="F46" s="51" t="s">
        <v>27</v>
      </c>
      <c r="G46" s="66">
        <v>100</v>
      </c>
      <c r="H46" s="81">
        <f>IF(OR(J46="",K46="",K46&lt;J46),0,NETWORKDAYS(J46,K46,Hoja2!$A$2:$A$53))</f>
        <v>2</v>
      </c>
      <c r="I46" s="57"/>
      <c r="J46" s="50">
        <v>46063</v>
      </c>
      <c r="K46" s="50">
        <v>46064</v>
      </c>
      <c r="L46" s="50">
        <v>46064</v>
      </c>
      <c r="M46" s="82">
        <f ca="1">IF(OR(J46="",AND(L46="",TODAY()&lt;J46),AND(L46&lt;&gt;"",L46&lt;J46)),0,
   IF(L46="",
      NETWORKDAYS(J46,TODAY(),Hoja2!$A$2:$A$53),
      NETWORKDAYS(J46,L46,Hoja2!$A$2:$A$53)
   )
)</f>
        <v>2</v>
      </c>
      <c r="N46" s="57"/>
      <c r="O46" s="50">
        <v>46063</v>
      </c>
      <c r="P46" s="50">
        <v>46064</v>
      </c>
      <c r="Q46" s="45" t="s">
        <v>198</v>
      </c>
      <c r="R46" s="89" t="s">
        <v>319</v>
      </c>
      <c r="S46" s="86"/>
      <c r="T46" s="87"/>
      <c r="U46" s="87"/>
      <c r="V46" s="87"/>
      <c r="W46" s="87"/>
      <c r="X46" s="87"/>
      <c r="Y46" s="87"/>
      <c r="Z46" s="87"/>
      <c r="AA46" s="87"/>
      <c r="AB46" s="87"/>
      <c r="AC46" s="87"/>
      <c r="AD46" s="87"/>
      <c r="AE46" s="87"/>
      <c r="AF46" s="87"/>
      <c r="AG46" s="87"/>
      <c r="AH46" s="87"/>
      <c r="AI46" s="87"/>
      <c r="AJ46" s="87"/>
      <c r="AK46" s="87"/>
      <c r="AL46" s="87"/>
      <c r="AM46" s="87"/>
      <c r="AN46" s="88"/>
    </row>
    <row r="47" spans="1:40" ht="45">
      <c r="A47" s="76" t="s">
        <v>18</v>
      </c>
      <c r="B47" s="77" t="s">
        <v>199</v>
      </c>
      <c r="C47" s="74" t="s">
        <v>200</v>
      </c>
      <c r="D47" s="65" t="s">
        <v>201</v>
      </c>
      <c r="E47" s="75"/>
      <c r="F47" s="51" t="s">
        <v>27</v>
      </c>
      <c r="G47" s="66">
        <v>100</v>
      </c>
      <c r="H47" s="81">
        <f>IF(OR(J47="",K47="",K47&lt;J47),0,NETWORKDAYS(J47,K47,Hoja2!$A$2:$A$53))</f>
        <v>3</v>
      </c>
      <c r="I47" s="57"/>
      <c r="J47" s="50">
        <v>46062</v>
      </c>
      <c r="K47" s="50">
        <v>46064</v>
      </c>
      <c r="L47" s="50">
        <v>46064</v>
      </c>
      <c r="M47" s="82">
        <f ca="1">IF(OR(J47="",AND(L47="",TODAY()&lt;J47),AND(L47&lt;&gt;"",L47&lt;J47)),0,
   IF(L47="",
      NETWORKDAYS(J47,TODAY(),Hoja2!$A$2:$A$53),
      NETWORKDAYS(J47,L47,Hoja2!$A$2:$A$53)
   )
)</f>
        <v>3</v>
      </c>
      <c r="N47" s="57"/>
      <c r="O47" s="50">
        <v>46063</v>
      </c>
      <c r="P47" s="50">
        <v>46064</v>
      </c>
      <c r="Q47" s="45" t="s">
        <v>202</v>
      </c>
      <c r="R47" s="72" t="s">
        <v>319</v>
      </c>
      <c r="S47" s="83"/>
      <c r="T47" s="84"/>
      <c r="U47" s="84"/>
      <c r="V47" s="84"/>
      <c r="W47" s="84"/>
      <c r="X47" s="84"/>
      <c r="Y47" s="84"/>
      <c r="Z47" s="84"/>
      <c r="AA47" s="84"/>
      <c r="AB47" s="84"/>
      <c r="AC47" s="84"/>
      <c r="AD47" s="84"/>
      <c r="AE47" s="84"/>
      <c r="AF47" s="84"/>
      <c r="AG47" s="84"/>
      <c r="AH47" s="84"/>
      <c r="AI47" s="84"/>
      <c r="AJ47" s="84"/>
      <c r="AK47" s="84"/>
      <c r="AL47" s="84"/>
      <c r="AM47" s="84"/>
      <c r="AN47" s="85"/>
    </row>
    <row r="48" spans="1:40" ht="60">
      <c r="A48" s="98" t="s">
        <v>18</v>
      </c>
      <c r="B48" s="77" t="s">
        <v>203</v>
      </c>
      <c r="C48" s="74" t="s">
        <v>204</v>
      </c>
      <c r="D48" s="65" t="s">
        <v>205</v>
      </c>
      <c r="E48" s="75"/>
      <c r="F48" s="51" t="s">
        <v>27</v>
      </c>
      <c r="G48" s="66">
        <v>100</v>
      </c>
      <c r="H48" s="81">
        <f>IF(OR(J48="",K48="",K48&lt;J48),0,NETWORKDAYS(J48,K48,Hoja2!$A$2:$A$53))</f>
        <v>3</v>
      </c>
      <c r="I48" s="57"/>
      <c r="J48" s="50">
        <v>46064</v>
      </c>
      <c r="K48" s="50">
        <v>46066</v>
      </c>
      <c r="L48" s="50">
        <v>46066</v>
      </c>
      <c r="M48" s="82">
        <f ca="1">IF(OR(J48="",AND(L48="",TODAY()&lt;J48),AND(L48&lt;&gt;"",L48&lt;J48)),0,
   IF(L48="",
      NETWORKDAYS(J48,TODAY(),Hoja2!$A$2:$A$53),
      NETWORKDAYS(J48,L48,Hoja2!$A$2:$A$53)
   )
)</f>
        <v>3</v>
      </c>
      <c r="N48" s="57"/>
      <c r="O48" s="50">
        <v>46066</v>
      </c>
      <c r="P48" s="50">
        <v>46066</v>
      </c>
      <c r="Q48" s="45" t="s">
        <v>206</v>
      </c>
      <c r="R48" s="89" t="s">
        <v>319</v>
      </c>
      <c r="S48" s="86"/>
      <c r="T48" s="87"/>
      <c r="U48" s="87"/>
      <c r="V48" s="87"/>
      <c r="W48" s="87"/>
      <c r="X48" s="87"/>
      <c r="Y48" s="87"/>
      <c r="Z48" s="87"/>
      <c r="AA48" s="87"/>
      <c r="AB48" s="87"/>
      <c r="AC48" s="87"/>
      <c r="AD48" s="87"/>
      <c r="AE48" s="87"/>
      <c r="AF48" s="87"/>
      <c r="AG48" s="87"/>
      <c r="AH48" s="87"/>
      <c r="AI48" s="87"/>
      <c r="AJ48" s="87"/>
      <c r="AK48" s="87"/>
      <c r="AL48" s="87"/>
      <c r="AM48" s="87"/>
      <c r="AN48" s="88"/>
    </row>
    <row r="49" spans="1:40" ht="60">
      <c r="A49" s="98" t="s">
        <v>18</v>
      </c>
      <c r="B49" s="77" t="s">
        <v>207</v>
      </c>
      <c r="C49" s="74" t="s">
        <v>208</v>
      </c>
      <c r="D49" s="65" t="s">
        <v>209</v>
      </c>
      <c r="E49" s="75"/>
      <c r="F49" s="51" t="s">
        <v>27</v>
      </c>
      <c r="G49" s="66">
        <v>100</v>
      </c>
      <c r="H49" s="81">
        <f>IF(OR(J49="",K49="",K49&lt;J49),0,NETWORKDAYS(J49,K49,Hoja2!$A$2:$A$53))</f>
        <v>2</v>
      </c>
      <c r="I49" s="57"/>
      <c r="J49" s="50">
        <v>46062</v>
      </c>
      <c r="K49" s="50">
        <v>46063</v>
      </c>
      <c r="L49" s="50">
        <v>46063</v>
      </c>
      <c r="M49" s="82">
        <f ca="1">IF(OR(J49="",AND(L49="",TODAY()&lt;J49),AND(L49&lt;&gt;"",L49&lt;J49)),0,
   IF(L49="",
      NETWORKDAYS(J49,TODAY(),Hoja2!$A$2:$A$53),
      NETWORKDAYS(J49,L49,Hoja2!$A$2:$A$53)
   )
)</f>
        <v>2</v>
      </c>
      <c r="N49" s="57"/>
      <c r="O49" s="50">
        <v>46064</v>
      </c>
      <c r="P49" s="50">
        <v>46066</v>
      </c>
      <c r="Q49" s="45" t="s">
        <v>210</v>
      </c>
      <c r="R49" s="72" t="s">
        <v>319</v>
      </c>
      <c r="S49" s="83"/>
      <c r="T49" s="84"/>
      <c r="U49" s="84"/>
      <c r="V49" s="84"/>
      <c r="W49" s="84"/>
      <c r="X49" s="84"/>
      <c r="Y49" s="84"/>
      <c r="Z49" s="84"/>
      <c r="AA49" s="84"/>
      <c r="AB49" s="84"/>
      <c r="AC49" s="84"/>
      <c r="AD49" s="84"/>
      <c r="AE49" s="84"/>
      <c r="AF49" s="84"/>
      <c r="AG49" s="84"/>
      <c r="AH49" s="84"/>
      <c r="AI49" s="84"/>
      <c r="AJ49" s="84"/>
      <c r="AK49" s="84"/>
      <c r="AL49" s="84"/>
      <c r="AM49" s="84"/>
      <c r="AN49" s="85"/>
    </row>
    <row r="50" spans="1:40" ht="60">
      <c r="A50" s="99" t="s">
        <v>18</v>
      </c>
      <c r="B50" s="100" t="s">
        <v>211</v>
      </c>
      <c r="C50" s="101" t="s">
        <v>212</v>
      </c>
      <c r="D50" s="102" t="s">
        <v>213</v>
      </c>
      <c r="E50" s="103"/>
      <c r="F50" s="104" t="s">
        <v>173</v>
      </c>
      <c r="G50" s="105">
        <v>0</v>
      </c>
      <c r="H50" s="24">
        <f>IF(OR(J50="",K50="",K50&lt;J50),0,NETWORKDAYS(J50,K50,Hoja2!$A$2:$A$53))</f>
        <v>0</v>
      </c>
      <c r="I50" s="106">
        <v>46069</v>
      </c>
      <c r="J50" s="107"/>
      <c r="K50" s="107"/>
      <c r="L50" s="107"/>
      <c r="M50" s="29">
        <f ca="1">IF(OR(J50="",AND(L50="",TODAY()&lt;J50),AND(L50&lt;&gt;"",L50&lt;J50)),0,
   IF(L50="",
      NETWORKDAYS(J50,TODAY(),Hoja2!$A$2:$A$53),
      NETWORKDAYS(J50,L50,Hoja2!$A$2:$A$53)
   )
)</f>
        <v>0</v>
      </c>
      <c r="N50" s="107"/>
      <c r="O50" s="107"/>
      <c r="P50" s="107"/>
      <c r="Q50" s="108"/>
      <c r="R50" s="89" t="s">
        <v>319</v>
      </c>
      <c r="S50" s="86"/>
      <c r="T50" s="87"/>
      <c r="U50" s="87"/>
      <c r="V50" s="87"/>
      <c r="W50" s="87"/>
      <c r="X50" s="87"/>
      <c r="Y50" s="87"/>
      <c r="Z50" s="87"/>
      <c r="AA50" s="87"/>
      <c r="AB50" s="87"/>
      <c r="AC50" s="87"/>
      <c r="AD50" s="87"/>
      <c r="AE50" s="87"/>
      <c r="AF50" s="87"/>
      <c r="AG50" s="87"/>
      <c r="AH50" s="87"/>
      <c r="AI50" s="87"/>
      <c r="AJ50" s="87"/>
      <c r="AK50" s="87"/>
      <c r="AL50" s="87"/>
      <c r="AM50" s="87"/>
      <c r="AN50" s="88"/>
    </row>
    <row r="51" spans="1:40" ht="60">
      <c r="A51" s="76" t="s">
        <v>18</v>
      </c>
      <c r="B51" s="77" t="s">
        <v>214</v>
      </c>
      <c r="C51" s="74" t="s">
        <v>215</v>
      </c>
      <c r="D51" s="65" t="s">
        <v>216</v>
      </c>
      <c r="E51" s="75"/>
      <c r="F51" s="51" t="s">
        <v>173</v>
      </c>
      <c r="G51" s="66">
        <v>0</v>
      </c>
      <c r="H51" s="81">
        <f>IF(OR(J51="",K51="",K51&lt;J51),0,NETWORKDAYS(J51,K51,Hoja2!$A$2:$A$53))</f>
        <v>1</v>
      </c>
      <c r="I51" s="50">
        <v>46069</v>
      </c>
      <c r="J51" s="50">
        <v>46069</v>
      </c>
      <c r="K51" s="50">
        <v>46069</v>
      </c>
      <c r="L51" s="50">
        <v>46069</v>
      </c>
      <c r="M51" s="82">
        <f ca="1">IF(OR(J51="",AND(L51="",TODAY()&lt;J51),AND(L51&lt;&gt;"",L51&lt;J51)),0,
   IF(L51="",
      NETWORKDAYS(J51,TODAY(),Hoja2!$A$2:$A$53),
      NETWORKDAYS(J51,L51,Hoja2!$A$2:$A$53)
   )
)</f>
        <v>1</v>
      </c>
      <c r="N51" s="57"/>
      <c r="O51" s="50">
        <v>46069</v>
      </c>
      <c r="P51" s="50">
        <v>46069</v>
      </c>
      <c r="Q51" s="45" t="s">
        <v>217</v>
      </c>
      <c r="R51" s="72" t="s">
        <v>319</v>
      </c>
      <c r="S51" s="83"/>
      <c r="T51" s="84"/>
      <c r="U51" s="84"/>
      <c r="V51" s="84"/>
      <c r="W51" s="84"/>
      <c r="X51" s="84"/>
      <c r="Y51" s="84"/>
      <c r="Z51" s="84"/>
      <c r="AA51" s="84"/>
      <c r="AB51" s="84"/>
      <c r="AC51" s="84"/>
      <c r="AD51" s="84"/>
      <c r="AE51" s="84"/>
      <c r="AF51" s="84"/>
      <c r="AG51" s="84"/>
      <c r="AH51" s="84"/>
      <c r="AI51" s="84"/>
      <c r="AJ51" s="84"/>
      <c r="AK51" s="84"/>
      <c r="AL51" s="84"/>
      <c r="AM51" s="84"/>
      <c r="AN51" s="85"/>
    </row>
    <row r="52" spans="1:40" ht="30">
      <c r="A52" s="99" t="s">
        <v>18</v>
      </c>
      <c r="B52" s="100" t="s">
        <v>218</v>
      </c>
      <c r="C52" s="101" t="s">
        <v>219</v>
      </c>
      <c r="D52" s="102" t="s">
        <v>220</v>
      </c>
      <c r="E52" s="103"/>
      <c r="F52" s="104" t="s">
        <v>89</v>
      </c>
      <c r="G52" s="105">
        <v>0</v>
      </c>
      <c r="H52" s="24">
        <f>IF(OR(J52="",K52="",K52&lt;J52),0,NETWORKDAYS(J52,K52,Hoja2!$A$2:$A$53))</f>
        <v>0</v>
      </c>
      <c r="I52" s="107"/>
      <c r="J52" s="107"/>
      <c r="K52" s="107"/>
      <c r="L52" s="107"/>
      <c r="M52" s="29">
        <f ca="1">IF(OR(J52="",AND(L52="",TODAY()&lt;J52),AND(L52&lt;&gt;"",L52&lt;J52)),0,
   IF(L52="",
      NETWORKDAYS(J52,TODAY(),Hoja2!$A$2:$A$53),
      NETWORKDAYS(J52,L52,Hoja2!$A$2:$A$53)
   )
)</f>
        <v>0</v>
      </c>
      <c r="N52" s="107"/>
      <c r="O52" s="107"/>
      <c r="P52" s="107"/>
      <c r="Q52" s="109" t="s">
        <v>221</v>
      </c>
      <c r="R52" s="89" t="s">
        <v>319</v>
      </c>
      <c r="S52" s="86"/>
      <c r="T52" s="87"/>
      <c r="U52" s="87"/>
      <c r="V52" s="87"/>
      <c r="W52" s="87"/>
      <c r="X52" s="87"/>
      <c r="Y52" s="87"/>
      <c r="Z52" s="87"/>
      <c r="AA52" s="87"/>
      <c r="AB52" s="87"/>
      <c r="AC52" s="87"/>
      <c r="AD52" s="87"/>
      <c r="AE52" s="87"/>
      <c r="AF52" s="87"/>
      <c r="AG52" s="87"/>
      <c r="AH52" s="87"/>
      <c r="AI52" s="87"/>
      <c r="AJ52" s="87"/>
      <c r="AK52" s="87"/>
      <c r="AL52" s="87"/>
      <c r="AM52" s="87"/>
      <c r="AN52" s="88"/>
    </row>
    <row r="53" spans="1:40" ht="30">
      <c r="A53" s="110" t="s">
        <v>18</v>
      </c>
      <c r="B53" s="111" t="s">
        <v>222</v>
      </c>
      <c r="C53" s="112" t="s">
        <v>223</v>
      </c>
      <c r="D53" s="113" t="s">
        <v>224</v>
      </c>
      <c r="E53" s="114"/>
      <c r="F53" s="115" t="s">
        <v>173</v>
      </c>
      <c r="G53" s="116">
        <v>0</v>
      </c>
      <c r="H53" s="24">
        <f>IF(OR(J53="",K53="",K53&lt;J53),0,NETWORKDAYS(J53,K53,Hoja2!$A$2:$A$53))</f>
        <v>0</v>
      </c>
      <c r="I53" s="117"/>
      <c r="J53" s="117"/>
      <c r="K53" s="117"/>
      <c r="L53" s="117"/>
      <c r="M53" s="29">
        <f ca="1">IF(OR(J53="",AND(L53="",TODAY()&lt;J53),AND(L53&lt;&gt;"",L53&lt;J53)),0,
   IF(L53="",
      NETWORKDAYS(J53,TODAY(),Hoja2!$A$2:$A$53),
      NETWORKDAYS(J53,L53,Hoja2!$A$2:$A$53)
   )
)</f>
        <v>0</v>
      </c>
      <c r="N53" s="117"/>
      <c r="O53" s="117"/>
      <c r="P53" s="117"/>
      <c r="Q53" s="118" t="s">
        <v>225</v>
      </c>
      <c r="R53" s="72" t="s">
        <v>319</v>
      </c>
      <c r="S53" s="83"/>
      <c r="T53" s="84"/>
      <c r="U53" s="84"/>
      <c r="V53" s="84"/>
      <c r="W53" s="84"/>
      <c r="X53" s="84"/>
      <c r="Y53" s="84"/>
      <c r="Z53" s="84"/>
      <c r="AA53" s="84"/>
      <c r="AB53" s="84"/>
      <c r="AC53" s="84"/>
      <c r="AD53" s="84"/>
      <c r="AE53" s="84"/>
      <c r="AF53" s="84"/>
      <c r="AG53" s="84"/>
      <c r="AH53" s="84"/>
      <c r="AI53" s="84"/>
      <c r="AJ53" s="84"/>
      <c r="AK53" s="84"/>
      <c r="AL53" s="84"/>
      <c r="AM53" s="84"/>
      <c r="AN53" s="85"/>
    </row>
    <row r="54" spans="1:40" ht="30">
      <c r="A54" s="76" t="s">
        <v>18</v>
      </c>
      <c r="B54" s="77" t="s">
        <v>226</v>
      </c>
      <c r="C54" s="74" t="s">
        <v>227</v>
      </c>
      <c r="D54" s="65" t="s">
        <v>228</v>
      </c>
      <c r="E54" s="75"/>
      <c r="F54" s="51" t="s">
        <v>27</v>
      </c>
      <c r="G54" s="66">
        <v>100</v>
      </c>
      <c r="H54" s="81">
        <f>IF(OR(J54="",K54="",K54&lt;J54),0,NETWORKDAYS(J54,K54,Hoja2!$A$2:$A$53))</f>
        <v>1</v>
      </c>
      <c r="I54" s="50">
        <v>46070</v>
      </c>
      <c r="J54" s="50">
        <v>46071</v>
      </c>
      <c r="K54" s="50">
        <v>46071</v>
      </c>
      <c r="L54" s="50">
        <v>46071</v>
      </c>
      <c r="M54" s="82">
        <f ca="1">IF(OR(J54="",AND(L54="",TODAY()&lt;J54),AND(L54&lt;&gt;"",L54&lt;J54)),0,
   IF(L54="",
      NETWORKDAYS(J54,TODAY(),Hoja2!$A$2:$A$53),
      NETWORKDAYS(J54,L54,Hoja2!$A$2:$A$53)
   )
)</f>
        <v>1</v>
      </c>
      <c r="N54" s="57"/>
      <c r="O54" s="57"/>
      <c r="P54" s="57"/>
      <c r="Q54" s="45" t="s">
        <v>229</v>
      </c>
      <c r="R54" s="119" t="s">
        <v>319</v>
      </c>
      <c r="S54" s="86"/>
      <c r="T54" s="87"/>
      <c r="U54" s="87"/>
      <c r="V54" s="87"/>
      <c r="W54" s="87"/>
      <c r="X54" s="87"/>
      <c r="Y54" s="87"/>
      <c r="Z54" s="87"/>
      <c r="AA54" s="87"/>
      <c r="AB54" s="87"/>
      <c r="AC54" s="87"/>
      <c r="AD54" s="87"/>
      <c r="AE54" s="87"/>
      <c r="AF54" s="87"/>
      <c r="AG54" s="87"/>
      <c r="AH54" s="87"/>
      <c r="AI54" s="87"/>
      <c r="AJ54" s="87"/>
      <c r="AK54" s="87"/>
      <c r="AL54" s="87"/>
      <c r="AM54" s="87"/>
      <c r="AN54" s="88"/>
    </row>
    <row r="55" spans="1:40" ht="90">
      <c r="A55" s="110" t="s">
        <v>18</v>
      </c>
      <c r="B55" s="77" t="s">
        <v>230</v>
      </c>
      <c r="C55" s="112" t="s">
        <v>231</v>
      </c>
      <c r="D55" s="113" t="s">
        <v>232</v>
      </c>
      <c r="E55" s="114"/>
      <c r="F55" s="115" t="s">
        <v>89</v>
      </c>
      <c r="G55" s="116">
        <v>20</v>
      </c>
      <c r="H55" s="24">
        <f>IF(OR(J55="",K55="",K55&lt;J55),0,NETWORKDAYS(J55,K55,Hoja2!$A$2:$A$53))</f>
        <v>0</v>
      </c>
      <c r="I55" s="117"/>
      <c r="J55" s="117"/>
      <c r="K55" s="117"/>
      <c r="L55" s="117"/>
      <c r="M55" s="29">
        <f ca="1">IF(OR(J55="",AND(L55="",TODAY()&lt;J55),AND(L55&lt;&gt;"",L55&lt;J55)),0,
   IF(L55="",
      NETWORKDAYS(J55,TODAY(),Hoja2!$A$2:$A$53),
      NETWORKDAYS(J55,L55,Hoja2!$A$2:$A$53)
   )
)</f>
        <v>0</v>
      </c>
      <c r="N55" s="117"/>
      <c r="O55" s="117"/>
      <c r="P55" s="117"/>
      <c r="Q55" s="118" t="s">
        <v>233</v>
      </c>
      <c r="R55" s="118" t="s">
        <v>319</v>
      </c>
      <c r="S55" s="83"/>
      <c r="T55" s="84"/>
      <c r="U55" s="84"/>
      <c r="V55" s="84"/>
      <c r="W55" s="84"/>
      <c r="X55" s="84"/>
      <c r="Y55" s="84"/>
      <c r="Z55" s="84"/>
      <c r="AA55" s="84"/>
      <c r="AB55" s="84"/>
      <c r="AC55" s="84"/>
      <c r="AD55" s="84"/>
      <c r="AE55" s="84"/>
      <c r="AF55" s="84"/>
      <c r="AG55" s="84"/>
      <c r="AH55" s="84"/>
      <c r="AI55" s="84"/>
      <c r="AJ55" s="84"/>
      <c r="AK55" s="84"/>
      <c r="AL55" s="84"/>
      <c r="AM55" s="84"/>
      <c r="AN55" s="85"/>
    </row>
    <row r="56" spans="1:40" ht="45">
      <c r="A56" s="99" t="s">
        <v>18</v>
      </c>
      <c r="B56" s="77" t="s">
        <v>234</v>
      </c>
      <c r="C56" s="101" t="s">
        <v>235</v>
      </c>
      <c r="D56" s="102" t="s">
        <v>236</v>
      </c>
      <c r="E56" s="103"/>
      <c r="F56" s="104" t="s">
        <v>89</v>
      </c>
      <c r="G56" s="105">
        <v>40</v>
      </c>
      <c r="H56" s="24">
        <f>IF(OR(J56="",K56="",K56&lt;J56),0,NETWORKDAYS(J56,K56,Hoja2!$A$2:$A$53))</f>
        <v>0</v>
      </c>
      <c r="I56" s="106">
        <v>46076</v>
      </c>
      <c r="J56" s="106">
        <v>46076</v>
      </c>
      <c r="K56" s="107"/>
      <c r="L56" s="107"/>
      <c r="M56" s="29">
        <f ca="1">IF(OR(J56="",AND(L56="",TODAY()&lt;J56),AND(L56&lt;&gt;"",L56&lt;J56)),0,
   IF(L56="",
      NETWORKDAYS(J56,TODAY(),Hoja2!$A$2:$A$53),
      NETWORKDAYS(J56,L56,Hoja2!$A$2:$A$53)
   )
)</f>
        <v>2</v>
      </c>
      <c r="N56" s="107"/>
      <c r="O56" s="107"/>
      <c r="P56" s="107"/>
      <c r="Q56" s="108"/>
      <c r="R56" s="109" t="s">
        <v>319</v>
      </c>
      <c r="S56" s="86"/>
      <c r="T56" s="87"/>
      <c r="U56" s="87"/>
      <c r="V56" s="87"/>
      <c r="W56" s="87"/>
      <c r="X56" s="87"/>
      <c r="Y56" s="87"/>
      <c r="Z56" s="87"/>
      <c r="AA56" s="87"/>
      <c r="AB56" s="87"/>
      <c r="AC56" s="87"/>
      <c r="AD56" s="87"/>
      <c r="AE56" s="87"/>
      <c r="AF56" s="87"/>
      <c r="AG56" s="87"/>
      <c r="AH56" s="87"/>
      <c r="AI56" s="87"/>
      <c r="AJ56" s="87"/>
      <c r="AK56" s="87"/>
      <c r="AL56" s="87"/>
      <c r="AM56" s="87"/>
      <c r="AN56" s="88"/>
    </row>
  </sheetData>
  <autoFilter ref="F1:F56"/>
  <conditionalFormatting sqref="B2:B56">
    <cfRule type="expression" dxfId="0" priority="2">
      <formula>COUNTIF(B$2:B$56,B2)&gt;1</formula>
    </cfRule>
  </conditionalFormatting>
  <dataValidations count="2">
    <dataValidation type="list" allowBlank="1" sqref="F2:F56">
      <formula1>"FINALIZADO,EN PROCESO,PAUSADO,EN TEST,PENDIENTE,PRUEBAS TRIACOL,PRUEBAS IMAGINE,PASO A PRODUCCION"</formula1>
    </dataValidation>
    <dataValidation type="custom" allowBlank="1" showDropDown="1" sqref="I2:L56 N2:P56">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0">
        <v>45292</v>
      </c>
      <c r="B1" s="121" t="s">
        <v>237</v>
      </c>
    </row>
    <row r="2" spans="1:2" ht="17.25" customHeight="1">
      <c r="A2" s="120">
        <v>45299</v>
      </c>
      <c r="B2" s="121" t="s">
        <v>238</v>
      </c>
    </row>
    <row r="3" spans="1:2" ht="17.25" customHeight="1">
      <c r="A3" s="120">
        <v>45376</v>
      </c>
      <c r="B3" s="121" t="s">
        <v>239</v>
      </c>
    </row>
    <row r="4" spans="1:2" ht="17.25" customHeight="1">
      <c r="A4" s="120">
        <v>45379</v>
      </c>
      <c r="B4" s="121" t="s">
        <v>240</v>
      </c>
    </row>
    <row r="5" spans="1:2" ht="17.25" customHeight="1">
      <c r="A5" s="120">
        <v>45380</v>
      </c>
      <c r="B5" s="121" t="s">
        <v>241</v>
      </c>
    </row>
    <row r="6" spans="1:2" ht="17.25" customHeight="1">
      <c r="A6" s="120">
        <v>45413</v>
      </c>
      <c r="B6" s="121" t="s">
        <v>242</v>
      </c>
    </row>
    <row r="7" spans="1:2" ht="17.25" customHeight="1">
      <c r="A7" s="120">
        <v>45425</v>
      </c>
      <c r="B7" s="121" t="s">
        <v>243</v>
      </c>
    </row>
    <row r="8" spans="1:2" ht="17.25" customHeight="1">
      <c r="A8" s="120">
        <v>45446</v>
      </c>
      <c r="B8" s="121" t="s">
        <v>244</v>
      </c>
    </row>
    <row r="9" spans="1:2" ht="17.25" customHeight="1">
      <c r="A9" s="120">
        <v>45453</v>
      </c>
      <c r="B9" s="121" t="s">
        <v>245</v>
      </c>
    </row>
    <row r="10" spans="1:2" ht="17.25" customHeight="1">
      <c r="A10" s="120">
        <v>45474</v>
      </c>
      <c r="B10" s="121" t="s">
        <v>246</v>
      </c>
    </row>
    <row r="11" spans="1:2" ht="17.25" customHeight="1">
      <c r="A11" s="120">
        <v>45493</v>
      </c>
      <c r="B11" s="121" t="s">
        <v>247</v>
      </c>
    </row>
    <row r="12" spans="1:2" ht="17.25" customHeight="1">
      <c r="A12" s="120">
        <v>45511</v>
      </c>
      <c r="B12" s="121" t="s">
        <v>248</v>
      </c>
    </row>
    <row r="13" spans="1:2" ht="17.25" customHeight="1">
      <c r="A13" s="120">
        <v>45523</v>
      </c>
      <c r="B13" s="121" t="s">
        <v>249</v>
      </c>
    </row>
    <row r="14" spans="1:2" ht="17.25" customHeight="1">
      <c r="A14" s="120">
        <v>45579</v>
      </c>
      <c r="B14" s="121" t="s">
        <v>250</v>
      </c>
    </row>
    <row r="15" spans="1:2" ht="17.25" customHeight="1">
      <c r="A15" s="120">
        <v>45600</v>
      </c>
      <c r="B15" s="121" t="s">
        <v>251</v>
      </c>
    </row>
    <row r="16" spans="1:2" ht="17.25" customHeight="1">
      <c r="A16" s="120">
        <v>45607</v>
      </c>
      <c r="B16" s="121" t="s">
        <v>252</v>
      </c>
    </row>
    <row r="17" spans="1:2" ht="17.25" customHeight="1">
      <c r="A17" s="120">
        <v>45634</v>
      </c>
      <c r="B17" s="121" t="s">
        <v>253</v>
      </c>
    </row>
    <row r="18" spans="1:2" ht="17.25" customHeight="1">
      <c r="A18" s="120">
        <v>45651</v>
      </c>
      <c r="B18" s="121" t="s">
        <v>254</v>
      </c>
    </row>
    <row r="19" spans="1:2" ht="17.25" customHeight="1">
      <c r="A19" s="120">
        <v>45658</v>
      </c>
      <c r="B19" s="122" t="s">
        <v>255</v>
      </c>
    </row>
    <row r="20" spans="1:2" ht="17.25" customHeight="1">
      <c r="A20" s="120">
        <v>45663</v>
      </c>
      <c r="B20" s="122" t="s">
        <v>256</v>
      </c>
    </row>
    <row r="21" spans="1:2" ht="17.25" customHeight="1">
      <c r="A21" s="120">
        <v>45740</v>
      </c>
      <c r="B21" s="122" t="s">
        <v>257</v>
      </c>
    </row>
    <row r="22" spans="1:2" ht="17.25" customHeight="1">
      <c r="A22" s="120">
        <v>45764</v>
      </c>
      <c r="B22" s="122" t="s">
        <v>258</v>
      </c>
    </row>
    <row r="23" spans="1:2" ht="17.25" customHeight="1">
      <c r="A23" s="120">
        <v>45765</v>
      </c>
      <c r="B23" s="122" t="s">
        <v>259</v>
      </c>
    </row>
    <row r="24" spans="1:2" ht="17.25" customHeight="1">
      <c r="A24" s="120">
        <v>45778</v>
      </c>
      <c r="B24" s="122" t="s">
        <v>260</v>
      </c>
    </row>
    <row r="25" spans="1:2" ht="17.25" customHeight="1">
      <c r="A25" s="120">
        <v>45810</v>
      </c>
      <c r="B25" s="122" t="s">
        <v>261</v>
      </c>
    </row>
    <row r="26" spans="1:2" ht="17.25" customHeight="1">
      <c r="A26" s="120">
        <v>45831</v>
      </c>
      <c r="B26" s="122" t="s">
        <v>262</v>
      </c>
    </row>
    <row r="27" spans="1:2" ht="17.25" customHeight="1">
      <c r="A27" s="120">
        <v>45838</v>
      </c>
      <c r="B27" s="122" t="s">
        <v>263</v>
      </c>
    </row>
    <row r="28" spans="1:2" ht="17.25" customHeight="1">
      <c r="A28" s="120">
        <v>45858</v>
      </c>
      <c r="B28" s="122" t="s">
        <v>264</v>
      </c>
    </row>
    <row r="29" spans="1:2" ht="17.25" customHeight="1">
      <c r="A29" s="120">
        <v>45876</v>
      </c>
      <c r="B29" s="122" t="s">
        <v>265</v>
      </c>
    </row>
    <row r="30" spans="1:2" ht="17.25" customHeight="1">
      <c r="A30" s="120">
        <v>45887</v>
      </c>
      <c r="B30" s="122" t="s">
        <v>266</v>
      </c>
    </row>
    <row r="31" spans="1:2" ht="17.25" customHeight="1">
      <c r="A31" s="120">
        <v>45943</v>
      </c>
      <c r="B31" s="122" t="s">
        <v>267</v>
      </c>
    </row>
    <row r="32" spans="1:2" ht="17.25" customHeight="1">
      <c r="A32" s="120">
        <v>45964</v>
      </c>
      <c r="B32" s="122" t="s">
        <v>268</v>
      </c>
    </row>
    <row r="33" spans="1:2" ht="17.25" customHeight="1">
      <c r="A33" s="120">
        <v>45978</v>
      </c>
      <c r="B33" s="122" t="s">
        <v>269</v>
      </c>
    </row>
    <row r="34" spans="1:2" ht="17.25" customHeight="1">
      <c r="A34" s="120">
        <v>45999</v>
      </c>
      <c r="B34" s="122" t="s">
        <v>270</v>
      </c>
    </row>
    <row r="35" spans="1:2" ht="17.25" customHeight="1">
      <c r="A35" s="120">
        <v>46016</v>
      </c>
      <c r="B35" s="122" t="s">
        <v>271</v>
      </c>
    </row>
    <row r="36" spans="1:2" ht="17.25" customHeight="1">
      <c r="A36" s="120">
        <v>46023</v>
      </c>
      <c r="B36" s="122" t="s">
        <v>255</v>
      </c>
    </row>
    <row r="37" spans="1:2" ht="17.25" customHeight="1">
      <c r="A37" s="120">
        <v>46034</v>
      </c>
      <c r="B37" s="122" t="s">
        <v>256</v>
      </c>
    </row>
    <row r="38" spans="1:2" ht="17.25" customHeight="1">
      <c r="A38" s="120">
        <v>46104</v>
      </c>
      <c r="B38" s="122" t="s">
        <v>257</v>
      </c>
    </row>
    <row r="39" spans="1:2" ht="17.25" customHeight="1">
      <c r="A39" s="120">
        <v>46114</v>
      </c>
      <c r="B39" s="122" t="s">
        <v>258</v>
      </c>
    </row>
    <row r="40" spans="1:2" ht="17.25" customHeight="1">
      <c r="A40" s="120">
        <v>46115</v>
      </c>
      <c r="B40" s="122" t="s">
        <v>259</v>
      </c>
    </row>
    <row r="41" spans="1:2" ht="17.25" customHeight="1">
      <c r="A41" s="120">
        <v>46143</v>
      </c>
      <c r="B41" s="122" t="s">
        <v>260</v>
      </c>
    </row>
    <row r="42" spans="1:2" ht="17.25" customHeight="1">
      <c r="A42" s="120">
        <v>46160</v>
      </c>
      <c r="B42" s="122" t="s">
        <v>261</v>
      </c>
    </row>
    <row r="43" spans="1:2" ht="17.25" customHeight="1">
      <c r="A43" s="120">
        <v>46181</v>
      </c>
      <c r="B43" s="122" t="s">
        <v>262</v>
      </c>
    </row>
    <row r="44" spans="1:2" ht="17.25" customHeight="1">
      <c r="A44" s="120">
        <v>46188</v>
      </c>
      <c r="B44" s="122" t="s">
        <v>272</v>
      </c>
    </row>
    <row r="45" spans="1:2" ht="17.25" customHeight="1">
      <c r="A45" s="120">
        <v>46202</v>
      </c>
      <c r="B45" s="122" t="s">
        <v>273</v>
      </c>
    </row>
    <row r="46" spans="1:2" ht="17.25" customHeight="1">
      <c r="A46" s="120">
        <v>46223</v>
      </c>
      <c r="B46" s="122" t="s">
        <v>264</v>
      </c>
    </row>
    <row r="47" spans="1:2" ht="17.25" customHeight="1">
      <c r="A47" s="120">
        <v>46241</v>
      </c>
      <c r="B47" s="122" t="s">
        <v>265</v>
      </c>
    </row>
    <row r="48" spans="1:2" ht="17.25" customHeight="1">
      <c r="A48" s="120">
        <v>46251</v>
      </c>
      <c r="B48" s="122" t="s">
        <v>266</v>
      </c>
    </row>
    <row r="49" spans="1:2" ht="17.25" customHeight="1">
      <c r="A49" s="120">
        <v>46307</v>
      </c>
      <c r="B49" s="122" t="s">
        <v>267</v>
      </c>
    </row>
    <row r="50" spans="1:2" ht="17.25" customHeight="1">
      <c r="A50" s="120">
        <v>46328</v>
      </c>
      <c r="B50" s="122" t="s">
        <v>268</v>
      </c>
    </row>
    <row r="51" spans="1:2" ht="17.25" customHeight="1">
      <c r="A51" s="120">
        <v>46342</v>
      </c>
      <c r="B51" s="122" t="s">
        <v>269</v>
      </c>
    </row>
    <row r="52" spans="1:2" ht="17.25" customHeight="1">
      <c r="A52" s="120">
        <v>46364</v>
      </c>
      <c r="B52" s="122" t="s">
        <v>270</v>
      </c>
    </row>
    <row r="53" spans="1:2" ht="17.25" customHeight="1">
      <c r="A53" s="120">
        <v>46381</v>
      </c>
      <c r="B53" s="122" t="s">
        <v>271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3" t="s">
        <v>274</v>
      </c>
      <c r="B1" s="124"/>
      <c r="C1" s="124"/>
      <c r="D1" s="124"/>
      <c r="E1" s="124"/>
      <c r="F1" s="124"/>
      <c r="G1" s="124"/>
      <c r="H1" s="124"/>
      <c r="I1" s="124"/>
      <c r="J1" s="124"/>
      <c r="K1" s="124"/>
      <c r="L1" s="124"/>
      <c r="M1" s="124"/>
      <c r="N1" s="124"/>
      <c r="O1" s="124"/>
      <c r="P1" s="124"/>
      <c r="Q1" s="124"/>
      <c r="R1" s="124"/>
      <c r="S1" s="124"/>
      <c r="T1" s="124"/>
      <c r="U1" s="124"/>
      <c r="V1" s="124"/>
      <c r="W1" s="124"/>
      <c r="X1" s="124"/>
      <c r="Y1" s="124"/>
      <c r="Z1" s="124"/>
    </row>
    <row r="2" spans="1:97">
      <c r="A2" s="124"/>
      <c r="B2" s="124"/>
      <c r="C2" s="124"/>
      <c r="D2" s="124"/>
      <c r="E2" s="124"/>
      <c r="F2" s="124"/>
      <c r="G2" s="124"/>
      <c r="H2" s="124"/>
      <c r="I2" s="124"/>
      <c r="J2" s="124"/>
      <c r="K2" s="124"/>
      <c r="L2" s="124"/>
      <c r="M2" s="124"/>
      <c r="N2" s="124"/>
      <c r="O2" s="124"/>
      <c r="P2" s="124"/>
      <c r="Q2" s="124"/>
      <c r="R2" s="124"/>
      <c r="S2" s="124"/>
      <c r="T2" s="124"/>
      <c r="U2" s="124"/>
      <c r="V2" s="124"/>
      <c r="W2" s="124"/>
      <c r="X2" s="124"/>
      <c r="Y2" s="124"/>
      <c r="Z2" s="124"/>
    </row>
    <row r="3" spans="1:97" ht="32.25" customHeight="1">
      <c r="A3" s="125" t="s">
        <v>275</v>
      </c>
      <c r="B3" s="126">
        <v>45596</v>
      </c>
      <c r="C3" s="126">
        <v>45597</v>
      </c>
      <c r="D3" s="126">
        <v>45601</v>
      </c>
      <c r="E3" s="126">
        <v>45602</v>
      </c>
      <c r="F3" s="126">
        <v>45603</v>
      </c>
      <c r="G3" s="126">
        <v>45604</v>
      </c>
      <c r="H3" s="126">
        <v>45608</v>
      </c>
      <c r="I3" s="126">
        <v>45609</v>
      </c>
      <c r="J3" s="126">
        <v>45610</v>
      </c>
      <c r="K3" s="126">
        <v>45611</v>
      </c>
      <c r="L3" s="126">
        <v>45614</v>
      </c>
      <c r="M3" s="126">
        <v>45615</v>
      </c>
      <c r="N3" s="126">
        <v>45616</v>
      </c>
      <c r="O3" s="126">
        <v>45617</v>
      </c>
      <c r="P3" s="126">
        <v>45618</v>
      </c>
      <c r="Q3" s="127">
        <v>45621</v>
      </c>
      <c r="R3" s="127">
        <v>45622</v>
      </c>
      <c r="S3" s="127">
        <v>45623</v>
      </c>
      <c r="T3" s="127">
        <v>45624</v>
      </c>
      <c r="U3" s="127">
        <v>45625</v>
      </c>
      <c r="V3" s="127">
        <v>45628</v>
      </c>
      <c r="W3" s="127">
        <v>45629</v>
      </c>
      <c r="X3" s="127">
        <v>45630</v>
      </c>
      <c r="Y3" s="127">
        <v>45631</v>
      </c>
      <c r="Z3" s="127">
        <v>45632</v>
      </c>
      <c r="AA3" s="127">
        <v>45635</v>
      </c>
      <c r="AB3" s="127">
        <v>45636</v>
      </c>
      <c r="AC3" s="127">
        <v>45637</v>
      </c>
      <c r="AD3" s="127">
        <v>45638</v>
      </c>
      <c r="AE3" s="128">
        <v>45639</v>
      </c>
      <c r="AF3" s="126">
        <v>45642</v>
      </c>
      <c r="AG3" s="126">
        <v>45643</v>
      </c>
      <c r="AH3" s="126">
        <v>45644</v>
      </c>
      <c r="AI3" s="126">
        <v>45645</v>
      </c>
      <c r="AJ3" s="126">
        <v>45646</v>
      </c>
      <c r="AK3" s="126">
        <v>45649</v>
      </c>
      <c r="AL3" s="126">
        <v>45650</v>
      </c>
      <c r="AM3" s="126">
        <v>45652</v>
      </c>
      <c r="AN3" s="126">
        <v>45653</v>
      </c>
      <c r="AO3" s="126">
        <v>45656</v>
      </c>
      <c r="AP3" s="126">
        <v>45656</v>
      </c>
      <c r="AQ3" s="126">
        <v>45664</v>
      </c>
      <c r="AR3" s="126">
        <v>45665</v>
      </c>
      <c r="AS3" s="126">
        <v>45666</v>
      </c>
      <c r="AT3" s="126">
        <v>45667</v>
      </c>
      <c r="AU3" s="126">
        <v>45670</v>
      </c>
      <c r="AV3" s="126">
        <v>45671</v>
      </c>
      <c r="AW3" s="126">
        <v>45672</v>
      </c>
      <c r="AX3" s="126">
        <v>45673</v>
      </c>
      <c r="AY3" s="126">
        <v>45674</v>
      </c>
      <c r="AZ3" s="126">
        <v>45677</v>
      </c>
      <c r="BA3" s="126">
        <v>45678</v>
      </c>
      <c r="BB3" s="126">
        <v>45679</v>
      </c>
      <c r="BC3" s="126">
        <v>45680</v>
      </c>
      <c r="BD3" s="126">
        <v>45681</v>
      </c>
      <c r="BE3" s="126">
        <v>45684</v>
      </c>
      <c r="BF3" s="126">
        <v>45685</v>
      </c>
      <c r="BG3" s="126">
        <v>45686</v>
      </c>
      <c r="BH3" s="126">
        <v>45687</v>
      </c>
      <c r="BI3" s="126">
        <v>45688</v>
      </c>
      <c r="BJ3" s="127">
        <v>45691</v>
      </c>
      <c r="BK3" s="127">
        <v>45692</v>
      </c>
      <c r="BL3" s="127">
        <v>45693</v>
      </c>
      <c r="BM3" s="127">
        <v>45694</v>
      </c>
      <c r="BN3" s="127">
        <v>45695</v>
      </c>
      <c r="BO3" s="127">
        <v>45698</v>
      </c>
      <c r="BP3" s="127">
        <v>45699</v>
      </c>
      <c r="BQ3" s="127">
        <v>45700</v>
      </c>
      <c r="BR3" s="127">
        <v>45701</v>
      </c>
      <c r="BS3" s="127">
        <v>45702</v>
      </c>
      <c r="BT3" s="127">
        <v>45705</v>
      </c>
      <c r="BU3" s="127">
        <v>45706</v>
      </c>
      <c r="BV3" s="127">
        <v>45707</v>
      </c>
      <c r="BW3" s="127">
        <v>45708</v>
      </c>
      <c r="BX3" s="127">
        <v>45709</v>
      </c>
      <c r="BY3" s="127">
        <v>45712</v>
      </c>
      <c r="BZ3" s="127">
        <v>45713</v>
      </c>
      <c r="CA3" s="127">
        <v>45714</v>
      </c>
      <c r="CB3" s="127">
        <v>45715</v>
      </c>
      <c r="CC3" s="127">
        <v>45716</v>
      </c>
      <c r="CD3" s="127">
        <v>45719</v>
      </c>
      <c r="CE3" s="127">
        <v>45720</v>
      </c>
      <c r="CF3" s="127">
        <v>45721</v>
      </c>
      <c r="CG3" s="127">
        <v>45722</v>
      </c>
      <c r="CH3" s="127">
        <v>45723</v>
      </c>
      <c r="CI3" s="127">
        <v>45726</v>
      </c>
      <c r="CJ3" s="127">
        <v>45727</v>
      </c>
      <c r="CK3" s="127">
        <v>45728</v>
      </c>
      <c r="CL3" s="127">
        <v>45729</v>
      </c>
      <c r="CM3" s="127">
        <v>45730</v>
      </c>
      <c r="CN3" s="127">
        <v>45733</v>
      </c>
      <c r="CO3" s="127">
        <v>45734</v>
      </c>
      <c r="CP3" s="127">
        <v>45735</v>
      </c>
      <c r="CQ3" s="127">
        <v>45736</v>
      </c>
      <c r="CR3" s="127">
        <v>45737</v>
      </c>
      <c r="CS3" s="127">
        <v>45741</v>
      </c>
    </row>
    <row r="4" spans="1:97" ht="30.75" customHeight="1">
      <c r="A4" s="129" t="s">
        <v>276</v>
      </c>
      <c r="B4" s="130" t="s">
        <v>277</v>
      </c>
      <c r="C4" s="131" t="s">
        <v>278</v>
      </c>
      <c r="D4" s="132" t="s">
        <v>277</v>
      </c>
      <c r="E4" s="132" t="s">
        <v>277</v>
      </c>
      <c r="F4" s="132" t="s">
        <v>277</v>
      </c>
      <c r="G4" s="132" t="s">
        <v>277</v>
      </c>
      <c r="H4" s="132" t="s">
        <v>277</v>
      </c>
      <c r="I4" s="132" t="s">
        <v>277</v>
      </c>
      <c r="J4" s="132" t="s">
        <v>277</v>
      </c>
      <c r="K4" s="132" t="s">
        <v>277</v>
      </c>
      <c r="L4" s="132" t="s">
        <v>277</v>
      </c>
      <c r="M4" s="132" t="s">
        <v>277</v>
      </c>
      <c r="N4" s="132" t="s">
        <v>277</v>
      </c>
      <c r="O4" s="132" t="s">
        <v>279</v>
      </c>
      <c r="P4" s="133" t="s">
        <v>277</v>
      </c>
      <c r="Q4" s="132" t="s">
        <v>277</v>
      </c>
      <c r="R4" s="132" t="s">
        <v>277</v>
      </c>
      <c r="S4" s="132" t="s">
        <v>277</v>
      </c>
      <c r="T4" s="132" t="s">
        <v>277</v>
      </c>
      <c r="U4" s="133" t="s">
        <v>280</v>
      </c>
      <c r="V4" s="132" t="s">
        <v>277</v>
      </c>
      <c r="W4" s="132" t="s">
        <v>277</v>
      </c>
      <c r="X4" s="132" t="s">
        <v>277</v>
      </c>
      <c r="Y4" s="132" t="s">
        <v>277</v>
      </c>
      <c r="Z4" s="132" t="s">
        <v>277</v>
      </c>
      <c r="AA4" s="132" t="s">
        <v>277</v>
      </c>
      <c r="AB4" s="132" t="s">
        <v>277</v>
      </c>
      <c r="AC4" s="132" t="s">
        <v>277</v>
      </c>
      <c r="AD4" s="132" t="s">
        <v>277</v>
      </c>
      <c r="AE4" s="158" t="s">
        <v>281</v>
      </c>
      <c r="AF4" s="132" t="s">
        <v>277</v>
      </c>
      <c r="AG4" s="132" t="s">
        <v>277</v>
      </c>
      <c r="AH4" s="132" t="s">
        <v>277</v>
      </c>
      <c r="AI4" s="132" t="s">
        <v>277</v>
      </c>
      <c r="AJ4" s="132" t="s">
        <v>277</v>
      </c>
      <c r="AK4" s="132" t="s">
        <v>277</v>
      </c>
      <c r="AL4" s="158" t="s">
        <v>282</v>
      </c>
      <c r="AM4" s="132" t="s">
        <v>280</v>
      </c>
      <c r="AN4" s="132" t="s">
        <v>280</v>
      </c>
      <c r="AO4" s="132" t="s">
        <v>277</v>
      </c>
      <c r="AP4" s="158" t="s">
        <v>283</v>
      </c>
      <c r="AQ4" s="132" t="s">
        <v>277</v>
      </c>
      <c r="AR4" s="132" t="s">
        <v>277</v>
      </c>
      <c r="AS4" s="158" t="s">
        <v>283</v>
      </c>
      <c r="AT4" s="134" t="s">
        <v>277</v>
      </c>
      <c r="AU4" s="132" t="s">
        <v>277</v>
      </c>
      <c r="AV4" s="132" t="s">
        <v>277</v>
      </c>
      <c r="AW4" s="132" t="s">
        <v>277</v>
      </c>
      <c r="AX4" s="132" t="s">
        <v>277</v>
      </c>
      <c r="AY4" s="158" t="s">
        <v>283</v>
      </c>
      <c r="AZ4" s="132" t="s">
        <v>277</v>
      </c>
      <c r="BA4" s="132" t="s">
        <v>277</v>
      </c>
      <c r="BB4" s="132" t="s">
        <v>277</v>
      </c>
      <c r="BC4" s="132" t="s">
        <v>277</v>
      </c>
      <c r="BD4" s="132" t="s">
        <v>277</v>
      </c>
      <c r="BE4" s="132" t="s">
        <v>277</v>
      </c>
      <c r="BF4" s="132" t="s">
        <v>277</v>
      </c>
      <c r="BG4" s="132" t="s">
        <v>277</v>
      </c>
      <c r="BH4" s="132" t="s">
        <v>277</v>
      </c>
      <c r="BI4" s="133" t="s">
        <v>277</v>
      </c>
      <c r="BJ4" s="158" t="s">
        <v>283</v>
      </c>
      <c r="BK4" s="133" t="s">
        <v>284</v>
      </c>
      <c r="BL4" s="133" t="s">
        <v>284</v>
      </c>
      <c r="BM4" s="133" t="s">
        <v>284</v>
      </c>
      <c r="BN4" s="133" t="s">
        <v>284</v>
      </c>
      <c r="BO4" s="133" t="s">
        <v>284</v>
      </c>
      <c r="BP4" s="133" t="s">
        <v>284</v>
      </c>
      <c r="BQ4" s="133" t="s">
        <v>284</v>
      </c>
      <c r="BR4" s="132" t="s">
        <v>277</v>
      </c>
      <c r="BS4" s="132" t="s">
        <v>277</v>
      </c>
      <c r="BT4" s="132" t="s">
        <v>277</v>
      </c>
      <c r="BU4" s="132" t="s">
        <v>277</v>
      </c>
      <c r="BV4" s="132" t="s">
        <v>277</v>
      </c>
      <c r="BW4" s="132" t="s">
        <v>277</v>
      </c>
      <c r="BX4" s="132" t="s">
        <v>277</v>
      </c>
      <c r="BY4" s="132" t="s">
        <v>277</v>
      </c>
      <c r="BZ4" s="132" t="s">
        <v>277</v>
      </c>
      <c r="CA4" s="132" t="s">
        <v>277</v>
      </c>
      <c r="CB4" s="132" t="s">
        <v>277</v>
      </c>
      <c r="CC4" s="132" t="s">
        <v>277</v>
      </c>
      <c r="CD4" s="132" t="s">
        <v>277</v>
      </c>
      <c r="CE4" s="132" t="s">
        <v>277</v>
      </c>
      <c r="CF4" s="132" t="s">
        <v>277</v>
      </c>
      <c r="CG4" s="132"/>
      <c r="CH4" s="132"/>
      <c r="CI4" s="158" t="s">
        <v>285</v>
      </c>
      <c r="CJ4" s="132"/>
      <c r="CK4" s="132"/>
      <c r="CL4" s="132"/>
      <c r="CM4" s="132"/>
      <c r="CN4" s="132"/>
      <c r="CO4" s="132"/>
      <c r="CP4" s="132"/>
      <c r="CQ4" s="132"/>
      <c r="CR4" s="132"/>
      <c r="CS4" s="132" t="s">
        <v>277</v>
      </c>
    </row>
    <row r="5" spans="1:97" ht="15.75" customHeight="1">
      <c r="A5" s="129" t="s">
        <v>286</v>
      </c>
      <c r="B5" s="130" t="s">
        <v>277</v>
      </c>
      <c r="C5" s="132" t="s">
        <v>277</v>
      </c>
      <c r="D5" s="132" t="s">
        <v>277</v>
      </c>
      <c r="E5" s="132" t="s">
        <v>277</v>
      </c>
      <c r="F5" s="132" t="s">
        <v>277</v>
      </c>
      <c r="G5" s="132" t="s">
        <v>277</v>
      </c>
      <c r="H5" s="132" t="s">
        <v>277</v>
      </c>
      <c r="I5" s="132" t="s">
        <v>277</v>
      </c>
      <c r="J5" s="132" t="s">
        <v>277</v>
      </c>
      <c r="K5" s="132" t="s">
        <v>277</v>
      </c>
      <c r="L5" s="132" t="s">
        <v>284</v>
      </c>
      <c r="M5" s="132" t="s">
        <v>284</v>
      </c>
      <c r="N5" s="132" t="s">
        <v>284</v>
      </c>
      <c r="O5" s="132" t="s">
        <v>284</v>
      </c>
      <c r="P5" s="133" t="s">
        <v>284</v>
      </c>
      <c r="Q5" s="132" t="s">
        <v>277</v>
      </c>
      <c r="R5" s="132" t="s">
        <v>277</v>
      </c>
      <c r="S5" s="132" t="s">
        <v>277</v>
      </c>
      <c r="T5" s="132" t="s">
        <v>277</v>
      </c>
      <c r="U5" s="133" t="s">
        <v>277</v>
      </c>
      <c r="V5" s="132" t="s">
        <v>277</v>
      </c>
      <c r="W5" s="132" t="s">
        <v>277</v>
      </c>
      <c r="X5" s="132" t="s">
        <v>277</v>
      </c>
      <c r="Y5" s="132" t="s">
        <v>277</v>
      </c>
      <c r="Z5" s="132" t="s">
        <v>277</v>
      </c>
      <c r="AA5" s="132" t="s">
        <v>277</v>
      </c>
      <c r="AB5" s="132" t="s">
        <v>277</v>
      </c>
      <c r="AC5" s="132" t="s">
        <v>277</v>
      </c>
      <c r="AD5" s="132" t="s">
        <v>277</v>
      </c>
      <c r="AE5" s="159"/>
      <c r="AF5" s="132" t="s">
        <v>277</v>
      </c>
      <c r="AG5" s="132" t="s">
        <v>277</v>
      </c>
      <c r="AH5" s="132" t="s">
        <v>277</v>
      </c>
      <c r="AI5" s="132" t="s">
        <v>277</v>
      </c>
      <c r="AJ5" s="132" t="s">
        <v>277</v>
      </c>
      <c r="AK5" s="132" t="s">
        <v>277</v>
      </c>
      <c r="AL5" s="159"/>
      <c r="AM5" s="132" t="s">
        <v>277</v>
      </c>
      <c r="AN5" s="132" t="s">
        <v>277</v>
      </c>
      <c r="AO5" s="132" t="s">
        <v>277</v>
      </c>
      <c r="AP5" s="159"/>
      <c r="AQ5" s="132" t="s">
        <v>284</v>
      </c>
      <c r="AR5" s="132" t="s">
        <v>284</v>
      </c>
      <c r="AS5" s="159"/>
      <c r="AT5" s="132" t="s">
        <v>284</v>
      </c>
      <c r="AU5" s="132" t="s">
        <v>284</v>
      </c>
      <c r="AV5" s="132" t="s">
        <v>284</v>
      </c>
      <c r="AW5" s="132" t="s">
        <v>284</v>
      </c>
      <c r="AX5" s="132" t="s">
        <v>284</v>
      </c>
      <c r="AY5" s="159"/>
      <c r="AZ5" s="132" t="s">
        <v>284</v>
      </c>
      <c r="BA5" s="132" t="s">
        <v>277</v>
      </c>
      <c r="BB5" s="132" t="s">
        <v>277</v>
      </c>
      <c r="BC5" s="132" t="s">
        <v>277</v>
      </c>
      <c r="BD5" s="132" t="s">
        <v>277</v>
      </c>
      <c r="BE5" s="132" t="s">
        <v>277</v>
      </c>
      <c r="BF5" s="132" t="s">
        <v>277</v>
      </c>
      <c r="BG5" s="132" t="s">
        <v>277</v>
      </c>
      <c r="BH5" s="132" t="s">
        <v>277</v>
      </c>
      <c r="BI5" s="133" t="s">
        <v>277</v>
      </c>
      <c r="BJ5" s="159"/>
      <c r="BK5" s="133" t="s">
        <v>277</v>
      </c>
      <c r="BL5" s="133" t="s">
        <v>277</v>
      </c>
      <c r="BM5" s="132" t="s">
        <v>277</v>
      </c>
      <c r="BN5" s="133" t="s">
        <v>277</v>
      </c>
      <c r="BO5" s="132" t="s">
        <v>277</v>
      </c>
      <c r="BP5" s="132" t="s">
        <v>277</v>
      </c>
      <c r="BQ5" s="132" t="s">
        <v>277</v>
      </c>
      <c r="BR5" s="132" t="s">
        <v>277</v>
      </c>
      <c r="BS5" s="132" t="s">
        <v>277</v>
      </c>
      <c r="BT5" s="132" t="s">
        <v>277</v>
      </c>
      <c r="BU5" s="132" t="s">
        <v>277</v>
      </c>
      <c r="BV5" s="132" t="s">
        <v>277</v>
      </c>
      <c r="BW5" s="132" t="s">
        <v>277</v>
      </c>
      <c r="BX5" s="132" t="s">
        <v>277</v>
      </c>
      <c r="BY5" s="132" t="s">
        <v>277</v>
      </c>
      <c r="BZ5" s="132" t="s">
        <v>277</v>
      </c>
      <c r="CA5" s="132" t="s">
        <v>277</v>
      </c>
      <c r="CB5" s="132" t="s">
        <v>277</v>
      </c>
      <c r="CC5" s="132" t="s">
        <v>277</v>
      </c>
      <c r="CD5" s="132" t="s">
        <v>277</v>
      </c>
      <c r="CE5" s="132" t="s">
        <v>277</v>
      </c>
      <c r="CF5" s="132" t="s">
        <v>277</v>
      </c>
      <c r="CG5" s="132"/>
      <c r="CH5" s="132"/>
      <c r="CI5" s="159"/>
      <c r="CJ5" s="132"/>
      <c r="CK5" s="132"/>
      <c r="CL5" s="132"/>
      <c r="CM5" s="132"/>
      <c r="CN5" s="132"/>
      <c r="CO5" s="132"/>
      <c r="CP5" s="132"/>
      <c r="CQ5" s="132"/>
      <c r="CR5" s="132"/>
      <c r="CS5" s="132" t="s">
        <v>277</v>
      </c>
    </row>
    <row r="6" spans="1:97" ht="15.75">
      <c r="A6" s="129" t="s">
        <v>287</v>
      </c>
      <c r="B6" s="130" t="s">
        <v>277</v>
      </c>
      <c r="C6" s="132" t="s">
        <v>277</v>
      </c>
      <c r="D6" s="132" t="s">
        <v>277</v>
      </c>
      <c r="E6" s="132" t="s">
        <v>277</v>
      </c>
      <c r="F6" s="132" t="s">
        <v>277</v>
      </c>
      <c r="G6" s="132" t="s">
        <v>277</v>
      </c>
      <c r="H6" s="132" t="s">
        <v>277</v>
      </c>
      <c r="I6" s="132" t="s">
        <v>277</v>
      </c>
      <c r="J6" s="132" t="s">
        <v>277</v>
      </c>
      <c r="K6" s="135" t="s">
        <v>288</v>
      </c>
      <c r="L6" s="132" t="s">
        <v>277</v>
      </c>
      <c r="M6" s="132" t="s">
        <v>277</v>
      </c>
      <c r="N6" s="132" t="s">
        <v>277</v>
      </c>
      <c r="O6" s="132" t="s">
        <v>279</v>
      </c>
      <c r="P6" s="133" t="s">
        <v>277</v>
      </c>
      <c r="Q6" s="132" t="s">
        <v>277</v>
      </c>
      <c r="R6" s="132" t="s">
        <v>277</v>
      </c>
      <c r="S6" s="132" t="s">
        <v>277</v>
      </c>
      <c r="T6" s="132" t="s">
        <v>277</v>
      </c>
      <c r="U6" s="133" t="s">
        <v>277</v>
      </c>
      <c r="V6" s="132" t="s">
        <v>277</v>
      </c>
      <c r="W6" s="132" t="s">
        <v>277</v>
      </c>
      <c r="X6" s="132" t="s">
        <v>277</v>
      </c>
      <c r="Y6" s="132" t="s">
        <v>277</v>
      </c>
      <c r="Z6" s="132" t="s">
        <v>277</v>
      </c>
      <c r="AA6" s="132" t="s">
        <v>277</v>
      </c>
      <c r="AB6" s="132" t="s">
        <v>277</v>
      </c>
      <c r="AC6" s="132" t="s">
        <v>277</v>
      </c>
      <c r="AD6" s="132" t="s">
        <v>277</v>
      </c>
      <c r="AE6" s="159"/>
      <c r="AF6" s="132" t="s">
        <v>277</v>
      </c>
      <c r="AG6" s="132" t="s">
        <v>277</v>
      </c>
      <c r="AH6" s="132" t="s">
        <v>277</v>
      </c>
      <c r="AI6" s="132" t="s">
        <v>277</v>
      </c>
      <c r="AJ6" s="132" t="s">
        <v>277</v>
      </c>
      <c r="AK6" s="132" t="s">
        <v>277</v>
      </c>
      <c r="AL6" s="159"/>
      <c r="AM6" s="132" t="s">
        <v>277</v>
      </c>
      <c r="AN6" s="132" t="s">
        <v>277</v>
      </c>
      <c r="AO6" s="132" t="s">
        <v>277</v>
      </c>
      <c r="AP6" s="159"/>
      <c r="AQ6" s="132" t="s">
        <v>277</v>
      </c>
      <c r="AR6" s="132" t="s">
        <v>277</v>
      </c>
      <c r="AS6" s="159"/>
      <c r="AT6" s="132" t="s">
        <v>277</v>
      </c>
      <c r="AU6" s="132" t="s">
        <v>277</v>
      </c>
      <c r="AV6" s="132" t="s">
        <v>277</v>
      </c>
      <c r="AW6" s="132" t="s">
        <v>277</v>
      </c>
      <c r="AX6" s="132" t="s">
        <v>277</v>
      </c>
      <c r="AY6" s="159"/>
      <c r="AZ6" s="132" t="s">
        <v>277</v>
      </c>
      <c r="BA6" s="132" t="s">
        <v>277</v>
      </c>
      <c r="BB6" s="132" t="s">
        <v>277</v>
      </c>
      <c r="BC6" s="132" t="s">
        <v>277</v>
      </c>
      <c r="BD6" s="132" t="s">
        <v>277</v>
      </c>
      <c r="BE6" s="132" t="s">
        <v>277</v>
      </c>
      <c r="BF6" s="132" t="s">
        <v>277</v>
      </c>
      <c r="BG6" s="132" t="s">
        <v>277</v>
      </c>
      <c r="BH6" s="132" t="s">
        <v>277</v>
      </c>
      <c r="BI6" s="133" t="s">
        <v>277</v>
      </c>
      <c r="BJ6" s="159"/>
      <c r="BK6" s="133" t="s">
        <v>277</v>
      </c>
      <c r="BL6" s="133" t="s">
        <v>277</v>
      </c>
      <c r="BM6" s="132" t="s">
        <v>289</v>
      </c>
      <c r="BN6" s="133" t="s">
        <v>277</v>
      </c>
      <c r="BO6" s="132" t="s">
        <v>277</v>
      </c>
      <c r="BP6" s="132" t="s">
        <v>277</v>
      </c>
      <c r="BQ6" s="132" t="s">
        <v>277</v>
      </c>
      <c r="BR6" s="132" t="s">
        <v>277</v>
      </c>
      <c r="BS6" s="132" t="s">
        <v>277</v>
      </c>
      <c r="BT6" s="132" t="s">
        <v>277</v>
      </c>
      <c r="BU6" s="132" t="s">
        <v>277</v>
      </c>
      <c r="BV6" s="132" t="s">
        <v>277</v>
      </c>
      <c r="BW6" s="132" t="s">
        <v>277</v>
      </c>
      <c r="BX6" s="132" t="s">
        <v>277</v>
      </c>
      <c r="BY6" s="132" t="s">
        <v>277</v>
      </c>
      <c r="BZ6" s="132" t="s">
        <v>277</v>
      </c>
      <c r="CA6" s="132" t="s">
        <v>277</v>
      </c>
      <c r="CB6" s="132" t="s">
        <v>277</v>
      </c>
      <c r="CC6" s="132" t="s">
        <v>277</v>
      </c>
      <c r="CD6" s="132" t="s">
        <v>277</v>
      </c>
      <c r="CE6" s="132" t="s">
        <v>277</v>
      </c>
      <c r="CF6" s="132" t="s">
        <v>277</v>
      </c>
      <c r="CG6" s="132"/>
      <c r="CH6" s="132"/>
      <c r="CI6" s="159"/>
      <c r="CJ6" s="132"/>
      <c r="CK6" s="132"/>
      <c r="CL6" s="132"/>
      <c r="CM6" s="132"/>
      <c r="CN6" s="132"/>
      <c r="CO6" s="132"/>
      <c r="CP6" s="132"/>
      <c r="CQ6" s="132"/>
      <c r="CR6" s="132"/>
      <c r="CS6" s="132" t="s">
        <v>277</v>
      </c>
    </row>
    <row r="7" spans="1:97" ht="15.75" hidden="1" customHeight="1">
      <c r="A7" s="129" t="s">
        <v>290</v>
      </c>
      <c r="B7" s="130" t="s">
        <v>277</v>
      </c>
      <c r="C7" s="132" t="s">
        <v>277</v>
      </c>
      <c r="D7" s="132" t="s">
        <v>277</v>
      </c>
      <c r="E7" s="132" t="s">
        <v>277</v>
      </c>
      <c r="F7" s="132" t="s">
        <v>277</v>
      </c>
      <c r="G7" s="132" t="s">
        <v>277</v>
      </c>
      <c r="H7" s="132" t="s">
        <v>277</v>
      </c>
      <c r="I7" s="132" t="s">
        <v>277</v>
      </c>
      <c r="J7" s="132" t="s">
        <v>277</v>
      </c>
      <c r="K7" s="132" t="s">
        <v>277</v>
      </c>
      <c r="L7" s="135" t="s">
        <v>288</v>
      </c>
      <c r="M7" s="132" t="s">
        <v>277</v>
      </c>
      <c r="N7" s="132" t="s">
        <v>277</v>
      </c>
      <c r="O7" s="132" t="s">
        <v>279</v>
      </c>
      <c r="P7" s="133" t="s">
        <v>277</v>
      </c>
      <c r="Q7" s="132" t="s">
        <v>277</v>
      </c>
      <c r="R7" s="132" t="s">
        <v>277</v>
      </c>
      <c r="S7" s="132" t="s">
        <v>277</v>
      </c>
      <c r="T7" s="132" t="s">
        <v>277</v>
      </c>
      <c r="U7" s="133" t="s">
        <v>291</v>
      </c>
      <c r="V7" s="132" t="s">
        <v>277</v>
      </c>
      <c r="W7" s="132" t="s">
        <v>277</v>
      </c>
      <c r="X7" s="132" t="s">
        <v>277</v>
      </c>
      <c r="Y7" s="132" t="s">
        <v>277</v>
      </c>
      <c r="Z7" s="132" t="s">
        <v>280</v>
      </c>
      <c r="AA7" s="132" t="s">
        <v>277</v>
      </c>
      <c r="AB7" s="132" t="s">
        <v>277</v>
      </c>
      <c r="AC7" s="132" t="s">
        <v>277</v>
      </c>
      <c r="AD7" s="132" t="s">
        <v>277</v>
      </c>
      <c r="AE7" s="159"/>
      <c r="AF7" s="132" t="s">
        <v>277</v>
      </c>
      <c r="AG7" s="132" t="s">
        <v>277</v>
      </c>
      <c r="AH7" s="132" t="s">
        <v>277</v>
      </c>
      <c r="AI7" s="132" t="s">
        <v>277</v>
      </c>
      <c r="AJ7" s="132" t="s">
        <v>277</v>
      </c>
      <c r="AK7" s="132" t="s">
        <v>277</v>
      </c>
      <c r="AL7" s="159"/>
      <c r="AM7" s="132" t="s">
        <v>277</v>
      </c>
      <c r="AN7" s="132" t="s">
        <v>277</v>
      </c>
      <c r="AO7" s="132" t="s">
        <v>277</v>
      </c>
      <c r="AP7" s="159"/>
      <c r="AQ7" s="132" t="s">
        <v>277</v>
      </c>
      <c r="AR7" s="132" t="s">
        <v>277</v>
      </c>
      <c r="AS7" s="159"/>
      <c r="AT7" s="132" t="s">
        <v>277</v>
      </c>
      <c r="AU7" s="132" t="s">
        <v>280</v>
      </c>
      <c r="AV7" s="132" t="s">
        <v>277</v>
      </c>
      <c r="AW7" s="132" t="s">
        <v>277</v>
      </c>
      <c r="AX7" s="132" t="s">
        <v>277</v>
      </c>
      <c r="AY7" s="159"/>
      <c r="AZ7" s="132" t="s">
        <v>277</v>
      </c>
      <c r="BA7" s="132" t="s">
        <v>277</v>
      </c>
      <c r="BB7" s="132" t="s">
        <v>277</v>
      </c>
      <c r="BC7" s="132" t="s">
        <v>277</v>
      </c>
      <c r="BD7" s="132" t="s">
        <v>277</v>
      </c>
      <c r="BE7" s="132" t="s">
        <v>277</v>
      </c>
      <c r="BF7" s="132" t="s">
        <v>277</v>
      </c>
      <c r="BG7" s="132" t="s">
        <v>277</v>
      </c>
      <c r="BH7" s="132" t="s">
        <v>277</v>
      </c>
      <c r="BI7" s="133" t="s">
        <v>277</v>
      </c>
      <c r="BJ7" s="159"/>
      <c r="BK7" s="133" t="s">
        <v>277</v>
      </c>
      <c r="BL7" s="133" t="s">
        <v>277</v>
      </c>
      <c r="BM7" s="132" t="s">
        <v>277</v>
      </c>
      <c r="BN7" s="133" t="s">
        <v>277</v>
      </c>
      <c r="BO7" s="132" t="s">
        <v>280</v>
      </c>
      <c r="BP7" s="132"/>
      <c r="BQ7" s="132"/>
      <c r="BR7" s="132"/>
      <c r="BS7" s="132"/>
      <c r="BT7" s="132"/>
      <c r="BU7" s="132" t="s">
        <v>277</v>
      </c>
      <c r="BV7" s="132" t="s">
        <v>277</v>
      </c>
      <c r="BW7" s="132" t="s">
        <v>277</v>
      </c>
      <c r="BX7" s="132" t="s">
        <v>277</v>
      </c>
      <c r="BY7" s="132"/>
      <c r="BZ7" s="132"/>
      <c r="CA7" s="132"/>
      <c r="CB7" s="132"/>
      <c r="CC7" s="132"/>
      <c r="CD7" s="132"/>
      <c r="CE7" s="132"/>
      <c r="CF7" s="132"/>
      <c r="CG7" s="132"/>
      <c r="CH7" s="132"/>
      <c r="CI7" s="159"/>
      <c r="CJ7" s="132"/>
      <c r="CK7" s="132"/>
      <c r="CL7" s="132"/>
      <c r="CM7" s="132"/>
      <c r="CN7" s="132"/>
      <c r="CO7" s="132"/>
      <c r="CP7" s="132"/>
      <c r="CQ7" s="132"/>
      <c r="CR7" s="132"/>
      <c r="CS7" s="132"/>
    </row>
    <row r="8" spans="1:97" ht="15.75" hidden="1" customHeight="1">
      <c r="A8" s="129" t="s">
        <v>292</v>
      </c>
      <c r="B8" s="130" t="s">
        <v>277</v>
      </c>
      <c r="C8" s="132" t="s">
        <v>277</v>
      </c>
      <c r="D8" s="132" t="s">
        <v>277</v>
      </c>
      <c r="E8" s="132" t="s">
        <v>277</v>
      </c>
      <c r="F8" s="132" t="s">
        <v>277</v>
      </c>
      <c r="G8" s="132" t="s">
        <v>277</v>
      </c>
      <c r="H8" s="132" t="s">
        <v>277</v>
      </c>
      <c r="I8" s="132" t="s">
        <v>277</v>
      </c>
      <c r="J8" s="132" t="s">
        <v>277</v>
      </c>
      <c r="K8" s="132" t="s">
        <v>277</v>
      </c>
      <c r="L8" s="132" t="s">
        <v>280</v>
      </c>
      <c r="M8" s="132" t="s">
        <v>277</v>
      </c>
      <c r="N8" s="132" t="s">
        <v>277</v>
      </c>
      <c r="O8" s="132" t="s">
        <v>279</v>
      </c>
      <c r="P8" s="133" t="s">
        <v>277</v>
      </c>
      <c r="Q8" s="132" t="s">
        <v>277</v>
      </c>
      <c r="R8" s="132" t="s">
        <v>277</v>
      </c>
      <c r="S8" s="132" t="s">
        <v>277</v>
      </c>
      <c r="T8" s="132" t="s">
        <v>277</v>
      </c>
      <c r="U8" s="133" t="s">
        <v>277</v>
      </c>
      <c r="V8" s="132" t="s">
        <v>277</v>
      </c>
      <c r="W8" s="132" t="s">
        <v>293</v>
      </c>
      <c r="X8" s="132" t="s">
        <v>277</v>
      </c>
      <c r="Y8" s="132" t="s">
        <v>277</v>
      </c>
      <c r="Z8" s="132" t="s">
        <v>277</v>
      </c>
      <c r="AA8" s="132" t="s">
        <v>277</v>
      </c>
      <c r="AB8" s="132" t="s">
        <v>280</v>
      </c>
      <c r="AC8" s="132" t="s">
        <v>277</v>
      </c>
      <c r="AD8" s="132" t="s">
        <v>277</v>
      </c>
      <c r="AE8" s="159"/>
      <c r="AF8" s="132" t="s">
        <v>277</v>
      </c>
      <c r="AG8" s="132" t="s">
        <v>277</v>
      </c>
      <c r="AH8" s="132" t="s">
        <v>277</v>
      </c>
      <c r="AI8" s="132" t="s">
        <v>277</v>
      </c>
      <c r="AJ8" s="132" t="s">
        <v>277</v>
      </c>
      <c r="AK8" s="132" t="s">
        <v>277</v>
      </c>
      <c r="AL8" s="159"/>
      <c r="AM8" s="132" t="s">
        <v>277</v>
      </c>
      <c r="AN8" s="132" t="s">
        <v>280</v>
      </c>
      <c r="AO8" s="132" t="s">
        <v>277</v>
      </c>
      <c r="AP8" s="159"/>
      <c r="AQ8" s="132" t="s">
        <v>277</v>
      </c>
      <c r="AR8" s="132" t="s">
        <v>277</v>
      </c>
      <c r="AS8" s="159"/>
      <c r="AT8" s="132" t="s">
        <v>277</v>
      </c>
      <c r="AU8" s="132" t="s">
        <v>277</v>
      </c>
      <c r="AV8" s="132" t="s">
        <v>277</v>
      </c>
      <c r="AW8" s="132" t="s">
        <v>277</v>
      </c>
      <c r="AX8" s="132" t="s">
        <v>277</v>
      </c>
      <c r="AY8" s="159"/>
      <c r="AZ8" s="132" t="s">
        <v>277</v>
      </c>
      <c r="BA8" s="132" t="s">
        <v>277</v>
      </c>
      <c r="BB8" s="132" t="s">
        <v>277</v>
      </c>
      <c r="BC8" s="132" t="s">
        <v>277</v>
      </c>
      <c r="BD8" s="132" t="s">
        <v>277</v>
      </c>
      <c r="BE8" s="132" t="s">
        <v>277</v>
      </c>
      <c r="BF8" s="132" t="s">
        <v>277</v>
      </c>
      <c r="BG8" s="132" t="s">
        <v>294</v>
      </c>
      <c r="BH8" s="132" t="s">
        <v>277</v>
      </c>
      <c r="BI8" s="133" t="s">
        <v>277</v>
      </c>
      <c r="BJ8" s="159"/>
      <c r="BK8" s="133" t="s">
        <v>277</v>
      </c>
      <c r="BL8" s="133" t="s">
        <v>277</v>
      </c>
      <c r="BM8" s="132" t="s">
        <v>277</v>
      </c>
      <c r="BN8" s="133" t="s">
        <v>277</v>
      </c>
      <c r="BO8" s="132" t="s">
        <v>277</v>
      </c>
      <c r="BP8" s="132" t="s">
        <v>277</v>
      </c>
      <c r="BQ8" s="132" t="s">
        <v>277</v>
      </c>
      <c r="BR8" s="132" t="s">
        <v>277</v>
      </c>
      <c r="BS8" s="132" t="s">
        <v>277</v>
      </c>
      <c r="BT8" s="132" t="s">
        <v>277</v>
      </c>
      <c r="BU8" s="132" t="s">
        <v>277</v>
      </c>
      <c r="BV8" s="132" t="s">
        <v>277</v>
      </c>
      <c r="BW8" s="132" t="s">
        <v>277</v>
      </c>
      <c r="BX8" s="132" t="s">
        <v>295</v>
      </c>
      <c r="BY8" s="132"/>
      <c r="BZ8" s="132"/>
      <c r="CA8" s="132"/>
      <c r="CB8" s="132"/>
      <c r="CC8" s="132"/>
      <c r="CD8" s="132"/>
      <c r="CE8" s="132"/>
      <c r="CF8" s="132"/>
      <c r="CG8" s="132"/>
      <c r="CH8" s="132"/>
      <c r="CI8" s="159"/>
      <c r="CJ8" s="132"/>
      <c r="CK8" s="132"/>
      <c r="CL8" s="132"/>
      <c r="CM8" s="132"/>
      <c r="CN8" s="132"/>
      <c r="CO8" s="132"/>
      <c r="CP8" s="132"/>
      <c r="CQ8" s="132"/>
      <c r="CR8" s="132"/>
      <c r="CS8" s="132"/>
    </row>
    <row r="9" spans="1:97" ht="15.75">
      <c r="A9" s="129" t="s">
        <v>296</v>
      </c>
      <c r="B9" s="130" t="s">
        <v>277</v>
      </c>
      <c r="C9" s="132" t="s">
        <v>277</v>
      </c>
      <c r="D9" s="132" t="s">
        <v>277</v>
      </c>
      <c r="E9" s="132" t="s">
        <v>277</v>
      </c>
      <c r="F9" s="132" t="s">
        <v>277</v>
      </c>
      <c r="G9" s="132" t="s">
        <v>277</v>
      </c>
      <c r="H9" s="132" t="s">
        <v>277</v>
      </c>
      <c r="I9" s="132" t="s">
        <v>277</v>
      </c>
      <c r="J9" s="132" t="s">
        <v>277</v>
      </c>
      <c r="K9" s="132" t="s">
        <v>277</v>
      </c>
      <c r="L9" s="132" t="s">
        <v>277</v>
      </c>
      <c r="M9" s="132" t="s">
        <v>277</v>
      </c>
      <c r="N9" s="132" t="s">
        <v>277</v>
      </c>
      <c r="O9" s="135" t="s">
        <v>288</v>
      </c>
      <c r="P9" s="133" t="s">
        <v>277</v>
      </c>
      <c r="Q9" s="132" t="s">
        <v>277</v>
      </c>
      <c r="R9" s="132" t="s">
        <v>277</v>
      </c>
      <c r="S9" s="132" t="s">
        <v>277</v>
      </c>
      <c r="T9" s="132" t="s">
        <v>277</v>
      </c>
      <c r="U9" s="133" t="s">
        <v>277</v>
      </c>
      <c r="V9" s="132" t="s">
        <v>277</v>
      </c>
      <c r="W9" s="132" t="s">
        <v>277</v>
      </c>
      <c r="X9" s="132" t="s">
        <v>277</v>
      </c>
      <c r="Y9" s="132" t="s">
        <v>277</v>
      </c>
      <c r="Z9" s="132" t="s">
        <v>277</v>
      </c>
      <c r="AA9" s="132" t="s">
        <v>277</v>
      </c>
      <c r="AB9" s="132" t="s">
        <v>277</v>
      </c>
      <c r="AC9" s="132" t="s">
        <v>277</v>
      </c>
      <c r="AD9" s="132" t="s">
        <v>277</v>
      </c>
      <c r="AE9" s="159"/>
      <c r="AF9" s="132" t="s">
        <v>277</v>
      </c>
      <c r="AG9" s="132" t="s">
        <v>277</v>
      </c>
      <c r="AH9" s="132" t="s">
        <v>277</v>
      </c>
      <c r="AI9" s="132" t="s">
        <v>277</v>
      </c>
      <c r="AJ9" s="132" t="s">
        <v>277</v>
      </c>
      <c r="AK9" s="132" t="s">
        <v>277</v>
      </c>
      <c r="AL9" s="159"/>
      <c r="AM9" s="132" t="s">
        <v>277</v>
      </c>
      <c r="AN9" s="132" t="s">
        <v>277</v>
      </c>
      <c r="AO9" s="132" t="s">
        <v>277</v>
      </c>
      <c r="AP9" s="159"/>
      <c r="AQ9" s="132" t="s">
        <v>277</v>
      </c>
      <c r="AR9" s="132" t="s">
        <v>277</v>
      </c>
      <c r="AS9" s="159"/>
      <c r="AT9" s="132" t="s">
        <v>277</v>
      </c>
      <c r="AU9" s="132" t="s">
        <v>277</v>
      </c>
      <c r="AV9" s="132" t="s">
        <v>277</v>
      </c>
      <c r="AW9" s="132" t="s">
        <v>277</v>
      </c>
      <c r="AX9" s="132" t="s">
        <v>277</v>
      </c>
      <c r="AY9" s="159"/>
      <c r="AZ9" s="132" t="s">
        <v>277</v>
      </c>
      <c r="BA9" s="132" t="s">
        <v>277</v>
      </c>
      <c r="BB9" s="132" t="s">
        <v>277</v>
      </c>
      <c r="BC9" s="132" t="s">
        <v>277</v>
      </c>
      <c r="BD9" s="132" t="s">
        <v>277</v>
      </c>
      <c r="BE9" s="132" t="s">
        <v>277</v>
      </c>
      <c r="BF9" s="132" t="s">
        <v>277</v>
      </c>
      <c r="BG9" s="132" t="s">
        <v>277</v>
      </c>
      <c r="BH9" s="132" t="s">
        <v>277</v>
      </c>
      <c r="BI9" s="133" t="s">
        <v>277</v>
      </c>
      <c r="BJ9" s="159"/>
      <c r="BK9" s="133" t="s">
        <v>277</v>
      </c>
      <c r="BL9" s="133" t="s">
        <v>277</v>
      </c>
      <c r="BM9" s="132" t="s">
        <v>277</v>
      </c>
      <c r="BN9" s="133" t="s">
        <v>277</v>
      </c>
      <c r="BO9" s="132" t="s">
        <v>277</v>
      </c>
      <c r="BP9" s="132" t="s">
        <v>277</v>
      </c>
      <c r="BQ9" s="132" t="s">
        <v>277</v>
      </c>
      <c r="BR9" s="132" t="s">
        <v>277</v>
      </c>
      <c r="BS9" s="132" t="s">
        <v>277</v>
      </c>
      <c r="BT9" s="132" t="s">
        <v>277</v>
      </c>
      <c r="BU9" s="132" t="s">
        <v>277</v>
      </c>
      <c r="BV9" s="132" t="s">
        <v>277</v>
      </c>
      <c r="BW9" s="132" t="s">
        <v>277</v>
      </c>
      <c r="BX9" s="132" t="s">
        <v>277</v>
      </c>
      <c r="BY9" s="132" t="s">
        <v>277</v>
      </c>
      <c r="BZ9" s="132" t="s">
        <v>277</v>
      </c>
      <c r="CA9" s="132" t="s">
        <v>277</v>
      </c>
      <c r="CB9" s="132" t="s">
        <v>277</v>
      </c>
      <c r="CC9" s="132" t="s">
        <v>277</v>
      </c>
      <c r="CD9" s="132" t="s">
        <v>277</v>
      </c>
      <c r="CE9" s="132" t="s">
        <v>277</v>
      </c>
      <c r="CF9" s="132" t="s">
        <v>277</v>
      </c>
      <c r="CG9" s="132"/>
      <c r="CH9" s="132"/>
      <c r="CI9" s="159"/>
      <c r="CJ9" s="132"/>
      <c r="CK9" s="132"/>
      <c r="CL9" s="132"/>
      <c r="CM9" s="132"/>
      <c r="CN9" s="132"/>
      <c r="CO9" s="132"/>
      <c r="CP9" s="132"/>
      <c r="CQ9" s="132"/>
      <c r="CR9" s="132"/>
      <c r="CS9" s="132" t="s">
        <v>277</v>
      </c>
    </row>
    <row r="10" spans="1:97" ht="15.75">
      <c r="A10" s="129" t="s">
        <v>297</v>
      </c>
      <c r="B10" s="130" t="s">
        <v>277</v>
      </c>
      <c r="C10" s="132" t="s">
        <v>277</v>
      </c>
      <c r="D10" s="132" t="s">
        <v>277</v>
      </c>
      <c r="E10" s="132" t="s">
        <v>277</v>
      </c>
      <c r="F10" s="132" t="s">
        <v>277</v>
      </c>
      <c r="G10" s="132" t="s">
        <v>277</v>
      </c>
      <c r="H10" s="132" t="s">
        <v>277</v>
      </c>
      <c r="I10" s="132" t="s">
        <v>280</v>
      </c>
      <c r="J10" s="132" t="s">
        <v>277</v>
      </c>
      <c r="K10" s="132" t="s">
        <v>280</v>
      </c>
      <c r="L10" s="132" t="s">
        <v>277</v>
      </c>
      <c r="M10" s="132" t="s">
        <v>277</v>
      </c>
      <c r="N10" s="132" t="s">
        <v>280</v>
      </c>
      <c r="O10" s="132" t="s">
        <v>279</v>
      </c>
      <c r="P10" s="133" t="s">
        <v>280</v>
      </c>
      <c r="Q10" s="132" t="s">
        <v>280</v>
      </c>
      <c r="R10" s="132" t="s">
        <v>277</v>
      </c>
      <c r="S10" s="132" t="s">
        <v>277</v>
      </c>
      <c r="T10" s="132" t="s">
        <v>277</v>
      </c>
      <c r="U10" s="133" t="s">
        <v>280</v>
      </c>
      <c r="V10" s="132" t="s">
        <v>277</v>
      </c>
      <c r="W10" s="132" t="s">
        <v>277</v>
      </c>
      <c r="X10" s="132" t="s">
        <v>277</v>
      </c>
      <c r="Y10" s="132" t="s">
        <v>277</v>
      </c>
      <c r="Z10" s="132" t="s">
        <v>277</v>
      </c>
      <c r="AA10" s="132" t="s">
        <v>277</v>
      </c>
      <c r="AB10" s="132" t="s">
        <v>277</v>
      </c>
      <c r="AC10" s="132" t="s">
        <v>277</v>
      </c>
      <c r="AD10" s="132" t="s">
        <v>277</v>
      </c>
      <c r="AE10" s="159"/>
      <c r="AF10" s="132" t="s">
        <v>277</v>
      </c>
      <c r="AG10" s="132" t="s">
        <v>277</v>
      </c>
      <c r="AH10" s="132" t="s">
        <v>277</v>
      </c>
      <c r="AI10" s="132" t="s">
        <v>277</v>
      </c>
      <c r="AJ10" s="132" t="s">
        <v>277</v>
      </c>
      <c r="AK10" s="132" t="s">
        <v>280</v>
      </c>
      <c r="AL10" s="159"/>
      <c r="AM10" s="132" t="s">
        <v>280</v>
      </c>
      <c r="AN10" s="132" t="s">
        <v>277</v>
      </c>
      <c r="AO10" s="132" t="s">
        <v>277</v>
      </c>
      <c r="AP10" s="159"/>
      <c r="AQ10" s="132" t="s">
        <v>277</v>
      </c>
      <c r="AR10" s="132" t="s">
        <v>277</v>
      </c>
      <c r="AS10" s="159"/>
      <c r="AT10" s="132" t="s">
        <v>277</v>
      </c>
      <c r="AU10" s="132" t="s">
        <v>277</v>
      </c>
      <c r="AV10" s="132" t="s">
        <v>277</v>
      </c>
      <c r="AW10" s="132" t="s">
        <v>277</v>
      </c>
      <c r="AX10" s="132" t="s">
        <v>277</v>
      </c>
      <c r="AY10" s="159"/>
      <c r="AZ10" s="132" t="s">
        <v>277</v>
      </c>
      <c r="BA10" s="132" t="s">
        <v>280</v>
      </c>
      <c r="BB10" s="132" t="s">
        <v>280</v>
      </c>
      <c r="BC10" s="132" t="s">
        <v>280</v>
      </c>
      <c r="BD10" s="132" t="s">
        <v>280</v>
      </c>
      <c r="BE10" s="132" t="s">
        <v>280</v>
      </c>
      <c r="BF10" s="132" t="s">
        <v>277</v>
      </c>
      <c r="BG10" s="132" t="s">
        <v>277</v>
      </c>
      <c r="BH10" s="132" t="s">
        <v>277</v>
      </c>
      <c r="BI10" s="133" t="s">
        <v>277</v>
      </c>
      <c r="BJ10" s="159"/>
      <c r="BK10" s="133" t="s">
        <v>277</v>
      </c>
      <c r="BL10" s="133" t="s">
        <v>277</v>
      </c>
      <c r="BM10" s="132" t="s">
        <v>277</v>
      </c>
      <c r="BN10" s="133" t="s">
        <v>277</v>
      </c>
      <c r="BO10" s="132" t="s">
        <v>277</v>
      </c>
      <c r="BP10" s="132" t="s">
        <v>277</v>
      </c>
      <c r="BQ10" s="132" t="s">
        <v>277</v>
      </c>
      <c r="BR10" s="132" t="s">
        <v>277</v>
      </c>
      <c r="BS10" s="132" t="s">
        <v>277</v>
      </c>
      <c r="BT10" s="132" t="s">
        <v>277</v>
      </c>
      <c r="BU10" s="132" t="s">
        <v>277</v>
      </c>
      <c r="BV10" s="132" t="s">
        <v>277</v>
      </c>
      <c r="BW10" s="132" t="s">
        <v>280</v>
      </c>
      <c r="BX10" s="132" t="s">
        <v>277</v>
      </c>
      <c r="BY10" s="132" t="s">
        <v>277</v>
      </c>
      <c r="BZ10" s="132" t="s">
        <v>277</v>
      </c>
      <c r="CA10" s="132" t="s">
        <v>277</v>
      </c>
      <c r="CB10" s="132" t="s">
        <v>277</v>
      </c>
      <c r="CC10" s="132" t="s">
        <v>277</v>
      </c>
      <c r="CD10" s="132" t="s">
        <v>277</v>
      </c>
      <c r="CE10" s="132" t="s">
        <v>277</v>
      </c>
      <c r="CF10" s="132" t="s">
        <v>277</v>
      </c>
      <c r="CG10" s="132"/>
      <c r="CH10" s="132"/>
      <c r="CI10" s="159"/>
      <c r="CJ10" s="132"/>
      <c r="CK10" s="132"/>
      <c r="CL10" s="132"/>
      <c r="CM10" s="132"/>
      <c r="CN10" s="132"/>
      <c r="CO10" s="132"/>
      <c r="CP10" s="132"/>
      <c r="CQ10" s="132"/>
      <c r="CR10" s="132"/>
      <c r="CS10" s="132" t="s">
        <v>277</v>
      </c>
    </row>
    <row r="11" spans="1:97" ht="15.75">
      <c r="A11" s="129" t="s">
        <v>298</v>
      </c>
      <c r="B11" s="130" t="s">
        <v>277</v>
      </c>
      <c r="C11" s="132" t="s">
        <v>277</v>
      </c>
      <c r="D11" s="132" t="s">
        <v>277</v>
      </c>
      <c r="E11" s="132" t="s">
        <v>277</v>
      </c>
      <c r="F11" s="132" t="s">
        <v>277</v>
      </c>
      <c r="G11" s="132" t="s">
        <v>277</v>
      </c>
      <c r="H11" s="132" t="s">
        <v>277</v>
      </c>
      <c r="I11" s="132" t="s">
        <v>277</v>
      </c>
      <c r="J11" s="132" t="s">
        <v>299</v>
      </c>
      <c r="K11" s="132" t="s">
        <v>280</v>
      </c>
      <c r="L11" s="132" t="s">
        <v>277</v>
      </c>
      <c r="M11" s="132" t="s">
        <v>280</v>
      </c>
      <c r="N11" s="132" t="s">
        <v>277</v>
      </c>
      <c r="O11" s="132" t="s">
        <v>279</v>
      </c>
      <c r="P11" s="133" t="s">
        <v>277</v>
      </c>
      <c r="Q11" s="132" t="s">
        <v>277</v>
      </c>
      <c r="R11" s="132" t="s">
        <v>277</v>
      </c>
      <c r="S11" s="132" t="s">
        <v>280</v>
      </c>
      <c r="T11" s="132" t="s">
        <v>280</v>
      </c>
      <c r="U11" s="133" t="s">
        <v>280</v>
      </c>
      <c r="V11" s="132" t="s">
        <v>277</v>
      </c>
      <c r="W11" s="132" t="s">
        <v>277</v>
      </c>
      <c r="X11" s="132" t="s">
        <v>277</v>
      </c>
      <c r="Y11" s="132" t="s">
        <v>277</v>
      </c>
      <c r="Z11" s="132" t="s">
        <v>277</v>
      </c>
      <c r="AA11" s="132" t="s">
        <v>277</v>
      </c>
      <c r="AB11" s="132" t="s">
        <v>277</v>
      </c>
      <c r="AC11" s="132" t="s">
        <v>277</v>
      </c>
      <c r="AD11" s="132" t="s">
        <v>280</v>
      </c>
      <c r="AE11" s="159"/>
      <c r="AF11" s="132" t="s">
        <v>277</v>
      </c>
      <c r="AG11" s="132" t="s">
        <v>277</v>
      </c>
      <c r="AH11" s="132" t="s">
        <v>277</v>
      </c>
      <c r="AI11" s="132" t="s">
        <v>277</v>
      </c>
      <c r="AJ11" s="132" t="s">
        <v>277</v>
      </c>
      <c r="AK11" s="132" t="s">
        <v>277</v>
      </c>
      <c r="AL11" s="159"/>
      <c r="AM11" s="132" t="s">
        <v>277</v>
      </c>
      <c r="AN11" s="132" t="s">
        <v>277</v>
      </c>
      <c r="AO11" s="132" t="s">
        <v>277</v>
      </c>
      <c r="AP11" s="159"/>
      <c r="AQ11" s="132" t="s">
        <v>277</v>
      </c>
      <c r="AR11" s="132" t="s">
        <v>277</v>
      </c>
      <c r="AS11" s="159"/>
      <c r="AT11" s="132" t="s">
        <v>277</v>
      </c>
      <c r="AU11" s="132" t="s">
        <v>280</v>
      </c>
      <c r="AV11" s="132" t="s">
        <v>280</v>
      </c>
      <c r="AW11" s="132" t="s">
        <v>277</v>
      </c>
      <c r="AX11" s="132" t="s">
        <v>277</v>
      </c>
      <c r="AY11" s="159"/>
      <c r="AZ11" s="132" t="s">
        <v>280</v>
      </c>
      <c r="BA11" s="132" t="s">
        <v>277</v>
      </c>
      <c r="BB11" s="132" t="s">
        <v>277</v>
      </c>
      <c r="BC11" s="132" t="s">
        <v>277</v>
      </c>
      <c r="BD11" s="132" t="s">
        <v>277</v>
      </c>
      <c r="BE11" s="132" t="s">
        <v>280</v>
      </c>
      <c r="BF11" s="132" t="s">
        <v>280</v>
      </c>
      <c r="BG11" s="132" t="s">
        <v>280</v>
      </c>
      <c r="BH11" s="132" t="s">
        <v>277</v>
      </c>
      <c r="BI11" s="133" t="s">
        <v>277</v>
      </c>
      <c r="BJ11" s="159"/>
      <c r="BK11" s="133" t="s">
        <v>277</v>
      </c>
      <c r="BL11" s="133" t="s">
        <v>277</v>
      </c>
      <c r="BM11" s="132" t="s">
        <v>277</v>
      </c>
      <c r="BN11" s="133" t="s">
        <v>277</v>
      </c>
      <c r="BO11" s="132" t="s">
        <v>280</v>
      </c>
      <c r="BP11" s="132" t="s">
        <v>277</v>
      </c>
      <c r="BQ11" s="132" t="s">
        <v>277</v>
      </c>
      <c r="BR11" s="132" t="s">
        <v>300</v>
      </c>
      <c r="BS11" s="132" t="s">
        <v>277</v>
      </c>
      <c r="BT11" s="132" t="s">
        <v>277</v>
      </c>
      <c r="BU11" s="132" t="s">
        <v>277</v>
      </c>
      <c r="BV11" s="132" t="s">
        <v>277</v>
      </c>
      <c r="BW11" s="132" t="s">
        <v>277</v>
      </c>
      <c r="BX11" s="132" t="s">
        <v>277</v>
      </c>
      <c r="BY11" s="132" t="s">
        <v>277</v>
      </c>
      <c r="BZ11" s="132" t="s">
        <v>277</v>
      </c>
      <c r="CA11" s="132" t="s">
        <v>277</v>
      </c>
      <c r="CB11" s="132" t="s">
        <v>280</v>
      </c>
      <c r="CC11" s="132" t="s">
        <v>280</v>
      </c>
      <c r="CD11" s="132" t="s">
        <v>277</v>
      </c>
      <c r="CE11" s="132" t="s">
        <v>277</v>
      </c>
      <c r="CF11" s="132" t="s">
        <v>277</v>
      </c>
      <c r="CG11" s="132"/>
      <c r="CH11" s="132"/>
      <c r="CI11" s="159"/>
      <c r="CJ11" s="132"/>
      <c r="CK11" s="132"/>
      <c r="CL11" s="132"/>
      <c r="CM11" s="132"/>
      <c r="CN11" s="132"/>
      <c r="CO11" s="132"/>
      <c r="CP11" s="132"/>
      <c r="CQ11" s="132"/>
      <c r="CR11" s="132"/>
      <c r="CS11" s="132" t="s">
        <v>277</v>
      </c>
    </row>
    <row r="12" spans="1:97" ht="15.75">
      <c r="A12" s="129" t="s">
        <v>301</v>
      </c>
      <c r="B12" s="130" t="s">
        <v>277</v>
      </c>
      <c r="C12" s="132" t="s">
        <v>280</v>
      </c>
      <c r="D12" s="132" t="s">
        <v>277</v>
      </c>
      <c r="E12" s="132" t="s">
        <v>277</v>
      </c>
      <c r="F12" s="132" t="s">
        <v>280</v>
      </c>
      <c r="G12" s="132" t="s">
        <v>280</v>
      </c>
      <c r="H12" s="132" t="s">
        <v>277</v>
      </c>
      <c r="I12" s="132" t="s">
        <v>280</v>
      </c>
      <c r="J12" s="132" t="s">
        <v>277</v>
      </c>
      <c r="K12" s="132" t="s">
        <v>280</v>
      </c>
      <c r="L12" s="132" t="s">
        <v>277</v>
      </c>
      <c r="M12" s="132" t="s">
        <v>280</v>
      </c>
      <c r="N12" s="132" t="s">
        <v>280</v>
      </c>
      <c r="O12" s="132" t="s">
        <v>279</v>
      </c>
      <c r="P12" s="133" t="s">
        <v>277</v>
      </c>
      <c r="Q12" s="132" t="s">
        <v>280</v>
      </c>
      <c r="R12" s="132" t="s">
        <v>280</v>
      </c>
      <c r="S12" s="132" t="s">
        <v>280</v>
      </c>
      <c r="T12" s="132" t="s">
        <v>280</v>
      </c>
      <c r="U12" s="133" t="s">
        <v>280</v>
      </c>
      <c r="V12" s="132" t="s">
        <v>280</v>
      </c>
      <c r="W12" s="132" t="s">
        <v>277</v>
      </c>
      <c r="X12" s="132" t="s">
        <v>280</v>
      </c>
      <c r="Y12" s="132" t="s">
        <v>280</v>
      </c>
      <c r="Z12" s="132" t="s">
        <v>277</v>
      </c>
      <c r="AA12" s="132" t="s">
        <v>280</v>
      </c>
      <c r="AB12" s="132" t="s">
        <v>280</v>
      </c>
      <c r="AC12" s="132" t="s">
        <v>277</v>
      </c>
      <c r="AD12" s="132" t="s">
        <v>280</v>
      </c>
      <c r="AE12" s="159"/>
      <c r="AF12" s="132" t="s">
        <v>280</v>
      </c>
      <c r="AG12" s="132" t="s">
        <v>280</v>
      </c>
      <c r="AH12" s="132" t="s">
        <v>280</v>
      </c>
      <c r="AI12" s="132" t="s">
        <v>280</v>
      </c>
      <c r="AJ12" s="132" t="s">
        <v>277</v>
      </c>
      <c r="AK12" s="132" t="s">
        <v>277</v>
      </c>
      <c r="AL12" s="159"/>
      <c r="AM12" s="132" t="s">
        <v>280</v>
      </c>
      <c r="AN12" s="132" t="s">
        <v>280</v>
      </c>
      <c r="AO12" s="132" t="s">
        <v>280</v>
      </c>
      <c r="AP12" s="159"/>
      <c r="AQ12" s="132" t="s">
        <v>280</v>
      </c>
      <c r="AR12" s="132" t="s">
        <v>280</v>
      </c>
      <c r="AS12" s="159"/>
      <c r="AT12" s="132" t="s">
        <v>280</v>
      </c>
      <c r="AU12" s="132" t="s">
        <v>280</v>
      </c>
      <c r="AV12" s="132" t="s">
        <v>277</v>
      </c>
      <c r="AW12" s="132" t="s">
        <v>277</v>
      </c>
      <c r="AX12" s="132" t="s">
        <v>280</v>
      </c>
      <c r="AY12" s="159"/>
      <c r="AZ12" s="132" t="s">
        <v>280</v>
      </c>
      <c r="BA12" s="132" t="s">
        <v>280</v>
      </c>
      <c r="BB12" s="132" t="s">
        <v>280</v>
      </c>
      <c r="BC12" s="132" t="s">
        <v>277</v>
      </c>
      <c r="BD12" s="132" t="s">
        <v>280</v>
      </c>
      <c r="BE12" s="132" t="s">
        <v>277</v>
      </c>
      <c r="BF12" s="132" t="s">
        <v>280</v>
      </c>
      <c r="BG12" s="132" t="s">
        <v>280</v>
      </c>
      <c r="BH12" s="132" t="s">
        <v>277</v>
      </c>
      <c r="BI12" s="133" t="s">
        <v>280</v>
      </c>
      <c r="BJ12" s="159"/>
      <c r="BK12" s="133" t="s">
        <v>280</v>
      </c>
      <c r="BL12" s="133" t="s">
        <v>280</v>
      </c>
      <c r="BM12" s="132" t="s">
        <v>277</v>
      </c>
      <c r="BN12" s="133" t="s">
        <v>280</v>
      </c>
      <c r="BO12" s="132" t="s">
        <v>280</v>
      </c>
      <c r="BP12" s="132" t="s">
        <v>280</v>
      </c>
      <c r="BQ12" s="132" t="s">
        <v>280</v>
      </c>
      <c r="BR12" s="132" t="s">
        <v>277</v>
      </c>
      <c r="BS12" s="132" t="s">
        <v>280</v>
      </c>
      <c r="BT12" s="132" t="s">
        <v>280</v>
      </c>
      <c r="BU12" s="132" t="s">
        <v>277</v>
      </c>
      <c r="BV12" s="132" t="s">
        <v>277</v>
      </c>
      <c r="BW12" s="132" t="s">
        <v>280</v>
      </c>
      <c r="BX12" s="132" t="s">
        <v>280</v>
      </c>
      <c r="BY12" s="132" t="s">
        <v>277</v>
      </c>
      <c r="BZ12" s="132" t="s">
        <v>280</v>
      </c>
      <c r="CA12" s="132" t="s">
        <v>280</v>
      </c>
      <c r="CB12" s="132" t="s">
        <v>277</v>
      </c>
      <c r="CC12" s="132" t="s">
        <v>280</v>
      </c>
      <c r="CD12" s="132" t="s">
        <v>280</v>
      </c>
      <c r="CE12" s="132" t="s">
        <v>277</v>
      </c>
      <c r="CF12" s="132" t="s">
        <v>280</v>
      </c>
      <c r="CG12" s="132"/>
      <c r="CH12" s="132"/>
      <c r="CI12" s="159"/>
      <c r="CJ12" s="132"/>
      <c r="CK12" s="132"/>
      <c r="CL12" s="132"/>
      <c r="CM12" s="132"/>
      <c r="CN12" s="132"/>
      <c r="CO12" s="132"/>
      <c r="CP12" s="132"/>
      <c r="CQ12" s="132"/>
      <c r="CR12" s="132"/>
      <c r="CS12" s="132" t="s">
        <v>280</v>
      </c>
    </row>
    <row r="13" spans="1:97" ht="15.75">
      <c r="A13" s="129" t="s">
        <v>302</v>
      </c>
      <c r="B13" s="130" t="s">
        <v>277</v>
      </c>
      <c r="C13" s="132" t="s">
        <v>280</v>
      </c>
      <c r="D13" s="132" t="s">
        <v>280</v>
      </c>
      <c r="E13" s="132" t="s">
        <v>280</v>
      </c>
      <c r="F13" s="132" t="s">
        <v>280</v>
      </c>
      <c r="G13" s="132" t="s">
        <v>280</v>
      </c>
      <c r="H13" s="132" t="s">
        <v>280</v>
      </c>
      <c r="I13" s="132" t="s">
        <v>280</v>
      </c>
      <c r="J13" s="132" t="s">
        <v>277</v>
      </c>
      <c r="K13" s="132" t="s">
        <v>280</v>
      </c>
      <c r="L13" s="132" t="s">
        <v>280</v>
      </c>
      <c r="M13" s="132" t="s">
        <v>277</v>
      </c>
      <c r="N13" s="132" t="s">
        <v>280</v>
      </c>
      <c r="O13" s="132" t="s">
        <v>279</v>
      </c>
      <c r="P13" s="133" t="s">
        <v>280</v>
      </c>
      <c r="Q13" s="132" t="s">
        <v>280</v>
      </c>
      <c r="R13" s="132" t="s">
        <v>280</v>
      </c>
      <c r="S13" s="132" t="s">
        <v>280</v>
      </c>
      <c r="T13" s="132" t="s">
        <v>280</v>
      </c>
      <c r="U13" s="133" t="s">
        <v>280</v>
      </c>
      <c r="V13" s="132" t="s">
        <v>277</v>
      </c>
      <c r="W13" s="132" t="s">
        <v>280</v>
      </c>
      <c r="X13" s="132" t="s">
        <v>280</v>
      </c>
      <c r="Y13" s="132" t="s">
        <v>280</v>
      </c>
      <c r="Z13" s="132" t="s">
        <v>280</v>
      </c>
      <c r="AA13" s="132" t="s">
        <v>280</v>
      </c>
      <c r="AB13" s="132" t="s">
        <v>280</v>
      </c>
      <c r="AC13" s="132" t="s">
        <v>277</v>
      </c>
      <c r="AD13" s="132" t="s">
        <v>280</v>
      </c>
      <c r="AE13" s="160"/>
      <c r="AF13" s="132" t="s">
        <v>280</v>
      </c>
      <c r="AG13" s="132" t="s">
        <v>280</v>
      </c>
      <c r="AH13" s="132" t="s">
        <v>280</v>
      </c>
      <c r="AI13" s="132" t="s">
        <v>277</v>
      </c>
      <c r="AJ13" s="132" t="s">
        <v>280</v>
      </c>
      <c r="AK13" s="132" t="s">
        <v>280</v>
      </c>
      <c r="AL13" s="160"/>
      <c r="AM13" s="132" t="s">
        <v>280</v>
      </c>
      <c r="AN13" s="132" t="s">
        <v>280</v>
      </c>
      <c r="AO13" s="132" t="s">
        <v>280</v>
      </c>
      <c r="AP13" s="160"/>
      <c r="AQ13" s="132" t="s">
        <v>280</v>
      </c>
      <c r="AR13" s="132" t="s">
        <v>280</v>
      </c>
      <c r="AS13" s="160"/>
      <c r="AT13" s="132" t="s">
        <v>280</v>
      </c>
      <c r="AU13" s="132" t="s">
        <v>280</v>
      </c>
      <c r="AV13" s="132" t="s">
        <v>280</v>
      </c>
      <c r="AW13" s="132" t="s">
        <v>280</v>
      </c>
      <c r="AX13" s="132" t="s">
        <v>280</v>
      </c>
      <c r="AY13" s="160"/>
      <c r="AZ13" s="132" t="s">
        <v>280</v>
      </c>
      <c r="BA13" s="132" t="s">
        <v>280</v>
      </c>
      <c r="BB13" s="132" t="s">
        <v>280</v>
      </c>
      <c r="BC13" s="132" t="s">
        <v>280</v>
      </c>
      <c r="BD13" s="132" t="s">
        <v>280</v>
      </c>
      <c r="BE13" s="132" t="s">
        <v>280</v>
      </c>
      <c r="BF13" s="132" t="s">
        <v>280</v>
      </c>
      <c r="BG13" s="132" t="s">
        <v>280</v>
      </c>
      <c r="BH13" s="132" t="s">
        <v>280</v>
      </c>
      <c r="BI13" s="133" t="s">
        <v>280</v>
      </c>
      <c r="BJ13" s="160"/>
      <c r="BK13" s="133" t="s">
        <v>280</v>
      </c>
      <c r="BL13" s="133" t="s">
        <v>280</v>
      </c>
      <c r="BM13" s="132" t="s">
        <v>280</v>
      </c>
      <c r="BN13" s="133" t="s">
        <v>280</v>
      </c>
      <c r="BO13" s="132" t="s">
        <v>280</v>
      </c>
      <c r="BP13" s="132" t="s">
        <v>280</v>
      </c>
      <c r="BQ13" s="132" t="s">
        <v>280</v>
      </c>
      <c r="BR13" s="132" t="s">
        <v>300</v>
      </c>
      <c r="BS13" s="132" t="s">
        <v>280</v>
      </c>
      <c r="BT13" s="132" t="s">
        <v>280</v>
      </c>
      <c r="BU13" s="132" t="s">
        <v>280</v>
      </c>
      <c r="BV13" s="132" t="s">
        <v>280</v>
      </c>
      <c r="BW13" s="132" t="s">
        <v>280</v>
      </c>
      <c r="BX13" s="132" t="s">
        <v>280</v>
      </c>
      <c r="BY13" s="132" t="s">
        <v>280</v>
      </c>
      <c r="BZ13" s="132" t="s">
        <v>280</v>
      </c>
      <c r="CA13" s="132" t="s">
        <v>280</v>
      </c>
      <c r="CB13" s="132" t="s">
        <v>280</v>
      </c>
      <c r="CC13" s="132" t="s">
        <v>280</v>
      </c>
      <c r="CD13" s="132" t="s">
        <v>277</v>
      </c>
      <c r="CE13" s="132" t="s">
        <v>277</v>
      </c>
      <c r="CF13" s="132" t="s">
        <v>277</v>
      </c>
      <c r="CG13" s="132"/>
      <c r="CH13" s="132"/>
      <c r="CI13" s="160"/>
      <c r="CJ13" s="132"/>
      <c r="CK13" s="132"/>
      <c r="CL13" s="132"/>
      <c r="CM13" s="132"/>
      <c r="CN13" s="132"/>
      <c r="CO13" s="132"/>
      <c r="CP13" s="132"/>
      <c r="CQ13" s="132"/>
      <c r="CR13" s="132"/>
      <c r="CS13" s="132" t="s">
        <v>280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6" t="s">
        <v>303</v>
      </c>
      <c r="B1" s="136" t="s">
        <v>2</v>
      </c>
      <c r="C1" s="136" t="s">
        <v>4</v>
      </c>
      <c r="D1" s="136" t="s">
        <v>5</v>
      </c>
      <c r="E1" s="137" t="s">
        <v>8</v>
      </c>
      <c r="F1" s="137" t="s">
        <v>9</v>
      </c>
      <c r="G1" s="138" t="s">
        <v>10</v>
      </c>
      <c r="H1" s="137" t="s">
        <v>304</v>
      </c>
      <c r="I1" s="139" t="s">
        <v>305</v>
      </c>
      <c r="J1" s="140" t="s">
        <v>306</v>
      </c>
      <c r="K1" s="141" t="s">
        <v>307</v>
      </c>
      <c r="L1" s="139" t="s">
        <v>308</v>
      </c>
      <c r="M1" s="142"/>
      <c r="N1" s="142"/>
      <c r="O1" s="142"/>
      <c r="P1" s="142"/>
      <c r="Q1" s="142"/>
      <c r="R1" s="142"/>
      <c r="S1" s="142"/>
      <c r="T1" s="142"/>
      <c r="U1" s="142"/>
      <c r="V1" s="142"/>
      <c r="W1" s="142"/>
      <c r="X1" s="142"/>
      <c r="Y1" s="142"/>
      <c r="Z1" s="142"/>
    </row>
    <row r="2" spans="1:26" ht="38.25">
      <c r="A2" s="143" t="s">
        <v>309</v>
      </c>
      <c r="B2" s="144" t="s">
        <v>310</v>
      </c>
      <c r="C2" s="145"/>
      <c r="D2" s="145" t="s">
        <v>27</v>
      </c>
      <c r="E2" s="146">
        <v>45567</v>
      </c>
      <c r="F2" s="146">
        <v>45567</v>
      </c>
      <c r="G2" s="146">
        <v>45568</v>
      </c>
      <c r="H2" s="146">
        <v>45569</v>
      </c>
      <c r="I2" s="147">
        <f ca="1">IF(ISBLANK(H2), NETWORKDAYS(F2, TODAY(),Hoja2!$A$1:$A$18), NETWORKDAYS(F2, H2, Hoja2!$A$1:$A$18))</f>
        <v>3</v>
      </c>
      <c r="J2" s="146">
        <v>45572</v>
      </c>
      <c r="K2" s="148"/>
      <c r="L2" s="149" t="s">
        <v>311</v>
      </c>
      <c r="M2" s="142"/>
      <c r="N2" s="142"/>
      <c r="O2" s="142"/>
      <c r="P2" s="142"/>
      <c r="Q2" s="142"/>
      <c r="R2" s="142"/>
      <c r="S2" s="142"/>
      <c r="T2" s="142"/>
      <c r="U2" s="142"/>
      <c r="V2" s="142"/>
      <c r="W2" s="142"/>
      <c r="X2" s="142"/>
      <c r="Y2" s="142"/>
      <c r="Z2" s="142"/>
    </row>
    <row r="3" spans="1:26" ht="51">
      <c r="A3" s="143" t="s">
        <v>296</v>
      </c>
      <c r="B3" s="161" t="s">
        <v>312</v>
      </c>
      <c r="C3" s="150" t="s">
        <v>313</v>
      </c>
      <c r="D3" s="145" t="s">
        <v>173</v>
      </c>
      <c r="E3" s="146">
        <v>45575</v>
      </c>
      <c r="F3" s="146"/>
      <c r="G3" s="146"/>
      <c r="H3" s="148">
        <v>0</v>
      </c>
      <c r="I3" s="147">
        <f ca="1">IF(ISBLANK(H3), NETWORKDAYS(F3, TODAY(),Hoja2!$A$1:$A$18), NETWORKDAYS(F3, H3, Hoja2!$A$1:$A$18))</f>
        <v>0</v>
      </c>
      <c r="J3" s="146">
        <v>45569</v>
      </c>
      <c r="K3" s="146"/>
      <c r="L3" s="149" t="s">
        <v>314</v>
      </c>
      <c r="M3" s="151"/>
      <c r="N3" s="142"/>
      <c r="O3" s="142"/>
      <c r="P3" s="142"/>
      <c r="Q3" s="142"/>
      <c r="R3" s="142"/>
      <c r="S3" s="142"/>
      <c r="T3" s="142"/>
      <c r="U3" s="142"/>
      <c r="V3" s="142"/>
      <c r="W3" s="142"/>
      <c r="X3" s="142"/>
      <c r="Y3" s="142"/>
      <c r="Z3" s="142"/>
    </row>
    <row r="4" spans="1:26" ht="51">
      <c r="A4" s="143" t="s">
        <v>296</v>
      </c>
      <c r="B4" s="159"/>
      <c r="C4" s="152" t="s">
        <v>315</v>
      </c>
      <c r="D4" s="145" t="s">
        <v>173</v>
      </c>
      <c r="E4" s="146">
        <v>45575</v>
      </c>
      <c r="F4" s="153"/>
      <c r="G4" s="153"/>
      <c r="H4" s="154">
        <v>0</v>
      </c>
      <c r="I4" s="155">
        <f ca="1">IF(ISBLANK(H4), NETWORKDAYS(F4, TODAY(),Hoja2!$A$1:$A$18), NETWORKDAYS(F4, H4, Hoja2!$A$1:$A$18))</f>
        <v>0</v>
      </c>
      <c r="J4" s="153">
        <v>45569</v>
      </c>
      <c r="K4" s="153"/>
      <c r="L4" s="156" t="s">
        <v>316</v>
      </c>
      <c r="M4" s="151"/>
      <c r="N4" s="142"/>
      <c r="O4" s="142"/>
      <c r="P4" s="142"/>
      <c r="Q4" s="142"/>
      <c r="R4" s="142"/>
      <c r="S4" s="142"/>
      <c r="T4" s="142"/>
      <c r="U4" s="142"/>
      <c r="V4" s="142"/>
      <c r="W4" s="142"/>
      <c r="X4" s="142"/>
      <c r="Y4" s="142"/>
      <c r="Z4" s="142"/>
    </row>
    <row r="5" spans="1:26" ht="51">
      <c r="A5" s="143" t="s">
        <v>296</v>
      </c>
      <c r="B5" s="139" t="s">
        <v>317</v>
      </c>
      <c r="C5" s="145" t="s">
        <v>318</v>
      </c>
      <c r="D5" s="145" t="s">
        <v>173</v>
      </c>
      <c r="E5" s="146">
        <v>45575</v>
      </c>
      <c r="F5" s="146"/>
      <c r="G5" s="146"/>
      <c r="H5" s="148">
        <v>0</v>
      </c>
      <c r="I5" s="147">
        <f ca="1">IF(ISBLANK(H5), NETWORKDAYS(F5, TODAY(),Hoja2!$A$1:$A$18), NETWORKDAYS(F5, H5, Hoja2!$A$1:$A$18))</f>
        <v>0</v>
      </c>
      <c r="J5" s="146">
        <v>45569</v>
      </c>
      <c r="K5" s="146"/>
      <c r="L5" s="149" t="s">
        <v>316</v>
      </c>
      <c r="M5" s="151"/>
      <c r="N5" s="142"/>
      <c r="O5" s="142"/>
      <c r="P5" s="142"/>
      <c r="Q5" s="142"/>
      <c r="R5" s="142"/>
      <c r="S5" s="142"/>
      <c r="T5" s="142"/>
      <c r="U5" s="142"/>
      <c r="V5" s="142"/>
      <c r="W5" s="142"/>
      <c r="X5" s="142"/>
      <c r="Y5" s="142"/>
      <c r="Z5" s="142"/>
    </row>
    <row r="6" spans="1:26">
      <c r="A6" s="157"/>
      <c r="B6" s="157"/>
      <c r="C6" s="157"/>
      <c r="D6" s="157"/>
      <c r="E6" s="157"/>
      <c r="F6" s="157"/>
      <c r="G6" s="157"/>
      <c r="H6" s="157"/>
      <c r="I6" s="157"/>
      <c r="J6" s="157"/>
      <c r="K6" s="157"/>
      <c r="L6" s="157"/>
      <c r="M6" s="157"/>
      <c r="N6" s="157"/>
      <c r="O6" s="157"/>
      <c r="P6" s="157"/>
      <c r="Q6" s="157"/>
      <c r="R6" s="157"/>
      <c r="S6" s="157"/>
      <c r="T6" s="157"/>
      <c r="U6" s="157"/>
      <c r="V6" s="157"/>
      <c r="W6" s="157"/>
      <c r="X6" s="157"/>
      <c r="Y6" s="157"/>
      <c r="Z6" s="157"/>
    </row>
    <row r="7" spans="1:26">
      <c r="A7" s="157"/>
      <c r="B7" s="157"/>
      <c r="C7" s="157"/>
      <c r="D7" s="157"/>
      <c r="E7" s="157"/>
      <c r="F7" s="157"/>
      <c r="G7" s="157"/>
      <c r="H7" s="157"/>
      <c r="I7" s="157"/>
      <c r="J7" s="157"/>
      <c r="K7" s="157"/>
      <c r="L7" s="157"/>
      <c r="M7" s="157"/>
      <c r="N7" s="157"/>
      <c r="O7" s="157"/>
      <c r="P7" s="157"/>
      <c r="Q7" s="157"/>
      <c r="R7" s="157"/>
      <c r="S7" s="157"/>
      <c r="T7" s="157"/>
      <c r="U7" s="157"/>
      <c r="V7" s="157"/>
      <c r="W7" s="157"/>
      <c r="X7" s="157"/>
      <c r="Y7" s="157"/>
      <c r="Z7" s="157"/>
    </row>
    <row r="8" spans="1:26">
      <c r="A8" s="157"/>
      <c r="B8" s="157"/>
      <c r="C8" s="157"/>
      <c r="D8" s="157"/>
      <c r="E8" s="157"/>
      <c r="F8" s="157"/>
      <c r="G8" s="157"/>
      <c r="H8" s="157"/>
      <c r="I8" s="157"/>
      <c r="J8" s="157"/>
      <c r="K8" s="157"/>
      <c r="L8" s="157"/>
      <c r="M8" s="157"/>
      <c r="N8" s="157"/>
      <c r="O8" s="157"/>
      <c r="P8" s="157"/>
      <c r="Q8" s="157"/>
      <c r="R8" s="157"/>
      <c r="S8" s="157"/>
      <c r="T8" s="157"/>
      <c r="U8" s="157"/>
      <c r="V8" s="157"/>
      <c r="W8" s="157"/>
      <c r="X8" s="157"/>
      <c r="Y8" s="157"/>
      <c r="Z8" s="157"/>
    </row>
    <row r="9" spans="1:26">
      <c r="A9" s="157"/>
      <c r="B9" s="157"/>
      <c r="C9" s="157"/>
      <c r="D9" s="157"/>
      <c r="E9" s="157"/>
      <c r="F9" s="157"/>
      <c r="G9" s="157"/>
      <c r="H9" s="157"/>
      <c r="I9" s="157"/>
      <c r="J9" s="157"/>
      <c r="K9" s="157"/>
      <c r="L9" s="157"/>
      <c r="M9" s="157"/>
      <c r="N9" s="157"/>
      <c r="O9" s="157"/>
      <c r="P9" s="157"/>
      <c r="Q9" s="157"/>
      <c r="R9" s="157"/>
      <c r="S9" s="157"/>
      <c r="T9" s="157"/>
      <c r="U9" s="157"/>
      <c r="V9" s="157"/>
      <c r="W9" s="157"/>
      <c r="X9" s="157"/>
      <c r="Y9" s="157"/>
      <c r="Z9" s="157"/>
    </row>
    <row r="10" spans="1:26">
      <c r="A10" s="157"/>
      <c r="B10" s="157"/>
      <c r="C10" s="157"/>
      <c r="D10" s="157"/>
      <c r="E10" s="157"/>
      <c r="F10" s="157"/>
      <c r="G10" s="157"/>
      <c r="H10" s="157"/>
      <c r="I10" s="157"/>
      <c r="J10" s="157"/>
      <c r="K10" s="157"/>
      <c r="L10" s="157"/>
      <c r="M10" s="157"/>
      <c r="N10" s="157"/>
      <c r="O10" s="157"/>
      <c r="P10" s="157"/>
      <c r="Q10" s="157"/>
      <c r="R10" s="157"/>
      <c r="S10" s="157"/>
      <c r="T10" s="157"/>
      <c r="U10" s="157"/>
      <c r="V10" s="157"/>
      <c r="W10" s="157"/>
      <c r="X10" s="157"/>
      <c r="Y10" s="157"/>
      <c r="Z10" s="157"/>
    </row>
    <row r="11" spans="1:26">
      <c r="A11" s="157"/>
      <c r="B11" s="157"/>
      <c r="C11" s="157"/>
      <c r="D11" s="157"/>
      <c r="E11" s="157"/>
      <c r="F11" s="157"/>
      <c r="G11" s="157"/>
      <c r="H11" s="157"/>
      <c r="I11" s="157"/>
      <c r="J11" s="157"/>
      <c r="K11" s="157"/>
      <c r="L11" s="157"/>
      <c r="M11" s="157"/>
      <c r="N11" s="157"/>
      <c r="O11" s="157"/>
      <c r="P11" s="157"/>
      <c r="Q11" s="157"/>
      <c r="R11" s="157"/>
      <c r="S11" s="157"/>
      <c r="T11" s="157"/>
      <c r="U11" s="157"/>
      <c r="V11" s="157"/>
      <c r="W11" s="157"/>
      <c r="X11" s="157"/>
      <c r="Y11" s="157"/>
      <c r="Z11" s="157"/>
    </row>
    <row r="12" spans="1:26">
      <c r="A12" s="157"/>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7"/>
    </row>
    <row r="13" spans="1:26">
      <c r="A13" s="157"/>
      <c r="B13" s="157"/>
      <c r="C13" s="157"/>
      <c r="D13" s="157"/>
      <c r="E13" s="157"/>
      <c r="F13" s="157"/>
      <c r="G13" s="157"/>
      <c r="H13" s="157"/>
      <c r="I13" s="157"/>
      <c r="J13" s="157"/>
      <c r="K13" s="157"/>
      <c r="L13" s="157"/>
      <c r="M13" s="157"/>
      <c r="N13" s="157"/>
      <c r="O13" s="157"/>
      <c r="P13" s="157"/>
      <c r="Q13" s="157"/>
      <c r="R13" s="157"/>
      <c r="S13" s="157"/>
      <c r="T13" s="157"/>
      <c r="U13" s="157"/>
      <c r="V13" s="157"/>
      <c r="W13" s="157"/>
      <c r="X13" s="157"/>
      <c r="Y13" s="157"/>
      <c r="Z13" s="157"/>
    </row>
    <row r="14" spans="1:26">
      <c r="A14" s="157"/>
      <c r="B14" s="157"/>
      <c r="C14" s="157"/>
      <c r="D14" s="157"/>
      <c r="E14" s="157"/>
      <c r="F14" s="157"/>
      <c r="G14" s="157"/>
      <c r="H14" s="157"/>
      <c r="I14" s="157"/>
      <c r="J14" s="157"/>
      <c r="K14" s="157"/>
      <c r="L14" s="157"/>
      <c r="M14" s="157"/>
      <c r="N14" s="157"/>
      <c r="O14" s="157"/>
      <c r="P14" s="157"/>
      <c r="Q14" s="157"/>
      <c r="R14" s="157"/>
      <c r="S14" s="157"/>
      <c r="T14" s="157"/>
      <c r="U14" s="157"/>
      <c r="V14" s="157"/>
      <c r="W14" s="157"/>
      <c r="X14" s="157"/>
      <c r="Y14" s="157"/>
      <c r="Z14" s="157"/>
    </row>
    <row r="15" spans="1:26">
      <c r="A15" s="157"/>
      <c r="B15" s="157"/>
      <c r="C15" s="157"/>
      <c r="D15" s="157"/>
      <c r="E15" s="157"/>
      <c r="F15" s="157"/>
      <c r="G15" s="157"/>
      <c r="H15" s="157"/>
      <c r="I15" s="157"/>
      <c r="J15" s="157"/>
      <c r="K15" s="157"/>
      <c r="L15" s="157"/>
      <c r="M15" s="157"/>
      <c r="N15" s="157"/>
      <c r="O15" s="157"/>
      <c r="P15" s="157"/>
      <c r="Q15" s="157"/>
      <c r="R15" s="157"/>
      <c r="S15" s="157"/>
      <c r="T15" s="157"/>
      <c r="U15" s="157"/>
      <c r="V15" s="157"/>
      <c r="W15" s="157"/>
      <c r="X15" s="157"/>
      <c r="Y15" s="157"/>
      <c r="Z15" s="157"/>
    </row>
    <row r="16" spans="1:26">
      <c r="A16" s="157"/>
      <c r="B16" s="157"/>
      <c r="C16" s="157"/>
      <c r="D16" s="157"/>
      <c r="E16" s="157"/>
      <c r="F16" s="157"/>
      <c r="G16" s="157"/>
      <c r="H16" s="157"/>
      <c r="I16" s="157"/>
      <c r="J16" s="157"/>
      <c r="K16" s="157"/>
      <c r="L16" s="157"/>
      <c r="M16" s="157"/>
      <c r="N16" s="157"/>
      <c r="O16" s="157"/>
      <c r="P16" s="157"/>
      <c r="Q16" s="157"/>
      <c r="R16" s="157"/>
      <c r="S16" s="157"/>
      <c r="T16" s="157"/>
      <c r="U16" s="157"/>
      <c r="V16" s="157"/>
      <c r="W16" s="157"/>
      <c r="X16" s="157"/>
      <c r="Y16" s="157"/>
      <c r="Z16" s="157"/>
    </row>
    <row r="17" spans="1:26">
      <c r="A17" s="157"/>
      <c r="B17" s="157"/>
      <c r="C17" s="157"/>
      <c r="D17" s="157"/>
      <c r="E17" s="157"/>
      <c r="F17" s="157"/>
      <c r="G17" s="157"/>
      <c r="H17" s="157"/>
      <c r="I17" s="157"/>
      <c r="J17" s="157"/>
      <c r="K17" s="157"/>
      <c r="L17" s="157"/>
      <c r="M17" s="157"/>
      <c r="N17" s="157"/>
      <c r="O17" s="157"/>
      <c r="P17" s="157"/>
      <c r="Q17" s="157"/>
      <c r="R17" s="157"/>
      <c r="S17" s="157"/>
      <c r="T17" s="157"/>
      <c r="U17" s="157"/>
      <c r="V17" s="157"/>
      <c r="W17" s="157"/>
      <c r="X17" s="157"/>
      <c r="Y17" s="157"/>
      <c r="Z17" s="157"/>
    </row>
    <row r="18" spans="1:26">
      <c r="A18" s="157"/>
      <c r="B18" s="157"/>
      <c r="C18" s="157"/>
      <c r="D18" s="157"/>
      <c r="E18" s="157"/>
      <c r="F18" s="157"/>
      <c r="G18" s="157"/>
      <c r="H18" s="157"/>
      <c r="I18" s="157"/>
      <c r="J18" s="157"/>
      <c r="K18" s="157"/>
      <c r="L18" s="157"/>
      <c r="M18" s="157"/>
      <c r="N18" s="157"/>
      <c r="O18" s="157"/>
      <c r="P18" s="157"/>
      <c r="Q18" s="157"/>
      <c r="R18" s="157"/>
      <c r="S18" s="157"/>
      <c r="T18" s="157"/>
      <c r="U18" s="157"/>
      <c r="V18" s="157"/>
      <c r="W18" s="157"/>
      <c r="X18" s="157"/>
      <c r="Y18" s="157"/>
      <c r="Z18" s="157"/>
    </row>
    <row r="19" spans="1:26">
      <c r="A19" s="157"/>
      <c r="B19" s="157"/>
      <c r="C19" s="157"/>
      <c r="D19" s="157"/>
      <c r="E19" s="157"/>
      <c r="F19" s="157"/>
      <c r="G19" s="157"/>
      <c r="H19" s="157"/>
      <c r="I19" s="157"/>
      <c r="J19" s="157"/>
      <c r="K19" s="157"/>
      <c r="L19" s="157"/>
      <c r="M19" s="157"/>
      <c r="N19" s="157"/>
      <c r="O19" s="157"/>
      <c r="P19" s="157"/>
      <c r="Q19" s="157"/>
      <c r="R19" s="157"/>
      <c r="S19" s="157"/>
      <c r="T19" s="157"/>
      <c r="U19" s="157"/>
      <c r="V19" s="157"/>
      <c r="W19" s="157"/>
      <c r="X19" s="157"/>
      <c r="Y19" s="157"/>
      <c r="Z19" s="157"/>
    </row>
    <row r="20" spans="1:26">
      <c r="A20" s="157"/>
      <c r="B20" s="157"/>
      <c r="C20" s="157"/>
      <c r="D20" s="157"/>
      <c r="E20" s="157"/>
      <c r="F20" s="157"/>
      <c r="G20" s="157"/>
      <c r="H20" s="157"/>
      <c r="I20" s="157"/>
      <c r="J20" s="157"/>
      <c r="K20" s="157"/>
      <c r="L20" s="157"/>
      <c r="M20" s="157"/>
      <c r="N20" s="157"/>
      <c r="O20" s="157"/>
      <c r="P20" s="157"/>
      <c r="Q20" s="157"/>
      <c r="R20" s="157"/>
      <c r="S20" s="157"/>
      <c r="T20" s="157"/>
      <c r="U20" s="157"/>
      <c r="V20" s="157"/>
      <c r="W20" s="157"/>
      <c r="X20" s="157"/>
      <c r="Y20" s="157"/>
      <c r="Z20" s="157"/>
    </row>
    <row r="21" spans="1:26" ht="15.75" customHeight="1">
      <c r="A21" s="157"/>
      <c r="B21" s="157"/>
      <c r="C21" s="157"/>
      <c r="D21" s="157"/>
      <c r="E21" s="157"/>
      <c r="F21" s="157"/>
      <c r="G21" s="157"/>
      <c r="H21" s="157"/>
      <c r="I21" s="157"/>
      <c r="J21" s="157"/>
      <c r="K21" s="157"/>
      <c r="L21" s="157"/>
      <c r="M21" s="157"/>
      <c r="N21" s="157"/>
      <c r="O21" s="157"/>
      <c r="P21" s="157"/>
      <c r="Q21" s="157"/>
      <c r="R21" s="157"/>
      <c r="S21" s="157"/>
      <c r="T21" s="157"/>
      <c r="U21" s="157"/>
      <c r="V21" s="157"/>
      <c r="W21" s="157"/>
      <c r="X21" s="157"/>
      <c r="Y21" s="157"/>
      <c r="Z21" s="157"/>
    </row>
    <row r="22" spans="1:26" ht="15.75" customHeight="1">
      <c r="A22" s="157"/>
      <c r="B22" s="157"/>
      <c r="C22" s="157"/>
      <c r="D22" s="157"/>
      <c r="E22" s="157"/>
      <c r="F22" s="157"/>
      <c r="G22" s="157"/>
      <c r="H22" s="157"/>
      <c r="I22" s="157"/>
      <c r="J22" s="157"/>
      <c r="K22" s="157"/>
      <c r="L22" s="157"/>
      <c r="M22" s="157"/>
      <c r="N22" s="157"/>
      <c r="O22" s="157"/>
      <c r="P22" s="157"/>
      <c r="Q22" s="157"/>
      <c r="R22" s="157"/>
      <c r="S22" s="157"/>
      <c r="T22" s="157"/>
      <c r="U22" s="157"/>
      <c r="V22" s="157"/>
      <c r="W22" s="157"/>
      <c r="X22" s="157"/>
      <c r="Y22" s="157"/>
      <c r="Z22" s="157"/>
    </row>
    <row r="23" spans="1:26" ht="15.75" customHeight="1">
      <c r="A23" s="157"/>
      <c r="B23" s="157"/>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row>
    <row r="24" spans="1:26" ht="15.75" customHeight="1">
      <c r="A24" s="157"/>
      <c r="B24" s="157"/>
      <c r="C24" s="157"/>
      <c r="D24" s="157"/>
      <c r="E24" s="157"/>
      <c r="F24" s="157"/>
      <c r="G24" s="157"/>
      <c r="H24" s="157"/>
      <c r="I24" s="157"/>
      <c r="J24" s="157"/>
      <c r="K24" s="157"/>
      <c r="L24" s="157"/>
      <c r="M24" s="157"/>
      <c r="N24" s="157"/>
      <c r="O24" s="157"/>
      <c r="P24" s="157"/>
      <c r="Q24" s="157"/>
      <c r="R24" s="157"/>
      <c r="S24" s="157"/>
      <c r="T24" s="157"/>
      <c r="U24" s="157"/>
      <c r="V24" s="157"/>
      <c r="W24" s="157"/>
      <c r="X24" s="157"/>
      <c r="Y24" s="157"/>
      <c r="Z24" s="157"/>
    </row>
    <row r="25" spans="1:26" ht="15.75" customHeight="1">
      <c r="A25" s="157"/>
      <c r="B25" s="157"/>
      <c r="C25" s="157"/>
      <c r="D25" s="157"/>
      <c r="E25" s="157"/>
      <c r="F25" s="157"/>
      <c r="G25" s="157"/>
      <c r="H25" s="157"/>
      <c r="I25" s="157"/>
      <c r="J25" s="157"/>
      <c r="K25" s="157"/>
      <c r="L25" s="157"/>
      <c r="M25" s="157"/>
      <c r="N25" s="157"/>
      <c r="O25" s="157"/>
      <c r="P25" s="157"/>
      <c r="Q25" s="157"/>
      <c r="R25" s="157"/>
      <c r="S25" s="157"/>
      <c r="T25" s="157"/>
      <c r="U25" s="157"/>
      <c r="V25" s="157"/>
      <c r="W25" s="157"/>
      <c r="X25" s="157"/>
      <c r="Y25" s="157"/>
      <c r="Z25" s="157"/>
    </row>
    <row r="26" spans="1:26" ht="15.75" customHeight="1">
      <c r="A26" s="157"/>
      <c r="B26" s="157"/>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row>
    <row r="27" spans="1:26" ht="15.75" customHeight="1">
      <c r="A27" s="157"/>
      <c r="B27" s="157"/>
      <c r="C27" s="157"/>
      <c r="D27" s="157"/>
      <c r="E27" s="157"/>
      <c r="F27" s="157"/>
      <c r="G27" s="157"/>
      <c r="H27" s="157"/>
      <c r="I27" s="157"/>
      <c r="J27" s="157"/>
      <c r="K27" s="157"/>
      <c r="L27" s="157"/>
      <c r="M27" s="157"/>
      <c r="N27" s="157"/>
      <c r="O27" s="157"/>
      <c r="P27" s="157"/>
      <c r="Q27" s="157"/>
      <c r="R27" s="157"/>
      <c r="S27" s="157"/>
      <c r="T27" s="157"/>
      <c r="U27" s="157"/>
      <c r="V27" s="157"/>
      <c r="W27" s="157"/>
      <c r="X27" s="157"/>
      <c r="Y27" s="157"/>
      <c r="Z27" s="157"/>
    </row>
    <row r="28" spans="1:26" ht="15.75" customHeight="1">
      <c r="A28" s="157"/>
      <c r="B28" s="157"/>
      <c r="C28" s="157"/>
      <c r="D28" s="157"/>
      <c r="E28" s="157"/>
      <c r="F28" s="157"/>
      <c r="G28" s="157"/>
      <c r="H28" s="157"/>
      <c r="I28" s="157"/>
      <c r="J28" s="157"/>
      <c r="K28" s="157"/>
      <c r="L28" s="157"/>
      <c r="M28" s="157"/>
      <c r="N28" s="157"/>
      <c r="O28" s="157"/>
      <c r="P28" s="157"/>
      <c r="Q28" s="157"/>
      <c r="R28" s="157"/>
      <c r="S28" s="157"/>
      <c r="T28" s="157"/>
      <c r="U28" s="157"/>
      <c r="V28" s="157"/>
      <c r="W28" s="157"/>
      <c r="X28" s="157"/>
      <c r="Y28" s="157"/>
      <c r="Z28" s="157"/>
    </row>
    <row r="29" spans="1:26" ht="15.75" customHeight="1">
      <c r="A29" s="157"/>
      <c r="B29" s="157"/>
      <c r="C29" s="157"/>
      <c r="D29" s="157"/>
      <c r="E29" s="157"/>
      <c r="F29" s="157"/>
      <c r="G29" s="157"/>
      <c r="H29" s="157"/>
      <c r="I29" s="157"/>
      <c r="J29" s="157"/>
      <c r="K29" s="157"/>
      <c r="L29" s="157"/>
      <c r="M29" s="157"/>
      <c r="N29" s="157"/>
      <c r="O29" s="157"/>
      <c r="P29" s="157"/>
      <c r="Q29" s="157"/>
      <c r="R29" s="157"/>
      <c r="S29" s="157"/>
      <c r="T29" s="157"/>
      <c r="U29" s="157"/>
      <c r="V29" s="157"/>
      <c r="W29" s="157"/>
      <c r="X29" s="157"/>
      <c r="Y29" s="157"/>
      <c r="Z29" s="157"/>
    </row>
    <row r="30" spans="1:26" ht="15.75" customHeight="1">
      <c r="A30" s="157"/>
      <c r="B30" s="157"/>
      <c r="C30" s="157"/>
      <c r="D30" s="157"/>
      <c r="E30" s="157"/>
      <c r="F30" s="157"/>
      <c r="G30" s="157"/>
      <c r="H30" s="157"/>
      <c r="I30" s="157"/>
      <c r="J30" s="157"/>
      <c r="K30" s="157"/>
      <c r="L30" s="157"/>
      <c r="M30" s="157"/>
      <c r="N30" s="157"/>
      <c r="O30" s="157"/>
      <c r="P30" s="157"/>
      <c r="Q30" s="157"/>
      <c r="R30" s="157"/>
      <c r="S30" s="157"/>
      <c r="T30" s="157"/>
      <c r="U30" s="157"/>
      <c r="V30" s="157"/>
      <c r="W30" s="157"/>
      <c r="X30" s="157"/>
      <c r="Y30" s="157"/>
      <c r="Z30" s="157"/>
    </row>
    <row r="31" spans="1:26" ht="15.75" customHeight="1">
      <c r="A31" s="157"/>
      <c r="B31" s="157"/>
      <c r="C31" s="157"/>
      <c r="D31" s="157"/>
      <c r="E31" s="157"/>
      <c r="F31" s="157"/>
      <c r="G31" s="157"/>
      <c r="H31" s="157"/>
      <c r="I31" s="157"/>
      <c r="J31" s="157"/>
      <c r="K31" s="157"/>
      <c r="L31" s="157"/>
      <c r="M31" s="157"/>
      <c r="N31" s="157"/>
      <c r="O31" s="157"/>
      <c r="P31" s="157"/>
      <c r="Q31" s="157"/>
      <c r="R31" s="157"/>
      <c r="S31" s="157"/>
      <c r="T31" s="157"/>
      <c r="U31" s="157"/>
      <c r="V31" s="157"/>
      <c r="W31" s="157"/>
      <c r="X31" s="157"/>
      <c r="Y31" s="157"/>
      <c r="Z31" s="157"/>
    </row>
    <row r="32" spans="1:26" ht="15.75" customHeight="1">
      <c r="A32" s="157"/>
      <c r="B32" s="157"/>
      <c r="C32" s="157"/>
      <c r="D32" s="157"/>
      <c r="E32" s="157"/>
      <c r="F32" s="157"/>
      <c r="G32" s="157"/>
      <c r="H32" s="157"/>
      <c r="I32" s="157"/>
      <c r="J32" s="157"/>
      <c r="K32" s="157"/>
      <c r="L32" s="157"/>
      <c r="M32" s="157"/>
      <c r="N32" s="157"/>
      <c r="O32" s="157"/>
      <c r="P32" s="157"/>
      <c r="Q32" s="157"/>
      <c r="R32" s="157"/>
      <c r="S32" s="157"/>
      <c r="T32" s="157"/>
      <c r="U32" s="157"/>
      <c r="V32" s="157"/>
      <c r="W32" s="157"/>
      <c r="X32" s="157"/>
      <c r="Y32" s="157"/>
      <c r="Z32" s="157"/>
    </row>
    <row r="33" spans="1:26" ht="15.75" customHeight="1">
      <c r="A33" s="157"/>
      <c r="B33" s="157"/>
      <c r="C33" s="157"/>
      <c r="D33" s="157"/>
      <c r="E33" s="157"/>
      <c r="F33" s="157"/>
      <c r="G33" s="157"/>
      <c r="H33" s="157"/>
      <c r="I33" s="157"/>
      <c r="J33" s="157"/>
      <c r="K33" s="157"/>
      <c r="L33" s="157"/>
      <c r="M33" s="157"/>
      <c r="N33" s="157"/>
      <c r="O33" s="157"/>
      <c r="P33" s="157"/>
      <c r="Q33" s="157"/>
      <c r="R33" s="157"/>
      <c r="S33" s="157"/>
      <c r="T33" s="157"/>
      <c r="U33" s="157"/>
      <c r="V33" s="157"/>
      <c r="W33" s="157"/>
      <c r="X33" s="157"/>
      <c r="Y33" s="157"/>
      <c r="Z33" s="157"/>
    </row>
    <row r="34" spans="1:26" ht="15.75" customHeight="1">
      <c r="A34" s="157"/>
      <c r="B34" s="157"/>
      <c r="C34" s="157"/>
      <c r="D34" s="157"/>
      <c r="E34" s="157"/>
      <c r="F34" s="157"/>
      <c r="G34" s="157"/>
      <c r="H34" s="157"/>
      <c r="I34" s="157"/>
      <c r="J34" s="157"/>
      <c r="K34" s="157"/>
      <c r="L34" s="157"/>
      <c r="M34" s="157"/>
      <c r="N34" s="157"/>
      <c r="O34" s="157"/>
      <c r="P34" s="157"/>
      <c r="Q34" s="157"/>
      <c r="R34" s="157"/>
      <c r="S34" s="157"/>
      <c r="T34" s="157"/>
      <c r="U34" s="157"/>
      <c r="V34" s="157"/>
      <c r="W34" s="157"/>
      <c r="X34" s="157"/>
      <c r="Y34" s="157"/>
      <c r="Z34" s="157"/>
    </row>
    <row r="35" spans="1:26" ht="15.75" customHeight="1">
      <c r="A35" s="157"/>
      <c r="B35" s="157"/>
      <c r="C35" s="157"/>
      <c r="D35" s="157"/>
      <c r="E35" s="157"/>
      <c r="F35" s="157"/>
      <c r="G35" s="157"/>
      <c r="H35" s="157"/>
      <c r="I35" s="157"/>
      <c r="J35" s="157"/>
      <c r="K35" s="157"/>
      <c r="L35" s="157"/>
      <c r="M35" s="157"/>
      <c r="N35" s="157"/>
      <c r="O35" s="157"/>
      <c r="P35" s="157"/>
      <c r="Q35" s="157"/>
      <c r="R35" s="157"/>
      <c r="S35" s="157"/>
      <c r="T35" s="157"/>
      <c r="U35" s="157"/>
      <c r="V35" s="157"/>
      <c r="W35" s="157"/>
      <c r="X35" s="157"/>
      <c r="Y35" s="157"/>
      <c r="Z35" s="157"/>
    </row>
    <row r="36" spans="1:26" ht="15.75" customHeight="1">
      <c r="A36" s="157"/>
      <c r="B36" s="157"/>
      <c r="C36" s="157"/>
      <c r="D36" s="157"/>
      <c r="E36" s="157"/>
      <c r="F36" s="157"/>
      <c r="G36" s="157"/>
      <c r="H36" s="157"/>
      <c r="I36" s="157"/>
      <c r="J36" s="157"/>
      <c r="K36" s="157"/>
      <c r="L36" s="157"/>
      <c r="M36" s="157"/>
      <c r="N36" s="157"/>
      <c r="O36" s="157"/>
      <c r="P36" s="157"/>
      <c r="Q36" s="157"/>
      <c r="R36" s="157"/>
      <c r="S36" s="157"/>
      <c r="T36" s="157"/>
      <c r="U36" s="157"/>
      <c r="V36" s="157"/>
      <c r="W36" s="157"/>
      <c r="X36" s="157"/>
      <c r="Y36" s="157"/>
      <c r="Z36" s="157"/>
    </row>
    <row r="37" spans="1:26" ht="15.75" customHeight="1">
      <c r="A37" s="157"/>
      <c r="B37" s="157"/>
      <c r="C37" s="157"/>
      <c r="D37" s="157"/>
      <c r="E37" s="157"/>
      <c r="F37" s="157"/>
      <c r="G37" s="157"/>
      <c r="H37" s="157"/>
      <c r="I37" s="157"/>
      <c r="J37" s="157"/>
      <c r="K37" s="157"/>
      <c r="L37" s="157"/>
      <c r="M37" s="157"/>
      <c r="N37" s="157"/>
      <c r="O37" s="157"/>
      <c r="P37" s="157"/>
      <c r="Q37" s="157"/>
      <c r="R37" s="157"/>
      <c r="S37" s="157"/>
      <c r="T37" s="157"/>
      <c r="U37" s="157"/>
      <c r="V37" s="157"/>
      <c r="W37" s="157"/>
      <c r="X37" s="157"/>
      <c r="Y37" s="157"/>
      <c r="Z37" s="157"/>
    </row>
    <row r="38" spans="1:26" ht="15.75" customHeight="1">
      <c r="A38" s="157"/>
      <c r="B38" s="157"/>
      <c r="C38" s="157"/>
      <c r="D38" s="157"/>
      <c r="E38" s="157"/>
      <c r="F38" s="157"/>
      <c r="G38" s="157"/>
      <c r="H38" s="157"/>
      <c r="I38" s="157"/>
      <c r="J38" s="157"/>
      <c r="K38" s="157"/>
      <c r="L38" s="157"/>
      <c r="M38" s="157"/>
      <c r="N38" s="157"/>
      <c r="O38" s="157"/>
      <c r="P38" s="157"/>
      <c r="Q38" s="157"/>
      <c r="R38" s="157"/>
      <c r="S38" s="157"/>
      <c r="T38" s="157"/>
      <c r="U38" s="157"/>
      <c r="V38" s="157"/>
      <c r="W38" s="157"/>
      <c r="X38" s="157"/>
      <c r="Y38" s="157"/>
      <c r="Z38" s="157"/>
    </row>
    <row r="39" spans="1:26" ht="15.75" customHeight="1">
      <c r="A39" s="157"/>
      <c r="B39" s="157"/>
      <c r="C39" s="157"/>
      <c r="D39" s="157"/>
      <c r="E39" s="157"/>
      <c r="F39" s="157"/>
      <c r="G39" s="157"/>
      <c r="H39" s="157"/>
      <c r="I39" s="157"/>
      <c r="J39" s="157"/>
      <c r="K39" s="157"/>
      <c r="L39" s="157"/>
      <c r="M39" s="157"/>
      <c r="N39" s="157"/>
      <c r="O39" s="157"/>
      <c r="P39" s="157"/>
      <c r="Q39" s="157"/>
      <c r="R39" s="157"/>
      <c r="S39" s="157"/>
      <c r="T39" s="157"/>
      <c r="U39" s="157"/>
      <c r="V39" s="157"/>
      <c r="W39" s="157"/>
      <c r="X39" s="157"/>
      <c r="Y39" s="157"/>
      <c r="Z39" s="157"/>
    </row>
    <row r="40" spans="1:26" ht="15.75" customHeight="1">
      <c r="A40" s="157"/>
      <c r="B40" s="157"/>
      <c r="C40" s="157"/>
      <c r="D40" s="157"/>
      <c r="E40" s="157"/>
      <c r="F40" s="157"/>
      <c r="G40" s="157"/>
      <c r="H40" s="157"/>
      <c r="I40" s="157"/>
      <c r="J40" s="157"/>
      <c r="K40" s="157"/>
      <c r="L40" s="157"/>
      <c r="M40" s="157"/>
      <c r="N40" s="157"/>
      <c r="O40" s="157"/>
      <c r="P40" s="157"/>
      <c r="Q40" s="157"/>
      <c r="R40" s="157"/>
      <c r="S40" s="157"/>
      <c r="T40" s="157"/>
      <c r="U40" s="157"/>
      <c r="V40" s="157"/>
      <c r="W40" s="157"/>
      <c r="X40" s="157"/>
      <c r="Y40" s="157"/>
      <c r="Z40" s="157"/>
    </row>
    <row r="41" spans="1:26" ht="15.75" customHeight="1">
      <c r="A41" s="157"/>
      <c r="B41" s="157"/>
      <c r="C41" s="157"/>
      <c r="D41" s="157"/>
      <c r="E41" s="157"/>
      <c r="F41" s="157"/>
      <c r="G41" s="157"/>
      <c r="H41" s="157"/>
      <c r="I41" s="157"/>
      <c r="J41" s="157"/>
      <c r="K41" s="157"/>
      <c r="L41" s="157"/>
      <c r="M41" s="157"/>
      <c r="N41" s="157"/>
      <c r="O41" s="157"/>
      <c r="P41" s="157"/>
      <c r="Q41" s="157"/>
      <c r="R41" s="157"/>
      <c r="S41" s="157"/>
      <c r="T41" s="157"/>
      <c r="U41" s="157"/>
      <c r="V41" s="157"/>
      <c r="W41" s="157"/>
      <c r="X41" s="157"/>
      <c r="Y41" s="157"/>
      <c r="Z41" s="157"/>
    </row>
    <row r="42" spans="1:26" ht="15.75" customHeight="1">
      <c r="A42" s="157"/>
      <c r="B42" s="157"/>
      <c r="C42" s="157"/>
      <c r="D42" s="157"/>
      <c r="E42" s="157"/>
      <c r="F42" s="157"/>
      <c r="G42" s="157"/>
      <c r="H42" s="157"/>
      <c r="I42" s="157"/>
      <c r="J42" s="157"/>
      <c r="K42" s="157"/>
      <c r="L42" s="157"/>
      <c r="M42" s="157"/>
      <c r="N42" s="157"/>
      <c r="O42" s="157"/>
      <c r="P42" s="157"/>
      <c r="Q42" s="157"/>
      <c r="R42" s="157"/>
      <c r="S42" s="157"/>
      <c r="T42" s="157"/>
      <c r="U42" s="157"/>
      <c r="V42" s="157"/>
      <c r="W42" s="157"/>
      <c r="X42" s="157"/>
      <c r="Y42" s="157"/>
      <c r="Z42" s="157"/>
    </row>
    <row r="43" spans="1:26" ht="15.75" customHeight="1">
      <c r="A43" s="157"/>
      <c r="B43" s="157"/>
      <c r="C43" s="157"/>
      <c r="D43" s="157"/>
      <c r="E43" s="157"/>
      <c r="F43" s="157"/>
      <c r="G43" s="157"/>
      <c r="H43" s="157"/>
      <c r="I43" s="157"/>
      <c r="J43" s="157"/>
      <c r="K43" s="157"/>
      <c r="L43" s="157"/>
      <c r="M43" s="157"/>
      <c r="N43" s="157"/>
      <c r="O43" s="157"/>
      <c r="P43" s="157"/>
      <c r="Q43" s="157"/>
      <c r="R43" s="157"/>
      <c r="S43" s="157"/>
      <c r="T43" s="157"/>
      <c r="U43" s="157"/>
      <c r="V43" s="157"/>
      <c r="W43" s="157"/>
      <c r="X43" s="157"/>
      <c r="Y43" s="157"/>
      <c r="Z43" s="157"/>
    </row>
    <row r="44" spans="1:26" ht="15.75" customHeight="1">
      <c r="A44" s="157"/>
      <c r="B44" s="157"/>
      <c r="C44" s="157"/>
      <c r="D44" s="157"/>
      <c r="E44" s="157"/>
      <c r="F44" s="157"/>
      <c r="G44" s="157"/>
      <c r="H44" s="157"/>
      <c r="I44" s="157"/>
      <c r="J44" s="157"/>
      <c r="K44" s="157"/>
      <c r="L44" s="157"/>
      <c r="M44" s="157"/>
      <c r="N44" s="157"/>
      <c r="O44" s="157"/>
      <c r="P44" s="157"/>
      <c r="Q44" s="157"/>
      <c r="R44" s="157"/>
      <c r="S44" s="157"/>
      <c r="T44" s="157"/>
      <c r="U44" s="157"/>
      <c r="V44" s="157"/>
      <c r="W44" s="157"/>
      <c r="X44" s="157"/>
      <c r="Y44" s="157"/>
      <c r="Z44" s="157"/>
    </row>
    <row r="45" spans="1:26" ht="15.75" customHeight="1">
      <c r="A45" s="157"/>
      <c r="B45" s="157"/>
      <c r="C45" s="157"/>
      <c r="D45" s="157"/>
      <c r="E45" s="157"/>
      <c r="F45" s="157"/>
      <c r="G45" s="157"/>
      <c r="H45" s="157"/>
      <c r="I45" s="157"/>
      <c r="J45" s="157"/>
      <c r="K45" s="157"/>
      <c r="L45" s="157"/>
      <c r="M45" s="157"/>
      <c r="N45" s="157"/>
      <c r="O45" s="157"/>
      <c r="P45" s="157"/>
      <c r="Q45" s="157"/>
      <c r="R45" s="157"/>
      <c r="S45" s="157"/>
      <c r="T45" s="157"/>
      <c r="U45" s="157"/>
      <c r="V45" s="157"/>
      <c r="W45" s="157"/>
      <c r="X45" s="157"/>
      <c r="Y45" s="157"/>
      <c r="Z45" s="157"/>
    </row>
    <row r="46" spans="1:26" ht="15.75" customHeight="1">
      <c r="A46" s="157"/>
      <c r="B46" s="157"/>
      <c r="C46" s="157"/>
      <c r="D46" s="157"/>
      <c r="E46" s="157"/>
      <c r="F46" s="157"/>
      <c r="G46" s="157"/>
      <c r="H46" s="157"/>
      <c r="I46" s="157"/>
      <c r="J46" s="157"/>
      <c r="K46" s="157"/>
      <c r="L46" s="157"/>
      <c r="M46" s="157"/>
      <c r="N46" s="157"/>
      <c r="O46" s="157"/>
      <c r="P46" s="157"/>
      <c r="Q46" s="157"/>
      <c r="R46" s="157"/>
      <c r="S46" s="157"/>
      <c r="T46" s="157"/>
      <c r="U46" s="157"/>
      <c r="V46" s="157"/>
      <c r="W46" s="157"/>
      <c r="X46" s="157"/>
      <c r="Y46" s="157"/>
      <c r="Z46" s="157"/>
    </row>
    <row r="47" spans="1:26" ht="15.75" customHeight="1">
      <c r="A47" s="157"/>
      <c r="B47" s="157"/>
      <c r="C47" s="157"/>
      <c r="D47" s="157"/>
      <c r="E47" s="157"/>
      <c r="F47" s="157"/>
      <c r="G47" s="157"/>
      <c r="H47" s="157"/>
      <c r="I47" s="157"/>
      <c r="J47" s="157"/>
      <c r="K47" s="157"/>
      <c r="L47" s="157"/>
      <c r="M47" s="157"/>
      <c r="N47" s="157"/>
      <c r="O47" s="157"/>
      <c r="P47" s="157"/>
      <c r="Q47" s="157"/>
      <c r="R47" s="157"/>
      <c r="S47" s="157"/>
      <c r="T47" s="157"/>
      <c r="U47" s="157"/>
      <c r="V47" s="157"/>
      <c r="W47" s="157"/>
      <c r="X47" s="157"/>
      <c r="Y47" s="157"/>
      <c r="Z47" s="157"/>
    </row>
    <row r="48" spans="1:26" ht="15.75" customHeight="1">
      <c r="A48" s="157"/>
      <c r="B48" s="157"/>
      <c r="C48" s="157"/>
      <c r="D48" s="157"/>
      <c r="E48" s="157"/>
      <c r="F48" s="157"/>
      <c r="G48" s="157"/>
      <c r="H48" s="157"/>
      <c r="I48" s="157"/>
      <c r="J48" s="157"/>
      <c r="K48" s="157"/>
      <c r="L48" s="157"/>
      <c r="M48" s="157"/>
      <c r="N48" s="157"/>
      <c r="O48" s="157"/>
      <c r="P48" s="157"/>
      <c r="Q48" s="157"/>
      <c r="R48" s="157"/>
      <c r="S48" s="157"/>
      <c r="T48" s="157"/>
      <c r="U48" s="157"/>
      <c r="V48" s="157"/>
      <c r="W48" s="157"/>
      <c r="X48" s="157"/>
      <c r="Y48" s="157"/>
      <c r="Z48" s="157"/>
    </row>
    <row r="49" spans="1:26" ht="15.75" customHeight="1">
      <c r="A49" s="157"/>
      <c r="B49" s="157"/>
      <c r="C49" s="157"/>
      <c r="D49" s="157"/>
      <c r="E49" s="157"/>
      <c r="F49" s="157"/>
      <c r="G49" s="157"/>
      <c r="H49" s="157"/>
      <c r="I49" s="157"/>
      <c r="J49" s="157"/>
      <c r="K49" s="157"/>
      <c r="L49" s="157"/>
      <c r="M49" s="157"/>
      <c r="N49" s="157"/>
      <c r="O49" s="157"/>
      <c r="P49" s="157"/>
      <c r="Q49" s="157"/>
      <c r="R49" s="157"/>
      <c r="S49" s="157"/>
      <c r="T49" s="157"/>
      <c r="U49" s="157"/>
      <c r="V49" s="157"/>
      <c r="W49" s="157"/>
      <c r="X49" s="157"/>
      <c r="Y49" s="157"/>
      <c r="Z49" s="157"/>
    </row>
    <row r="50" spans="1:26" ht="15.75" customHeight="1">
      <c r="A50" s="157"/>
      <c r="B50" s="157"/>
      <c r="C50" s="157"/>
      <c r="D50" s="157"/>
      <c r="E50" s="157"/>
      <c r="F50" s="157"/>
      <c r="G50" s="157"/>
      <c r="H50" s="157"/>
      <c r="I50" s="157"/>
      <c r="J50" s="157"/>
      <c r="K50" s="157"/>
      <c r="L50" s="157"/>
      <c r="M50" s="157"/>
      <c r="N50" s="157"/>
      <c r="O50" s="157"/>
      <c r="P50" s="157"/>
      <c r="Q50" s="157"/>
      <c r="R50" s="157"/>
      <c r="S50" s="157"/>
      <c r="T50" s="157"/>
      <c r="U50" s="157"/>
      <c r="V50" s="157"/>
      <c r="W50" s="157"/>
      <c r="X50" s="157"/>
      <c r="Y50" s="157"/>
      <c r="Z50" s="157"/>
    </row>
    <row r="51" spans="1:26" ht="15.75" customHeight="1">
      <c r="A51" s="157"/>
      <c r="B51" s="157"/>
      <c r="C51" s="157"/>
      <c r="D51" s="157"/>
      <c r="E51" s="157"/>
      <c r="F51" s="157"/>
      <c r="G51" s="157"/>
      <c r="H51" s="157"/>
      <c r="I51" s="157"/>
      <c r="J51" s="157"/>
      <c r="K51" s="157"/>
      <c r="L51" s="157"/>
      <c r="M51" s="157"/>
      <c r="N51" s="157"/>
      <c r="O51" s="157"/>
      <c r="P51" s="157"/>
      <c r="Q51" s="157"/>
      <c r="R51" s="157"/>
      <c r="S51" s="157"/>
      <c r="T51" s="157"/>
      <c r="U51" s="157"/>
      <c r="V51" s="157"/>
      <c r="W51" s="157"/>
      <c r="X51" s="157"/>
      <c r="Y51" s="157"/>
      <c r="Z51" s="157"/>
    </row>
    <row r="52" spans="1:26" ht="15.75" customHeight="1">
      <c r="A52" s="157"/>
      <c r="B52" s="157"/>
      <c r="C52" s="157"/>
      <c r="D52" s="157"/>
      <c r="E52" s="157"/>
      <c r="F52" s="157"/>
      <c r="G52" s="157"/>
      <c r="H52" s="157"/>
      <c r="I52" s="157"/>
      <c r="J52" s="157"/>
      <c r="K52" s="157"/>
      <c r="L52" s="157"/>
      <c r="M52" s="157"/>
      <c r="N52" s="157"/>
      <c r="O52" s="157"/>
      <c r="P52" s="157"/>
      <c r="Q52" s="157"/>
      <c r="R52" s="157"/>
      <c r="S52" s="157"/>
      <c r="T52" s="157"/>
      <c r="U52" s="157"/>
      <c r="V52" s="157"/>
      <c r="W52" s="157"/>
      <c r="X52" s="157"/>
      <c r="Y52" s="157"/>
      <c r="Z52" s="157"/>
    </row>
    <row r="53" spans="1:26" ht="15.75" customHeight="1">
      <c r="A53" s="157"/>
      <c r="B53" s="157"/>
      <c r="C53" s="157"/>
      <c r="D53" s="157"/>
      <c r="E53" s="157"/>
      <c r="F53" s="157"/>
      <c r="G53" s="157"/>
      <c r="H53" s="157"/>
      <c r="I53" s="157"/>
      <c r="J53" s="157"/>
      <c r="K53" s="157"/>
      <c r="L53" s="157"/>
      <c r="M53" s="157"/>
      <c r="N53" s="157"/>
      <c r="O53" s="157"/>
      <c r="P53" s="157"/>
      <c r="Q53" s="157"/>
      <c r="R53" s="157"/>
      <c r="S53" s="157"/>
      <c r="T53" s="157"/>
      <c r="U53" s="157"/>
      <c r="V53" s="157"/>
      <c r="W53" s="157"/>
      <c r="X53" s="157"/>
      <c r="Y53" s="157"/>
      <c r="Z53" s="157"/>
    </row>
    <row r="54" spans="1:26" ht="15.75" customHeight="1">
      <c r="A54" s="157"/>
      <c r="B54" s="157"/>
      <c r="C54" s="157"/>
      <c r="D54" s="157"/>
      <c r="E54" s="157"/>
      <c r="F54" s="157"/>
      <c r="G54" s="157"/>
      <c r="H54" s="157"/>
      <c r="I54" s="157"/>
      <c r="J54" s="157"/>
      <c r="K54" s="157"/>
      <c r="L54" s="157"/>
      <c r="M54" s="157"/>
      <c r="N54" s="157"/>
      <c r="O54" s="157"/>
      <c r="P54" s="157"/>
      <c r="Q54" s="157"/>
      <c r="R54" s="157"/>
      <c r="S54" s="157"/>
      <c r="T54" s="157"/>
      <c r="U54" s="157"/>
      <c r="V54" s="157"/>
      <c r="W54" s="157"/>
      <c r="X54" s="157"/>
      <c r="Y54" s="157"/>
      <c r="Z54" s="157"/>
    </row>
    <row r="55" spans="1:26" ht="15.75" customHeight="1">
      <c r="A55" s="157"/>
      <c r="B55" s="157"/>
      <c r="C55" s="157"/>
      <c r="D55" s="157"/>
      <c r="E55" s="157"/>
      <c r="F55" s="157"/>
      <c r="G55" s="157"/>
      <c r="H55" s="157"/>
      <c r="I55" s="157"/>
      <c r="J55" s="157"/>
      <c r="K55" s="157"/>
      <c r="L55" s="157"/>
      <c r="M55" s="157"/>
      <c r="N55" s="157"/>
      <c r="O55" s="157"/>
      <c r="P55" s="157"/>
      <c r="Q55" s="157"/>
      <c r="R55" s="157"/>
      <c r="S55" s="157"/>
      <c r="T55" s="157"/>
      <c r="U55" s="157"/>
      <c r="V55" s="157"/>
      <c r="W55" s="157"/>
      <c r="X55" s="157"/>
      <c r="Y55" s="157"/>
      <c r="Z55" s="157"/>
    </row>
    <row r="56" spans="1:26" ht="15.75" customHeight="1">
      <c r="A56" s="157"/>
      <c r="B56" s="157"/>
      <c r="C56" s="157"/>
      <c r="D56" s="157"/>
      <c r="E56" s="157"/>
      <c r="F56" s="157"/>
      <c r="G56" s="157"/>
      <c r="H56" s="157"/>
      <c r="I56" s="157"/>
      <c r="J56" s="157"/>
      <c r="K56" s="157"/>
      <c r="L56" s="157"/>
      <c r="M56" s="157"/>
      <c r="N56" s="157"/>
      <c r="O56" s="157"/>
      <c r="P56" s="157"/>
      <c r="Q56" s="157"/>
      <c r="R56" s="157"/>
      <c r="S56" s="157"/>
      <c r="T56" s="157"/>
      <c r="U56" s="157"/>
      <c r="V56" s="157"/>
      <c r="W56" s="157"/>
      <c r="X56" s="157"/>
      <c r="Y56" s="157"/>
      <c r="Z56" s="157"/>
    </row>
    <row r="57" spans="1:26" ht="15.75" customHeight="1">
      <c r="A57" s="157"/>
      <c r="B57" s="157"/>
      <c r="C57" s="157"/>
      <c r="D57" s="157"/>
      <c r="E57" s="157"/>
      <c r="F57" s="157"/>
      <c r="G57" s="157"/>
      <c r="H57" s="157"/>
      <c r="I57" s="157"/>
      <c r="J57" s="157"/>
      <c r="K57" s="157"/>
      <c r="L57" s="157"/>
      <c r="M57" s="157"/>
      <c r="N57" s="157"/>
      <c r="O57" s="157"/>
      <c r="P57" s="157"/>
      <c r="Q57" s="157"/>
      <c r="R57" s="157"/>
      <c r="S57" s="157"/>
      <c r="T57" s="157"/>
      <c r="U57" s="157"/>
      <c r="V57" s="157"/>
      <c r="W57" s="157"/>
      <c r="X57" s="157"/>
      <c r="Y57" s="157"/>
      <c r="Z57" s="157"/>
    </row>
    <row r="58" spans="1:26" ht="15.75" customHeight="1">
      <c r="A58" s="157"/>
      <c r="B58" s="157"/>
      <c r="C58" s="157"/>
      <c r="D58" s="157"/>
      <c r="E58" s="157"/>
      <c r="F58" s="157"/>
      <c r="G58" s="157"/>
      <c r="H58" s="157"/>
      <c r="I58" s="157"/>
      <c r="J58" s="157"/>
      <c r="K58" s="157"/>
      <c r="L58" s="157"/>
      <c r="M58" s="157"/>
      <c r="N58" s="157"/>
      <c r="O58" s="157"/>
      <c r="P58" s="157"/>
      <c r="Q58" s="157"/>
      <c r="R58" s="157"/>
      <c r="S58" s="157"/>
      <c r="T58" s="157"/>
      <c r="U58" s="157"/>
      <c r="V58" s="157"/>
      <c r="W58" s="157"/>
      <c r="X58" s="157"/>
      <c r="Y58" s="157"/>
      <c r="Z58" s="157"/>
    </row>
    <row r="59" spans="1:26" ht="15.75" customHeight="1">
      <c r="A59" s="157"/>
      <c r="B59" s="157"/>
      <c r="C59" s="157"/>
      <c r="D59" s="157"/>
      <c r="E59" s="157"/>
      <c r="F59" s="157"/>
      <c r="G59" s="157"/>
      <c r="H59" s="157"/>
      <c r="I59" s="157"/>
      <c r="J59" s="157"/>
      <c r="K59" s="157"/>
      <c r="L59" s="157"/>
      <c r="M59" s="157"/>
      <c r="N59" s="157"/>
      <c r="O59" s="157"/>
      <c r="P59" s="157"/>
      <c r="Q59" s="157"/>
      <c r="R59" s="157"/>
      <c r="S59" s="157"/>
      <c r="T59" s="157"/>
      <c r="U59" s="157"/>
      <c r="V59" s="157"/>
      <c r="W59" s="157"/>
      <c r="X59" s="157"/>
      <c r="Y59" s="157"/>
      <c r="Z59" s="157"/>
    </row>
    <row r="60" spans="1:26" ht="15.75" customHeight="1">
      <c r="A60" s="157"/>
      <c r="B60" s="157"/>
      <c r="C60" s="157"/>
      <c r="D60" s="157"/>
      <c r="E60" s="157"/>
      <c r="F60" s="157"/>
      <c r="G60" s="157"/>
      <c r="H60" s="157"/>
      <c r="I60" s="157"/>
      <c r="J60" s="157"/>
      <c r="K60" s="157"/>
      <c r="L60" s="157"/>
      <c r="M60" s="157"/>
      <c r="N60" s="157"/>
      <c r="O60" s="157"/>
      <c r="P60" s="157"/>
      <c r="Q60" s="157"/>
      <c r="R60" s="157"/>
      <c r="S60" s="157"/>
      <c r="T60" s="157"/>
      <c r="U60" s="157"/>
      <c r="V60" s="157"/>
      <c r="W60" s="157"/>
      <c r="X60" s="157"/>
      <c r="Y60" s="157"/>
      <c r="Z60" s="157"/>
    </row>
    <row r="61" spans="1:26" ht="15.75" customHeight="1">
      <c r="A61" s="157"/>
      <c r="B61" s="157"/>
      <c r="C61" s="157"/>
      <c r="D61" s="157"/>
      <c r="E61" s="157"/>
      <c r="F61" s="157"/>
      <c r="G61" s="157"/>
      <c r="H61" s="157"/>
      <c r="I61" s="157"/>
      <c r="J61" s="157"/>
      <c r="K61" s="157"/>
      <c r="L61" s="157"/>
      <c r="M61" s="157"/>
      <c r="N61" s="157"/>
      <c r="O61" s="157"/>
      <c r="P61" s="157"/>
      <c r="Q61" s="157"/>
      <c r="R61" s="157"/>
      <c r="S61" s="157"/>
      <c r="T61" s="157"/>
      <c r="U61" s="157"/>
      <c r="V61" s="157"/>
      <c r="W61" s="157"/>
      <c r="X61" s="157"/>
      <c r="Y61" s="157"/>
      <c r="Z61" s="157"/>
    </row>
    <row r="62" spans="1:26" ht="15.75" customHeight="1">
      <c r="A62" s="157"/>
      <c r="B62" s="157"/>
      <c r="C62" s="157"/>
      <c r="D62" s="157"/>
      <c r="E62" s="157"/>
      <c r="F62" s="157"/>
      <c r="G62" s="157"/>
      <c r="H62" s="157"/>
      <c r="I62" s="157"/>
      <c r="J62" s="157"/>
      <c r="K62" s="157"/>
      <c r="L62" s="157"/>
      <c r="M62" s="157"/>
      <c r="N62" s="157"/>
      <c r="O62" s="157"/>
      <c r="P62" s="157"/>
      <c r="Q62" s="157"/>
      <c r="R62" s="157"/>
      <c r="S62" s="157"/>
      <c r="T62" s="157"/>
      <c r="U62" s="157"/>
      <c r="V62" s="157"/>
      <c r="W62" s="157"/>
      <c r="X62" s="157"/>
      <c r="Y62" s="157"/>
      <c r="Z62" s="157"/>
    </row>
    <row r="63" spans="1:26" ht="15.75" customHeight="1">
      <c r="A63" s="157"/>
      <c r="B63" s="157"/>
      <c r="C63" s="157"/>
      <c r="D63" s="157"/>
      <c r="E63" s="157"/>
      <c r="F63" s="157"/>
      <c r="G63" s="157"/>
      <c r="H63" s="157"/>
      <c r="I63" s="157"/>
      <c r="J63" s="157"/>
      <c r="K63" s="157"/>
      <c r="L63" s="157"/>
      <c r="M63" s="157"/>
      <c r="N63" s="157"/>
      <c r="O63" s="157"/>
      <c r="P63" s="157"/>
      <c r="Q63" s="157"/>
      <c r="R63" s="157"/>
      <c r="S63" s="157"/>
      <c r="T63" s="157"/>
      <c r="U63" s="157"/>
      <c r="V63" s="157"/>
      <c r="W63" s="157"/>
      <c r="X63" s="157"/>
      <c r="Y63" s="157"/>
      <c r="Z63" s="157"/>
    </row>
    <row r="64" spans="1:26" ht="15.75" customHeight="1">
      <c r="A64" s="157"/>
      <c r="B64" s="157"/>
      <c r="C64" s="157"/>
      <c r="D64" s="157"/>
      <c r="E64" s="157"/>
      <c r="F64" s="157"/>
      <c r="G64" s="157"/>
      <c r="H64" s="157"/>
      <c r="I64" s="157"/>
      <c r="J64" s="157"/>
      <c r="K64" s="157"/>
      <c r="L64" s="157"/>
      <c r="M64" s="157"/>
      <c r="N64" s="157"/>
      <c r="O64" s="157"/>
      <c r="P64" s="157"/>
      <c r="Q64" s="157"/>
      <c r="R64" s="157"/>
      <c r="S64" s="157"/>
      <c r="T64" s="157"/>
      <c r="U64" s="157"/>
      <c r="V64" s="157"/>
      <c r="W64" s="157"/>
      <c r="X64" s="157"/>
      <c r="Y64" s="157"/>
      <c r="Z64" s="157"/>
    </row>
    <row r="65" spans="1:26" ht="15.75" customHeight="1">
      <c r="A65" s="157"/>
      <c r="B65" s="157"/>
      <c r="C65" s="157"/>
      <c r="D65" s="157"/>
      <c r="E65" s="157"/>
      <c r="F65" s="157"/>
      <c r="G65" s="157"/>
      <c r="H65" s="157"/>
      <c r="I65" s="157"/>
      <c r="J65" s="157"/>
      <c r="K65" s="157"/>
      <c r="L65" s="157"/>
      <c r="M65" s="157"/>
      <c r="N65" s="157"/>
      <c r="O65" s="157"/>
      <c r="P65" s="157"/>
      <c r="Q65" s="157"/>
      <c r="R65" s="157"/>
      <c r="S65" s="157"/>
      <c r="T65" s="157"/>
      <c r="U65" s="157"/>
      <c r="V65" s="157"/>
      <c r="W65" s="157"/>
      <c r="X65" s="157"/>
      <c r="Y65" s="157"/>
      <c r="Z65" s="157"/>
    </row>
    <row r="66" spans="1:26" ht="15.75" customHeight="1">
      <c r="A66" s="157"/>
      <c r="B66" s="157"/>
      <c r="C66" s="157"/>
      <c r="D66" s="157"/>
      <c r="E66" s="157"/>
      <c r="F66" s="157"/>
      <c r="G66" s="157"/>
      <c r="H66" s="157"/>
      <c r="I66" s="157"/>
      <c r="J66" s="157"/>
      <c r="K66" s="157"/>
      <c r="L66" s="157"/>
      <c r="M66" s="157"/>
      <c r="N66" s="157"/>
      <c r="O66" s="157"/>
      <c r="P66" s="157"/>
      <c r="Q66" s="157"/>
      <c r="R66" s="157"/>
      <c r="S66" s="157"/>
      <c r="T66" s="157"/>
      <c r="U66" s="157"/>
      <c r="V66" s="157"/>
      <c r="W66" s="157"/>
      <c r="X66" s="157"/>
      <c r="Y66" s="157"/>
      <c r="Z66" s="157"/>
    </row>
    <row r="67" spans="1:26" ht="15.75" customHeight="1">
      <c r="A67" s="157"/>
      <c r="B67" s="157"/>
      <c r="C67" s="157"/>
      <c r="D67" s="157"/>
      <c r="E67" s="157"/>
      <c r="F67" s="157"/>
      <c r="G67" s="157"/>
      <c r="H67" s="157"/>
      <c r="I67" s="157"/>
      <c r="J67" s="157"/>
      <c r="K67" s="157"/>
      <c r="L67" s="157"/>
      <c r="M67" s="157"/>
      <c r="N67" s="157"/>
      <c r="O67" s="157"/>
      <c r="P67" s="157"/>
      <c r="Q67" s="157"/>
      <c r="R67" s="157"/>
      <c r="S67" s="157"/>
      <c r="T67" s="157"/>
      <c r="U67" s="157"/>
      <c r="V67" s="157"/>
      <c r="W67" s="157"/>
      <c r="X67" s="157"/>
      <c r="Y67" s="157"/>
      <c r="Z67" s="157"/>
    </row>
    <row r="68" spans="1:26" ht="15.75" customHeight="1">
      <c r="A68" s="157"/>
      <c r="B68" s="157"/>
      <c r="C68" s="157"/>
      <c r="D68" s="157"/>
      <c r="E68" s="157"/>
      <c r="F68" s="157"/>
      <c r="G68" s="157"/>
      <c r="H68" s="157"/>
      <c r="I68" s="157"/>
      <c r="J68" s="157"/>
      <c r="K68" s="157"/>
      <c r="L68" s="157"/>
      <c r="M68" s="157"/>
      <c r="N68" s="157"/>
      <c r="O68" s="157"/>
      <c r="P68" s="157"/>
      <c r="Q68" s="157"/>
      <c r="R68" s="157"/>
      <c r="S68" s="157"/>
      <c r="T68" s="157"/>
      <c r="U68" s="157"/>
      <c r="V68" s="157"/>
      <c r="W68" s="157"/>
      <c r="X68" s="157"/>
      <c r="Y68" s="157"/>
      <c r="Z68" s="157"/>
    </row>
    <row r="69" spans="1:26" ht="15.75" customHeight="1">
      <c r="A69" s="157"/>
      <c r="B69" s="157"/>
      <c r="C69" s="157"/>
      <c r="D69" s="157"/>
      <c r="E69" s="157"/>
      <c r="F69" s="157"/>
      <c r="G69" s="157"/>
      <c r="H69" s="157"/>
      <c r="I69" s="157"/>
      <c r="J69" s="157"/>
      <c r="K69" s="157"/>
      <c r="L69" s="157"/>
      <c r="M69" s="157"/>
      <c r="N69" s="157"/>
      <c r="O69" s="157"/>
      <c r="P69" s="157"/>
      <c r="Q69" s="157"/>
      <c r="R69" s="157"/>
      <c r="S69" s="157"/>
      <c r="T69" s="157"/>
      <c r="U69" s="157"/>
      <c r="V69" s="157"/>
      <c r="W69" s="157"/>
      <c r="X69" s="157"/>
      <c r="Y69" s="157"/>
      <c r="Z69" s="157"/>
    </row>
    <row r="70" spans="1:26" ht="15.75" customHeight="1">
      <c r="A70" s="157"/>
      <c r="B70" s="157"/>
      <c r="C70" s="157"/>
      <c r="D70" s="157"/>
      <c r="E70" s="157"/>
      <c r="F70" s="157"/>
      <c r="G70" s="157"/>
      <c r="H70" s="157"/>
      <c r="I70" s="157"/>
      <c r="J70" s="157"/>
      <c r="K70" s="157"/>
      <c r="L70" s="157"/>
      <c r="M70" s="157"/>
      <c r="N70" s="157"/>
      <c r="O70" s="157"/>
      <c r="P70" s="157"/>
      <c r="Q70" s="157"/>
      <c r="R70" s="157"/>
      <c r="S70" s="157"/>
      <c r="T70" s="157"/>
      <c r="U70" s="157"/>
      <c r="V70" s="157"/>
      <c r="W70" s="157"/>
      <c r="X70" s="157"/>
      <c r="Y70" s="157"/>
      <c r="Z70" s="157"/>
    </row>
    <row r="71" spans="1:26" ht="15.75" customHeight="1">
      <c r="A71" s="157"/>
      <c r="B71" s="157"/>
      <c r="C71" s="157"/>
      <c r="D71" s="157"/>
      <c r="E71" s="157"/>
      <c r="F71" s="157"/>
      <c r="G71" s="157"/>
      <c r="H71" s="157"/>
      <c r="I71" s="157"/>
      <c r="J71" s="157"/>
      <c r="K71" s="157"/>
      <c r="L71" s="157"/>
      <c r="M71" s="157"/>
      <c r="N71" s="157"/>
      <c r="O71" s="157"/>
      <c r="P71" s="157"/>
      <c r="Q71" s="157"/>
      <c r="R71" s="157"/>
      <c r="S71" s="157"/>
      <c r="T71" s="157"/>
      <c r="U71" s="157"/>
      <c r="V71" s="157"/>
      <c r="W71" s="157"/>
      <c r="X71" s="157"/>
      <c r="Y71" s="157"/>
      <c r="Z71" s="157"/>
    </row>
    <row r="72" spans="1:26" ht="15.75" customHeight="1">
      <c r="A72" s="157"/>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7"/>
    </row>
    <row r="73" spans="1:26" ht="15.75" customHeight="1">
      <c r="A73" s="157"/>
      <c r="B73" s="157"/>
      <c r="C73" s="157"/>
      <c r="D73" s="157"/>
      <c r="E73" s="157"/>
      <c r="F73" s="157"/>
      <c r="G73" s="157"/>
      <c r="H73" s="157"/>
      <c r="I73" s="157"/>
      <c r="J73" s="157"/>
      <c r="K73" s="157"/>
      <c r="L73" s="157"/>
      <c r="M73" s="157"/>
      <c r="N73" s="157"/>
      <c r="O73" s="157"/>
      <c r="P73" s="157"/>
      <c r="Q73" s="157"/>
      <c r="R73" s="157"/>
      <c r="S73" s="157"/>
      <c r="T73" s="157"/>
      <c r="U73" s="157"/>
      <c r="V73" s="157"/>
      <c r="W73" s="157"/>
      <c r="X73" s="157"/>
      <c r="Y73" s="157"/>
      <c r="Z73" s="157"/>
    </row>
    <row r="74" spans="1:26" ht="15.75" customHeight="1">
      <c r="A74" s="157"/>
      <c r="B74" s="157"/>
      <c r="C74" s="157"/>
      <c r="D74" s="157"/>
      <c r="E74" s="157"/>
      <c r="F74" s="157"/>
      <c r="G74" s="157"/>
      <c r="H74" s="157"/>
      <c r="I74" s="157"/>
      <c r="J74" s="157"/>
      <c r="K74" s="157"/>
      <c r="L74" s="157"/>
      <c r="M74" s="157"/>
      <c r="N74" s="157"/>
      <c r="O74" s="157"/>
      <c r="P74" s="157"/>
      <c r="Q74" s="157"/>
      <c r="R74" s="157"/>
      <c r="S74" s="157"/>
      <c r="T74" s="157"/>
      <c r="U74" s="157"/>
      <c r="V74" s="157"/>
      <c r="W74" s="157"/>
      <c r="X74" s="157"/>
      <c r="Y74" s="157"/>
      <c r="Z74" s="157"/>
    </row>
    <row r="75" spans="1:26" ht="15.75" customHeight="1">
      <c r="A75" s="157"/>
      <c r="B75" s="157"/>
      <c r="C75" s="157"/>
      <c r="D75" s="157"/>
      <c r="E75" s="157"/>
      <c r="F75" s="157"/>
      <c r="G75" s="157"/>
      <c r="H75" s="157"/>
      <c r="I75" s="157"/>
      <c r="J75" s="157"/>
      <c r="K75" s="157"/>
      <c r="L75" s="157"/>
      <c r="M75" s="157"/>
      <c r="N75" s="157"/>
      <c r="O75" s="157"/>
      <c r="P75" s="157"/>
      <c r="Q75" s="157"/>
      <c r="R75" s="157"/>
      <c r="S75" s="157"/>
      <c r="T75" s="157"/>
      <c r="U75" s="157"/>
      <c r="V75" s="157"/>
      <c r="W75" s="157"/>
      <c r="X75" s="157"/>
      <c r="Y75" s="157"/>
      <c r="Z75" s="157"/>
    </row>
    <row r="76" spans="1:26" ht="15.75" customHeight="1">
      <c r="A76" s="157"/>
      <c r="B76" s="157"/>
      <c r="C76" s="157"/>
      <c r="D76" s="157"/>
      <c r="E76" s="157"/>
      <c r="F76" s="157"/>
      <c r="G76" s="157"/>
      <c r="H76" s="157"/>
      <c r="I76" s="157"/>
      <c r="J76" s="157"/>
      <c r="K76" s="157"/>
      <c r="L76" s="157"/>
      <c r="M76" s="157"/>
      <c r="N76" s="157"/>
      <c r="O76" s="157"/>
      <c r="P76" s="157"/>
      <c r="Q76" s="157"/>
      <c r="R76" s="157"/>
      <c r="S76" s="157"/>
      <c r="T76" s="157"/>
      <c r="U76" s="157"/>
      <c r="V76" s="157"/>
      <c r="W76" s="157"/>
      <c r="X76" s="157"/>
      <c r="Y76" s="157"/>
      <c r="Z76" s="157"/>
    </row>
    <row r="77" spans="1:26" ht="15.75" customHeight="1">
      <c r="A77" s="157"/>
      <c r="B77" s="157"/>
      <c r="C77" s="157"/>
      <c r="D77" s="157"/>
      <c r="E77" s="157"/>
      <c r="F77" s="157"/>
      <c r="G77" s="157"/>
      <c r="H77" s="157"/>
      <c r="I77" s="157"/>
      <c r="J77" s="157"/>
      <c r="K77" s="157"/>
      <c r="L77" s="157"/>
      <c r="M77" s="157"/>
      <c r="N77" s="157"/>
      <c r="O77" s="157"/>
      <c r="P77" s="157"/>
      <c r="Q77" s="157"/>
      <c r="R77" s="157"/>
      <c r="S77" s="157"/>
      <c r="T77" s="157"/>
      <c r="U77" s="157"/>
      <c r="V77" s="157"/>
      <c r="W77" s="157"/>
      <c r="X77" s="157"/>
      <c r="Y77" s="157"/>
      <c r="Z77" s="157"/>
    </row>
    <row r="78" spans="1:26" ht="15.75" customHeight="1">
      <c r="A78" s="157"/>
      <c r="B78" s="157"/>
      <c r="C78" s="157"/>
      <c r="D78" s="157"/>
      <c r="E78" s="157"/>
      <c r="F78" s="157"/>
      <c r="G78" s="157"/>
      <c r="H78" s="157"/>
      <c r="I78" s="157"/>
      <c r="J78" s="157"/>
      <c r="K78" s="157"/>
      <c r="L78" s="157"/>
      <c r="M78" s="157"/>
      <c r="N78" s="157"/>
      <c r="O78" s="157"/>
      <c r="P78" s="157"/>
      <c r="Q78" s="157"/>
      <c r="R78" s="157"/>
      <c r="S78" s="157"/>
      <c r="T78" s="157"/>
      <c r="U78" s="157"/>
      <c r="V78" s="157"/>
      <c r="W78" s="157"/>
      <c r="X78" s="157"/>
      <c r="Y78" s="157"/>
      <c r="Z78" s="157"/>
    </row>
    <row r="79" spans="1:26" ht="15.75" customHeight="1">
      <c r="A79" s="157"/>
      <c r="B79" s="157"/>
      <c r="C79" s="157"/>
      <c r="D79" s="157"/>
      <c r="E79" s="157"/>
      <c r="F79" s="157"/>
      <c r="G79" s="157"/>
      <c r="H79" s="157"/>
      <c r="I79" s="157"/>
      <c r="J79" s="157"/>
      <c r="K79" s="157"/>
      <c r="L79" s="157"/>
      <c r="M79" s="157"/>
      <c r="N79" s="157"/>
      <c r="O79" s="157"/>
      <c r="P79" s="157"/>
      <c r="Q79" s="157"/>
      <c r="R79" s="157"/>
      <c r="S79" s="157"/>
      <c r="T79" s="157"/>
      <c r="U79" s="157"/>
      <c r="V79" s="157"/>
      <c r="W79" s="157"/>
      <c r="X79" s="157"/>
      <c r="Y79" s="157"/>
      <c r="Z79" s="157"/>
    </row>
    <row r="80" spans="1:26" ht="15.75" customHeight="1">
      <c r="A80" s="157"/>
      <c r="B80" s="157"/>
      <c r="C80" s="157"/>
      <c r="D80" s="157"/>
      <c r="E80" s="157"/>
      <c r="F80" s="157"/>
      <c r="G80" s="157"/>
      <c r="H80" s="157"/>
      <c r="I80" s="157"/>
      <c r="J80" s="157"/>
      <c r="K80" s="157"/>
      <c r="L80" s="157"/>
      <c r="M80" s="157"/>
      <c r="N80" s="157"/>
      <c r="O80" s="157"/>
      <c r="P80" s="157"/>
      <c r="Q80" s="157"/>
      <c r="R80" s="157"/>
      <c r="S80" s="157"/>
      <c r="T80" s="157"/>
      <c r="U80" s="157"/>
      <c r="V80" s="157"/>
      <c r="W80" s="157"/>
      <c r="X80" s="157"/>
      <c r="Y80" s="157"/>
      <c r="Z80" s="157"/>
    </row>
    <row r="81" spans="1:26" ht="15.75" customHeight="1">
      <c r="A81" s="157"/>
      <c r="B81" s="157"/>
      <c r="C81" s="157"/>
      <c r="D81" s="157"/>
      <c r="E81" s="157"/>
      <c r="F81" s="157"/>
      <c r="G81" s="157"/>
      <c r="H81" s="157"/>
      <c r="I81" s="157"/>
      <c r="J81" s="157"/>
      <c r="K81" s="157"/>
      <c r="L81" s="157"/>
      <c r="M81" s="157"/>
      <c r="N81" s="157"/>
      <c r="O81" s="157"/>
      <c r="P81" s="157"/>
      <c r="Q81" s="157"/>
      <c r="R81" s="157"/>
      <c r="S81" s="157"/>
      <c r="T81" s="157"/>
      <c r="U81" s="157"/>
      <c r="V81" s="157"/>
      <c r="W81" s="157"/>
      <c r="X81" s="157"/>
      <c r="Y81" s="157"/>
      <c r="Z81" s="157"/>
    </row>
    <row r="82" spans="1:26" ht="15.75" customHeight="1">
      <c r="A82" s="157"/>
      <c r="B82" s="157"/>
      <c r="C82" s="157"/>
      <c r="D82" s="157"/>
      <c r="E82" s="157"/>
      <c r="F82" s="157"/>
      <c r="G82" s="157"/>
      <c r="H82" s="157"/>
      <c r="I82" s="157"/>
      <c r="J82" s="157"/>
      <c r="K82" s="157"/>
      <c r="L82" s="157"/>
      <c r="M82" s="157"/>
      <c r="N82" s="157"/>
      <c r="O82" s="157"/>
      <c r="P82" s="157"/>
      <c r="Q82" s="157"/>
      <c r="R82" s="157"/>
      <c r="S82" s="157"/>
      <c r="T82" s="157"/>
      <c r="U82" s="157"/>
      <c r="V82" s="157"/>
      <c r="W82" s="157"/>
      <c r="X82" s="157"/>
      <c r="Y82" s="157"/>
      <c r="Z82" s="157"/>
    </row>
    <row r="83" spans="1:26" ht="15.75" customHeight="1">
      <c r="A83" s="157"/>
      <c r="B83" s="157"/>
      <c r="C83" s="157"/>
      <c r="D83" s="157"/>
      <c r="E83" s="157"/>
      <c r="F83" s="157"/>
      <c r="G83" s="157"/>
      <c r="H83" s="157"/>
      <c r="I83" s="157"/>
      <c r="J83" s="157"/>
      <c r="K83" s="157"/>
      <c r="L83" s="157"/>
      <c r="M83" s="157"/>
      <c r="N83" s="157"/>
      <c r="O83" s="157"/>
      <c r="P83" s="157"/>
      <c r="Q83" s="157"/>
      <c r="R83" s="157"/>
      <c r="S83" s="157"/>
      <c r="T83" s="157"/>
      <c r="U83" s="157"/>
      <c r="V83" s="157"/>
      <c r="W83" s="157"/>
      <c r="X83" s="157"/>
      <c r="Y83" s="157"/>
      <c r="Z83" s="157"/>
    </row>
    <row r="84" spans="1:26" ht="15.75" customHeight="1">
      <c r="A84" s="157"/>
      <c r="B84" s="157"/>
      <c r="C84" s="157"/>
      <c r="D84" s="157"/>
      <c r="E84" s="157"/>
      <c r="F84" s="157"/>
      <c r="G84" s="157"/>
      <c r="H84" s="157"/>
      <c r="I84" s="157"/>
      <c r="J84" s="157"/>
      <c r="K84" s="157"/>
      <c r="L84" s="157"/>
      <c r="M84" s="157"/>
      <c r="N84" s="157"/>
      <c r="O84" s="157"/>
      <c r="P84" s="157"/>
      <c r="Q84" s="157"/>
      <c r="R84" s="157"/>
      <c r="S84" s="157"/>
      <c r="T84" s="157"/>
      <c r="U84" s="157"/>
      <c r="V84" s="157"/>
      <c r="W84" s="157"/>
      <c r="X84" s="157"/>
      <c r="Y84" s="157"/>
      <c r="Z84" s="157"/>
    </row>
    <row r="85" spans="1:26" ht="15.75" customHeight="1">
      <c r="A85" s="157"/>
      <c r="B85" s="157"/>
      <c r="C85" s="157"/>
      <c r="D85" s="157"/>
      <c r="E85" s="157"/>
      <c r="F85" s="157"/>
      <c r="G85" s="157"/>
      <c r="H85" s="157"/>
      <c r="I85" s="157"/>
      <c r="J85" s="157"/>
      <c r="K85" s="157"/>
      <c r="L85" s="157"/>
      <c r="M85" s="157"/>
      <c r="N85" s="157"/>
      <c r="O85" s="157"/>
      <c r="P85" s="157"/>
      <c r="Q85" s="157"/>
      <c r="R85" s="157"/>
      <c r="S85" s="157"/>
      <c r="T85" s="157"/>
      <c r="U85" s="157"/>
      <c r="V85" s="157"/>
      <c r="W85" s="157"/>
      <c r="X85" s="157"/>
      <c r="Y85" s="157"/>
      <c r="Z85" s="157"/>
    </row>
    <row r="86" spans="1:26" ht="15.75" customHeight="1">
      <c r="A86" s="157"/>
      <c r="B86" s="157"/>
      <c r="C86" s="157"/>
      <c r="D86" s="157"/>
      <c r="E86" s="157"/>
      <c r="F86" s="157"/>
      <c r="G86" s="157"/>
      <c r="H86" s="157"/>
      <c r="I86" s="157"/>
      <c r="J86" s="157"/>
      <c r="K86" s="157"/>
      <c r="L86" s="157"/>
      <c r="M86" s="157"/>
      <c r="N86" s="157"/>
      <c r="O86" s="157"/>
      <c r="P86" s="157"/>
      <c r="Q86" s="157"/>
      <c r="R86" s="157"/>
      <c r="S86" s="157"/>
      <c r="T86" s="157"/>
      <c r="U86" s="157"/>
      <c r="V86" s="157"/>
      <c r="W86" s="157"/>
      <c r="X86" s="157"/>
      <c r="Y86" s="157"/>
      <c r="Z86" s="157"/>
    </row>
    <row r="87" spans="1:26" ht="15.75" customHeight="1">
      <c r="A87" s="157"/>
      <c r="B87" s="157"/>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row>
    <row r="88" spans="1:26" ht="15.75" customHeight="1">
      <c r="A88" s="157"/>
      <c r="B88" s="157"/>
      <c r="C88" s="157"/>
      <c r="D88" s="157"/>
      <c r="E88" s="157"/>
      <c r="F88" s="157"/>
      <c r="G88" s="157"/>
      <c r="H88" s="157"/>
      <c r="I88" s="157"/>
      <c r="J88" s="157"/>
      <c r="K88" s="157"/>
      <c r="L88" s="157"/>
      <c r="M88" s="157"/>
      <c r="N88" s="157"/>
      <c r="O88" s="157"/>
      <c r="P88" s="157"/>
      <c r="Q88" s="157"/>
      <c r="R88" s="157"/>
      <c r="S88" s="157"/>
      <c r="T88" s="157"/>
      <c r="U88" s="157"/>
      <c r="V88" s="157"/>
      <c r="W88" s="157"/>
      <c r="X88" s="157"/>
      <c r="Y88" s="157"/>
      <c r="Z88" s="157"/>
    </row>
    <row r="89" spans="1:26" ht="15.75" customHeight="1">
      <c r="A89" s="157"/>
      <c r="B89" s="157"/>
      <c r="C89" s="157"/>
      <c r="D89" s="157"/>
      <c r="E89" s="157"/>
      <c r="F89" s="157"/>
      <c r="G89" s="157"/>
      <c r="H89" s="157"/>
      <c r="I89" s="157"/>
      <c r="J89" s="157"/>
      <c r="K89" s="157"/>
      <c r="L89" s="157"/>
      <c r="M89" s="157"/>
      <c r="N89" s="157"/>
      <c r="O89" s="157"/>
      <c r="P89" s="157"/>
      <c r="Q89" s="157"/>
      <c r="R89" s="157"/>
      <c r="S89" s="157"/>
      <c r="T89" s="157"/>
      <c r="U89" s="157"/>
      <c r="V89" s="157"/>
      <c r="W89" s="157"/>
      <c r="X89" s="157"/>
      <c r="Y89" s="157"/>
      <c r="Z89" s="157"/>
    </row>
    <row r="90" spans="1:26" ht="15.75" customHeight="1">
      <c r="A90" s="157"/>
      <c r="B90" s="157"/>
      <c r="C90" s="157"/>
      <c r="D90" s="157"/>
      <c r="E90" s="157"/>
      <c r="F90" s="157"/>
      <c r="G90" s="157"/>
      <c r="H90" s="157"/>
      <c r="I90" s="157"/>
      <c r="J90" s="157"/>
      <c r="K90" s="157"/>
      <c r="L90" s="157"/>
      <c r="M90" s="157"/>
      <c r="N90" s="157"/>
      <c r="O90" s="157"/>
      <c r="P90" s="157"/>
      <c r="Q90" s="157"/>
      <c r="R90" s="157"/>
      <c r="S90" s="157"/>
      <c r="T90" s="157"/>
      <c r="U90" s="157"/>
      <c r="V90" s="157"/>
      <c r="W90" s="157"/>
      <c r="X90" s="157"/>
      <c r="Y90" s="157"/>
      <c r="Z90" s="157"/>
    </row>
    <row r="91" spans="1:26" ht="15.75" customHeight="1">
      <c r="A91" s="157"/>
      <c r="B91" s="157"/>
      <c r="C91" s="157"/>
      <c r="D91" s="157"/>
      <c r="E91" s="157"/>
      <c r="F91" s="157"/>
      <c r="G91" s="157"/>
      <c r="H91" s="157"/>
      <c r="I91" s="157"/>
      <c r="J91" s="157"/>
      <c r="K91" s="157"/>
      <c r="L91" s="157"/>
      <c r="M91" s="157"/>
      <c r="N91" s="157"/>
      <c r="O91" s="157"/>
      <c r="P91" s="157"/>
      <c r="Q91" s="157"/>
      <c r="R91" s="157"/>
      <c r="S91" s="157"/>
      <c r="T91" s="157"/>
      <c r="U91" s="157"/>
      <c r="V91" s="157"/>
      <c r="W91" s="157"/>
      <c r="X91" s="157"/>
      <c r="Y91" s="157"/>
      <c r="Z91" s="157"/>
    </row>
    <row r="92" spans="1:26" ht="15.75" customHeight="1">
      <c r="A92" s="157"/>
      <c r="B92" s="157"/>
      <c r="C92" s="157"/>
      <c r="D92" s="157"/>
      <c r="E92" s="157"/>
      <c r="F92" s="157"/>
      <c r="G92" s="157"/>
      <c r="H92" s="157"/>
      <c r="I92" s="157"/>
      <c r="J92" s="157"/>
      <c r="K92" s="157"/>
      <c r="L92" s="157"/>
      <c r="M92" s="157"/>
      <c r="N92" s="157"/>
      <c r="O92" s="157"/>
      <c r="P92" s="157"/>
      <c r="Q92" s="157"/>
      <c r="R92" s="157"/>
      <c r="S92" s="157"/>
      <c r="T92" s="157"/>
      <c r="U92" s="157"/>
      <c r="V92" s="157"/>
      <c r="W92" s="157"/>
      <c r="X92" s="157"/>
      <c r="Y92" s="157"/>
      <c r="Z92" s="157"/>
    </row>
    <row r="93" spans="1:26" ht="15.75" customHeight="1">
      <c r="A93" s="157"/>
      <c r="B93" s="157"/>
      <c r="C93" s="157"/>
      <c r="D93" s="157"/>
      <c r="E93" s="157"/>
      <c r="F93" s="157"/>
      <c r="G93" s="157"/>
      <c r="H93" s="157"/>
      <c r="I93" s="157"/>
      <c r="J93" s="157"/>
      <c r="K93" s="157"/>
      <c r="L93" s="157"/>
      <c r="M93" s="157"/>
      <c r="N93" s="157"/>
      <c r="O93" s="157"/>
      <c r="P93" s="157"/>
      <c r="Q93" s="157"/>
      <c r="R93" s="157"/>
      <c r="S93" s="157"/>
      <c r="T93" s="157"/>
      <c r="U93" s="157"/>
      <c r="V93" s="157"/>
      <c r="W93" s="157"/>
      <c r="X93" s="157"/>
      <c r="Y93" s="157"/>
      <c r="Z93" s="157"/>
    </row>
    <row r="94" spans="1:26" ht="15.75" customHeight="1">
      <c r="A94" s="157"/>
      <c r="B94" s="157"/>
      <c r="C94" s="157"/>
      <c r="D94" s="157"/>
      <c r="E94" s="157"/>
      <c r="F94" s="157"/>
      <c r="G94" s="157"/>
      <c r="H94" s="157"/>
      <c r="I94" s="157"/>
      <c r="J94" s="157"/>
      <c r="K94" s="157"/>
      <c r="L94" s="157"/>
      <c r="M94" s="157"/>
      <c r="N94" s="157"/>
      <c r="O94" s="157"/>
      <c r="P94" s="157"/>
      <c r="Q94" s="157"/>
      <c r="R94" s="157"/>
      <c r="S94" s="157"/>
      <c r="T94" s="157"/>
      <c r="U94" s="157"/>
      <c r="V94" s="157"/>
      <c r="W94" s="157"/>
      <c r="X94" s="157"/>
      <c r="Y94" s="157"/>
      <c r="Z94" s="157"/>
    </row>
    <row r="95" spans="1:26" ht="15.75" customHeight="1">
      <c r="A95" s="157"/>
      <c r="B95" s="157"/>
      <c r="C95" s="157"/>
      <c r="D95" s="157"/>
      <c r="E95" s="157"/>
      <c r="F95" s="157"/>
      <c r="G95" s="157"/>
      <c r="H95" s="157"/>
      <c r="I95" s="157"/>
      <c r="J95" s="157"/>
      <c r="K95" s="157"/>
      <c r="L95" s="157"/>
      <c r="M95" s="157"/>
      <c r="N95" s="157"/>
      <c r="O95" s="157"/>
      <c r="P95" s="157"/>
      <c r="Q95" s="157"/>
      <c r="R95" s="157"/>
      <c r="S95" s="157"/>
      <c r="T95" s="157"/>
      <c r="U95" s="157"/>
      <c r="V95" s="157"/>
      <c r="W95" s="157"/>
      <c r="X95" s="157"/>
      <c r="Y95" s="157"/>
      <c r="Z95" s="157"/>
    </row>
    <row r="96" spans="1:26" ht="15.75" customHeight="1">
      <c r="A96" s="157"/>
      <c r="B96" s="157"/>
      <c r="C96" s="157"/>
      <c r="D96" s="157"/>
      <c r="E96" s="157"/>
      <c r="F96" s="157"/>
      <c r="G96" s="157"/>
      <c r="H96" s="157"/>
      <c r="I96" s="157"/>
      <c r="J96" s="157"/>
      <c r="K96" s="157"/>
      <c r="L96" s="157"/>
      <c r="M96" s="157"/>
      <c r="N96" s="157"/>
      <c r="O96" s="157"/>
      <c r="P96" s="157"/>
      <c r="Q96" s="157"/>
      <c r="R96" s="157"/>
      <c r="S96" s="157"/>
      <c r="T96" s="157"/>
      <c r="U96" s="157"/>
      <c r="V96" s="157"/>
      <c r="W96" s="157"/>
      <c r="X96" s="157"/>
      <c r="Y96" s="157"/>
      <c r="Z96" s="157"/>
    </row>
    <row r="97" spans="1:26" ht="15.75" customHeight="1">
      <c r="A97" s="157"/>
      <c r="B97" s="157"/>
      <c r="C97" s="157"/>
      <c r="D97" s="157"/>
      <c r="E97" s="157"/>
      <c r="F97" s="157"/>
      <c r="G97" s="157"/>
      <c r="H97" s="157"/>
      <c r="I97" s="157"/>
      <c r="J97" s="157"/>
      <c r="K97" s="157"/>
      <c r="L97" s="157"/>
      <c r="M97" s="157"/>
      <c r="N97" s="157"/>
      <c r="O97" s="157"/>
      <c r="P97" s="157"/>
      <c r="Q97" s="157"/>
      <c r="R97" s="157"/>
      <c r="S97" s="157"/>
      <c r="T97" s="157"/>
      <c r="U97" s="157"/>
      <c r="V97" s="157"/>
      <c r="W97" s="157"/>
      <c r="X97" s="157"/>
      <c r="Y97" s="157"/>
      <c r="Z97" s="157"/>
    </row>
    <row r="98" spans="1:26" ht="15.75" customHeight="1">
      <c r="A98" s="157"/>
      <c r="B98" s="157"/>
      <c r="C98" s="157"/>
      <c r="D98" s="157"/>
      <c r="E98" s="157"/>
      <c r="F98" s="157"/>
      <c r="G98" s="157"/>
      <c r="H98" s="157"/>
      <c r="I98" s="157"/>
      <c r="J98" s="157"/>
      <c r="K98" s="157"/>
      <c r="L98" s="157"/>
      <c r="M98" s="157"/>
      <c r="N98" s="157"/>
      <c r="O98" s="157"/>
      <c r="P98" s="157"/>
      <c r="Q98" s="157"/>
      <c r="R98" s="157"/>
      <c r="S98" s="157"/>
      <c r="T98" s="157"/>
      <c r="U98" s="157"/>
      <c r="V98" s="157"/>
      <c r="W98" s="157"/>
      <c r="X98" s="157"/>
      <c r="Y98" s="157"/>
      <c r="Z98" s="157"/>
    </row>
    <row r="99" spans="1:26" ht="15.75" customHeight="1">
      <c r="A99" s="157"/>
      <c r="B99" s="157"/>
      <c r="C99" s="157"/>
      <c r="D99" s="157"/>
      <c r="E99" s="157"/>
      <c r="F99" s="157"/>
      <c r="G99" s="157"/>
      <c r="H99" s="157"/>
      <c r="I99" s="157"/>
      <c r="J99" s="157"/>
      <c r="K99" s="157"/>
      <c r="L99" s="157"/>
      <c r="M99" s="157"/>
      <c r="N99" s="157"/>
      <c r="O99" s="157"/>
      <c r="P99" s="157"/>
      <c r="Q99" s="157"/>
      <c r="R99" s="157"/>
      <c r="S99" s="157"/>
      <c r="T99" s="157"/>
      <c r="U99" s="157"/>
      <c r="V99" s="157"/>
      <c r="W99" s="157"/>
      <c r="X99" s="157"/>
      <c r="Y99" s="157"/>
      <c r="Z99" s="157"/>
    </row>
    <row r="100" spans="1:26" ht="15.75" customHeight="1">
      <c r="A100" s="157"/>
      <c r="B100" s="157"/>
      <c r="C100" s="157"/>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row>
    <row r="101" spans="1:26" ht="15.75" customHeight="1">
      <c r="A101" s="157"/>
      <c r="B101" s="157"/>
      <c r="C101" s="157"/>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row>
    <row r="102" spans="1:26" ht="15.75" customHeight="1">
      <c r="A102" s="157"/>
      <c r="B102" s="157"/>
      <c r="C102" s="157"/>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row>
    <row r="103" spans="1:26" ht="15.75" customHeight="1">
      <c r="A103" s="157"/>
      <c r="B103" s="157"/>
      <c r="C103" s="157"/>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row>
    <row r="104" spans="1:26" ht="15.75" customHeight="1">
      <c r="A104" s="157"/>
      <c r="B104" s="157"/>
      <c r="C104" s="157"/>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row>
    <row r="105" spans="1:26" ht="15.75" customHeight="1">
      <c r="A105" s="157"/>
      <c r="B105" s="157"/>
      <c r="C105" s="157"/>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row>
    <row r="106" spans="1:26" ht="15.75" customHeight="1">
      <c r="A106" s="157"/>
      <c r="B106" s="157"/>
      <c r="C106" s="157"/>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row>
    <row r="107" spans="1:26" ht="15.75" customHeight="1">
      <c r="A107" s="157"/>
      <c r="B107" s="157"/>
      <c r="C107" s="157"/>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row>
    <row r="108" spans="1:26" ht="15.75" customHeight="1">
      <c r="A108" s="157"/>
      <c r="B108" s="157"/>
      <c r="C108" s="157"/>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row>
    <row r="109" spans="1:26" ht="15.75" customHeight="1">
      <c r="A109" s="157"/>
      <c r="B109" s="157"/>
      <c r="C109" s="157"/>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row>
    <row r="110" spans="1:26" ht="15.75" customHeight="1">
      <c r="A110" s="157"/>
      <c r="B110" s="157"/>
      <c r="C110" s="157"/>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row>
    <row r="111" spans="1:26" ht="15.75" customHeight="1">
      <c r="A111" s="157"/>
      <c r="B111" s="157"/>
      <c r="C111" s="157"/>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row>
    <row r="112" spans="1:26" ht="15.75" customHeight="1">
      <c r="A112" s="157"/>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row>
    <row r="113" spans="1:26" ht="15.75" customHeight="1">
      <c r="A113" s="157"/>
      <c r="B113" s="157"/>
      <c r="C113" s="157"/>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row>
    <row r="114" spans="1:26" ht="15.75" customHeight="1">
      <c r="A114" s="157"/>
      <c r="B114" s="157"/>
      <c r="C114" s="157"/>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row>
    <row r="115" spans="1:26" ht="15.75" customHeight="1">
      <c r="A115" s="157"/>
      <c r="B115" s="157"/>
      <c r="C115" s="157"/>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row>
    <row r="116" spans="1:26" ht="15.75" customHeight="1">
      <c r="A116" s="157"/>
      <c r="B116" s="157"/>
      <c r="C116" s="157"/>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row>
    <row r="117" spans="1:26" ht="15.75" customHeight="1">
      <c r="A117" s="157"/>
      <c r="B117" s="157"/>
      <c r="C117" s="157"/>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row>
    <row r="118" spans="1:26" ht="15.75" customHeight="1">
      <c r="A118" s="157"/>
      <c r="B118" s="157"/>
      <c r="C118" s="157"/>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row>
    <row r="119" spans="1:26" ht="15.75" customHeight="1">
      <c r="A119" s="157"/>
      <c r="B119" s="157"/>
      <c r="C119" s="157"/>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row>
    <row r="120" spans="1:26" ht="15.75" customHeight="1">
      <c r="A120" s="157"/>
      <c r="B120" s="157"/>
      <c r="C120" s="157"/>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row>
    <row r="121" spans="1:26" ht="15.75" customHeight="1">
      <c r="A121" s="157"/>
      <c r="B121" s="157"/>
      <c r="C121" s="157"/>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row>
    <row r="122" spans="1:26" ht="15.75" customHeight="1">
      <c r="A122" s="157"/>
      <c r="B122" s="157"/>
      <c r="C122" s="157"/>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row>
    <row r="123" spans="1:26" ht="15.75" customHeight="1">
      <c r="A123" s="157"/>
      <c r="B123" s="157"/>
      <c r="C123" s="157"/>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row>
    <row r="124" spans="1:26" ht="15.75" customHeight="1">
      <c r="A124" s="157"/>
      <c r="B124" s="157"/>
      <c r="C124" s="157"/>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row>
    <row r="125" spans="1:26" ht="15.75" customHeight="1">
      <c r="A125" s="157"/>
      <c r="B125" s="157"/>
      <c r="C125" s="157"/>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row>
    <row r="126" spans="1:26" ht="15.75" customHeight="1">
      <c r="A126" s="157"/>
      <c r="B126" s="157"/>
      <c r="C126" s="157"/>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row>
    <row r="127" spans="1:26" ht="15.75" customHeight="1">
      <c r="A127" s="157"/>
      <c r="B127" s="157"/>
      <c r="C127" s="157"/>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row>
    <row r="128" spans="1:26" ht="15.75" customHeight="1">
      <c r="A128" s="157"/>
      <c r="B128" s="157"/>
      <c r="C128" s="157"/>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row>
    <row r="129" spans="1:26" ht="15.75" customHeight="1">
      <c r="A129" s="157"/>
      <c r="B129" s="157"/>
      <c r="C129" s="157"/>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row>
    <row r="130" spans="1:26" ht="15.75" customHeight="1">
      <c r="A130" s="157"/>
      <c r="B130" s="157"/>
      <c r="C130" s="157"/>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row>
    <row r="131" spans="1:26" ht="15.75" customHeight="1">
      <c r="A131" s="157"/>
      <c r="B131" s="157"/>
      <c r="C131" s="157"/>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row>
    <row r="132" spans="1:26" ht="15.75" customHeight="1">
      <c r="A132" s="157"/>
      <c r="B132" s="157"/>
      <c r="C132" s="157"/>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row>
    <row r="133" spans="1:26" ht="15.75" customHeight="1">
      <c r="A133" s="157"/>
      <c r="B133" s="157"/>
      <c r="C133" s="157"/>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row>
    <row r="134" spans="1:26" ht="15.75" customHeight="1">
      <c r="A134" s="157"/>
      <c r="B134" s="157"/>
      <c r="C134" s="157"/>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row>
    <row r="135" spans="1:26" ht="15.75" customHeight="1">
      <c r="A135" s="157"/>
      <c r="B135" s="157"/>
      <c r="C135" s="157"/>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row>
    <row r="136" spans="1:26" ht="15.75" customHeight="1">
      <c r="A136" s="157"/>
      <c r="B136" s="157"/>
      <c r="C136" s="157"/>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row>
    <row r="137" spans="1:26" ht="15.75" customHeight="1">
      <c r="A137" s="157"/>
      <c r="B137" s="157"/>
      <c r="C137" s="157"/>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row>
    <row r="138" spans="1:26" ht="15.75" customHeight="1">
      <c r="A138" s="157"/>
      <c r="B138" s="157"/>
      <c r="C138" s="157"/>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row>
    <row r="139" spans="1:26" ht="15.75" customHeight="1">
      <c r="A139" s="157"/>
      <c r="B139" s="157"/>
      <c r="C139" s="157"/>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row>
    <row r="140" spans="1:26" ht="15.75" customHeight="1">
      <c r="A140" s="157"/>
      <c r="B140" s="157"/>
      <c r="C140" s="157"/>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row>
    <row r="141" spans="1:26" ht="15.75" customHeight="1">
      <c r="A141" s="157"/>
      <c r="B141" s="157"/>
      <c r="C141" s="157"/>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row>
    <row r="142" spans="1:26" ht="15.75" customHeight="1">
      <c r="A142" s="157"/>
      <c r="B142" s="157"/>
      <c r="C142" s="157"/>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row>
    <row r="143" spans="1:26" ht="15.75" customHeight="1">
      <c r="A143" s="157"/>
      <c r="B143" s="157"/>
      <c r="C143" s="157"/>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row>
    <row r="144" spans="1:26" ht="15.75" customHeight="1">
      <c r="A144" s="157"/>
      <c r="B144" s="157"/>
      <c r="C144" s="157"/>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row>
    <row r="145" spans="1:26" ht="15.75" customHeight="1">
      <c r="A145" s="157"/>
      <c r="B145" s="157"/>
      <c r="C145" s="157"/>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row>
    <row r="146" spans="1:26" ht="15.75" customHeight="1">
      <c r="A146" s="157"/>
      <c r="B146" s="157"/>
      <c r="C146" s="157"/>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row>
    <row r="147" spans="1:26" ht="15.75" customHeight="1">
      <c r="A147" s="157"/>
      <c r="B147" s="157"/>
      <c r="C147" s="157"/>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row>
    <row r="148" spans="1:26" ht="15.75" customHeight="1">
      <c r="A148" s="157"/>
      <c r="B148" s="157"/>
      <c r="C148" s="157"/>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row>
    <row r="149" spans="1:26" ht="15.75" customHeight="1">
      <c r="A149" s="157"/>
      <c r="B149" s="157"/>
      <c r="C149" s="157"/>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row>
    <row r="150" spans="1:26" ht="15.75" customHeight="1">
      <c r="A150" s="157"/>
      <c r="B150" s="157"/>
      <c r="C150" s="157"/>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row>
    <row r="151" spans="1:26" ht="15.75" customHeight="1">
      <c r="A151" s="157"/>
      <c r="B151" s="157"/>
      <c r="C151" s="157"/>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row>
    <row r="152" spans="1:26" ht="15.75" customHeight="1">
      <c r="A152" s="157"/>
      <c r="B152" s="157"/>
      <c r="C152" s="157"/>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row>
    <row r="153" spans="1:26" ht="15.75" customHeight="1">
      <c r="A153" s="157"/>
      <c r="B153" s="157"/>
      <c r="C153" s="157"/>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row>
    <row r="154" spans="1:26" ht="15.75" customHeight="1">
      <c r="A154" s="157"/>
      <c r="B154" s="157"/>
      <c r="C154" s="15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row>
    <row r="155" spans="1:26" ht="15.75" customHeight="1">
      <c r="A155" s="157"/>
      <c r="B155" s="157"/>
      <c r="C155" s="157"/>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row>
    <row r="156" spans="1:26" ht="15.75" customHeight="1">
      <c r="A156" s="157"/>
      <c r="B156" s="157"/>
      <c r="C156" s="15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row>
    <row r="157" spans="1:26" ht="15.75" customHeight="1">
      <c r="A157" s="157"/>
      <c r="B157" s="157"/>
      <c r="C157" s="157"/>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row>
    <row r="158" spans="1:26" ht="15.75" customHeight="1">
      <c r="A158" s="157"/>
      <c r="B158" s="157"/>
      <c r="C158" s="15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row>
    <row r="159" spans="1:26" ht="15.75" customHeight="1">
      <c r="A159" s="157"/>
      <c r="B159" s="157"/>
      <c r="C159" s="157"/>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row>
    <row r="160" spans="1:26" ht="15.75" customHeight="1">
      <c r="A160" s="157"/>
      <c r="B160" s="157"/>
      <c r="C160" s="15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row>
    <row r="161" spans="1:26" ht="15.75" customHeight="1">
      <c r="A161" s="157"/>
      <c r="B161" s="157"/>
      <c r="C161" s="157"/>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row>
    <row r="162" spans="1:26" ht="15.75" customHeight="1">
      <c r="A162" s="157"/>
      <c r="B162" s="157"/>
      <c r="C162" s="15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row>
    <row r="163" spans="1:26" ht="15.75" customHeight="1">
      <c r="A163" s="157"/>
      <c r="B163" s="157"/>
      <c r="C163" s="157"/>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row>
    <row r="164" spans="1:26" ht="15.75" customHeight="1">
      <c r="A164" s="157"/>
      <c r="B164" s="157"/>
      <c r="C164" s="15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row>
    <row r="165" spans="1:26" ht="15.75" customHeight="1">
      <c r="A165" s="157"/>
      <c r="B165" s="157"/>
      <c r="C165" s="157"/>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row>
    <row r="166" spans="1:26" ht="15.75" customHeight="1">
      <c r="A166" s="157"/>
      <c r="B166" s="157"/>
      <c r="C166" s="15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row>
    <row r="167" spans="1:26" ht="15.75" customHeight="1">
      <c r="A167" s="157"/>
      <c r="B167" s="157"/>
      <c r="C167" s="157"/>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row>
    <row r="168" spans="1:26" ht="15.75" customHeight="1">
      <c r="A168" s="157"/>
      <c r="B168" s="157"/>
      <c r="C168" s="15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row>
    <row r="169" spans="1:26" ht="15.75" customHeight="1">
      <c r="A169" s="157"/>
      <c r="B169" s="157"/>
      <c r="C169" s="157"/>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row>
    <row r="170" spans="1:26" ht="15.75" customHeight="1">
      <c r="A170" s="157"/>
      <c r="B170" s="157"/>
      <c r="C170" s="15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row>
    <row r="171" spans="1:26" ht="15.75" customHeight="1">
      <c r="A171" s="157"/>
      <c r="B171" s="157"/>
      <c r="C171" s="157"/>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row>
    <row r="172" spans="1:26" ht="15.75" customHeight="1">
      <c r="A172" s="157"/>
      <c r="B172" s="157"/>
      <c r="C172" s="15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row>
    <row r="173" spans="1:26" ht="15.75" customHeight="1">
      <c r="A173" s="157"/>
      <c r="B173" s="157"/>
      <c r="C173" s="157"/>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row>
    <row r="174" spans="1:26" ht="15.75" customHeight="1">
      <c r="A174" s="157"/>
      <c r="B174" s="157"/>
      <c r="C174" s="15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row>
    <row r="175" spans="1:26" ht="15.75" customHeight="1">
      <c r="A175" s="157"/>
      <c r="B175" s="157"/>
      <c r="C175" s="157"/>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row>
    <row r="176" spans="1:26" ht="15.75" customHeight="1">
      <c r="A176" s="157"/>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row>
    <row r="177" spans="1:26" ht="15.75" customHeight="1">
      <c r="A177" s="157"/>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row>
    <row r="178" spans="1:26" ht="15.75" customHeight="1">
      <c r="A178" s="157"/>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row>
    <row r="179" spans="1:26" ht="15.75" customHeight="1">
      <c r="A179" s="157"/>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row>
    <row r="180" spans="1:26" ht="15.75" customHeight="1">
      <c r="A180" s="157"/>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row>
    <row r="181" spans="1:26" ht="15.75" customHeight="1">
      <c r="A181" s="157"/>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row>
    <row r="182" spans="1:26" ht="15.75" customHeight="1">
      <c r="A182" s="157"/>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row>
    <row r="183" spans="1:26" ht="15.75" customHeight="1">
      <c r="A183" s="157"/>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row>
    <row r="184" spans="1:26" ht="15.75" customHeight="1">
      <c r="A184" s="157"/>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row>
    <row r="185" spans="1:26" ht="15.75" customHeight="1">
      <c r="A185" s="157"/>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row>
    <row r="186" spans="1:26" ht="15.75" customHeight="1">
      <c r="A186" s="157"/>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row>
    <row r="187" spans="1:26" ht="15.75" customHeight="1">
      <c r="A187" s="157"/>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row>
    <row r="188" spans="1:26" ht="15.75" customHeight="1">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row>
    <row r="189" spans="1:26" ht="15.75" customHeight="1">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row>
    <row r="190" spans="1:26" ht="15.75" customHeight="1">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row>
    <row r="191" spans="1:26" ht="15.75" customHeight="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row>
    <row r="192" spans="1:26" ht="15.75" customHeight="1">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row>
    <row r="193" spans="1:26" ht="15.75" customHeight="1">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row>
    <row r="194" spans="1:26" ht="15.75" customHeight="1">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row>
    <row r="195" spans="1:26" ht="15.75" customHeight="1">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row>
    <row r="196" spans="1:26" ht="15.75" customHeight="1">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row>
    <row r="197" spans="1:26" ht="15.75" customHeight="1">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row>
    <row r="198" spans="1:26" ht="15.75" customHeight="1">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row>
    <row r="199" spans="1:26" ht="15.75" customHeight="1">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row>
    <row r="200" spans="1:26" ht="15.75" customHeight="1">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row>
    <row r="201" spans="1:26" ht="15.75" customHeight="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row>
    <row r="202" spans="1:26" ht="15.75" customHeight="1">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row>
    <row r="203" spans="1:26" ht="15.75" customHeight="1">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row>
    <row r="204" spans="1:26" ht="15.75" customHeight="1">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row>
    <row r="205" spans="1:26" ht="15.75" customHeight="1">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row>
    <row r="206" spans="1:26" ht="15.75" customHeight="1">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row>
    <row r="207" spans="1:26" ht="15.75" customHeight="1">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row>
    <row r="208" spans="1:26" ht="15.75" customHeight="1">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row>
    <row r="209" spans="1:26" ht="15.75" customHeight="1">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row>
    <row r="210" spans="1:26" ht="15.75" customHeight="1">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row>
    <row r="211" spans="1:26" ht="15.75" customHeight="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row>
    <row r="212" spans="1:26" ht="15.75" customHeight="1">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row>
    <row r="213" spans="1:26" ht="15.75" customHeight="1">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row>
    <row r="214" spans="1:26" ht="15.75" customHeight="1">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row>
    <row r="215" spans="1:26" ht="15.75" customHeight="1">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row>
    <row r="216" spans="1:26" ht="15.75" customHeight="1">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row>
    <row r="217" spans="1:26" ht="15.75" customHeight="1">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row>
    <row r="218" spans="1:26" ht="15.75" customHeight="1">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row>
    <row r="219" spans="1:26" ht="15.75" customHeight="1">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row>
    <row r="220" spans="1:26" ht="15.75" customHeight="1">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2026-02-24T22:36:13Z</dcterms:modified>
</cp:coreProperties>
</file>
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220621\Documents\REPORTEDIARIO\REPORTEDIARIO\"/>
    </mc:Choice>
  </mc:AlternateContent>
  <bookViews>
    <workbookView xWindow="0" yWindow="0" windowWidth="28800" windowHeight="12135"/>
  </bookViews>
  <sheets>
    <sheet name="EN PROCESO (Colpatria)" sheetId="1" r:id="rId1"/>
    <sheet name="Hoja2" sheetId="2" state="hidden" r:id="rId2"/>
    <sheet name="ASISTENCIA" sheetId="3" state="hidden" r:id="rId3"/>
    <sheet name="pruebas i" sheetId="4" state="hidden" r:id="rId4"/>
  </sheets>
  <definedNames>
    <definedName name="_xlnm._FilterDatabase" localSheetId="0" hidden="1">'EN PROCESO (Colpatria)'!$A$1:$AN$89</definedName>
  </definedNames>
  <calcPr calcId="162913"/>
  <extLst>
    <ext uri="GoogleSheetsCustomDataVersion2">
      <go:sheetsCustomData xmlns:go="http://customooxmlschemas.google.com/" r:id="rId8" roundtripDataChecksum="76eryZ6gGpU2mWW8SMqoy7ZJJpR5t4dGEh5cuhOXRSk="/>
    </ext>
  </extLst>
</workbook>
</file>

<file path=xl/calcChain.xml><?xml version="1.0" encoding="utf-8"?>
<calcChain xmlns="http://schemas.openxmlformats.org/spreadsheetml/2006/main">
  <c r="I5" i="4" l="1"/>
  <c r="I4" i="4"/>
  <c r="I3" i="4"/>
  <c r="I2" i="4"/>
  <c r="M79" i="1"/>
  <c r="H79" i="1"/>
  <c r="M78" i="1"/>
  <c r="H78" i="1"/>
  <c r="M77" i="1"/>
  <c r="H77" i="1"/>
  <c r="M76" i="1"/>
  <c r="H76" i="1"/>
  <c r="M75" i="1"/>
  <c r="H75" i="1"/>
  <c r="M74" i="1"/>
  <c r="H74" i="1"/>
  <c r="M73" i="1"/>
  <c r="H73" i="1"/>
  <c r="M72" i="1"/>
  <c r="H72" i="1"/>
  <c r="M71" i="1"/>
  <c r="H71" i="1"/>
  <c r="M70" i="1"/>
  <c r="H70" i="1"/>
  <c r="M69" i="1"/>
  <c r="H69" i="1"/>
  <c r="M68" i="1"/>
  <c r="H68" i="1"/>
  <c r="M67" i="1"/>
  <c r="H67" i="1"/>
  <c r="M66" i="1"/>
  <c r="H66" i="1"/>
  <c r="M65" i="1"/>
  <c r="H65" i="1"/>
  <c r="M64" i="1"/>
  <c r="H64" i="1"/>
  <c r="M63" i="1"/>
  <c r="H63" i="1"/>
  <c r="M62" i="1"/>
  <c r="H62" i="1"/>
  <c r="M61" i="1"/>
  <c r="H61" i="1"/>
  <c r="M60" i="1"/>
  <c r="H60" i="1"/>
  <c r="M59" i="1"/>
  <c r="H59" i="1"/>
  <c r="M58" i="1"/>
  <c r="H58" i="1"/>
  <c r="M57" i="1"/>
  <c r="H57" i="1"/>
  <c r="M56" i="1"/>
  <c r="H56" i="1"/>
  <c r="M55" i="1"/>
  <c r="H55" i="1"/>
  <c r="M54" i="1"/>
  <c r="H54" i="1"/>
  <c r="M53" i="1"/>
  <c r="H53" i="1"/>
  <c r="M52" i="1"/>
  <c r="H52" i="1"/>
  <c r="M51" i="1"/>
  <c r="H51" i="1"/>
  <c r="M50" i="1"/>
  <c r="H50" i="1"/>
  <c r="M49" i="1"/>
  <c r="H49" i="1"/>
  <c r="M48" i="1"/>
  <c r="H48" i="1"/>
  <c r="M47" i="1"/>
  <c r="H47" i="1"/>
  <c r="M46" i="1"/>
  <c r="H46" i="1"/>
  <c r="M45" i="1"/>
  <c r="H45" i="1"/>
  <c r="M44" i="1"/>
  <c r="H44" i="1"/>
  <c r="M43" i="1"/>
  <c r="H43" i="1"/>
  <c r="M42" i="1"/>
  <c r="H42" i="1"/>
  <c r="M41" i="1"/>
  <c r="H41" i="1"/>
  <c r="M40" i="1"/>
  <c r="H40" i="1"/>
  <c r="M39" i="1"/>
  <c r="H39" i="1"/>
  <c r="M38" i="1"/>
  <c r="H38" i="1"/>
  <c r="M37" i="1"/>
  <c r="H37" i="1"/>
  <c r="M36" i="1"/>
  <c r="H36" i="1"/>
  <c r="M35" i="1"/>
  <c r="H35" i="1"/>
  <c r="M34" i="1"/>
  <c r="H34" i="1"/>
  <c r="M33" i="1"/>
  <c r="H33" i="1"/>
  <c r="M32" i="1"/>
  <c r="H32" i="1"/>
  <c r="M31" i="1"/>
  <c r="H31" i="1"/>
  <c r="M30" i="1"/>
  <c r="H30" i="1"/>
  <c r="M29" i="1"/>
  <c r="H29" i="1"/>
  <c r="M28" i="1"/>
  <c r="H28" i="1"/>
  <c r="M27" i="1"/>
  <c r="H27" i="1"/>
  <c r="M26" i="1"/>
  <c r="H26" i="1"/>
  <c r="M25" i="1"/>
  <c r="H25" i="1"/>
  <c r="M24" i="1"/>
  <c r="H24" i="1"/>
  <c r="M23" i="1"/>
  <c r="H23" i="1"/>
  <c r="M22" i="1"/>
  <c r="H22" i="1"/>
  <c r="M21" i="1"/>
  <c r="H21" i="1"/>
  <c r="M20" i="1"/>
  <c r="H20" i="1"/>
  <c r="M19" i="1"/>
  <c r="H19" i="1"/>
  <c r="M18" i="1"/>
  <c r="H18" i="1"/>
  <c r="M17" i="1"/>
  <c r="H17" i="1"/>
  <c r="M16" i="1"/>
  <c r="H16" i="1"/>
  <c r="M15" i="1"/>
  <c r="H15" i="1"/>
  <c r="M14" i="1"/>
  <c r="H14" i="1"/>
  <c r="M13" i="1"/>
  <c r="H13" i="1"/>
  <c r="M12" i="1"/>
  <c r="H12" i="1"/>
  <c r="M11" i="1"/>
  <c r="H11" i="1"/>
  <c r="M10" i="1"/>
  <c r="H10" i="1"/>
  <c r="M9" i="1"/>
  <c r="H9" i="1"/>
  <c r="M8" i="1"/>
  <c r="H8" i="1"/>
  <c r="M7" i="1"/>
  <c r="H7" i="1"/>
  <c r="M6" i="1"/>
  <c r="H6" i="1"/>
  <c r="M5" i="1"/>
  <c r="H5" i="1"/>
  <c r="M4" i="1"/>
  <c r="H4" i="1"/>
  <c r="M3" i="1"/>
  <c r="H3" i="1"/>
  <c r="M2" i="1"/>
  <c r="H2" i="1"/>
</calcChain>
</file>

<file path=xl/sharedStrings.xml><?xml version="1.0" encoding="utf-8"?>
<sst xmlns="http://schemas.openxmlformats.org/spreadsheetml/2006/main" count="1488" uniqueCount="441">
  <si>
    <t>Asignado a</t>
  </si>
  <si>
    <t>ID REQ</t>
  </si>
  <si>
    <t xml:space="preserve">Requerimiento </t>
  </si>
  <si>
    <t xml:space="preserve">Descripcion req </t>
  </si>
  <si>
    <t>Actividad</t>
  </si>
  <si>
    <t>ESTADO</t>
  </si>
  <si>
    <t>% AVANCE</t>
  </si>
  <si>
    <t>Dias estimados de desarrollo</t>
  </si>
  <si>
    <t>F.Asignado</t>
  </si>
  <si>
    <t>Fecha inicio</t>
  </si>
  <si>
    <t>F. estimada de entrega</t>
  </si>
  <si>
    <t>Fecha Finalizado</t>
  </si>
  <si>
    <t>Dias total desarrollo</t>
  </si>
  <si>
    <t>Fecha compromiso cliente</t>
  </si>
  <si>
    <t>FECHA PASO A TEST</t>
  </si>
  <si>
    <t>FECHA PASO A PRODUCCION</t>
  </si>
  <si>
    <t>DESCRIPCION DEL AVANCE</t>
  </si>
  <si>
    <t xml:space="preserve">visible </t>
  </si>
  <si>
    <t>Faver Lopez</t>
  </si>
  <si>
    <t>COLP25-0001</t>
  </si>
  <si>
    <t>Clasificacion de Documentos</t>
  </si>
  <si>
    <t>Se requiere crear un clasificador de documentos para el proceso de afiliaciones</t>
  </si>
  <si>
    <t>PAUSADO</t>
  </si>
  <si>
    <t>Se tiene ya construida la base del entranamiento
15/10/2025: Se Pausa este requerimiento mientras se avanza en otras automatizaciones del proceso de afiliaciones</t>
  </si>
  <si>
    <t>COLP25-0002</t>
  </si>
  <si>
    <t>Mejoras Modulo Gestor Lote</t>
  </si>
  <si>
    <t>Se solicita hacer ajustes en el modulo de gestor lotes tramites:
- Ajustar resolución de Imagenes
- Ajustar el proceso diario de preparación de archivos
- Ajustar visualización de imagenes posterior a generar lotes
- Ajustar para que se mantengan los filtros del gestor lote
- Permitir carga de otros tipos de archivos (xlsx, correos, word)
- Los excel NR, no salen completos, ajustar el pantallazo al tamaño de la tabla</t>
  </si>
  <si>
    <t>FINALIZADO</t>
  </si>
  <si>
    <t>12/09/2025: Se ajusta la resolucion de imagenes
19/09/2025: Se ajusta el proceso automatico de preparación de tramites para loteo.
19/09/2025: Ajusta la visualización de imagenes luego de generar el lote
19/09/2025: Agrega nuevos tipos de archivos permitidos para el cargue
15/10/2025: Se ajusta que al tomar el screenshot este quede ajustado al tamaño de la tabla</t>
  </si>
  <si>
    <t>COLP25-0003</t>
  </si>
  <si>
    <t>Automatizar Informe Usuarios Imagine</t>
  </si>
  <si>
    <t>El informe de usuarios de Imagine se envia de forma mensual, en los primeros 5 dias del mes, este proceso realiza de forma manual y se requiere habilitar un proceso automatico para que lo envie</t>
  </si>
  <si>
    <t>PASO A PRODUCCION</t>
  </si>
  <si>
    <t>03/10/2025: Se revisa el proceso de la generación del informe con John
03/10/2025: Se realizaron ajustes en el reporte, se corregen inconsistencias que se ajustan de forma manual actualmente</t>
  </si>
  <si>
    <t>COLP25-0004</t>
  </si>
  <si>
    <t>Proceso Archivo Nomina Pendiente</t>
  </si>
  <si>
    <t>Se requiere una opcion que permite agilizar el proceso de alistamiento del archivo de nomina, ya que es algo que quita mucho tiempo por cada archivo</t>
  </si>
  <si>
    <t>22/08/2025: Se crea la estructura y la lectura del archivo, se mapean algunos campos del excel
09/09/2025: Se trabajo en las validacions de devolución y en las transformaciones de las columnas
09/09/2025: Se pasara al ambiente de QA los cambios iniciales
19/09/2025: Se tiene mapeado un 95% de los valores y las reglas a aplicar
03/10/2025: Se completo el mapeo de las columnas del arhcivo de nomina y sus reglas.
03/10/2025: Se han agregado mejoras y procesamiento de diferentes columnas
31/10/2025: Se realizan ajuste en columnas y se modifica el encabezado para que cargue sin errores
07/11/2025: Se da finalizado el proceso y se manejaran como mejoras separadas los cambios que se realicen.</t>
  </si>
  <si>
    <t>COLP25-0005</t>
  </si>
  <si>
    <t>Automatizaciones Imagine - Desarrollar Modulo Transformación de Archivo Masivo Voluntarios</t>
  </si>
  <si>
    <t>Este desarrollo es para reducir la manuallidad de procesar archivos de excel de forma manual, este permitir realizar las trasnformaciones de los valores de las columnas y validar la información</t>
  </si>
  <si>
    <t>22/08/2025: Se han agregado mejoras y optimizaciones al proceso de transformación del archivo masivo
12/09/2025: Actualmente este modulo esta en ambiente QA, y se usa para el proceso de transformación de las afiliaciones de voluntarios (por oficio), pero en las ultimas 2 cargues se han estado trabajando como afiliaciones independientes asociados a una afiliacion de Axa para su cargue.
12/09/2025: Se debe definir si va a contiuar asi, ya que entonces se entregaria el archivo en la estructura esperada para su cargue a Access
12/09/2025: Actualmente este modulo esta en ambiente QA, y se usa para el proceso de transformación de las afiliaciones de voluntarios (por oficio), pero en las ultimas 2 cargues se han estado trabajando como afiliaciones independientes asociados a una afiliacion de Axa para su cargue, se ha definido si va a contiuar asi, ya que entonces se entregaria el archivo ya en la estructura esperada para su cargue a Access
24/10/2025: Se deja en producción funcional, se tienen mejoras que realizar pero se tomaran por separado cada mejora</t>
  </si>
  <si>
    <t>COLP25-0006</t>
  </si>
  <si>
    <t>Creación Modulo de Administración</t>
  </si>
  <si>
    <t>Se requiere la creación de un modulo de administración para el manejo de usuarios, roles y permisos</t>
  </si>
  <si>
    <t>22/07/2025: Va en 90% faltan detalles de filtros y temas de busquedas, perfiles.
04/08/2025: Pendientes por pruebas
15/08/2025: Se realizaron ajustes a las paginaciones, ya se pueden asignar los roles a los usuarios.
15/08/2025: Falta agregar filtros para buscar usuarios y quedar listo la funcionalidad
19/09/2025: Se realizaron ajustes en el manejo de permisos del frontend y se agrega opcion en el modulo de adminsitración par ala signación de los permisos
03/10/2025: Se mejora la administracion de usuarios, se agregan filtros para la busqueda de usuarios
03/10/2025: Se esta realizando un ajuste en la administración de los permisos y roles
24/10/2025: Se agrego la funcionalidad para modificar los datos de los usuarios</t>
  </si>
  <si>
    <t>COLP25-0007</t>
  </si>
  <si>
    <t>Migrar el motor de base de datos de postgresql de 9,6 a la versión 17,5</t>
  </si>
  <si>
    <t>Se solicita antes de migrar el sistema operativo del servidor de base de datos de producción, realizar la migración versión superior o igual a postgreSql 12 , esto con el fin de atender una alerta de vulneSrabilidad</t>
  </si>
  <si>
    <t>15/07/2025: En sesion con Natalia , Ana para pruebas ambiente QA que se programo el dia 18 de julio a las 10:00 de la mañana.
15/07/2025: Se envidencia algunos ajuste para realizar por parte de Faver se agenda sesion nuevamente para el dia  lunes 21 de julio en horas de la tarde
22/07/2025: Esta programada para el 25 de julio el proceso de migración.
Se envío correo para solicitar instalación de odbc para la nueva versión.
22/07/2025: Nota - Se cambio para el lunes 28 de julio 
22/07/2025: Nota - Se define y autoriza por operaciones para el 4 de agosto para no afectar operaciones en cierre de mes
08/08/2025: Ya se instalo la version de postgres 17.5, se hizo el upgrade.
08/08/2025: Fallo al restaurar bases de datos debido a una funcion no soportada y el plan para evitar cambiar todas las tablas no funciono como se esperaba.
08/08/2025: Pendiente de reprogramar el proceso de restaurar la base de datos en el nuevo motor.
14/10/2025: Se envio plan actaulizado para el proceso de migración de la base de datos.
07/11/2025: Se recibe aprobación del cliente (Operaciones) para que se realice a mitad de mes, queda pendiente de programar con el area de seguridad y DBA.
28/11/2025: Se espera programar para el 5 de diciembre el paso a producción
04/12/2025: Se reprograma para el 9 de Diciembre el paso a producción
10/12/2025: Se realiza migración de la base de datos a la version solicitada de forma correcta.</t>
  </si>
  <si>
    <t>COLP25-0008</t>
  </si>
  <si>
    <t>Excluir Personas del Correo: TRASLADOS CON PRIMERA NOMINA PENDIENTE POR CARGAR</t>
  </si>
  <si>
    <t>Se recibe correo solicitando excluir algunos correos del las notificación que se envia sobre tramites con traslados con primera nomina pendiente por cargar.</t>
  </si>
  <si>
    <t>PENDIENTE CLIENTE</t>
  </si>
  <si>
    <t>03/10/2025: No se ha realizado debido a restricciones de acceso al mabiente de desarrollo de Imagine
04/10/2025: Se realiza revisión del proceso, se quito el envio a algunos usuarios pero se requiere validar como se aplicara esta regla con Axa, ya que es una regla de negocio y debe la aprobación y definición del cambio.</t>
  </si>
  <si>
    <t>COLP25-0009</t>
  </si>
  <si>
    <t>Notificaciones Radicador Masivos</t>
  </si>
  <si>
    <t>Se requiere notificar los cambios de estado de los radicados masivos</t>
  </si>
  <si>
    <t>24/10/2025: Se agrega notificaciones para las diferentes acciones del radicador de masivos</t>
  </si>
  <si>
    <t>COLP25-0010</t>
  </si>
  <si>
    <t>Mejoras Radicados Masivos</t>
  </si>
  <si>
    <t>Se requiere que al momento de realizar una accción sobre un radicado masivo se pida una confirmación por parte del usuario para evitar errores al dar gestion</t>
  </si>
  <si>
    <t>24/10/2025: Se agrega confirmaciones para los cambios de estado de los radicados</t>
  </si>
  <si>
    <t>COLP25-0011</t>
  </si>
  <si>
    <t>Inactivar los procesos del gestor de lotes (php)</t>
  </si>
  <si>
    <t xml:space="preserve">Se requiere inactivar funcionalidades del gestor de lotes del aplicativo de Imaginex ya que estas se estan trabaajndo en el nuevo aplicatvio, esto con el fin de evitar duplicar procesos </t>
  </si>
  <si>
    <t>24/10/2025: Se inactivan las opciones del gestor antiguo para que no sean usadas y evitar conflicto en el proceso de loteo</t>
  </si>
  <si>
    <t>COLP25-0012</t>
  </si>
  <si>
    <t>Optimizacion de Consulta Tramites</t>
  </si>
  <si>
    <t>Se requiere optimizar una consulta para el proceso de calidad de entrega de los planos adicionales, esta consulta actulmente se trada unos 15 seg en mostrar resutlados, afectando el rendiemiento de la aplicación y generando demoras en el proceso de generación de planos adicionales</t>
  </si>
  <si>
    <t>24/10/2025: Se optimiza la consulta paa los procesos de calidad en la generacion de planos adicionales</t>
  </si>
  <si>
    <t>COLP25-0013</t>
  </si>
  <si>
    <t>Agregar Tipologia FX al Gestor de Lotes</t>
  </si>
  <si>
    <t>Se requiere agregar la tipologia FX para la familia de novedades en el gestor de lotes</t>
  </si>
  <si>
    <t>24/10/2025: Se agrego tipologia FX a la familia de novedades en el gestor de lotes</t>
  </si>
  <si>
    <t>COLP25-0014</t>
  </si>
  <si>
    <t>Ajustes Proceso Nomina Dependientes</t>
  </si>
  <si>
    <t>Se requieren los situientes ajustes en la nomina de dependientes:
- Limpieza de tildes en los campos (centro trabajo, ciudad)
- duplicar la columan ciudad y numero de contacto</t>
  </si>
  <si>
    <t>24/10/2025: Se realizan los ajustes en el plano de nominas dependientes</t>
  </si>
  <si>
    <t>COLP25-0015</t>
  </si>
  <si>
    <t>Depuracion de almacenamiento del servidor productivo</t>
  </si>
  <si>
    <t>Se presenta alertamiento por espacio en el almacenamiento del servidor productivo, se requiere hacer un proceso de depuración de información para liberar espacio</t>
  </si>
  <si>
    <t>24/10/2025: Se realiza el proceso de depuración con el are operativa de inforamción en el volumen de almacenamiento y se corrige el alertamiento</t>
  </si>
  <si>
    <t>COLP25-0016</t>
  </si>
  <si>
    <t>Mejorar Plan Migración Base de Datos</t>
  </si>
  <si>
    <t>Se requiere revisar el plan que se tiene para el proceso de migración de la base de datos de produción de postgres 9,6 a 17,5</t>
  </si>
  <si>
    <t>31/10/2025: Se revisa el plan de trabajo y se establecen mejoras para realizar el proceso mas rapido, ejecutando backups y restauración aprovechando el multiproceso</t>
  </si>
  <si>
    <t>COLP25-0017</t>
  </si>
  <si>
    <t>Depuración de aplicativo Imagine (PHP)</t>
  </si>
  <si>
    <t>Se requiere realizar depuración del aplicativo de Imaginex, esto se requiere ya que se esta realizando el proceso de extracción del aplicativo a Github, actualmente el aplicativo contiene carpetas que no son necesarias para los procesos de desaroollo actuales</t>
  </si>
  <si>
    <t>31/10/2025: Se esta realizando el proceso de depuracion de la carpetas del repositorio del aplicativo Imaginex, se generaron backup de codigo que no se usa actualmente.
07/11/2025: Se realiza depuración del codigo se eliminan carpetas no requeridas (se generaron backups) queda listo para subir al repositorio.
15/12/2025: Se ha estado trabajando en la revisión y codigo para su cargue en el repositorio de Imagine.
18/12/2025: Se agregan librerias necesarias para ajuste en visor de tiff
02/03/2026: Estos ajustes se pondran en pausa debido a que se estan migrando funcionalidades al nuevo aplicativo, por lo cual la revisión y depuración del aplicativo no se ha podido avanzar, no es posible terminarlo y enviar todo al repositorio debido a información que puede ser sensible por cual se requiere la revision manual del codigo antes de realizar cargue en repositorios.</t>
  </si>
  <si>
    <t>COLP25-0018</t>
  </si>
  <si>
    <t>Restringir Funcionalidades Gestor Lotes en Tramites Loteados</t>
  </si>
  <si>
    <t>Se requiere agregar una restringir para eliminacion y reordenar los archivos e imagenes luego de generar lote</t>
  </si>
  <si>
    <t>31/10/2025: Se agregan validaciones para restringir acciones sobre los archivos e imagenes de tramites loteados en el gestor de lotes</t>
  </si>
  <si>
    <t>COLP25-0019</t>
  </si>
  <si>
    <t>Mejoras Gestor Lotes - Manejo estado Radicados</t>
  </si>
  <si>
    <t>Se requiere agregar una validación para revisar si un tramite esta en estado  (anulado, cancelado o eliminado), al gestionar</t>
  </si>
  <si>
    <t>31/10/2025: Se agrega un resoltado de las filas de tramites que tienen estan en estado no gestionable (anulado, cancelado o eliminar)</t>
  </si>
  <si>
    <t>COLP25-0020</t>
  </si>
  <si>
    <t>Mejora Proceso Login Usuarios</t>
  </si>
  <si>
    <t>Se requiere contar los ingresos y actualizar fecha ultimo ingreso</t>
  </si>
  <si>
    <t>31/10/2025: Se ajusta el flujo de autenticacion  para actualizar la fecha de ultimo ingreso y la cantidad de ingresos</t>
  </si>
  <si>
    <t>COLP25-0021</t>
  </si>
  <si>
    <t>Registrar datos del usuario con el primer login</t>
  </si>
  <si>
    <t>Se requiere que el nuevo aplicativo registre en base de datos, los usuarios que son nuevos y cargue los datos que son retornados por el DA</t>
  </si>
  <si>
    <t>31/10/2025: Se modifica el flujo de autenticacion para guardar o actualizar los datos del usuario.</t>
  </si>
  <si>
    <t>COLP25-0022</t>
  </si>
  <si>
    <t>Mejoras El Filtrado del Gestor Lote</t>
  </si>
  <si>
    <t>Se requiere al ingresar a un tramite y regresar al grid de tramites se mantengan los filtros de busqueda</t>
  </si>
  <si>
    <t xml:space="preserve">02/03/2026: Se ha trabajado en mejoras del grid de gestor de lotes, se han realizado ajustes e acuerdo a las necesidades que se han venido presentando por el área de operaciones, aun falta una implementación para mantener filtros entre navegaciones. Actualmente no se ha avanzado en esta tarea ya que se esta dando gestión a otras funcionalidades del gestor. </t>
  </si>
  <si>
    <t>COLP25-0023</t>
  </si>
  <si>
    <t>Hardening Servidro Producción</t>
  </si>
  <si>
    <t>Se viene adelantando un proceso de hardeninzación por parte de seguridad de la información</t>
  </si>
  <si>
    <t>06/11/2025: Se realiza el acompañamiento al equipo de Axa en el proceso de hardenización del servidor de producción.</t>
  </si>
  <si>
    <t>COLP25-0024</t>
  </si>
  <si>
    <t>Ajuste sincronizacion datos usuarios</t>
  </si>
  <si>
    <t>Se requiere realizar ajustes en el proceso de sincronización de datos de los usuarios que entrega el servicio de SOAP del DA</t>
  </si>
  <si>
    <t>05/11/2025: Se realiza ajuste en el proceso de actualización de los datos obtenidos del servicio SOAP de Directorio Activo</t>
  </si>
  <si>
    <t>COLP25-0025</t>
  </si>
  <si>
    <t>Migrar conversores tiff</t>
  </si>
  <si>
    <t>Se requiere migrar las funcionalidades de conversion de archivos a tiff debido a que el ajuste realizado en el hardening afecta la libreria que se estaba usando para el proceso</t>
  </si>
  <si>
    <t>07/11/2025: Se migran las funcionalidades de conversión a la nueva aplicación, de esta forma se deja de depender de librerias como graphicsmagick y Ghostscript.</t>
  </si>
  <si>
    <t>COLP25-0026</t>
  </si>
  <si>
    <t>Agregar Areas y Novedades Masivas</t>
  </si>
  <si>
    <t>El cliente solicita agregar nuevas novedades para radicar masivos del Area de SALUD y HYC</t>
  </si>
  <si>
    <t>07/11/2025: Se agrega areas y novedades solicitadas para el proceso de radicación de masivos.</t>
  </si>
  <si>
    <t>COLP25-0027</t>
  </si>
  <si>
    <t>Actualizar dependencias API Automatizacion</t>
  </si>
  <si>
    <t>Se requiere actualizar dependencias del api para procesos de automatización</t>
  </si>
  <si>
    <t>28/11/2025: Se realiza proceso de actualización de las dependencias del API a las ultimas versiones, se actualiza tambien la versión del navegador requerido para navegación automatica en Rues.</t>
  </si>
  <si>
    <t>COLP25-0028</t>
  </si>
  <si>
    <t xml:space="preserve">Revision de Vulnerabilidades en Dependencias </t>
  </si>
  <si>
    <t>Se requiere realizar un proceso de revisión de vulnerabilidades de dependencias de los aplicativos de Imagine (nodejs y python)</t>
  </si>
  <si>
    <t>28/11/2025: Se realiza la revisión de vulnerabilidades y actualización de dependencias de los aplicativos de Imagine.</t>
  </si>
  <si>
    <t>COLP25-0029</t>
  </si>
  <si>
    <t>Migrar Ant Desing</t>
  </si>
  <si>
    <t>Se requiere migrar la libreria de componentes del FrontEnd Imagine  a la versión 6 de Ant Desing, este cambio requiere de ajustes en algunos componentes, mejora la compatibilidad con React 19 por defecto.</t>
  </si>
  <si>
    <t>28/11/2025: Se actualiza Ant Desing a v6, se realiza ajustes necesarios los ajustes necesarios para la compatibilidad con la nueva versión.
30/01/2026: Se realiza el paso a produccion de la migración de la libreria de componentes.
13/02/2026: Se han actualizado todos los componentes y realizado ajustes de propiedades deprecadas.</t>
  </si>
  <si>
    <t>COLP25-0030</t>
  </si>
  <si>
    <t>Actualizacion Dependencias - API Automatizaciones</t>
  </si>
  <si>
    <t>Se requiere actualizar dependencias del api para procesos de automatización, esto es necesario para aplicar los ultimos parches de seguridad.</t>
  </si>
  <si>
    <t>04/12/2025: Se realiza la actualización de dependencias para aplicar parches de seguridad</t>
  </si>
  <si>
    <t>COLP25-0036</t>
  </si>
  <si>
    <t>Mitigación de Vulnerabilidades</t>
  </si>
  <si>
    <t>Se requiere actualizar dependencias con vulnerabilidades reportadas que afectan el aplicativo de Imagine Solicitudes</t>
  </si>
  <si>
    <t>11/12/2025: Se realiza actaulización de las dependencias con vulnerabiidades a versiones corregidas.</t>
  </si>
  <si>
    <t>COLP25-0031</t>
  </si>
  <si>
    <t>Ajuste Visor Imagenes - Imaginex</t>
  </si>
  <si>
    <t>En el modulo antiguo de consulta de Imagenes en Nativo, se requiere ajusta el visor de Imagines que soporta imagenes .tif, debido a que esta fallando al momento de cargar algunas imagenes</t>
  </si>
  <si>
    <t>18/12/2025: Se realiza ajuste del visor de imagenes .tif, se requirio de cambios en las librerias javascript para corregir unos errores de descompresión de los archivos multi páginas.</t>
  </si>
  <si>
    <t>COLP25-0032</t>
  </si>
  <si>
    <t>Pruebas Servidor DB QA</t>
  </si>
  <si>
    <t>Se requiere realizar pruebas de acceso y funcionalidad de la base de datos de QA, debido a procesos de Hardenización ejecutados por el cliente.</t>
  </si>
  <si>
    <t>17/12/2025: Se realizan las pruebas de acceso y funcionalidad de las bases de datos del ambiente QA, no se presentan novedades.</t>
  </si>
  <si>
    <t>COLP25-0033</t>
  </si>
  <si>
    <t>AUTOMATIZACIONES IMAGINE - Generar Planos Novedades Masivas</t>
  </si>
  <si>
    <t>Se requiere que el procesamiento y generación de planos de la novedades radicadas por el modulo de masivos se puede realizar de forma automatica</t>
  </si>
  <si>
    <t>18/12/2025: Se creo el proceso para lotear, guardar y generar planos de las novedades masivas
01/02/2026: Se completa el proceso y se habilita de forma automatica todo el proceso de generación de planos en el radicador de masivos.</t>
  </si>
  <si>
    <t>COLP25-0034</t>
  </si>
  <si>
    <t>Cargue de Festivos 2026</t>
  </si>
  <si>
    <t>Se requiere agregar los festivos en las bases de datos para el año 2026</t>
  </si>
  <si>
    <t>31/12/2025: Se crean las query y se realiza el cargue en las tablas de las diferentes base de datos de Imagine</t>
  </si>
  <si>
    <t>COLP25-0035</t>
  </si>
  <si>
    <t>Crear un Informe para radicador masivos</t>
  </si>
  <si>
    <t>Se solicito en la reunion de seguimiento mensual con el cliente que se agregue un informe para descargar el detalle de los radicados masivos.</t>
  </si>
  <si>
    <t>31/12/2025: Se pase el desarrollo al mabiente de QA para pruebas correspondientes
30/01/2026: Se habilito el modulo para genearar reportes de los radicados masivos</t>
  </si>
  <si>
    <t>COLP26-0001</t>
  </si>
  <si>
    <t>Revisión Modulo Sarlaft</t>
  </si>
  <si>
    <t>Se esta evidenciando que al momento de cambiar de estado los registros de sarlaft estos pierden referencia al archivo con la información de la composición accionaria</t>
  </si>
  <si>
    <t>31/12/2025: Se realiza ajustes para evitar perdida de la ruta del archivo del sarlaft</t>
  </si>
  <si>
    <t>COLP26-0002</t>
  </si>
  <si>
    <t>Ajuste Devoluciones Radicador</t>
  </si>
  <si>
    <t>Solicitan modificar el proceso de notificacion de devoluciones de radicados, se requiere que estas devoluciones se realicen directamente al usuario radicador</t>
  </si>
  <si>
    <t>02/03/2026: Este requerimiento aun no se esta trabajando ya que aun falta realizar definiciones de como se modificara el flujo de radicación de tramites.
29/06/2026: Se realizan los ajustes para notificar al usuario cuando se realiza una devolución.</t>
  </si>
  <si>
    <t>COLP26-0003</t>
  </si>
  <si>
    <t>Ajuste Reporte General 2</t>
  </si>
  <si>
    <t>Solicitan revisión y ajuste del reporte general 2 ya que este no esta siendo consistente en los datos, lo que dificulta interpretar el estado de los radicados.</t>
  </si>
  <si>
    <r>
      <rPr>
        <sz val="10"/>
        <color theme="1"/>
        <rFont val="Quattrocento Sans"/>
      </rPr>
      <t xml:space="preserve">02/03/2026: Se ha realizado ajustes en el reporte para incluir las nuevas fechas de vigencia y determinar el cumplimiento de ANS.
Los informes estan pausados por solicitud de </t>
    </r>
    <r>
      <rPr>
        <b/>
        <sz val="10"/>
        <color theme="1"/>
        <rFont val="Quattrocento Sans"/>
      </rPr>
      <t>Don Hernan</t>
    </r>
    <r>
      <rPr>
        <sz val="10"/>
        <color theme="1"/>
        <rFont val="Quattrocento Sans"/>
      </rPr>
      <t xml:space="preserve"> esto no se avanzara por ahora</t>
    </r>
  </si>
  <si>
    <t>COLP26-0004</t>
  </si>
  <si>
    <t>Nuevo Estado Radicación Masivos</t>
  </si>
  <si>
    <t>Se requiere poder anular radicados masivos en estado de devolución</t>
  </si>
  <si>
    <t>15/01/2026: Se agrega nuevo estado de anulado
30/01/2026: Se realiza paso a producion de los cambios para habilitar nuevo estado.</t>
  </si>
  <si>
    <t>COLP26-0005</t>
  </si>
  <si>
    <t>Migrar a Nextjs 16</t>
  </si>
  <si>
    <t>Realizar migración del framework a la version 16</t>
  </si>
  <si>
    <t>27/01/2026: Se pasa a pruebas los cambios relacionados a la migración de versión de Nextjs.
30/01/2026: Se realiza paso a produccion de los cambios con la nueva version de NextJs.</t>
  </si>
  <si>
    <t>COLP26-0006</t>
  </si>
  <si>
    <t>Auditoria Seguridad API Nodejs</t>
  </si>
  <si>
    <t>Se requiere ejecutar y realizar correcciones para garantizar la seguridad del API Imagine de los procesos automaticos en nodejs</t>
  </si>
  <si>
    <t>27/01/2026: Se pasa a pruebas los cambios relacionados a la revisión de seguridad y los ajustes realizados para solventarlos.
30/01/2026: Se realiza paso a produccion de la nueva version con ajustes de seguridad.</t>
  </si>
  <si>
    <t>COLP26-0007</t>
  </si>
  <si>
    <t>Crear Automatización para el procesamiento de Novedades</t>
  </si>
  <si>
    <t>Se requiere adicionar una funcionalidad que permita procesar las novedades del dia a dia, se busca agilizar el proceso de ajuste de datos y generación de planos.</t>
  </si>
  <si>
    <t>02/03/2026: Se agrego una funcionalidad para procesar novedades normales con la implementación de un proceso que identifica los archivos y extracción de la informacion para la novedad. Esto aun requiere un mapeo de información de los diferentes formatos que cargan para cada novedad.
17/03/2026: Se agrego una opcion para que el usuario pueda reasignar los campos del archivo para los valores a procesar.
24/03/2026: Se estan realizando pruebas de las novedades mapeadas para el proceso automatico de generación de planos.
30/03/2026: Se realiza las pruebas finales en ambiente QA.
31/03/2026: Se realiza el paso a producción y se deja en seguimiento los tramites que se van procesando
07/04/2026: Se realizan ajustes necesarios para el proceso de mapeo de las novedades de acuerdo con los seguimientos realizados.</t>
  </si>
  <si>
    <t>COLP26-0008</t>
  </si>
  <si>
    <t>Actualizar lista de EPS</t>
  </si>
  <si>
    <t>Se requiere actualizar lista de EPS para procesos de MPP y HYC</t>
  </si>
  <si>
    <t>PENDIENTE</t>
  </si>
  <si>
    <t>COLP26-0009</t>
  </si>
  <si>
    <t>Ajuste Loteo Tramites</t>
  </si>
  <si>
    <t>Se requiere al momento de generar lotes se agreguen valores de fechas para que no se tengan que digitar posteriormente</t>
  </si>
  <si>
    <t>11/02/2026: Se realizan ajustes en el proceso de generación de lotes de los radicados, se agrega información para reducir valores a digitar.</t>
  </si>
  <si>
    <t>COLP26-0010</t>
  </si>
  <si>
    <t>Ajuste Calculo Fecha Limite Radicados</t>
  </si>
  <si>
    <t>Se requiere ajustar como se calcula la fecha limites para los tramites del radicador, este ahora debe calcular por horas habiles</t>
  </si>
  <si>
    <t>11/02/2026: Se realizan cambios en el radicador, se implementa el calculo de fecha limite de acuerdo a los nuevos ANS por horas</t>
  </si>
  <si>
    <t>COLP26-0011</t>
  </si>
  <si>
    <t>Semaforizacion Vencimiento Tramites</t>
  </si>
  <si>
    <t>Se requiere que los usuarios que generan lotes y gestionan los tramites del radicador puedan ideintificar los tramites y su tiempo para vencimiento de acuerdo con la fecha limite</t>
  </si>
  <si>
    <t>13/02/2026: Se realiza desarrollo y se implementa la semaforización para hacer seguimiento y manejo de los tiempos de vencimiento</t>
  </si>
  <si>
    <t>COLP26-0012</t>
  </si>
  <si>
    <t>Mejoras Pagina Gestor Lotes</t>
  </si>
  <si>
    <t>Se requiere realizar ajustes para mejorar algunos aspectos de la pagina del gestor de lotes, con el fin de tener mejor manejo de las consultas y filtros de las columnas de la tabla</t>
  </si>
  <si>
    <t>13/02/2026: Se realizaron ajustes en la pagina del gestor de lotes, esto como ajustes preparatorios para la inclusion de nuesva columna para control de tiempos de vencimiento. Se realizaron ajustes necesarios para mejorar el tema de filtrado y ordenamiento de los datos</t>
  </si>
  <si>
    <t>COLP26-0013</t>
  </si>
  <si>
    <t>Ajuste Planos Adicionales Independientes</t>
  </si>
  <si>
    <t>Se requiere ajustar el proceso de planos adicionales de independientes, esto con el fin  de poder realizar entregas de planos adicionales de independendientes para lotes de devolución</t>
  </si>
  <si>
    <t>COLP26-0014</t>
  </si>
  <si>
    <t>Ajuste Filtrado Semaforizacion</t>
  </si>
  <si>
    <t>Se requiere ajustar el filtrado de los tramites, por tiempos, se requiere excluir los tramites de estados no procesables por Imagine (autorizar_devolucion, devuelto oficina)</t>
  </si>
  <si>
    <t>16/02/2026: Se realiza el ajuste en el filtro por tiempos de vencimiento para excluir esos estados de los conteos</t>
  </si>
  <si>
    <t>COLP26-0015</t>
  </si>
  <si>
    <t>Migrar Proceso de Afiliaciones Access</t>
  </si>
  <si>
    <t>Se requiere migrar el modulo de access a web para el procesamiento de afiliaciones</t>
  </si>
  <si>
    <t>EN PROCESO</t>
  </si>
  <si>
    <t>24/02/2026: Se esta creando el frontend para el flujo de procesamiento de afiliaciones
24/03/2026: Se habilito el grid de control de lotes, se habilito la pagina para la digitación de los datos, junto con el visor de archivos e imagenes del tramite.
25/03/2026: Se habilita la precarga de datos para la afiliación en el formulario de datos de empresa y representante legal.
31/03/2026: Se avanza en la implementacion de formularios y grid para el nuevo modulo
04/05/2026: Se avanza en ajustes de los diferentes campos de la estrucutra de empresa y sus correspondientes validaciones. Tambien se agregan las difrerentes consultas al API para obtener las opciones de selecctores necesarios para el proceso de afiliaciones.
10/06/2026: Se esta trabajando en los ajustes de los planos que se entregan a AS400</t>
  </si>
  <si>
    <t>COLP26-0016</t>
  </si>
  <si>
    <t>Migrar Proceso de Novedades Access</t>
  </si>
  <si>
    <t>Se requiere hacer la migracion del modulo de access a web</t>
  </si>
  <si>
    <t>24/02/2026: Se estan creando funcionalidades para automarizar el procesamiento de novedades normales
31/03/2026: Se realiza el paso a producción del proceso automatico para generar planos de novedades del dia a dia
19/06/2026: Actualmente se esta procesando un 80% de novedades de forma automatica, se iran agregando otras de forma que se vayan requiriendo</t>
  </si>
  <si>
    <t>COLP26-0017</t>
  </si>
  <si>
    <t>Asignacion de Permisos</t>
  </si>
  <si>
    <t>Solicitan asignar permisos a usuario nuevo en los modulos de radicación de Imagine</t>
  </si>
  <si>
    <t>18/02/2026: Se asignan permisos en los modulos de Imagien al usuario de acuerdo con la solicitud.</t>
  </si>
  <si>
    <t>COLP26-0018</t>
  </si>
  <si>
    <t>Depuracion de Tramites en estado devuelto</t>
  </si>
  <si>
    <t>Se requiere una depuración sobre los tramites en estado de devolución, esto es necesario para poder habilitar las notificaciones de pendientes en devolución que se solicito ajustar por parte del cliente para que se le envie notificación a cada usuario.</t>
  </si>
  <si>
    <t>24/02/2026: Se esta realizando la revision de los tramites en devolucion para determinar como proceder con cada uno
13/04/2026: Se pausa la tarea ya que se esta dando prioridad a otros procesos del radicador.</t>
  </si>
  <si>
    <t>COLP26-0019</t>
  </si>
  <si>
    <t>Migrar el Radicador al nuevo aplicativo</t>
  </si>
  <si>
    <t>Se requiere migrar el modulo de radicacion actualmente en PHP al nuevo aplicativo de Imagine</t>
  </si>
  <si>
    <t>EN TEST</t>
  </si>
  <si>
    <t>02/03/2026: Se esta realizando el proceso de migración del radicador principal de Imagine.
Este modulo es el principal del proceso de radicación y se esta ajustando a la forma de trabajar en el nuevo aplicativo de Imagine.
04/03/2026: Se esta redefiniendo el flujo de radicacion de tramites
10/03/2026: Se realiza paso al mabiente de pruebas para realizar todas las pruebas correspondientes sobre el modulo de radicación.
17/03/2026: Se estan realizando pruebas y ajustes de la nueva pagina de radicacion
19/03/2026: Se realizan ajustes en las tablas de consulta de radicador, se agregan nuevos filtros para la busqueda de tramites
24/03/2026: Se estan realizando prueba de radicación de novedades.
31/03/2026: Estamos a la espera de resultados de pruebas por parte del cliente</t>
  </si>
  <si>
    <t>COLP26-0020</t>
  </si>
  <si>
    <t>Se requiere asignar permisos a 2 usuarios nuevos</t>
  </si>
  <si>
    <t>26/02/2026: Se asisgnan permisos en los aplicativos para los usuarios solicitados</t>
  </si>
  <si>
    <t>COLP26-0021</t>
  </si>
  <si>
    <t>Se requiere asignar permisos a usuario nuevo</t>
  </si>
  <si>
    <t>27/02/2026: Se asigna permisos al usuario de acuerdo con la solicitud.</t>
  </si>
  <si>
    <t>COLP26-0022</t>
  </si>
  <si>
    <t>Requerimiento Ajuste y creación de campos Tipo de Oferta y Tamaño de empresa</t>
  </si>
  <si>
    <t>El cliente solicita modificar campo "Tipo Negocio" y separar este campo en 2 campos nuevos "Tipo de Oferta" y "Tamaño de empresa".
El cambio implica ajustes en la definición de tipos de carnets, tambien implica ajustes de planos AS400.</t>
  </si>
  <si>
    <t>26/02/2026: Se tuvo reunión con el cliente para revisión del requerimiento, se solicitan aclaraciones al cliente sobre especificaciones tecnicas para el campo nuevo en el plano de AS400 y tambien se solicita especificar como calcular el carnet.
27/04/2026: Se recibe el requerimiento del cliente para realizar el cambio
28/04/2026: Se realizaran pruebas correspondientes
04/05/2026: Se entregan planos para realizar pruebas de cargue en AS400
12/05/2026: Se esta a la espera que indiquen fecha para paso a producción.
15/05/2026: El cliente aprueba paso a producción, se programa para quedar en producción el martes 19 de Mayo
19/05/2026: Se realiza el paso a producción de forma correcta.</t>
  </si>
  <si>
    <t>COLP26-0023</t>
  </si>
  <si>
    <t>02/03/2026: Se asignan permisos de acuerdo con la solicitud</t>
  </si>
  <si>
    <t>COLP26-0024</t>
  </si>
  <si>
    <t>COLP26-0025</t>
  </si>
  <si>
    <t>Creacion de Novedades Masivas</t>
  </si>
  <si>
    <t>El cliente solicita crear varias novedades en el radicador de tramites masivos</t>
  </si>
  <si>
    <t>06/03/2026: Se crean las novedades de empresa y empleados solicitados en el readicador de tramites masivos.</t>
  </si>
  <si>
    <t>COLP26-0026</t>
  </si>
  <si>
    <t>11/03/2026: Se dio respuesta a las 3 solicitudes de permisos, indicando que no s epodia asignar debido a que los uusarios no registran en nuestro aplicativo.</t>
  </si>
  <si>
    <t>COLP26-0027</t>
  </si>
  <si>
    <t>12/03/2026: Se asignan permisos de acuerdo con la solicitud y usuario de referencia</t>
  </si>
  <si>
    <t>COLP26-0028</t>
  </si>
  <si>
    <t>Funcionalidad para entregar json para el proceso de afiliaciones</t>
  </si>
  <si>
    <t>Se requiere generar un nuevo proceso de al momento de generar los lotes en el nuevo aplicativo tambien entregue un json con los datos que permitan ayudar a agilizar la digitación de la información</t>
  </si>
  <si>
    <t>12/03/2026: Se realiza desarrollo y se deja en el ambiente de pruebas para realizar las validaciones de generacion del json con la informacion.
24/03/2026: Se puso en ambiente productivo y ya se generan los archivos json para cada lote</t>
  </si>
  <si>
    <t>COLP26-0029</t>
  </si>
  <si>
    <t>AJustar API Node para lectura PDF</t>
  </si>
  <si>
    <t>Se requiere realizar ajuste en la funcionalidad de obtencion de datos desde el pdf del formulario de afiliacion, debido a que el formato pdf cambio y se debe ajustar para que funcione con el nuevo form</t>
  </si>
  <si>
    <t>20/03/2026: Se realizan ajustes en la funcionalidad de extraccion de informacion del formulario de afiliacion en PDF.
24/03/2026: Se realiza el paso a producción del ajuste de lectura de los formatos de afiliacion con formulario.</t>
  </si>
  <si>
    <t>COLP26-0030</t>
  </si>
  <si>
    <t>AJustar API Node para Obtener Datos Empresa Rues</t>
  </si>
  <si>
    <t>Se requiere agregar una funcionalidad en el API para retornar datos de empresa en consulta al RUES</t>
  </si>
  <si>
    <t>24/03/2026: Se agrego nueva funcionalidad al API, ahora se puede obtener los datos de la empresa consultada en RUES</t>
  </si>
  <si>
    <t>COLP26-0031</t>
  </si>
  <si>
    <t>Adicionar Novedades Proceso Automatico</t>
  </si>
  <si>
    <t>Agregar novedades del dia a dia para aunmetar el procentaje de novedades con procesamiento automatico.</t>
  </si>
  <si>
    <t>13/03/2026: Se adicionaron nuevas novedades al mapeo y procesamiento automatico del radicador normal.</t>
  </si>
  <si>
    <t>COLP26-0032</t>
  </si>
  <si>
    <t>Habilitar Novedad Masivos</t>
  </si>
  <si>
    <t>Se requiere habilitar la novedad 3-42 (cambio fecha fin contrato) en el radicador de masivos para el negocio ARL</t>
  </si>
  <si>
    <t>27/04/2026: Se habilita novedad en el radicador masivo</t>
  </si>
  <si>
    <t>COLP26-0033</t>
  </si>
  <si>
    <t>04/05/2026: No es posible asignar permisos a los usuarios debido a que no han iniciado sesion en el sistema, lo cual es necesario para que nos cargue la información de los usuarios, se notifica a la persona solicitante, para que realice la gestión. Por el momento quedan pausados hasta tener respuesta del cliente.
08/05/2026: Se asignan permisos solicitados.</t>
  </si>
  <si>
    <t>COLP26-0034</t>
  </si>
  <si>
    <t>Requerimiento Independiente Tipo 51</t>
  </si>
  <si>
    <t>Requieren agregar nueva tipologia para Independientes Tiempo Parcial</t>
  </si>
  <si>
    <t>06/05/2026: Se recibe el requerimiento por parte del cliente y entra en proceso de analisis para determinar plan de trabajo y tiempos de entrega.
15/05/2026: Se tiene reunión con el cliente y se realizan las aclaraciones sobre el requerimiento y su alcance.</t>
  </si>
  <si>
    <t>COLP26-0035</t>
  </si>
  <si>
    <t>Se requieren asignar permisos a usuarios nuevos</t>
  </si>
  <si>
    <t>06/05/2026: Se da respuesta al usuario indicando que deben iniciar sesión para que nos cargue la información de los usuarios a los que se debe asignar permisos, mienetras esto sucede se deja en pausa el requerimiento.
05/06/2026: Se realiza validación y no se encontraron usuarios pendientes por permisos.</t>
  </si>
  <si>
    <t>COLP26-0036</t>
  </si>
  <si>
    <t>Agregar Novedad Masivos</t>
  </si>
  <si>
    <t>Solicitan agregar la noveda 114 en las disponibles para radicar por medio del radicador de tramites masivos</t>
  </si>
  <si>
    <t>08/05/2026: Se agrega la novedad a la lista de novedades permitidas para radicar en el proceso de tramites masivos</t>
  </si>
  <si>
    <t>COLP26-0037</t>
  </si>
  <si>
    <t>Requerimiento Independiente Tipo 57</t>
  </si>
  <si>
    <t>Requieren agregar nueva tipologia para Independnientes Voluntario Empresa Natural</t>
  </si>
  <si>
    <t>15/05/2026: Se realiza el paso a QA por parte de Imagine para radicar la nueva afiliacion.
19/05/2026: Se esta a espera de pruebas de radicación del cliente, y se esta a la espera de ajustes internos de Imagine</t>
  </si>
  <si>
    <t>COLP26-0038</t>
  </si>
  <si>
    <t>Requerimiento Independiente Tipo 73</t>
  </si>
  <si>
    <t>Requieren agregar nueva tipologia para Independnientes Interno Medicina</t>
  </si>
  <si>
    <t>15/05/2026: Se realiza el paso a QA por parte de Imagine para radicar la nueva afiliacion
19/05/2026: Se esta a espera de pruebas de radicación del cliente, y se esta a la espera de ajustes internos de Imagine</t>
  </si>
  <si>
    <t>COLP26-0039</t>
  </si>
  <si>
    <t>Funcion que calcule nuevamente el tiempo limite luego de una devolución</t>
  </si>
  <si>
    <t>Se requiere adicionar una funcionalidad para recalcular el tiempo limite de un tramite posterior a una devolución</t>
  </si>
  <si>
    <t>21/05/2026: Se agrega funcionalidad para recaldular el tiempo llimite al momento de asignar un tramite desde el estado devolución.</t>
  </si>
  <si>
    <t>COLP26-0040</t>
  </si>
  <si>
    <t>Tiempos tramites MP, MI y AE</t>
  </si>
  <si>
    <t>Se requiere agregar al gestor de lotes opcion para tener seguimiento a tiempo limite de las tipologias MP, MI y AE</t>
  </si>
  <si>
    <t>04/06/2026: Se agregan las tipologias en el aplicativo de Imagine para que se registre ene l seguimiento y gestipón de lotes.</t>
  </si>
  <si>
    <t>COLP26-0041</t>
  </si>
  <si>
    <t>Acompañamiento para solucionar vulnerabilidad de Office en el server Terminal</t>
  </si>
  <si>
    <t>Se requiere el acompañamiento para resolver vulnerabilidades de office reportadas en el server terminal</t>
  </si>
  <si>
    <t>20/05/2026: Se realizo el acompañamiento al cliente para que realizara las correcciones en el servidor asignado a Imagine. Se esta a espera que confirmen la corrección, para lo cual deben hacer un retest.</t>
  </si>
  <si>
    <t>COLP26-0042</t>
  </si>
  <si>
    <t>Agregar Novedad Normal</t>
  </si>
  <si>
    <t>Se requiere agregar la novedad "Eliminar Tasa" para la tipologia TS</t>
  </si>
  <si>
    <t>02/06/2026: Se agrega la novedad al radicador de novedades</t>
  </si>
  <si>
    <t>COLP26-0043</t>
  </si>
  <si>
    <t>Agregar Opcion para Cambiar Fecha Limite por Indisponibilidad</t>
  </si>
  <si>
    <t>Se requiere una opcion que permita ajustar fecha limites cuando se presentan indisponibilidad de parte del sistema de Axa Colpatria</t>
  </si>
  <si>
    <t>12/06/2026: Esto aun no esta bien diseñado su implementación</t>
  </si>
  <si>
    <t>COLP26-0044</t>
  </si>
  <si>
    <t>Agregar busquedas de RESAL</t>
  </si>
  <si>
    <t>Permitir la busqueda en Rues de RESAL (Registro de entidades de economia solidaria) ya que se evidencia algunas empresas de este tipo que quedan sin resultado en el API al consultar RUES</t>
  </si>
  <si>
    <t>05/06/2026: Se realizan ajustes para que se realice busquedas en RUES de estos tipos de empresas.</t>
  </si>
  <si>
    <t>COLP26-0045</t>
  </si>
  <si>
    <t>Revision Seguridad Vulnerabilidad HTTP/2</t>
  </si>
  <si>
    <t>Se requiere revisar la vulnerabilidad reportada para el protocolo HTTP/2 en httpd y Nginx</t>
  </si>
  <si>
    <t>05/06/2026: Se realiza las validaciones y de acuerdo con las pruebas, no se tiene habilitado el protocolo por lo cual no tenemos la vulnerabilidad.</t>
  </si>
  <si>
    <t>COLP26-0046</t>
  </si>
  <si>
    <t>Crear y asignar novedad masiva</t>
  </si>
  <si>
    <t>Se requiere crear y asignar la novedad masiva 1-51 (Cambio Grupo Economico) en el radicador de tramites masivos</t>
  </si>
  <si>
    <t>10/06/2026: Se crea y asigna novedad en el radicador de tramites masivos</t>
  </si>
  <si>
    <t>COLP26-0047</t>
  </si>
  <si>
    <t>Crear un nuevo Informe del radicador</t>
  </si>
  <si>
    <t>Se solicita crear un nuevo informe para el seguimiento de cumplimiento de ANS del radicador de tramites de Imagine</t>
  </si>
  <si>
    <t>18/06/2026: El informe se paso a producción, para revisión y ajustes necesarios.</t>
  </si>
  <si>
    <t>COLP26-0048</t>
  </si>
  <si>
    <t>Asignar al responsable del tramite despues de una devolucion</t>
  </si>
  <si>
    <t>Se requiere que al asingar una devolución este quede asignado al responsable del tramite ignorar el usuario seleccionado de asignacion.</t>
  </si>
  <si>
    <t>COLP26-0049</t>
  </si>
  <si>
    <t>Reasignar tramites</t>
  </si>
  <si>
    <t>Ajustar asignacion del usuario rgagamez-&gt;apbecerra
los de jarolonr-&gt;apbecerra</t>
  </si>
  <si>
    <t>COLP26-0050</t>
  </si>
  <si>
    <t>Ajustar Servicio Consulta Rues</t>
  </si>
  <si>
    <t>Se requiere ajustar el servicio de consulta de RUES, por cambios en el API se tienen que realizar ajustes para que nuevamente se pueda automatizar el proceso de tomar pantallazos de las consultas.</t>
  </si>
  <si>
    <t>16/06/2026: Se realizaron los ajustes correspondientes para la toma de pantallazos de consultas de accionistas juridicos en RUES.</t>
  </si>
  <si>
    <t>COLP26-0051</t>
  </si>
  <si>
    <t>Se requiere asignar permisos a usuarios nuevos</t>
  </si>
  <si>
    <t>19/06/2026: Se asignan permisos de acuerdo con las solicitudes recibidas.</t>
  </si>
  <si>
    <t>COLP26-0052</t>
  </si>
  <si>
    <t>Ajustar conversor de Pdf a Tiff</t>
  </si>
  <si>
    <t>Se evidencio que este proceso puede generar sobre en el servidor cuando son demasiadas paginas en un pdf</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</si>
  <si>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</si>
  <si>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</si>
  <si>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</si>
  <si>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</si>
  <si>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</si>
  <si>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</si>
  <si>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</si>
  <si>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</si>
  <si>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</si>
  <si>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</si>
  <si>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</si>
  <si>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</si>
  <si>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</si>
  <si>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</si>
  <si>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</si>
  <si>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</si>
  <si>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</si>
  <si>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</si>
  <si>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</si>
  <si>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</si>
  <si>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</si>
  <si>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</si>
  <si>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</si>
  <si>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</si>
  <si>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</si>
  <si>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</si>
  <si>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</si>
  <si>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</si>
  <si>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</si>
  <si>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</si>
  <si>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</si>
  <si>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</si>
  <si>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</si>
  <si>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</si>
  <si>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</si>
  <si>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</si>
  <si>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</si>
  <si>
    <t xml:space="preserve">ASISTENCIA DAYLI </t>
  </si>
  <si>
    <t>INTEGRANTE</t>
  </si>
  <si>
    <t>DANILO RAMIREZ</t>
  </si>
  <si>
    <t>SI</t>
  </si>
  <si>
    <t>no (Dia de la familia)</t>
  </si>
  <si>
    <t>No hubo sesion</t>
  </si>
  <si>
    <t>NO</t>
  </si>
  <si>
    <t xml:space="preserve">No hubo sesión </t>
  </si>
  <si>
    <t>NO HUBO SESION</t>
  </si>
  <si>
    <t>NO HAY SESION</t>
  </si>
  <si>
    <t>Vacaciones</t>
  </si>
  <si>
    <t>No hobo sesion por caida de los sitios.</t>
  </si>
  <si>
    <t>JAIRO NIÑO</t>
  </si>
  <si>
    <t>JESUS PEÑA</t>
  </si>
  <si>
    <t>Dia de la familia</t>
  </si>
  <si>
    <t>Falla electrica</t>
  </si>
  <si>
    <t>LUIS BEDOYA</t>
  </si>
  <si>
    <t>SIN INTERNET</t>
  </si>
  <si>
    <t>JOHAN QUICENO</t>
  </si>
  <si>
    <t>Permiso</t>
  </si>
  <si>
    <t>sin internet</t>
  </si>
  <si>
    <t>TRABAJO HASTA HOY</t>
  </si>
  <si>
    <t>FABIO FORERO</t>
  </si>
  <si>
    <t>JENRY HENAO</t>
  </si>
  <si>
    <t>LIYIBET PEREZ</t>
  </si>
  <si>
    <t>nomina</t>
  </si>
  <si>
    <t>NOMINA</t>
  </si>
  <si>
    <t>WILSON APONTE</t>
  </si>
  <si>
    <t>JOHN ROLON</t>
  </si>
  <si>
    <t>Asignado</t>
  </si>
  <si>
    <t>Finalizado</t>
  </si>
  <si>
    <t>Dias</t>
  </si>
  <si>
    <t>TEST</t>
  </si>
  <si>
    <t>PRODUCCION</t>
  </si>
  <si>
    <t>Observacion</t>
  </si>
  <si>
    <t>LUIS BAYONA</t>
  </si>
  <si>
    <t>Encolar informe de efectividad de salud</t>
  </si>
  <si>
    <t xml:space="preserve">*02/10/2024 inicia  gestion.
*03/10/2024 Finalizar la consulta y realizar pruebas
* 07/10/2024 desarrollo en test  para  pruebas </t>
  </si>
  <si>
    <t>VULNERABILIDADES BAJAS</t>
  </si>
  <si>
    <t>Web Server Allows Password Auto-Completion</t>
  </si>
  <si>
    <r>
      <rPr>
        <sz val="10"/>
        <color theme="1"/>
        <rFont val="Quattrocento Sans"/>
      </rPr>
      <t>*04/10/2024 pruebas
*</t>
    </r>
    <r>
      <rPr>
        <b/>
        <sz val="10"/>
        <color theme="1"/>
        <rFont val="Quattrocento Sans"/>
      </rPr>
      <t xml:space="preserve"> 07/10/2024 se entrega a Danilo para  pruebas y posterior despliegue a producción
* 09/10/2024 Confirmar entrega de rama a Danilo
* 10/10/2024 Etregadas a Danilo 9 de octubre, </t>
    </r>
  </si>
  <si>
    <t>Autocomplete Enabled (15 Y 18)</t>
  </si>
  <si>
    <t xml:space="preserve">*04/10/2024 pruebas
* 07/10/2024 se entrega a Danilo para  pruebas y posterior despliegue a producción
* 09/10/2024 Confirmar entrega de rama a Danilo
* 10/10/2024 Etregadas a Danilo 9 de octubre </t>
  </si>
  <si>
    <t>VULNERABILIDADES MEDIAS</t>
  </si>
  <si>
    <t>Internal Server Error</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</si>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</sst>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quot;/&quot;mm&quot;/&quot;yyyy"/>
  </numFmts>
  <fonts count="46">
    <font>
      <sz val="12"/>
      <color theme="1"/>
      <name val="Quattrocento Sans"/>
      <scheme val="minor"/>
    </font>
    <font>
      <b/>
      <u/>
      <sz val="9"/>
      <color rgb="FFFFFFFF"/>
      <name val="Quattrocento Sans"/>
    </font>
    <font>
      <b/>
      <u/>
      <sz val="10"/>
      <color rgb="FFFFFFFF"/>
      <name val="Quattrocento Sans"/>
    </font>
    <font>
      <sz val="12"/>
      <color rgb="FFFFFFFF"/>
      <name val="Quattrocento Sans"/>
      <scheme val="minor"/>
    </font>
    <font>
      <b/>
      <u/>
      <sz val="10"/>
      <color rgb="FFFFFFFF"/>
      <name val="Quattrocento Sans"/>
    </font>
    <font>
      <u/>
      <sz val="10"/>
      <color rgb="FFFFFFFF"/>
      <name val="Quattrocento Sans"/>
    </font>
    <font>
      <b/>
      <sz val="10"/>
      <color rgb="FFFFFFFF"/>
      <name val="Quattrocento Sans"/>
    </font>
    <font>
      <b/>
      <sz val="8"/>
      <color rgb="FFFFFFFF"/>
      <name val="Quattrocento Sans"/>
    </font>
    <font>
      <b/>
      <sz val="10"/>
      <color rgb="FF000000"/>
      <name val="Quattrocento Sans"/>
    </font>
    <font>
      <sz val="12"/>
      <color rgb="FFFFFFFF"/>
      <name val="Quattrocento Sans"/>
    </font>
    <font>
      <sz val="12"/>
      <color theme="1"/>
      <name val="Quattrocento Sans"/>
    </font>
    <font>
      <b/>
      <u/>
      <sz val="9"/>
      <color theme="1"/>
      <name val="Quattrocento Sans"/>
    </font>
    <font>
      <sz val="12"/>
      <color theme="1"/>
      <name val="Quattrocento Sans"/>
      <scheme val="minor"/>
    </font>
    <font>
      <b/>
      <u/>
      <sz val="10"/>
      <color theme="1"/>
      <name val="Quattrocento Sans"/>
    </font>
    <font>
      <u/>
      <sz val="10"/>
      <color theme="1"/>
      <name val="Quattrocento Sans"/>
    </font>
    <font>
      <sz val="10"/>
      <color theme="1"/>
      <name val="Quattrocento Sans"/>
    </font>
    <font>
      <b/>
      <sz val="10"/>
      <color theme="1"/>
      <name val="Quattrocento Sans"/>
    </font>
    <font>
      <b/>
      <u/>
      <sz val="9"/>
      <color theme="1"/>
      <name val="Quattrocento Sans"/>
    </font>
    <font>
      <b/>
      <u/>
      <sz val="10"/>
      <color theme="1"/>
      <name val="Quattrocento Sans"/>
    </font>
    <font>
      <u/>
      <sz val="10"/>
      <color theme="1"/>
      <name val="Quattrocento Sans"/>
    </font>
    <font>
      <b/>
      <u/>
      <sz val="9"/>
      <color theme="1"/>
      <name val="Quattrocento Sans"/>
    </font>
    <font>
      <b/>
      <u/>
      <sz val="10"/>
      <color theme="1"/>
      <name val="Quattrocento Sans"/>
    </font>
    <font>
      <u/>
      <sz val="10"/>
      <color theme="1"/>
      <name val="Quattrocento Sans"/>
    </font>
    <font>
      <b/>
      <u/>
      <sz val="9"/>
      <color theme="1"/>
      <name val="Quattrocento Sans"/>
    </font>
    <font>
      <b/>
      <u/>
      <sz val="10"/>
      <color theme="1"/>
      <name val="Quattrocento Sans"/>
    </font>
    <font>
      <u/>
      <sz val="10"/>
      <color theme="1"/>
      <name val="Quattrocento Sans"/>
    </font>
    <font>
      <b/>
      <u/>
      <sz val="10"/>
      <color theme="1"/>
      <name val="Quattrocento Sans"/>
    </font>
    <font>
      <u/>
      <sz val="10"/>
      <color theme="1"/>
      <name val="Quattrocento Sans"/>
    </font>
    <font>
      <b/>
      <u/>
      <sz val="10"/>
      <color theme="1"/>
      <name val="Quattrocento Sans"/>
    </font>
    <font>
      <b/>
      <u/>
      <sz val="10"/>
      <color theme="1"/>
      <name val="Quattrocento Sans"/>
    </font>
    <font>
      <b/>
      <u/>
      <sz val="10"/>
      <color rgb="FF000000"/>
      <name val="Quattrocento Sans"/>
    </font>
    <font>
      <u/>
      <sz val="10"/>
      <color theme="1"/>
      <name val="Quattrocento Sans"/>
    </font>
    <font>
      <u/>
      <sz val="10"/>
      <color theme="1"/>
      <name val="Quattrocento Sans"/>
    </font>
    <font>
      <b/>
      <u/>
      <sz val="9"/>
      <color theme="1"/>
      <name val="Quattrocento Sans"/>
    </font>
    <font>
      <b/>
      <u/>
      <sz val="9"/>
      <color theme="1"/>
      <name val="Quattrocento Sans"/>
    </font>
    <font>
      <u/>
      <sz val="10"/>
      <color theme="1"/>
      <name val="Quattrocento Sans"/>
    </font>
    <font>
      <b/>
      <sz val="9"/>
      <color theme="1"/>
      <name val="Quattrocento Sans"/>
    </font>
    <font>
      <sz val="9"/>
      <color theme="1"/>
      <name val="Roboto"/>
    </font>
    <font>
      <b/>
      <sz val="9"/>
      <color rgb="FF000000"/>
      <name val="Quattrocento Sans"/>
    </font>
    <font>
      <sz val="9"/>
      <color rgb="FF000000"/>
      <name val="Roboto"/>
    </font>
    <font>
      <sz val="12"/>
      <color rgb="FF000000"/>
      <name val="Quattrocento Sans"/>
    </font>
    <font>
      <sz val="12"/>
      <color theme="1"/>
      <name val="Quattrocento Sans"/>
    </font>
    <font>
      <b/>
      <sz val="12"/>
      <color theme="1"/>
      <name val="Quattrocento Sans"/>
    </font>
    <font>
      <sz val="12"/>
      <color rgb="FFFF0000"/>
      <name val="Quattrocento Sans"/>
    </font>
    <font>
      <sz val="12"/>
      <name val="Quattrocento Sans"/>
    </font>
    <font>
      <b/>
      <sz val="12"/>
      <color rgb="FFFF0000"/>
      <name val="Quattrocento Sans"/>
    </font>
  </fonts>
  <fills count="18">
    <fill>
      <patternFill patternType="none"/>
    </fill>
    <fill>
      <patternFill patternType="gray125"/>
    </fill>
    <fill>
      <patternFill patternType="solid">
        <fgColor rgb="FF356854"/>
        <bgColor rgb="FF356854"/>
      </patternFill>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B6D7A8"/>
        <bgColor rgb="FFB6D7A8"/>
      </patternFill>
    </fill>
    <fill>
      <patternFill patternType="solid">
        <fgColor rgb="FFF6F8F9"/>
        <bgColor rgb="FFF6F8F9"/>
      </patternFill>
    </fill>
    <fill>
      <patternFill patternType="solid">
        <fgColor rgb="FFD9EAD3"/>
        <bgColor rgb="FFD9EAD3"/>
      </patternFill>
    </fill>
    <fill>
      <patternFill patternType="solid">
        <fgColor rgb="FF00FFFF"/>
        <bgColor rgb="FF00FFFF"/>
      </patternFill>
    </fill>
    <fill>
      <patternFill patternType="solid">
        <fgColor theme="4"/>
        <bgColor theme="4"/>
      </patternFill>
    </fill>
    <fill>
      <patternFill patternType="solid">
        <fgColor rgb="FFDEEAF6"/>
        <bgColor rgb="FFDEEAF6"/>
      </patternFill>
    </fill>
    <fill>
      <patternFill patternType="solid">
        <fgColor rgb="FFF2F2F2"/>
        <bgColor rgb="FFF2F2F2"/>
      </patternFill>
    </fill>
    <fill>
      <patternFill patternType="solid">
        <fgColor rgb="FFB4C6E7"/>
        <bgColor rgb="FFB4C6E7"/>
      </patternFill>
    </fill>
    <fill>
      <patternFill patternType="solid">
        <fgColor rgb="FFDADADA"/>
        <bgColor rgb="FFDADADA"/>
      </patternFill>
    </fill>
    <fill>
      <patternFill patternType="solid">
        <fgColor rgb="FFF7CAAC"/>
        <bgColor rgb="FFF7CAAC"/>
      </patternFill>
    </fill>
    <fill>
      <patternFill patternType="solid">
        <fgColor rgb="FFC5E0B3"/>
        <bgColor rgb="FFC5E0B3"/>
      </patternFill>
    </fill>
    <fill>
      <patternFill patternType="solid">
        <fgColor rgb="FFFFFF00"/>
        <bgColor rgb="FFFFFF00"/>
      </patternFill>
    </fill>
  </fills>
  <borders count="17">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00">
    <xf numFmtId="0" fontId="0" fillId="0" borderId="0" xfId="0" applyFont="1" applyAlignment="1"/>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0" xfId="0" applyFont="1" applyFill="1" applyAlignment="1">
      <alignment vertical="center" wrapText="1"/>
    </xf>
    <xf numFmtId="0" fontId="3" fillId="2" borderId="0" xfId="0" applyFont="1" applyFill="1" applyAlignment="1">
      <alignment wrapText="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3" fontId="7"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xf>
    <xf numFmtId="164"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3" fontId="6" fillId="2" borderId="3" xfId="0" applyNumberFormat="1" applyFont="1" applyFill="1" applyBorder="1" applyAlignment="1">
      <alignment horizontal="center" vertical="center"/>
    </xf>
    <xf numFmtId="164" fontId="8" fillId="3" borderId="0" xfId="0" applyNumberFormat="1" applyFont="1" applyFill="1" applyAlignment="1">
      <alignment horizontal="center" vertical="center" wrapText="1"/>
    </xf>
    <xf numFmtId="0" fontId="6" fillId="2" borderId="3" xfId="0" applyFont="1" applyFill="1" applyBorder="1" applyAlignment="1">
      <alignment horizontal="center" vertical="top" wrapText="1"/>
    </xf>
    <xf numFmtId="0" fontId="9" fillId="2" borderId="0" xfId="0" applyFont="1" applyFill="1"/>
    <xf numFmtId="0" fontId="10" fillId="2" borderId="0" xfId="0" applyFont="1" applyFill="1"/>
    <xf numFmtId="0" fontId="11" fillId="4" borderId="4" xfId="0" applyFont="1" applyFill="1" applyBorder="1" applyAlignment="1">
      <alignment horizontal="center" vertical="center" wrapText="1"/>
    </xf>
    <xf numFmtId="0" fontId="10" fillId="4" borderId="4" xfId="0" applyFont="1" applyFill="1" applyBorder="1" applyAlignment="1">
      <alignment horizontal="center" vertical="center"/>
    </xf>
    <xf numFmtId="0" fontId="12" fillId="4" borderId="4" xfId="0" applyFont="1" applyFill="1" applyBorder="1" applyAlignment="1">
      <alignment vertical="center" wrapText="1"/>
    </xf>
    <xf numFmtId="0" fontId="12" fillId="4" borderId="4" xfId="0" applyFont="1" applyFill="1" applyBorder="1" applyAlignment="1">
      <alignment wrapText="1"/>
    </xf>
    <xf numFmtId="0" fontId="13" fillId="4" borderId="4" xfId="0" applyFont="1" applyFill="1" applyBorder="1" applyAlignment="1">
      <alignment horizontal="center" vertical="center" wrapText="1"/>
    </xf>
    <xf numFmtId="0" fontId="14" fillId="4" borderId="4" xfId="0" applyFont="1" applyFill="1" applyBorder="1" applyAlignment="1">
      <alignment vertical="center" wrapText="1"/>
    </xf>
    <xf numFmtId="0" fontId="15" fillId="4" borderId="4" xfId="0" applyFont="1" applyFill="1" applyBorder="1" applyAlignment="1">
      <alignment horizontal="center" vertical="center" wrapText="1"/>
    </xf>
    <xf numFmtId="3" fontId="16" fillId="4" borderId="4" xfId="0" applyNumberFormat="1" applyFont="1" applyFill="1" applyBorder="1" applyAlignment="1">
      <alignment horizontal="center" vertical="center"/>
    </xf>
    <xf numFmtId="164" fontId="15" fillId="4" borderId="4" xfId="0" applyNumberFormat="1" applyFont="1" applyFill="1" applyBorder="1" applyAlignment="1">
      <alignment vertical="center" wrapText="1"/>
    </xf>
    <xf numFmtId="164" fontId="16" fillId="4" borderId="4" xfId="0" applyNumberFormat="1" applyFont="1" applyFill="1" applyBorder="1" applyAlignment="1">
      <alignment vertical="center"/>
    </xf>
    <xf numFmtId="164" fontId="16" fillId="4" borderId="4" xfId="0" applyNumberFormat="1" applyFont="1" applyFill="1" applyBorder="1" applyAlignment="1">
      <alignment vertical="center"/>
    </xf>
    <xf numFmtId="3" fontId="15" fillId="4" borderId="4" xfId="0" applyNumberFormat="1" applyFont="1" applyFill="1" applyBorder="1" applyAlignment="1">
      <alignment horizontal="center" vertical="center" wrapText="1"/>
    </xf>
    <xf numFmtId="0" fontId="15" fillId="4" borderId="4" xfId="0" applyFont="1" applyFill="1" applyBorder="1" applyAlignment="1">
      <alignment horizontal="left" vertical="top" wrapText="1"/>
    </xf>
    <xf numFmtId="0" fontId="10" fillId="5" borderId="0" xfId="0" applyFont="1" applyFill="1" applyAlignment="1"/>
    <xf numFmtId="0" fontId="10" fillId="5" borderId="0" xfId="0" applyFont="1" applyFill="1"/>
    <xf numFmtId="0" fontId="17" fillId="6" borderId="4" xfId="0" applyFont="1" applyFill="1" applyBorder="1" applyAlignment="1">
      <alignment horizontal="center" vertical="center" wrapText="1"/>
    </xf>
    <xf numFmtId="0" fontId="10" fillId="6" borderId="4" xfId="0" applyFont="1" applyFill="1" applyBorder="1" applyAlignment="1">
      <alignment horizontal="center" vertical="center"/>
    </xf>
    <xf numFmtId="0" fontId="12" fillId="6" borderId="4" xfId="0" applyFont="1" applyFill="1" applyBorder="1" applyAlignment="1">
      <alignment vertical="center" wrapText="1"/>
    </xf>
    <xf numFmtId="0" fontId="12" fillId="6" borderId="4" xfId="0" applyFont="1" applyFill="1" applyBorder="1" applyAlignment="1">
      <alignment wrapText="1"/>
    </xf>
    <xf numFmtId="0" fontId="18" fillId="6" borderId="4" xfId="0" applyFont="1" applyFill="1" applyBorder="1" applyAlignment="1">
      <alignment horizontal="center" vertical="center" wrapText="1"/>
    </xf>
    <xf numFmtId="0" fontId="19" fillId="6" borderId="4" xfId="0" applyFont="1" applyFill="1" applyBorder="1" applyAlignment="1">
      <alignment vertical="center" wrapText="1"/>
    </xf>
    <xf numFmtId="0" fontId="15" fillId="6" borderId="4" xfId="0" applyFont="1" applyFill="1" applyBorder="1" applyAlignment="1">
      <alignment horizontal="center" vertical="center" wrapText="1"/>
    </xf>
    <xf numFmtId="164" fontId="15" fillId="6" borderId="4" xfId="0" applyNumberFormat="1" applyFont="1" applyFill="1" applyBorder="1" applyAlignment="1">
      <alignment vertical="center" wrapText="1"/>
    </xf>
    <xf numFmtId="164" fontId="15" fillId="6" borderId="4" xfId="0" applyNumberFormat="1" applyFont="1" applyFill="1" applyBorder="1" applyAlignment="1">
      <alignment vertical="center" wrapText="1"/>
    </xf>
    <xf numFmtId="164" fontId="16" fillId="6" borderId="4" xfId="0" applyNumberFormat="1" applyFont="1" applyFill="1" applyBorder="1" applyAlignment="1">
      <alignment vertical="center"/>
    </xf>
    <xf numFmtId="164" fontId="16" fillId="6" borderId="4" xfId="0" applyNumberFormat="1" applyFont="1" applyFill="1" applyBorder="1" applyAlignment="1">
      <alignment vertical="center"/>
    </xf>
    <xf numFmtId="0" fontId="15" fillId="6" borderId="4" xfId="0" applyFont="1" applyFill="1" applyBorder="1" applyAlignment="1">
      <alignment horizontal="left" vertical="top" wrapText="1"/>
    </xf>
    <xf numFmtId="0" fontId="10" fillId="7" borderId="0" xfId="0" applyFont="1" applyFill="1"/>
    <xf numFmtId="0" fontId="20" fillId="8" borderId="4" xfId="0" applyFont="1" applyFill="1" applyBorder="1" applyAlignment="1">
      <alignment horizontal="center" vertical="center" wrapText="1"/>
    </xf>
    <xf numFmtId="0" fontId="10" fillId="8" borderId="4" xfId="0" applyFont="1" applyFill="1" applyBorder="1" applyAlignment="1">
      <alignment horizontal="center" vertical="center"/>
    </xf>
    <xf numFmtId="0" fontId="12" fillId="8" borderId="4" xfId="0" applyFont="1" applyFill="1" applyBorder="1" applyAlignment="1">
      <alignment vertical="center" wrapText="1"/>
    </xf>
    <xf numFmtId="0" fontId="12" fillId="8" borderId="4" xfId="0" applyFont="1" applyFill="1" applyBorder="1" applyAlignment="1">
      <alignment wrapText="1"/>
    </xf>
    <xf numFmtId="0" fontId="21" fillId="8" borderId="4" xfId="0" applyFont="1" applyFill="1" applyBorder="1" applyAlignment="1">
      <alignment horizontal="center" vertical="center" wrapText="1"/>
    </xf>
    <xf numFmtId="0" fontId="22" fillId="8" borderId="4" xfId="0" applyFont="1" applyFill="1" applyBorder="1" applyAlignment="1">
      <alignment vertical="center" wrapText="1"/>
    </xf>
    <xf numFmtId="0" fontId="15" fillId="8" borderId="4" xfId="0" applyFont="1" applyFill="1" applyBorder="1" applyAlignment="1">
      <alignment horizontal="center" vertical="center" wrapText="1"/>
    </xf>
    <xf numFmtId="3" fontId="16" fillId="8" borderId="4" xfId="0" applyNumberFormat="1" applyFont="1" applyFill="1" applyBorder="1" applyAlignment="1">
      <alignment horizontal="center" vertical="center"/>
    </xf>
    <xf numFmtId="164" fontId="15" fillId="8" borderId="4" xfId="0" applyNumberFormat="1" applyFont="1" applyFill="1" applyBorder="1" applyAlignment="1">
      <alignment vertical="center" wrapText="1"/>
    </xf>
    <xf numFmtId="164" fontId="15" fillId="8" borderId="4" xfId="0" applyNumberFormat="1" applyFont="1" applyFill="1" applyBorder="1" applyAlignment="1">
      <alignment vertical="center" wrapText="1"/>
    </xf>
    <xf numFmtId="164" fontId="16" fillId="8" borderId="4" xfId="0" applyNumberFormat="1" applyFont="1" applyFill="1" applyBorder="1" applyAlignment="1">
      <alignment vertical="center"/>
    </xf>
    <xf numFmtId="164" fontId="16" fillId="8" borderId="4" xfId="0" applyNumberFormat="1" applyFont="1" applyFill="1" applyBorder="1" applyAlignment="1">
      <alignment vertical="center"/>
    </xf>
    <xf numFmtId="3" fontId="15" fillId="8" borderId="4" xfId="0" applyNumberFormat="1" applyFont="1" applyFill="1" applyBorder="1" applyAlignment="1">
      <alignment horizontal="center" vertical="center" wrapText="1"/>
    </xf>
    <xf numFmtId="0" fontId="15" fillId="8" borderId="4" xfId="0" applyFont="1" applyFill="1" applyBorder="1" applyAlignment="1">
      <alignment vertical="center" wrapText="1"/>
    </xf>
    <xf numFmtId="164" fontId="15" fillId="6" borderId="4" xfId="0" applyNumberFormat="1" applyFont="1" applyFill="1" applyBorder="1" applyAlignment="1">
      <alignment vertical="center"/>
    </xf>
    <xf numFmtId="0" fontId="15" fillId="6" borderId="4" xfId="0" applyFont="1" applyFill="1" applyBorder="1" applyAlignment="1">
      <alignment vertical="center" wrapText="1"/>
    </xf>
    <xf numFmtId="0" fontId="12" fillId="6" borderId="4" xfId="0" applyFont="1" applyFill="1" applyBorder="1" applyAlignment="1">
      <alignment wrapText="1"/>
    </xf>
    <xf numFmtId="0" fontId="23" fillId="9" borderId="4" xfId="0" applyFont="1" applyFill="1" applyBorder="1" applyAlignment="1">
      <alignment horizontal="center" vertical="center" wrapText="1"/>
    </xf>
    <xf numFmtId="0" fontId="10" fillId="9" borderId="4" xfId="0" applyFont="1" applyFill="1" applyBorder="1" applyAlignment="1">
      <alignment horizontal="center" vertical="center"/>
    </xf>
    <xf numFmtId="0" fontId="12" fillId="9" borderId="4" xfId="0" applyFont="1" applyFill="1" applyBorder="1" applyAlignment="1">
      <alignment vertical="center" wrapText="1"/>
    </xf>
    <xf numFmtId="0" fontId="12" fillId="9" borderId="4" xfId="0" applyFont="1" applyFill="1" applyBorder="1" applyAlignment="1">
      <alignment wrapText="1"/>
    </xf>
    <xf numFmtId="0" fontId="24" fillId="9" borderId="4" xfId="0" applyFont="1" applyFill="1" applyBorder="1" applyAlignment="1">
      <alignment vertical="center"/>
    </xf>
    <xf numFmtId="0" fontId="25" fillId="9" borderId="4" xfId="0" applyFont="1" applyFill="1" applyBorder="1" applyAlignment="1">
      <alignment vertical="center" wrapText="1"/>
    </xf>
    <xf numFmtId="0" fontId="15" fillId="9" borderId="4" xfId="0" applyFont="1" applyFill="1" applyBorder="1" applyAlignment="1">
      <alignment horizontal="center" vertical="center" wrapText="1"/>
    </xf>
    <xf numFmtId="3" fontId="16" fillId="9" borderId="4" xfId="0" applyNumberFormat="1" applyFont="1" applyFill="1" applyBorder="1" applyAlignment="1">
      <alignment horizontal="center" vertical="center"/>
    </xf>
    <xf numFmtId="164" fontId="15" fillId="9" borderId="4" xfId="0" applyNumberFormat="1" applyFont="1" applyFill="1" applyBorder="1" applyAlignment="1">
      <alignment vertical="center"/>
    </xf>
    <xf numFmtId="164" fontId="16" fillId="9" borderId="4" xfId="0" applyNumberFormat="1" applyFont="1" applyFill="1" applyBorder="1" applyAlignment="1">
      <alignment vertical="center"/>
    </xf>
    <xf numFmtId="164" fontId="16" fillId="9" borderId="4" xfId="0" applyNumberFormat="1" applyFont="1" applyFill="1" applyBorder="1" applyAlignment="1">
      <alignment vertical="center"/>
    </xf>
    <xf numFmtId="3" fontId="15" fillId="9" borderId="4" xfId="0" applyNumberFormat="1" applyFont="1" applyFill="1" applyBorder="1" applyAlignment="1">
      <alignment horizontal="center" vertical="center" wrapText="1"/>
    </xf>
    <xf numFmtId="164" fontId="15" fillId="9" borderId="4" xfId="0" applyNumberFormat="1" applyFont="1" applyFill="1" applyBorder="1" applyAlignment="1">
      <alignment vertical="center"/>
    </xf>
    <xf numFmtId="0" fontId="15" fillId="9" borderId="4" xfId="0" applyFont="1" applyFill="1" applyBorder="1" applyAlignment="1">
      <alignment vertical="center" wrapText="1"/>
    </xf>
    <xf numFmtId="0" fontId="26" fillId="6" borderId="4" xfId="0" applyFont="1" applyFill="1" applyBorder="1" applyAlignment="1">
      <alignment vertical="center"/>
    </xf>
    <xf numFmtId="164" fontId="15" fillId="6" borderId="4" xfId="0" applyNumberFormat="1" applyFont="1" applyFill="1" applyBorder="1" applyAlignment="1">
      <alignment vertical="center"/>
    </xf>
    <xf numFmtId="0" fontId="27" fillId="6" borderId="4" xfId="0" applyFont="1" applyFill="1" applyBorder="1" applyAlignment="1">
      <alignment vertical="center"/>
    </xf>
    <xf numFmtId="0" fontId="28" fillId="6" borderId="4" xfId="0" applyFont="1" applyFill="1" applyBorder="1" applyAlignment="1">
      <alignment vertical="center" wrapText="1"/>
    </xf>
    <xf numFmtId="0" fontId="29" fillId="6" borderId="4" xfId="0" applyFont="1" applyFill="1" applyBorder="1" applyAlignment="1">
      <alignment horizontal="left" vertical="center" wrapText="1"/>
    </xf>
    <xf numFmtId="0" fontId="30" fillId="6" borderId="4" xfId="0" applyFont="1" applyFill="1" applyBorder="1" applyAlignment="1">
      <alignment vertical="center" wrapText="1"/>
    </xf>
    <xf numFmtId="0" fontId="31" fillId="4" borderId="4" xfId="0" applyFont="1" applyFill="1" applyBorder="1" applyAlignment="1">
      <alignment vertical="center"/>
    </xf>
    <xf numFmtId="164" fontId="15" fillId="4" borderId="4" xfId="0" applyNumberFormat="1" applyFont="1" applyFill="1" applyBorder="1" applyAlignment="1">
      <alignment vertical="center"/>
    </xf>
    <xf numFmtId="164" fontId="15" fillId="4" borderId="4" xfId="0" applyNumberFormat="1" applyFont="1" applyFill="1" applyBorder="1" applyAlignment="1">
      <alignment vertical="center"/>
    </xf>
    <xf numFmtId="0" fontId="32" fillId="6" borderId="4" xfId="0" applyFont="1" applyFill="1" applyBorder="1" applyAlignment="1">
      <alignment horizontal="left" vertical="center"/>
    </xf>
    <xf numFmtId="0" fontId="12" fillId="6" borderId="4" xfId="0" applyFont="1" applyFill="1" applyBorder="1" applyAlignment="1">
      <alignment wrapText="1"/>
    </xf>
    <xf numFmtId="0" fontId="15" fillId="6" borderId="4" xfId="0" applyFont="1" applyFill="1" applyBorder="1" applyAlignment="1">
      <alignment horizontal="center" vertical="center"/>
    </xf>
    <xf numFmtId="0" fontId="33" fillId="6" borderId="4" xfId="0" applyFont="1" applyFill="1" applyBorder="1" applyAlignment="1">
      <alignment horizontal="center" vertical="center"/>
    </xf>
    <xf numFmtId="0" fontId="34" fillId="4" borderId="4" xfId="0" applyFont="1" applyFill="1" applyBorder="1" applyAlignment="1">
      <alignment horizontal="center" vertical="center"/>
    </xf>
    <xf numFmtId="0" fontId="35" fillId="4" borderId="4" xfId="0" applyFont="1" applyFill="1" applyBorder="1" applyAlignment="1">
      <alignment horizontal="left" vertical="center"/>
    </xf>
    <xf numFmtId="0" fontId="15" fillId="4" borderId="4" xfId="0" applyFont="1" applyFill="1" applyBorder="1" applyAlignment="1">
      <alignment horizontal="center" vertical="center"/>
    </xf>
    <xf numFmtId="0" fontId="10" fillId="7" borderId="0" xfId="0" applyFont="1" applyFill="1" applyAlignment="1"/>
    <xf numFmtId="0" fontId="12" fillId="6" borderId="4" xfId="0" applyFont="1" applyFill="1" applyBorder="1" applyAlignment="1">
      <alignment vertical="center" wrapText="1"/>
    </xf>
    <xf numFmtId="0" fontId="15" fillId="6" borderId="4" xfId="0" applyFont="1" applyFill="1" applyBorder="1" applyAlignment="1">
      <alignment horizontal="left" vertical="center"/>
    </xf>
    <xf numFmtId="0" fontId="15" fillId="6" borderId="4" xfId="0" applyFont="1" applyFill="1" applyBorder="1" applyAlignment="1">
      <alignment vertical="center"/>
    </xf>
    <xf numFmtId="3" fontId="16" fillId="6" borderId="4" xfId="0" applyNumberFormat="1" applyFont="1" applyFill="1" applyBorder="1" applyAlignment="1">
      <alignment horizontal="center" vertical="center"/>
    </xf>
    <xf numFmtId="3" fontId="15" fillId="6" borderId="4" xfId="0" applyNumberFormat="1" applyFont="1" applyFill="1" applyBorder="1" applyAlignment="1">
      <alignment horizontal="center" vertical="center" wrapText="1"/>
    </xf>
    <xf numFmtId="0" fontId="36" fillId="6" borderId="4" xfId="0" applyFont="1" applyFill="1" applyBorder="1" applyAlignment="1">
      <alignment horizontal="center" vertical="center"/>
    </xf>
    <xf numFmtId="0" fontId="37" fillId="6" borderId="4" xfId="0" applyFont="1" applyFill="1" applyBorder="1" applyAlignment="1">
      <alignment horizontal="center" vertical="center"/>
    </xf>
    <xf numFmtId="0" fontId="38" fillId="6" borderId="4" xfId="0" applyFont="1" applyFill="1" applyBorder="1" applyAlignment="1">
      <alignment horizontal="center" vertical="center"/>
    </xf>
    <xf numFmtId="0" fontId="39" fillId="6" borderId="4" xfId="0" applyFont="1" applyFill="1" applyBorder="1" applyAlignment="1">
      <alignment horizontal="center" vertical="center"/>
    </xf>
    <xf numFmtId="0" fontId="40" fillId="6" borderId="4" xfId="0" applyFont="1" applyFill="1" applyBorder="1" applyAlignment="1">
      <alignment vertical="center"/>
    </xf>
    <xf numFmtId="0" fontId="15" fillId="7" borderId="5" xfId="0" applyFont="1" applyFill="1" applyBorder="1" applyAlignment="1">
      <alignment horizontal="left" vertical="top"/>
    </xf>
    <xf numFmtId="0" fontId="15" fillId="7" borderId="6" xfId="0" applyFont="1" applyFill="1" applyBorder="1" applyAlignment="1">
      <alignment horizontal="left" vertical="top"/>
    </xf>
    <xf numFmtId="0" fontId="15" fillId="7" borderId="7" xfId="0" applyFont="1" applyFill="1" applyBorder="1" applyAlignment="1">
      <alignment horizontal="left" vertical="top"/>
    </xf>
    <xf numFmtId="0" fontId="15" fillId="5" borderId="8" xfId="0" applyFont="1" applyFill="1" applyBorder="1" applyAlignment="1">
      <alignment horizontal="left" vertical="top"/>
    </xf>
    <xf numFmtId="0" fontId="15" fillId="5" borderId="9" xfId="0" applyFont="1" applyFill="1" applyBorder="1" applyAlignment="1">
      <alignment horizontal="left" vertical="top"/>
    </xf>
    <xf numFmtId="0" fontId="15" fillId="5" borderId="10" xfId="0" applyFont="1" applyFill="1" applyBorder="1" applyAlignment="1">
      <alignment horizontal="left" vertical="top"/>
    </xf>
    <xf numFmtId="0" fontId="36" fillId="4" borderId="4" xfId="0" applyFont="1" applyFill="1" applyBorder="1" applyAlignment="1">
      <alignment horizontal="center" vertical="center"/>
    </xf>
    <xf numFmtId="0" fontId="37" fillId="4" borderId="4" xfId="0" applyFont="1" applyFill="1" applyBorder="1" applyAlignment="1">
      <alignment horizontal="center" vertical="center"/>
    </xf>
    <xf numFmtId="0" fontId="12" fillId="4" borderId="4" xfId="0" applyFont="1" applyFill="1" applyBorder="1" applyAlignment="1">
      <alignment vertical="center" wrapText="1"/>
    </xf>
    <xf numFmtId="0" fontId="12" fillId="4" borderId="4" xfId="0" applyFont="1" applyFill="1" applyBorder="1" applyAlignment="1">
      <alignment wrapText="1"/>
    </xf>
    <xf numFmtId="0" fontId="15" fillId="4" borderId="4" xfId="0" applyFont="1" applyFill="1" applyBorder="1" applyAlignment="1">
      <alignment horizontal="left" vertical="center"/>
    </xf>
    <xf numFmtId="0" fontId="15" fillId="4" borderId="4" xfId="0" applyFont="1" applyFill="1" applyBorder="1" applyAlignment="1">
      <alignment vertical="center"/>
    </xf>
    <xf numFmtId="0" fontId="15" fillId="5" borderId="5" xfId="0" applyFont="1" applyFill="1" applyBorder="1" applyAlignment="1">
      <alignment horizontal="left" vertical="top"/>
    </xf>
    <xf numFmtId="0" fontId="15" fillId="5" borderId="6" xfId="0" applyFont="1" applyFill="1" applyBorder="1" applyAlignment="1">
      <alignment horizontal="left" vertical="top"/>
    </xf>
    <xf numFmtId="0" fontId="15" fillId="5" borderId="7" xfId="0" applyFont="1" applyFill="1" applyBorder="1" applyAlignment="1">
      <alignment horizontal="left" vertical="top"/>
    </xf>
    <xf numFmtId="0" fontId="36" fillId="10" borderId="4" xfId="0" applyFont="1" applyFill="1" applyBorder="1" applyAlignment="1">
      <alignment horizontal="center" vertical="center"/>
    </xf>
    <xf numFmtId="0" fontId="37" fillId="10" borderId="4" xfId="0" applyFont="1" applyFill="1" applyBorder="1" applyAlignment="1">
      <alignment horizontal="center" vertical="center"/>
    </xf>
    <xf numFmtId="0" fontId="12" fillId="10" borderId="4" xfId="0" applyFont="1" applyFill="1" applyBorder="1" applyAlignment="1">
      <alignment vertical="center" wrapText="1"/>
    </xf>
    <xf numFmtId="0" fontId="12" fillId="10" borderId="4" xfId="0" applyFont="1" applyFill="1" applyBorder="1" applyAlignment="1">
      <alignment wrapText="1"/>
    </xf>
    <xf numFmtId="0" fontId="15" fillId="10" borderId="4" xfId="0" applyFont="1" applyFill="1" applyBorder="1" applyAlignment="1">
      <alignment horizontal="left" vertical="center"/>
    </xf>
    <xf numFmtId="0" fontId="15" fillId="10" borderId="4" xfId="0" applyFont="1" applyFill="1" applyBorder="1" applyAlignment="1">
      <alignment vertical="center"/>
    </xf>
    <xf numFmtId="0" fontId="15" fillId="10" borderId="4" xfId="0" applyFont="1" applyFill="1" applyBorder="1" applyAlignment="1">
      <alignment horizontal="center" vertical="center"/>
    </xf>
    <xf numFmtId="3" fontId="16" fillId="10" borderId="4" xfId="0" applyNumberFormat="1" applyFont="1" applyFill="1" applyBorder="1" applyAlignment="1">
      <alignment horizontal="center" vertical="center"/>
    </xf>
    <xf numFmtId="164" fontId="15" fillId="10" borderId="4" xfId="0" applyNumberFormat="1" applyFont="1" applyFill="1" applyBorder="1" applyAlignment="1">
      <alignment vertical="center"/>
    </xf>
    <xf numFmtId="3" fontId="15" fillId="10" borderId="4" xfId="0" applyNumberFormat="1" applyFont="1" applyFill="1" applyBorder="1" applyAlignment="1">
      <alignment horizontal="center" vertical="center" wrapText="1"/>
    </xf>
    <xf numFmtId="0" fontId="15" fillId="10" borderId="4" xfId="0" applyFont="1" applyFill="1" applyBorder="1" applyAlignment="1">
      <alignment horizontal="left" vertical="top" wrapText="1"/>
    </xf>
    <xf numFmtId="164" fontId="15" fillId="10" borderId="4" xfId="0" applyNumberFormat="1" applyFont="1" applyFill="1" applyBorder="1" applyAlignment="1">
      <alignment vertical="center"/>
    </xf>
    <xf numFmtId="0" fontId="36" fillId="5" borderId="4" xfId="0" applyFont="1" applyFill="1" applyBorder="1" applyAlignment="1">
      <alignment horizontal="center" vertical="center"/>
    </xf>
    <xf numFmtId="0" fontId="37" fillId="5" borderId="4" xfId="0" applyFont="1" applyFill="1" applyBorder="1" applyAlignment="1">
      <alignment horizontal="center" vertical="center"/>
    </xf>
    <xf numFmtId="0" fontId="12" fillId="5" borderId="4" xfId="0" applyFont="1" applyFill="1" applyBorder="1" applyAlignment="1">
      <alignment vertical="center" wrapText="1"/>
    </xf>
    <xf numFmtId="0" fontId="15" fillId="5" borderId="4" xfId="0" applyFont="1" applyFill="1" applyBorder="1" applyAlignment="1">
      <alignment horizontal="left" vertical="center"/>
    </xf>
    <xf numFmtId="0" fontId="15" fillId="5" borderId="4" xfId="0" applyFont="1" applyFill="1" applyBorder="1" applyAlignment="1">
      <alignment vertical="center"/>
    </xf>
    <xf numFmtId="0" fontId="15" fillId="5" borderId="4" xfId="0" applyFont="1" applyFill="1" applyBorder="1" applyAlignment="1">
      <alignment horizontal="center" vertical="center"/>
    </xf>
    <xf numFmtId="164" fontId="15" fillId="5" borderId="4" xfId="0" applyNumberFormat="1" applyFont="1" applyFill="1" applyBorder="1" applyAlignment="1">
      <alignment vertical="center"/>
    </xf>
    <xf numFmtId="0" fontId="15" fillId="5" borderId="4" xfId="0" applyFont="1" applyFill="1" applyBorder="1" applyAlignment="1">
      <alignment horizontal="left" vertical="top" wrapText="1"/>
    </xf>
    <xf numFmtId="0" fontId="12" fillId="5" borderId="4" xfId="0" applyFont="1" applyFill="1" applyBorder="1" applyAlignment="1">
      <alignment wrapText="1"/>
    </xf>
    <xf numFmtId="3" fontId="16" fillId="5" borderId="4" xfId="0" applyNumberFormat="1" applyFont="1" applyFill="1" applyBorder="1" applyAlignment="1">
      <alignment horizontal="center" vertical="center"/>
    </xf>
    <xf numFmtId="164" fontId="15" fillId="5" borderId="4" xfId="0" applyNumberFormat="1" applyFont="1" applyFill="1" applyBorder="1" applyAlignment="1">
      <alignment vertical="center"/>
    </xf>
    <xf numFmtId="3" fontId="15" fillId="5" borderId="4" xfId="0" applyNumberFormat="1" applyFont="1" applyFill="1" applyBorder="1" applyAlignment="1">
      <alignment horizontal="center" vertical="center" wrapText="1"/>
    </xf>
    <xf numFmtId="0" fontId="15" fillId="7" borderId="4" xfId="0" applyFont="1" applyFill="1" applyBorder="1" applyAlignment="1">
      <alignment horizontal="left" vertical="center"/>
    </xf>
    <xf numFmtId="0" fontId="36" fillId="7" borderId="4" xfId="0" applyFont="1" applyFill="1" applyBorder="1" applyAlignment="1">
      <alignment horizontal="center" vertical="center"/>
    </xf>
    <xf numFmtId="0" fontId="37" fillId="7" borderId="4" xfId="0" applyFont="1" applyFill="1" applyBorder="1" applyAlignment="1">
      <alignment horizontal="center" vertical="center"/>
    </xf>
    <xf numFmtId="0" fontId="12" fillId="7" borderId="4" xfId="0" applyFont="1" applyFill="1" applyBorder="1" applyAlignment="1">
      <alignment vertical="center" wrapText="1"/>
    </xf>
    <xf numFmtId="0" fontId="12" fillId="7" borderId="4" xfId="0" applyFont="1" applyFill="1" applyBorder="1" applyAlignment="1">
      <alignment wrapText="1"/>
    </xf>
    <xf numFmtId="0" fontId="15" fillId="7" borderId="4" xfId="0" applyFont="1" applyFill="1" applyBorder="1" applyAlignment="1">
      <alignment vertical="center"/>
    </xf>
    <xf numFmtId="0" fontId="15" fillId="7" borderId="4" xfId="0" applyFont="1" applyFill="1" applyBorder="1" applyAlignment="1">
      <alignment horizontal="center" vertical="center"/>
    </xf>
    <xf numFmtId="164" fontId="15" fillId="7" borderId="4" xfId="0" applyNumberFormat="1" applyFont="1" applyFill="1" applyBorder="1" applyAlignment="1">
      <alignment vertical="center"/>
    </xf>
    <xf numFmtId="164" fontId="15" fillId="7" borderId="4" xfId="0" applyNumberFormat="1" applyFont="1" applyFill="1" applyBorder="1" applyAlignment="1">
      <alignment vertical="center"/>
    </xf>
    <xf numFmtId="0" fontId="15" fillId="7" borderId="4" xfId="0" applyFont="1" applyFill="1" applyBorder="1" applyAlignment="1">
      <alignment horizontal="left" vertical="top" wrapText="1"/>
    </xf>
    <xf numFmtId="3" fontId="15" fillId="5" borderId="4" xfId="0" applyNumberFormat="1" applyFont="1" applyFill="1" applyBorder="1" applyAlignment="1">
      <alignment horizontal="center" vertical="center"/>
    </xf>
    <xf numFmtId="3" fontId="15" fillId="6" borderId="4" xfId="0" applyNumberFormat="1" applyFont="1" applyFill="1" applyBorder="1" applyAlignment="1">
      <alignment horizontal="center" vertical="center"/>
    </xf>
    <xf numFmtId="3" fontId="15" fillId="7" borderId="4" xfId="0" applyNumberFormat="1" applyFont="1" applyFill="1" applyBorder="1" applyAlignment="1">
      <alignment horizontal="center" vertical="center"/>
    </xf>
    <xf numFmtId="0" fontId="15" fillId="7" borderId="4" xfId="0" applyFont="1" applyFill="1" applyBorder="1" applyAlignment="1">
      <alignment horizontal="left" vertical="top" wrapText="1"/>
    </xf>
    <xf numFmtId="0" fontId="15" fillId="5" borderId="4" xfId="0" applyFont="1" applyFill="1" applyBorder="1" applyAlignment="1">
      <alignment horizontal="left" vertical="top" wrapText="1"/>
    </xf>
    <xf numFmtId="14" fontId="41" fillId="0" borderId="0" xfId="0" applyNumberFormat="1" applyFont="1" applyAlignment="1">
      <alignment horizontal="right"/>
    </xf>
    <xf numFmtId="0" fontId="41" fillId="0" borderId="0" xfId="0" applyFont="1" applyAlignment="1"/>
    <xf numFmtId="0" fontId="41" fillId="0" borderId="0" xfId="0" applyFont="1" applyAlignment="1"/>
    <xf numFmtId="0" fontId="42" fillId="0" borderId="0" xfId="0" applyFont="1"/>
    <xf numFmtId="0" fontId="41" fillId="0" borderId="0" xfId="0" applyFont="1"/>
    <xf numFmtId="0" fontId="42" fillId="11" borderId="4" xfId="0" applyFont="1" applyFill="1" applyBorder="1" applyAlignment="1">
      <alignment vertical="center"/>
    </xf>
    <xf numFmtId="14" fontId="42" fillId="11" borderId="4" xfId="0" applyNumberFormat="1" applyFont="1" applyFill="1" applyBorder="1" applyAlignment="1">
      <alignment horizontal="center" vertical="center" wrapText="1"/>
    </xf>
    <xf numFmtId="14" fontId="42" fillId="11" borderId="11" xfId="0" applyNumberFormat="1" applyFont="1" applyFill="1" applyBorder="1" applyAlignment="1">
      <alignment horizontal="center" vertical="center" wrapText="1"/>
    </xf>
    <xf numFmtId="14" fontId="42" fillId="11" borderId="12" xfId="0" applyNumberFormat="1" applyFont="1" applyFill="1" applyBorder="1" applyAlignment="1">
      <alignment horizontal="center" vertical="center" wrapText="1"/>
    </xf>
    <xf numFmtId="0" fontId="42" fillId="12" borderId="4" xfId="0" applyFont="1" applyFill="1" applyBorder="1"/>
    <xf numFmtId="0" fontId="41" fillId="0" borderId="4" xfId="0" applyFont="1" applyBorder="1" applyAlignment="1">
      <alignment horizontal="center"/>
    </xf>
    <xf numFmtId="0" fontId="43" fillId="0" borderId="4" xfId="0" applyFont="1" applyBorder="1"/>
    <xf numFmtId="0" fontId="41" fillId="0" borderId="4" xfId="0" applyFont="1" applyBorder="1"/>
    <xf numFmtId="0" fontId="41" fillId="0" borderId="13" xfId="0" applyFont="1" applyBorder="1"/>
    <xf numFmtId="0" fontId="41" fillId="0" borderId="4" xfId="0" applyFont="1" applyBorder="1" applyAlignment="1">
      <alignment horizontal="center" vertical="center"/>
    </xf>
    <xf numFmtId="0" fontId="45" fillId="0" borderId="4" xfId="0" applyFont="1" applyBorder="1"/>
    <xf numFmtId="0" fontId="16" fillId="13" borderId="4" xfId="0" applyFont="1" applyFill="1" applyBorder="1" applyAlignment="1">
      <alignment horizontal="center" vertical="center"/>
    </xf>
    <xf numFmtId="0" fontId="16" fillId="14" borderId="4" xfId="0" applyFont="1" applyFill="1" applyBorder="1" applyAlignment="1">
      <alignment horizontal="center" vertical="center"/>
    </xf>
    <xf numFmtId="0" fontId="16" fillId="14" borderId="4" xfId="0" applyFont="1" applyFill="1" applyBorder="1" applyAlignment="1">
      <alignment horizontal="center" vertical="center" wrapText="1"/>
    </xf>
    <xf numFmtId="0" fontId="16" fillId="0" borderId="4" xfId="0" applyFont="1" applyBorder="1" applyAlignment="1">
      <alignment horizontal="center" vertical="center"/>
    </xf>
    <xf numFmtId="0" fontId="16" fillId="15" borderId="4" xfId="0" applyFont="1" applyFill="1" applyBorder="1" applyAlignment="1">
      <alignment horizontal="center" vertical="center"/>
    </xf>
    <xf numFmtId="0" fontId="16" fillId="16" borderId="4" xfId="0" applyFont="1" applyFill="1" applyBorder="1" applyAlignment="1">
      <alignment horizontal="center" vertical="center"/>
    </xf>
    <xf numFmtId="0" fontId="15" fillId="0" borderId="0" xfId="0" applyFont="1" applyAlignment="1">
      <alignment horizontal="center" vertical="center"/>
    </xf>
    <xf numFmtId="0" fontId="16" fillId="17" borderId="4" xfId="0" applyFont="1" applyFill="1" applyBorder="1" applyAlignment="1">
      <alignment horizontal="center" vertical="center"/>
    </xf>
    <xf numFmtId="0" fontId="16" fillId="0" borderId="4" xfId="0" applyFont="1" applyBorder="1" applyAlignment="1">
      <alignment horizontal="left" vertical="center"/>
    </xf>
    <xf numFmtId="0" fontId="15" fillId="0" borderId="4" xfId="0" applyFont="1" applyBorder="1" applyAlignment="1">
      <alignment horizontal="left" vertical="center"/>
    </xf>
    <xf numFmtId="14" fontId="15" fillId="0" borderId="4" xfId="0" applyNumberFormat="1" applyFont="1" applyBorder="1" applyAlignment="1">
      <alignment horizontal="center" vertical="center"/>
    </xf>
    <xf numFmtId="1" fontId="15" fillId="0" borderId="4" xfId="0" applyNumberFormat="1" applyFont="1" applyBorder="1" applyAlignment="1">
      <alignment horizontal="center" vertical="center" wrapText="1"/>
    </xf>
    <xf numFmtId="0" fontId="15" fillId="0" borderId="4" xfId="0" applyFont="1" applyBorder="1" applyAlignment="1">
      <alignment horizontal="center" vertical="center"/>
    </xf>
    <xf numFmtId="0" fontId="15" fillId="0" borderId="4" xfId="0" applyFont="1" applyBorder="1" applyAlignment="1">
      <alignment horizontal="left" vertical="top" wrapText="1"/>
    </xf>
    <xf numFmtId="0" fontId="15" fillId="0" borderId="4" xfId="0" applyFont="1" applyBorder="1" applyAlignment="1">
      <alignment horizontal="left" vertical="center" wrapText="1"/>
    </xf>
    <xf numFmtId="0" fontId="15" fillId="0" borderId="0" xfId="0" applyFont="1" applyAlignment="1">
      <alignment horizontal="left" vertical="center"/>
    </xf>
    <xf numFmtId="0" fontId="15" fillId="0" borderId="14" xfId="0" applyFont="1" applyBorder="1" applyAlignment="1">
      <alignment horizontal="left" vertical="center" wrapText="1"/>
    </xf>
    <xf numFmtId="14" fontId="15" fillId="0" borderId="14" xfId="0" applyNumberFormat="1" applyFont="1" applyBorder="1" applyAlignment="1">
      <alignment horizontal="center" vertical="center"/>
    </xf>
    <xf numFmtId="0" fontId="15" fillId="0" borderId="14" xfId="0" applyFont="1" applyBorder="1" applyAlignment="1">
      <alignment horizontal="center" vertical="center"/>
    </xf>
    <xf numFmtId="1" fontId="15" fillId="0" borderId="14" xfId="0" applyNumberFormat="1" applyFont="1" applyBorder="1" applyAlignment="1">
      <alignment horizontal="center" vertical="center" wrapText="1"/>
    </xf>
    <xf numFmtId="0" fontId="15" fillId="0" borderId="14" xfId="0" applyFont="1" applyBorder="1" applyAlignment="1">
      <alignment horizontal="left" vertical="top" wrapText="1"/>
    </xf>
    <xf numFmtId="0" fontId="15" fillId="0" borderId="0" xfId="0" applyFont="1"/>
    <xf numFmtId="0" fontId="41" fillId="0" borderId="14" xfId="0" applyFont="1" applyBorder="1" applyAlignment="1">
      <alignment horizontal="center" vertical="center" wrapText="1"/>
    </xf>
    <xf numFmtId="0" fontId="44" fillId="0" borderId="15" xfId="0" applyFont="1" applyBorder="1"/>
    <xf numFmtId="0" fontId="44" fillId="0" borderId="16" xfId="0" applyFont="1" applyBorder="1"/>
    <xf numFmtId="0" fontId="16" fillId="0" borderId="14" xfId="0" applyFont="1" applyBorder="1" applyAlignment="1">
      <alignment horizontal="center" vertical="center"/>
    </xf>
    <xf numFmtId="0" fontId="0" fillId="5" borderId="0" xfId="0" applyFont="1" applyFill="1"/>
  </cellXfs>
  <cellStyles count="1">
    <cellStyle name="Normal" xfId="0" builtinId="0"/>
  </cellStyles>
  <dxfs count="1">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sheetPr>
  <dimension ref="A1:AN89"/>
  <sheetViews>
    <sheetView tabSelected="1" workbookViewId="0">
      <pane ySplit="1" topLeftCell="A3" activePane="bottomLeft" state="frozen"/>
      <selection pane="bottomLeft" activeCell="A3" sqref="A3"/>
    </sheetView>
  </sheetViews>
  <sheetFormatPr baseColWidth="10" defaultColWidth="11.21875" defaultRowHeight="15" customHeight="1"/>
  <cols>
    <col min="1" max="1" width="16" customWidth="1"/>
    <col min="2" max="2" width="11.88671875" customWidth="1"/>
    <col min="3" max="3" width="32.6640625" customWidth="1"/>
    <col min="4" max="4" width="40.33203125" customWidth="1"/>
    <col min="5" max="5" width="19.5546875" hidden="1" customWidth="1"/>
    <col min="6" max="6" width="16.21875" customWidth="1"/>
    <col min="7" max="7" width="6.77734375" customWidth="1"/>
    <col min="8" max="8" width="8.21875" customWidth="1"/>
    <col min="9" max="9" width="12.88671875" customWidth="1"/>
    <col min="10" max="10" width="12.21875" customWidth="1"/>
    <col min="11" max="11" width="12" customWidth="1"/>
    <col min="12" max="12" width="11.77734375" customWidth="1"/>
    <col min="13" max="13" width="8.77734375" customWidth="1"/>
    <col min="14" max="15" width="11" customWidth="1"/>
    <col min="16" max="16" width="17.21875" customWidth="1"/>
    <col min="17" max="17" width="31" customWidth="1"/>
    <col min="18" max="18" width="8" customWidth="1"/>
    <col min="19" max="40" width="10.5546875" customWidth="1"/>
  </cols>
  <sheetData>
    <row r="1" spans="1:40" ht="15" customHeight="1">
      <c r="A1" s="1" t="s">
        <v>0</v>
      </c>
      <c r="B1" s="2" t="s">
        <v>1</v>
      </c>
      <c r="C1" s="3" t="s">
        <v>2</v>
      </c>
      <c r="D1" s="4" t="s">
        <v>3</v>
      </c>
      <c r="E1" s="5" t="s">
        <v>4</v>
      </c>
      <c r="F1" s="6" t="s">
        <v>5</v>
      </c>
      <c r="G1" s="7" t="s">
        <v>6</v>
      </c>
      <c r="H1" s="8" t="s">
        <v>7</v>
      </c>
      <c r="I1" s="9" t="s">
        <v>8</v>
      </c>
      <c r="J1" s="9" t="s">
        <v>9</v>
      </c>
      <c r="K1" s="10" t="s">
        <v>10</v>
      </c>
      <c r="L1" s="11" t="s">
        <v>11</v>
      </c>
      <c r="M1" s="12" t="s">
        <v>12</v>
      </c>
      <c r="N1" s="13" t="s">
        <v>13</v>
      </c>
      <c r="O1" s="10" t="s">
        <v>14</v>
      </c>
      <c r="P1" s="10" t="s">
        <v>15</v>
      </c>
      <c r="Q1" s="14" t="s">
        <v>16</v>
      </c>
      <c r="R1" s="15" t="s">
        <v>17</v>
      </c>
      <c r="S1" s="16"/>
      <c r="T1" s="16"/>
      <c r="U1" s="16"/>
      <c r="V1" s="16"/>
      <c r="W1" s="16"/>
      <c r="X1" s="16"/>
      <c r="Y1" s="16"/>
      <c r="Z1" s="16"/>
      <c r="AA1" s="16"/>
      <c r="AB1" s="16"/>
      <c r="AC1" s="16"/>
      <c r="AD1" s="16"/>
      <c r="AE1" s="16"/>
      <c r="AF1" s="16"/>
      <c r="AG1" s="16"/>
      <c r="AH1" s="16"/>
      <c r="AI1" s="16"/>
      <c r="AJ1" s="16"/>
      <c r="AK1" s="16"/>
      <c r="AL1" s="16"/>
      <c r="AM1" s="16"/>
      <c r="AN1" s="16"/>
    </row>
    <row r="2" spans="1:40" ht="15" customHeight="1">
      <c r="A2" s="17" t="s">
        <v>18</v>
      </c>
      <c r="B2" s="18" t="s">
        <v>19</v>
      </c>
      <c r="C2" s="19" t="s">
        <v>20</v>
      </c>
      <c r="D2" s="20" t="s">
        <v>21</v>
      </c>
      <c r="E2" s="21"/>
      <c r="F2" s="22" t="s">
        <v>22</v>
      </c>
      <c r="G2" s="23">
        <v>30</v>
      </c>
      <c r="H2" s="24">
        <f>IF(OR(J2="",K2="",K2&lt;J2),0,NETWORKDAYS(J2,K2,Hoja2!$A$2:$A$53))</f>
        <v>17</v>
      </c>
      <c r="I2" s="25">
        <v>45931</v>
      </c>
      <c r="J2" s="25">
        <v>45931</v>
      </c>
      <c r="K2" s="26">
        <v>45954</v>
      </c>
      <c r="L2" s="27"/>
      <c r="M2" s="28">
        <f ca="1">IF(OR(J2="",AND(L2="",TODAY()&lt;J2),AND(L2&lt;&gt;"",L2&lt;J2)),0,
   IF(L2="",
      NETWORKDAYS(J2,TODAY(),Hoja2!$A$2:$A$53),
      NETWORKDAYS(J2,L2,Hoja2!$A$2:$A$53)
   )
)</f>
        <v>175</v>
      </c>
      <c r="N2" s="27"/>
      <c r="O2" s="27"/>
      <c r="P2" s="27"/>
      <c r="Q2" s="29" t="s">
        <v>23</v>
      </c>
      <c r="R2" s="199" t="s">
        <v>440</v>
      </c>
      <c r="T2" s="30"/>
      <c r="U2" s="31"/>
      <c r="V2" s="31"/>
      <c r="W2" s="31"/>
      <c r="X2" s="31"/>
      <c r="Y2" s="31"/>
      <c r="Z2" s="31"/>
      <c r="AA2" s="31"/>
      <c r="AB2" s="31"/>
      <c r="AC2" s="31"/>
      <c r="AD2" s="31"/>
      <c r="AE2" s="31"/>
      <c r="AF2" s="31"/>
      <c r="AG2" s="31"/>
      <c r="AH2" s="31"/>
      <c r="AI2" s="31"/>
      <c r="AJ2" s="31"/>
      <c r="AK2" s="31"/>
      <c r="AL2" s="31"/>
      <c r="AM2" s="31"/>
      <c r="AN2" s="31"/>
    </row>
    <row r="3" spans="1:40" ht="15" customHeight="1">
      <c r="A3" s="32" t="s">
        <v>18</v>
      </c>
      <c r="B3" s="33" t="s">
        <v>24</v>
      </c>
      <c r="C3" s="34" t="s">
        <v>25</v>
      </c>
      <c r="D3" s="35" t="s">
        <v>26</v>
      </c>
      <c r="E3" s="36"/>
      <c r="F3" s="37" t="s">
        <v>27</v>
      </c>
      <c r="G3" s="38">
        <v>100</v>
      </c>
      <c r="H3" s="24">
        <f>IF(OR(J3="",K3="",K3&lt;J3),0,NETWORKDAYS(J3,K3,Hoja2!$A$2:$A$53))</f>
        <v>12</v>
      </c>
      <c r="I3" s="39"/>
      <c r="J3" s="40">
        <v>45931</v>
      </c>
      <c r="K3" s="41">
        <v>45947</v>
      </c>
      <c r="L3" s="41">
        <v>45945</v>
      </c>
      <c r="M3" s="28">
        <f ca="1">IF(OR(J3="",AND(L3="",TODAY()&lt;J3),AND(L3&lt;&gt;"",L3&lt;J3)),0,
   IF(L3="",
      NETWORKDAYS(J3,TODAY(),Hoja2!$A$2:$A$53),
      NETWORKDAYS(J3,L3,Hoja2!$A$2:$A$53)
   )
)</f>
        <v>10</v>
      </c>
      <c r="N3" s="39"/>
      <c r="O3" s="39"/>
      <c r="P3" s="42"/>
      <c r="Q3" s="43" t="s">
        <v>28</v>
      </c>
      <c r="R3" s="199" t="s">
        <v>440</v>
      </c>
      <c r="S3" s="44"/>
      <c r="T3" s="44"/>
      <c r="U3" s="44"/>
      <c r="V3" s="44"/>
      <c r="W3" s="44"/>
      <c r="X3" s="44"/>
      <c r="Y3" s="44"/>
      <c r="Z3" s="44"/>
      <c r="AA3" s="44"/>
      <c r="AB3" s="44"/>
      <c r="AC3" s="44"/>
      <c r="AD3" s="44"/>
      <c r="AE3" s="44"/>
      <c r="AF3" s="44"/>
      <c r="AG3" s="44"/>
      <c r="AH3" s="44"/>
      <c r="AI3" s="44"/>
      <c r="AJ3" s="44"/>
      <c r="AK3" s="44"/>
      <c r="AL3" s="44"/>
      <c r="AM3" s="44"/>
      <c r="AN3" s="44"/>
    </row>
    <row r="4" spans="1:40" ht="15" customHeight="1">
      <c r="A4" s="45" t="s">
        <v>18</v>
      </c>
      <c r="B4" s="46" t="s">
        <v>29</v>
      </c>
      <c r="C4" s="47" t="s">
        <v>30</v>
      </c>
      <c r="D4" s="48" t="s">
        <v>31</v>
      </c>
      <c r="E4" s="49"/>
      <c r="F4" s="50" t="s">
        <v>32</v>
      </c>
      <c r="G4" s="51">
        <v>80</v>
      </c>
      <c r="H4" s="52">
        <f>IF(OR(J4="",K4="",K4&lt;J4),0,NETWORKDAYS(J4,K4,Hoja2!$A$2:$A$53))</f>
        <v>20</v>
      </c>
      <c r="I4" s="53"/>
      <c r="J4" s="54">
        <v>45901</v>
      </c>
      <c r="K4" s="55">
        <v>45926</v>
      </c>
      <c r="L4" s="56"/>
      <c r="M4" s="57">
        <f ca="1">IF(OR(J4="",AND(L4="",TODAY()&lt;J4),AND(L4&lt;&gt;"",L4&lt;J4)),0,
   IF(L4="",
      NETWORKDAYS(J4,TODAY(),Hoja2!$A$2:$A$53),
      NETWORKDAYS(J4,L4,Hoja2!$A$2:$A$53)
   )
)</f>
        <v>197</v>
      </c>
      <c r="N4" s="56"/>
      <c r="O4" s="56"/>
      <c r="P4" s="56"/>
      <c r="Q4" s="58" t="s">
        <v>33</v>
      </c>
      <c r="R4" s="199" t="s">
        <v>440</v>
      </c>
      <c r="S4" s="31"/>
      <c r="T4" s="31"/>
      <c r="U4" s="31"/>
      <c r="V4" s="31"/>
      <c r="W4" s="31"/>
      <c r="X4" s="31"/>
      <c r="Y4" s="31"/>
      <c r="Z4" s="31"/>
      <c r="AA4" s="31"/>
      <c r="AB4" s="31"/>
      <c r="AC4" s="31"/>
      <c r="AD4" s="31"/>
      <c r="AE4" s="31"/>
      <c r="AF4" s="31"/>
      <c r="AG4" s="31"/>
      <c r="AH4" s="31"/>
      <c r="AI4" s="31"/>
      <c r="AJ4" s="31"/>
      <c r="AK4" s="31"/>
      <c r="AL4" s="31"/>
      <c r="AM4" s="31"/>
      <c r="AN4" s="31"/>
    </row>
    <row r="5" spans="1:40" ht="15" customHeight="1">
      <c r="A5" s="32" t="s">
        <v>18</v>
      </c>
      <c r="B5" s="33" t="s">
        <v>34</v>
      </c>
      <c r="C5" s="34" t="s">
        <v>35</v>
      </c>
      <c r="D5" s="35" t="s">
        <v>36</v>
      </c>
      <c r="E5" s="36"/>
      <c r="F5" s="37" t="s">
        <v>27</v>
      </c>
      <c r="G5" s="38">
        <v>100</v>
      </c>
      <c r="H5" s="24">
        <f>IF(OR(J5="",K5="",K5&lt;J5),0,NETWORKDAYS(J5,K5,Hoja2!$A$2:$A$53))</f>
        <v>8</v>
      </c>
      <c r="I5" s="39"/>
      <c r="J5" s="40">
        <v>45931</v>
      </c>
      <c r="K5" s="41">
        <v>45940</v>
      </c>
      <c r="L5" s="41">
        <v>45954</v>
      </c>
      <c r="M5" s="28">
        <f ca="1">IF(OR(J5="",AND(L5="",TODAY()&lt;J5),AND(L5&lt;&gt;"",L5&lt;J5)),0,
   IF(L5="",
      NETWORKDAYS(J5,TODAY(),Hoja2!$A$2:$A$53),
      NETWORKDAYS(J5,L5,Hoja2!$A$2:$A$53)
   )
)</f>
        <v>17</v>
      </c>
      <c r="N5" s="41"/>
      <c r="O5" s="41">
        <v>45909</v>
      </c>
      <c r="P5" s="41">
        <v>45919</v>
      </c>
      <c r="Q5" s="43" t="s">
        <v>37</v>
      </c>
      <c r="R5" s="199" t="s">
        <v>440</v>
      </c>
      <c r="S5" s="44"/>
      <c r="T5" s="44"/>
      <c r="U5" s="44"/>
      <c r="V5" s="44"/>
      <c r="W5" s="44"/>
      <c r="X5" s="44"/>
      <c r="Y5" s="44"/>
      <c r="Z5" s="44"/>
      <c r="AA5" s="44"/>
      <c r="AB5" s="44"/>
      <c r="AC5" s="44"/>
      <c r="AD5" s="44"/>
      <c r="AE5" s="44"/>
      <c r="AF5" s="44"/>
      <c r="AG5" s="44"/>
      <c r="AH5" s="44"/>
      <c r="AI5" s="44"/>
      <c r="AJ5" s="44"/>
      <c r="AK5" s="44"/>
      <c r="AL5" s="44"/>
      <c r="AM5" s="44"/>
      <c r="AN5" s="44"/>
    </row>
    <row r="6" spans="1:40" ht="15" customHeight="1">
      <c r="A6" s="32" t="s">
        <v>18</v>
      </c>
      <c r="B6" s="33" t="s">
        <v>38</v>
      </c>
      <c r="C6" s="34" t="s">
        <v>39</v>
      </c>
      <c r="D6" s="35" t="s">
        <v>40</v>
      </c>
      <c r="E6" s="36"/>
      <c r="F6" s="37" t="s">
        <v>27</v>
      </c>
      <c r="G6" s="38">
        <v>100</v>
      </c>
      <c r="H6" s="24">
        <f>IF(OR(J6="",K6="",K6&lt;J6),0,NETWORKDAYS(J6,K6,Hoja2!$A$2:$A$53))</f>
        <v>5</v>
      </c>
      <c r="I6" s="39"/>
      <c r="J6" s="59">
        <v>45870</v>
      </c>
      <c r="K6" s="59">
        <v>45877</v>
      </c>
      <c r="L6" s="59">
        <v>45954</v>
      </c>
      <c r="M6" s="28">
        <f ca="1">IF(OR(J6="",AND(L6="",TODAY()&lt;J6),AND(L6&lt;&gt;"",L6&lt;J6)),0,
   IF(L6="",
      NETWORKDAYS(J6,TODAY(),Hoja2!$A$2:$A$53),
      NETWORKDAYS(J6,L6,Hoja2!$A$2:$A$53)
   )
)</f>
        <v>58</v>
      </c>
      <c r="N6" s="59"/>
      <c r="O6" s="59">
        <v>45891</v>
      </c>
      <c r="P6" s="59">
        <v>45954</v>
      </c>
      <c r="Q6" s="43" t="s">
        <v>41</v>
      </c>
      <c r="R6" s="199" t="s">
        <v>440</v>
      </c>
      <c r="S6" s="31"/>
      <c r="T6" s="31"/>
      <c r="U6" s="31"/>
      <c r="V6" s="31"/>
      <c r="W6" s="31"/>
      <c r="X6" s="31"/>
      <c r="Y6" s="31"/>
      <c r="Z6" s="31"/>
      <c r="AA6" s="31"/>
      <c r="AB6" s="31"/>
      <c r="AC6" s="31"/>
      <c r="AD6" s="31"/>
      <c r="AE6" s="31"/>
      <c r="AF6" s="31"/>
      <c r="AG6" s="31"/>
      <c r="AH6" s="31"/>
      <c r="AI6" s="31"/>
      <c r="AJ6" s="31"/>
      <c r="AK6" s="31"/>
      <c r="AL6" s="31"/>
      <c r="AM6" s="31"/>
      <c r="AN6" s="31"/>
    </row>
    <row r="7" spans="1:40" ht="15" customHeight="1">
      <c r="A7" s="32" t="s">
        <v>18</v>
      </c>
      <c r="B7" s="33" t="s">
        <v>42</v>
      </c>
      <c r="C7" s="34" t="s">
        <v>43</v>
      </c>
      <c r="D7" s="35" t="s">
        <v>44</v>
      </c>
      <c r="E7" s="36"/>
      <c r="F7" s="37" t="s">
        <v>27</v>
      </c>
      <c r="G7" s="38">
        <v>100</v>
      </c>
      <c r="H7" s="24">
        <f>IF(OR(J7="",K7="",K7&lt;J7),0,NETWORKDAYS(J7,K7,Hoja2!$A$2:$A$53))</f>
        <v>19</v>
      </c>
      <c r="I7" s="39"/>
      <c r="J7" s="59">
        <v>45870</v>
      </c>
      <c r="K7" s="59">
        <v>45898</v>
      </c>
      <c r="L7" s="59">
        <v>45954</v>
      </c>
      <c r="M7" s="28">
        <f ca="1">IF(OR(J7="",AND(L7="",TODAY()&lt;J7),AND(L7&lt;&gt;"",L7&lt;J7)),0,
   IF(L7="",
      NETWORKDAYS(J7,TODAY(),Hoja2!$A$2:$A$53),
      NETWORKDAYS(J7,L7,Hoja2!$A$2:$A$53)
   )
)</f>
        <v>58</v>
      </c>
      <c r="N7" s="59"/>
      <c r="O7" s="59">
        <v>45873</v>
      </c>
      <c r="P7" s="59">
        <v>45957</v>
      </c>
      <c r="Q7" s="60" t="s">
        <v>45</v>
      </c>
      <c r="R7" s="199" t="s">
        <v>440</v>
      </c>
      <c r="S7" s="44"/>
      <c r="T7" s="44"/>
      <c r="U7" s="44"/>
      <c r="V7" s="44"/>
      <c r="W7" s="44"/>
      <c r="X7" s="44"/>
      <c r="Y7" s="44"/>
      <c r="Z7" s="44"/>
      <c r="AA7" s="44"/>
      <c r="AB7" s="44"/>
      <c r="AC7" s="44"/>
      <c r="AD7" s="44"/>
      <c r="AE7" s="44"/>
      <c r="AF7" s="44"/>
      <c r="AG7" s="44"/>
      <c r="AH7" s="44"/>
      <c r="AI7" s="44"/>
      <c r="AJ7" s="44"/>
      <c r="AK7" s="44"/>
      <c r="AL7" s="44"/>
      <c r="AM7" s="44"/>
      <c r="AN7" s="44"/>
    </row>
    <row r="8" spans="1:40" ht="15" customHeight="1">
      <c r="A8" s="32" t="s">
        <v>18</v>
      </c>
      <c r="B8" s="33" t="s">
        <v>46</v>
      </c>
      <c r="C8" s="34" t="s">
        <v>47</v>
      </c>
      <c r="D8" s="61" t="s">
        <v>48</v>
      </c>
      <c r="E8" s="36"/>
      <c r="F8" s="37" t="s">
        <v>27</v>
      </c>
      <c r="G8" s="38">
        <v>100</v>
      </c>
      <c r="H8" s="24">
        <f>IF(OR(J8="",K8="",K8&lt;J8),0,NETWORKDAYS(J8,K8,Hoja2!$A$2:$A$53))</f>
        <v>72</v>
      </c>
      <c r="I8" s="39"/>
      <c r="J8" s="59">
        <v>45870</v>
      </c>
      <c r="K8" s="41">
        <v>45975</v>
      </c>
      <c r="L8" s="41">
        <v>46001</v>
      </c>
      <c r="M8" s="28">
        <f ca="1">IF(OR(J8="",AND(L8="",TODAY()&lt;J8),AND(L8&lt;&gt;"",L8&lt;J8)),0,
   IF(L8="",
      NETWORKDAYS(J8,TODAY(),Hoja2!$A$2:$A$53),
      NETWORKDAYS(J8,L8,Hoja2!$A$2:$A$53)
   )
)</f>
        <v>88</v>
      </c>
      <c r="N8" s="41"/>
      <c r="O8" s="41"/>
      <c r="P8" s="59">
        <v>46001</v>
      </c>
      <c r="Q8" s="60" t="s">
        <v>49</v>
      </c>
      <c r="R8" s="199" t="s">
        <v>440</v>
      </c>
      <c r="S8" s="31"/>
      <c r="T8" s="31"/>
      <c r="U8" s="31"/>
      <c r="V8" s="31"/>
      <c r="W8" s="31"/>
      <c r="X8" s="31"/>
      <c r="Y8" s="31"/>
      <c r="Z8" s="31"/>
      <c r="AA8" s="31"/>
      <c r="AB8" s="31"/>
      <c r="AC8" s="31"/>
      <c r="AD8" s="31"/>
      <c r="AE8" s="31"/>
      <c r="AF8" s="31"/>
      <c r="AG8" s="31"/>
      <c r="AH8" s="31"/>
      <c r="AI8" s="31"/>
      <c r="AJ8" s="31"/>
      <c r="AK8" s="31"/>
      <c r="AL8" s="31"/>
      <c r="AM8" s="31"/>
      <c r="AN8" s="31"/>
    </row>
    <row r="9" spans="1:40" ht="15" customHeight="1">
      <c r="A9" s="62" t="s">
        <v>18</v>
      </c>
      <c r="B9" s="63" t="s">
        <v>50</v>
      </c>
      <c r="C9" s="64" t="s">
        <v>51</v>
      </c>
      <c r="D9" s="65" t="s">
        <v>52</v>
      </c>
      <c r="E9" s="66"/>
      <c r="F9" s="67" t="s">
        <v>53</v>
      </c>
      <c r="G9" s="68">
        <v>50</v>
      </c>
      <c r="H9" s="69">
        <f>IF(OR(J9="",K9="",K9&lt;J9),0,NETWORKDAYS(J9,K9,Hoja2!$A$2:$A$53))</f>
        <v>63</v>
      </c>
      <c r="I9" s="70">
        <v>45870</v>
      </c>
      <c r="J9" s="70">
        <v>45870</v>
      </c>
      <c r="K9" s="71">
        <v>45961</v>
      </c>
      <c r="L9" s="72"/>
      <c r="M9" s="73">
        <f ca="1">IF(OR(J9="",AND(L9="",TODAY()&lt;J9),AND(L9&lt;&gt;"",L9&lt;J9)),0,
   IF(L9="",
      NETWORKDAYS(J9,TODAY(),Hoja2!$A$2:$A$53),
      NETWORKDAYS(J9,L9,Hoja2!$A$2:$A$53)
   )
)</f>
        <v>216</v>
      </c>
      <c r="N9" s="72"/>
      <c r="O9" s="72"/>
      <c r="P9" s="74"/>
      <c r="Q9" s="75" t="s">
        <v>54</v>
      </c>
      <c r="R9" s="199" t="s">
        <v>440</v>
      </c>
      <c r="S9" s="44"/>
      <c r="T9" s="44"/>
      <c r="U9" s="44"/>
      <c r="V9" s="44"/>
      <c r="W9" s="44"/>
      <c r="X9" s="44"/>
      <c r="Y9" s="44"/>
      <c r="Z9" s="44"/>
      <c r="AA9" s="44"/>
      <c r="AB9" s="44"/>
      <c r="AC9" s="44"/>
      <c r="AD9" s="44"/>
      <c r="AE9" s="44"/>
      <c r="AF9" s="44"/>
      <c r="AG9" s="44"/>
      <c r="AH9" s="44"/>
      <c r="AI9" s="44"/>
      <c r="AJ9" s="44"/>
      <c r="AK9" s="44"/>
      <c r="AL9" s="44"/>
      <c r="AM9" s="44"/>
      <c r="AN9" s="44"/>
    </row>
    <row r="10" spans="1:40" ht="15" customHeight="1">
      <c r="A10" s="32" t="s">
        <v>18</v>
      </c>
      <c r="B10" s="33" t="s">
        <v>55</v>
      </c>
      <c r="C10" s="34" t="s">
        <v>56</v>
      </c>
      <c r="D10" s="35" t="s">
        <v>57</v>
      </c>
      <c r="E10" s="76"/>
      <c r="F10" s="37" t="s">
        <v>27</v>
      </c>
      <c r="G10" s="38">
        <v>100</v>
      </c>
      <c r="H10" s="24">
        <f>IF(OR(J10="",K10="",K10&lt;J10),0,NETWORKDAYS(J10,K10,Hoja2!$A$2:$A$53))</f>
        <v>14</v>
      </c>
      <c r="I10" s="39"/>
      <c r="J10" s="40">
        <v>45936</v>
      </c>
      <c r="K10" s="40">
        <v>45954</v>
      </c>
      <c r="L10" s="41">
        <v>45954</v>
      </c>
      <c r="M10" s="28">
        <f ca="1">IF(OR(J10="",AND(L10="",TODAY()&lt;J10),AND(L10&lt;&gt;"",L10&lt;J10)),0,
   IF(L10="",
      NETWORKDAYS(J10,TODAY(),Hoja2!$A$2:$A$53),
      NETWORKDAYS(J10,L10,Hoja2!$A$2:$A$53)
   )
)</f>
        <v>14</v>
      </c>
      <c r="N10" s="77"/>
      <c r="O10" s="77"/>
      <c r="P10" s="77"/>
      <c r="Q10" s="60" t="s">
        <v>58</v>
      </c>
      <c r="R10" s="199" t="s">
        <v>440</v>
      </c>
      <c r="S10" s="31"/>
      <c r="T10" s="31"/>
      <c r="U10" s="31"/>
      <c r="V10" s="31"/>
      <c r="W10" s="31"/>
      <c r="X10" s="31"/>
      <c r="Y10" s="31"/>
      <c r="Z10" s="31"/>
      <c r="AA10" s="31"/>
      <c r="AB10" s="31"/>
      <c r="AC10" s="31"/>
      <c r="AD10" s="31"/>
      <c r="AE10" s="31"/>
      <c r="AF10" s="31"/>
      <c r="AG10" s="31"/>
      <c r="AH10" s="31"/>
      <c r="AI10" s="31"/>
      <c r="AJ10" s="31"/>
      <c r="AK10" s="31"/>
      <c r="AL10" s="31"/>
      <c r="AM10" s="31"/>
      <c r="AN10" s="31"/>
    </row>
    <row r="11" spans="1:40" ht="15" customHeight="1">
      <c r="A11" s="32" t="s">
        <v>18</v>
      </c>
      <c r="B11" s="33" t="s">
        <v>59</v>
      </c>
      <c r="C11" s="34" t="s">
        <v>60</v>
      </c>
      <c r="D11" s="35" t="s">
        <v>61</v>
      </c>
      <c r="E11" s="36"/>
      <c r="F11" s="78" t="s">
        <v>27</v>
      </c>
      <c r="G11" s="38">
        <v>100</v>
      </c>
      <c r="H11" s="24">
        <f>IF(OR(J11="",K11="",K11&lt;J11),0,NETWORKDAYS(J11,K11,Hoja2!$A$2:$A$53))</f>
        <v>14</v>
      </c>
      <c r="I11" s="39"/>
      <c r="J11" s="40">
        <v>45936</v>
      </c>
      <c r="K11" s="40">
        <v>45954</v>
      </c>
      <c r="L11" s="40">
        <v>45954</v>
      </c>
      <c r="M11" s="28">
        <f ca="1">IF(OR(J11="",AND(L11="",TODAY()&lt;J11),AND(L11&lt;&gt;"",L11&lt;J11)),0,
   IF(L11="",
      NETWORKDAYS(J11,TODAY(),Hoja2!$A$2:$A$53),
      NETWORKDAYS(J11,L11,Hoja2!$A$2:$A$53)
   )
)</f>
        <v>14</v>
      </c>
      <c r="N11" s="42"/>
      <c r="O11" s="42"/>
      <c r="P11" s="77"/>
      <c r="Q11" s="43" t="s">
        <v>62</v>
      </c>
      <c r="R11" s="199" t="s">
        <v>440</v>
      </c>
      <c r="S11" s="44"/>
      <c r="T11" s="44"/>
      <c r="U11" s="44"/>
      <c r="V11" s="44"/>
      <c r="W11" s="44"/>
      <c r="X11" s="44"/>
      <c r="Y11" s="44"/>
      <c r="Z11" s="44"/>
      <c r="AA11" s="44"/>
      <c r="AB11" s="44"/>
      <c r="AC11" s="44"/>
      <c r="AD11" s="44"/>
      <c r="AE11" s="44"/>
      <c r="AF11" s="44"/>
      <c r="AG11" s="44"/>
      <c r="AH11" s="44"/>
      <c r="AI11" s="44"/>
      <c r="AJ11" s="44"/>
      <c r="AK11" s="44"/>
      <c r="AL11" s="44"/>
      <c r="AM11" s="44"/>
      <c r="AN11" s="44"/>
    </row>
    <row r="12" spans="1:40" ht="15" customHeight="1">
      <c r="A12" s="32" t="s">
        <v>18</v>
      </c>
      <c r="B12" s="33" t="s">
        <v>63</v>
      </c>
      <c r="C12" s="34" t="s">
        <v>64</v>
      </c>
      <c r="D12" s="35" t="s">
        <v>65</v>
      </c>
      <c r="E12" s="79"/>
      <c r="F12" s="60" t="s">
        <v>27</v>
      </c>
      <c r="G12" s="38">
        <v>100</v>
      </c>
      <c r="H12" s="24">
        <f>IF(OR(J12="",K12="",K12&lt;J12),0,NETWORKDAYS(J12,K12,Hoja2!$A$2:$A$53))</f>
        <v>4</v>
      </c>
      <c r="I12" s="77"/>
      <c r="J12" s="40">
        <v>45951</v>
      </c>
      <c r="K12" s="40">
        <v>45954</v>
      </c>
      <c r="L12" s="40">
        <v>45954</v>
      </c>
      <c r="M12" s="28">
        <f ca="1">IF(OR(J12="",AND(L12="",TODAY()&lt;J12),AND(L12&lt;&gt;"",L12&lt;J12)),0,
   IF(L12="",
      NETWORKDAYS(J12,TODAY(),Hoja2!$A$2:$A$53),
      NETWORKDAYS(J12,L12,Hoja2!$A$2:$A$53)
   )
)</f>
        <v>4</v>
      </c>
      <c r="N12" s="42"/>
      <c r="O12" s="42"/>
      <c r="P12" s="77"/>
      <c r="Q12" s="60" t="s">
        <v>66</v>
      </c>
      <c r="R12" s="199" t="s">
        <v>440</v>
      </c>
      <c r="S12" s="31"/>
      <c r="T12" s="31"/>
      <c r="U12" s="31"/>
      <c r="V12" s="31"/>
      <c r="W12" s="31"/>
      <c r="X12" s="31"/>
      <c r="Y12" s="31"/>
      <c r="Z12" s="31"/>
      <c r="AA12" s="31"/>
      <c r="AB12" s="31"/>
      <c r="AC12" s="31"/>
      <c r="AD12" s="31"/>
      <c r="AE12" s="31"/>
      <c r="AF12" s="31"/>
      <c r="AG12" s="31"/>
      <c r="AH12" s="31"/>
      <c r="AI12" s="31"/>
      <c r="AJ12" s="31"/>
      <c r="AK12" s="31"/>
      <c r="AL12" s="31"/>
      <c r="AM12" s="31"/>
      <c r="AN12" s="31"/>
    </row>
    <row r="13" spans="1:40" ht="15" customHeight="1">
      <c r="A13" s="32" t="s">
        <v>18</v>
      </c>
      <c r="B13" s="33" t="s">
        <v>67</v>
      </c>
      <c r="C13" s="34" t="s">
        <v>68</v>
      </c>
      <c r="D13" s="35" t="s">
        <v>69</v>
      </c>
      <c r="E13" s="79"/>
      <c r="F13" s="60" t="s">
        <v>27</v>
      </c>
      <c r="G13" s="38">
        <v>100</v>
      </c>
      <c r="H13" s="24">
        <f>IF(OR(J13="",K13="",K13&lt;J13),0,NETWORKDAYS(J13,K13,Hoja2!$A$2:$A$53))</f>
        <v>5</v>
      </c>
      <c r="I13" s="77"/>
      <c r="J13" s="59">
        <v>45950</v>
      </c>
      <c r="K13" s="41">
        <v>45954</v>
      </c>
      <c r="L13" s="41">
        <v>45954</v>
      </c>
      <c r="M13" s="28">
        <f ca="1">IF(OR(J13="",AND(L13="",TODAY()&lt;J13),AND(L13&lt;&gt;"",L13&lt;J13)),0,
   IF(L13="",
      NETWORKDAYS(J13,TODAY(),Hoja2!$A$2:$A$53),
      NETWORKDAYS(J13,L13,Hoja2!$A$2:$A$53)
   )
)</f>
        <v>5</v>
      </c>
      <c r="N13" s="42"/>
      <c r="O13" s="42"/>
      <c r="P13" s="77"/>
      <c r="Q13" s="60" t="s">
        <v>70</v>
      </c>
      <c r="R13" s="199" t="s">
        <v>440</v>
      </c>
      <c r="S13" s="44"/>
      <c r="T13" s="44"/>
      <c r="U13" s="44"/>
      <c r="V13" s="44"/>
      <c r="W13" s="44"/>
      <c r="X13" s="44"/>
      <c r="Y13" s="44"/>
      <c r="Z13" s="44"/>
      <c r="AA13" s="44"/>
      <c r="AB13" s="44"/>
      <c r="AC13" s="44"/>
      <c r="AD13" s="44"/>
      <c r="AE13" s="44"/>
      <c r="AF13" s="44"/>
      <c r="AG13" s="44"/>
      <c r="AH13" s="44"/>
      <c r="AI13" s="44"/>
      <c r="AJ13" s="44"/>
      <c r="AK13" s="44"/>
      <c r="AL13" s="44"/>
      <c r="AM13" s="44"/>
      <c r="AN13" s="44"/>
    </row>
    <row r="14" spans="1:40" ht="15" customHeight="1">
      <c r="A14" s="32" t="s">
        <v>18</v>
      </c>
      <c r="B14" s="33" t="s">
        <v>71</v>
      </c>
      <c r="C14" s="34" t="s">
        <v>72</v>
      </c>
      <c r="D14" s="35" t="s">
        <v>73</v>
      </c>
      <c r="E14" s="80"/>
      <c r="F14" s="60" t="s">
        <v>27</v>
      </c>
      <c r="G14" s="38">
        <v>100</v>
      </c>
      <c r="H14" s="24">
        <f>IF(OR(J14="",K14="",K14&lt;J14),0,NETWORKDAYS(J14,K14,Hoja2!$A$2:$A$53))</f>
        <v>3</v>
      </c>
      <c r="I14" s="77"/>
      <c r="J14" s="59">
        <v>45952</v>
      </c>
      <c r="K14" s="41">
        <v>45954</v>
      </c>
      <c r="L14" s="41">
        <v>45954</v>
      </c>
      <c r="M14" s="28">
        <f ca="1">IF(OR(J14="",AND(L14="",TODAY()&lt;J14),AND(L14&lt;&gt;"",L14&lt;J14)),0,
   IF(L14="",
      NETWORKDAYS(J14,TODAY(),Hoja2!$A$2:$A$53),
      NETWORKDAYS(J14,L14,Hoja2!$A$2:$A$53)
   )
)</f>
        <v>3</v>
      </c>
      <c r="N14" s="42"/>
      <c r="O14" s="42"/>
      <c r="P14" s="77"/>
      <c r="Q14" s="43" t="s">
        <v>74</v>
      </c>
      <c r="R14" s="199" t="s">
        <v>440</v>
      </c>
      <c r="S14" s="31"/>
      <c r="T14" s="31"/>
      <c r="U14" s="31"/>
      <c r="V14" s="31"/>
      <c r="W14" s="31"/>
      <c r="X14" s="31"/>
      <c r="Y14" s="31"/>
      <c r="Z14" s="31"/>
      <c r="AA14" s="31"/>
      <c r="AB14" s="31"/>
      <c r="AC14" s="31"/>
      <c r="AD14" s="31"/>
      <c r="AE14" s="31"/>
      <c r="AF14" s="31"/>
      <c r="AG14" s="31"/>
      <c r="AH14" s="31"/>
      <c r="AI14" s="31"/>
      <c r="AJ14" s="31"/>
      <c r="AK14" s="31"/>
      <c r="AL14" s="31"/>
      <c r="AM14" s="31"/>
      <c r="AN14" s="31"/>
    </row>
    <row r="15" spans="1:40" ht="15" customHeight="1">
      <c r="A15" s="32" t="s">
        <v>18</v>
      </c>
      <c r="B15" s="33" t="s">
        <v>75</v>
      </c>
      <c r="C15" s="34" t="s">
        <v>76</v>
      </c>
      <c r="D15" s="35" t="s">
        <v>77</v>
      </c>
      <c r="E15" s="81"/>
      <c r="F15" s="60" t="s">
        <v>27</v>
      </c>
      <c r="G15" s="38">
        <v>100</v>
      </c>
      <c r="H15" s="24">
        <f>IF(OR(J15="",K15="",K15&lt;J15),0,NETWORKDAYS(J15,K15,Hoja2!$A$2:$A$53))</f>
        <v>5</v>
      </c>
      <c r="I15" s="77"/>
      <c r="J15" s="59">
        <v>45950</v>
      </c>
      <c r="K15" s="41">
        <v>45954</v>
      </c>
      <c r="L15" s="41">
        <v>45954</v>
      </c>
      <c r="M15" s="28">
        <f ca="1">IF(OR(J15="",AND(L15="",TODAY()&lt;J15),AND(L15&lt;&gt;"",L15&lt;J15)),0,
   IF(L15="",
      NETWORKDAYS(J15,TODAY(),Hoja2!$A$2:$A$53),
      NETWORKDAYS(J15,L15,Hoja2!$A$2:$A$53)
   )
)</f>
        <v>5</v>
      </c>
      <c r="N15" s="42"/>
      <c r="O15" s="42"/>
      <c r="P15" s="77"/>
      <c r="Q15" s="43" t="s">
        <v>78</v>
      </c>
      <c r="R15" s="199" t="s">
        <v>440</v>
      </c>
      <c r="S15" s="44"/>
      <c r="T15" s="44"/>
      <c r="U15" s="44"/>
      <c r="V15" s="44"/>
      <c r="W15" s="44"/>
      <c r="X15" s="44"/>
      <c r="Y15" s="44"/>
      <c r="Z15" s="44"/>
      <c r="AA15" s="44"/>
      <c r="AB15" s="44"/>
      <c r="AC15" s="44"/>
      <c r="AD15" s="44"/>
      <c r="AE15" s="44"/>
      <c r="AF15" s="44"/>
      <c r="AG15" s="44"/>
      <c r="AH15" s="44"/>
      <c r="AI15" s="44"/>
      <c r="AJ15" s="44"/>
      <c r="AK15" s="44"/>
      <c r="AL15" s="44"/>
      <c r="AM15" s="44"/>
      <c r="AN15" s="44"/>
    </row>
    <row r="16" spans="1:40" ht="15" customHeight="1">
      <c r="A16" s="32" t="s">
        <v>18</v>
      </c>
      <c r="B16" s="33" t="s">
        <v>79</v>
      </c>
      <c r="C16" s="34" t="s">
        <v>80</v>
      </c>
      <c r="D16" s="35" t="s">
        <v>81</v>
      </c>
      <c r="E16" s="36"/>
      <c r="F16" s="60" t="s">
        <v>27</v>
      </c>
      <c r="G16" s="38">
        <v>100</v>
      </c>
      <c r="H16" s="24">
        <f>IF(OR(J16="",K16="",K16&lt;J16),0,NETWORKDAYS(J16,K16,Hoja2!$A$2:$A$53))</f>
        <v>1</v>
      </c>
      <c r="I16" s="77"/>
      <c r="J16" s="59">
        <v>45954</v>
      </c>
      <c r="K16" s="41">
        <v>45954</v>
      </c>
      <c r="L16" s="41">
        <v>45954</v>
      </c>
      <c r="M16" s="28">
        <f ca="1">IF(OR(J16="",AND(L16="",TODAY()&lt;J16),AND(L16&lt;&gt;"",L16&lt;J16)),0,
   IF(L16="",
      NETWORKDAYS(J16,TODAY(),Hoja2!$A$2:$A$53),
      NETWORKDAYS(J16,L16,Hoja2!$A$2:$A$53)
   )
)</f>
        <v>1</v>
      </c>
      <c r="N16" s="41"/>
      <c r="O16" s="41">
        <v>45954</v>
      </c>
      <c r="P16" s="59">
        <v>45954</v>
      </c>
      <c r="Q16" s="43" t="s">
        <v>82</v>
      </c>
      <c r="R16" s="199" t="s">
        <v>440</v>
      </c>
      <c r="S16" s="31"/>
      <c r="T16" s="31"/>
      <c r="U16" s="31"/>
      <c r="V16" s="31"/>
      <c r="W16" s="31"/>
      <c r="X16" s="31"/>
      <c r="Y16" s="31"/>
      <c r="Z16" s="31"/>
      <c r="AA16" s="31"/>
      <c r="AB16" s="31"/>
      <c r="AC16" s="31"/>
      <c r="AD16" s="31"/>
      <c r="AE16" s="31"/>
      <c r="AF16" s="31"/>
      <c r="AG16" s="31"/>
      <c r="AH16" s="31"/>
      <c r="AI16" s="31"/>
      <c r="AJ16" s="31"/>
      <c r="AK16" s="31"/>
      <c r="AL16" s="31"/>
      <c r="AM16" s="31"/>
      <c r="AN16" s="31"/>
    </row>
    <row r="17" spans="1:40" ht="15" customHeight="1">
      <c r="A17" s="32" t="s">
        <v>18</v>
      </c>
      <c r="B17" s="33" t="s">
        <v>83</v>
      </c>
      <c r="C17" s="34" t="s">
        <v>84</v>
      </c>
      <c r="D17" s="35" t="s">
        <v>85</v>
      </c>
      <c r="E17" s="36"/>
      <c r="F17" s="60" t="s">
        <v>27</v>
      </c>
      <c r="G17" s="38">
        <v>100</v>
      </c>
      <c r="H17" s="24">
        <f>IF(OR(J17="",K17="",K17&lt;J17),0,NETWORKDAYS(J17,K17,Hoja2!$A$2:$A$53))</f>
        <v>5</v>
      </c>
      <c r="I17" s="77"/>
      <c r="J17" s="59">
        <v>45957</v>
      </c>
      <c r="K17" s="59">
        <v>45961</v>
      </c>
      <c r="L17" s="59">
        <v>45961</v>
      </c>
      <c r="M17" s="28">
        <f ca="1">IF(OR(J17="",AND(L17="",TODAY()&lt;J17),AND(L17&lt;&gt;"",L17&lt;J17)),0,
   IF(L17="",
      NETWORKDAYS(J17,TODAY(),Hoja2!$A$2:$A$53),
      NETWORKDAYS(J17,L17,Hoja2!$A$2:$A$53)
   )
)</f>
        <v>5</v>
      </c>
      <c r="N17" s="59"/>
      <c r="O17" s="59">
        <v>45961</v>
      </c>
      <c r="P17" s="59">
        <v>45964</v>
      </c>
      <c r="Q17" s="43" t="s">
        <v>86</v>
      </c>
      <c r="R17" s="199" t="s">
        <v>440</v>
      </c>
      <c r="S17" s="44"/>
      <c r="T17" s="44"/>
      <c r="U17" s="44"/>
      <c r="V17" s="44"/>
      <c r="W17" s="44"/>
      <c r="X17" s="44"/>
      <c r="Y17" s="44"/>
      <c r="Z17" s="44"/>
      <c r="AA17" s="44"/>
      <c r="AB17" s="44"/>
      <c r="AC17" s="44"/>
      <c r="AD17" s="44"/>
      <c r="AE17" s="44"/>
      <c r="AF17" s="44"/>
      <c r="AG17" s="44"/>
      <c r="AH17" s="44"/>
      <c r="AI17" s="44"/>
      <c r="AJ17" s="44"/>
      <c r="AK17" s="44"/>
      <c r="AL17" s="44"/>
      <c r="AM17" s="44"/>
      <c r="AN17" s="44"/>
    </row>
    <row r="18" spans="1:40" ht="15" customHeight="1">
      <c r="A18" s="17" t="s">
        <v>18</v>
      </c>
      <c r="B18" s="18" t="s">
        <v>87</v>
      </c>
      <c r="C18" s="19" t="s">
        <v>88</v>
      </c>
      <c r="D18" s="20" t="s">
        <v>89</v>
      </c>
      <c r="E18" s="21"/>
      <c r="F18" s="82" t="s">
        <v>22</v>
      </c>
      <c r="G18" s="23">
        <v>85</v>
      </c>
      <c r="H18" s="24">
        <f>IF(OR(J18="",K18="",K18&lt;J18),0,NETWORKDAYS(J18,K18,Hoja2!$A$2:$A$53))</f>
        <v>5</v>
      </c>
      <c r="I18" s="83"/>
      <c r="J18" s="84">
        <v>45957</v>
      </c>
      <c r="K18" s="84">
        <v>45961</v>
      </c>
      <c r="L18" s="83"/>
      <c r="M18" s="28">
        <f ca="1">IF(OR(J18="",AND(L18="",TODAY()&lt;J18),AND(L18&lt;&gt;"",L18&lt;J18)),0,
   IF(L18="",
      NETWORKDAYS(J18,TODAY(),Hoja2!$A$2:$A$53),
      NETWORKDAYS(J18,L18,Hoja2!$A$2:$A$53)
   )
)</f>
        <v>158</v>
      </c>
      <c r="N18" s="83"/>
      <c r="O18" s="83"/>
      <c r="P18" s="83"/>
      <c r="Q18" s="29" t="s">
        <v>90</v>
      </c>
      <c r="R18" s="199" t="s">
        <v>440</v>
      </c>
      <c r="S18" s="31"/>
      <c r="T18" s="31"/>
      <c r="U18" s="31"/>
      <c r="V18" s="31"/>
      <c r="W18" s="31"/>
      <c r="X18" s="31"/>
      <c r="Y18" s="31"/>
      <c r="Z18" s="31"/>
      <c r="AA18" s="31"/>
      <c r="AB18" s="31"/>
      <c r="AC18" s="31"/>
      <c r="AD18" s="31"/>
      <c r="AE18" s="31"/>
      <c r="AF18" s="31"/>
      <c r="AG18" s="31"/>
      <c r="AH18" s="31"/>
      <c r="AI18" s="31"/>
      <c r="AJ18" s="31"/>
      <c r="AK18" s="31"/>
      <c r="AL18" s="31"/>
      <c r="AM18" s="31"/>
      <c r="AN18" s="31"/>
    </row>
    <row r="19" spans="1:40" ht="15" customHeight="1">
      <c r="A19" s="32" t="s">
        <v>18</v>
      </c>
      <c r="B19" s="33" t="s">
        <v>91</v>
      </c>
      <c r="C19" s="34" t="s">
        <v>92</v>
      </c>
      <c r="D19" s="35" t="s">
        <v>93</v>
      </c>
      <c r="E19" s="85"/>
      <c r="F19" s="78" t="s">
        <v>27</v>
      </c>
      <c r="G19" s="38">
        <v>100</v>
      </c>
      <c r="H19" s="24">
        <f>IF(OR(J19="",K19="",K19&lt;J19),0,NETWORKDAYS(J19,K19,Hoja2!$A$2:$A$53))</f>
        <v>5</v>
      </c>
      <c r="I19" s="77"/>
      <c r="J19" s="59">
        <v>45957</v>
      </c>
      <c r="K19" s="59">
        <v>45961</v>
      </c>
      <c r="L19" s="59">
        <v>45961</v>
      </c>
      <c r="M19" s="28">
        <f ca="1">IF(OR(J19="",AND(L19="",TODAY()&lt;J19),AND(L19&lt;&gt;"",L19&lt;J19)),0,
   IF(L19="",
      NETWORKDAYS(J19,TODAY(),Hoja2!$A$2:$A$53),
      NETWORKDAYS(J19,L19,Hoja2!$A$2:$A$53)
   )
)</f>
        <v>5</v>
      </c>
      <c r="N19" s="59"/>
      <c r="O19" s="59">
        <v>45961</v>
      </c>
      <c r="P19" s="59">
        <v>45964</v>
      </c>
      <c r="Q19" s="43" t="s">
        <v>94</v>
      </c>
      <c r="R19" s="199" t="s">
        <v>440</v>
      </c>
      <c r="S19" s="44"/>
      <c r="T19" s="44"/>
      <c r="U19" s="44"/>
      <c r="V19" s="44"/>
      <c r="W19" s="44"/>
      <c r="X19" s="44"/>
      <c r="Y19" s="44"/>
      <c r="Z19" s="44"/>
      <c r="AA19" s="44"/>
      <c r="AB19" s="44"/>
      <c r="AC19" s="44"/>
      <c r="AD19" s="44"/>
      <c r="AE19" s="44"/>
      <c r="AF19" s="44"/>
      <c r="AG19" s="44"/>
      <c r="AH19" s="44"/>
      <c r="AI19" s="44"/>
      <c r="AJ19" s="44"/>
      <c r="AK19" s="44"/>
      <c r="AL19" s="44"/>
      <c r="AM19" s="44"/>
      <c r="AN19" s="44"/>
    </row>
    <row r="20" spans="1:40" ht="15" customHeight="1">
      <c r="A20" s="32" t="s">
        <v>18</v>
      </c>
      <c r="B20" s="33" t="s">
        <v>95</v>
      </c>
      <c r="C20" s="34" t="s">
        <v>96</v>
      </c>
      <c r="D20" s="86" t="s">
        <v>97</v>
      </c>
      <c r="E20" s="85"/>
      <c r="F20" s="78" t="s">
        <v>27</v>
      </c>
      <c r="G20" s="87">
        <v>100</v>
      </c>
      <c r="H20" s="24">
        <f>IF(OR(J20="",K20="",K20&lt;J20),0,NETWORKDAYS(J20,K20,Hoja2!$A$2:$A$53))</f>
        <v>5</v>
      </c>
      <c r="I20" s="77"/>
      <c r="J20" s="59">
        <v>45957</v>
      </c>
      <c r="K20" s="59">
        <v>45961</v>
      </c>
      <c r="L20" s="59">
        <v>45961</v>
      </c>
      <c r="M20" s="28">
        <f ca="1">IF(OR(J20="",AND(L20="",TODAY()&lt;J20),AND(L20&lt;&gt;"",L20&lt;J20)),0,
   IF(L20="",
      NETWORKDAYS(J20,TODAY(),Hoja2!$A$2:$A$53),
      NETWORKDAYS(J20,L20,Hoja2!$A$2:$A$53)
   )
)</f>
        <v>5</v>
      </c>
      <c r="N20" s="59"/>
      <c r="O20" s="59">
        <v>45961</v>
      </c>
      <c r="P20" s="59">
        <v>45964</v>
      </c>
      <c r="Q20" s="43" t="s">
        <v>98</v>
      </c>
      <c r="R20" s="199" t="s">
        <v>440</v>
      </c>
      <c r="S20" s="31"/>
      <c r="T20" s="31"/>
      <c r="U20" s="31"/>
      <c r="V20" s="31"/>
      <c r="W20" s="31"/>
      <c r="X20" s="31"/>
      <c r="Y20" s="31"/>
      <c r="Z20" s="31"/>
      <c r="AA20" s="31"/>
      <c r="AB20" s="31"/>
      <c r="AC20" s="31"/>
      <c r="AD20" s="31"/>
      <c r="AE20" s="31"/>
      <c r="AF20" s="31"/>
      <c r="AG20" s="31"/>
      <c r="AH20" s="31"/>
      <c r="AI20" s="31"/>
      <c r="AJ20" s="31"/>
      <c r="AK20" s="31"/>
      <c r="AL20" s="31"/>
      <c r="AM20" s="31"/>
      <c r="AN20" s="31"/>
    </row>
    <row r="21" spans="1:40" ht="15" customHeight="1">
      <c r="A21" s="88" t="s">
        <v>18</v>
      </c>
      <c r="B21" s="33" t="s">
        <v>99</v>
      </c>
      <c r="C21" s="34" t="s">
        <v>100</v>
      </c>
      <c r="D21" s="35" t="s">
        <v>101</v>
      </c>
      <c r="E21" s="85"/>
      <c r="F21" s="78" t="s">
        <v>27</v>
      </c>
      <c r="G21" s="87">
        <v>100</v>
      </c>
      <c r="H21" s="24">
        <f>IF(OR(J21="",K21="",K21&lt;J21),0,NETWORKDAYS(J21,K21,Hoja2!$A$2:$A$53))</f>
        <v>5</v>
      </c>
      <c r="I21" s="77"/>
      <c r="J21" s="59">
        <v>45957</v>
      </c>
      <c r="K21" s="59">
        <v>45961</v>
      </c>
      <c r="L21" s="59">
        <v>45961</v>
      </c>
      <c r="M21" s="28">
        <f ca="1">IF(OR(J21="",AND(L21="",TODAY()&lt;J21),AND(L21&lt;&gt;"",L21&lt;J21)),0,
   IF(L21="",
      NETWORKDAYS(J21,TODAY(),Hoja2!$A$2:$A$53),
      NETWORKDAYS(J21,L21,Hoja2!$A$2:$A$53)
   )
)</f>
        <v>5</v>
      </c>
      <c r="N21" s="59"/>
      <c r="O21" s="59">
        <v>45961</v>
      </c>
      <c r="P21" s="59">
        <v>45964</v>
      </c>
      <c r="Q21" s="43" t="s">
        <v>102</v>
      </c>
      <c r="R21" s="199" t="s">
        <v>440</v>
      </c>
      <c r="S21" s="44"/>
      <c r="T21" s="44"/>
      <c r="U21" s="44"/>
      <c r="V21" s="44"/>
      <c r="W21" s="44"/>
      <c r="X21" s="44"/>
      <c r="Y21" s="44"/>
      <c r="Z21" s="44"/>
      <c r="AA21" s="44"/>
      <c r="AB21" s="44"/>
      <c r="AC21" s="44"/>
      <c r="AD21" s="44"/>
      <c r="AE21" s="44"/>
      <c r="AF21" s="44"/>
      <c r="AG21" s="44"/>
      <c r="AH21" s="44"/>
      <c r="AI21" s="44"/>
      <c r="AJ21" s="44"/>
      <c r="AK21" s="44"/>
      <c r="AL21" s="44"/>
      <c r="AM21" s="44"/>
      <c r="AN21" s="44"/>
    </row>
    <row r="22" spans="1:40" ht="15" customHeight="1">
      <c r="A22" s="88" t="s">
        <v>18</v>
      </c>
      <c r="B22" s="33" t="s">
        <v>103</v>
      </c>
      <c r="C22" s="34" t="s">
        <v>104</v>
      </c>
      <c r="D22" s="35" t="s">
        <v>105</v>
      </c>
      <c r="E22" s="85"/>
      <c r="F22" s="78" t="s">
        <v>27</v>
      </c>
      <c r="G22" s="87">
        <v>100</v>
      </c>
      <c r="H22" s="24">
        <f>IF(OR(J22="",K22="",K22&lt;J22),0,NETWORKDAYS(J22,K22,Hoja2!$A$2:$A$53))</f>
        <v>5</v>
      </c>
      <c r="I22" s="77"/>
      <c r="J22" s="59">
        <v>45957</v>
      </c>
      <c r="K22" s="59">
        <v>45961</v>
      </c>
      <c r="L22" s="59">
        <v>45961</v>
      </c>
      <c r="M22" s="28">
        <f ca="1">IF(OR(J22="",AND(L22="",TODAY()&lt;J22),AND(L22&lt;&gt;"",L22&lt;J22)),0,
   IF(L22="",
      NETWORKDAYS(J22,TODAY(),Hoja2!$A$2:$A$53),
      NETWORKDAYS(J22,L22,Hoja2!$A$2:$A$53)
   )
)</f>
        <v>5</v>
      </c>
      <c r="N22" s="59"/>
      <c r="O22" s="59">
        <v>45961</v>
      </c>
      <c r="P22" s="59">
        <v>45964</v>
      </c>
      <c r="Q22" s="43" t="s">
        <v>106</v>
      </c>
      <c r="R22" s="199" t="s">
        <v>440</v>
      </c>
      <c r="S22" s="31"/>
      <c r="T22" s="31"/>
      <c r="U22" s="31"/>
      <c r="V22" s="31"/>
      <c r="W22" s="31"/>
      <c r="X22" s="31"/>
      <c r="Y22" s="31"/>
      <c r="Z22" s="31"/>
      <c r="AA22" s="31"/>
      <c r="AB22" s="31"/>
      <c r="AC22" s="31"/>
      <c r="AD22" s="31"/>
      <c r="AE22" s="31"/>
      <c r="AF22" s="31"/>
      <c r="AG22" s="31"/>
      <c r="AH22" s="31"/>
      <c r="AI22" s="31"/>
      <c r="AJ22" s="31"/>
      <c r="AK22" s="31"/>
      <c r="AL22" s="31"/>
      <c r="AM22" s="31"/>
      <c r="AN22" s="31"/>
    </row>
    <row r="23" spans="1:40" ht="15" customHeight="1">
      <c r="A23" s="89" t="s">
        <v>18</v>
      </c>
      <c r="B23" s="18" t="s">
        <v>107</v>
      </c>
      <c r="C23" s="19" t="s">
        <v>108</v>
      </c>
      <c r="D23" s="20" t="s">
        <v>109</v>
      </c>
      <c r="E23" s="90"/>
      <c r="F23" s="82" t="s">
        <v>22</v>
      </c>
      <c r="G23" s="91">
        <v>50</v>
      </c>
      <c r="H23" s="24">
        <f>IF(OR(J23="",K23="",K23&lt;J23),0,NETWORKDAYS(J23,K23,Hoja2!$A$2:$A$53))</f>
        <v>23</v>
      </c>
      <c r="I23" s="84">
        <v>45957</v>
      </c>
      <c r="J23" s="84">
        <v>45957</v>
      </c>
      <c r="K23" s="84">
        <v>45989</v>
      </c>
      <c r="L23" s="83"/>
      <c r="M23" s="28">
        <f ca="1">IF(OR(J23="",AND(L23="",TODAY()&lt;J23),AND(L23&lt;&gt;"",L23&lt;J23)),0,
   IF(L23="",
      NETWORKDAYS(J23,TODAY(),Hoja2!$A$2:$A$53),
      NETWORKDAYS(J23,L23,Hoja2!$A$2:$A$53)
   )
)</f>
        <v>158</v>
      </c>
      <c r="N23" s="83"/>
      <c r="O23" s="83"/>
      <c r="P23" s="83"/>
      <c r="Q23" s="29" t="s">
        <v>110</v>
      </c>
      <c r="R23" s="199" t="s">
        <v>440</v>
      </c>
      <c r="S23" s="92"/>
      <c r="T23" s="44"/>
      <c r="U23" s="44"/>
      <c r="V23" s="44"/>
      <c r="W23" s="44"/>
      <c r="X23" s="44"/>
      <c r="Y23" s="44"/>
      <c r="Z23" s="44"/>
      <c r="AA23" s="44"/>
      <c r="AB23" s="44"/>
      <c r="AC23" s="44"/>
      <c r="AD23" s="44"/>
      <c r="AE23" s="44"/>
      <c r="AF23" s="44"/>
      <c r="AG23" s="44"/>
      <c r="AH23" s="44"/>
      <c r="AI23" s="44"/>
      <c r="AJ23" s="44"/>
      <c r="AK23" s="44"/>
      <c r="AL23" s="44"/>
      <c r="AM23" s="44"/>
      <c r="AN23" s="44"/>
    </row>
    <row r="24" spans="1:40" ht="15" customHeight="1">
      <c r="A24" s="88" t="s">
        <v>18</v>
      </c>
      <c r="B24" s="33" t="s">
        <v>111</v>
      </c>
      <c r="C24" s="93" t="s">
        <v>112</v>
      </c>
      <c r="D24" s="86" t="s">
        <v>113</v>
      </c>
      <c r="E24" s="94"/>
      <c r="F24" s="95" t="s">
        <v>27</v>
      </c>
      <c r="G24" s="87">
        <v>100</v>
      </c>
      <c r="H24" s="96">
        <f>IF(OR(J24="",K24="",K24&lt;J24),0,NETWORKDAYS(J24,K24,Hoja2!$A$2:$A$53))</f>
        <v>2</v>
      </c>
      <c r="I24" s="77"/>
      <c r="J24" s="59">
        <v>45966</v>
      </c>
      <c r="K24" s="59">
        <v>45967</v>
      </c>
      <c r="L24" s="59">
        <v>45967</v>
      </c>
      <c r="M24" s="97">
        <f ca="1">IF(OR(J24="",AND(L24="",TODAY()&lt;J24),AND(L24&lt;&gt;"",L24&lt;J24)),0,
   IF(L24="",
      NETWORKDAYS(J24,TODAY(),Hoja2!$A$2:$A$53),
      NETWORKDAYS(J24,L24,Hoja2!$A$2:$A$53)
   )
)</f>
        <v>2</v>
      </c>
      <c r="N24" s="77"/>
      <c r="O24" s="77"/>
      <c r="P24" s="59">
        <v>45966</v>
      </c>
      <c r="Q24" s="43" t="s">
        <v>114</v>
      </c>
      <c r="R24" s="199" t="s">
        <v>440</v>
      </c>
      <c r="S24" s="31"/>
      <c r="T24" s="31"/>
      <c r="U24" s="31"/>
      <c r="V24" s="31"/>
      <c r="W24" s="31"/>
      <c r="X24" s="31"/>
      <c r="Y24" s="31"/>
      <c r="Z24" s="31"/>
      <c r="AA24" s="31"/>
      <c r="AB24" s="31"/>
      <c r="AC24" s="31"/>
      <c r="AD24" s="31"/>
      <c r="AE24" s="31"/>
      <c r="AF24" s="31"/>
      <c r="AG24" s="31"/>
      <c r="AH24" s="31"/>
      <c r="AI24" s="31"/>
      <c r="AJ24" s="31"/>
      <c r="AK24" s="31"/>
      <c r="AL24" s="31"/>
      <c r="AM24" s="31"/>
      <c r="AN24" s="31"/>
    </row>
    <row r="25" spans="1:40" ht="15" customHeight="1">
      <c r="A25" s="98" t="s">
        <v>18</v>
      </c>
      <c r="B25" s="33" t="s">
        <v>115</v>
      </c>
      <c r="C25" s="93" t="s">
        <v>116</v>
      </c>
      <c r="D25" s="86" t="s">
        <v>117</v>
      </c>
      <c r="E25" s="94"/>
      <c r="F25" s="95" t="s">
        <v>27</v>
      </c>
      <c r="G25" s="87">
        <v>100</v>
      </c>
      <c r="H25" s="96">
        <f>IF(OR(J25="",K25="",K25&lt;J25),0,NETWORKDAYS(J25,K25,Hoja2!$A$2:$A$53))</f>
        <v>2</v>
      </c>
      <c r="I25" s="77"/>
      <c r="J25" s="59">
        <v>45965</v>
      </c>
      <c r="K25" s="59">
        <v>45966</v>
      </c>
      <c r="L25" s="59">
        <v>45966</v>
      </c>
      <c r="M25" s="97">
        <f ca="1">IF(OR(J25="",AND(L25="",TODAY()&lt;J25),AND(L25&lt;&gt;"",L25&lt;J25)),0,
   IF(L25="",
      NETWORKDAYS(J25,TODAY(),Hoja2!$A$2:$A$53),
      NETWORKDAYS(J25,L25,Hoja2!$A$2:$A$53)
   )
)</f>
        <v>2</v>
      </c>
      <c r="N25" s="59"/>
      <c r="O25" s="59">
        <v>45966</v>
      </c>
      <c r="P25" s="59">
        <v>45966</v>
      </c>
      <c r="Q25" s="43" t="s">
        <v>118</v>
      </c>
      <c r="R25" s="199" t="s">
        <v>440</v>
      </c>
      <c r="S25" s="44"/>
      <c r="T25" s="44"/>
      <c r="U25" s="44"/>
      <c r="V25" s="44"/>
      <c r="W25" s="44"/>
      <c r="X25" s="44"/>
      <c r="Y25" s="44"/>
      <c r="Z25" s="44"/>
      <c r="AA25" s="44"/>
      <c r="AB25" s="44"/>
      <c r="AC25" s="44"/>
      <c r="AD25" s="44"/>
      <c r="AE25" s="44"/>
      <c r="AF25" s="44"/>
      <c r="AG25" s="44"/>
      <c r="AH25" s="44"/>
      <c r="AI25" s="44"/>
      <c r="AJ25" s="44"/>
      <c r="AK25" s="44"/>
      <c r="AL25" s="44"/>
      <c r="AM25" s="44"/>
      <c r="AN25" s="44"/>
    </row>
    <row r="26" spans="1:40" ht="15" customHeight="1">
      <c r="A26" s="98" t="s">
        <v>18</v>
      </c>
      <c r="B26" s="33" t="s">
        <v>119</v>
      </c>
      <c r="C26" s="93" t="s">
        <v>120</v>
      </c>
      <c r="D26" s="86" t="s">
        <v>121</v>
      </c>
      <c r="E26" s="94"/>
      <c r="F26" s="95" t="s">
        <v>27</v>
      </c>
      <c r="G26" s="87">
        <v>100</v>
      </c>
      <c r="H26" s="96">
        <f>IF(OR(J26="",K26="",K26&lt;J26),0,NETWORKDAYS(J26,K26,Hoja2!$A$2:$A$53))</f>
        <v>2</v>
      </c>
      <c r="I26" s="77"/>
      <c r="J26" s="59">
        <v>45967</v>
      </c>
      <c r="K26" s="59">
        <v>45968</v>
      </c>
      <c r="L26" s="59">
        <v>45968</v>
      </c>
      <c r="M26" s="97">
        <f ca="1">IF(OR(J26="",AND(L26="",TODAY()&lt;J26),AND(L26&lt;&gt;"",L26&lt;J26)),0,
   IF(L26="",
      NETWORKDAYS(J26,TODAY(),Hoja2!$A$2:$A$53),
      NETWORKDAYS(J26,L26,Hoja2!$A$2:$A$53)
   )
)</f>
        <v>2</v>
      </c>
      <c r="N26" s="59"/>
      <c r="O26" s="59">
        <v>45968</v>
      </c>
      <c r="P26" s="59">
        <v>45968</v>
      </c>
      <c r="Q26" s="43" t="s">
        <v>122</v>
      </c>
      <c r="R26" s="199" t="s">
        <v>440</v>
      </c>
      <c r="S26" s="31"/>
      <c r="T26" s="31"/>
      <c r="U26" s="31"/>
      <c r="V26" s="31"/>
      <c r="W26" s="31"/>
      <c r="X26" s="31"/>
      <c r="Y26" s="31"/>
      <c r="Z26" s="31"/>
      <c r="AA26" s="31"/>
      <c r="AB26" s="31"/>
      <c r="AC26" s="31"/>
      <c r="AD26" s="31"/>
      <c r="AE26" s="31"/>
      <c r="AF26" s="31"/>
      <c r="AG26" s="31"/>
      <c r="AH26" s="31"/>
      <c r="AI26" s="31"/>
      <c r="AJ26" s="31"/>
      <c r="AK26" s="31"/>
      <c r="AL26" s="31"/>
      <c r="AM26" s="31"/>
      <c r="AN26" s="31"/>
    </row>
    <row r="27" spans="1:40" ht="15" customHeight="1">
      <c r="A27" s="98" t="s">
        <v>18</v>
      </c>
      <c r="B27" s="99" t="s">
        <v>123</v>
      </c>
      <c r="C27" s="93" t="s">
        <v>124</v>
      </c>
      <c r="D27" s="86" t="s">
        <v>125</v>
      </c>
      <c r="E27" s="94"/>
      <c r="F27" s="95" t="s">
        <v>27</v>
      </c>
      <c r="G27" s="87">
        <v>100</v>
      </c>
      <c r="H27" s="96">
        <f>IF(OR(J27="",K27="",K27&lt;J27),0,NETWORKDAYS(J27,K27,Hoja2!$A$2:$A$53))</f>
        <v>1</v>
      </c>
      <c r="I27" s="77"/>
      <c r="J27" s="59">
        <v>45875</v>
      </c>
      <c r="K27" s="59">
        <v>45876</v>
      </c>
      <c r="L27" s="59">
        <v>45876</v>
      </c>
      <c r="M27" s="97">
        <f ca="1">IF(OR(J27="",AND(L27="",TODAY()&lt;J27),AND(L27&lt;&gt;"",L27&lt;J27)),0,
   IF(L27="",
      NETWORKDAYS(J27,TODAY(),Hoja2!$A$2:$A$53),
      NETWORKDAYS(J27,L27,Hoja2!$A$2:$A$53)
   )
)</f>
        <v>1</v>
      </c>
      <c r="N27" s="59"/>
      <c r="O27" s="59">
        <v>45875</v>
      </c>
      <c r="P27" s="59">
        <v>45876</v>
      </c>
      <c r="Q27" s="43" t="s">
        <v>126</v>
      </c>
      <c r="R27" s="199" t="s">
        <v>440</v>
      </c>
      <c r="S27" s="44"/>
      <c r="T27" s="44"/>
      <c r="U27" s="44"/>
      <c r="V27" s="44"/>
      <c r="W27" s="44"/>
      <c r="X27" s="44"/>
      <c r="Y27" s="44"/>
      <c r="Z27" s="44"/>
      <c r="AA27" s="44"/>
      <c r="AB27" s="44"/>
      <c r="AC27" s="44"/>
      <c r="AD27" s="44"/>
      <c r="AE27" s="44"/>
      <c r="AF27" s="44"/>
      <c r="AG27" s="44"/>
      <c r="AH27" s="44"/>
      <c r="AI27" s="44"/>
      <c r="AJ27" s="44"/>
      <c r="AK27" s="44"/>
      <c r="AL27" s="44"/>
      <c r="AM27" s="44"/>
      <c r="AN27" s="44"/>
    </row>
    <row r="28" spans="1:40" ht="15" customHeight="1">
      <c r="A28" s="100" t="s">
        <v>18</v>
      </c>
      <c r="B28" s="101" t="s">
        <v>127</v>
      </c>
      <c r="C28" s="93" t="s">
        <v>128</v>
      </c>
      <c r="D28" s="86" t="s">
        <v>129</v>
      </c>
      <c r="E28" s="102"/>
      <c r="F28" s="95" t="s">
        <v>27</v>
      </c>
      <c r="G28" s="87">
        <v>100</v>
      </c>
      <c r="H28" s="96">
        <f>IF(OR(J28="",K28="",K28&lt;J28),0,NETWORKDAYS(J28,K28,Hoja2!$A$2:$A$53))</f>
        <v>1</v>
      </c>
      <c r="I28" s="77"/>
      <c r="J28" s="59">
        <v>45989</v>
      </c>
      <c r="K28" s="59">
        <v>45989</v>
      </c>
      <c r="L28" s="59">
        <v>45989</v>
      </c>
      <c r="M28" s="97">
        <f ca="1">IF(OR(J28="",AND(L28="",TODAY()&lt;J28),AND(L28&lt;&gt;"",L28&lt;J28)),0,
   IF(L28="",
      NETWORKDAYS(J28,TODAY(),Hoja2!$A$2:$A$53),
      NETWORKDAYS(J28,L28,Hoja2!$A$2:$A$53)
   )
)</f>
        <v>1</v>
      </c>
      <c r="N28" s="59"/>
      <c r="O28" s="59">
        <v>45989</v>
      </c>
      <c r="P28" s="59">
        <v>45989</v>
      </c>
      <c r="Q28" s="43" t="s">
        <v>130</v>
      </c>
      <c r="R28" s="199" t="s">
        <v>440</v>
      </c>
      <c r="S28" s="31"/>
      <c r="T28" s="31"/>
      <c r="U28" s="31"/>
      <c r="V28" s="31"/>
      <c r="W28" s="31"/>
      <c r="X28" s="31"/>
      <c r="Y28" s="31"/>
      <c r="Z28" s="31"/>
      <c r="AA28" s="31"/>
      <c r="AB28" s="31"/>
      <c r="AC28" s="31"/>
      <c r="AD28" s="31"/>
      <c r="AE28" s="31"/>
      <c r="AF28" s="31"/>
      <c r="AG28" s="31"/>
      <c r="AH28" s="31"/>
      <c r="AI28" s="31"/>
      <c r="AJ28" s="31"/>
      <c r="AK28" s="31"/>
      <c r="AL28" s="31"/>
      <c r="AM28" s="31"/>
      <c r="AN28" s="31"/>
    </row>
    <row r="29" spans="1:40" ht="15" customHeight="1">
      <c r="A29" s="98" t="s">
        <v>18</v>
      </c>
      <c r="B29" s="99" t="s">
        <v>131</v>
      </c>
      <c r="C29" s="93" t="s">
        <v>132</v>
      </c>
      <c r="D29" s="86" t="s">
        <v>133</v>
      </c>
      <c r="E29" s="94"/>
      <c r="F29" s="95" t="s">
        <v>27</v>
      </c>
      <c r="G29" s="87">
        <v>100</v>
      </c>
      <c r="H29" s="96">
        <f>IF(OR(J29="",K29="",K29&lt;J29),0,NETWORKDAYS(J29,K29,Hoja2!$A$2:$A$53))</f>
        <v>1</v>
      </c>
      <c r="I29" s="77"/>
      <c r="J29" s="59">
        <v>45989</v>
      </c>
      <c r="K29" s="59">
        <v>45989</v>
      </c>
      <c r="L29" s="59">
        <v>45989</v>
      </c>
      <c r="M29" s="97">
        <f ca="1">IF(OR(J29="",AND(L29="",TODAY()&lt;J29),AND(L29&lt;&gt;"",L29&lt;J29)),0,
   IF(L29="",
      NETWORKDAYS(J29,TODAY(),Hoja2!$A$2:$A$53),
      NETWORKDAYS(J29,L29,Hoja2!$A$2:$A$53)
   )
)</f>
        <v>1</v>
      </c>
      <c r="N29" s="59"/>
      <c r="O29" s="59">
        <v>45989</v>
      </c>
      <c r="P29" s="59">
        <v>46000</v>
      </c>
      <c r="Q29" s="43" t="s">
        <v>134</v>
      </c>
      <c r="R29" s="199" t="s">
        <v>440</v>
      </c>
      <c r="S29" s="44"/>
      <c r="T29" s="44"/>
      <c r="U29" s="44"/>
      <c r="V29" s="44"/>
      <c r="W29" s="44"/>
      <c r="X29" s="44"/>
      <c r="Y29" s="44"/>
      <c r="Z29" s="44"/>
      <c r="AA29" s="44"/>
      <c r="AB29" s="44"/>
      <c r="AC29" s="44"/>
      <c r="AD29" s="44"/>
      <c r="AE29" s="44"/>
      <c r="AF29" s="44"/>
      <c r="AG29" s="44"/>
      <c r="AH29" s="44"/>
      <c r="AI29" s="44"/>
      <c r="AJ29" s="44"/>
      <c r="AK29" s="44"/>
      <c r="AL29" s="44"/>
      <c r="AM29" s="44"/>
      <c r="AN29" s="44"/>
    </row>
    <row r="30" spans="1:40" ht="15" customHeight="1">
      <c r="A30" s="98" t="s">
        <v>18</v>
      </c>
      <c r="B30" s="99" t="s">
        <v>135</v>
      </c>
      <c r="C30" s="93" t="s">
        <v>136</v>
      </c>
      <c r="D30" s="86" t="s">
        <v>137</v>
      </c>
      <c r="E30" s="94"/>
      <c r="F30" s="95" t="s">
        <v>27</v>
      </c>
      <c r="G30" s="87">
        <v>100</v>
      </c>
      <c r="H30" s="96">
        <f>IF(OR(J30="",K30="",K30&lt;J30),0,NETWORKDAYS(J30,K30,Hoja2!$A$2:$A$53))</f>
        <v>1</v>
      </c>
      <c r="I30" s="77"/>
      <c r="J30" s="59">
        <v>45989</v>
      </c>
      <c r="K30" s="59">
        <v>45989</v>
      </c>
      <c r="L30" s="59">
        <v>45989</v>
      </c>
      <c r="M30" s="97">
        <f ca="1">IF(OR(J30="",AND(L30="",TODAY()&lt;J30),AND(L30&lt;&gt;"",L30&lt;J30)),0,
   IF(L30="",
      NETWORKDAYS(J30,TODAY(),Hoja2!$A$2:$A$53),
      NETWORKDAYS(J30,L30,Hoja2!$A$2:$A$53)
   )
)</f>
        <v>1</v>
      </c>
      <c r="N30" s="59"/>
      <c r="O30" s="59">
        <v>45989</v>
      </c>
      <c r="P30" s="59">
        <v>46052</v>
      </c>
      <c r="Q30" s="43" t="s">
        <v>138</v>
      </c>
      <c r="R30" s="199" t="s">
        <v>440</v>
      </c>
      <c r="S30" s="31"/>
      <c r="T30" s="31"/>
      <c r="U30" s="31"/>
      <c r="V30" s="31"/>
      <c r="W30" s="31"/>
      <c r="X30" s="31"/>
      <c r="Y30" s="31"/>
      <c r="Z30" s="31"/>
      <c r="AA30" s="31"/>
      <c r="AB30" s="31"/>
      <c r="AC30" s="31"/>
      <c r="AD30" s="31"/>
      <c r="AE30" s="31"/>
      <c r="AF30" s="31"/>
      <c r="AG30" s="31"/>
      <c r="AH30" s="31"/>
      <c r="AI30" s="31"/>
      <c r="AJ30" s="31"/>
      <c r="AK30" s="31"/>
      <c r="AL30" s="31"/>
      <c r="AM30" s="31"/>
      <c r="AN30" s="31"/>
    </row>
    <row r="31" spans="1:40" ht="15" customHeight="1">
      <c r="A31" s="98" t="s">
        <v>18</v>
      </c>
      <c r="B31" s="99" t="s">
        <v>139</v>
      </c>
      <c r="C31" s="93" t="s">
        <v>140</v>
      </c>
      <c r="D31" s="86" t="s">
        <v>141</v>
      </c>
      <c r="E31" s="94"/>
      <c r="F31" s="95" t="s">
        <v>27</v>
      </c>
      <c r="G31" s="87">
        <v>100</v>
      </c>
      <c r="H31" s="96">
        <f>IF(OR(J31="",K31="",K31&lt;J31),0,NETWORKDAYS(J31,K31,Hoja2!$A$2:$A$53))</f>
        <v>1</v>
      </c>
      <c r="I31" s="77"/>
      <c r="J31" s="59">
        <v>45995</v>
      </c>
      <c r="K31" s="59">
        <v>45995</v>
      </c>
      <c r="L31" s="59">
        <v>45995</v>
      </c>
      <c r="M31" s="97">
        <f ca="1">IF(OR(J31="",AND(L31="",TODAY()&lt;J31),AND(L31&lt;&gt;"",L31&lt;J31)),0,
   IF(L31="",
      NETWORKDAYS(J31,TODAY(),Hoja2!$A$2:$A$53),
      NETWORKDAYS(J31,L31,Hoja2!$A$2:$A$53)
   )
)</f>
        <v>1</v>
      </c>
      <c r="N31" s="59"/>
      <c r="O31" s="59">
        <v>45995</v>
      </c>
      <c r="P31" s="59">
        <v>45995</v>
      </c>
      <c r="Q31" s="43" t="s">
        <v>142</v>
      </c>
      <c r="R31" s="199" t="s">
        <v>440</v>
      </c>
      <c r="S31" s="44"/>
      <c r="T31" s="44"/>
      <c r="U31" s="44"/>
      <c r="V31" s="44"/>
      <c r="W31" s="44"/>
      <c r="X31" s="44"/>
      <c r="Y31" s="44"/>
      <c r="Z31" s="44"/>
      <c r="AA31" s="44"/>
      <c r="AB31" s="44"/>
      <c r="AC31" s="44"/>
      <c r="AD31" s="44"/>
      <c r="AE31" s="44"/>
      <c r="AF31" s="44"/>
      <c r="AG31" s="44"/>
      <c r="AH31" s="44"/>
      <c r="AI31" s="44"/>
      <c r="AJ31" s="44"/>
      <c r="AK31" s="44"/>
      <c r="AL31" s="44"/>
      <c r="AM31" s="44"/>
      <c r="AN31" s="44"/>
    </row>
    <row r="32" spans="1:40" ht="15" customHeight="1">
      <c r="A32" s="98" t="s">
        <v>18</v>
      </c>
      <c r="B32" s="99" t="s">
        <v>143</v>
      </c>
      <c r="C32" s="93" t="s">
        <v>144</v>
      </c>
      <c r="D32" s="86" t="s">
        <v>145</v>
      </c>
      <c r="E32" s="94"/>
      <c r="F32" s="95" t="s">
        <v>27</v>
      </c>
      <c r="G32" s="87">
        <v>100</v>
      </c>
      <c r="H32" s="96">
        <f>IF(OR(J32="",K32="",K32&lt;J32),0,NETWORKDAYS(J32,K32,Hoja2!$A$2:$A$53))</f>
        <v>1</v>
      </c>
      <c r="I32" s="77"/>
      <c r="J32" s="59">
        <v>46002</v>
      </c>
      <c r="K32" s="59">
        <v>46002</v>
      </c>
      <c r="L32" s="59">
        <v>46002</v>
      </c>
      <c r="M32" s="97">
        <f ca="1">IF(OR(J32="",AND(L32="",TODAY()&lt;J32),AND(L32&lt;&gt;"",L32&lt;J32)),0,
   IF(L32="",
      NETWORKDAYS(J32,TODAY(),Hoja2!$A$2:$A$53),
      NETWORKDAYS(J32,L32,Hoja2!$A$2:$A$53)
   )
)</f>
        <v>1</v>
      </c>
      <c r="N32" s="59"/>
      <c r="O32" s="59">
        <v>46002</v>
      </c>
      <c r="P32" s="59">
        <v>46002</v>
      </c>
      <c r="Q32" s="43" t="s">
        <v>146</v>
      </c>
      <c r="R32" s="199" t="s">
        <v>440</v>
      </c>
      <c r="S32" s="31"/>
      <c r="T32" s="31"/>
      <c r="U32" s="31"/>
      <c r="V32" s="31"/>
      <c r="W32" s="31"/>
      <c r="X32" s="31"/>
      <c r="Y32" s="31"/>
      <c r="Z32" s="31"/>
      <c r="AA32" s="31"/>
      <c r="AB32" s="31"/>
      <c r="AC32" s="31"/>
      <c r="AD32" s="31"/>
      <c r="AE32" s="31"/>
      <c r="AF32" s="31"/>
      <c r="AG32" s="31"/>
      <c r="AH32" s="31"/>
      <c r="AI32" s="31"/>
      <c r="AJ32" s="31"/>
      <c r="AK32" s="31"/>
      <c r="AL32" s="31"/>
      <c r="AM32" s="31"/>
      <c r="AN32" s="31"/>
    </row>
    <row r="33" spans="1:40" ht="15" customHeight="1">
      <c r="A33" s="98" t="s">
        <v>18</v>
      </c>
      <c r="B33" s="99" t="s">
        <v>147</v>
      </c>
      <c r="C33" s="93" t="s">
        <v>148</v>
      </c>
      <c r="D33" s="86" t="s">
        <v>149</v>
      </c>
      <c r="E33" s="94"/>
      <c r="F33" s="95" t="s">
        <v>27</v>
      </c>
      <c r="G33" s="87">
        <v>100</v>
      </c>
      <c r="H33" s="96">
        <f>IF(OR(J33="",K33="",K33&lt;J33),0,NETWORKDAYS(J33,K33,Hoja2!$A$2:$A$53))</f>
        <v>1</v>
      </c>
      <c r="I33" s="77"/>
      <c r="J33" s="59">
        <v>46009</v>
      </c>
      <c r="K33" s="59">
        <v>46009</v>
      </c>
      <c r="L33" s="59">
        <v>46009</v>
      </c>
      <c r="M33" s="97">
        <f ca="1">IF(OR(J33="",AND(L33="",TODAY()&lt;J33),AND(L33&lt;&gt;"",L33&lt;J33)),0,
   IF(L33="",
      NETWORKDAYS(J33,TODAY(),Hoja2!$A$2:$A$53),
      NETWORKDAYS(J33,L33,Hoja2!$A$2:$A$53)
   )
)</f>
        <v>1</v>
      </c>
      <c r="N33" s="59"/>
      <c r="O33" s="59">
        <v>46009</v>
      </c>
      <c r="P33" s="59">
        <v>46009</v>
      </c>
      <c r="Q33" s="43" t="s">
        <v>150</v>
      </c>
      <c r="R33" s="199" t="s">
        <v>440</v>
      </c>
      <c r="S33" s="44"/>
      <c r="T33" s="44"/>
      <c r="U33" s="44"/>
      <c r="V33" s="44"/>
      <c r="W33" s="44"/>
      <c r="X33" s="44"/>
      <c r="Y33" s="44"/>
      <c r="Z33" s="44"/>
      <c r="AA33" s="44"/>
      <c r="AB33" s="44"/>
      <c r="AC33" s="44"/>
      <c r="AD33" s="44"/>
      <c r="AE33" s="44"/>
      <c r="AF33" s="44"/>
      <c r="AG33" s="44"/>
      <c r="AH33" s="44"/>
      <c r="AI33" s="44"/>
      <c r="AJ33" s="44"/>
      <c r="AK33" s="44"/>
      <c r="AL33" s="44"/>
      <c r="AM33" s="44"/>
      <c r="AN33" s="44"/>
    </row>
    <row r="34" spans="1:40" ht="15" customHeight="1">
      <c r="A34" s="88" t="s">
        <v>18</v>
      </c>
      <c r="B34" s="99" t="s">
        <v>151</v>
      </c>
      <c r="C34" s="93" t="s">
        <v>152</v>
      </c>
      <c r="D34" s="86" t="s">
        <v>153</v>
      </c>
      <c r="E34" s="94"/>
      <c r="F34" s="95" t="s">
        <v>27</v>
      </c>
      <c r="G34" s="87">
        <v>100</v>
      </c>
      <c r="H34" s="96">
        <f>IF(OR(J34="",K34="",K34&lt;J34),0,NETWORKDAYS(J34,K34,Hoja2!$A$2:$A$53))</f>
        <v>1</v>
      </c>
      <c r="I34" s="77"/>
      <c r="J34" s="59">
        <v>46008</v>
      </c>
      <c r="K34" s="59">
        <v>46008</v>
      </c>
      <c r="L34" s="59">
        <v>46008</v>
      </c>
      <c r="M34" s="97">
        <f ca="1">IF(OR(J34="",AND(L34="",TODAY()&lt;J34),AND(L34&lt;&gt;"",L34&lt;J34)),0,
   IF(L34="",
      NETWORKDAYS(J34,TODAY(),Hoja2!$A$2:$A$53),
      NETWORKDAYS(J34,L34,Hoja2!$A$2:$A$53)
   )
)</f>
        <v>1</v>
      </c>
      <c r="N34" s="59"/>
      <c r="O34" s="59">
        <v>46008</v>
      </c>
      <c r="P34" s="59">
        <v>46008</v>
      </c>
      <c r="Q34" s="43" t="s">
        <v>154</v>
      </c>
      <c r="R34" s="199" t="s">
        <v>440</v>
      </c>
      <c r="S34" s="31"/>
      <c r="T34" s="31"/>
      <c r="U34" s="31"/>
      <c r="V34" s="31"/>
      <c r="W34" s="31"/>
      <c r="X34" s="31"/>
      <c r="Y34" s="31"/>
      <c r="Z34" s="31"/>
      <c r="AA34" s="31"/>
      <c r="AB34" s="31"/>
      <c r="AC34" s="31"/>
      <c r="AD34" s="31"/>
      <c r="AE34" s="31"/>
      <c r="AF34" s="31"/>
      <c r="AG34" s="31"/>
      <c r="AH34" s="31"/>
      <c r="AI34" s="31"/>
      <c r="AJ34" s="31"/>
      <c r="AK34" s="31"/>
      <c r="AL34" s="31"/>
      <c r="AM34" s="31"/>
      <c r="AN34" s="31"/>
    </row>
    <row r="35" spans="1:40" ht="15" customHeight="1">
      <c r="A35" s="98" t="s">
        <v>18</v>
      </c>
      <c r="B35" s="99" t="s">
        <v>155</v>
      </c>
      <c r="C35" s="93" t="s">
        <v>156</v>
      </c>
      <c r="D35" s="86" t="s">
        <v>157</v>
      </c>
      <c r="E35" s="94"/>
      <c r="F35" s="95" t="s">
        <v>27</v>
      </c>
      <c r="G35" s="87">
        <v>100</v>
      </c>
      <c r="H35" s="96">
        <f>IF(OR(J35="",K35="",K35&lt;J35),0,NETWORKDAYS(J35,K35,Hoja2!$A$2:$A$53))</f>
        <v>0</v>
      </c>
      <c r="I35" s="77"/>
      <c r="J35" s="59">
        <v>45962</v>
      </c>
      <c r="K35" s="59"/>
      <c r="L35" s="59"/>
      <c r="M35" s="97">
        <f ca="1">IF(OR(J35="",AND(L35="",TODAY()&lt;J35),AND(L35&lt;&gt;"",L35&lt;J35)),0,
   IF(L35="",
      NETWORKDAYS(J35,TODAY(),Hoja2!$A$2:$A$53),
      NETWORKDAYS(J35,L35,Hoja2!$A$2:$A$53)
   )
)</f>
        <v>153</v>
      </c>
      <c r="N35" s="59"/>
      <c r="O35" s="59"/>
      <c r="P35" s="59">
        <v>46052</v>
      </c>
      <c r="Q35" s="43" t="s">
        <v>158</v>
      </c>
      <c r="R35" s="199" t="s">
        <v>440</v>
      </c>
      <c r="S35" s="103"/>
      <c r="T35" s="104"/>
      <c r="U35" s="104"/>
      <c r="V35" s="104"/>
      <c r="W35" s="104"/>
      <c r="X35" s="104"/>
      <c r="Y35" s="104"/>
      <c r="Z35" s="104"/>
      <c r="AA35" s="104"/>
      <c r="AB35" s="104"/>
      <c r="AC35" s="104"/>
      <c r="AD35" s="104"/>
      <c r="AE35" s="104"/>
      <c r="AF35" s="104"/>
      <c r="AG35" s="104"/>
      <c r="AH35" s="104"/>
      <c r="AI35" s="104"/>
      <c r="AJ35" s="104"/>
      <c r="AK35" s="104"/>
      <c r="AL35" s="104"/>
      <c r="AM35" s="104"/>
      <c r="AN35" s="105"/>
    </row>
    <row r="36" spans="1:40" ht="15" customHeight="1">
      <c r="A36" s="98" t="s">
        <v>18</v>
      </c>
      <c r="B36" s="99" t="s">
        <v>159</v>
      </c>
      <c r="C36" s="93" t="s">
        <v>160</v>
      </c>
      <c r="D36" s="86" t="s">
        <v>161</v>
      </c>
      <c r="E36" s="94"/>
      <c r="F36" s="95" t="s">
        <v>27</v>
      </c>
      <c r="G36" s="87">
        <v>100</v>
      </c>
      <c r="H36" s="96">
        <f>IF(OR(J36="",K36="",K36&lt;J36),0,NETWORKDAYS(J36,K36,Hoja2!$A$2:$A$53))</f>
        <v>1</v>
      </c>
      <c r="I36" s="77"/>
      <c r="J36" s="59">
        <v>46022</v>
      </c>
      <c r="K36" s="59">
        <v>46022</v>
      </c>
      <c r="L36" s="59">
        <v>46022</v>
      </c>
      <c r="M36" s="97">
        <f ca="1">IF(OR(J36="",AND(L36="",TODAY()&lt;J36),AND(L36&lt;&gt;"",L36&lt;J36)),0,
   IF(L36="",
      NETWORKDAYS(J36,TODAY(),Hoja2!$A$2:$A$53),
      NETWORKDAYS(J36,L36,Hoja2!$A$2:$A$53)
   )
)</f>
        <v>1</v>
      </c>
      <c r="N36" s="59"/>
      <c r="O36" s="59"/>
      <c r="P36" s="59">
        <v>46022</v>
      </c>
      <c r="Q36" s="43" t="s">
        <v>162</v>
      </c>
      <c r="R36" s="199" t="s">
        <v>440</v>
      </c>
      <c r="S36" s="106"/>
      <c r="T36" s="107"/>
      <c r="U36" s="107"/>
      <c r="V36" s="107"/>
      <c r="W36" s="107"/>
      <c r="X36" s="107"/>
      <c r="Y36" s="107"/>
      <c r="Z36" s="107"/>
      <c r="AA36" s="107"/>
      <c r="AB36" s="107"/>
      <c r="AC36" s="107"/>
      <c r="AD36" s="107"/>
      <c r="AE36" s="107"/>
      <c r="AF36" s="107"/>
      <c r="AG36" s="107"/>
      <c r="AH36" s="107"/>
      <c r="AI36" s="107"/>
      <c r="AJ36" s="107"/>
      <c r="AK36" s="107"/>
      <c r="AL36" s="107"/>
      <c r="AM36" s="107"/>
      <c r="AN36" s="108"/>
    </row>
    <row r="37" spans="1:40" ht="15" customHeight="1">
      <c r="A37" s="98" t="s">
        <v>18</v>
      </c>
      <c r="B37" s="99" t="s">
        <v>163</v>
      </c>
      <c r="C37" s="93" t="s">
        <v>164</v>
      </c>
      <c r="D37" s="86" t="s">
        <v>165</v>
      </c>
      <c r="E37" s="94"/>
      <c r="F37" s="95" t="s">
        <v>27</v>
      </c>
      <c r="G37" s="87">
        <v>100</v>
      </c>
      <c r="H37" s="96">
        <f>IF(OR(J37="",K37="",K37&lt;J37),0,NETWORKDAYS(J37,K37,Hoja2!$A$2:$A$53))</f>
        <v>5</v>
      </c>
      <c r="I37" s="77"/>
      <c r="J37" s="59">
        <v>46027</v>
      </c>
      <c r="K37" s="59">
        <v>46031</v>
      </c>
      <c r="L37" s="59">
        <v>46031</v>
      </c>
      <c r="M37" s="97">
        <f ca="1">IF(OR(J37="",AND(L37="",TODAY()&lt;J37),AND(L37&lt;&gt;"",L37&lt;J37)),0,
   IF(L37="",
      NETWORKDAYS(J37,TODAY(),Hoja2!$A$2:$A$53),
      NETWORKDAYS(J37,L37,Hoja2!$A$2:$A$53)
   )
)</f>
        <v>5</v>
      </c>
      <c r="N37" s="59"/>
      <c r="O37" s="59">
        <v>46031</v>
      </c>
      <c r="P37" s="59">
        <v>46052</v>
      </c>
      <c r="Q37" s="43" t="s">
        <v>166</v>
      </c>
      <c r="R37" s="199" t="s">
        <v>440</v>
      </c>
      <c r="S37" s="103"/>
      <c r="T37" s="104"/>
      <c r="U37" s="104"/>
      <c r="V37" s="104"/>
      <c r="W37" s="104"/>
      <c r="X37" s="104"/>
      <c r="Y37" s="104"/>
      <c r="Z37" s="104"/>
      <c r="AA37" s="104"/>
      <c r="AB37" s="104"/>
      <c r="AC37" s="104"/>
      <c r="AD37" s="104"/>
      <c r="AE37" s="104"/>
      <c r="AF37" s="104"/>
      <c r="AG37" s="104"/>
      <c r="AH37" s="104"/>
      <c r="AI37" s="104"/>
      <c r="AJ37" s="104"/>
      <c r="AK37" s="104"/>
      <c r="AL37" s="104"/>
      <c r="AM37" s="104"/>
      <c r="AN37" s="105"/>
    </row>
    <row r="38" spans="1:40" ht="15" customHeight="1">
      <c r="A38" s="98" t="s">
        <v>18</v>
      </c>
      <c r="B38" s="99" t="s">
        <v>167</v>
      </c>
      <c r="C38" s="93" t="s">
        <v>168</v>
      </c>
      <c r="D38" s="86" t="s">
        <v>169</v>
      </c>
      <c r="E38" s="94"/>
      <c r="F38" s="95" t="s">
        <v>27</v>
      </c>
      <c r="G38" s="87">
        <v>100</v>
      </c>
      <c r="H38" s="96">
        <f>IF(OR(J38="",K38="",K38&lt;J38),0,NETWORKDAYS(J38,K38,Hoja2!$A$2:$A$53))</f>
        <v>1</v>
      </c>
      <c r="I38" s="77"/>
      <c r="J38" s="59">
        <v>46043</v>
      </c>
      <c r="K38" s="59">
        <v>46043</v>
      </c>
      <c r="L38" s="59">
        <v>46043</v>
      </c>
      <c r="M38" s="97">
        <f ca="1">IF(OR(J38="",AND(L38="",TODAY()&lt;J38),AND(L38&lt;&gt;"",L38&lt;J38)),0,
   IF(L38="",
      NETWORKDAYS(J38,TODAY(),Hoja2!$A$2:$A$53),
      NETWORKDAYS(J38,L38,Hoja2!$A$2:$A$53)
   )
)</f>
        <v>1</v>
      </c>
      <c r="N38" s="59"/>
      <c r="O38" s="59">
        <v>46043</v>
      </c>
      <c r="P38" s="59">
        <v>46043</v>
      </c>
      <c r="Q38" s="43" t="s">
        <v>170</v>
      </c>
      <c r="R38" s="199" t="s">
        <v>440</v>
      </c>
      <c r="S38" s="106"/>
      <c r="T38" s="107"/>
      <c r="U38" s="107"/>
      <c r="V38" s="107"/>
      <c r="W38" s="107"/>
      <c r="X38" s="107"/>
      <c r="Y38" s="107"/>
      <c r="Z38" s="107"/>
      <c r="AA38" s="107"/>
      <c r="AB38" s="107"/>
      <c r="AC38" s="107"/>
      <c r="AD38" s="107"/>
      <c r="AE38" s="107"/>
      <c r="AF38" s="107"/>
      <c r="AG38" s="107"/>
      <c r="AH38" s="107"/>
      <c r="AI38" s="107"/>
      <c r="AJ38" s="107"/>
      <c r="AK38" s="107"/>
      <c r="AL38" s="107"/>
      <c r="AM38" s="107"/>
      <c r="AN38" s="108"/>
    </row>
    <row r="39" spans="1:40" ht="15" customHeight="1">
      <c r="A39" s="98" t="s">
        <v>18</v>
      </c>
      <c r="B39" s="99" t="s">
        <v>171</v>
      </c>
      <c r="C39" s="93" t="s">
        <v>172</v>
      </c>
      <c r="D39" s="86" t="s">
        <v>173</v>
      </c>
      <c r="E39" s="94"/>
      <c r="F39" s="95" t="s">
        <v>27</v>
      </c>
      <c r="G39" s="87">
        <v>100</v>
      </c>
      <c r="H39" s="96">
        <f>IF(OR(J39="",K39="",K39&lt;J39),0,NETWORKDAYS(J39,K39,Hoja2!$A$2:$A$53))</f>
        <v>0</v>
      </c>
      <c r="I39" s="59">
        <v>46083</v>
      </c>
      <c r="J39" s="59">
        <v>46167</v>
      </c>
      <c r="K39" s="59"/>
      <c r="L39" s="59">
        <v>46170</v>
      </c>
      <c r="M39" s="97">
        <f ca="1">IF(OR(J39="",AND(L39="",TODAY()&lt;J39),AND(L39&lt;&gt;"",L39&lt;J39)),0,
   IF(L39="",
      NETWORKDAYS(J39,TODAY(),Hoja2!$A$2:$A$53),
      NETWORKDAYS(J39,L39,Hoja2!$A$2:$A$53)
   )
)</f>
        <v>4</v>
      </c>
      <c r="N39" s="59"/>
      <c r="O39" s="59">
        <v>46169</v>
      </c>
      <c r="P39" s="59">
        <v>46170</v>
      </c>
      <c r="Q39" s="43" t="s">
        <v>174</v>
      </c>
      <c r="R39" s="199" t="s">
        <v>440</v>
      </c>
      <c r="S39" s="103"/>
      <c r="T39" s="104"/>
      <c r="U39" s="104"/>
      <c r="V39" s="104"/>
      <c r="W39" s="104"/>
      <c r="X39" s="104"/>
      <c r="Y39" s="104"/>
      <c r="Z39" s="104"/>
      <c r="AA39" s="104"/>
      <c r="AB39" s="104"/>
      <c r="AC39" s="104"/>
      <c r="AD39" s="104"/>
      <c r="AE39" s="104"/>
      <c r="AF39" s="104"/>
      <c r="AG39" s="104"/>
      <c r="AH39" s="104"/>
      <c r="AI39" s="104"/>
      <c r="AJ39" s="104"/>
      <c r="AK39" s="104"/>
      <c r="AL39" s="104"/>
      <c r="AM39" s="104"/>
      <c r="AN39" s="105"/>
    </row>
    <row r="40" spans="1:40" ht="15" customHeight="1">
      <c r="A40" s="109" t="s">
        <v>18</v>
      </c>
      <c r="B40" s="110" t="s">
        <v>175</v>
      </c>
      <c r="C40" s="111" t="s">
        <v>176</v>
      </c>
      <c r="D40" s="112" t="s">
        <v>177</v>
      </c>
      <c r="E40" s="113"/>
      <c r="F40" s="114" t="s">
        <v>22</v>
      </c>
      <c r="G40" s="91">
        <v>80</v>
      </c>
      <c r="H40" s="24">
        <f>IF(OR(J40="",K40="",K40&lt;J40),0,NETWORKDAYS(J40,K40,Hoja2!$A$2:$A$53))</f>
        <v>0</v>
      </c>
      <c r="I40" s="83"/>
      <c r="J40" s="84"/>
      <c r="K40" s="84"/>
      <c r="L40" s="84"/>
      <c r="M40" s="28">
        <f ca="1">IF(OR(J40="",AND(L40="",TODAY()&lt;J40),AND(L40&lt;&gt;"",L40&lt;J40)),0,
   IF(L40="",
      NETWORKDAYS(J40,TODAY(),Hoja2!$A$2:$A$53),
      NETWORKDAYS(J40,L40,Hoja2!$A$2:$A$53)
   )
)</f>
        <v>0</v>
      </c>
      <c r="N40" s="84"/>
      <c r="O40" s="84"/>
      <c r="P40" s="83"/>
      <c r="Q40" s="29" t="s">
        <v>178</v>
      </c>
      <c r="R40" s="199" t="s">
        <v>440</v>
      </c>
      <c r="S40" s="115"/>
      <c r="T40" s="116"/>
      <c r="U40" s="116"/>
      <c r="V40" s="116"/>
      <c r="W40" s="116"/>
      <c r="X40" s="116"/>
      <c r="Y40" s="116"/>
      <c r="Z40" s="116"/>
      <c r="AA40" s="116"/>
      <c r="AB40" s="116"/>
      <c r="AC40" s="116"/>
      <c r="AD40" s="116"/>
      <c r="AE40" s="116"/>
      <c r="AF40" s="116"/>
      <c r="AG40" s="116"/>
      <c r="AH40" s="116"/>
      <c r="AI40" s="116"/>
      <c r="AJ40" s="116"/>
      <c r="AK40" s="116"/>
      <c r="AL40" s="116"/>
      <c r="AM40" s="116"/>
      <c r="AN40" s="117"/>
    </row>
    <row r="41" spans="1:40" ht="51">
      <c r="A41" s="98" t="s">
        <v>18</v>
      </c>
      <c r="B41" s="99" t="s">
        <v>179</v>
      </c>
      <c r="C41" s="93" t="s">
        <v>180</v>
      </c>
      <c r="D41" s="86" t="s">
        <v>181</v>
      </c>
      <c r="E41" s="94"/>
      <c r="F41" s="95" t="s">
        <v>27</v>
      </c>
      <c r="G41" s="87">
        <v>100</v>
      </c>
      <c r="H41" s="96">
        <f>IF(OR(J41="",K41="",K41&lt;J41),0,NETWORKDAYS(J41,K41,Hoja2!$A$2:$A$53))</f>
        <v>0</v>
      </c>
      <c r="I41" s="77"/>
      <c r="J41" s="59">
        <v>46035</v>
      </c>
      <c r="K41" s="77"/>
      <c r="L41" s="59">
        <v>46037</v>
      </c>
      <c r="M41" s="97">
        <f ca="1">IF(OR(J41="",AND(L41="",TODAY()&lt;J41),AND(L41&lt;&gt;"",L41&lt;J41)),0,
   IF(L41="",
      NETWORKDAYS(J41,TODAY(),Hoja2!$A$2:$A$53),
      NETWORKDAYS(J41,L41,Hoja2!$A$2:$A$53)
   )
)</f>
        <v>3</v>
      </c>
      <c r="N41" s="59"/>
      <c r="O41" s="59">
        <v>46037</v>
      </c>
      <c r="P41" s="59">
        <v>46052</v>
      </c>
      <c r="Q41" s="43" t="s">
        <v>182</v>
      </c>
      <c r="R41" s="199" t="s">
        <v>440</v>
      </c>
      <c r="S41" s="103"/>
      <c r="T41" s="104"/>
      <c r="U41" s="104"/>
      <c r="V41" s="104"/>
      <c r="W41" s="104"/>
      <c r="X41" s="104"/>
      <c r="Y41" s="104"/>
      <c r="Z41" s="104"/>
      <c r="AA41" s="104"/>
      <c r="AB41" s="104"/>
      <c r="AC41" s="104"/>
      <c r="AD41" s="104"/>
      <c r="AE41" s="104"/>
      <c r="AF41" s="104"/>
      <c r="AG41" s="104"/>
      <c r="AH41" s="104"/>
      <c r="AI41" s="104"/>
      <c r="AJ41" s="104"/>
      <c r="AK41" s="104"/>
      <c r="AL41" s="104"/>
      <c r="AM41" s="104"/>
      <c r="AN41" s="105"/>
    </row>
    <row r="42" spans="1:40" ht="63.75">
      <c r="A42" s="98" t="s">
        <v>18</v>
      </c>
      <c r="B42" s="99" t="s">
        <v>183</v>
      </c>
      <c r="C42" s="93" t="s">
        <v>184</v>
      </c>
      <c r="D42" s="86" t="s">
        <v>185</v>
      </c>
      <c r="E42" s="94"/>
      <c r="F42" s="95" t="s">
        <v>27</v>
      </c>
      <c r="G42" s="87">
        <v>100</v>
      </c>
      <c r="H42" s="96">
        <f>IF(OR(J42="",K42="",K42&lt;J42),0,NETWORKDAYS(J42,K42,Hoja2!$A$2:$A$53))</f>
        <v>0</v>
      </c>
      <c r="I42" s="77"/>
      <c r="J42" s="59">
        <v>46048</v>
      </c>
      <c r="K42" s="77"/>
      <c r="L42" s="59">
        <v>46049</v>
      </c>
      <c r="M42" s="97">
        <f ca="1">IF(OR(J42="",AND(L42="",TODAY()&lt;J42),AND(L42&lt;&gt;"",L42&lt;J42)),0,
   IF(L42="",
      NETWORKDAYS(J42,TODAY(),Hoja2!$A$2:$A$53),
      NETWORKDAYS(J42,L42,Hoja2!$A$2:$A$53)
   )
)</f>
        <v>2</v>
      </c>
      <c r="N42" s="59"/>
      <c r="O42" s="59">
        <v>46049</v>
      </c>
      <c r="P42" s="59">
        <v>46052</v>
      </c>
      <c r="Q42" s="43" t="s">
        <v>186</v>
      </c>
      <c r="R42" s="199" t="s">
        <v>440</v>
      </c>
      <c r="S42" s="106"/>
      <c r="T42" s="107"/>
      <c r="U42" s="107"/>
      <c r="V42" s="107"/>
      <c r="W42" s="107"/>
      <c r="X42" s="107"/>
      <c r="Y42" s="107"/>
      <c r="Z42" s="107"/>
      <c r="AA42" s="107"/>
      <c r="AB42" s="107"/>
      <c r="AC42" s="107"/>
      <c r="AD42" s="107"/>
      <c r="AE42" s="107"/>
      <c r="AF42" s="107"/>
      <c r="AG42" s="107"/>
      <c r="AH42" s="107"/>
      <c r="AI42" s="107"/>
      <c r="AJ42" s="107"/>
      <c r="AK42" s="107"/>
      <c r="AL42" s="107"/>
      <c r="AM42" s="107"/>
      <c r="AN42" s="108"/>
    </row>
    <row r="43" spans="1:40" ht="63.75">
      <c r="A43" s="98" t="s">
        <v>18</v>
      </c>
      <c r="B43" s="99" t="s">
        <v>187</v>
      </c>
      <c r="C43" s="93" t="s">
        <v>188</v>
      </c>
      <c r="D43" s="86" t="s">
        <v>189</v>
      </c>
      <c r="E43" s="94"/>
      <c r="F43" s="95" t="s">
        <v>27</v>
      </c>
      <c r="G43" s="87">
        <v>100</v>
      </c>
      <c r="H43" s="96">
        <f>IF(OR(J43="",K43="",K43&lt;J43),0,NETWORKDAYS(J43,K43,Hoja2!$A$2:$A$53))</f>
        <v>0</v>
      </c>
      <c r="I43" s="77"/>
      <c r="J43" s="59">
        <v>46048</v>
      </c>
      <c r="K43" s="77"/>
      <c r="L43" s="59">
        <v>46049</v>
      </c>
      <c r="M43" s="97">
        <f ca="1">IF(OR(J43="",AND(L43="",TODAY()&lt;J43),AND(L43&lt;&gt;"",L43&lt;J43)),0,
   IF(L43="",
      NETWORKDAYS(J43,TODAY(),Hoja2!$A$2:$A$53),
      NETWORKDAYS(J43,L43,Hoja2!$A$2:$A$53)
   )
)</f>
        <v>2</v>
      </c>
      <c r="N43" s="59"/>
      <c r="O43" s="59">
        <v>46049</v>
      </c>
      <c r="P43" s="59">
        <v>46052</v>
      </c>
      <c r="Q43" s="43" t="s">
        <v>190</v>
      </c>
      <c r="R43" s="199" t="s">
        <v>440</v>
      </c>
      <c r="S43" s="103"/>
      <c r="T43" s="104"/>
      <c r="U43" s="104"/>
      <c r="V43" s="104"/>
      <c r="W43" s="104"/>
      <c r="X43" s="104"/>
      <c r="Y43" s="104"/>
      <c r="Z43" s="104"/>
      <c r="AA43" s="104"/>
      <c r="AB43" s="104"/>
      <c r="AC43" s="104"/>
      <c r="AD43" s="104"/>
      <c r="AE43" s="104"/>
      <c r="AF43" s="104"/>
      <c r="AG43" s="104"/>
      <c r="AH43" s="104"/>
      <c r="AI43" s="104"/>
      <c r="AJ43" s="104"/>
      <c r="AK43" s="104"/>
      <c r="AL43" s="104"/>
      <c r="AM43" s="104"/>
      <c r="AN43" s="105"/>
    </row>
    <row r="44" spans="1:40" ht="267.75">
      <c r="A44" s="98" t="s">
        <v>18</v>
      </c>
      <c r="B44" s="99" t="s">
        <v>191</v>
      </c>
      <c r="C44" s="93" t="s">
        <v>192</v>
      </c>
      <c r="D44" s="86" t="s">
        <v>193</v>
      </c>
      <c r="E44" s="94"/>
      <c r="F44" s="95" t="s">
        <v>27</v>
      </c>
      <c r="G44" s="87">
        <v>100</v>
      </c>
      <c r="H44" s="96">
        <f>IF(OR(J44="",K44="",K44&lt;J44),0,NETWORKDAYS(J44,K44,Hoja2!$A$2:$A$53))</f>
        <v>0</v>
      </c>
      <c r="I44" s="59">
        <v>46076</v>
      </c>
      <c r="J44" s="59">
        <v>46076</v>
      </c>
      <c r="K44" s="77"/>
      <c r="L44" s="59">
        <v>46119</v>
      </c>
      <c r="M44" s="97">
        <f ca="1">IF(OR(J44="",AND(L44="",TODAY()&lt;J44),AND(L44&lt;&gt;"",L44&lt;J44)),0,
   IF(L44="",
      NETWORKDAYS(J44,TODAY(),Hoja2!$A$2:$A$53),
      NETWORKDAYS(J44,L44,Hoja2!$A$2:$A$53)
   )
)</f>
        <v>29</v>
      </c>
      <c r="N44" s="77"/>
      <c r="O44" s="59">
        <v>46111</v>
      </c>
      <c r="P44" s="59">
        <v>46112</v>
      </c>
      <c r="Q44" s="43" t="s">
        <v>194</v>
      </c>
      <c r="R44" s="199" t="s">
        <v>440</v>
      </c>
      <c r="S44" s="106"/>
      <c r="T44" s="107"/>
      <c r="U44" s="107"/>
      <c r="V44" s="107"/>
      <c r="W44" s="107"/>
      <c r="X44" s="107"/>
      <c r="Y44" s="107"/>
      <c r="Z44" s="107"/>
      <c r="AA44" s="107"/>
      <c r="AB44" s="107"/>
      <c r="AC44" s="107"/>
      <c r="AD44" s="107"/>
      <c r="AE44" s="107"/>
      <c r="AF44" s="107"/>
      <c r="AG44" s="107"/>
      <c r="AH44" s="107"/>
      <c r="AI44" s="107"/>
      <c r="AJ44" s="107"/>
      <c r="AK44" s="107"/>
      <c r="AL44" s="107"/>
      <c r="AM44" s="107"/>
      <c r="AN44" s="108"/>
    </row>
    <row r="45" spans="1:40" ht="30">
      <c r="A45" s="118" t="s">
        <v>18</v>
      </c>
      <c r="B45" s="119" t="s">
        <v>195</v>
      </c>
      <c r="C45" s="120" t="s">
        <v>196</v>
      </c>
      <c r="D45" s="121" t="s">
        <v>197</v>
      </c>
      <c r="E45" s="122"/>
      <c r="F45" s="123" t="s">
        <v>198</v>
      </c>
      <c r="G45" s="124">
        <v>0</v>
      </c>
      <c r="H45" s="125">
        <f>IF(OR(J45="",K45="",K45&lt;J45),0,NETWORKDAYS(J45,K45,Hoja2!$A$2:$A$53))</f>
        <v>0</v>
      </c>
      <c r="I45" s="126"/>
      <c r="J45" s="126"/>
      <c r="K45" s="126"/>
      <c r="L45" s="126"/>
      <c r="M45" s="127">
        <f ca="1">IF(OR(J45="",AND(L45="",TODAY()&lt;J45),AND(L45&lt;&gt;"",L45&lt;J45)),0,
   IF(L45="",
      NETWORKDAYS(J45,TODAY(),Hoja2!$A$2:$A$53),
      NETWORKDAYS(J45,L45,Hoja2!$A$2:$A$53)
   )
)</f>
        <v>0</v>
      </c>
      <c r="N45" s="126"/>
      <c r="O45" s="126"/>
      <c r="P45" s="126"/>
      <c r="Q45" s="128"/>
      <c r="R45" s="199" t="s">
        <v>440</v>
      </c>
      <c r="S45" s="103"/>
      <c r="T45" s="104"/>
      <c r="U45" s="104"/>
      <c r="V45" s="104"/>
      <c r="W45" s="104"/>
      <c r="X45" s="104"/>
      <c r="Y45" s="104"/>
      <c r="Z45" s="104"/>
      <c r="AA45" s="104"/>
      <c r="AB45" s="104"/>
      <c r="AC45" s="104"/>
      <c r="AD45" s="104"/>
      <c r="AE45" s="104"/>
      <c r="AF45" s="104"/>
      <c r="AG45" s="104"/>
      <c r="AH45" s="104"/>
      <c r="AI45" s="104"/>
      <c r="AJ45" s="104"/>
      <c r="AK45" s="104"/>
      <c r="AL45" s="104"/>
      <c r="AM45" s="104"/>
      <c r="AN45" s="105"/>
    </row>
    <row r="46" spans="1:40" ht="51">
      <c r="A46" s="98" t="s">
        <v>18</v>
      </c>
      <c r="B46" s="99" t="s">
        <v>199</v>
      </c>
      <c r="C46" s="93" t="s">
        <v>200</v>
      </c>
      <c r="D46" s="86" t="s">
        <v>201</v>
      </c>
      <c r="E46" s="94"/>
      <c r="F46" s="95" t="s">
        <v>27</v>
      </c>
      <c r="G46" s="87">
        <v>100</v>
      </c>
      <c r="H46" s="96">
        <f>IF(OR(J46="",K46="",K46&lt;J46),0,NETWORKDAYS(J46,K46,Hoja2!$A$2:$A$53))</f>
        <v>2</v>
      </c>
      <c r="I46" s="77"/>
      <c r="J46" s="59">
        <v>46063</v>
      </c>
      <c r="K46" s="59">
        <v>46064</v>
      </c>
      <c r="L46" s="59">
        <v>46064</v>
      </c>
      <c r="M46" s="97">
        <f ca="1">IF(OR(J46="",AND(L46="",TODAY()&lt;J46),AND(L46&lt;&gt;"",L46&lt;J46)),0,
   IF(L46="",
      NETWORKDAYS(J46,TODAY(),Hoja2!$A$2:$A$53),
      NETWORKDAYS(J46,L46,Hoja2!$A$2:$A$53)
   )
)</f>
        <v>2</v>
      </c>
      <c r="N46" s="77"/>
      <c r="O46" s="59">
        <v>46063</v>
      </c>
      <c r="P46" s="59">
        <v>46064</v>
      </c>
      <c r="Q46" s="43" t="s">
        <v>202</v>
      </c>
      <c r="R46" s="199" t="s">
        <v>440</v>
      </c>
      <c r="S46" s="106"/>
      <c r="T46" s="107"/>
      <c r="U46" s="107"/>
      <c r="V46" s="107"/>
      <c r="W46" s="107"/>
      <c r="X46" s="107"/>
      <c r="Y46" s="107"/>
      <c r="Z46" s="107"/>
      <c r="AA46" s="107"/>
      <c r="AB46" s="107"/>
      <c r="AC46" s="107"/>
      <c r="AD46" s="107"/>
      <c r="AE46" s="107"/>
      <c r="AF46" s="107"/>
      <c r="AG46" s="107"/>
      <c r="AH46" s="107"/>
      <c r="AI46" s="107"/>
      <c r="AJ46" s="107"/>
      <c r="AK46" s="107"/>
      <c r="AL46" s="107"/>
      <c r="AM46" s="107"/>
      <c r="AN46" s="108"/>
    </row>
    <row r="47" spans="1:40" ht="45">
      <c r="A47" s="98" t="s">
        <v>18</v>
      </c>
      <c r="B47" s="99" t="s">
        <v>203</v>
      </c>
      <c r="C47" s="93" t="s">
        <v>204</v>
      </c>
      <c r="D47" s="86" t="s">
        <v>205</v>
      </c>
      <c r="E47" s="94"/>
      <c r="F47" s="95" t="s">
        <v>27</v>
      </c>
      <c r="G47" s="87">
        <v>100</v>
      </c>
      <c r="H47" s="96">
        <f>IF(OR(J47="",K47="",K47&lt;J47),0,NETWORKDAYS(J47,K47,Hoja2!$A$2:$A$53))</f>
        <v>3</v>
      </c>
      <c r="I47" s="77"/>
      <c r="J47" s="59">
        <v>46062</v>
      </c>
      <c r="K47" s="59">
        <v>46064</v>
      </c>
      <c r="L47" s="59">
        <v>46064</v>
      </c>
      <c r="M47" s="97">
        <f ca="1">IF(OR(J47="",AND(L47="",TODAY()&lt;J47),AND(L47&lt;&gt;"",L47&lt;J47)),0,
   IF(L47="",
      NETWORKDAYS(J47,TODAY(),Hoja2!$A$2:$A$53),
      NETWORKDAYS(J47,L47,Hoja2!$A$2:$A$53)
   )
)</f>
        <v>3</v>
      </c>
      <c r="N47" s="77"/>
      <c r="O47" s="59">
        <v>46063</v>
      </c>
      <c r="P47" s="59">
        <v>46064</v>
      </c>
      <c r="Q47" s="43" t="s">
        <v>206</v>
      </c>
      <c r="R47" s="199" t="s">
        <v>440</v>
      </c>
      <c r="S47" s="103"/>
      <c r="T47" s="104"/>
      <c r="U47" s="104"/>
      <c r="V47" s="104"/>
      <c r="W47" s="104"/>
      <c r="X47" s="104"/>
      <c r="Y47" s="104"/>
      <c r="Z47" s="104"/>
      <c r="AA47" s="104"/>
      <c r="AB47" s="104"/>
      <c r="AC47" s="104"/>
      <c r="AD47" s="104"/>
      <c r="AE47" s="104"/>
      <c r="AF47" s="104"/>
      <c r="AG47" s="104"/>
      <c r="AH47" s="104"/>
      <c r="AI47" s="104"/>
      <c r="AJ47" s="104"/>
      <c r="AK47" s="104"/>
      <c r="AL47" s="104"/>
      <c r="AM47" s="104"/>
      <c r="AN47" s="105"/>
    </row>
    <row r="48" spans="1:40" ht="60">
      <c r="A48" s="98" t="s">
        <v>18</v>
      </c>
      <c r="B48" s="99" t="s">
        <v>207</v>
      </c>
      <c r="C48" s="93" t="s">
        <v>208</v>
      </c>
      <c r="D48" s="86" t="s">
        <v>209</v>
      </c>
      <c r="E48" s="94"/>
      <c r="F48" s="95" t="s">
        <v>27</v>
      </c>
      <c r="G48" s="87">
        <v>100</v>
      </c>
      <c r="H48" s="96">
        <f>IF(OR(J48="",K48="",K48&lt;J48),0,NETWORKDAYS(J48,K48,Hoja2!$A$2:$A$53))</f>
        <v>3</v>
      </c>
      <c r="I48" s="77"/>
      <c r="J48" s="59">
        <v>46064</v>
      </c>
      <c r="K48" s="59">
        <v>46066</v>
      </c>
      <c r="L48" s="59">
        <v>46066</v>
      </c>
      <c r="M48" s="97">
        <f ca="1">IF(OR(J48="",AND(L48="",TODAY()&lt;J48),AND(L48&lt;&gt;"",L48&lt;J48)),0,
   IF(L48="",
      NETWORKDAYS(J48,TODAY(),Hoja2!$A$2:$A$53),
      NETWORKDAYS(J48,L48,Hoja2!$A$2:$A$53)
   )
)</f>
        <v>3</v>
      </c>
      <c r="N48" s="77"/>
      <c r="O48" s="59">
        <v>46066</v>
      </c>
      <c r="P48" s="59">
        <v>46066</v>
      </c>
      <c r="Q48" s="43" t="s">
        <v>210</v>
      </c>
      <c r="R48" s="199" t="s">
        <v>440</v>
      </c>
      <c r="S48" s="106"/>
      <c r="T48" s="107"/>
      <c r="U48" s="107"/>
      <c r="V48" s="107"/>
      <c r="W48" s="107"/>
      <c r="X48" s="107"/>
      <c r="Y48" s="107"/>
      <c r="Z48" s="107"/>
      <c r="AA48" s="107"/>
      <c r="AB48" s="107"/>
      <c r="AC48" s="107"/>
      <c r="AD48" s="107"/>
      <c r="AE48" s="107"/>
      <c r="AF48" s="107"/>
      <c r="AG48" s="107"/>
      <c r="AH48" s="107"/>
      <c r="AI48" s="107"/>
      <c r="AJ48" s="107"/>
      <c r="AK48" s="107"/>
      <c r="AL48" s="107"/>
      <c r="AM48" s="107"/>
      <c r="AN48" s="108"/>
    </row>
    <row r="49" spans="1:40" ht="89.25">
      <c r="A49" s="98" t="s">
        <v>18</v>
      </c>
      <c r="B49" s="99" t="s">
        <v>211</v>
      </c>
      <c r="C49" s="93" t="s">
        <v>212</v>
      </c>
      <c r="D49" s="86" t="s">
        <v>213</v>
      </c>
      <c r="E49" s="94"/>
      <c r="F49" s="95" t="s">
        <v>27</v>
      </c>
      <c r="G49" s="87">
        <v>100</v>
      </c>
      <c r="H49" s="96">
        <f>IF(OR(J49="",K49="",K49&lt;J49),0,NETWORKDAYS(J49,K49,Hoja2!$A$2:$A$53))</f>
        <v>2</v>
      </c>
      <c r="I49" s="77"/>
      <c r="J49" s="59">
        <v>46062</v>
      </c>
      <c r="K49" s="59">
        <v>46063</v>
      </c>
      <c r="L49" s="59">
        <v>46063</v>
      </c>
      <c r="M49" s="97">
        <f ca="1">IF(OR(J49="",AND(L49="",TODAY()&lt;J49),AND(L49&lt;&gt;"",L49&lt;J49)),0,
   IF(L49="",
      NETWORKDAYS(J49,TODAY(),Hoja2!$A$2:$A$53),
      NETWORKDAYS(J49,L49,Hoja2!$A$2:$A$53)
   )
)</f>
        <v>2</v>
      </c>
      <c r="N49" s="77"/>
      <c r="O49" s="59">
        <v>46064</v>
      </c>
      <c r="P49" s="59">
        <v>46066</v>
      </c>
      <c r="Q49" s="43" t="s">
        <v>214</v>
      </c>
      <c r="R49" s="199" t="s">
        <v>440</v>
      </c>
      <c r="S49" s="103"/>
      <c r="T49" s="104"/>
      <c r="U49" s="104"/>
      <c r="V49" s="104"/>
      <c r="W49" s="104"/>
      <c r="X49" s="104"/>
      <c r="Y49" s="104"/>
      <c r="Z49" s="104"/>
      <c r="AA49" s="104"/>
      <c r="AB49" s="104"/>
      <c r="AC49" s="104"/>
      <c r="AD49" s="104"/>
      <c r="AE49" s="104"/>
      <c r="AF49" s="104"/>
      <c r="AG49" s="104"/>
      <c r="AH49" s="104"/>
      <c r="AI49" s="104"/>
      <c r="AJ49" s="104"/>
      <c r="AK49" s="104"/>
      <c r="AL49" s="104"/>
      <c r="AM49" s="104"/>
      <c r="AN49" s="105"/>
    </row>
    <row r="50" spans="1:40" ht="60">
      <c r="A50" s="118" t="s">
        <v>18</v>
      </c>
      <c r="B50" s="119" t="s">
        <v>215</v>
      </c>
      <c r="C50" s="120" t="s">
        <v>216</v>
      </c>
      <c r="D50" s="121" t="s">
        <v>217</v>
      </c>
      <c r="E50" s="122"/>
      <c r="F50" s="123" t="s">
        <v>198</v>
      </c>
      <c r="G50" s="124">
        <v>0</v>
      </c>
      <c r="H50" s="125">
        <f>IF(OR(J50="",K50="",K50&lt;J50),0,NETWORKDAYS(J50,K50,Hoja2!$A$2:$A$53))</f>
        <v>0</v>
      </c>
      <c r="I50" s="129">
        <v>46069</v>
      </c>
      <c r="J50" s="126"/>
      <c r="K50" s="126"/>
      <c r="L50" s="126"/>
      <c r="M50" s="127">
        <f ca="1">IF(OR(J50="",AND(L50="",TODAY()&lt;J50),AND(L50&lt;&gt;"",L50&lt;J50)),0,
   IF(L50="",
      NETWORKDAYS(J50,TODAY(),Hoja2!$A$2:$A$53),
      NETWORKDAYS(J50,L50,Hoja2!$A$2:$A$53)
   )
)</f>
        <v>0</v>
      </c>
      <c r="N50" s="126"/>
      <c r="O50" s="126"/>
      <c r="P50" s="126"/>
      <c r="Q50" s="128"/>
      <c r="R50" s="199" t="s">
        <v>440</v>
      </c>
      <c r="S50" s="106"/>
      <c r="T50" s="107"/>
      <c r="U50" s="107"/>
      <c r="V50" s="107"/>
      <c r="W50" s="107"/>
      <c r="X50" s="107"/>
      <c r="Y50" s="107"/>
      <c r="Z50" s="107"/>
      <c r="AA50" s="107"/>
      <c r="AB50" s="107"/>
      <c r="AC50" s="107"/>
      <c r="AD50" s="107"/>
      <c r="AE50" s="107"/>
      <c r="AF50" s="107"/>
      <c r="AG50" s="107"/>
      <c r="AH50" s="107"/>
      <c r="AI50" s="107"/>
      <c r="AJ50" s="107"/>
      <c r="AK50" s="107"/>
      <c r="AL50" s="107"/>
      <c r="AM50" s="107"/>
      <c r="AN50" s="108"/>
    </row>
    <row r="51" spans="1:40" ht="60">
      <c r="A51" s="98" t="s">
        <v>18</v>
      </c>
      <c r="B51" s="99" t="s">
        <v>218</v>
      </c>
      <c r="C51" s="93" t="s">
        <v>219</v>
      </c>
      <c r="D51" s="86" t="s">
        <v>220</v>
      </c>
      <c r="E51" s="94"/>
      <c r="F51" s="95" t="s">
        <v>27</v>
      </c>
      <c r="G51" s="87">
        <v>100</v>
      </c>
      <c r="H51" s="96">
        <f>IF(OR(J51="",K51="",K51&lt;J51),0,NETWORKDAYS(J51,K51,Hoja2!$A$2:$A$53))</f>
        <v>1</v>
      </c>
      <c r="I51" s="59">
        <v>46069</v>
      </c>
      <c r="J51" s="59">
        <v>46069</v>
      </c>
      <c r="K51" s="59">
        <v>46069</v>
      </c>
      <c r="L51" s="59">
        <v>46069</v>
      </c>
      <c r="M51" s="97">
        <f ca="1">IF(OR(J51="",AND(L51="",TODAY()&lt;J51),AND(L51&lt;&gt;"",L51&lt;J51)),0,
   IF(L51="",
      NETWORKDAYS(J51,TODAY(),Hoja2!$A$2:$A$53),
      NETWORKDAYS(J51,L51,Hoja2!$A$2:$A$53)
   )
)</f>
        <v>1</v>
      </c>
      <c r="N51" s="77"/>
      <c r="O51" s="59">
        <v>46069</v>
      </c>
      <c r="P51" s="59">
        <v>46069</v>
      </c>
      <c r="Q51" s="43" t="s">
        <v>221</v>
      </c>
      <c r="R51" s="199" t="s">
        <v>440</v>
      </c>
      <c r="S51" s="103"/>
      <c r="T51" s="104"/>
      <c r="U51" s="104"/>
      <c r="V51" s="104"/>
      <c r="W51" s="104"/>
      <c r="X51" s="104"/>
      <c r="Y51" s="104"/>
      <c r="Z51" s="104"/>
      <c r="AA51" s="104"/>
      <c r="AB51" s="104"/>
      <c r="AC51" s="104"/>
      <c r="AD51" s="104"/>
      <c r="AE51" s="104"/>
      <c r="AF51" s="104"/>
      <c r="AG51" s="104"/>
      <c r="AH51" s="104"/>
      <c r="AI51" s="104"/>
      <c r="AJ51" s="104"/>
      <c r="AK51" s="104"/>
      <c r="AL51" s="104"/>
      <c r="AM51" s="104"/>
      <c r="AN51" s="105"/>
    </row>
    <row r="52" spans="1:40" ht="255">
      <c r="A52" s="130" t="s">
        <v>18</v>
      </c>
      <c r="B52" s="131" t="s">
        <v>222</v>
      </c>
      <c r="C52" s="132" t="s">
        <v>223</v>
      </c>
      <c r="D52" s="132" t="s">
        <v>224</v>
      </c>
      <c r="E52" s="133"/>
      <c r="F52" s="134" t="s">
        <v>225</v>
      </c>
      <c r="G52" s="135">
        <v>80</v>
      </c>
      <c r="H52" s="24">
        <f>IF(OR(J52="",K52="",K52&lt;J52),0,NETWORKDAYS(J52,K52,Hoja2!$A$2:$A$53))</f>
        <v>0</v>
      </c>
      <c r="I52" s="136"/>
      <c r="J52" s="136"/>
      <c r="K52" s="136"/>
      <c r="L52" s="136"/>
      <c r="M52" s="28">
        <f ca="1">IF(OR(J52="",AND(L52="",TODAY()&lt;J52),AND(L52&lt;&gt;"",L52&lt;J52)),0,
   IF(L52="",
      NETWORKDAYS(J52,TODAY(),Hoja2!$A$2:$A$53),
      NETWORKDAYS(J52,L52,Hoja2!$A$2:$A$53)
   )
)</f>
        <v>0</v>
      </c>
      <c r="N52" s="136"/>
      <c r="O52" s="136"/>
      <c r="P52" s="136"/>
      <c r="Q52" s="137" t="s">
        <v>226</v>
      </c>
      <c r="R52" s="199" t="s">
        <v>440</v>
      </c>
      <c r="S52" s="106"/>
      <c r="T52" s="107"/>
      <c r="U52" s="107"/>
      <c r="V52" s="107"/>
      <c r="W52" s="107"/>
      <c r="X52" s="107"/>
      <c r="Y52" s="107"/>
      <c r="Z52" s="107"/>
      <c r="AA52" s="107"/>
      <c r="AB52" s="107"/>
      <c r="AC52" s="107"/>
      <c r="AD52" s="107"/>
      <c r="AE52" s="107"/>
      <c r="AF52" s="107"/>
      <c r="AG52" s="107"/>
      <c r="AH52" s="107"/>
      <c r="AI52" s="107"/>
      <c r="AJ52" s="107"/>
      <c r="AK52" s="107"/>
      <c r="AL52" s="107"/>
      <c r="AM52" s="107"/>
      <c r="AN52" s="108"/>
    </row>
    <row r="53" spans="1:40" ht="127.5">
      <c r="A53" s="98" t="s">
        <v>18</v>
      </c>
      <c r="B53" s="99" t="s">
        <v>227</v>
      </c>
      <c r="C53" s="93" t="s">
        <v>228</v>
      </c>
      <c r="D53" s="86" t="s">
        <v>229</v>
      </c>
      <c r="E53" s="94"/>
      <c r="F53" s="95" t="s">
        <v>27</v>
      </c>
      <c r="G53" s="87">
        <v>100</v>
      </c>
      <c r="H53" s="96">
        <f>IF(OR(J53="",K53="",K53&lt;J53),0,NETWORKDAYS(J53,K53,Hoja2!$A$2:$A$53))</f>
        <v>0</v>
      </c>
      <c r="I53" s="59">
        <v>46083</v>
      </c>
      <c r="J53" s="59">
        <v>46083</v>
      </c>
      <c r="K53" s="77"/>
      <c r="L53" s="59">
        <v>46112</v>
      </c>
      <c r="M53" s="97">
        <f ca="1">IF(OR(J53="",AND(L53="",TODAY()&lt;J53),AND(L53&lt;&gt;"",L53&lt;J53)),0,
   IF(L53="",
      NETWORKDAYS(J53,TODAY(),Hoja2!$A$2:$A$53),
      NETWORKDAYS(J53,L53,Hoja2!$A$2:$A$53)
   )
)</f>
        <v>21</v>
      </c>
      <c r="N53" s="77"/>
      <c r="O53" s="59">
        <v>46104</v>
      </c>
      <c r="P53" s="59">
        <v>46111</v>
      </c>
      <c r="Q53" s="43" t="s">
        <v>230</v>
      </c>
      <c r="R53" s="199" t="s">
        <v>440</v>
      </c>
      <c r="S53" s="103"/>
      <c r="T53" s="104"/>
      <c r="U53" s="104"/>
      <c r="V53" s="104"/>
      <c r="W53" s="104"/>
      <c r="X53" s="104"/>
      <c r="Y53" s="104"/>
      <c r="Z53" s="104"/>
      <c r="AA53" s="104"/>
      <c r="AB53" s="104"/>
      <c r="AC53" s="104"/>
      <c r="AD53" s="104"/>
      <c r="AE53" s="104"/>
      <c r="AF53" s="104"/>
      <c r="AG53" s="104"/>
      <c r="AH53" s="104"/>
      <c r="AI53" s="104"/>
      <c r="AJ53" s="104"/>
      <c r="AK53" s="104"/>
      <c r="AL53" s="104"/>
      <c r="AM53" s="104"/>
      <c r="AN53" s="105"/>
    </row>
    <row r="54" spans="1:40" ht="38.25">
      <c r="A54" s="98" t="s">
        <v>18</v>
      </c>
      <c r="B54" s="99" t="s">
        <v>231</v>
      </c>
      <c r="C54" s="93" t="s">
        <v>232</v>
      </c>
      <c r="D54" s="86" t="s">
        <v>233</v>
      </c>
      <c r="E54" s="94"/>
      <c r="F54" s="95" t="s">
        <v>27</v>
      </c>
      <c r="G54" s="87">
        <v>100</v>
      </c>
      <c r="H54" s="96">
        <f>IF(OR(J54="",K54="",K54&lt;J54),0,NETWORKDAYS(J54,K54,Hoja2!$A$2:$A$53))</f>
        <v>1</v>
      </c>
      <c r="I54" s="59">
        <v>46070</v>
      </c>
      <c r="J54" s="59">
        <v>46071</v>
      </c>
      <c r="K54" s="59">
        <v>46071</v>
      </c>
      <c r="L54" s="59">
        <v>46071</v>
      </c>
      <c r="M54" s="97">
        <f ca="1">IF(OR(J54="",AND(L54="",TODAY()&lt;J54),AND(L54&lt;&gt;"",L54&lt;J54)),0,
   IF(L54="",
      NETWORKDAYS(J54,TODAY(),Hoja2!$A$2:$A$53),
      NETWORKDAYS(J54,L54,Hoja2!$A$2:$A$53)
   )
)</f>
        <v>1</v>
      </c>
      <c r="N54" s="77"/>
      <c r="O54" s="77"/>
      <c r="P54" s="77"/>
      <c r="Q54" s="43" t="s">
        <v>234</v>
      </c>
      <c r="R54" s="199" t="s">
        <v>440</v>
      </c>
      <c r="S54" s="106"/>
      <c r="T54" s="107"/>
      <c r="U54" s="107"/>
      <c r="V54" s="107"/>
      <c r="W54" s="107"/>
      <c r="X54" s="107"/>
      <c r="Y54" s="107"/>
      <c r="Z54" s="107"/>
      <c r="AA54" s="107"/>
      <c r="AB54" s="107"/>
      <c r="AC54" s="107"/>
      <c r="AD54" s="107"/>
      <c r="AE54" s="107"/>
      <c r="AF54" s="107"/>
      <c r="AG54" s="107"/>
      <c r="AH54" s="107"/>
      <c r="AI54" s="107"/>
      <c r="AJ54" s="107"/>
      <c r="AK54" s="107"/>
      <c r="AL54" s="107"/>
      <c r="AM54" s="107"/>
      <c r="AN54" s="108"/>
    </row>
    <row r="55" spans="1:40" ht="90">
      <c r="A55" s="109" t="s">
        <v>18</v>
      </c>
      <c r="B55" s="110" t="s">
        <v>235</v>
      </c>
      <c r="C55" s="111" t="s">
        <v>236</v>
      </c>
      <c r="D55" s="112" t="s">
        <v>237</v>
      </c>
      <c r="E55" s="113"/>
      <c r="F55" s="114" t="s">
        <v>22</v>
      </c>
      <c r="G55" s="91">
        <v>20</v>
      </c>
      <c r="H55" s="24">
        <f>IF(OR(J55="",K55="",K55&lt;J55),0,NETWORKDAYS(J55,K55,Hoja2!$A$2:$A$53))</f>
        <v>0</v>
      </c>
      <c r="I55" s="83"/>
      <c r="J55" s="83"/>
      <c r="K55" s="83"/>
      <c r="L55" s="83"/>
      <c r="M55" s="28">
        <f ca="1">IF(OR(J55="",AND(L55="",TODAY()&lt;J55),AND(L55&lt;&gt;"",L55&lt;J55)),0,
   IF(L55="",
      NETWORKDAYS(J55,TODAY(),Hoja2!$A$2:$A$53),
      NETWORKDAYS(J55,L55,Hoja2!$A$2:$A$53)
   )
)</f>
        <v>0</v>
      </c>
      <c r="N55" s="83"/>
      <c r="O55" s="83"/>
      <c r="P55" s="83"/>
      <c r="Q55" s="29" t="s">
        <v>238</v>
      </c>
      <c r="R55" s="199" t="s">
        <v>440</v>
      </c>
      <c r="S55" s="103"/>
      <c r="T55" s="104"/>
      <c r="U55" s="104"/>
      <c r="V55" s="104"/>
      <c r="W55" s="104"/>
      <c r="X55" s="104"/>
      <c r="Y55" s="104"/>
      <c r="Z55" s="104"/>
      <c r="AA55" s="104"/>
      <c r="AB55" s="104"/>
      <c r="AC55" s="104"/>
      <c r="AD55" s="104"/>
      <c r="AE55" s="104"/>
      <c r="AF55" s="104"/>
      <c r="AG55" s="104"/>
      <c r="AH55" s="104"/>
      <c r="AI55" s="104"/>
      <c r="AJ55" s="104"/>
      <c r="AK55" s="104"/>
      <c r="AL55" s="104"/>
      <c r="AM55" s="104"/>
      <c r="AN55" s="105"/>
    </row>
    <row r="56" spans="1:40" ht="255">
      <c r="A56" s="130" t="s">
        <v>18</v>
      </c>
      <c r="B56" s="131" t="s">
        <v>239</v>
      </c>
      <c r="C56" s="132" t="s">
        <v>240</v>
      </c>
      <c r="D56" s="138" t="s">
        <v>241</v>
      </c>
      <c r="E56" s="133"/>
      <c r="F56" s="134" t="s">
        <v>242</v>
      </c>
      <c r="G56" s="135">
        <v>95</v>
      </c>
      <c r="H56" s="139">
        <f>IF(OR(J56="",K56="",K56&lt;J56),0,NETWORKDAYS(J56,K56,Hoja2!$A$2:$A$53))</f>
        <v>0</v>
      </c>
      <c r="I56" s="140">
        <v>46076</v>
      </c>
      <c r="J56" s="140">
        <v>46076</v>
      </c>
      <c r="K56" s="136"/>
      <c r="L56" s="140">
        <v>46091</v>
      </c>
      <c r="M56" s="141">
        <f ca="1">IF(OR(J56="",AND(L56="",TODAY()&lt;J56),AND(L56&lt;&gt;"",L56&lt;J56)),0,
   IF(L56="",
      NETWORKDAYS(J56,TODAY(),Hoja2!$A$2:$A$53),
      NETWORKDAYS(J56,L56,Hoja2!$A$2:$A$53)
   )
)</f>
        <v>12</v>
      </c>
      <c r="N56" s="136"/>
      <c r="O56" s="140">
        <v>46091</v>
      </c>
      <c r="P56" s="136"/>
      <c r="Q56" s="137" t="s">
        <v>243</v>
      </c>
      <c r="R56" s="199" t="s">
        <v>440</v>
      </c>
      <c r="S56" s="106"/>
      <c r="T56" s="107"/>
      <c r="U56" s="107"/>
      <c r="V56" s="107"/>
      <c r="W56" s="107"/>
      <c r="X56" s="107"/>
      <c r="Y56" s="107"/>
      <c r="Z56" s="107"/>
      <c r="AA56" s="107"/>
      <c r="AB56" s="107"/>
      <c r="AC56" s="107"/>
      <c r="AD56" s="107"/>
      <c r="AE56" s="107"/>
      <c r="AF56" s="107"/>
      <c r="AG56" s="107"/>
      <c r="AH56" s="107"/>
      <c r="AI56" s="107"/>
      <c r="AJ56" s="107"/>
      <c r="AK56" s="107"/>
      <c r="AL56" s="107"/>
      <c r="AM56" s="107"/>
      <c r="AN56" s="108"/>
    </row>
    <row r="57" spans="1:40" ht="25.5">
      <c r="A57" s="98" t="s">
        <v>18</v>
      </c>
      <c r="B57" s="99" t="s">
        <v>244</v>
      </c>
      <c r="C57" s="93" t="s">
        <v>232</v>
      </c>
      <c r="D57" s="86" t="s">
        <v>245</v>
      </c>
      <c r="E57" s="94"/>
      <c r="F57" s="95" t="s">
        <v>27</v>
      </c>
      <c r="G57" s="87">
        <v>100</v>
      </c>
      <c r="H57" s="96">
        <f>IF(OR(J57="",K57="",K57&lt;J57),0,NETWORKDAYS(J57,K57,Hoja2!$A$2:$A$53))</f>
        <v>1</v>
      </c>
      <c r="I57" s="59">
        <v>46079</v>
      </c>
      <c r="J57" s="59">
        <v>46079</v>
      </c>
      <c r="K57" s="59">
        <v>46079</v>
      </c>
      <c r="L57" s="59">
        <v>46079</v>
      </c>
      <c r="M57" s="97">
        <f ca="1">IF(OR(J57="",AND(L57="",TODAY()&lt;J57),AND(L57&lt;&gt;"",L57&lt;J57)),0,
   IF(L57="",
      NETWORKDAYS(J57,TODAY(),Hoja2!$A$2:$A$53),
      NETWORKDAYS(J57,L57,Hoja2!$A$2:$A$53)
   )
)</f>
        <v>1</v>
      </c>
      <c r="N57" s="59">
        <v>46079</v>
      </c>
      <c r="O57" s="77"/>
      <c r="P57" s="77"/>
      <c r="Q57" s="43" t="s">
        <v>246</v>
      </c>
      <c r="R57" s="199" t="s">
        <v>440</v>
      </c>
      <c r="S57" s="103"/>
      <c r="T57" s="104"/>
      <c r="U57" s="104"/>
      <c r="V57" s="104"/>
      <c r="W57" s="104"/>
      <c r="X57" s="104"/>
      <c r="Y57" s="104"/>
      <c r="Z57" s="104"/>
      <c r="AA57" s="104"/>
      <c r="AB57" s="104"/>
      <c r="AC57" s="104"/>
      <c r="AD57" s="104"/>
      <c r="AE57" s="104"/>
      <c r="AF57" s="104"/>
      <c r="AG57" s="104"/>
      <c r="AH57" s="104"/>
      <c r="AI57" s="104"/>
      <c r="AJ57" s="104"/>
      <c r="AK57" s="104"/>
      <c r="AL57" s="104"/>
      <c r="AM57" s="104"/>
      <c r="AN57" s="105"/>
    </row>
    <row r="58" spans="1:40" ht="25.5">
      <c r="A58" s="98" t="s">
        <v>18</v>
      </c>
      <c r="B58" s="99" t="s">
        <v>247</v>
      </c>
      <c r="C58" s="93" t="s">
        <v>232</v>
      </c>
      <c r="D58" s="86" t="s">
        <v>248</v>
      </c>
      <c r="E58" s="94"/>
      <c r="F58" s="95" t="s">
        <v>27</v>
      </c>
      <c r="G58" s="87">
        <v>100</v>
      </c>
      <c r="H58" s="96">
        <f>IF(OR(J58="",K58="",K58&lt;J58),0,NETWORKDAYS(J58,K58,Hoja2!$A$2:$A$53))</f>
        <v>1</v>
      </c>
      <c r="I58" s="59">
        <v>46079</v>
      </c>
      <c r="J58" s="59">
        <v>46080</v>
      </c>
      <c r="K58" s="59">
        <v>46080</v>
      </c>
      <c r="L58" s="59">
        <v>46080</v>
      </c>
      <c r="M58" s="97">
        <f ca="1">IF(OR(J58="",AND(L58="",TODAY()&lt;J58),AND(L58&lt;&gt;"",L58&lt;J58)),0,
   IF(L58="",
      NETWORKDAYS(J58,TODAY(),Hoja2!$A$2:$A$53),
      NETWORKDAYS(J58,L58,Hoja2!$A$2:$A$53)
   )
)</f>
        <v>1</v>
      </c>
      <c r="N58" s="59">
        <v>46080</v>
      </c>
      <c r="O58" s="77"/>
      <c r="P58" s="77"/>
      <c r="Q58" s="43" t="s">
        <v>249</v>
      </c>
      <c r="R58" s="199" t="s">
        <v>440</v>
      </c>
      <c r="S58" s="106"/>
      <c r="T58" s="107"/>
      <c r="U58" s="107"/>
      <c r="V58" s="107"/>
      <c r="W58" s="107"/>
      <c r="X58" s="107"/>
      <c r="Y58" s="107"/>
      <c r="Z58" s="107"/>
      <c r="AA58" s="107"/>
      <c r="AB58" s="107"/>
      <c r="AC58" s="107"/>
      <c r="AD58" s="107"/>
      <c r="AE58" s="107"/>
      <c r="AF58" s="107"/>
      <c r="AG58" s="107"/>
      <c r="AH58" s="107"/>
      <c r="AI58" s="107"/>
      <c r="AJ58" s="107"/>
      <c r="AK58" s="107"/>
      <c r="AL58" s="107"/>
      <c r="AM58" s="107"/>
      <c r="AN58" s="108"/>
    </row>
    <row r="59" spans="1:40" ht="242.25">
      <c r="A59" s="98" t="s">
        <v>18</v>
      </c>
      <c r="B59" s="99" t="s">
        <v>250</v>
      </c>
      <c r="C59" s="93" t="s">
        <v>251</v>
      </c>
      <c r="D59" s="86" t="s">
        <v>252</v>
      </c>
      <c r="E59" s="94"/>
      <c r="F59" s="95" t="s">
        <v>27</v>
      </c>
      <c r="G59" s="87">
        <v>100</v>
      </c>
      <c r="H59" s="96">
        <f>IF(OR(J59="",K59="",K59&lt;J59),0,NETWORKDAYS(J59,K59,Hoja2!$A$2:$A$53))</f>
        <v>15</v>
      </c>
      <c r="I59" s="59">
        <v>46071</v>
      </c>
      <c r="J59" s="59">
        <v>46139</v>
      </c>
      <c r="K59" s="59">
        <v>46161</v>
      </c>
      <c r="L59" s="59">
        <v>46161</v>
      </c>
      <c r="M59" s="97">
        <f ca="1">IF(OR(J59="",AND(L59="",TODAY()&lt;J59),AND(L59&lt;&gt;"",L59&lt;J59)),0,
   IF(L59="",
      NETWORKDAYS(J59,TODAY(),Hoja2!$A$2:$A$53),
      NETWORKDAYS(J59,L59,Hoja2!$A$2:$A$53)
   )
)</f>
        <v>15</v>
      </c>
      <c r="N59" s="59">
        <v>46142</v>
      </c>
      <c r="O59" s="59">
        <v>46139</v>
      </c>
      <c r="P59" s="59">
        <v>46160</v>
      </c>
      <c r="Q59" s="43" t="s">
        <v>253</v>
      </c>
      <c r="R59" s="199" t="s">
        <v>440</v>
      </c>
      <c r="S59" s="103"/>
      <c r="T59" s="104"/>
      <c r="U59" s="104"/>
      <c r="V59" s="104"/>
      <c r="W59" s="104"/>
      <c r="X59" s="104"/>
      <c r="Y59" s="104"/>
      <c r="Z59" s="104"/>
      <c r="AA59" s="104"/>
      <c r="AB59" s="104"/>
      <c r="AC59" s="104"/>
      <c r="AD59" s="104"/>
      <c r="AE59" s="104"/>
      <c r="AF59" s="104"/>
      <c r="AG59" s="104"/>
      <c r="AH59" s="104"/>
      <c r="AI59" s="104"/>
      <c r="AJ59" s="104"/>
      <c r="AK59" s="104"/>
      <c r="AL59" s="104"/>
      <c r="AM59" s="104"/>
      <c r="AN59" s="105"/>
    </row>
    <row r="60" spans="1:40" ht="25.5">
      <c r="A60" s="98" t="s">
        <v>18</v>
      </c>
      <c r="B60" s="99" t="s">
        <v>254</v>
      </c>
      <c r="C60" s="93" t="s">
        <v>232</v>
      </c>
      <c r="D60" s="86" t="s">
        <v>248</v>
      </c>
      <c r="E60" s="133"/>
      <c r="F60" s="95" t="s">
        <v>27</v>
      </c>
      <c r="G60" s="87">
        <v>100</v>
      </c>
      <c r="H60" s="96">
        <f>IF(OR(J60="",K60="",K60&lt;J60),0,NETWORKDAYS(J60,K60,Hoja2!$A$2:$A$53))</f>
        <v>1</v>
      </c>
      <c r="I60" s="59">
        <v>46082</v>
      </c>
      <c r="J60" s="59">
        <v>46083</v>
      </c>
      <c r="K60" s="59">
        <v>46083</v>
      </c>
      <c r="L60" s="59">
        <v>46083</v>
      </c>
      <c r="M60" s="97">
        <f ca="1">IF(OR(J60="",AND(L60="",TODAY()&lt;J60),AND(L60&lt;&gt;"",L60&lt;J60)),0,
   IF(L60="",
      NETWORKDAYS(J60,TODAY(),Hoja2!$A$2:$A$53),
      NETWORKDAYS(J60,L60,Hoja2!$A$2:$A$53)
   )
)</f>
        <v>1</v>
      </c>
      <c r="N60" s="77"/>
      <c r="O60" s="77"/>
      <c r="P60" s="77"/>
      <c r="Q60" s="43" t="s">
        <v>255</v>
      </c>
      <c r="R60" s="199" t="s">
        <v>440</v>
      </c>
      <c r="S60" s="106"/>
      <c r="T60" s="107"/>
      <c r="U60" s="107"/>
      <c r="V60" s="107"/>
      <c r="W60" s="107"/>
      <c r="X60" s="107"/>
      <c r="Y60" s="107"/>
      <c r="Z60" s="107"/>
      <c r="AA60" s="107"/>
      <c r="AB60" s="107"/>
      <c r="AC60" s="107"/>
      <c r="AD60" s="107"/>
      <c r="AE60" s="107"/>
      <c r="AF60" s="107"/>
      <c r="AG60" s="107"/>
      <c r="AH60" s="107"/>
      <c r="AI60" s="107"/>
      <c r="AJ60" s="107"/>
      <c r="AK60" s="107"/>
      <c r="AL60" s="107"/>
      <c r="AM60" s="107"/>
      <c r="AN60" s="108"/>
    </row>
    <row r="61" spans="1:40" ht="25.5">
      <c r="A61" s="98" t="s">
        <v>18</v>
      </c>
      <c r="B61" s="99" t="s">
        <v>256</v>
      </c>
      <c r="C61" s="93" t="s">
        <v>232</v>
      </c>
      <c r="D61" s="86" t="s">
        <v>248</v>
      </c>
      <c r="E61" s="142"/>
      <c r="F61" s="95" t="s">
        <v>27</v>
      </c>
      <c r="G61" s="87">
        <v>100</v>
      </c>
      <c r="H61" s="96">
        <f>IF(OR(J61="",K61="",K61&lt;J61),0,NETWORKDAYS(J61,K61,Hoja2!$A$2:$A$53))</f>
        <v>1</v>
      </c>
      <c r="I61" s="59">
        <v>46083</v>
      </c>
      <c r="J61" s="59">
        <v>46083</v>
      </c>
      <c r="K61" s="59">
        <v>46083</v>
      </c>
      <c r="L61" s="59">
        <v>46083</v>
      </c>
      <c r="M61" s="97">
        <f ca="1">IF(OR(J61="",AND(L61="",TODAY()&lt;J61),AND(L61&lt;&gt;"",L61&lt;J61)),0,
   IF(L61="",
      NETWORKDAYS(J61,TODAY(),Hoja2!$A$2:$A$53),
      NETWORKDAYS(J61,L61,Hoja2!$A$2:$A$53)
   )
)</f>
        <v>1</v>
      </c>
      <c r="N61" s="77"/>
      <c r="O61" s="77"/>
      <c r="P61" s="77"/>
      <c r="Q61" s="43" t="s">
        <v>255</v>
      </c>
      <c r="R61" s="199" t="s">
        <v>440</v>
      </c>
      <c r="S61" s="103"/>
      <c r="T61" s="104"/>
      <c r="U61" s="104"/>
      <c r="V61" s="104"/>
      <c r="W61" s="104"/>
      <c r="X61" s="104"/>
      <c r="Y61" s="104"/>
      <c r="Z61" s="104"/>
      <c r="AA61" s="104"/>
      <c r="AB61" s="104"/>
      <c r="AC61" s="104"/>
      <c r="AD61" s="104"/>
      <c r="AE61" s="104"/>
      <c r="AF61" s="104"/>
      <c r="AG61" s="104"/>
      <c r="AH61" s="104"/>
      <c r="AI61" s="104"/>
      <c r="AJ61" s="104"/>
      <c r="AK61" s="104"/>
      <c r="AL61" s="104"/>
      <c r="AM61" s="104"/>
      <c r="AN61" s="105"/>
    </row>
    <row r="62" spans="1:40" ht="38.25">
      <c r="A62" s="98" t="s">
        <v>18</v>
      </c>
      <c r="B62" s="99" t="s">
        <v>257</v>
      </c>
      <c r="C62" s="93" t="s">
        <v>258</v>
      </c>
      <c r="D62" s="86" t="s">
        <v>259</v>
      </c>
      <c r="E62" s="94"/>
      <c r="F62" s="95" t="s">
        <v>27</v>
      </c>
      <c r="G62" s="87">
        <v>100</v>
      </c>
      <c r="H62" s="96">
        <f>IF(OR(J62="",K62="",K62&lt;J62),0,NETWORKDAYS(J62,K62,Hoja2!$A$2:$A$53))</f>
        <v>1</v>
      </c>
      <c r="I62" s="59">
        <v>46087</v>
      </c>
      <c r="J62" s="59">
        <v>46087</v>
      </c>
      <c r="K62" s="59">
        <v>46087</v>
      </c>
      <c r="L62" s="59">
        <v>46087</v>
      </c>
      <c r="M62" s="97">
        <f ca="1">IF(OR(J62="",AND(L62="",TODAY()&lt;J62),AND(L62&lt;&gt;"",L62&lt;J62)),0,
   IF(L62="",
      NETWORKDAYS(J62,TODAY(),Hoja2!$A$2:$A$53),
      NETWORKDAYS(J62,L62,Hoja2!$A$2:$A$53)
   )
)</f>
        <v>1</v>
      </c>
      <c r="N62" s="77"/>
      <c r="O62" s="59">
        <v>46087</v>
      </c>
      <c r="P62" s="59">
        <v>46087</v>
      </c>
      <c r="Q62" s="43" t="s">
        <v>260</v>
      </c>
      <c r="R62" s="199" t="s">
        <v>440</v>
      </c>
      <c r="S62" s="106"/>
      <c r="T62" s="107"/>
      <c r="U62" s="107"/>
      <c r="V62" s="107"/>
      <c r="W62" s="107"/>
      <c r="X62" s="107"/>
      <c r="Y62" s="107"/>
      <c r="Z62" s="107"/>
      <c r="AA62" s="107"/>
      <c r="AB62" s="107"/>
      <c r="AC62" s="107"/>
      <c r="AD62" s="107"/>
      <c r="AE62" s="107"/>
      <c r="AF62" s="107"/>
      <c r="AG62" s="107"/>
      <c r="AH62" s="107"/>
      <c r="AI62" s="107"/>
      <c r="AJ62" s="107"/>
      <c r="AK62" s="107"/>
      <c r="AL62" s="107"/>
      <c r="AM62" s="107"/>
      <c r="AN62" s="108"/>
    </row>
    <row r="63" spans="1:40" ht="51">
      <c r="A63" s="98" t="s">
        <v>18</v>
      </c>
      <c r="B63" s="99" t="s">
        <v>261</v>
      </c>
      <c r="C63" s="93" t="s">
        <v>232</v>
      </c>
      <c r="D63" s="86" t="s">
        <v>248</v>
      </c>
      <c r="E63" s="94"/>
      <c r="F63" s="95" t="s">
        <v>27</v>
      </c>
      <c r="G63" s="87">
        <v>100</v>
      </c>
      <c r="H63" s="96">
        <f>IF(OR(J63="",K63="",K63&lt;J63),0,NETWORKDAYS(J63,K63,Hoja2!$A$2:$A$53))</f>
        <v>1</v>
      </c>
      <c r="I63" s="59">
        <v>46091</v>
      </c>
      <c r="J63" s="59">
        <v>46092</v>
      </c>
      <c r="K63" s="59">
        <v>46092</v>
      </c>
      <c r="L63" s="59">
        <v>46092</v>
      </c>
      <c r="M63" s="97">
        <f ca="1">IF(OR(J63="",AND(L63="",TODAY()&lt;J63),AND(L63&lt;&gt;"",L63&lt;J63)),0,
   IF(L63="",
      NETWORKDAYS(J63,TODAY(),Hoja2!$A$2:$A$53),
      NETWORKDAYS(J63,L63,Hoja2!$A$2:$A$53)
   )
)</f>
        <v>1</v>
      </c>
      <c r="N63" s="77"/>
      <c r="O63" s="77"/>
      <c r="P63" s="77"/>
      <c r="Q63" s="43" t="s">
        <v>262</v>
      </c>
      <c r="R63" s="199" t="s">
        <v>440</v>
      </c>
      <c r="S63" s="103"/>
      <c r="T63" s="104"/>
      <c r="U63" s="104"/>
      <c r="V63" s="104"/>
      <c r="W63" s="104"/>
      <c r="X63" s="104"/>
      <c r="Y63" s="104"/>
      <c r="Z63" s="104"/>
      <c r="AA63" s="104"/>
      <c r="AB63" s="104"/>
      <c r="AC63" s="104"/>
      <c r="AD63" s="104"/>
      <c r="AE63" s="104"/>
      <c r="AF63" s="104"/>
      <c r="AG63" s="104"/>
      <c r="AH63" s="104"/>
      <c r="AI63" s="104"/>
      <c r="AJ63" s="104"/>
      <c r="AK63" s="104"/>
      <c r="AL63" s="104"/>
      <c r="AM63" s="104"/>
      <c r="AN63" s="105"/>
    </row>
    <row r="64" spans="1:40" ht="25.5">
      <c r="A64" s="98" t="s">
        <v>18</v>
      </c>
      <c r="B64" s="99" t="s">
        <v>263</v>
      </c>
      <c r="C64" s="93" t="s">
        <v>232</v>
      </c>
      <c r="D64" s="86" t="s">
        <v>248</v>
      </c>
      <c r="E64" s="94"/>
      <c r="F64" s="95" t="s">
        <v>27</v>
      </c>
      <c r="G64" s="87">
        <v>100</v>
      </c>
      <c r="H64" s="96">
        <f>IF(OR(J64="",K64="",K64&lt;J64),0,NETWORKDAYS(J64,K64,Hoja2!$A$2:$A$53))</f>
        <v>1</v>
      </c>
      <c r="I64" s="59">
        <v>46092</v>
      </c>
      <c r="J64" s="59">
        <v>46093</v>
      </c>
      <c r="K64" s="59">
        <v>46093</v>
      </c>
      <c r="L64" s="59">
        <v>46093</v>
      </c>
      <c r="M64" s="97">
        <f ca="1">IF(OR(J64="",AND(L64="",TODAY()&lt;J64),AND(L64&lt;&gt;"",L64&lt;J64)),0,
   IF(L64="",
      NETWORKDAYS(J64,TODAY(),Hoja2!$A$2:$A$53),
      NETWORKDAYS(J64,L64,Hoja2!$A$2:$A$53)
   )
)</f>
        <v>1</v>
      </c>
      <c r="N64" s="77"/>
      <c r="O64" s="77"/>
      <c r="P64" s="77"/>
      <c r="Q64" s="43" t="s">
        <v>264</v>
      </c>
      <c r="R64" s="199" t="s">
        <v>440</v>
      </c>
      <c r="S64" s="106"/>
      <c r="T64" s="107"/>
      <c r="U64" s="107"/>
      <c r="V64" s="107"/>
      <c r="W64" s="107"/>
      <c r="X64" s="107"/>
      <c r="Y64" s="107"/>
      <c r="Z64" s="107"/>
      <c r="AA64" s="107"/>
      <c r="AB64" s="107"/>
      <c r="AC64" s="107"/>
      <c r="AD64" s="107"/>
      <c r="AE64" s="107"/>
      <c r="AF64" s="107"/>
      <c r="AG64" s="107"/>
      <c r="AH64" s="107"/>
      <c r="AI64" s="107"/>
      <c r="AJ64" s="107"/>
      <c r="AK64" s="107"/>
      <c r="AL64" s="107"/>
      <c r="AM64" s="107"/>
      <c r="AN64" s="108"/>
    </row>
    <row r="65" spans="1:40" ht="76.5">
      <c r="A65" s="98" t="s">
        <v>18</v>
      </c>
      <c r="B65" s="99" t="s">
        <v>265</v>
      </c>
      <c r="C65" s="93" t="s">
        <v>266</v>
      </c>
      <c r="D65" s="86" t="s">
        <v>267</v>
      </c>
      <c r="E65" s="94"/>
      <c r="F65" s="95" t="s">
        <v>27</v>
      </c>
      <c r="G65" s="87">
        <v>100</v>
      </c>
      <c r="H65" s="96">
        <f>IF(OR(J65="",K65="",K65&lt;J65),0,NETWORKDAYS(J65,K65,Hoja2!$A$2:$A$53))</f>
        <v>1</v>
      </c>
      <c r="I65" s="59">
        <v>46084</v>
      </c>
      <c r="J65" s="59">
        <v>46092</v>
      </c>
      <c r="K65" s="59">
        <v>46092</v>
      </c>
      <c r="L65" s="59">
        <v>46105</v>
      </c>
      <c r="M65" s="97">
        <f ca="1">IF(OR(J65="",AND(L65="",TODAY()&lt;J65),AND(L65&lt;&gt;"",L65&lt;J65)),0,
   IF(L65="",
      NETWORKDAYS(J65,TODAY(),Hoja2!$A$2:$A$53),
      NETWORKDAYS(J65,L65,Hoja2!$A$2:$A$53)
   )
)</f>
        <v>9</v>
      </c>
      <c r="N65" s="77"/>
      <c r="O65" s="59">
        <v>46093</v>
      </c>
      <c r="P65" s="59">
        <v>46105</v>
      </c>
      <c r="Q65" s="43" t="s">
        <v>268</v>
      </c>
      <c r="R65" s="199" t="s">
        <v>440</v>
      </c>
      <c r="S65" s="103"/>
      <c r="T65" s="104"/>
      <c r="U65" s="104"/>
      <c r="V65" s="104"/>
      <c r="W65" s="104"/>
      <c r="X65" s="104"/>
      <c r="Y65" s="104"/>
      <c r="Z65" s="104"/>
      <c r="AA65" s="104"/>
      <c r="AB65" s="104"/>
      <c r="AC65" s="104"/>
      <c r="AD65" s="104"/>
      <c r="AE65" s="104"/>
      <c r="AF65" s="104"/>
      <c r="AG65" s="104"/>
      <c r="AH65" s="104"/>
      <c r="AI65" s="104"/>
      <c r="AJ65" s="104"/>
      <c r="AK65" s="104"/>
      <c r="AL65" s="104"/>
      <c r="AM65" s="104"/>
      <c r="AN65" s="105"/>
    </row>
    <row r="66" spans="1:40" ht="76.5">
      <c r="A66" s="98" t="s">
        <v>18</v>
      </c>
      <c r="B66" s="99" t="s">
        <v>269</v>
      </c>
      <c r="C66" s="93" t="s">
        <v>270</v>
      </c>
      <c r="D66" s="86" t="s">
        <v>271</v>
      </c>
      <c r="E66" s="94"/>
      <c r="F66" s="95" t="s">
        <v>27</v>
      </c>
      <c r="G66" s="87">
        <v>100</v>
      </c>
      <c r="H66" s="96">
        <f>IF(OR(J66="",K66="",K66&lt;J66),0,NETWORKDAYS(J66,K66,Hoja2!$A$2:$A$53))</f>
        <v>2</v>
      </c>
      <c r="I66" s="59">
        <v>46100</v>
      </c>
      <c r="J66" s="59">
        <v>46100</v>
      </c>
      <c r="K66" s="59">
        <v>46101</v>
      </c>
      <c r="L66" s="59">
        <v>46105</v>
      </c>
      <c r="M66" s="97">
        <f ca="1">IF(OR(J66="",AND(L66="",TODAY()&lt;J66),AND(L66&lt;&gt;"",L66&lt;J66)),0,
   IF(L66="",
      NETWORKDAYS(J66,TODAY(),Hoja2!$A$2:$A$53),
      NETWORKDAYS(J66,L66,Hoja2!$A$2:$A$53)
   )
)</f>
        <v>3</v>
      </c>
      <c r="N66" s="77"/>
      <c r="O66" s="59">
        <v>46101</v>
      </c>
      <c r="P66" s="59">
        <v>46105</v>
      </c>
      <c r="Q66" s="43" t="s">
        <v>272</v>
      </c>
      <c r="R66" s="199" t="s">
        <v>440</v>
      </c>
      <c r="S66" s="106"/>
      <c r="T66" s="107"/>
      <c r="U66" s="107"/>
      <c r="V66" s="107"/>
      <c r="W66" s="107"/>
      <c r="X66" s="107"/>
      <c r="Y66" s="107"/>
      <c r="Z66" s="107"/>
      <c r="AA66" s="107"/>
      <c r="AB66" s="107"/>
      <c r="AC66" s="107"/>
      <c r="AD66" s="107"/>
      <c r="AE66" s="107"/>
      <c r="AF66" s="107"/>
      <c r="AG66" s="107"/>
      <c r="AH66" s="107"/>
      <c r="AI66" s="107"/>
      <c r="AJ66" s="107"/>
      <c r="AK66" s="107"/>
      <c r="AL66" s="107"/>
      <c r="AM66" s="107"/>
      <c r="AN66" s="108"/>
    </row>
    <row r="67" spans="1:40" ht="45">
      <c r="A67" s="98" t="s">
        <v>18</v>
      </c>
      <c r="B67" s="99" t="s">
        <v>273</v>
      </c>
      <c r="C67" s="93" t="s">
        <v>274</v>
      </c>
      <c r="D67" s="86" t="s">
        <v>275</v>
      </c>
      <c r="E67" s="94"/>
      <c r="F67" s="95" t="s">
        <v>27</v>
      </c>
      <c r="G67" s="87">
        <v>100</v>
      </c>
      <c r="H67" s="96">
        <f>IF(OR(J67="",K67="",K67&lt;J67),0,NETWORKDAYS(J67,K67,Hoja2!$A$2:$A$53))</f>
        <v>2</v>
      </c>
      <c r="I67" s="59">
        <v>46100</v>
      </c>
      <c r="J67" s="59">
        <v>46100</v>
      </c>
      <c r="K67" s="59">
        <v>46101</v>
      </c>
      <c r="L67" s="59">
        <v>46105</v>
      </c>
      <c r="M67" s="97">
        <f ca="1">IF(OR(J67="",AND(L67="",TODAY()&lt;J67),AND(L67&lt;&gt;"",L67&lt;J67)),0,
   IF(L67="",
      NETWORKDAYS(J67,TODAY(),Hoja2!$A$2:$A$53),
      NETWORKDAYS(J67,L67,Hoja2!$A$2:$A$53)
   )
)</f>
        <v>3</v>
      </c>
      <c r="N67" s="77"/>
      <c r="O67" s="59">
        <v>46101</v>
      </c>
      <c r="P67" s="59">
        <v>46105</v>
      </c>
      <c r="Q67" s="43" t="s">
        <v>276</v>
      </c>
      <c r="R67" s="199" t="s">
        <v>440</v>
      </c>
      <c r="S67" s="103"/>
      <c r="T67" s="104"/>
      <c r="U67" s="104"/>
      <c r="V67" s="104"/>
      <c r="W67" s="104"/>
      <c r="X67" s="104"/>
      <c r="Y67" s="104"/>
      <c r="Z67" s="104"/>
      <c r="AA67" s="104"/>
      <c r="AB67" s="104"/>
      <c r="AC67" s="104"/>
      <c r="AD67" s="104"/>
      <c r="AE67" s="104"/>
      <c r="AF67" s="104"/>
      <c r="AG67" s="104"/>
      <c r="AH67" s="104"/>
      <c r="AI67" s="104"/>
      <c r="AJ67" s="104"/>
      <c r="AK67" s="104"/>
      <c r="AL67" s="104"/>
      <c r="AM67" s="104"/>
      <c r="AN67" s="105"/>
    </row>
    <row r="68" spans="1:40" ht="45">
      <c r="A68" s="98" t="s">
        <v>18</v>
      </c>
      <c r="B68" s="99" t="s">
        <v>277</v>
      </c>
      <c r="C68" s="93" t="s">
        <v>278</v>
      </c>
      <c r="D68" s="86" t="s">
        <v>279</v>
      </c>
      <c r="E68" s="94"/>
      <c r="F68" s="95" t="s">
        <v>27</v>
      </c>
      <c r="G68" s="87">
        <v>100</v>
      </c>
      <c r="H68" s="96">
        <f>IF(OR(J68="",K68="",K68&lt;J68),0,NETWORKDAYS(J68,K68,Hoja2!$A$2:$A$53))</f>
        <v>3</v>
      </c>
      <c r="I68" s="59">
        <v>46121</v>
      </c>
      <c r="J68" s="59">
        <v>46121</v>
      </c>
      <c r="K68" s="59">
        <v>46125</v>
      </c>
      <c r="L68" s="59">
        <v>46122</v>
      </c>
      <c r="M68" s="97">
        <f ca="1">IF(OR(J68="",AND(L68="",TODAY()&lt;J68),AND(L68&lt;&gt;"",L68&lt;J68)),0,
   IF(L68="",
      NETWORKDAYS(J68,TODAY(),Hoja2!$A$2:$A$53),
      NETWORKDAYS(J68,L68,Hoja2!$A$2:$A$53)
   )
)</f>
        <v>2</v>
      </c>
      <c r="N68" s="77"/>
      <c r="O68" s="59">
        <v>46122</v>
      </c>
      <c r="P68" s="59">
        <v>46125</v>
      </c>
      <c r="Q68" s="43" t="s">
        <v>280</v>
      </c>
      <c r="R68" s="199" t="s">
        <v>440</v>
      </c>
      <c r="S68" s="106"/>
      <c r="T68" s="107"/>
      <c r="U68" s="107"/>
      <c r="V68" s="107"/>
      <c r="W68" s="107"/>
      <c r="X68" s="107"/>
      <c r="Y68" s="107"/>
      <c r="Z68" s="107"/>
      <c r="AA68" s="107"/>
      <c r="AB68" s="107"/>
      <c r="AC68" s="107"/>
      <c r="AD68" s="107"/>
      <c r="AE68" s="107"/>
      <c r="AF68" s="107"/>
      <c r="AG68" s="107"/>
      <c r="AH68" s="107"/>
      <c r="AI68" s="107"/>
      <c r="AJ68" s="107"/>
      <c r="AK68" s="107"/>
      <c r="AL68" s="107"/>
      <c r="AM68" s="107"/>
      <c r="AN68" s="108"/>
    </row>
    <row r="69" spans="1:40" ht="45">
      <c r="A69" s="98" t="s">
        <v>18</v>
      </c>
      <c r="B69" s="99" t="s">
        <v>281</v>
      </c>
      <c r="C69" s="93" t="s">
        <v>282</v>
      </c>
      <c r="D69" s="86" t="s">
        <v>283</v>
      </c>
      <c r="E69" s="94"/>
      <c r="F69" s="95" t="s">
        <v>27</v>
      </c>
      <c r="G69" s="87">
        <v>100</v>
      </c>
      <c r="H69" s="96">
        <f>IF(OR(J69="",K69="",K69&lt;J69),0,NETWORKDAYS(J69,K69,Hoja2!$A$2:$A$53))</f>
        <v>1</v>
      </c>
      <c r="I69" s="59">
        <v>46134</v>
      </c>
      <c r="J69" s="59">
        <v>46139</v>
      </c>
      <c r="K69" s="59">
        <v>46139</v>
      </c>
      <c r="L69" s="59">
        <v>46139</v>
      </c>
      <c r="M69" s="97">
        <f ca="1">IF(OR(J69="",AND(L69="",TODAY()&lt;J69),AND(L69&lt;&gt;"",L69&lt;J69)),0,
   IF(L69="",
      NETWORKDAYS(J69,TODAY(),Hoja2!$A$2:$A$53),
      NETWORKDAYS(J69,L69,Hoja2!$A$2:$A$53)
   )
)</f>
        <v>1</v>
      </c>
      <c r="N69" s="77"/>
      <c r="O69" s="59">
        <v>46139</v>
      </c>
      <c r="P69" s="59">
        <v>46139</v>
      </c>
      <c r="Q69" s="43" t="s">
        <v>284</v>
      </c>
      <c r="R69" s="199" t="s">
        <v>440</v>
      </c>
      <c r="S69" s="103"/>
      <c r="T69" s="104"/>
      <c r="U69" s="104"/>
      <c r="V69" s="104"/>
      <c r="W69" s="104"/>
      <c r="X69" s="104"/>
      <c r="Y69" s="104"/>
      <c r="Z69" s="104"/>
      <c r="AA69" s="104"/>
      <c r="AB69" s="104"/>
      <c r="AC69" s="104"/>
      <c r="AD69" s="104"/>
      <c r="AE69" s="104"/>
      <c r="AF69" s="104"/>
      <c r="AG69" s="104"/>
      <c r="AH69" s="104"/>
      <c r="AI69" s="104"/>
      <c r="AJ69" s="104"/>
      <c r="AK69" s="104"/>
      <c r="AL69" s="104"/>
      <c r="AM69" s="104"/>
      <c r="AN69" s="105"/>
    </row>
    <row r="70" spans="1:40" ht="114.75">
      <c r="A70" s="98" t="s">
        <v>18</v>
      </c>
      <c r="B70" s="99" t="s">
        <v>285</v>
      </c>
      <c r="C70" s="93" t="s">
        <v>232</v>
      </c>
      <c r="D70" s="93" t="s">
        <v>248</v>
      </c>
      <c r="E70" s="94"/>
      <c r="F70" s="95" t="s">
        <v>27</v>
      </c>
      <c r="G70" s="87">
        <v>100</v>
      </c>
      <c r="H70" s="96">
        <f>IF(OR(J70="",K70="",K70&lt;J70),0,NETWORKDAYS(J70,K70,Hoja2!$A$2:$A$53))</f>
        <v>0</v>
      </c>
      <c r="I70" s="59">
        <v>46146</v>
      </c>
      <c r="J70" s="59">
        <v>46146</v>
      </c>
      <c r="K70" s="77"/>
      <c r="L70" s="59">
        <v>46150</v>
      </c>
      <c r="M70" s="97">
        <f ca="1">IF(OR(J70="",AND(L70="",TODAY()&lt;J70),AND(L70&lt;&gt;"",L70&lt;J70)),0,
   IF(L70="",
      NETWORKDAYS(J70,TODAY(),Hoja2!$A$2:$A$53),
      NETWORKDAYS(J70,L70,Hoja2!$A$2:$A$53)
   )
)</f>
        <v>5</v>
      </c>
      <c r="N70" s="77"/>
      <c r="O70" s="77"/>
      <c r="P70" s="77"/>
      <c r="Q70" s="43" t="s">
        <v>286</v>
      </c>
      <c r="R70" s="199" t="s">
        <v>440</v>
      </c>
      <c r="S70" s="106"/>
      <c r="T70" s="107"/>
      <c r="U70" s="107"/>
      <c r="V70" s="107"/>
      <c r="W70" s="107"/>
      <c r="X70" s="107"/>
      <c r="Y70" s="107"/>
      <c r="Z70" s="107"/>
      <c r="AA70" s="107"/>
      <c r="AB70" s="107"/>
      <c r="AC70" s="107"/>
      <c r="AD70" s="107"/>
      <c r="AE70" s="107"/>
      <c r="AF70" s="107"/>
      <c r="AG70" s="107"/>
      <c r="AH70" s="107"/>
      <c r="AI70" s="107"/>
      <c r="AJ70" s="107"/>
      <c r="AK70" s="107"/>
      <c r="AL70" s="107"/>
      <c r="AM70" s="107"/>
      <c r="AN70" s="108"/>
    </row>
    <row r="71" spans="1:40" ht="89.25">
      <c r="A71" s="143" t="s">
        <v>18</v>
      </c>
      <c r="B71" s="144" t="s">
        <v>287</v>
      </c>
      <c r="C71" s="145" t="s">
        <v>288</v>
      </c>
      <c r="D71" s="146" t="s">
        <v>289</v>
      </c>
      <c r="E71" s="142"/>
      <c r="F71" s="147" t="s">
        <v>198</v>
      </c>
      <c r="G71" s="148">
        <v>50</v>
      </c>
      <c r="H71" s="24">
        <f>IF(OR(J71="",K71="",K71&lt;J71),0,NETWORKDAYS(J71,K71,Hoja2!$A$2:$A$53))</f>
        <v>0</v>
      </c>
      <c r="I71" s="149">
        <v>46148</v>
      </c>
      <c r="J71" s="149">
        <v>46161</v>
      </c>
      <c r="K71" s="150"/>
      <c r="L71" s="150"/>
      <c r="M71" s="28">
        <f ca="1">IF(OR(J71="",AND(L71="",TODAY()&lt;J71),AND(L71&lt;&gt;"",L71&lt;J71)),0,
   IF(L71="",
      NETWORKDAYS(J71,TODAY(),Hoja2!$A$2:$A$53),
      NETWORKDAYS(J71,L71,Hoja2!$A$2:$A$53)
   )
)</f>
        <v>23</v>
      </c>
      <c r="N71" s="150"/>
      <c r="O71" s="150"/>
      <c r="P71" s="150"/>
      <c r="Q71" s="151" t="s">
        <v>290</v>
      </c>
      <c r="R71" s="199" t="s">
        <v>440</v>
      </c>
      <c r="S71" s="103"/>
      <c r="T71" s="104"/>
      <c r="U71" s="104"/>
      <c r="V71" s="104"/>
      <c r="W71" s="104"/>
      <c r="X71" s="104"/>
      <c r="Y71" s="104"/>
      <c r="Z71" s="104"/>
      <c r="AA71" s="104"/>
      <c r="AB71" s="104"/>
      <c r="AC71" s="104"/>
      <c r="AD71" s="104"/>
      <c r="AE71" s="104"/>
      <c r="AF71" s="104"/>
      <c r="AG71" s="104"/>
      <c r="AH71" s="104"/>
      <c r="AI71" s="104"/>
      <c r="AJ71" s="104"/>
      <c r="AK71" s="104"/>
      <c r="AL71" s="104"/>
      <c r="AM71" s="104"/>
      <c r="AN71" s="105"/>
    </row>
    <row r="72" spans="1:40" ht="114.75">
      <c r="A72" s="98" t="s">
        <v>18</v>
      </c>
      <c r="B72" s="99" t="s">
        <v>291</v>
      </c>
      <c r="C72" s="93" t="s">
        <v>232</v>
      </c>
      <c r="D72" s="86" t="s">
        <v>292</v>
      </c>
      <c r="E72" s="94"/>
      <c r="F72" s="95" t="s">
        <v>27</v>
      </c>
      <c r="G72" s="87">
        <v>100</v>
      </c>
      <c r="H72" s="96">
        <f>IF(OR(J72="",K72="",K72&lt;J72),0,NETWORKDAYS(J72,K72,Hoja2!$A$2:$A$53))</f>
        <v>0</v>
      </c>
      <c r="I72" s="59">
        <v>46148</v>
      </c>
      <c r="J72" s="77"/>
      <c r="K72" s="77"/>
      <c r="L72" s="77"/>
      <c r="M72" s="97">
        <f ca="1">IF(OR(J72="",AND(L72="",TODAY()&lt;J72),AND(L72&lt;&gt;"",L72&lt;J72)),0,
   IF(L72="",
      NETWORKDAYS(J72,TODAY(),Hoja2!$A$2:$A$53),
      NETWORKDAYS(J72,L72,Hoja2!$A$2:$A$53)
   )
)</f>
        <v>0</v>
      </c>
      <c r="N72" s="77"/>
      <c r="O72" s="77"/>
      <c r="P72" s="77"/>
      <c r="Q72" s="43" t="s">
        <v>293</v>
      </c>
      <c r="R72" s="199" t="s">
        <v>440</v>
      </c>
      <c r="S72" s="106"/>
      <c r="T72" s="107"/>
      <c r="U72" s="107"/>
      <c r="V72" s="107"/>
      <c r="W72" s="107"/>
      <c r="X72" s="107"/>
      <c r="Y72" s="107"/>
      <c r="Z72" s="107"/>
      <c r="AA72" s="107"/>
      <c r="AB72" s="107"/>
      <c r="AC72" s="107"/>
      <c r="AD72" s="107"/>
      <c r="AE72" s="107"/>
      <c r="AF72" s="107"/>
      <c r="AG72" s="107"/>
      <c r="AH72" s="107"/>
      <c r="AI72" s="107"/>
      <c r="AJ72" s="107"/>
      <c r="AK72" s="107"/>
      <c r="AL72" s="107"/>
      <c r="AM72" s="107"/>
      <c r="AN72" s="108"/>
    </row>
    <row r="73" spans="1:40" ht="45">
      <c r="A73" s="98" t="s">
        <v>18</v>
      </c>
      <c r="B73" s="99" t="s">
        <v>294</v>
      </c>
      <c r="C73" s="93" t="s">
        <v>295</v>
      </c>
      <c r="D73" s="86" t="s">
        <v>296</v>
      </c>
      <c r="E73" s="94"/>
      <c r="F73" s="95" t="s">
        <v>27</v>
      </c>
      <c r="G73" s="87">
        <v>100</v>
      </c>
      <c r="H73" s="96">
        <f>IF(OR(J73="",K73="",K73&lt;J73),0,NETWORKDAYS(J73,K73,Hoja2!$A$2:$A$53))</f>
        <v>1</v>
      </c>
      <c r="I73" s="59">
        <v>46149</v>
      </c>
      <c r="J73" s="59">
        <v>46150</v>
      </c>
      <c r="K73" s="59">
        <v>46150</v>
      </c>
      <c r="L73" s="59">
        <v>46150</v>
      </c>
      <c r="M73" s="97">
        <f ca="1">IF(OR(J73="",AND(L73="",TODAY()&lt;J73),AND(L73&lt;&gt;"",L73&lt;J73)),0,
   IF(L73="",
      NETWORKDAYS(J73,TODAY(),Hoja2!$A$2:$A$53),
      NETWORKDAYS(J73,L73,Hoja2!$A$2:$A$53)
   )
)</f>
        <v>1</v>
      </c>
      <c r="N73" s="77"/>
      <c r="O73" s="59">
        <v>46150</v>
      </c>
      <c r="P73" s="59">
        <v>46150</v>
      </c>
      <c r="Q73" s="43" t="s">
        <v>297</v>
      </c>
      <c r="R73" s="199" t="s">
        <v>440</v>
      </c>
      <c r="S73" s="103"/>
      <c r="T73" s="104"/>
      <c r="U73" s="104"/>
      <c r="V73" s="104"/>
      <c r="W73" s="104"/>
      <c r="X73" s="104"/>
      <c r="Y73" s="104"/>
      <c r="Z73" s="104"/>
      <c r="AA73" s="104"/>
      <c r="AB73" s="104"/>
      <c r="AC73" s="104"/>
      <c r="AD73" s="104"/>
      <c r="AE73" s="104"/>
      <c r="AF73" s="104"/>
      <c r="AG73" s="104"/>
      <c r="AH73" s="104"/>
      <c r="AI73" s="104"/>
      <c r="AJ73" s="104"/>
      <c r="AK73" s="104"/>
      <c r="AL73" s="104"/>
      <c r="AM73" s="104"/>
      <c r="AN73" s="105"/>
    </row>
    <row r="74" spans="1:40" ht="63.75">
      <c r="A74" s="130" t="s">
        <v>18</v>
      </c>
      <c r="B74" s="131" t="s">
        <v>298</v>
      </c>
      <c r="C74" s="132" t="s">
        <v>299</v>
      </c>
      <c r="D74" s="138" t="s">
        <v>300</v>
      </c>
      <c r="E74" s="133"/>
      <c r="F74" s="134" t="s">
        <v>198</v>
      </c>
      <c r="G74" s="135">
        <v>50</v>
      </c>
      <c r="H74" s="24">
        <f>IF(OR(J74="",K74="",K74&lt;J74),0,NETWORKDAYS(J74,K74,Hoja2!$A$2:$A$53))</f>
        <v>0</v>
      </c>
      <c r="I74" s="140">
        <v>46133</v>
      </c>
      <c r="J74" s="140">
        <v>46153</v>
      </c>
      <c r="K74" s="140"/>
      <c r="L74" s="136"/>
      <c r="M74" s="28">
        <f ca="1">IF(OR(J74="",AND(L74="",TODAY()&lt;J74),AND(L74&lt;&gt;"",L74&lt;J74)),0,
   IF(L74="",
      NETWORKDAYS(J74,TODAY(),Hoja2!$A$2:$A$53),
      NETWORKDAYS(J74,L74,Hoja2!$A$2:$A$53)
   )
)</f>
        <v>28</v>
      </c>
      <c r="N74" s="136"/>
      <c r="O74" s="140">
        <v>46155</v>
      </c>
      <c r="P74" s="136"/>
      <c r="Q74" s="137" t="s">
        <v>301</v>
      </c>
      <c r="R74" s="199" t="s">
        <v>440</v>
      </c>
      <c r="S74" s="106"/>
      <c r="T74" s="107"/>
      <c r="U74" s="107"/>
      <c r="V74" s="107"/>
      <c r="W74" s="107"/>
      <c r="X74" s="107"/>
      <c r="Y74" s="107"/>
      <c r="Z74" s="107"/>
      <c r="AA74" s="107"/>
      <c r="AB74" s="107"/>
      <c r="AC74" s="107"/>
      <c r="AD74" s="107"/>
      <c r="AE74" s="107"/>
      <c r="AF74" s="107"/>
      <c r="AG74" s="107"/>
      <c r="AH74" s="107"/>
      <c r="AI74" s="107"/>
      <c r="AJ74" s="107"/>
      <c r="AK74" s="107"/>
      <c r="AL74" s="107"/>
      <c r="AM74" s="107"/>
      <c r="AN74" s="108"/>
    </row>
    <row r="75" spans="1:40" ht="63.75">
      <c r="A75" s="143" t="s">
        <v>18</v>
      </c>
      <c r="B75" s="144" t="s">
        <v>302</v>
      </c>
      <c r="C75" s="145" t="s">
        <v>303</v>
      </c>
      <c r="D75" s="146" t="s">
        <v>304</v>
      </c>
      <c r="E75" s="142"/>
      <c r="F75" s="147" t="s">
        <v>198</v>
      </c>
      <c r="G75" s="148">
        <v>50</v>
      </c>
      <c r="H75" s="24">
        <f>IF(OR(J75="",K75="",K75&lt;J75),0,NETWORKDAYS(J75,K75,Hoja2!$A$2:$A$53))</f>
        <v>0</v>
      </c>
      <c r="I75" s="149">
        <v>46049</v>
      </c>
      <c r="J75" s="149">
        <v>46153</v>
      </c>
      <c r="K75" s="150"/>
      <c r="L75" s="150"/>
      <c r="M75" s="28">
        <f ca="1">IF(OR(J75="",AND(L75="",TODAY()&lt;J75),AND(L75&lt;&gt;"",L75&lt;J75)),0,
   IF(L75="",
      NETWORKDAYS(J75,TODAY(),Hoja2!$A$2:$A$53),
      NETWORKDAYS(J75,L75,Hoja2!$A$2:$A$53)
   )
)</f>
        <v>28</v>
      </c>
      <c r="N75" s="150"/>
      <c r="O75" s="149">
        <v>46155</v>
      </c>
      <c r="P75" s="150"/>
      <c r="Q75" s="151" t="s">
        <v>305</v>
      </c>
      <c r="R75" s="199" t="s">
        <v>440</v>
      </c>
      <c r="S75" s="103"/>
      <c r="T75" s="104"/>
      <c r="U75" s="104"/>
      <c r="V75" s="104"/>
      <c r="W75" s="104"/>
      <c r="X75" s="104"/>
      <c r="Y75" s="104"/>
      <c r="Z75" s="104"/>
      <c r="AA75" s="104"/>
      <c r="AB75" s="104"/>
      <c r="AC75" s="104"/>
      <c r="AD75" s="104"/>
      <c r="AE75" s="104"/>
      <c r="AF75" s="104"/>
      <c r="AG75" s="104"/>
      <c r="AH75" s="104"/>
      <c r="AI75" s="104"/>
      <c r="AJ75" s="104"/>
      <c r="AK75" s="104"/>
      <c r="AL75" s="104"/>
      <c r="AM75" s="104"/>
      <c r="AN75" s="105"/>
    </row>
    <row r="76" spans="1:40" ht="45">
      <c r="A76" s="98" t="s">
        <v>18</v>
      </c>
      <c r="B76" s="99" t="s">
        <v>306</v>
      </c>
      <c r="C76" s="93" t="s">
        <v>307</v>
      </c>
      <c r="D76" s="86" t="s">
        <v>308</v>
      </c>
      <c r="E76" s="94"/>
      <c r="F76" s="95" t="s">
        <v>27</v>
      </c>
      <c r="G76" s="87">
        <v>100</v>
      </c>
      <c r="H76" s="96">
        <f>IF(OR(J76="",K76="",K76&lt;J76),0,NETWORKDAYS(J76,K76,Hoja2!$A$2:$A$53))</f>
        <v>2</v>
      </c>
      <c r="I76" s="59">
        <v>46161</v>
      </c>
      <c r="J76" s="59">
        <v>46162</v>
      </c>
      <c r="K76" s="59">
        <v>46163</v>
      </c>
      <c r="L76" s="59">
        <v>46162</v>
      </c>
      <c r="M76" s="97">
        <f ca="1">IF(OR(J76="",AND(L76="",TODAY()&lt;J76),AND(L76&lt;&gt;"",L76&lt;J76)),0,
   IF(L76="",
      NETWORKDAYS(J76,TODAY(),Hoja2!$A$2:$A$53),
      NETWORKDAYS(J76,L76,Hoja2!$A$2:$A$53)
   )
)</f>
        <v>1</v>
      </c>
      <c r="N76" s="77"/>
      <c r="O76" s="59">
        <v>46162</v>
      </c>
      <c r="P76" s="59">
        <v>46163</v>
      </c>
      <c r="Q76" s="43" t="s">
        <v>309</v>
      </c>
      <c r="R76" s="199" t="s">
        <v>440</v>
      </c>
      <c r="S76" s="106"/>
      <c r="T76" s="107"/>
      <c r="U76" s="107"/>
      <c r="V76" s="107"/>
      <c r="W76" s="107"/>
      <c r="X76" s="107"/>
      <c r="Y76" s="107"/>
      <c r="Z76" s="107"/>
      <c r="AA76" s="107"/>
      <c r="AB76" s="107"/>
      <c r="AC76" s="107"/>
      <c r="AD76" s="107"/>
      <c r="AE76" s="107"/>
      <c r="AF76" s="107"/>
      <c r="AG76" s="107"/>
      <c r="AH76" s="107"/>
      <c r="AI76" s="107"/>
      <c r="AJ76" s="107"/>
      <c r="AK76" s="107"/>
      <c r="AL76" s="107"/>
      <c r="AM76" s="107"/>
      <c r="AN76" s="108"/>
    </row>
    <row r="77" spans="1:40" ht="45">
      <c r="A77" s="98" t="s">
        <v>18</v>
      </c>
      <c r="B77" s="99" t="s">
        <v>310</v>
      </c>
      <c r="C77" s="93" t="s">
        <v>311</v>
      </c>
      <c r="D77" s="86" t="s">
        <v>312</v>
      </c>
      <c r="E77" s="94"/>
      <c r="F77" s="95" t="s">
        <v>27</v>
      </c>
      <c r="G77" s="87">
        <v>100</v>
      </c>
      <c r="H77" s="96">
        <f>IF(OR(J77="",K77="",K77&lt;J77),0,NETWORKDAYS(J77,K77,Hoja2!$A$2:$A$53))</f>
        <v>0</v>
      </c>
      <c r="I77" s="59">
        <v>46164</v>
      </c>
      <c r="J77" s="59">
        <v>46177</v>
      </c>
      <c r="K77" s="59">
        <v>46171</v>
      </c>
      <c r="L77" s="59">
        <v>46177</v>
      </c>
      <c r="M77" s="97">
        <f ca="1">IF(OR(J77="",AND(L77="",TODAY()&lt;J77),AND(L77&lt;&gt;"",L77&lt;J77)),0,
   IF(L77="",
      NETWORKDAYS(J77,TODAY(),Hoja2!$A$2:$A$53),
      NETWORKDAYS(J77,L77,Hoja2!$A$2:$A$53)
   )
)</f>
        <v>1</v>
      </c>
      <c r="N77" s="77"/>
      <c r="O77" s="59">
        <v>46177</v>
      </c>
      <c r="P77" s="59">
        <v>46177</v>
      </c>
      <c r="Q77" s="43" t="s">
        <v>313</v>
      </c>
      <c r="R77" s="199" t="s">
        <v>440</v>
      </c>
      <c r="S77" s="103"/>
      <c r="T77" s="104"/>
      <c r="U77" s="104"/>
      <c r="V77" s="104"/>
      <c r="W77" s="104"/>
      <c r="X77" s="104"/>
      <c r="Y77" s="104"/>
      <c r="Z77" s="104"/>
      <c r="AA77" s="104"/>
      <c r="AB77" s="104"/>
      <c r="AC77" s="104"/>
      <c r="AD77" s="104"/>
      <c r="AE77" s="104"/>
      <c r="AF77" s="104"/>
      <c r="AG77" s="104"/>
      <c r="AH77" s="104"/>
      <c r="AI77" s="104"/>
      <c r="AJ77" s="104"/>
      <c r="AK77" s="104"/>
      <c r="AL77" s="104"/>
      <c r="AM77" s="104"/>
      <c r="AN77" s="105"/>
    </row>
    <row r="78" spans="1:40" ht="63.75">
      <c r="A78" s="98" t="s">
        <v>18</v>
      </c>
      <c r="B78" s="99" t="s">
        <v>314</v>
      </c>
      <c r="C78" s="93" t="s">
        <v>315</v>
      </c>
      <c r="D78" s="86" t="s">
        <v>316</v>
      </c>
      <c r="E78" s="94"/>
      <c r="F78" s="95" t="s">
        <v>27</v>
      </c>
      <c r="G78" s="87">
        <v>100</v>
      </c>
      <c r="H78" s="96">
        <f>IF(OR(J78="",K78="",K78&lt;J78),0,NETWORKDAYS(J78,K78,Hoja2!$A$2:$A$53))</f>
        <v>20</v>
      </c>
      <c r="I78" s="59">
        <v>46132</v>
      </c>
      <c r="J78" s="59">
        <v>46132</v>
      </c>
      <c r="K78" s="59">
        <v>46161</v>
      </c>
      <c r="L78" s="59">
        <v>46162</v>
      </c>
      <c r="M78" s="97">
        <f ca="1">IF(OR(J78="",AND(L78="",TODAY()&lt;J78),AND(L78&lt;&gt;"",L78&lt;J78)),0,
   IF(L78="",
      NETWORKDAYS(J78,TODAY(),Hoja2!$A$2:$A$53),
      NETWORKDAYS(J78,L78,Hoja2!$A$2:$A$53)
   )
)</f>
        <v>21</v>
      </c>
      <c r="N78" s="59">
        <v>46162</v>
      </c>
      <c r="O78" s="77"/>
      <c r="P78" s="59">
        <v>46162</v>
      </c>
      <c r="Q78" s="43" t="s">
        <v>317</v>
      </c>
      <c r="R78" s="199" t="s">
        <v>440</v>
      </c>
      <c r="S78" s="106"/>
      <c r="T78" s="107"/>
      <c r="U78" s="107"/>
      <c r="V78" s="107"/>
      <c r="W78" s="107"/>
      <c r="X78" s="107"/>
      <c r="Y78" s="107"/>
      <c r="Z78" s="107"/>
      <c r="AA78" s="107"/>
      <c r="AB78" s="107"/>
      <c r="AC78" s="107"/>
      <c r="AD78" s="107"/>
      <c r="AE78" s="107"/>
      <c r="AF78" s="107"/>
      <c r="AG78" s="107"/>
      <c r="AH78" s="107"/>
      <c r="AI78" s="107"/>
      <c r="AJ78" s="107"/>
      <c r="AK78" s="107"/>
      <c r="AL78" s="107"/>
      <c r="AM78" s="107"/>
      <c r="AN78" s="108"/>
    </row>
    <row r="79" spans="1:40" ht="30">
      <c r="A79" s="98" t="s">
        <v>18</v>
      </c>
      <c r="B79" s="99" t="s">
        <v>318</v>
      </c>
      <c r="C79" s="93" t="s">
        <v>319</v>
      </c>
      <c r="D79" s="86" t="s">
        <v>320</v>
      </c>
      <c r="E79" s="94"/>
      <c r="F79" s="95" t="s">
        <v>27</v>
      </c>
      <c r="G79" s="87">
        <v>100</v>
      </c>
      <c r="H79" s="96">
        <f>IF(OR(J79="",K79="",K79&lt;J79),0,NETWORKDAYS(J79,K79,Hoja2!$A$2:$A$53))</f>
        <v>1</v>
      </c>
      <c r="I79" s="59">
        <v>46174</v>
      </c>
      <c r="J79" s="59">
        <v>46175</v>
      </c>
      <c r="K79" s="59">
        <v>46175</v>
      </c>
      <c r="L79" s="59">
        <v>46175</v>
      </c>
      <c r="M79" s="97">
        <f ca="1">IF(OR(J79="",AND(L79="",TODAY()&lt;J79),AND(L79&lt;&gt;"",L79&lt;J79)),0,
   IF(L79="",
      NETWORKDAYS(J79,TODAY(),Hoja2!$A$2:$A$53),
      NETWORKDAYS(J79,L79,Hoja2!$A$2:$A$53)
   )
)</f>
        <v>1</v>
      </c>
      <c r="N79" s="77"/>
      <c r="O79" s="59">
        <v>46175</v>
      </c>
      <c r="P79" s="59">
        <v>46175</v>
      </c>
      <c r="Q79" s="43" t="s">
        <v>321</v>
      </c>
      <c r="R79" s="199" t="s">
        <v>440</v>
      </c>
      <c r="S79" s="103"/>
      <c r="T79" s="104"/>
      <c r="U79" s="104"/>
      <c r="V79" s="104"/>
      <c r="W79" s="104"/>
      <c r="X79" s="104"/>
      <c r="Y79" s="104"/>
      <c r="Z79" s="104"/>
      <c r="AA79" s="104"/>
      <c r="AB79" s="104"/>
      <c r="AC79" s="104"/>
      <c r="AD79" s="104"/>
      <c r="AE79" s="104"/>
      <c r="AF79" s="104"/>
      <c r="AG79" s="104"/>
      <c r="AH79" s="104"/>
      <c r="AI79" s="104"/>
      <c r="AJ79" s="104"/>
      <c r="AK79" s="104"/>
      <c r="AL79" s="104"/>
      <c r="AM79" s="104"/>
      <c r="AN79" s="105"/>
    </row>
    <row r="80" spans="1:40" ht="45">
      <c r="A80" s="130" t="s">
        <v>18</v>
      </c>
      <c r="B80" s="131" t="s">
        <v>322</v>
      </c>
      <c r="C80" s="132" t="s">
        <v>323</v>
      </c>
      <c r="D80" s="138" t="s">
        <v>324</v>
      </c>
      <c r="E80" s="133"/>
      <c r="F80" s="134" t="s">
        <v>22</v>
      </c>
      <c r="G80" s="135">
        <v>0</v>
      </c>
      <c r="H80" s="152"/>
      <c r="I80" s="136"/>
      <c r="J80" s="136"/>
      <c r="K80" s="136"/>
      <c r="L80" s="136"/>
      <c r="M80" s="152"/>
      <c r="N80" s="136"/>
      <c r="O80" s="136"/>
      <c r="P80" s="136"/>
      <c r="Q80" s="137" t="s">
        <v>325</v>
      </c>
      <c r="R80" s="199" t="s">
        <v>440</v>
      </c>
      <c r="S80" s="106"/>
      <c r="T80" s="107"/>
      <c r="U80" s="107"/>
      <c r="V80" s="107"/>
      <c r="W80" s="107"/>
      <c r="X80" s="107"/>
      <c r="Y80" s="107"/>
      <c r="Z80" s="107"/>
      <c r="AA80" s="107"/>
      <c r="AB80" s="107"/>
      <c r="AC80" s="107"/>
      <c r="AD80" s="107"/>
      <c r="AE80" s="107"/>
      <c r="AF80" s="107"/>
      <c r="AG80" s="107"/>
      <c r="AH80" s="107"/>
      <c r="AI80" s="107"/>
      <c r="AJ80" s="107"/>
      <c r="AK80" s="107"/>
      <c r="AL80" s="107"/>
      <c r="AM80" s="107"/>
      <c r="AN80" s="108"/>
    </row>
    <row r="81" spans="1:40" ht="75">
      <c r="A81" s="98" t="s">
        <v>18</v>
      </c>
      <c r="B81" s="99" t="s">
        <v>326</v>
      </c>
      <c r="C81" s="93" t="s">
        <v>327</v>
      </c>
      <c r="D81" s="86" t="s">
        <v>328</v>
      </c>
      <c r="E81" s="94"/>
      <c r="F81" s="95" t="s">
        <v>27</v>
      </c>
      <c r="G81" s="87">
        <v>100</v>
      </c>
      <c r="H81" s="153"/>
      <c r="I81" s="59">
        <v>46178</v>
      </c>
      <c r="J81" s="59">
        <v>46178</v>
      </c>
      <c r="K81" s="77"/>
      <c r="L81" s="59">
        <v>46178</v>
      </c>
      <c r="M81" s="153"/>
      <c r="N81" s="77"/>
      <c r="O81" s="59">
        <v>46178</v>
      </c>
      <c r="P81" s="59">
        <v>46178</v>
      </c>
      <c r="Q81" s="43" t="s">
        <v>329</v>
      </c>
      <c r="R81" s="199" t="s">
        <v>440</v>
      </c>
      <c r="S81" s="103"/>
      <c r="T81" s="104"/>
      <c r="U81" s="104"/>
      <c r="V81" s="104"/>
      <c r="W81" s="104"/>
      <c r="X81" s="104"/>
      <c r="Y81" s="104"/>
      <c r="Z81" s="104"/>
      <c r="AA81" s="104"/>
      <c r="AB81" s="104"/>
      <c r="AC81" s="104"/>
      <c r="AD81" s="104"/>
      <c r="AE81" s="104"/>
      <c r="AF81" s="104"/>
      <c r="AG81" s="104"/>
      <c r="AH81" s="104"/>
      <c r="AI81" s="104"/>
      <c r="AJ81" s="104"/>
      <c r="AK81" s="104"/>
      <c r="AL81" s="104"/>
      <c r="AM81" s="104"/>
      <c r="AN81" s="105"/>
    </row>
    <row r="82" spans="1:40" ht="51">
      <c r="A82" s="98" t="s">
        <v>18</v>
      </c>
      <c r="B82" s="99" t="s">
        <v>330</v>
      </c>
      <c r="C82" s="93" t="s">
        <v>331</v>
      </c>
      <c r="D82" s="86" t="s">
        <v>332</v>
      </c>
      <c r="E82" s="94"/>
      <c r="F82" s="95" t="s">
        <v>27</v>
      </c>
      <c r="G82" s="87">
        <v>100</v>
      </c>
      <c r="H82" s="153"/>
      <c r="I82" s="59">
        <v>46178</v>
      </c>
      <c r="J82" s="59">
        <v>46178</v>
      </c>
      <c r="K82" s="77"/>
      <c r="L82" s="59">
        <v>46178</v>
      </c>
      <c r="M82" s="153"/>
      <c r="N82" s="77"/>
      <c r="O82" s="77"/>
      <c r="P82" s="77"/>
      <c r="Q82" s="43" t="s">
        <v>333</v>
      </c>
      <c r="R82" s="199" t="s">
        <v>440</v>
      </c>
      <c r="S82" s="106"/>
      <c r="T82" s="107"/>
      <c r="U82" s="107"/>
      <c r="V82" s="107"/>
      <c r="W82" s="107"/>
      <c r="X82" s="107"/>
      <c r="Y82" s="107"/>
      <c r="Z82" s="107"/>
      <c r="AA82" s="107"/>
      <c r="AB82" s="107"/>
      <c r="AC82" s="107"/>
      <c r="AD82" s="107"/>
      <c r="AE82" s="107"/>
      <c r="AF82" s="107"/>
      <c r="AG82" s="107"/>
      <c r="AH82" s="107"/>
      <c r="AI82" s="107"/>
      <c r="AJ82" s="107"/>
      <c r="AK82" s="107"/>
      <c r="AL82" s="107"/>
      <c r="AM82" s="107"/>
      <c r="AN82" s="108"/>
    </row>
    <row r="83" spans="1:40" ht="45">
      <c r="A83" s="98" t="s">
        <v>18</v>
      </c>
      <c r="B83" s="99" t="s">
        <v>334</v>
      </c>
      <c r="C83" s="93" t="s">
        <v>335</v>
      </c>
      <c r="D83" s="86" t="s">
        <v>336</v>
      </c>
      <c r="E83" s="94"/>
      <c r="F83" s="95" t="s">
        <v>27</v>
      </c>
      <c r="G83" s="87">
        <v>100</v>
      </c>
      <c r="H83" s="153"/>
      <c r="I83" s="59">
        <v>46183</v>
      </c>
      <c r="J83" s="59">
        <v>46183</v>
      </c>
      <c r="K83" s="77"/>
      <c r="L83" s="59">
        <v>46183</v>
      </c>
      <c r="M83" s="153"/>
      <c r="N83" s="77"/>
      <c r="O83" s="59">
        <v>46183</v>
      </c>
      <c r="P83" s="59">
        <v>46183</v>
      </c>
      <c r="Q83" s="43" t="s">
        <v>337</v>
      </c>
      <c r="R83" s="199" t="s">
        <v>440</v>
      </c>
      <c r="S83" s="103"/>
      <c r="T83" s="104"/>
      <c r="U83" s="104"/>
      <c r="V83" s="104"/>
      <c r="W83" s="104"/>
      <c r="X83" s="104"/>
      <c r="Y83" s="104"/>
      <c r="Z83" s="104"/>
      <c r="AA83" s="104"/>
      <c r="AB83" s="104"/>
      <c r="AC83" s="104"/>
      <c r="AD83" s="104"/>
      <c r="AE83" s="104"/>
      <c r="AF83" s="104"/>
      <c r="AG83" s="104"/>
      <c r="AH83" s="104"/>
      <c r="AI83" s="104"/>
      <c r="AJ83" s="104"/>
      <c r="AK83" s="104"/>
      <c r="AL83" s="104"/>
      <c r="AM83" s="104"/>
      <c r="AN83" s="105"/>
    </row>
    <row r="84" spans="1:40" ht="45">
      <c r="A84" s="130" t="s">
        <v>18</v>
      </c>
      <c r="B84" s="131" t="s">
        <v>338</v>
      </c>
      <c r="C84" s="132" t="s">
        <v>339</v>
      </c>
      <c r="D84" s="138" t="s">
        <v>340</v>
      </c>
      <c r="E84" s="133"/>
      <c r="F84" s="134" t="s">
        <v>225</v>
      </c>
      <c r="G84" s="135">
        <v>100</v>
      </c>
      <c r="H84" s="152"/>
      <c r="I84" s="140">
        <v>46182</v>
      </c>
      <c r="J84" s="140">
        <v>46184</v>
      </c>
      <c r="K84" s="136"/>
      <c r="L84" s="136"/>
      <c r="M84" s="152"/>
      <c r="N84" s="136"/>
      <c r="O84" s="140">
        <v>46190</v>
      </c>
      <c r="P84" s="140">
        <v>46191</v>
      </c>
      <c r="Q84" s="137" t="s">
        <v>341</v>
      </c>
      <c r="R84" s="199" t="s">
        <v>440</v>
      </c>
      <c r="S84" s="106"/>
      <c r="T84" s="107"/>
      <c r="U84" s="107"/>
      <c r="V84" s="107"/>
      <c r="W84" s="107"/>
      <c r="X84" s="107"/>
      <c r="Y84" s="107"/>
      <c r="Z84" s="107"/>
      <c r="AA84" s="107"/>
      <c r="AB84" s="107"/>
      <c r="AC84" s="107"/>
      <c r="AD84" s="107"/>
      <c r="AE84" s="107"/>
      <c r="AF84" s="107"/>
      <c r="AG84" s="107"/>
      <c r="AH84" s="107"/>
      <c r="AI84" s="107"/>
      <c r="AJ84" s="107"/>
      <c r="AK84" s="107"/>
      <c r="AL84" s="107"/>
      <c r="AM84" s="107"/>
      <c r="AN84" s="108"/>
    </row>
    <row r="85" spans="1:40" ht="45">
      <c r="A85" s="143" t="s">
        <v>18</v>
      </c>
      <c r="B85" s="144" t="s">
        <v>342</v>
      </c>
      <c r="C85" s="145" t="s">
        <v>343</v>
      </c>
      <c r="D85" s="146" t="s">
        <v>344</v>
      </c>
      <c r="E85" s="142"/>
      <c r="F85" s="147" t="s">
        <v>198</v>
      </c>
      <c r="G85" s="148">
        <v>0</v>
      </c>
      <c r="H85" s="154"/>
      <c r="I85" s="150"/>
      <c r="J85" s="150"/>
      <c r="K85" s="150"/>
      <c r="L85" s="150"/>
      <c r="M85" s="154"/>
      <c r="N85" s="150"/>
      <c r="O85" s="150"/>
      <c r="P85" s="150"/>
      <c r="Q85" s="155"/>
      <c r="R85" s="199" t="s">
        <v>440</v>
      </c>
      <c r="S85" s="103"/>
      <c r="T85" s="104"/>
      <c r="U85" s="104"/>
      <c r="V85" s="104"/>
      <c r="W85" s="104"/>
      <c r="X85" s="104"/>
      <c r="Y85" s="104"/>
      <c r="Z85" s="104"/>
      <c r="AA85" s="104"/>
      <c r="AB85" s="104"/>
      <c r="AC85" s="104"/>
      <c r="AD85" s="104"/>
      <c r="AE85" s="104"/>
      <c r="AF85" s="104"/>
      <c r="AG85" s="104"/>
      <c r="AH85" s="104"/>
      <c r="AI85" s="104"/>
      <c r="AJ85" s="104"/>
      <c r="AK85" s="104"/>
      <c r="AL85" s="104"/>
      <c r="AM85" s="104"/>
      <c r="AN85" s="105"/>
    </row>
    <row r="86" spans="1:40" ht="45">
      <c r="A86" s="130" t="s">
        <v>18</v>
      </c>
      <c r="B86" s="131" t="s">
        <v>345</v>
      </c>
      <c r="C86" s="132" t="s">
        <v>346</v>
      </c>
      <c r="D86" s="138" t="s">
        <v>347</v>
      </c>
      <c r="E86" s="133"/>
      <c r="F86" s="134" t="s">
        <v>198</v>
      </c>
      <c r="G86" s="135">
        <v>0</v>
      </c>
      <c r="H86" s="152"/>
      <c r="I86" s="136"/>
      <c r="J86" s="136"/>
      <c r="K86" s="136"/>
      <c r="L86" s="136"/>
      <c r="M86" s="152"/>
      <c r="N86" s="136"/>
      <c r="O86" s="136"/>
      <c r="P86" s="136"/>
      <c r="Q86" s="156"/>
      <c r="R86" s="199" t="s">
        <v>440</v>
      </c>
      <c r="S86" s="106"/>
      <c r="T86" s="107"/>
      <c r="U86" s="107"/>
      <c r="V86" s="107"/>
      <c r="W86" s="107"/>
      <c r="X86" s="107"/>
      <c r="Y86" s="107"/>
      <c r="Z86" s="107"/>
      <c r="AA86" s="107"/>
      <c r="AB86" s="107"/>
      <c r="AC86" s="107"/>
      <c r="AD86" s="107"/>
      <c r="AE86" s="107"/>
      <c r="AF86" s="107"/>
      <c r="AG86" s="107"/>
      <c r="AH86" s="107"/>
      <c r="AI86" s="107"/>
      <c r="AJ86" s="107"/>
      <c r="AK86" s="107"/>
      <c r="AL86" s="107"/>
      <c r="AM86" s="107"/>
      <c r="AN86" s="108"/>
    </row>
    <row r="87" spans="1:40" ht="75">
      <c r="A87" s="98" t="s">
        <v>18</v>
      </c>
      <c r="B87" s="99" t="s">
        <v>348</v>
      </c>
      <c r="C87" s="93" t="s">
        <v>349</v>
      </c>
      <c r="D87" s="86" t="s">
        <v>350</v>
      </c>
      <c r="E87" s="94"/>
      <c r="F87" s="95" t="s">
        <v>27</v>
      </c>
      <c r="G87" s="87">
        <v>100</v>
      </c>
      <c r="H87" s="153"/>
      <c r="I87" s="59">
        <v>46185</v>
      </c>
      <c r="J87" s="59">
        <v>46185</v>
      </c>
      <c r="K87" s="59">
        <v>46189</v>
      </c>
      <c r="L87" s="59">
        <v>46189</v>
      </c>
      <c r="M87" s="153"/>
      <c r="N87" s="77"/>
      <c r="O87" s="59">
        <v>46189</v>
      </c>
      <c r="P87" s="59">
        <v>46189</v>
      </c>
      <c r="Q87" s="43" t="s">
        <v>351</v>
      </c>
      <c r="R87" s="199" t="s">
        <v>440</v>
      </c>
      <c r="S87" s="103"/>
      <c r="T87" s="104"/>
      <c r="U87" s="104"/>
      <c r="V87" s="104"/>
      <c r="W87" s="104"/>
      <c r="X87" s="104"/>
      <c r="Y87" s="104"/>
      <c r="Z87" s="104"/>
      <c r="AA87" s="104"/>
      <c r="AB87" s="104"/>
      <c r="AC87" s="104"/>
      <c r="AD87" s="104"/>
      <c r="AE87" s="104"/>
      <c r="AF87" s="104"/>
      <c r="AG87" s="104"/>
      <c r="AH87" s="104"/>
      <c r="AI87" s="104"/>
      <c r="AJ87" s="104"/>
      <c r="AK87" s="104"/>
      <c r="AL87" s="104"/>
      <c r="AM87" s="104"/>
      <c r="AN87" s="105"/>
    </row>
    <row r="88" spans="1:40" ht="25.5">
      <c r="A88" s="130" t="s">
        <v>18</v>
      </c>
      <c r="B88" s="131" t="s">
        <v>352</v>
      </c>
      <c r="C88" s="132" t="s">
        <v>232</v>
      </c>
      <c r="D88" s="138" t="s">
        <v>353</v>
      </c>
      <c r="E88" s="133"/>
      <c r="F88" s="134" t="s">
        <v>27</v>
      </c>
      <c r="G88" s="135">
        <v>100</v>
      </c>
      <c r="H88" s="152"/>
      <c r="I88" s="140">
        <v>46192</v>
      </c>
      <c r="J88" s="140">
        <v>46192</v>
      </c>
      <c r="K88" s="140"/>
      <c r="L88" s="140">
        <v>46192</v>
      </c>
      <c r="M88" s="152"/>
      <c r="N88" s="136"/>
      <c r="O88" s="136"/>
      <c r="P88" s="136"/>
      <c r="Q88" s="137" t="s">
        <v>354</v>
      </c>
      <c r="R88" s="199" t="s">
        <v>440</v>
      </c>
      <c r="S88" s="106"/>
      <c r="T88" s="107"/>
      <c r="U88" s="107"/>
      <c r="V88" s="107"/>
      <c r="W88" s="107"/>
      <c r="X88" s="107"/>
      <c r="Y88" s="107"/>
      <c r="Z88" s="107"/>
      <c r="AA88" s="107"/>
      <c r="AB88" s="107"/>
      <c r="AC88" s="107"/>
      <c r="AD88" s="107"/>
      <c r="AE88" s="107"/>
      <c r="AF88" s="107"/>
      <c r="AG88" s="107"/>
      <c r="AH88" s="107"/>
      <c r="AI88" s="107"/>
      <c r="AJ88" s="107"/>
      <c r="AK88" s="107"/>
      <c r="AL88" s="107"/>
      <c r="AM88" s="107"/>
      <c r="AN88" s="108"/>
    </row>
    <row r="89" spans="1:40" ht="45">
      <c r="A89" s="143" t="s">
        <v>18</v>
      </c>
      <c r="B89" s="144" t="s">
        <v>355</v>
      </c>
      <c r="C89" s="145" t="s">
        <v>356</v>
      </c>
      <c r="D89" s="146" t="s">
        <v>357</v>
      </c>
      <c r="E89" s="142"/>
      <c r="F89" s="147" t="s">
        <v>198</v>
      </c>
      <c r="G89" s="148">
        <v>0</v>
      </c>
      <c r="H89" s="154"/>
      <c r="I89" s="149">
        <v>46192</v>
      </c>
      <c r="J89" s="150"/>
      <c r="K89" s="150"/>
      <c r="L89" s="150"/>
      <c r="M89" s="154"/>
      <c r="N89" s="150"/>
      <c r="O89" s="150"/>
      <c r="P89" s="150"/>
      <c r="Q89" s="155"/>
      <c r="R89" s="199" t="s">
        <v>440</v>
      </c>
      <c r="S89" s="103"/>
      <c r="T89" s="104"/>
      <c r="U89" s="104"/>
      <c r="V89" s="104"/>
      <c r="W89" s="104"/>
      <c r="X89" s="104"/>
      <c r="Y89" s="104"/>
      <c r="Z89" s="104"/>
      <c r="AA89" s="104"/>
      <c r="AB89" s="104"/>
      <c r="AC89" s="104"/>
      <c r="AD89" s="104"/>
      <c r="AE89" s="104"/>
      <c r="AF89" s="104"/>
      <c r="AG89" s="104"/>
      <c r="AH89" s="104"/>
      <c r="AI89" s="104"/>
      <c r="AJ89" s="104"/>
      <c r="AK89" s="104"/>
      <c r="AL89" s="104"/>
      <c r="AM89" s="104"/>
      <c r="AN89" s="105"/>
    </row>
  </sheetData>
  <autoFilter ref="A1:AN89"/>
  <conditionalFormatting sqref="B2:B89">
    <cfRule type="expression" dxfId="0" priority="2">
      <formula>COUNTIF(B$2:B$89,B2)&gt;1</formula>
    </cfRule>
  </conditionalFormatting>
  <dataValidations count="2">
    <dataValidation type="custom" allowBlank="1" showDropDown="1" sqref="I2:L89 N2:P89">
      <formula1>OR(NOT(ISERROR(DATEVALUE(I2))), AND(ISNUMBER(I2), LEFT(CELL("format", I2))="D"))</formula1>
    </dataValidation>
    <dataValidation type="list" allowBlank="1" sqref="F2:F89">
      <formula1>"FINALIZADO,EN PROCESO,PAUSADO,EN TEST,PENDIENTE,PRUEBAS TRIACOL,PRUEBAS IMAGINE,PASO A PRODUCCION,PENDIENTE CLIENTE"</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1.21875" defaultRowHeight="15" customHeight="1"/>
  <cols>
    <col min="1" max="6" width="10.5546875" customWidth="1"/>
  </cols>
  <sheetData>
    <row r="1" spans="1:2" ht="17.25" customHeight="1">
      <c r="A1" s="157">
        <v>45292</v>
      </c>
      <c r="B1" s="158" t="s">
        <v>358</v>
      </c>
    </row>
    <row r="2" spans="1:2" ht="17.25" customHeight="1">
      <c r="A2" s="157">
        <v>45299</v>
      </c>
      <c r="B2" s="158" t="s">
        <v>359</v>
      </c>
    </row>
    <row r="3" spans="1:2" ht="17.25" customHeight="1">
      <c r="A3" s="157">
        <v>45376</v>
      </c>
      <c r="B3" s="158" t="s">
        <v>360</v>
      </c>
    </row>
    <row r="4" spans="1:2" ht="17.25" customHeight="1">
      <c r="A4" s="157">
        <v>45379</v>
      </c>
      <c r="B4" s="158" t="s">
        <v>361</v>
      </c>
    </row>
    <row r="5" spans="1:2" ht="17.25" customHeight="1">
      <c r="A5" s="157">
        <v>45380</v>
      </c>
      <c r="B5" s="158" t="s">
        <v>362</v>
      </c>
    </row>
    <row r="6" spans="1:2" ht="17.25" customHeight="1">
      <c r="A6" s="157">
        <v>45413</v>
      </c>
      <c r="B6" s="158" t="s">
        <v>363</v>
      </c>
    </row>
    <row r="7" spans="1:2" ht="17.25" customHeight="1">
      <c r="A7" s="157">
        <v>45425</v>
      </c>
      <c r="B7" s="158" t="s">
        <v>364</v>
      </c>
    </row>
    <row r="8" spans="1:2" ht="17.25" customHeight="1">
      <c r="A8" s="157">
        <v>45446</v>
      </c>
      <c r="B8" s="158" t="s">
        <v>365</v>
      </c>
    </row>
    <row r="9" spans="1:2" ht="17.25" customHeight="1">
      <c r="A9" s="157">
        <v>45453</v>
      </c>
      <c r="B9" s="158" t="s">
        <v>366</v>
      </c>
    </row>
    <row r="10" spans="1:2" ht="17.25" customHeight="1">
      <c r="A10" s="157">
        <v>45474</v>
      </c>
      <c r="B10" s="158" t="s">
        <v>367</v>
      </c>
    </row>
    <row r="11" spans="1:2" ht="17.25" customHeight="1">
      <c r="A11" s="157">
        <v>45493</v>
      </c>
      <c r="B11" s="158" t="s">
        <v>368</v>
      </c>
    </row>
    <row r="12" spans="1:2" ht="17.25" customHeight="1">
      <c r="A12" s="157">
        <v>45511</v>
      </c>
      <c r="B12" s="158" t="s">
        <v>369</v>
      </c>
    </row>
    <row r="13" spans="1:2" ht="17.25" customHeight="1">
      <c r="A13" s="157">
        <v>45523</v>
      </c>
      <c r="B13" s="158" t="s">
        <v>370</v>
      </c>
    </row>
    <row r="14" spans="1:2" ht="17.25" customHeight="1">
      <c r="A14" s="157">
        <v>45579</v>
      </c>
      <c r="B14" s="158" t="s">
        <v>371</v>
      </c>
    </row>
    <row r="15" spans="1:2" ht="17.25" customHeight="1">
      <c r="A15" s="157">
        <v>45600</v>
      </c>
      <c r="B15" s="158" t="s">
        <v>372</v>
      </c>
    </row>
    <row r="16" spans="1:2" ht="17.25" customHeight="1">
      <c r="A16" s="157">
        <v>45607</v>
      </c>
      <c r="B16" s="158" t="s">
        <v>373</v>
      </c>
    </row>
    <row r="17" spans="1:2" ht="17.25" customHeight="1">
      <c r="A17" s="157">
        <v>45634</v>
      </c>
      <c r="B17" s="158" t="s">
        <v>374</v>
      </c>
    </row>
    <row r="18" spans="1:2" ht="17.25" customHeight="1">
      <c r="A18" s="157">
        <v>45651</v>
      </c>
      <c r="B18" s="158" t="s">
        <v>375</v>
      </c>
    </row>
    <row r="19" spans="1:2" ht="17.25" customHeight="1">
      <c r="A19" s="157">
        <v>45658</v>
      </c>
      <c r="B19" s="159" t="s">
        <v>376</v>
      </c>
    </row>
    <row r="20" spans="1:2" ht="17.25" customHeight="1">
      <c r="A20" s="157">
        <v>45663</v>
      </c>
      <c r="B20" s="159" t="s">
        <v>377</v>
      </c>
    </row>
    <row r="21" spans="1:2" ht="17.25" customHeight="1">
      <c r="A21" s="157">
        <v>45740</v>
      </c>
      <c r="B21" s="159" t="s">
        <v>378</v>
      </c>
    </row>
    <row r="22" spans="1:2" ht="17.25" customHeight="1">
      <c r="A22" s="157">
        <v>45764</v>
      </c>
      <c r="B22" s="159" t="s">
        <v>379</v>
      </c>
    </row>
    <row r="23" spans="1:2" ht="17.25" customHeight="1">
      <c r="A23" s="157">
        <v>45765</v>
      </c>
      <c r="B23" s="159" t="s">
        <v>380</v>
      </c>
    </row>
    <row r="24" spans="1:2" ht="17.25" customHeight="1">
      <c r="A24" s="157">
        <v>45778</v>
      </c>
      <c r="B24" s="159" t="s">
        <v>381</v>
      </c>
    </row>
    <row r="25" spans="1:2" ht="17.25" customHeight="1">
      <c r="A25" s="157">
        <v>45810</v>
      </c>
      <c r="B25" s="159" t="s">
        <v>382</v>
      </c>
    </row>
    <row r="26" spans="1:2" ht="17.25" customHeight="1">
      <c r="A26" s="157">
        <v>45831</v>
      </c>
      <c r="B26" s="159" t="s">
        <v>383</v>
      </c>
    </row>
    <row r="27" spans="1:2" ht="17.25" customHeight="1">
      <c r="A27" s="157">
        <v>45838</v>
      </c>
      <c r="B27" s="159" t="s">
        <v>384</v>
      </c>
    </row>
    <row r="28" spans="1:2" ht="17.25" customHeight="1">
      <c r="A28" s="157">
        <v>45858</v>
      </c>
      <c r="B28" s="159" t="s">
        <v>385</v>
      </c>
    </row>
    <row r="29" spans="1:2" ht="17.25" customHeight="1">
      <c r="A29" s="157">
        <v>45876</v>
      </c>
      <c r="B29" s="159" t="s">
        <v>386</v>
      </c>
    </row>
    <row r="30" spans="1:2" ht="17.25" customHeight="1">
      <c r="A30" s="157">
        <v>45887</v>
      </c>
      <c r="B30" s="159" t="s">
        <v>387</v>
      </c>
    </row>
    <row r="31" spans="1:2" ht="17.25" customHeight="1">
      <c r="A31" s="157">
        <v>45943</v>
      </c>
      <c r="B31" s="159" t="s">
        <v>388</v>
      </c>
    </row>
    <row r="32" spans="1:2" ht="17.25" customHeight="1">
      <c r="A32" s="157">
        <v>45964</v>
      </c>
      <c r="B32" s="159" t="s">
        <v>389</v>
      </c>
    </row>
    <row r="33" spans="1:2" ht="17.25" customHeight="1">
      <c r="A33" s="157">
        <v>45978</v>
      </c>
      <c r="B33" s="159" t="s">
        <v>390</v>
      </c>
    </row>
    <row r="34" spans="1:2" ht="17.25" customHeight="1">
      <c r="A34" s="157">
        <v>45999</v>
      </c>
      <c r="B34" s="159" t="s">
        <v>391</v>
      </c>
    </row>
    <row r="35" spans="1:2" ht="17.25" customHeight="1">
      <c r="A35" s="157">
        <v>46016</v>
      </c>
      <c r="B35" s="159" t="s">
        <v>392</v>
      </c>
    </row>
    <row r="36" spans="1:2" ht="17.25" customHeight="1">
      <c r="A36" s="157">
        <v>46023</v>
      </c>
      <c r="B36" s="159" t="s">
        <v>376</v>
      </c>
    </row>
    <row r="37" spans="1:2" ht="17.25" customHeight="1">
      <c r="A37" s="157">
        <v>46034</v>
      </c>
      <c r="B37" s="159" t="s">
        <v>377</v>
      </c>
    </row>
    <row r="38" spans="1:2" ht="17.25" customHeight="1">
      <c r="A38" s="157">
        <v>46104</v>
      </c>
      <c r="B38" s="159" t="s">
        <v>378</v>
      </c>
    </row>
    <row r="39" spans="1:2" ht="17.25" customHeight="1">
      <c r="A39" s="157">
        <v>46114</v>
      </c>
      <c r="B39" s="159" t="s">
        <v>379</v>
      </c>
    </row>
    <row r="40" spans="1:2" ht="17.25" customHeight="1">
      <c r="A40" s="157">
        <v>46115</v>
      </c>
      <c r="B40" s="159" t="s">
        <v>380</v>
      </c>
    </row>
    <row r="41" spans="1:2" ht="17.25" customHeight="1">
      <c r="A41" s="157">
        <v>46143</v>
      </c>
      <c r="B41" s="159" t="s">
        <v>381</v>
      </c>
    </row>
    <row r="42" spans="1:2" ht="17.25" customHeight="1">
      <c r="A42" s="157">
        <v>46160</v>
      </c>
      <c r="B42" s="159" t="s">
        <v>382</v>
      </c>
    </row>
    <row r="43" spans="1:2" ht="17.25" customHeight="1">
      <c r="A43" s="157">
        <v>46181</v>
      </c>
      <c r="B43" s="159" t="s">
        <v>383</v>
      </c>
    </row>
    <row r="44" spans="1:2" ht="17.25" customHeight="1">
      <c r="A44" s="157">
        <v>46188</v>
      </c>
      <c r="B44" s="159" t="s">
        <v>393</v>
      </c>
    </row>
    <row r="45" spans="1:2" ht="17.25" customHeight="1">
      <c r="A45" s="157">
        <v>46202</v>
      </c>
      <c r="B45" s="159" t="s">
        <v>394</v>
      </c>
    </row>
    <row r="46" spans="1:2" ht="17.25" customHeight="1">
      <c r="A46" s="157">
        <v>46223</v>
      </c>
      <c r="B46" s="159" t="s">
        <v>385</v>
      </c>
    </row>
    <row r="47" spans="1:2" ht="17.25" customHeight="1">
      <c r="A47" s="157">
        <v>46241</v>
      </c>
      <c r="B47" s="159" t="s">
        <v>386</v>
      </c>
    </row>
    <row r="48" spans="1:2" ht="17.25" customHeight="1">
      <c r="A48" s="157">
        <v>46251</v>
      </c>
      <c r="B48" s="159" t="s">
        <v>387</v>
      </c>
    </row>
    <row r="49" spans="1:2" ht="17.25" customHeight="1">
      <c r="A49" s="157">
        <v>46307</v>
      </c>
      <c r="B49" s="159" t="s">
        <v>388</v>
      </c>
    </row>
    <row r="50" spans="1:2" ht="17.25" customHeight="1">
      <c r="A50" s="157">
        <v>46328</v>
      </c>
      <c r="B50" s="159" t="s">
        <v>389</v>
      </c>
    </row>
    <row r="51" spans="1:2" ht="17.25" customHeight="1">
      <c r="A51" s="157">
        <v>46342</v>
      </c>
      <c r="B51" s="159" t="s">
        <v>390</v>
      </c>
    </row>
    <row r="52" spans="1:2" ht="17.25" customHeight="1">
      <c r="A52" s="157">
        <v>46364</v>
      </c>
      <c r="B52" s="159" t="s">
        <v>391</v>
      </c>
    </row>
    <row r="53" spans="1:2" ht="17.25" customHeight="1">
      <c r="A53" s="157">
        <v>46381</v>
      </c>
      <c r="B53" s="159" t="s">
        <v>392</v>
      </c>
    </row>
    <row r="54" spans="1:2" ht="17.25" customHeight="1"/>
    <row r="55" spans="1:2" ht="17.25" customHeight="1"/>
    <row r="56" spans="1:2" ht="17.25" customHeight="1"/>
    <row r="57" spans="1:2" ht="17.25" customHeight="1"/>
    <row r="58" spans="1:2" ht="17.25" customHeight="1"/>
    <row r="59" spans="1:2" ht="17.25" customHeight="1"/>
    <row r="60" spans="1:2" ht="17.25" customHeight="1"/>
    <row r="61" spans="1:2" ht="17.25" customHeight="1"/>
    <row r="62" spans="1:2" ht="17.25" customHeight="1"/>
    <row r="63" spans="1:2" ht="17.25" customHeight="1"/>
    <row r="64" spans="1:2"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1.21875" defaultRowHeight="15" customHeight="1"/>
  <cols>
    <col min="1" max="1" width="18" customWidth="1"/>
    <col min="2" max="10" width="10.5546875" customWidth="1"/>
    <col min="11" max="12" width="13.5546875" customWidth="1"/>
    <col min="13" max="26" width="10.5546875" customWidth="1"/>
  </cols>
  <sheetData>
    <row r="1" spans="1:97" ht="15.75">
      <c r="A1" s="160" t="s">
        <v>395</v>
      </c>
      <c r="B1" s="161"/>
      <c r="C1" s="161"/>
      <c r="D1" s="161"/>
      <c r="E1" s="161"/>
      <c r="F1" s="161"/>
      <c r="G1" s="161"/>
      <c r="H1" s="161"/>
      <c r="I1" s="161"/>
      <c r="J1" s="161"/>
      <c r="K1" s="161"/>
      <c r="L1" s="161"/>
      <c r="M1" s="161"/>
      <c r="N1" s="161"/>
      <c r="O1" s="161"/>
      <c r="P1" s="161"/>
      <c r="Q1" s="161"/>
      <c r="R1" s="161"/>
      <c r="S1" s="161"/>
      <c r="T1" s="161"/>
      <c r="U1" s="161"/>
      <c r="V1" s="161"/>
      <c r="W1" s="161"/>
      <c r="X1" s="161"/>
      <c r="Y1" s="161"/>
      <c r="Z1" s="161"/>
    </row>
    <row r="2" spans="1:97">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row>
    <row r="3" spans="1:97" ht="32.25" customHeight="1">
      <c r="A3" s="162" t="s">
        <v>396</v>
      </c>
      <c r="B3" s="163">
        <v>45596</v>
      </c>
      <c r="C3" s="163">
        <v>45597</v>
      </c>
      <c r="D3" s="163">
        <v>45601</v>
      </c>
      <c r="E3" s="163">
        <v>45602</v>
      </c>
      <c r="F3" s="163">
        <v>45603</v>
      </c>
      <c r="G3" s="163">
        <v>45604</v>
      </c>
      <c r="H3" s="163">
        <v>45608</v>
      </c>
      <c r="I3" s="163">
        <v>45609</v>
      </c>
      <c r="J3" s="163">
        <v>45610</v>
      </c>
      <c r="K3" s="163">
        <v>45611</v>
      </c>
      <c r="L3" s="163">
        <v>45614</v>
      </c>
      <c r="M3" s="163">
        <v>45615</v>
      </c>
      <c r="N3" s="163">
        <v>45616</v>
      </c>
      <c r="O3" s="163">
        <v>45617</v>
      </c>
      <c r="P3" s="163">
        <v>45618</v>
      </c>
      <c r="Q3" s="164">
        <v>45621</v>
      </c>
      <c r="R3" s="164">
        <v>45622</v>
      </c>
      <c r="S3" s="164">
        <v>45623</v>
      </c>
      <c r="T3" s="164">
        <v>45624</v>
      </c>
      <c r="U3" s="164">
        <v>45625</v>
      </c>
      <c r="V3" s="164">
        <v>45628</v>
      </c>
      <c r="W3" s="164">
        <v>45629</v>
      </c>
      <c r="X3" s="164">
        <v>45630</v>
      </c>
      <c r="Y3" s="164">
        <v>45631</v>
      </c>
      <c r="Z3" s="164">
        <v>45632</v>
      </c>
      <c r="AA3" s="164">
        <v>45635</v>
      </c>
      <c r="AB3" s="164">
        <v>45636</v>
      </c>
      <c r="AC3" s="164">
        <v>45637</v>
      </c>
      <c r="AD3" s="164">
        <v>45638</v>
      </c>
      <c r="AE3" s="165">
        <v>45639</v>
      </c>
      <c r="AF3" s="163">
        <v>45642</v>
      </c>
      <c r="AG3" s="163">
        <v>45643</v>
      </c>
      <c r="AH3" s="163">
        <v>45644</v>
      </c>
      <c r="AI3" s="163">
        <v>45645</v>
      </c>
      <c r="AJ3" s="163">
        <v>45646</v>
      </c>
      <c r="AK3" s="163">
        <v>45649</v>
      </c>
      <c r="AL3" s="163">
        <v>45650</v>
      </c>
      <c r="AM3" s="163">
        <v>45652</v>
      </c>
      <c r="AN3" s="163">
        <v>45653</v>
      </c>
      <c r="AO3" s="163">
        <v>45656</v>
      </c>
      <c r="AP3" s="163">
        <v>45656</v>
      </c>
      <c r="AQ3" s="163">
        <v>45664</v>
      </c>
      <c r="AR3" s="163">
        <v>45665</v>
      </c>
      <c r="AS3" s="163">
        <v>45666</v>
      </c>
      <c r="AT3" s="163">
        <v>45667</v>
      </c>
      <c r="AU3" s="163">
        <v>45670</v>
      </c>
      <c r="AV3" s="163">
        <v>45671</v>
      </c>
      <c r="AW3" s="163">
        <v>45672</v>
      </c>
      <c r="AX3" s="163">
        <v>45673</v>
      </c>
      <c r="AY3" s="163">
        <v>45674</v>
      </c>
      <c r="AZ3" s="163">
        <v>45677</v>
      </c>
      <c r="BA3" s="163">
        <v>45678</v>
      </c>
      <c r="BB3" s="163">
        <v>45679</v>
      </c>
      <c r="BC3" s="163">
        <v>45680</v>
      </c>
      <c r="BD3" s="163">
        <v>45681</v>
      </c>
      <c r="BE3" s="163">
        <v>45684</v>
      </c>
      <c r="BF3" s="163">
        <v>45685</v>
      </c>
      <c r="BG3" s="163">
        <v>45686</v>
      </c>
      <c r="BH3" s="163">
        <v>45687</v>
      </c>
      <c r="BI3" s="163">
        <v>45688</v>
      </c>
      <c r="BJ3" s="164">
        <v>45691</v>
      </c>
      <c r="BK3" s="164">
        <v>45692</v>
      </c>
      <c r="BL3" s="164">
        <v>45693</v>
      </c>
      <c r="BM3" s="164">
        <v>45694</v>
      </c>
      <c r="BN3" s="164">
        <v>45695</v>
      </c>
      <c r="BO3" s="164">
        <v>45698</v>
      </c>
      <c r="BP3" s="164">
        <v>45699</v>
      </c>
      <c r="BQ3" s="164">
        <v>45700</v>
      </c>
      <c r="BR3" s="164">
        <v>45701</v>
      </c>
      <c r="BS3" s="164">
        <v>45702</v>
      </c>
      <c r="BT3" s="164">
        <v>45705</v>
      </c>
      <c r="BU3" s="164">
        <v>45706</v>
      </c>
      <c r="BV3" s="164">
        <v>45707</v>
      </c>
      <c r="BW3" s="164">
        <v>45708</v>
      </c>
      <c r="BX3" s="164">
        <v>45709</v>
      </c>
      <c r="BY3" s="164">
        <v>45712</v>
      </c>
      <c r="BZ3" s="164">
        <v>45713</v>
      </c>
      <c r="CA3" s="164">
        <v>45714</v>
      </c>
      <c r="CB3" s="164">
        <v>45715</v>
      </c>
      <c r="CC3" s="164">
        <v>45716</v>
      </c>
      <c r="CD3" s="164">
        <v>45719</v>
      </c>
      <c r="CE3" s="164">
        <v>45720</v>
      </c>
      <c r="CF3" s="164">
        <v>45721</v>
      </c>
      <c r="CG3" s="164">
        <v>45722</v>
      </c>
      <c r="CH3" s="164">
        <v>45723</v>
      </c>
      <c r="CI3" s="164">
        <v>45726</v>
      </c>
      <c r="CJ3" s="164">
        <v>45727</v>
      </c>
      <c r="CK3" s="164">
        <v>45728</v>
      </c>
      <c r="CL3" s="164">
        <v>45729</v>
      </c>
      <c r="CM3" s="164">
        <v>45730</v>
      </c>
      <c r="CN3" s="164">
        <v>45733</v>
      </c>
      <c r="CO3" s="164">
        <v>45734</v>
      </c>
      <c r="CP3" s="164">
        <v>45735</v>
      </c>
      <c r="CQ3" s="164">
        <v>45736</v>
      </c>
      <c r="CR3" s="164">
        <v>45737</v>
      </c>
      <c r="CS3" s="164">
        <v>45741</v>
      </c>
    </row>
    <row r="4" spans="1:97" ht="30.75" customHeight="1">
      <c r="A4" s="166" t="s">
        <v>397</v>
      </c>
      <c r="B4" s="167" t="s">
        <v>398</v>
      </c>
      <c r="C4" s="168" t="s">
        <v>399</v>
      </c>
      <c r="D4" s="169" t="s">
        <v>398</v>
      </c>
      <c r="E4" s="169" t="s">
        <v>398</v>
      </c>
      <c r="F4" s="169" t="s">
        <v>398</v>
      </c>
      <c r="G4" s="169" t="s">
        <v>398</v>
      </c>
      <c r="H4" s="169" t="s">
        <v>398</v>
      </c>
      <c r="I4" s="169" t="s">
        <v>398</v>
      </c>
      <c r="J4" s="169" t="s">
        <v>398</v>
      </c>
      <c r="K4" s="169" t="s">
        <v>398</v>
      </c>
      <c r="L4" s="169" t="s">
        <v>398</v>
      </c>
      <c r="M4" s="169" t="s">
        <v>398</v>
      </c>
      <c r="N4" s="169" t="s">
        <v>398</v>
      </c>
      <c r="O4" s="169" t="s">
        <v>400</v>
      </c>
      <c r="P4" s="170" t="s">
        <v>398</v>
      </c>
      <c r="Q4" s="169" t="s">
        <v>398</v>
      </c>
      <c r="R4" s="169" t="s">
        <v>398</v>
      </c>
      <c r="S4" s="169" t="s">
        <v>398</v>
      </c>
      <c r="T4" s="169" t="s">
        <v>398</v>
      </c>
      <c r="U4" s="170" t="s">
        <v>401</v>
      </c>
      <c r="V4" s="169" t="s">
        <v>398</v>
      </c>
      <c r="W4" s="169" t="s">
        <v>398</v>
      </c>
      <c r="X4" s="169" t="s">
        <v>398</v>
      </c>
      <c r="Y4" s="169" t="s">
        <v>398</v>
      </c>
      <c r="Z4" s="169" t="s">
        <v>398</v>
      </c>
      <c r="AA4" s="169" t="s">
        <v>398</v>
      </c>
      <c r="AB4" s="169" t="s">
        <v>398</v>
      </c>
      <c r="AC4" s="169" t="s">
        <v>398</v>
      </c>
      <c r="AD4" s="169" t="s">
        <v>398</v>
      </c>
      <c r="AE4" s="195" t="s">
        <v>402</v>
      </c>
      <c r="AF4" s="169" t="s">
        <v>398</v>
      </c>
      <c r="AG4" s="169" t="s">
        <v>398</v>
      </c>
      <c r="AH4" s="169" t="s">
        <v>398</v>
      </c>
      <c r="AI4" s="169" t="s">
        <v>398</v>
      </c>
      <c r="AJ4" s="169" t="s">
        <v>398</v>
      </c>
      <c r="AK4" s="169" t="s">
        <v>398</v>
      </c>
      <c r="AL4" s="195" t="s">
        <v>403</v>
      </c>
      <c r="AM4" s="169" t="s">
        <v>401</v>
      </c>
      <c r="AN4" s="169" t="s">
        <v>401</v>
      </c>
      <c r="AO4" s="169" t="s">
        <v>398</v>
      </c>
      <c r="AP4" s="195" t="s">
        <v>404</v>
      </c>
      <c r="AQ4" s="169" t="s">
        <v>398</v>
      </c>
      <c r="AR4" s="169" t="s">
        <v>398</v>
      </c>
      <c r="AS4" s="195" t="s">
        <v>404</v>
      </c>
      <c r="AT4" s="171" t="s">
        <v>398</v>
      </c>
      <c r="AU4" s="169" t="s">
        <v>398</v>
      </c>
      <c r="AV4" s="169" t="s">
        <v>398</v>
      </c>
      <c r="AW4" s="169" t="s">
        <v>398</v>
      </c>
      <c r="AX4" s="169" t="s">
        <v>398</v>
      </c>
      <c r="AY4" s="195" t="s">
        <v>404</v>
      </c>
      <c r="AZ4" s="169" t="s">
        <v>398</v>
      </c>
      <c r="BA4" s="169" t="s">
        <v>398</v>
      </c>
      <c r="BB4" s="169" t="s">
        <v>398</v>
      </c>
      <c r="BC4" s="169" t="s">
        <v>398</v>
      </c>
      <c r="BD4" s="169" t="s">
        <v>398</v>
      </c>
      <c r="BE4" s="169" t="s">
        <v>398</v>
      </c>
      <c r="BF4" s="169" t="s">
        <v>398</v>
      </c>
      <c r="BG4" s="169" t="s">
        <v>398</v>
      </c>
      <c r="BH4" s="169" t="s">
        <v>398</v>
      </c>
      <c r="BI4" s="170" t="s">
        <v>398</v>
      </c>
      <c r="BJ4" s="195" t="s">
        <v>404</v>
      </c>
      <c r="BK4" s="170" t="s">
        <v>405</v>
      </c>
      <c r="BL4" s="170" t="s">
        <v>405</v>
      </c>
      <c r="BM4" s="170" t="s">
        <v>405</v>
      </c>
      <c r="BN4" s="170" t="s">
        <v>405</v>
      </c>
      <c r="BO4" s="170" t="s">
        <v>405</v>
      </c>
      <c r="BP4" s="170" t="s">
        <v>405</v>
      </c>
      <c r="BQ4" s="170" t="s">
        <v>405</v>
      </c>
      <c r="BR4" s="169" t="s">
        <v>398</v>
      </c>
      <c r="BS4" s="169" t="s">
        <v>398</v>
      </c>
      <c r="BT4" s="169" t="s">
        <v>398</v>
      </c>
      <c r="BU4" s="169" t="s">
        <v>398</v>
      </c>
      <c r="BV4" s="169" t="s">
        <v>398</v>
      </c>
      <c r="BW4" s="169" t="s">
        <v>398</v>
      </c>
      <c r="BX4" s="169" t="s">
        <v>398</v>
      </c>
      <c r="BY4" s="169" t="s">
        <v>398</v>
      </c>
      <c r="BZ4" s="169" t="s">
        <v>398</v>
      </c>
      <c r="CA4" s="169" t="s">
        <v>398</v>
      </c>
      <c r="CB4" s="169" t="s">
        <v>398</v>
      </c>
      <c r="CC4" s="169" t="s">
        <v>398</v>
      </c>
      <c r="CD4" s="169" t="s">
        <v>398</v>
      </c>
      <c r="CE4" s="169" t="s">
        <v>398</v>
      </c>
      <c r="CF4" s="169" t="s">
        <v>398</v>
      </c>
      <c r="CG4" s="169"/>
      <c r="CH4" s="169"/>
      <c r="CI4" s="195" t="s">
        <v>406</v>
      </c>
      <c r="CJ4" s="169"/>
      <c r="CK4" s="169"/>
      <c r="CL4" s="169"/>
      <c r="CM4" s="169"/>
      <c r="CN4" s="169"/>
      <c r="CO4" s="169"/>
      <c r="CP4" s="169"/>
      <c r="CQ4" s="169"/>
      <c r="CR4" s="169"/>
      <c r="CS4" s="169" t="s">
        <v>398</v>
      </c>
    </row>
    <row r="5" spans="1:97" ht="15.75" customHeight="1">
      <c r="A5" s="166" t="s">
        <v>407</v>
      </c>
      <c r="B5" s="167" t="s">
        <v>398</v>
      </c>
      <c r="C5" s="169" t="s">
        <v>398</v>
      </c>
      <c r="D5" s="169" t="s">
        <v>398</v>
      </c>
      <c r="E5" s="169" t="s">
        <v>398</v>
      </c>
      <c r="F5" s="169" t="s">
        <v>398</v>
      </c>
      <c r="G5" s="169" t="s">
        <v>398</v>
      </c>
      <c r="H5" s="169" t="s">
        <v>398</v>
      </c>
      <c r="I5" s="169" t="s">
        <v>398</v>
      </c>
      <c r="J5" s="169" t="s">
        <v>398</v>
      </c>
      <c r="K5" s="169" t="s">
        <v>398</v>
      </c>
      <c r="L5" s="169" t="s">
        <v>405</v>
      </c>
      <c r="M5" s="169" t="s">
        <v>405</v>
      </c>
      <c r="N5" s="169" t="s">
        <v>405</v>
      </c>
      <c r="O5" s="169" t="s">
        <v>405</v>
      </c>
      <c r="P5" s="170" t="s">
        <v>405</v>
      </c>
      <c r="Q5" s="169" t="s">
        <v>398</v>
      </c>
      <c r="R5" s="169" t="s">
        <v>398</v>
      </c>
      <c r="S5" s="169" t="s">
        <v>398</v>
      </c>
      <c r="T5" s="169" t="s">
        <v>398</v>
      </c>
      <c r="U5" s="170" t="s">
        <v>398</v>
      </c>
      <c r="V5" s="169" t="s">
        <v>398</v>
      </c>
      <c r="W5" s="169" t="s">
        <v>398</v>
      </c>
      <c r="X5" s="169" t="s">
        <v>398</v>
      </c>
      <c r="Y5" s="169" t="s">
        <v>398</v>
      </c>
      <c r="Z5" s="169" t="s">
        <v>398</v>
      </c>
      <c r="AA5" s="169" t="s">
        <v>398</v>
      </c>
      <c r="AB5" s="169" t="s">
        <v>398</v>
      </c>
      <c r="AC5" s="169" t="s">
        <v>398</v>
      </c>
      <c r="AD5" s="169" t="s">
        <v>398</v>
      </c>
      <c r="AE5" s="196"/>
      <c r="AF5" s="169" t="s">
        <v>398</v>
      </c>
      <c r="AG5" s="169" t="s">
        <v>398</v>
      </c>
      <c r="AH5" s="169" t="s">
        <v>398</v>
      </c>
      <c r="AI5" s="169" t="s">
        <v>398</v>
      </c>
      <c r="AJ5" s="169" t="s">
        <v>398</v>
      </c>
      <c r="AK5" s="169" t="s">
        <v>398</v>
      </c>
      <c r="AL5" s="196"/>
      <c r="AM5" s="169" t="s">
        <v>398</v>
      </c>
      <c r="AN5" s="169" t="s">
        <v>398</v>
      </c>
      <c r="AO5" s="169" t="s">
        <v>398</v>
      </c>
      <c r="AP5" s="196"/>
      <c r="AQ5" s="169" t="s">
        <v>405</v>
      </c>
      <c r="AR5" s="169" t="s">
        <v>405</v>
      </c>
      <c r="AS5" s="196"/>
      <c r="AT5" s="169" t="s">
        <v>405</v>
      </c>
      <c r="AU5" s="169" t="s">
        <v>405</v>
      </c>
      <c r="AV5" s="169" t="s">
        <v>405</v>
      </c>
      <c r="AW5" s="169" t="s">
        <v>405</v>
      </c>
      <c r="AX5" s="169" t="s">
        <v>405</v>
      </c>
      <c r="AY5" s="196"/>
      <c r="AZ5" s="169" t="s">
        <v>405</v>
      </c>
      <c r="BA5" s="169" t="s">
        <v>398</v>
      </c>
      <c r="BB5" s="169" t="s">
        <v>398</v>
      </c>
      <c r="BC5" s="169" t="s">
        <v>398</v>
      </c>
      <c r="BD5" s="169" t="s">
        <v>398</v>
      </c>
      <c r="BE5" s="169" t="s">
        <v>398</v>
      </c>
      <c r="BF5" s="169" t="s">
        <v>398</v>
      </c>
      <c r="BG5" s="169" t="s">
        <v>398</v>
      </c>
      <c r="BH5" s="169" t="s">
        <v>398</v>
      </c>
      <c r="BI5" s="170" t="s">
        <v>398</v>
      </c>
      <c r="BJ5" s="196"/>
      <c r="BK5" s="170" t="s">
        <v>398</v>
      </c>
      <c r="BL5" s="170" t="s">
        <v>398</v>
      </c>
      <c r="BM5" s="169" t="s">
        <v>398</v>
      </c>
      <c r="BN5" s="170" t="s">
        <v>398</v>
      </c>
      <c r="BO5" s="169" t="s">
        <v>398</v>
      </c>
      <c r="BP5" s="169" t="s">
        <v>398</v>
      </c>
      <c r="BQ5" s="169" t="s">
        <v>398</v>
      </c>
      <c r="BR5" s="169" t="s">
        <v>398</v>
      </c>
      <c r="BS5" s="169" t="s">
        <v>398</v>
      </c>
      <c r="BT5" s="169" t="s">
        <v>398</v>
      </c>
      <c r="BU5" s="169" t="s">
        <v>398</v>
      </c>
      <c r="BV5" s="169" t="s">
        <v>398</v>
      </c>
      <c r="BW5" s="169" t="s">
        <v>398</v>
      </c>
      <c r="BX5" s="169" t="s">
        <v>398</v>
      </c>
      <c r="BY5" s="169" t="s">
        <v>398</v>
      </c>
      <c r="BZ5" s="169" t="s">
        <v>398</v>
      </c>
      <c r="CA5" s="169" t="s">
        <v>398</v>
      </c>
      <c r="CB5" s="169" t="s">
        <v>398</v>
      </c>
      <c r="CC5" s="169" t="s">
        <v>398</v>
      </c>
      <c r="CD5" s="169" t="s">
        <v>398</v>
      </c>
      <c r="CE5" s="169" t="s">
        <v>398</v>
      </c>
      <c r="CF5" s="169" t="s">
        <v>398</v>
      </c>
      <c r="CG5" s="169"/>
      <c r="CH5" s="169"/>
      <c r="CI5" s="196"/>
      <c r="CJ5" s="169"/>
      <c r="CK5" s="169"/>
      <c r="CL5" s="169"/>
      <c r="CM5" s="169"/>
      <c r="CN5" s="169"/>
      <c r="CO5" s="169"/>
      <c r="CP5" s="169"/>
      <c r="CQ5" s="169"/>
      <c r="CR5" s="169"/>
      <c r="CS5" s="169" t="s">
        <v>398</v>
      </c>
    </row>
    <row r="6" spans="1:97" ht="15.75">
      <c r="A6" s="166" t="s">
        <v>408</v>
      </c>
      <c r="B6" s="167" t="s">
        <v>398</v>
      </c>
      <c r="C6" s="169" t="s">
        <v>398</v>
      </c>
      <c r="D6" s="169" t="s">
        <v>398</v>
      </c>
      <c r="E6" s="169" t="s">
        <v>398</v>
      </c>
      <c r="F6" s="169" t="s">
        <v>398</v>
      </c>
      <c r="G6" s="169" t="s">
        <v>398</v>
      </c>
      <c r="H6" s="169" t="s">
        <v>398</v>
      </c>
      <c r="I6" s="169" t="s">
        <v>398</v>
      </c>
      <c r="J6" s="169" t="s">
        <v>398</v>
      </c>
      <c r="K6" s="172" t="s">
        <v>409</v>
      </c>
      <c r="L6" s="169" t="s">
        <v>398</v>
      </c>
      <c r="M6" s="169" t="s">
        <v>398</v>
      </c>
      <c r="N6" s="169" t="s">
        <v>398</v>
      </c>
      <c r="O6" s="169" t="s">
        <v>400</v>
      </c>
      <c r="P6" s="170" t="s">
        <v>398</v>
      </c>
      <c r="Q6" s="169" t="s">
        <v>398</v>
      </c>
      <c r="R6" s="169" t="s">
        <v>398</v>
      </c>
      <c r="S6" s="169" t="s">
        <v>398</v>
      </c>
      <c r="T6" s="169" t="s">
        <v>398</v>
      </c>
      <c r="U6" s="170" t="s">
        <v>398</v>
      </c>
      <c r="V6" s="169" t="s">
        <v>398</v>
      </c>
      <c r="W6" s="169" t="s">
        <v>398</v>
      </c>
      <c r="X6" s="169" t="s">
        <v>398</v>
      </c>
      <c r="Y6" s="169" t="s">
        <v>398</v>
      </c>
      <c r="Z6" s="169" t="s">
        <v>398</v>
      </c>
      <c r="AA6" s="169" t="s">
        <v>398</v>
      </c>
      <c r="AB6" s="169" t="s">
        <v>398</v>
      </c>
      <c r="AC6" s="169" t="s">
        <v>398</v>
      </c>
      <c r="AD6" s="169" t="s">
        <v>398</v>
      </c>
      <c r="AE6" s="196"/>
      <c r="AF6" s="169" t="s">
        <v>398</v>
      </c>
      <c r="AG6" s="169" t="s">
        <v>398</v>
      </c>
      <c r="AH6" s="169" t="s">
        <v>398</v>
      </c>
      <c r="AI6" s="169" t="s">
        <v>398</v>
      </c>
      <c r="AJ6" s="169" t="s">
        <v>398</v>
      </c>
      <c r="AK6" s="169" t="s">
        <v>398</v>
      </c>
      <c r="AL6" s="196"/>
      <c r="AM6" s="169" t="s">
        <v>398</v>
      </c>
      <c r="AN6" s="169" t="s">
        <v>398</v>
      </c>
      <c r="AO6" s="169" t="s">
        <v>398</v>
      </c>
      <c r="AP6" s="196"/>
      <c r="AQ6" s="169" t="s">
        <v>398</v>
      </c>
      <c r="AR6" s="169" t="s">
        <v>398</v>
      </c>
      <c r="AS6" s="196"/>
      <c r="AT6" s="169" t="s">
        <v>398</v>
      </c>
      <c r="AU6" s="169" t="s">
        <v>398</v>
      </c>
      <c r="AV6" s="169" t="s">
        <v>398</v>
      </c>
      <c r="AW6" s="169" t="s">
        <v>398</v>
      </c>
      <c r="AX6" s="169" t="s">
        <v>398</v>
      </c>
      <c r="AY6" s="196"/>
      <c r="AZ6" s="169" t="s">
        <v>398</v>
      </c>
      <c r="BA6" s="169" t="s">
        <v>398</v>
      </c>
      <c r="BB6" s="169" t="s">
        <v>398</v>
      </c>
      <c r="BC6" s="169" t="s">
        <v>398</v>
      </c>
      <c r="BD6" s="169" t="s">
        <v>398</v>
      </c>
      <c r="BE6" s="169" t="s">
        <v>398</v>
      </c>
      <c r="BF6" s="169" t="s">
        <v>398</v>
      </c>
      <c r="BG6" s="169" t="s">
        <v>398</v>
      </c>
      <c r="BH6" s="169" t="s">
        <v>398</v>
      </c>
      <c r="BI6" s="170" t="s">
        <v>398</v>
      </c>
      <c r="BJ6" s="196"/>
      <c r="BK6" s="170" t="s">
        <v>398</v>
      </c>
      <c r="BL6" s="170" t="s">
        <v>398</v>
      </c>
      <c r="BM6" s="169" t="s">
        <v>410</v>
      </c>
      <c r="BN6" s="170" t="s">
        <v>398</v>
      </c>
      <c r="BO6" s="169" t="s">
        <v>398</v>
      </c>
      <c r="BP6" s="169" t="s">
        <v>398</v>
      </c>
      <c r="BQ6" s="169" t="s">
        <v>398</v>
      </c>
      <c r="BR6" s="169" t="s">
        <v>398</v>
      </c>
      <c r="BS6" s="169" t="s">
        <v>398</v>
      </c>
      <c r="BT6" s="169" t="s">
        <v>398</v>
      </c>
      <c r="BU6" s="169" t="s">
        <v>398</v>
      </c>
      <c r="BV6" s="169" t="s">
        <v>398</v>
      </c>
      <c r="BW6" s="169" t="s">
        <v>398</v>
      </c>
      <c r="BX6" s="169" t="s">
        <v>398</v>
      </c>
      <c r="BY6" s="169" t="s">
        <v>398</v>
      </c>
      <c r="BZ6" s="169" t="s">
        <v>398</v>
      </c>
      <c r="CA6" s="169" t="s">
        <v>398</v>
      </c>
      <c r="CB6" s="169" t="s">
        <v>398</v>
      </c>
      <c r="CC6" s="169" t="s">
        <v>398</v>
      </c>
      <c r="CD6" s="169" t="s">
        <v>398</v>
      </c>
      <c r="CE6" s="169" t="s">
        <v>398</v>
      </c>
      <c r="CF6" s="169" t="s">
        <v>398</v>
      </c>
      <c r="CG6" s="169"/>
      <c r="CH6" s="169"/>
      <c r="CI6" s="196"/>
      <c r="CJ6" s="169"/>
      <c r="CK6" s="169"/>
      <c r="CL6" s="169"/>
      <c r="CM6" s="169"/>
      <c r="CN6" s="169"/>
      <c r="CO6" s="169"/>
      <c r="CP6" s="169"/>
      <c r="CQ6" s="169"/>
      <c r="CR6" s="169"/>
      <c r="CS6" s="169" t="s">
        <v>398</v>
      </c>
    </row>
    <row r="7" spans="1:97" ht="15.75" hidden="1" customHeight="1">
      <c r="A7" s="166" t="s">
        <v>411</v>
      </c>
      <c r="B7" s="167" t="s">
        <v>398</v>
      </c>
      <c r="C7" s="169" t="s">
        <v>398</v>
      </c>
      <c r="D7" s="169" t="s">
        <v>398</v>
      </c>
      <c r="E7" s="169" t="s">
        <v>398</v>
      </c>
      <c r="F7" s="169" t="s">
        <v>398</v>
      </c>
      <c r="G7" s="169" t="s">
        <v>398</v>
      </c>
      <c r="H7" s="169" t="s">
        <v>398</v>
      </c>
      <c r="I7" s="169" t="s">
        <v>398</v>
      </c>
      <c r="J7" s="169" t="s">
        <v>398</v>
      </c>
      <c r="K7" s="169" t="s">
        <v>398</v>
      </c>
      <c r="L7" s="172" t="s">
        <v>409</v>
      </c>
      <c r="M7" s="169" t="s">
        <v>398</v>
      </c>
      <c r="N7" s="169" t="s">
        <v>398</v>
      </c>
      <c r="O7" s="169" t="s">
        <v>400</v>
      </c>
      <c r="P7" s="170" t="s">
        <v>398</v>
      </c>
      <c r="Q7" s="169" t="s">
        <v>398</v>
      </c>
      <c r="R7" s="169" t="s">
        <v>398</v>
      </c>
      <c r="S7" s="169" t="s">
        <v>398</v>
      </c>
      <c r="T7" s="169" t="s">
        <v>398</v>
      </c>
      <c r="U7" s="170" t="s">
        <v>412</v>
      </c>
      <c r="V7" s="169" t="s">
        <v>398</v>
      </c>
      <c r="W7" s="169" t="s">
        <v>398</v>
      </c>
      <c r="X7" s="169" t="s">
        <v>398</v>
      </c>
      <c r="Y7" s="169" t="s">
        <v>398</v>
      </c>
      <c r="Z7" s="169" t="s">
        <v>401</v>
      </c>
      <c r="AA7" s="169" t="s">
        <v>398</v>
      </c>
      <c r="AB7" s="169" t="s">
        <v>398</v>
      </c>
      <c r="AC7" s="169" t="s">
        <v>398</v>
      </c>
      <c r="AD7" s="169" t="s">
        <v>398</v>
      </c>
      <c r="AE7" s="196"/>
      <c r="AF7" s="169" t="s">
        <v>398</v>
      </c>
      <c r="AG7" s="169" t="s">
        <v>398</v>
      </c>
      <c r="AH7" s="169" t="s">
        <v>398</v>
      </c>
      <c r="AI7" s="169" t="s">
        <v>398</v>
      </c>
      <c r="AJ7" s="169" t="s">
        <v>398</v>
      </c>
      <c r="AK7" s="169" t="s">
        <v>398</v>
      </c>
      <c r="AL7" s="196"/>
      <c r="AM7" s="169" t="s">
        <v>398</v>
      </c>
      <c r="AN7" s="169" t="s">
        <v>398</v>
      </c>
      <c r="AO7" s="169" t="s">
        <v>398</v>
      </c>
      <c r="AP7" s="196"/>
      <c r="AQ7" s="169" t="s">
        <v>398</v>
      </c>
      <c r="AR7" s="169" t="s">
        <v>398</v>
      </c>
      <c r="AS7" s="196"/>
      <c r="AT7" s="169" t="s">
        <v>398</v>
      </c>
      <c r="AU7" s="169" t="s">
        <v>401</v>
      </c>
      <c r="AV7" s="169" t="s">
        <v>398</v>
      </c>
      <c r="AW7" s="169" t="s">
        <v>398</v>
      </c>
      <c r="AX7" s="169" t="s">
        <v>398</v>
      </c>
      <c r="AY7" s="196"/>
      <c r="AZ7" s="169" t="s">
        <v>398</v>
      </c>
      <c r="BA7" s="169" t="s">
        <v>398</v>
      </c>
      <c r="BB7" s="169" t="s">
        <v>398</v>
      </c>
      <c r="BC7" s="169" t="s">
        <v>398</v>
      </c>
      <c r="BD7" s="169" t="s">
        <v>398</v>
      </c>
      <c r="BE7" s="169" t="s">
        <v>398</v>
      </c>
      <c r="BF7" s="169" t="s">
        <v>398</v>
      </c>
      <c r="BG7" s="169" t="s">
        <v>398</v>
      </c>
      <c r="BH7" s="169" t="s">
        <v>398</v>
      </c>
      <c r="BI7" s="170" t="s">
        <v>398</v>
      </c>
      <c r="BJ7" s="196"/>
      <c r="BK7" s="170" t="s">
        <v>398</v>
      </c>
      <c r="BL7" s="170" t="s">
        <v>398</v>
      </c>
      <c r="BM7" s="169" t="s">
        <v>398</v>
      </c>
      <c r="BN7" s="170" t="s">
        <v>398</v>
      </c>
      <c r="BO7" s="169" t="s">
        <v>401</v>
      </c>
      <c r="BP7" s="169"/>
      <c r="BQ7" s="169"/>
      <c r="BR7" s="169"/>
      <c r="BS7" s="169"/>
      <c r="BT7" s="169"/>
      <c r="BU7" s="169" t="s">
        <v>398</v>
      </c>
      <c r="BV7" s="169" t="s">
        <v>398</v>
      </c>
      <c r="BW7" s="169" t="s">
        <v>398</v>
      </c>
      <c r="BX7" s="169" t="s">
        <v>398</v>
      </c>
      <c r="BY7" s="169"/>
      <c r="BZ7" s="169"/>
      <c r="CA7" s="169"/>
      <c r="CB7" s="169"/>
      <c r="CC7" s="169"/>
      <c r="CD7" s="169"/>
      <c r="CE7" s="169"/>
      <c r="CF7" s="169"/>
      <c r="CG7" s="169"/>
      <c r="CH7" s="169"/>
      <c r="CI7" s="196"/>
      <c r="CJ7" s="169"/>
      <c r="CK7" s="169"/>
      <c r="CL7" s="169"/>
      <c r="CM7" s="169"/>
      <c r="CN7" s="169"/>
      <c r="CO7" s="169"/>
      <c r="CP7" s="169"/>
      <c r="CQ7" s="169"/>
      <c r="CR7" s="169"/>
      <c r="CS7" s="169"/>
    </row>
    <row r="8" spans="1:97" ht="15.75" hidden="1" customHeight="1">
      <c r="A8" s="166" t="s">
        <v>413</v>
      </c>
      <c r="B8" s="167" t="s">
        <v>398</v>
      </c>
      <c r="C8" s="169" t="s">
        <v>398</v>
      </c>
      <c r="D8" s="169" t="s">
        <v>398</v>
      </c>
      <c r="E8" s="169" t="s">
        <v>398</v>
      </c>
      <c r="F8" s="169" t="s">
        <v>398</v>
      </c>
      <c r="G8" s="169" t="s">
        <v>398</v>
      </c>
      <c r="H8" s="169" t="s">
        <v>398</v>
      </c>
      <c r="I8" s="169" t="s">
        <v>398</v>
      </c>
      <c r="J8" s="169" t="s">
        <v>398</v>
      </c>
      <c r="K8" s="169" t="s">
        <v>398</v>
      </c>
      <c r="L8" s="169" t="s">
        <v>401</v>
      </c>
      <c r="M8" s="169" t="s">
        <v>398</v>
      </c>
      <c r="N8" s="169" t="s">
        <v>398</v>
      </c>
      <c r="O8" s="169" t="s">
        <v>400</v>
      </c>
      <c r="P8" s="170" t="s">
        <v>398</v>
      </c>
      <c r="Q8" s="169" t="s">
        <v>398</v>
      </c>
      <c r="R8" s="169" t="s">
        <v>398</v>
      </c>
      <c r="S8" s="169" t="s">
        <v>398</v>
      </c>
      <c r="T8" s="169" t="s">
        <v>398</v>
      </c>
      <c r="U8" s="170" t="s">
        <v>398</v>
      </c>
      <c r="V8" s="169" t="s">
        <v>398</v>
      </c>
      <c r="W8" s="169" t="s">
        <v>414</v>
      </c>
      <c r="X8" s="169" t="s">
        <v>398</v>
      </c>
      <c r="Y8" s="169" t="s">
        <v>398</v>
      </c>
      <c r="Z8" s="169" t="s">
        <v>398</v>
      </c>
      <c r="AA8" s="169" t="s">
        <v>398</v>
      </c>
      <c r="AB8" s="169" t="s">
        <v>401</v>
      </c>
      <c r="AC8" s="169" t="s">
        <v>398</v>
      </c>
      <c r="AD8" s="169" t="s">
        <v>398</v>
      </c>
      <c r="AE8" s="196"/>
      <c r="AF8" s="169" t="s">
        <v>398</v>
      </c>
      <c r="AG8" s="169" t="s">
        <v>398</v>
      </c>
      <c r="AH8" s="169" t="s">
        <v>398</v>
      </c>
      <c r="AI8" s="169" t="s">
        <v>398</v>
      </c>
      <c r="AJ8" s="169" t="s">
        <v>398</v>
      </c>
      <c r="AK8" s="169" t="s">
        <v>398</v>
      </c>
      <c r="AL8" s="196"/>
      <c r="AM8" s="169" t="s">
        <v>398</v>
      </c>
      <c r="AN8" s="169" t="s">
        <v>401</v>
      </c>
      <c r="AO8" s="169" t="s">
        <v>398</v>
      </c>
      <c r="AP8" s="196"/>
      <c r="AQ8" s="169" t="s">
        <v>398</v>
      </c>
      <c r="AR8" s="169" t="s">
        <v>398</v>
      </c>
      <c r="AS8" s="196"/>
      <c r="AT8" s="169" t="s">
        <v>398</v>
      </c>
      <c r="AU8" s="169" t="s">
        <v>398</v>
      </c>
      <c r="AV8" s="169" t="s">
        <v>398</v>
      </c>
      <c r="AW8" s="169" t="s">
        <v>398</v>
      </c>
      <c r="AX8" s="169" t="s">
        <v>398</v>
      </c>
      <c r="AY8" s="196"/>
      <c r="AZ8" s="169" t="s">
        <v>398</v>
      </c>
      <c r="BA8" s="169" t="s">
        <v>398</v>
      </c>
      <c r="BB8" s="169" t="s">
        <v>398</v>
      </c>
      <c r="BC8" s="169" t="s">
        <v>398</v>
      </c>
      <c r="BD8" s="169" t="s">
        <v>398</v>
      </c>
      <c r="BE8" s="169" t="s">
        <v>398</v>
      </c>
      <c r="BF8" s="169" t="s">
        <v>398</v>
      </c>
      <c r="BG8" s="169" t="s">
        <v>415</v>
      </c>
      <c r="BH8" s="169" t="s">
        <v>398</v>
      </c>
      <c r="BI8" s="170" t="s">
        <v>398</v>
      </c>
      <c r="BJ8" s="196"/>
      <c r="BK8" s="170" t="s">
        <v>398</v>
      </c>
      <c r="BL8" s="170" t="s">
        <v>398</v>
      </c>
      <c r="BM8" s="169" t="s">
        <v>398</v>
      </c>
      <c r="BN8" s="170" t="s">
        <v>398</v>
      </c>
      <c r="BO8" s="169" t="s">
        <v>398</v>
      </c>
      <c r="BP8" s="169" t="s">
        <v>398</v>
      </c>
      <c r="BQ8" s="169" t="s">
        <v>398</v>
      </c>
      <c r="BR8" s="169" t="s">
        <v>398</v>
      </c>
      <c r="BS8" s="169" t="s">
        <v>398</v>
      </c>
      <c r="BT8" s="169" t="s">
        <v>398</v>
      </c>
      <c r="BU8" s="169" t="s">
        <v>398</v>
      </c>
      <c r="BV8" s="169" t="s">
        <v>398</v>
      </c>
      <c r="BW8" s="169" t="s">
        <v>398</v>
      </c>
      <c r="BX8" s="169" t="s">
        <v>416</v>
      </c>
      <c r="BY8" s="169"/>
      <c r="BZ8" s="169"/>
      <c r="CA8" s="169"/>
      <c r="CB8" s="169"/>
      <c r="CC8" s="169"/>
      <c r="CD8" s="169"/>
      <c r="CE8" s="169"/>
      <c r="CF8" s="169"/>
      <c r="CG8" s="169"/>
      <c r="CH8" s="169"/>
      <c r="CI8" s="196"/>
      <c r="CJ8" s="169"/>
      <c r="CK8" s="169"/>
      <c r="CL8" s="169"/>
      <c r="CM8" s="169"/>
      <c r="CN8" s="169"/>
      <c r="CO8" s="169"/>
      <c r="CP8" s="169"/>
      <c r="CQ8" s="169"/>
      <c r="CR8" s="169"/>
      <c r="CS8" s="169"/>
    </row>
    <row r="9" spans="1:97" ht="15.75">
      <c r="A9" s="166" t="s">
        <v>417</v>
      </c>
      <c r="B9" s="167" t="s">
        <v>398</v>
      </c>
      <c r="C9" s="169" t="s">
        <v>398</v>
      </c>
      <c r="D9" s="169" t="s">
        <v>398</v>
      </c>
      <c r="E9" s="169" t="s">
        <v>398</v>
      </c>
      <c r="F9" s="169" t="s">
        <v>398</v>
      </c>
      <c r="G9" s="169" t="s">
        <v>398</v>
      </c>
      <c r="H9" s="169" t="s">
        <v>398</v>
      </c>
      <c r="I9" s="169" t="s">
        <v>398</v>
      </c>
      <c r="J9" s="169" t="s">
        <v>398</v>
      </c>
      <c r="K9" s="169" t="s">
        <v>398</v>
      </c>
      <c r="L9" s="169" t="s">
        <v>398</v>
      </c>
      <c r="M9" s="169" t="s">
        <v>398</v>
      </c>
      <c r="N9" s="169" t="s">
        <v>398</v>
      </c>
      <c r="O9" s="172" t="s">
        <v>409</v>
      </c>
      <c r="P9" s="170" t="s">
        <v>398</v>
      </c>
      <c r="Q9" s="169" t="s">
        <v>398</v>
      </c>
      <c r="R9" s="169" t="s">
        <v>398</v>
      </c>
      <c r="S9" s="169" t="s">
        <v>398</v>
      </c>
      <c r="T9" s="169" t="s">
        <v>398</v>
      </c>
      <c r="U9" s="170" t="s">
        <v>398</v>
      </c>
      <c r="V9" s="169" t="s">
        <v>398</v>
      </c>
      <c r="W9" s="169" t="s">
        <v>398</v>
      </c>
      <c r="X9" s="169" t="s">
        <v>398</v>
      </c>
      <c r="Y9" s="169" t="s">
        <v>398</v>
      </c>
      <c r="Z9" s="169" t="s">
        <v>398</v>
      </c>
      <c r="AA9" s="169" t="s">
        <v>398</v>
      </c>
      <c r="AB9" s="169" t="s">
        <v>398</v>
      </c>
      <c r="AC9" s="169" t="s">
        <v>398</v>
      </c>
      <c r="AD9" s="169" t="s">
        <v>398</v>
      </c>
      <c r="AE9" s="196"/>
      <c r="AF9" s="169" t="s">
        <v>398</v>
      </c>
      <c r="AG9" s="169" t="s">
        <v>398</v>
      </c>
      <c r="AH9" s="169" t="s">
        <v>398</v>
      </c>
      <c r="AI9" s="169" t="s">
        <v>398</v>
      </c>
      <c r="AJ9" s="169" t="s">
        <v>398</v>
      </c>
      <c r="AK9" s="169" t="s">
        <v>398</v>
      </c>
      <c r="AL9" s="196"/>
      <c r="AM9" s="169" t="s">
        <v>398</v>
      </c>
      <c r="AN9" s="169" t="s">
        <v>398</v>
      </c>
      <c r="AO9" s="169" t="s">
        <v>398</v>
      </c>
      <c r="AP9" s="196"/>
      <c r="AQ9" s="169" t="s">
        <v>398</v>
      </c>
      <c r="AR9" s="169" t="s">
        <v>398</v>
      </c>
      <c r="AS9" s="196"/>
      <c r="AT9" s="169" t="s">
        <v>398</v>
      </c>
      <c r="AU9" s="169" t="s">
        <v>398</v>
      </c>
      <c r="AV9" s="169" t="s">
        <v>398</v>
      </c>
      <c r="AW9" s="169" t="s">
        <v>398</v>
      </c>
      <c r="AX9" s="169" t="s">
        <v>398</v>
      </c>
      <c r="AY9" s="196"/>
      <c r="AZ9" s="169" t="s">
        <v>398</v>
      </c>
      <c r="BA9" s="169" t="s">
        <v>398</v>
      </c>
      <c r="BB9" s="169" t="s">
        <v>398</v>
      </c>
      <c r="BC9" s="169" t="s">
        <v>398</v>
      </c>
      <c r="BD9" s="169" t="s">
        <v>398</v>
      </c>
      <c r="BE9" s="169" t="s">
        <v>398</v>
      </c>
      <c r="BF9" s="169" t="s">
        <v>398</v>
      </c>
      <c r="BG9" s="169" t="s">
        <v>398</v>
      </c>
      <c r="BH9" s="169" t="s">
        <v>398</v>
      </c>
      <c r="BI9" s="170" t="s">
        <v>398</v>
      </c>
      <c r="BJ9" s="196"/>
      <c r="BK9" s="170" t="s">
        <v>398</v>
      </c>
      <c r="BL9" s="170" t="s">
        <v>398</v>
      </c>
      <c r="BM9" s="169" t="s">
        <v>398</v>
      </c>
      <c r="BN9" s="170" t="s">
        <v>398</v>
      </c>
      <c r="BO9" s="169" t="s">
        <v>398</v>
      </c>
      <c r="BP9" s="169" t="s">
        <v>398</v>
      </c>
      <c r="BQ9" s="169" t="s">
        <v>398</v>
      </c>
      <c r="BR9" s="169" t="s">
        <v>398</v>
      </c>
      <c r="BS9" s="169" t="s">
        <v>398</v>
      </c>
      <c r="BT9" s="169" t="s">
        <v>398</v>
      </c>
      <c r="BU9" s="169" t="s">
        <v>398</v>
      </c>
      <c r="BV9" s="169" t="s">
        <v>398</v>
      </c>
      <c r="BW9" s="169" t="s">
        <v>398</v>
      </c>
      <c r="BX9" s="169" t="s">
        <v>398</v>
      </c>
      <c r="BY9" s="169" t="s">
        <v>398</v>
      </c>
      <c r="BZ9" s="169" t="s">
        <v>398</v>
      </c>
      <c r="CA9" s="169" t="s">
        <v>398</v>
      </c>
      <c r="CB9" s="169" t="s">
        <v>398</v>
      </c>
      <c r="CC9" s="169" t="s">
        <v>398</v>
      </c>
      <c r="CD9" s="169" t="s">
        <v>398</v>
      </c>
      <c r="CE9" s="169" t="s">
        <v>398</v>
      </c>
      <c r="CF9" s="169" t="s">
        <v>398</v>
      </c>
      <c r="CG9" s="169"/>
      <c r="CH9" s="169"/>
      <c r="CI9" s="196"/>
      <c r="CJ9" s="169"/>
      <c r="CK9" s="169"/>
      <c r="CL9" s="169"/>
      <c r="CM9" s="169"/>
      <c r="CN9" s="169"/>
      <c r="CO9" s="169"/>
      <c r="CP9" s="169"/>
      <c r="CQ9" s="169"/>
      <c r="CR9" s="169"/>
      <c r="CS9" s="169" t="s">
        <v>398</v>
      </c>
    </row>
    <row r="10" spans="1:97" ht="15.75">
      <c r="A10" s="166" t="s">
        <v>418</v>
      </c>
      <c r="B10" s="167" t="s">
        <v>398</v>
      </c>
      <c r="C10" s="169" t="s">
        <v>398</v>
      </c>
      <c r="D10" s="169" t="s">
        <v>398</v>
      </c>
      <c r="E10" s="169" t="s">
        <v>398</v>
      </c>
      <c r="F10" s="169" t="s">
        <v>398</v>
      </c>
      <c r="G10" s="169" t="s">
        <v>398</v>
      </c>
      <c r="H10" s="169" t="s">
        <v>398</v>
      </c>
      <c r="I10" s="169" t="s">
        <v>401</v>
      </c>
      <c r="J10" s="169" t="s">
        <v>398</v>
      </c>
      <c r="K10" s="169" t="s">
        <v>401</v>
      </c>
      <c r="L10" s="169" t="s">
        <v>398</v>
      </c>
      <c r="M10" s="169" t="s">
        <v>398</v>
      </c>
      <c r="N10" s="169" t="s">
        <v>401</v>
      </c>
      <c r="O10" s="169" t="s">
        <v>400</v>
      </c>
      <c r="P10" s="170" t="s">
        <v>401</v>
      </c>
      <c r="Q10" s="169" t="s">
        <v>401</v>
      </c>
      <c r="R10" s="169" t="s">
        <v>398</v>
      </c>
      <c r="S10" s="169" t="s">
        <v>398</v>
      </c>
      <c r="T10" s="169" t="s">
        <v>398</v>
      </c>
      <c r="U10" s="170" t="s">
        <v>401</v>
      </c>
      <c r="V10" s="169" t="s">
        <v>398</v>
      </c>
      <c r="W10" s="169" t="s">
        <v>398</v>
      </c>
      <c r="X10" s="169" t="s">
        <v>398</v>
      </c>
      <c r="Y10" s="169" t="s">
        <v>398</v>
      </c>
      <c r="Z10" s="169" t="s">
        <v>398</v>
      </c>
      <c r="AA10" s="169" t="s">
        <v>398</v>
      </c>
      <c r="AB10" s="169" t="s">
        <v>398</v>
      </c>
      <c r="AC10" s="169" t="s">
        <v>398</v>
      </c>
      <c r="AD10" s="169" t="s">
        <v>398</v>
      </c>
      <c r="AE10" s="196"/>
      <c r="AF10" s="169" t="s">
        <v>398</v>
      </c>
      <c r="AG10" s="169" t="s">
        <v>398</v>
      </c>
      <c r="AH10" s="169" t="s">
        <v>398</v>
      </c>
      <c r="AI10" s="169" t="s">
        <v>398</v>
      </c>
      <c r="AJ10" s="169" t="s">
        <v>398</v>
      </c>
      <c r="AK10" s="169" t="s">
        <v>401</v>
      </c>
      <c r="AL10" s="196"/>
      <c r="AM10" s="169" t="s">
        <v>401</v>
      </c>
      <c r="AN10" s="169" t="s">
        <v>398</v>
      </c>
      <c r="AO10" s="169" t="s">
        <v>398</v>
      </c>
      <c r="AP10" s="196"/>
      <c r="AQ10" s="169" t="s">
        <v>398</v>
      </c>
      <c r="AR10" s="169" t="s">
        <v>398</v>
      </c>
      <c r="AS10" s="196"/>
      <c r="AT10" s="169" t="s">
        <v>398</v>
      </c>
      <c r="AU10" s="169" t="s">
        <v>398</v>
      </c>
      <c r="AV10" s="169" t="s">
        <v>398</v>
      </c>
      <c r="AW10" s="169" t="s">
        <v>398</v>
      </c>
      <c r="AX10" s="169" t="s">
        <v>398</v>
      </c>
      <c r="AY10" s="196"/>
      <c r="AZ10" s="169" t="s">
        <v>398</v>
      </c>
      <c r="BA10" s="169" t="s">
        <v>401</v>
      </c>
      <c r="BB10" s="169" t="s">
        <v>401</v>
      </c>
      <c r="BC10" s="169" t="s">
        <v>401</v>
      </c>
      <c r="BD10" s="169" t="s">
        <v>401</v>
      </c>
      <c r="BE10" s="169" t="s">
        <v>401</v>
      </c>
      <c r="BF10" s="169" t="s">
        <v>398</v>
      </c>
      <c r="BG10" s="169" t="s">
        <v>398</v>
      </c>
      <c r="BH10" s="169" t="s">
        <v>398</v>
      </c>
      <c r="BI10" s="170" t="s">
        <v>398</v>
      </c>
      <c r="BJ10" s="196"/>
      <c r="BK10" s="170" t="s">
        <v>398</v>
      </c>
      <c r="BL10" s="170" t="s">
        <v>398</v>
      </c>
      <c r="BM10" s="169" t="s">
        <v>398</v>
      </c>
      <c r="BN10" s="170" t="s">
        <v>398</v>
      </c>
      <c r="BO10" s="169" t="s">
        <v>398</v>
      </c>
      <c r="BP10" s="169" t="s">
        <v>398</v>
      </c>
      <c r="BQ10" s="169" t="s">
        <v>398</v>
      </c>
      <c r="BR10" s="169" t="s">
        <v>398</v>
      </c>
      <c r="BS10" s="169" t="s">
        <v>398</v>
      </c>
      <c r="BT10" s="169" t="s">
        <v>398</v>
      </c>
      <c r="BU10" s="169" t="s">
        <v>398</v>
      </c>
      <c r="BV10" s="169" t="s">
        <v>398</v>
      </c>
      <c r="BW10" s="169" t="s">
        <v>401</v>
      </c>
      <c r="BX10" s="169" t="s">
        <v>398</v>
      </c>
      <c r="BY10" s="169" t="s">
        <v>398</v>
      </c>
      <c r="BZ10" s="169" t="s">
        <v>398</v>
      </c>
      <c r="CA10" s="169" t="s">
        <v>398</v>
      </c>
      <c r="CB10" s="169" t="s">
        <v>398</v>
      </c>
      <c r="CC10" s="169" t="s">
        <v>398</v>
      </c>
      <c r="CD10" s="169" t="s">
        <v>398</v>
      </c>
      <c r="CE10" s="169" t="s">
        <v>398</v>
      </c>
      <c r="CF10" s="169" t="s">
        <v>398</v>
      </c>
      <c r="CG10" s="169"/>
      <c r="CH10" s="169"/>
      <c r="CI10" s="196"/>
      <c r="CJ10" s="169"/>
      <c r="CK10" s="169"/>
      <c r="CL10" s="169"/>
      <c r="CM10" s="169"/>
      <c r="CN10" s="169"/>
      <c r="CO10" s="169"/>
      <c r="CP10" s="169"/>
      <c r="CQ10" s="169"/>
      <c r="CR10" s="169"/>
      <c r="CS10" s="169" t="s">
        <v>398</v>
      </c>
    </row>
    <row r="11" spans="1:97" ht="15.75">
      <c r="A11" s="166" t="s">
        <v>419</v>
      </c>
      <c r="B11" s="167" t="s">
        <v>398</v>
      </c>
      <c r="C11" s="169" t="s">
        <v>398</v>
      </c>
      <c r="D11" s="169" t="s">
        <v>398</v>
      </c>
      <c r="E11" s="169" t="s">
        <v>398</v>
      </c>
      <c r="F11" s="169" t="s">
        <v>398</v>
      </c>
      <c r="G11" s="169" t="s">
        <v>398</v>
      </c>
      <c r="H11" s="169" t="s">
        <v>398</v>
      </c>
      <c r="I11" s="169" t="s">
        <v>398</v>
      </c>
      <c r="J11" s="169" t="s">
        <v>420</v>
      </c>
      <c r="K11" s="169" t="s">
        <v>401</v>
      </c>
      <c r="L11" s="169" t="s">
        <v>398</v>
      </c>
      <c r="M11" s="169" t="s">
        <v>401</v>
      </c>
      <c r="N11" s="169" t="s">
        <v>398</v>
      </c>
      <c r="O11" s="169" t="s">
        <v>400</v>
      </c>
      <c r="P11" s="170" t="s">
        <v>398</v>
      </c>
      <c r="Q11" s="169" t="s">
        <v>398</v>
      </c>
      <c r="R11" s="169" t="s">
        <v>398</v>
      </c>
      <c r="S11" s="169" t="s">
        <v>401</v>
      </c>
      <c r="T11" s="169" t="s">
        <v>401</v>
      </c>
      <c r="U11" s="170" t="s">
        <v>401</v>
      </c>
      <c r="V11" s="169" t="s">
        <v>398</v>
      </c>
      <c r="W11" s="169" t="s">
        <v>398</v>
      </c>
      <c r="X11" s="169" t="s">
        <v>398</v>
      </c>
      <c r="Y11" s="169" t="s">
        <v>398</v>
      </c>
      <c r="Z11" s="169" t="s">
        <v>398</v>
      </c>
      <c r="AA11" s="169" t="s">
        <v>398</v>
      </c>
      <c r="AB11" s="169" t="s">
        <v>398</v>
      </c>
      <c r="AC11" s="169" t="s">
        <v>398</v>
      </c>
      <c r="AD11" s="169" t="s">
        <v>401</v>
      </c>
      <c r="AE11" s="196"/>
      <c r="AF11" s="169" t="s">
        <v>398</v>
      </c>
      <c r="AG11" s="169" t="s">
        <v>398</v>
      </c>
      <c r="AH11" s="169" t="s">
        <v>398</v>
      </c>
      <c r="AI11" s="169" t="s">
        <v>398</v>
      </c>
      <c r="AJ11" s="169" t="s">
        <v>398</v>
      </c>
      <c r="AK11" s="169" t="s">
        <v>398</v>
      </c>
      <c r="AL11" s="196"/>
      <c r="AM11" s="169" t="s">
        <v>398</v>
      </c>
      <c r="AN11" s="169" t="s">
        <v>398</v>
      </c>
      <c r="AO11" s="169" t="s">
        <v>398</v>
      </c>
      <c r="AP11" s="196"/>
      <c r="AQ11" s="169" t="s">
        <v>398</v>
      </c>
      <c r="AR11" s="169" t="s">
        <v>398</v>
      </c>
      <c r="AS11" s="196"/>
      <c r="AT11" s="169" t="s">
        <v>398</v>
      </c>
      <c r="AU11" s="169" t="s">
        <v>401</v>
      </c>
      <c r="AV11" s="169" t="s">
        <v>401</v>
      </c>
      <c r="AW11" s="169" t="s">
        <v>398</v>
      </c>
      <c r="AX11" s="169" t="s">
        <v>398</v>
      </c>
      <c r="AY11" s="196"/>
      <c r="AZ11" s="169" t="s">
        <v>401</v>
      </c>
      <c r="BA11" s="169" t="s">
        <v>398</v>
      </c>
      <c r="BB11" s="169" t="s">
        <v>398</v>
      </c>
      <c r="BC11" s="169" t="s">
        <v>398</v>
      </c>
      <c r="BD11" s="169" t="s">
        <v>398</v>
      </c>
      <c r="BE11" s="169" t="s">
        <v>401</v>
      </c>
      <c r="BF11" s="169" t="s">
        <v>401</v>
      </c>
      <c r="BG11" s="169" t="s">
        <v>401</v>
      </c>
      <c r="BH11" s="169" t="s">
        <v>398</v>
      </c>
      <c r="BI11" s="170" t="s">
        <v>398</v>
      </c>
      <c r="BJ11" s="196"/>
      <c r="BK11" s="170" t="s">
        <v>398</v>
      </c>
      <c r="BL11" s="170" t="s">
        <v>398</v>
      </c>
      <c r="BM11" s="169" t="s">
        <v>398</v>
      </c>
      <c r="BN11" s="170" t="s">
        <v>398</v>
      </c>
      <c r="BO11" s="169" t="s">
        <v>401</v>
      </c>
      <c r="BP11" s="169" t="s">
        <v>398</v>
      </c>
      <c r="BQ11" s="169" t="s">
        <v>398</v>
      </c>
      <c r="BR11" s="169" t="s">
        <v>421</v>
      </c>
      <c r="BS11" s="169" t="s">
        <v>398</v>
      </c>
      <c r="BT11" s="169" t="s">
        <v>398</v>
      </c>
      <c r="BU11" s="169" t="s">
        <v>398</v>
      </c>
      <c r="BV11" s="169" t="s">
        <v>398</v>
      </c>
      <c r="BW11" s="169" t="s">
        <v>398</v>
      </c>
      <c r="BX11" s="169" t="s">
        <v>398</v>
      </c>
      <c r="BY11" s="169" t="s">
        <v>398</v>
      </c>
      <c r="BZ11" s="169" t="s">
        <v>398</v>
      </c>
      <c r="CA11" s="169" t="s">
        <v>398</v>
      </c>
      <c r="CB11" s="169" t="s">
        <v>401</v>
      </c>
      <c r="CC11" s="169" t="s">
        <v>401</v>
      </c>
      <c r="CD11" s="169" t="s">
        <v>398</v>
      </c>
      <c r="CE11" s="169" t="s">
        <v>398</v>
      </c>
      <c r="CF11" s="169" t="s">
        <v>398</v>
      </c>
      <c r="CG11" s="169"/>
      <c r="CH11" s="169"/>
      <c r="CI11" s="196"/>
      <c r="CJ11" s="169"/>
      <c r="CK11" s="169"/>
      <c r="CL11" s="169"/>
      <c r="CM11" s="169"/>
      <c r="CN11" s="169"/>
      <c r="CO11" s="169"/>
      <c r="CP11" s="169"/>
      <c r="CQ11" s="169"/>
      <c r="CR11" s="169"/>
      <c r="CS11" s="169" t="s">
        <v>398</v>
      </c>
    </row>
    <row r="12" spans="1:97" ht="15.75">
      <c r="A12" s="166" t="s">
        <v>422</v>
      </c>
      <c r="B12" s="167" t="s">
        <v>398</v>
      </c>
      <c r="C12" s="169" t="s">
        <v>401</v>
      </c>
      <c r="D12" s="169" t="s">
        <v>398</v>
      </c>
      <c r="E12" s="169" t="s">
        <v>398</v>
      </c>
      <c r="F12" s="169" t="s">
        <v>401</v>
      </c>
      <c r="G12" s="169" t="s">
        <v>401</v>
      </c>
      <c r="H12" s="169" t="s">
        <v>398</v>
      </c>
      <c r="I12" s="169" t="s">
        <v>401</v>
      </c>
      <c r="J12" s="169" t="s">
        <v>398</v>
      </c>
      <c r="K12" s="169" t="s">
        <v>401</v>
      </c>
      <c r="L12" s="169" t="s">
        <v>398</v>
      </c>
      <c r="M12" s="169" t="s">
        <v>401</v>
      </c>
      <c r="N12" s="169" t="s">
        <v>401</v>
      </c>
      <c r="O12" s="169" t="s">
        <v>400</v>
      </c>
      <c r="P12" s="170" t="s">
        <v>398</v>
      </c>
      <c r="Q12" s="169" t="s">
        <v>401</v>
      </c>
      <c r="R12" s="169" t="s">
        <v>401</v>
      </c>
      <c r="S12" s="169" t="s">
        <v>401</v>
      </c>
      <c r="T12" s="169" t="s">
        <v>401</v>
      </c>
      <c r="U12" s="170" t="s">
        <v>401</v>
      </c>
      <c r="V12" s="169" t="s">
        <v>401</v>
      </c>
      <c r="W12" s="169" t="s">
        <v>398</v>
      </c>
      <c r="X12" s="169" t="s">
        <v>401</v>
      </c>
      <c r="Y12" s="169" t="s">
        <v>401</v>
      </c>
      <c r="Z12" s="169" t="s">
        <v>398</v>
      </c>
      <c r="AA12" s="169" t="s">
        <v>401</v>
      </c>
      <c r="AB12" s="169" t="s">
        <v>401</v>
      </c>
      <c r="AC12" s="169" t="s">
        <v>398</v>
      </c>
      <c r="AD12" s="169" t="s">
        <v>401</v>
      </c>
      <c r="AE12" s="196"/>
      <c r="AF12" s="169" t="s">
        <v>401</v>
      </c>
      <c r="AG12" s="169" t="s">
        <v>401</v>
      </c>
      <c r="AH12" s="169" t="s">
        <v>401</v>
      </c>
      <c r="AI12" s="169" t="s">
        <v>401</v>
      </c>
      <c r="AJ12" s="169" t="s">
        <v>398</v>
      </c>
      <c r="AK12" s="169" t="s">
        <v>398</v>
      </c>
      <c r="AL12" s="196"/>
      <c r="AM12" s="169" t="s">
        <v>401</v>
      </c>
      <c r="AN12" s="169" t="s">
        <v>401</v>
      </c>
      <c r="AO12" s="169" t="s">
        <v>401</v>
      </c>
      <c r="AP12" s="196"/>
      <c r="AQ12" s="169" t="s">
        <v>401</v>
      </c>
      <c r="AR12" s="169" t="s">
        <v>401</v>
      </c>
      <c r="AS12" s="196"/>
      <c r="AT12" s="169" t="s">
        <v>401</v>
      </c>
      <c r="AU12" s="169" t="s">
        <v>401</v>
      </c>
      <c r="AV12" s="169" t="s">
        <v>398</v>
      </c>
      <c r="AW12" s="169" t="s">
        <v>398</v>
      </c>
      <c r="AX12" s="169" t="s">
        <v>401</v>
      </c>
      <c r="AY12" s="196"/>
      <c r="AZ12" s="169" t="s">
        <v>401</v>
      </c>
      <c r="BA12" s="169" t="s">
        <v>401</v>
      </c>
      <c r="BB12" s="169" t="s">
        <v>401</v>
      </c>
      <c r="BC12" s="169" t="s">
        <v>398</v>
      </c>
      <c r="BD12" s="169" t="s">
        <v>401</v>
      </c>
      <c r="BE12" s="169" t="s">
        <v>398</v>
      </c>
      <c r="BF12" s="169" t="s">
        <v>401</v>
      </c>
      <c r="BG12" s="169" t="s">
        <v>401</v>
      </c>
      <c r="BH12" s="169" t="s">
        <v>398</v>
      </c>
      <c r="BI12" s="170" t="s">
        <v>401</v>
      </c>
      <c r="BJ12" s="196"/>
      <c r="BK12" s="170" t="s">
        <v>401</v>
      </c>
      <c r="BL12" s="170" t="s">
        <v>401</v>
      </c>
      <c r="BM12" s="169" t="s">
        <v>398</v>
      </c>
      <c r="BN12" s="170" t="s">
        <v>401</v>
      </c>
      <c r="BO12" s="169" t="s">
        <v>401</v>
      </c>
      <c r="BP12" s="169" t="s">
        <v>401</v>
      </c>
      <c r="BQ12" s="169" t="s">
        <v>401</v>
      </c>
      <c r="BR12" s="169" t="s">
        <v>398</v>
      </c>
      <c r="BS12" s="169" t="s">
        <v>401</v>
      </c>
      <c r="BT12" s="169" t="s">
        <v>401</v>
      </c>
      <c r="BU12" s="169" t="s">
        <v>398</v>
      </c>
      <c r="BV12" s="169" t="s">
        <v>398</v>
      </c>
      <c r="BW12" s="169" t="s">
        <v>401</v>
      </c>
      <c r="BX12" s="169" t="s">
        <v>401</v>
      </c>
      <c r="BY12" s="169" t="s">
        <v>398</v>
      </c>
      <c r="BZ12" s="169" t="s">
        <v>401</v>
      </c>
      <c r="CA12" s="169" t="s">
        <v>401</v>
      </c>
      <c r="CB12" s="169" t="s">
        <v>398</v>
      </c>
      <c r="CC12" s="169" t="s">
        <v>401</v>
      </c>
      <c r="CD12" s="169" t="s">
        <v>401</v>
      </c>
      <c r="CE12" s="169" t="s">
        <v>398</v>
      </c>
      <c r="CF12" s="169" t="s">
        <v>401</v>
      </c>
      <c r="CG12" s="169"/>
      <c r="CH12" s="169"/>
      <c r="CI12" s="196"/>
      <c r="CJ12" s="169"/>
      <c r="CK12" s="169"/>
      <c r="CL12" s="169"/>
      <c r="CM12" s="169"/>
      <c r="CN12" s="169"/>
      <c r="CO12" s="169"/>
      <c r="CP12" s="169"/>
      <c r="CQ12" s="169"/>
      <c r="CR12" s="169"/>
      <c r="CS12" s="169" t="s">
        <v>401</v>
      </c>
    </row>
    <row r="13" spans="1:97" ht="15.75">
      <c r="A13" s="166" t="s">
        <v>423</v>
      </c>
      <c r="B13" s="167" t="s">
        <v>398</v>
      </c>
      <c r="C13" s="169" t="s">
        <v>401</v>
      </c>
      <c r="D13" s="169" t="s">
        <v>401</v>
      </c>
      <c r="E13" s="169" t="s">
        <v>401</v>
      </c>
      <c r="F13" s="169" t="s">
        <v>401</v>
      </c>
      <c r="G13" s="169" t="s">
        <v>401</v>
      </c>
      <c r="H13" s="169" t="s">
        <v>401</v>
      </c>
      <c r="I13" s="169" t="s">
        <v>401</v>
      </c>
      <c r="J13" s="169" t="s">
        <v>398</v>
      </c>
      <c r="K13" s="169" t="s">
        <v>401</v>
      </c>
      <c r="L13" s="169" t="s">
        <v>401</v>
      </c>
      <c r="M13" s="169" t="s">
        <v>398</v>
      </c>
      <c r="N13" s="169" t="s">
        <v>401</v>
      </c>
      <c r="O13" s="169" t="s">
        <v>400</v>
      </c>
      <c r="P13" s="170" t="s">
        <v>401</v>
      </c>
      <c r="Q13" s="169" t="s">
        <v>401</v>
      </c>
      <c r="R13" s="169" t="s">
        <v>401</v>
      </c>
      <c r="S13" s="169" t="s">
        <v>401</v>
      </c>
      <c r="T13" s="169" t="s">
        <v>401</v>
      </c>
      <c r="U13" s="170" t="s">
        <v>401</v>
      </c>
      <c r="V13" s="169" t="s">
        <v>398</v>
      </c>
      <c r="W13" s="169" t="s">
        <v>401</v>
      </c>
      <c r="X13" s="169" t="s">
        <v>401</v>
      </c>
      <c r="Y13" s="169" t="s">
        <v>401</v>
      </c>
      <c r="Z13" s="169" t="s">
        <v>401</v>
      </c>
      <c r="AA13" s="169" t="s">
        <v>401</v>
      </c>
      <c r="AB13" s="169" t="s">
        <v>401</v>
      </c>
      <c r="AC13" s="169" t="s">
        <v>398</v>
      </c>
      <c r="AD13" s="169" t="s">
        <v>401</v>
      </c>
      <c r="AE13" s="197"/>
      <c r="AF13" s="169" t="s">
        <v>401</v>
      </c>
      <c r="AG13" s="169" t="s">
        <v>401</v>
      </c>
      <c r="AH13" s="169" t="s">
        <v>401</v>
      </c>
      <c r="AI13" s="169" t="s">
        <v>398</v>
      </c>
      <c r="AJ13" s="169" t="s">
        <v>401</v>
      </c>
      <c r="AK13" s="169" t="s">
        <v>401</v>
      </c>
      <c r="AL13" s="197"/>
      <c r="AM13" s="169" t="s">
        <v>401</v>
      </c>
      <c r="AN13" s="169" t="s">
        <v>401</v>
      </c>
      <c r="AO13" s="169" t="s">
        <v>401</v>
      </c>
      <c r="AP13" s="197"/>
      <c r="AQ13" s="169" t="s">
        <v>401</v>
      </c>
      <c r="AR13" s="169" t="s">
        <v>401</v>
      </c>
      <c r="AS13" s="197"/>
      <c r="AT13" s="169" t="s">
        <v>401</v>
      </c>
      <c r="AU13" s="169" t="s">
        <v>401</v>
      </c>
      <c r="AV13" s="169" t="s">
        <v>401</v>
      </c>
      <c r="AW13" s="169" t="s">
        <v>401</v>
      </c>
      <c r="AX13" s="169" t="s">
        <v>401</v>
      </c>
      <c r="AY13" s="197"/>
      <c r="AZ13" s="169" t="s">
        <v>401</v>
      </c>
      <c r="BA13" s="169" t="s">
        <v>401</v>
      </c>
      <c r="BB13" s="169" t="s">
        <v>401</v>
      </c>
      <c r="BC13" s="169" t="s">
        <v>401</v>
      </c>
      <c r="BD13" s="169" t="s">
        <v>401</v>
      </c>
      <c r="BE13" s="169" t="s">
        <v>401</v>
      </c>
      <c r="BF13" s="169" t="s">
        <v>401</v>
      </c>
      <c r="BG13" s="169" t="s">
        <v>401</v>
      </c>
      <c r="BH13" s="169" t="s">
        <v>401</v>
      </c>
      <c r="BI13" s="170" t="s">
        <v>401</v>
      </c>
      <c r="BJ13" s="197"/>
      <c r="BK13" s="170" t="s">
        <v>401</v>
      </c>
      <c r="BL13" s="170" t="s">
        <v>401</v>
      </c>
      <c r="BM13" s="169" t="s">
        <v>401</v>
      </c>
      <c r="BN13" s="170" t="s">
        <v>401</v>
      </c>
      <c r="BO13" s="169" t="s">
        <v>401</v>
      </c>
      <c r="BP13" s="169" t="s">
        <v>401</v>
      </c>
      <c r="BQ13" s="169" t="s">
        <v>401</v>
      </c>
      <c r="BR13" s="169" t="s">
        <v>421</v>
      </c>
      <c r="BS13" s="169" t="s">
        <v>401</v>
      </c>
      <c r="BT13" s="169" t="s">
        <v>401</v>
      </c>
      <c r="BU13" s="169" t="s">
        <v>401</v>
      </c>
      <c r="BV13" s="169" t="s">
        <v>401</v>
      </c>
      <c r="BW13" s="169" t="s">
        <v>401</v>
      </c>
      <c r="BX13" s="169" t="s">
        <v>401</v>
      </c>
      <c r="BY13" s="169" t="s">
        <v>401</v>
      </c>
      <c r="BZ13" s="169" t="s">
        <v>401</v>
      </c>
      <c r="CA13" s="169" t="s">
        <v>401</v>
      </c>
      <c r="CB13" s="169" t="s">
        <v>401</v>
      </c>
      <c r="CC13" s="169" t="s">
        <v>401</v>
      </c>
      <c r="CD13" s="169" t="s">
        <v>398</v>
      </c>
      <c r="CE13" s="169" t="s">
        <v>398</v>
      </c>
      <c r="CF13" s="169" t="s">
        <v>398</v>
      </c>
      <c r="CG13" s="169"/>
      <c r="CH13" s="169"/>
      <c r="CI13" s="197"/>
      <c r="CJ13" s="169"/>
      <c r="CK13" s="169"/>
      <c r="CL13" s="169"/>
      <c r="CM13" s="169"/>
      <c r="CN13" s="169"/>
      <c r="CO13" s="169"/>
      <c r="CP13" s="169"/>
      <c r="CQ13" s="169"/>
      <c r="CR13" s="169"/>
      <c r="CS13" s="169" t="s">
        <v>401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J4:BJ13"/>
    <mergeCell ref="CI4:CI13"/>
    <mergeCell ref="AE4:AE13"/>
    <mergeCell ref="AL4:AL13"/>
    <mergeCell ref="AP4:AP13"/>
    <mergeCell ref="AS4:AS13"/>
    <mergeCell ref="AY4:AY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1.21875" defaultRowHeight="15" customHeight="1"/>
  <cols>
    <col min="1" max="1" width="13.109375" customWidth="1"/>
    <col min="2" max="2" width="35.77734375" customWidth="1"/>
    <col min="3" max="3" width="17.109375" customWidth="1"/>
    <col min="4" max="4" width="11.109375" customWidth="1"/>
    <col min="5" max="5" width="10.6640625" customWidth="1"/>
    <col min="7" max="7" width="10" customWidth="1"/>
    <col min="8" max="8" width="9.88671875" customWidth="1"/>
    <col min="9" max="9" width="4.77734375" customWidth="1"/>
    <col min="10" max="10" width="9.88671875" customWidth="1"/>
    <col min="11" max="11" width="13.33203125" customWidth="1"/>
    <col min="12" max="12" width="66.6640625" customWidth="1"/>
    <col min="13" max="26" width="10.5546875" customWidth="1"/>
  </cols>
  <sheetData>
    <row r="1" spans="1:26" ht="25.5">
      <c r="A1" s="173" t="s">
        <v>424</v>
      </c>
      <c r="B1" s="173" t="s">
        <v>2</v>
      </c>
      <c r="C1" s="173" t="s">
        <v>4</v>
      </c>
      <c r="D1" s="173" t="s">
        <v>5</v>
      </c>
      <c r="E1" s="174" t="s">
        <v>8</v>
      </c>
      <c r="F1" s="174" t="s">
        <v>9</v>
      </c>
      <c r="G1" s="175" t="s">
        <v>10</v>
      </c>
      <c r="H1" s="174" t="s">
        <v>425</v>
      </c>
      <c r="I1" s="176" t="s">
        <v>426</v>
      </c>
      <c r="J1" s="177" t="s">
        <v>427</v>
      </c>
      <c r="K1" s="178" t="s">
        <v>428</v>
      </c>
      <c r="L1" s="176" t="s">
        <v>429</v>
      </c>
      <c r="M1" s="179"/>
      <c r="N1" s="179"/>
      <c r="O1" s="179"/>
      <c r="P1" s="179"/>
      <c r="Q1" s="179"/>
      <c r="R1" s="179"/>
      <c r="S1" s="179"/>
      <c r="T1" s="179"/>
      <c r="U1" s="179"/>
      <c r="V1" s="179"/>
      <c r="W1" s="179"/>
      <c r="X1" s="179"/>
      <c r="Y1" s="179"/>
      <c r="Z1" s="179"/>
    </row>
    <row r="2" spans="1:26" ht="38.25">
      <c r="A2" s="180" t="s">
        <v>430</v>
      </c>
      <c r="B2" s="181" t="s">
        <v>431</v>
      </c>
      <c r="C2" s="182"/>
      <c r="D2" s="182" t="s">
        <v>27</v>
      </c>
      <c r="E2" s="183">
        <v>45567</v>
      </c>
      <c r="F2" s="183">
        <v>45567</v>
      </c>
      <c r="G2" s="183">
        <v>45568</v>
      </c>
      <c r="H2" s="183">
        <v>45569</v>
      </c>
      <c r="I2" s="184">
        <f ca="1">IF(ISBLANK(H2), NETWORKDAYS(F2, TODAY(),Hoja2!$A$1:$A$18), NETWORKDAYS(F2, H2, Hoja2!$A$1:$A$18))</f>
        <v>3</v>
      </c>
      <c r="J2" s="183">
        <v>45572</v>
      </c>
      <c r="K2" s="185"/>
      <c r="L2" s="186" t="s">
        <v>432</v>
      </c>
      <c r="M2" s="179"/>
      <c r="N2" s="179"/>
      <c r="O2" s="179"/>
      <c r="P2" s="179"/>
      <c r="Q2" s="179"/>
      <c r="R2" s="179"/>
      <c r="S2" s="179"/>
      <c r="T2" s="179"/>
      <c r="U2" s="179"/>
      <c r="V2" s="179"/>
      <c r="W2" s="179"/>
      <c r="X2" s="179"/>
      <c r="Y2" s="179"/>
      <c r="Z2" s="179"/>
    </row>
    <row r="3" spans="1:26" ht="51">
      <c r="A3" s="180" t="s">
        <v>417</v>
      </c>
      <c r="B3" s="198" t="s">
        <v>433</v>
      </c>
      <c r="C3" s="187" t="s">
        <v>434</v>
      </c>
      <c r="D3" s="182" t="s">
        <v>198</v>
      </c>
      <c r="E3" s="183">
        <v>45575</v>
      </c>
      <c r="F3" s="183"/>
      <c r="G3" s="183"/>
      <c r="H3" s="185">
        <v>0</v>
      </c>
      <c r="I3" s="184">
        <f ca="1">IF(ISBLANK(H3), NETWORKDAYS(F3, TODAY(),Hoja2!$A$1:$A$18), NETWORKDAYS(F3, H3, Hoja2!$A$1:$A$18))</f>
        <v>0</v>
      </c>
      <c r="J3" s="183">
        <v>45569</v>
      </c>
      <c r="K3" s="183"/>
      <c r="L3" s="186" t="s">
        <v>435</v>
      </c>
      <c r="M3" s="188"/>
      <c r="N3" s="179"/>
      <c r="O3" s="179"/>
      <c r="P3" s="179"/>
      <c r="Q3" s="179"/>
      <c r="R3" s="179"/>
      <c r="S3" s="179"/>
      <c r="T3" s="179"/>
      <c r="U3" s="179"/>
      <c r="V3" s="179"/>
      <c r="W3" s="179"/>
      <c r="X3" s="179"/>
      <c r="Y3" s="179"/>
      <c r="Z3" s="179"/>
    </row>
    <row r="4" spans="1:26" ht="51">
      <c r="A4" s="180" t="s">
        <v>417</v>
      </c>
      <c r="B4" s="196"/>
      <c r="C4" s="189" t="s">
        <v>436</v>
      </c>
      <c r="D4" s="182" t="s">
        <v>198</v>
      </c>
      <c r="E4" s="183">
        <v>45575</v>
      </c>
      <c r="F4" s="190"/>
      <c r="G4" s="190"/>
      <c r="H4" s="191">
        <v>0</v>
      </c>
      <c r="I4" s="192">
        <f ca="1">IF(ISBLANK(H4), NETWORKDAYS(F4, TODAY(),Hoja2!$A$1:$A$18), NETWORKDAYS(F4, H4, Hoja2!$A$1:$A$18))</f>
        <v>0</v>
      </c>
      <c r="J4" s="190">
        <v>45569</v>
      </c>
      <c r="K4" s="190"/>
      <c r="L4" s="193" t="s">
        <v>437</v>
      </c>
      <c r="M4" s="188"/>
      <c r="N4" s="179"/>
      <c r="O4" s="179"/>
      <c r="P4" s="179"/>
      <c r="Q4" s="179"/>
      <c r="R4" s="179"/>
      <c r="S4" s="179"/>
      <c r="T4" s="179"/>
      <c r="U4" s="179"/>
      <c r="V4" s="179"/>
      <c r="W4" s="179"/>
      <c r="X4" s="179"/>
      <c r="Y4" s="179"/>
      <c r="Z4" s="179"/>
    </row>
    <row r="5" spans="1:26" ht="51">
      <c r="A5" s="180" t="s">
        <v>417</v>
      </c>
      <c r="B5" s="176" t="s">
        <v>438</v>
      </c>
      <c r="C5" s="182" t="s">
        <v>439</v>
      </c>
      <c r="D5" s="182" t="s">
        <v>198</v>
      </c>
      <c r="E5" s="183">
        <v>45575</v>
      </c>
      <c r="F5" s="183"/>
      <c r="G5" s="183"/>
      <c r="H5" s="185">
        <v>0</v>
      </c>
      <c r="I5" s="184">
        <f ca="1">IF(ISBLANK(H5), NETWORKDAYS(F5, TODAY(),Hoja2!$A$1:$A$18), NETWORKDAYS(F5, H5, Hoja2!$A$1:$A$18))</f>
        <v>0</v>
      </c>
      <c r="J5" s="183">
        <v>45569</v>
      </c>
      <c r="K5" s="183"/>
      <c r="L5" s="186" t="s">
        <v>437</v>
      </c>
      <c r="M5" s="188"/>
      <c r="N5" s="179"/>
      <c r="O5" s="179"/>
      <c r="P5" s="179"/>
      <c r="Q5" s="179"/>
      <c r="R5" s="179"/>
      <c r="S5" s="179"/>
      <c r="T5" s="179"/>
      <c r="U5" s="179"/>
      <c r="V5" s="179"/>
      <c r="W5" s="179"/>
      <c r="X5" s="179"/>
      <c r="Y5" s="179"/>
      <c r="Z5" s="179"/>
    </row>
    <row r="6" spans="1:26">
      <c r="A6" s="194"/>
      <c r="B6" s="194"/>
      <c r="C6" s="194"/>
      <c r="D6" s="194"/>
      <c r="E6" s="194"/>
      <c r="F6" s="194"/>
      <c r="G6" s="194"/>
      <c r="H6" s="194"/>
      <c r="I6" s="194"/>
      <c r="J6" s="194"/>
      <c r="K6" s="194"/>
      <c r="L6" s="194"/>
      <c r="M6" s="194"/>
      <c r="N6" s="194"/>
      <c r="O6" s="194"/>
      <c r="P6" s="194"/>
      <c r="Q6" s="194"/>
      <c r="R6" s="194"/>
      <c r="S6" s="194"/>
      <c r="T6" s="194"/>
      <c r="U6" s="194"/>
      <c r="V6" s="194"/>
      <c r="W6" s="194"/>
      <c r="X6" s="194"/>
      <c r="Y6" s="194"/>
      <c r="Z6" s="194"/>
    </row>
    <row r="7" spans="1:26">
      <c r="A7" s="194"/>
      <c r="B7" s="194"/>
      <c r="C7" s="194"/>
      <c r="D7" s="194"/>
      <c r="E7" s="194"/>
      <c r="F7" s="194"/>
      <c r="G7" s="194"/>
      <c r="H7" s="194"/>
      <c r="I7" s="194"/>
      <c r="J7" s="194"/>
      <c r="K7" s="194"/>
      <c r="L7" s="194"/>
      <c r="M7" s="194"/>
      <c r="N7" s="194"/>
      <c r="O7" s="194"/>
      <c r="P7" s="194"/>
      <c r="Q7" s="194"/>
      <c r="R7" s="194"/>
      <c r="S7" s="194"/>
      <c r="T7" s="194"/>
      <c r="U7" s="194"/>
      <c r="V7" s="194"/>
      <c r="W7" s="194"/>
      <c r="X7" s="194"/>
      <c r="Y7" s="194"/>
      <c r="Z7" s="194"/>
    </row>
    <row r="8" spans="1:26">
      <c r="A8" s="194"/>
      <c r="B8" s="194"/>
      <c r="C8" s="194"/>
      <c r="D8" s="194"/>
      <c r="E8" s="194"/>
      <c r="F8" s="194"/>
      <c r="G8" s="194"/>
      <c r="H8" s="194"/>
      <c r="I8" s="194"/>
      <c r="J8" s="194"/>
      <c r="K8" s="194"/>
      <c r="L8" s="194"/>
      <c r="M8" s="194"/>
      <c r="N8" s="194"/>
      <c r="O8" s="194"/>
      <c r="P8" s="194"/>
      <c r="Q8" s="194"/>
      <c r="R8" s="194"/>
      <c r="S8" s="194"/>
      <c r="T8" s="194"/>
      <c r="U8" s="194"/>
      <c r="V8" s="194"/>
      <c r="W8" s="194"/>
      <c r="X8" s="194"/>
      <c r="Y8" s="194"/>
      <c r="Z8" s="194"/>
    </row>
    <row r="9" spans="1:26">
      <c r="A9" s="194"/>
      <c r="B9" s="194"/>
      <c r="C9" s="194"/>
      <c r="D9" s="194"/>
      <c r="E9" s="194"/>
      <c r="F9" s="194"/>
      <c r="G9" s="194"/>
      <c r="H9" s="194"/>
      <c r="I9" s="194"/>
      <c r="J9" s="194"/>
      <c r="K9" s="194"/>
      <c r="L9" s="194"/>
      <c r="M9" s="194"/>
      <c r="N9" s="194"/>
      <c r="O9" s="194"/>
      <c r="P9" s="194"/>
      <c r="Q9" s="194"/>
      <c r="R9" s="194"/>
      <c r="S9" s="194"/>
      <c r="T9" s="194"/>
      <c r="U9" s="194"/>
      <c r="V9" s="194"/>
      <c r="W9" s="194"/>
      <c r="X9" s="194"/>
      <c r="Y9" s="194"/>
      <c r="Z9" s="194"/>
    </row>
    <row r="10" spans="1:26">
      <c r="A10" s="194"/>
      <c r="B10" s="194"/>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4"/>
    </row>
    <row r="11" spans="1:26">
      <c r="A11" s="194"/>
      <c r="B11" s="194"/>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row>
    <row r="12" spans="1:26">
      <c r="A12" s="194"/>
      <c r="B12" s="194"/>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row>
    <row r="13" spans="1:26">
      <c r="A13" s="194"/>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row>
    <row r="16" spans="1:26">
      <c r="A16" s="194"/>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row>
    <row r="17" spans="1:26">
      <c r="A17" s="194"/>
      <c r="B17" s="194"/>
      <c r="C17" s="194"/>
      <c r="D17" s="194"/>
      <c r="E17" s="194"/>
      <c r="F17" s="194"/>
      <c r="G17" s="194"/>
      <c r="H17" s="194"/>
      <c r="I17" s="194"/>
      <c r="J17" s="194"/>
      <c r="K17" s="194"/>
      <c r="L17" s="194"/>
      <c r="M17" s="194"/>
      <c r="N17" s="194"/>
      <c r="O17" s="194"/>
      <c r="P17" s="194"/>
      <c r="Q17" s="194"/>
      <c r="R17" s="194"/>
      <c r="S17" s="194"/>
      <c r="T17" s="194"/>
      <c r="U17" s="194"/>
      <c r="V17" s="194"/>
      <c r="W17" s="194"/>
      <c r="X17" s="194"/>
      <c r="Y17" s="194"/>
      <c r="Z17" s="194"/>
    </row>
    <row r="18" spans="1:26">
      <c r="A18" s="194"/>
      <c r="B18" s="194"/>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row>
    <row r="19" spans="1:26">
      <c r="A19" s="194"/>
      <c r="B19" s="194"/>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Z19" s="194"/>
    </row>
    <row r="20" spans="1:26">
      <c r="A20" s="194"/>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row>
    <row r="21" spans="1:26" ht="15.75" customHeight="1">
      <c r="A21" s="194"/>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row>
    <row r="22" spans="1:26" ht="15.75" customHeight="1">
      <c r="A22" s="194"/>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row>
    <row r="23" spans="1:26" ht="15.75" customHeight="1">
      <c r="A23" s="194"/>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row>
    <row r="24" spans="1:26" ht="15.75" customHeight="1">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5.75" customHeight="1">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5.75" customHeight="1">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row>
    <row r="27" spans="1:26" ht="15.75"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row>
    <row r="28" spans="1:26" ht="15.75"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row>
    <row r="29" spans="1:26" ht="15.75"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row>
    <row r="30" spans="1:26" ht="15.75" customHeight="1">
      <c r="A30" s="194"/>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row>
    <row r="31" spans="1:26" ht="15.75"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row>
    <row r="32" spans="1:26" ht="15.75" customHeight="1">
      <c r="A32" s="194"/>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row>
    <row r="33" spans="1:26" ht="15.75"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row>
    <row r="34" spans="1:26" ht="15.75" customHeight="1">
      <c r="A34" s="194"/>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row>
    <row r="35" spans="1:26" ht="15.75"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5.75" customHeight="1">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5.75"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row>
    <row r="38" spans="1:26" ht="15.75"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row>
    <row r="39" spans="1:26" ht="15.75" customHeight="1">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row>
    <row r="40" spans="1:26" ht="15.75" customHeight="1">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row>
    <row r="41" spans="1:26" ht="15.75" customHeight="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row>
    <row r="42" spans="1:26" ht="15.75" customHeight="1">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row>
    <row r="43" spans="1:26" ht="15.75" customHeight="1">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row>
    <row r="44" spans="1:26" ht="15.75" customHeight="1">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row>
    <row r="45" spans="1:26" ht="15.75" customHeight="1">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row>
    <row r="46" spans="1:26" ht="15.75" customHeight="1">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5.75" customHeight="1">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5.75" customHeight="1">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row>
    <row r="49" spans="1:26" ht="15.75" customHeight="1">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row>
    <row r="50" spans="1:26" ht="15.75" customHeight="1">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row>
    <row r="51" spans="1:26" ht="15.75" customHeight="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row>
    <row r="52" spans="1:26" ht="15.75" customHeight="1">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row>
    <row r="53" spans="1:26" ht="15.75" customHeight="1">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row>
    <row r="54" spans="1:26" ht="15.75" customHeight="1">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row>
    <row r="55" spans="1:26" ht="15.75" customHeight="1">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row>
    <row r="56" spans="1:26" ht="15.75" customHeight="1">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row>
    <row r="57" spans="1:26" ht="15.75" customHeight="1">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5.75" customHeight="1">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5.75" customHeight="1">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row>
    <row r="60" spans="1:26" ht="15.75" customHeight="1">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row>
    <row r="61" spans="1:26" ht="15.75" customHeight="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row>
    <row r="62" spans="1:26" ht="15.75" customHeight="1">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row>
    <row r="63" spans="1:26" ht="15.75" customHeight="1">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row>
    <row r="64" spans="1:26" ht="15.75" customHeight="1">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row>
    <row r="65" spans="1:26" ht="15.75" customHeight="1">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row>
    <row r="66" spans="1:26" ht="15.75" customHeight="1">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row>
    <row r="67" spans="1:26" ht="15.75" customHeight="1">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row>
    <row r="68" spans="1:26" ht="15.75" customHeight="1">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row>
    <row r="69" spans="1:26" ht="15.75" customHeight="1">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row>
    <row r="70" spans="1:26" ht="15.75" customHeight="1">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row>
    <row r="71" spans="1:26" ht="15.75" customHeight="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row>
    <row r="72" spans="1:26" ht="15.75" customHeight="1">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row>
    <row r="73" spans="1:26" ht="15.75" customHeight="1">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row>
    <row r="74" spans="1:26" ht="15.75" customHeight="1">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row>
    <row r="75" spans="1:26" ht="15.75" customHeight="1">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row>
    <row r="76" spans="1:26" ht="15.75" customHeight="1">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row>
    <row r="77" spans="1:26" ht="15.75" customHeight="1">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row>
    <row r="78" spans="1:26" ht="15.75" customHeight="1">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row>
    <row r="79" spans="1:26" ht="15.75" customHeight="1">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row>
    <row r="80" spans="1:26" ht="15.75" customHeight="1">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row>
    <row r="81" spans="1:26" ht="15.75" customHeight="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row>
    <row r="82" spans="1:26" ht="15.75" customHeight="1">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row>
    <row r="83" spans="1:26" ht="15.75" customHeight="1">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row>
    <row r="84" spans="1:26" ht="15.75" customHeight="1">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row>
    <row r="85" spans="1:26" ht="15.75" customHeight="1">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row>
    <row r="86" spans="1:26" ht="15.75" customHeight="1">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row>
    <row r="87" spans="1:26" ht="15.75" customHeight="1">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row>
    <row r="88" spans="1:26" ht="15.75" customHeight="1">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row>
    <row r="89" spans="1:26" ht="15.75" customHeight="1">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row>
    <row r="90" spans="1:26" ht="15.75" customHeight="1">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row>
    <row r="91" spans="1:26" ht="15.75" customHeight="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row>
    <row r="92" spans="1:26" ht="15.75" customHeight="1">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row>
    <row r="93" spans="1:26" ht="15.75" customHeight="1">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row>
    <row r="94" spans="1:26" ht="15.75" customHeight="1">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row>
    <row r="95" spans="1:26" ht="15.75" customHeight="1">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row>
    <row r="96" spans="1:26" ht="15.75" customHeight="1">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row>
    <row r="97" spans="1:26" ht="15.75" customHeight="1">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row>
    <row r="98" spans="1:26" ht="15.75" customHeight="1">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row>
    <row r="99" spans="1:26" ht="15.75" customHeight="1">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row>
    <row r="100" spans="1:26" ht="15.75" customHeight="1">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row>
    <row r="101" spans="1:26" ht="15.75" customHeight="1">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row>
    <row r="102" spans="1:26" ht="15.75" customHeight="1">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row>
    <row r="103" spans="1:26" ht="15.75" customHeight="1">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row>
    <row r="104" spans="1:26" ht="15.75" customHeight="1">
      <c r="A104" s="194"/>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row>
    <row r="105" spans="1:26" ht="15.75" customHeight="1">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row>
    <row r="106" spans="1:26" ht="15.75" customHeight="1">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row>
    <row r="107" spans="1:26" ht="15.75" customHeight="1">
      <c r="A107" s="194"/>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row>
    <row r="108" spans="1:26" ht="15.75" customHeight="1">
      <c r="A108" s="194"/>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row>
    <row r="109" spans="1:26" ht="15.75" customHeight="1">
      <c r="A109" s="194"/>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row>
    <row r="110" spans="1:26" ht="15.75" customHeight="1">
      <c r="A110" s="194"/>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row>
    <row r="111" spans="1:26" ht="15.75" customHeight="1">
      <c r="A111" s="194"/>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row>
    <row r="112" spans="1:26" ht="15.75" customHeight="1">
      <c r="A112" s="194"/>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row>
    <row r="113" spans="1:26" ht="15.75" customHeight="1">
      <c r="A113" s="194"/>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row>
    <row r="114" spans="1:26" ht="15.75" customHeight="1">
      <c r="A114" s="194"/>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row>
    <row r="115" spans="1:26" ht="15.75" customHeight="1">
      <c r="A115" s="194"/>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row>
    <row r="116" spans="1:26" ht="15.75" customHeight="1">
      <c r="A116" s="194"/>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row>
    <row r="117" spans="1:26" ht="15.75" customHeight="1">
      <c r="A117" s="194"/>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row>
    <row r="118" spans="1:26" ht="15.75" customHeight="1">
      <c r="A118" s="194"/>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row>
    <row r="119" spans="1:26" ht="15.75" customHeight="1">
      <c r="A119" s="194"/>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row>
    <row r="120" spans="1:26" ht="15.75" customHeight="1">
      <c r="A120" s="194"/>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row>
    <row r="121" spans="1:26" ht="15.75" customHeight="1">
      <c r="A121" s="194"/>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row>
    <row r="122" spans="1:26" ht="15.75" customHeight="1">
      <c r="A122" s="194"/>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row>
    <row r="123" spans="1:26" ht="15.75" customHeight="1">
      <c r="A123" s="194"/>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row>
    <row r="124" spans="1:26" ht="15.75" customHeight="1">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row>
    <row r="125" spans="1:26" ht="15.75" customHeight="1">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row>
    <row r="126" spans="1:26" ht="15.75" customHeight="1">
      <c r="A126" s="194"/>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row>
    <row r="127" spans="1:26" ht="15.75" customHeight="1">
      <c r="A127" s="194"/>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row>
    <row r="128" spans="1:26" ht="15.75" customHeight="1">
      <c r="A128" s="194"/>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row>
    <row r="129" spans="1:26" ht="15.75" customHeight="1">
      <c r="A129" s="194"/>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row>
    <row r="130" spans="1:26" ht="15.75" customHeight="1">
      <c r="A130" s="194"/>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row>
    <row r="131" spans="1:26" ht="15.75" customHeight="1">
      <c r="A131" s="194"/>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row>
    <row r="132" spans="1:26" ht="15.75" customHeight="1">
      <c r="A132" s="194"/>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row>
    <row r="133" spans="1:26" ht="15.75" customHeight="1">
      <c r="A133" s="194"/>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row>
    <row r="134" spans="1:26" ht="15.75" customHeight="1">
      <c r="A134" s="194"/>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row>
    <row r="135" spans="1:26" ht="15.75" customHeight="1">
      <c r="A135" s="194"/>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row>
    <row r="136" spans="1:26" ht="15.75" customHeight="1">
      <c r="A136" s="194"/>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row>
    <row r="137" spans="1:26" ht="15.75" customHeight="1">
      <c r="A137" s="194"/>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row>
    <row r="138" spans="1:26" ht="15.75" customHeight="1">
      <c r="A138" s="194"/>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row>
    <row r="139" spans="1:26" ht="15.75" customHeight="1">
      <c r="A139" s="194"/>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row>
    <row r="140" spans="1:26" ht="15.75" customHeight="1">
      <c r="A140" s="194"/>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row>
    <row r="141" spans="1:26" ht="15.75" customHeight="1">
      <c r="A141" s="194"/>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row>
    <row r="142" spans="1:26" ht="15.75" customHeight="1">
      <c r="A142" s="194"/>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row>
    <row r="143" spans="1:26" ht="15.75" customHeight="1">
      <c r="A143" s="194"/>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row>
    <row r="144" spans="1:26" ht="15.75" customHeight="1">
      <c r="A144" s="194"/>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row>
    <row r="145" spans="1:26" ht="15.75" customHeight="1">
      <c r="A145" s="194"/>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row>
    <row r="146" spans="1:26" ht="15.75" customHeight="1">
      <c r="A146" s="194"/>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row>
    <row r="147" spans="1:26" ht="15.75" customHeight="1">
      <c r="A147" s="194"/>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row>
    <row r="148" spans="1:26" ht="15.75" customHeight="1">
      <c r="A148" s="194"/>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row>
    <row r="149" spans="1:26" ht="15.75" customHeight="1">
      <c r="A149" s="194"/>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row>
    <row r="150" spans="1:26" ht="15.75" customHeight="1">
      <c r="A150" s="194"/>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row>
    <row r="151" spans="1:26" ht="15.75" customHeight="1">
      <c r="A151" s="194"/>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row>
    <row r="152" spans="1:26" ht="15.75" customHeight="1">
      <c r="A152" s="194"/>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row>
    <row r="153" spans="1:26" ht="15.75" customHeight="1">
      <c r="A153" s="194"/>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row>
    <row r="154" spans="1:26" ht="15.75" customHeight="1">
      <c r="A154" s="194"/>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row>
    <row r="155" spans="1:26" ht="15.75" customHeight="1">
      <c r="A155" s="194"/>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row>
    <row r="156" spans="1:26" ht="15.75" customHeight="1">
      <c r="A156" s="194"/>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row>
    <row r="157" spans="1:26" ht="15.75" customHeight="1">
      <c r="A157" s="194"/>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row>
    <row r="158" spans="1:26" ht="15.75" customHeight="1">
      <c r="A158" s="194"/>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row>
    <row r="159" spans="1:26" ht="15.75" customHeight="1">
      <c r="A159" s="194"/>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row>
    <row r="160" spans="1:26" ht="15.75" customHeight="1">
      <c r="A160" s="194"/>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row>
    <row r="161" spans="1:26" ht="15.75" customHeight="1">
      <c r="A161" s="194"/>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row>
    <row r="162" spans="1:26" ht="15.75" customHeight="1">
      <c r="A162" s="194"/>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row>
    <row r="163" spans="1:26" ht="15.75" customHeight="1">
      <c r="A163" s="194"/>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row>
    <row r="164" spans="1:26" ht="15.75" customHeight="1">
      <c r="A164" s="194"/>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row>
    <row r="165" spans="1:26" ht="15.75" customHeight="1">
      <c r="A165" s="194"/>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row>
    <row r="166" spans="1:26" ht="15.75" customHeight="1">
      <c r="A166" s="194"/>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row>
    <row r="167" spans="1:26" ht="15.75" customHeight="1">
      <c r="A167" s="194"/>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row>
    <row r="168" spans="1:26" ht="15.75" customHeight="1">
      <c r="A168" s="194"/>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row>
    <row r="169" spans="1:26" ht="15.75" customHeight="1">
      <c r="A169" s="194"/>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row>
    <row r="170" spans="1:26" ht="15.75" customHeight="1">
      <c r="A170" s="194"/>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row>
    <row r="171" spans="1:26" ht="15.75" customHeight="1">
      <c r="A171" s="194"/>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row>
    <row r="172" spans="1:26" ht="15.75" customHeight="1">
      <c r="A172" s="194"/>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row>
    <row r="173" spans="1:26" ht="15.75" customHeight="1">
      <c r="A173" s="194"/>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row>
    <row r="174" spans="1:26" ht="15.75" customHeight="1">
      <c r="A174" s="194"/>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row>
    <row r="175" spans="1:26" ht="15.75" customHeight="1">
      <c r="A175" s="194"/>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row>
    <row r="176" spans="1:26" ht="15.75" customHeight="1">
      <c r="A176" s="194"/>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row>
    <row r="177" spans="1:26" ht="15.75" customHeight="1">
      <c r="A177" s="194"/>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row>
    <row r="178" spans="1:26" ht="15.75" customHeight="1">
      <c r="A178" s="194"/>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row>
    <row r="179" spans="1:26" ht="15.75" customHeight="1">
      <c r="A179" s="194"/>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row>
    <row r="180" spans="1:26" ht="15.75" customHeight="1">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row>
    <row r="181" spans="1:26" ht="15.75" customHeight="1">
      <c r="A181" s="194"/>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row>
    <row r="182" spans="1:26" ht="15.75" customHeight="1">
      <c r="A182" s="194"/>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row>
    <row r="183" spans="1:26" ht="15.75" customHeight="1">
      <c r="A183" s="194"/>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row>
    <row r="184" spans="1:26" ht="15.75" customHeight="1">
      <c r="A184" s="194"/>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row>
    <row r="185" spans="1:26" ht="15.75" customHeight="1">
      <c r="A185" s="194"/>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row>
    <row r="186" spans="1:26" ht="15.75" customHeight="1">
      <c r="A186" s="194"/>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row>
    <row r="187" spans="1:26" ht="15.75" customHeight="1">
      <c r="A187" s="194"/>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row>
    <row r="188" spans="1:26" ht="15.75" customHeight="1">
      <c r="A188" s="194"/>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row>
    <row r="189" spans="1:26" ht="15.75" customHeight="1">
      <c r="A189" s="194"/>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row>
    <row r="190" spans="1:26" ht="15.75" customHeight="1">
      <c r="A190" s="194"/>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row>
    <row r="191" spans="1:26" ht="15.75" customHeight="1">
      <c r="A191" s="194"/>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row>
    <row r="192" spans="1:26" ht="15.75" customHeight="1">
      <c r="A192" s="194"/>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row>
    <row r="193" spans="1:26" ht="15.75" customHeight="1">
      <c r="A193" s="194"/>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row>
    <row r="194" spans="1:26" ht="15.75" customHeight="1">
      <c r="A194" s="194"/>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row>
    <row r="195" spans="1:26" ht="15.75" customHeight="1">
      <c r="A195" s="194"/>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row>
    <row r="196" spans="1:26" ht="15.75" customHeight="1">
      <c r="A196" s="194"/>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row>
    <row r="197" spans="1:26" ht="15.75" customHeight="1">
      <c r="A197" s="194"/>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row>
    <row r="198" spans="1:26" ht="15.75" customHeight="1">
      <c r="A198" s="194"/>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row>
    <row r="199" spans="1:26" ht="15.75" customHeight="1">
      <c r="A199" s="194"/>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row>
    <row r="200" spans="1:26" ht="15.75" customHeight="1">
      <c r="A200" s="194"/>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row>
    <row r="201" spans="1:26" ht="15.75" customHeight="1">
      <c r="A201" s="194"/>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row>
    <row r="202" spans="1:26" ht="15.75" customHeight="1">
      <c r="A202" s="194"/>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row>
    <row r="203" spans="1:26" ht="15.75" customHeight="1">
      <c r="A203" s="194"/>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row>
    <row r="204" spans="1:26" ht="15.75" customHeight="1">
      <c r="A204" s="194"/>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row>
    <row r="205" spans="1:26" ht="15.75" customHeight="1">
      <c r="A205" s="194"/>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row>
    <row r="206" spans="1:26" ht="15.75" customHeight="1">
      <c r="A206" s="194"/>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row>
    <row r="207" spans="1:26" ht="15.75" customHeight="1">
      <c r="A207" s="194"/>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row>
    <row r="208" spans="1:26" ht="15.75" customHeight="1">
      <c r="A208" s="194"/>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row>
    <row r="209" spans="1:26" ht="15.75" customHeight="1">
      <c r="A209" s="194"/>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row>
    <row r="210" spans="1:26" ht="15.75" customHeight="1">
      <c r="A210" s="194"/>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row>
    <row r="211" spans="1:26" ht="15.75" customHeight="1">
      <c r="A211" s="194"/>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row>
    <row r="212" spans="1:26" ht="15.75" customHeight="1">
      <c r="A212" s="194"/>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row>
    <row r="213" spans="1:26" ht="15.75" customHeight="1">
      <c r="A213" s="194"/>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row>
    <row r="214" spans="1:26" ht="15.75" customHeight="1">
      <c r="A214" s="194"/>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row>
    <row r="215" spans="1:26" ht="15.75" customHeight="1">
      <c r="A215" s="194"/>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row>
    <row r="216" spans="1:26" ht="15.75" customHeight="1">
      <c r="A216" s="194"/>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row>
    <row r="217" spans="1:26" ht="15.75" customHeight="1">
      <c r="A217" s="194"/>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row>
    <row r="218" spans="1:26" ht="15.75" customHeight="1">
      <c r="A218" s="194"/>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row>
    <row r="219" spans="1:26" ht="15.75" customHeight="1">
      <c r="A219" s="194"/>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row>
    <row r="220" spans="1:26" ht="15.75" customHeight="1">
      <c r="A220" s="194"/>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 PROCESO (Colpatria)</vt:lpstr>
      <vt:lpstr>Hoja2</vt:lpstr>
      <vt:lpstr>ASISTENCIA</vt:lpstr>
      <vt:lpstr>pruebas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HERNAN FORERO GARZON</dc:creator>
  <cp:lastModifiedBy>FABIO HERNAN FORERO GARZON</cp:lastModifiedBy>
  <dcterms:created xsi:type="dcterms:W3CDTF">2024-10-01T20:42:53Z</dcterms:created>
  <dcterms:modified xsi:type="dcterms:W3CDTF">2026-06-22T21:54:38Z</dcterms:modified>
</cp:coreProperties>
</file>
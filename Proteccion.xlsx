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Proteccíon)" sheetId="1" r:id="rId1"/>
    <sheet name="FINALIZADOS  despues de actu, i" sheetId="2" state="hidden" r:id="rId2"/>
    <sheet name="Hoja2" sheetId="3" state="hidden" r:id="rId3"/>
    <sheet name="ASISTENCIA" sheetId="4" state="hidden" r:id="rId4"/>
    <sheet name="pruebas i" sheetId="5" state="hidden" r:id="rId5"/>
  </sheets>
  <definedNames>
    <definedName name="_xlnm._FilterDatabase" localSheetId="0" hidden="1">'EN PROCESO (Proteccíon)'!$A$1:$AN$109</definedName>
  </definedNames>
  <calcPr calcId="162913"/>
  <extLst>
    <ext uri="GoogleSheetsCustomDataVersion2">
      <go:sheetsCustomData xmlns:go="http://customooxmlschemas.google.com/" r:id="rId9" roundtripDataChecksum="WUy2KbASr3IRYYj5c1pCLjYJ039V3p1ROdCGuSaZ/fA="/>
    </ext>
  </extLst>
</workbook>
</file>

<file path=xl/calcChain.xml><?xml version="1.0" encoding="utf-8"?>
<calcChain xmlns="http://schemas.openxmlformats.org/spreadsheetml/2006/main">
  <c r="I5" i="5" l="1"/>
  <c r="I4" i="5"/>
  <c r="I3" i="5"/>
  <c r="I2" i="5"/>
  <c r="M14" i="2"/>
  <c r="M13" i="2"/>
  <c r="M12" i="2"/>
  <c r="M11" i="2"/>
  <c r="M10" i="2"/>
  <c r="M9" i="2"/>
  <c r="M8" i="2"/>
  <c r="M7" i="2"/>
  <c r="M6" i="2"/>
  <c r="M5" i="2"/>
  <c r="M4" i="2"/>
  <c r="M3" i="2"/>
  <c r="M2" i="2"/>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M70" i="1"/>
  <c r="H70" i="1"/>
  <c r="M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<sst xmlns="http://schemas.openxmlformats.org/spreadsheetml/2006/main" count="1718" uniqueCount="494">
  <si>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</si>
  <si>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</si>
  <si>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</si>
  <si>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</si>
  <si>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</si>
  <si>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</si>
  <si>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</si>
  <si>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</si>
  <si>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</si>
  <si>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</si>
  <si>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</si>
  <si>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</si>
  <si>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</si>
  <si>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</si>
  <si>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</si>
  <si>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</si>
  <si>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</si>
  <si>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</si>
  <si>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</si>
  <si>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</si>
  <si>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</si>
  <si>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</si>
  <si>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</si>
  <si>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</si>
  <si>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</si>
  <si>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</si>
  <si>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</si>
  <si>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</si>
  <si>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</si>
  <si>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</si>
  <si>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</si>
  <si>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</si>
  <si>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</si>
  <si>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</si>
  <si>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</si>
  <si>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</si>
  <si>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</si>
  <si>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</si>
  <si>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</si>
  <si>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</si>
  <si>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</si>
  <si>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</si>
  <si>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</si>
  <si>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</si>
  <si>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</si>
  <si>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</si>
  <si>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</si>
  <si>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</si>
  <si>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</si>
  <si>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</si>
  <si>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</si>
  <si>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</si>
  <si>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</si>
  <si>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</si>
  <si>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</si>
  <si>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</si>
  <si>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</si>
  <si>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</si>
  <si>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</si>
  <si>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</si>
  <si>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</si>
  <si>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</si>
  <si>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</si>
  <si>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</si>
  <si>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</si>
  <si>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</si>
  <si>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</si>
  <si>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</si>
  <si>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</si>
  <si>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</si>
  <si>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</si>
  <si>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</si>
  <si>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</si>
  <si>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</si>
  <si>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</si>
  <si>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</si>
  <si>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</si>
  <si>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</si>
  <si>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</si>
  <si>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</si>
  <si>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</si>
  <si>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</si>
  <si>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</si>
  <si>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</si>
  <si>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CANCELADO</t>
  </si>
  <si>
    <t>24/06/2025: El requerimiento esta en pauisa hasta que se identifique la viabilidad de la reforma pensional
06/03/2026 Hasta el momento no se ha obtenido respuesta del parte del cliente</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</si>
  <si>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</si>
  <si>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</si>
  <si>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</si>
  <si>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REQ-4-2</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</si>
  <si>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</si>
  <si>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</si>
  <si>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</si>
  <si>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</si>
  <si>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</si>
  <si>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</si>
  <si>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</si>
  <si>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</si>
  <si>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</si>
  <si>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</si>
  <si>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</si>
  <si>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</si>
  <si>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</si>
  <si>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</si>
  <si>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</si>
  <si>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</si>
  <si>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</si>
  <si>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06/03/2026 Hasta el momento no se ha obtenido respuesta del parte del cliente</t>
  </si>
  <si>
    <t>Interno-H8_1</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</si>
  <si>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</si>
  <si>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</si>
  <si>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</si>
  <si>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</si>
  <si>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</si>
  <si>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</si>
  <si>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Interno-H10</t>
  </si>
  <si>
    <t>Desacople de agente de clasificación y su lógica y acople del mismo dento del sistema distribuido. Adicionalmente, acople de la plataforma de agentes y todas las otras aplicaciones del sistema</t>
  </si>
  <si>
    <t>Interno-H12</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</si>
  <si>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</si>
  <si>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</si>
  <si>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</si>
  <si>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</si>
  <si>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</si>
  <si>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</si>
  <si>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</si>
  <si>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</si>
  <si>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Interno2-2</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</si>
  <si>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</si>
  <si>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</si>
  <si>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</si>
  <si>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</si>
  <si>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</si>
  <si>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</si>
  <si>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</si>
  <si>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</si>
  <si>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</si>
  <si>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</si>
  <si>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</si>
  <si>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</si>
  <si>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
06/03/2026 Se estaba ambientando una instancia completamente nueva para la migración, pero el proceso se cancelo y se reformulo, esto debido a que se requerían realizar la menor cantidad de pruebas posibles, por lo que se clonó el servidor de pruebas QA  que serviría de base para la migración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</si>
  <si>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</si>
  <si>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</si>
  <si>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</si>
  <si>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REQ-11-2</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</si>
  <si>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</si>
  <si>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</si>
  <si>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</si>
  <si>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</si>
  <si>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</si>
  <si>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</si>
  <si>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</si>
  <si>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</si>
  <si>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</si>
  <si>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</si>
  <si>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</si>
  <si>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</si>
  <si>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</si>
  <si>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</si>
  <si>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</si>
  <si>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</si>
  <si>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</si>
  <si>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</si>
  <si>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</si>
  <si>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</si>
  <si>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</si>
  <si>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</si>
  <si>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</si>
  <si>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</si>
  <si>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</si>
  <si>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</si>
  <si>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</si>
  <si>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</si>
  <si>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</si>
  <si>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</si>
  <si>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</si>
  <si>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</si>
  <si>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</si>
  <si>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</si>
  <si>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</si>
  <si>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</si>
  <si>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</si>
  <si>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</si>
  <si>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</si>
  <si>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</si>
  <si>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</si>
  <si>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</si>
  <si>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</si>
  <si>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</si>
  <si>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</si>
  <si>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</si>
  <si>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</si>
  <si>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</si>
  <si>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</si>
  <si>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</si>
  <si>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</si>
  <si>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</si>
  <si>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</si>
  <si>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</si>
  <si>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</si>
  <si>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29/12/2025 Se habia aplazado en muchos momentos durante diciembre y debido a permisos en la bandeja se dificultó el acceso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</si>
  <si>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Interno-H16-3</t>
  </si>
  <si>
    <t>Creacion de servicio para la captura y trabajo dentro de la plataforma de bonos</t>
  </si>
  <si>
    <t>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</si>
  <si>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REQ-21</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</si>
  <si>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</si>
  <si>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</si>
  <si>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</si>
  <si>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</si>
  <si>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</si>
  <si>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</si>
  <si>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</si>
  <si>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</si>
  <si>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</si>
  <si>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</si>
  <si>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</si>
  <si>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</si>
  <si>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26/01/2026 Se retoma el trabajo después de identificar las correcciones y nuevos elementos por analizar en el back. Sin embargo, hace falta un escenario por parametrizar que no se pudo encontrar un ejemplo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</si>
  <si>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</si>
  <si>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</si>
  <si>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</si>
  <si>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REQ-18</t>
  </si>
  <si>
    <t>Corrección de casos que no avanzan</t>
  </si>
  <si>
    <t>20/01/2026 Se analiza y se corrige la trazabilidad para trámites varios</t>
  </si>
  <si>
    <t>Interno-H16-7</t>
  </si>
  <si>
    <t>Corrección de datos para acoplar a las necesidades y todos los casos posibles del proceso</t>
  </si>
  <si>
    <t>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</si>
  <si>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REQ-20</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</si>
  <si>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</si>
  <si>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</si>
  <si>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</si>
  <si>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</si>
  <si>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</si>
  <si>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</si>
  <si>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</si>
  <si>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Interno-H16-8</t>
  </si>
  <si>
    <t>Conexión front - servicio - filenet para la visualización de archivos y gestionar aprovaciones y rechazos</t>
  </si>
  <si>
    <t>28/01/2026 Se encontraron dificultades en el acomplamiento de los servicios sobre todo hacia filenet, pero se puedo implementar todo el flujo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</si>
  <si>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Interno-H16-9</t>
  </si>
  <si>
    <t>Acople de resultados con procesos ya existentes en Imagine</t>
  </si>
  <si>
    <t>29/01/2026 Se termina la implementación y me encuentro en pruebas de funcionamiento
03/02/2026 Se pudo lograr realizar una prueba depunto a punto exitosa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</si>
  <si>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Interno-H16-10</t>
  </si>
  <si>
    <t>Creación de pestaña de consultas de radicados y cédulas tanto para procesos históricos y procesos gestionados con la herramienta</t>
  </si>
  <si>
    <t>REQ-22</t>
  </si>
  <si>
    <t>Se incluye lógica para la verificación de tiempo de ejecución en los procesos de creación de trámites</t>
  </si>
  <si>
    <t>Creación de lóigica para el control de casos de creación de trámite</t>
  </si>
  <si>
    <t>26/01/2026 Se procesa prueba exitosa y se pasa a producción</t>
  </si>
  <si>
    <t>Interno-H16-11</t>
  </si>
  <si>
    <t>Modificación de obtención de motivos y causas de rechazo. Se necesita crear lógica asincrona para mejorar tiempos de procedimiento</t>
  </si>
  <si>
    <t>04/02/2026 Se cambia la lógica actual que estaba presentando lentitud en la gestión del operador por una asyncrona que se renueva todos los días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</si>
  <si>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Interno-H16-12</t>
  </si>
  <si>
    <t>Procesos de mejora de rendimiento de tiempo al aprovar y rechazar un documento. Trasladando el proceso síncrono a uno asíncrono</t>
  </si>
  <si>
    <t>05/02/2026 Se agrega termina de cambiar la lógica y de agregar el script que ejecute asíncronamente el envió 
06/02/2026 Se esta en proceso de pruebas y cambiosdebido a que se han presentado situaciones que deben de darse mantenimiento
17/02/2026 Se habían generado pruebas pero el sistema no se estaba usando hasta hoy debido a que los problemas de la plataforma todavía se trasladaba a nuestro sistema con la carga de documentos sincrónica. Esto se cambio y ya desde el momento en que se trae la información también se trae el documento asociado</t>
  </si>
  <si>
    <t>Interno-H16-13</t>
  </si>
  <si>
    <t>Adición de modulos para la asignación y filtro de información</t>
  </si>
  <si>
    <t>05/02/2026 Se agrega los nuevos módulos, se prueban y se pasan a producción</t>
  </si>
  <si>
    <t>Interno-H16-14</t>
  </si>
  <si>
    <t>Identificación de problemas con el servidor al momento de hacer cargues pesados</t>
  </si>
  <si>
    <t>06/02/2026 Se identifica lentitud y se empieza un proceso de migración de servicios a producción que originalmente estaban en pruebas
09/02/2026 Se monta la solución en producción y se espera confirmación de funcionamiento</t>
  </si>
  <si>
    <t>Interno-H16-15</t>
  </si>
  <si>
    <t>Creación de servicio que accedera a FileNet y descargará los archivos asociados a la documentación por validar y acoplamiento a los dos proyectos de fileNet</t>
  </si>
  <si>
    <t>Modificación para los módulo de validación filenet y creación de servicio para el acceso a archivos</t>
  </si>
  <si>
    <t>05/02/2026 Se agrega los nuevos módulos, se prueban y se pasan a producción
17/02/2026 Se acopla el servicio de descarga de documentación con el sistema de validación en mesa unificada</t>
  </si>
  <si>
    <t>Interno-H16-14-2</t>
  </si>
  <si>
    <t>corrección en irregularidades en el servicio de cesantías y el de PHP</t>
  </si>
  <si>
    <t>10/02/2026 Se indican problemas de cargue y al realizar validaciones se encontraron inconsistencias en las configuraciones y versiones del servicio
16/02/2026 Se sube a producción las correcciones y se está en espera de las pruebas
06/03/2026 Al realizarse pruebas con lotes grandes se encontraron fallos que luego fueron arreglados aumentando la capacidad de carga del servicio</t>
  </si>
  <si>
    <t>REQ-23</t>
  </si>
  <si>
    <t>Se debe de corregir lógica que identifica el sub estado de un trámite a la hora de rechazar documentación</t>
  </si>
  <si>
    <t>Creación de lóigica para la visualización de sub estados de trámites</t>
  </si>
  <si>
    <t>17/02/2026 Se realiza un análisis de la lógica que genera los estados de las solicitudes
18/02/2026 Se desarrolla posible soluci+on a la necesidad
19/02/2026 Se realiza pruebas, modificaciones y se sube a producción</t>
  </si>
  <si>
    <t>Interno-H16-13-2</t>
  </si>
  <si>
    <t>Adición de modulos que faciliten el proceso de la validación</t>
  </si>
  <si>
    <t>19/02/2026 Se habla con Harol para la identificación de cambios que faciliten el trabajo del módulo
20/02/2026 Se cargan cambios para la visualización del visor en distintas ventanas, además de el formateo de información para el tipo documental
21/02/2026 Se está a la espera de las retroalimentaciones
24/02/2026 Se realizaron algunos cambios para extraer más datos pero el servicio solo carga hasta cierto punto y se debe revisar si es por alguna sobrecarga. De resto todo parece funcionar correctamente</t>
  </si>
  <si>
    <t>REQ-24</t>
  </si>
  <si>
    <t>Se deben de dar respuesta a la cola de casos abiertos en la plataforma del cliente</t>
  </si>
  <si>
    <t>Atención al soporte en plataforma del cliente</t>
  </si>
  <si>
    <t>23/02/2026 Se identifica que hay una cola de casos para soporte que se deben de gestionar. Se recibe documnetación para la atención en la plataforma
25/02/2026 Hasta el momento se han gestionado alrededor de 40 - 50 casos
27/02/2026 solo quedá a lo mucho 3 casos, pero es una tarea que será necesario trabajarle al mismo ritmo que llegan casos</t>
  </si>
  <si>
    <t>REQ-25</t>
  </si>
  <si>
    <t>Resultado de una falla lógica se debe de reenviar 1800 casos para finalizar etapa de documentación. Para ello se debe de crear un script que facilite la manualidad</t>
  </si>
  <si>
    <t>Casos con eventos de finalización de documentación no ingresados a IMAGINE</t>
  </si>
  <si>
    <t>25/02/2026 Se realiza la gestión para todos los casos asociados</t>
  </si>
  <si>
    <t>REQ-26</t>
  </si>
  <si>
    <t>Se debe de cargar servicios y actualizar aplicativo para el servidor de migraciones</t>
  </si>
  <si>
    <t>Cargue de servicios y afinación de servidor para migración</t>
  </si>
  <si>
    <t>26/02/2026 Se necesita poner en punta de nuevo el servidor que dejó de estar actualizada desde diciembre, por lo que es necesario cargar los servicios de validación fileNet
02/03/2026 Con los servicios ya cargados se cambia un proceso que no se había actualizado. Además se actualiza el repositorio para tener los datos tal cuál en producción
03/03/2026 Se termina de configurar, actualizar y cargar el repositorio. Además, se pasa el servidor de migraci´n a producción de 7 a 9 de la noche</t>
  </si>
  <si>
    <t>REQ-27</t>
  </si>
  <si>
    <t>Se debe de agregar una función que permita que si se valida mesa, se debe de identificar si se marco bonos para abrir dicha tarea</t>
  </si>
  <si>
    <t>Corrección lógica de mesa unificada</t>
  </si>
  <si>
    <t>03/03/2026 Se termina de construir la lógica para que el evento de mesa unificada ok pueda evaluar e identificar si el trámite necesita abrir bonos</t>
  </si>
  <si>
    <t>REQ-28</t>
  </si>
  <si>
    <t>Identificación y mantenimiento a cada una de las dificultades presentadas en el servidor nuevo</t>
  </si>
  <si>
    <t>Soporte a inconsistencias en la migración</t>
  </si>
  <si>
    <t>06/03/2026 Se han hecho trabajos de soporte para distintos m[odulos que incurrieron en errores en el momento de la migraci[on. IOnluyendo reporter[ia, consumos, formularios, visores, etc&gt; no Se ha terminado el proceso de normalizaci[on del sistema y se siguen realizando correcciones</t>
  </si>
  <si>
    <t>Interno-H16-16</t>
  </si>
  <si>
    <t>Pruebas y acople del desarrollo al ambiente nuevo en producción</t>
  </si>
  <si>
    <t>16/03/2026 El paso a producción de todos los modulos del proyecto son exitosos y se gestiona la salida al portal OBP desde el servidor</t>
  </si>
  <si>
    <t>Interno-H16-17</t>
  </si>
  <si>
    <t>Identificación y validación del código proporcionado por Don Hernan</t>
  </si>
  <si>
    <t>Migración de módulo de auxilios a tecnologías más modernas</t>
  </si>
  <si>
    <t>12/03/2026 Se termina de realizar la validacion del código y su funcionamiento. Se encuentra que el código fuie prepadrado para otra unidada y se le indica a Don Hernan</t>
  </si>
  <si>
    <t>REQ-28-2</t>
  </si>
  <si>
    <t>13/03/2026 Se encontraron errores en el proceso que estaba presentando problemas problemas delicacdos en el flujo, tanto para las trámites abiertos en investigación como los trámites gestionados en glosas. Se realizan todas las validaciones, cambios y verificaciones y se consigue solventar los problemas
16/03/2026 Se terminan de validar unos casos asociados al problema y se corrigen</t>
  </si>
  <si>
    <t>Interno-H16-18</t>
  </si>
  <si>
    <t>Moódulo para identificación a modo de bandeja para los documentos de identidad que deben gestrionarse en el portal de historia laboral</t>
  </si>
  <si>
    <t>19/03/2026 Se realiza pruebas para identificar que todo el flujo sea correcto
20/03/2026 Se pasa a producción con la lógica de cargue</t>
  </si>
  <si>
    <t>Interno-H16-19</t>
  </si>
  <si>
    <t>Moódulo para cargar los mas de 1 millon de registros generados del módulo que se ha trabajado de manera manual</t>
  </si>
  <si>
    <t>19/03/2026 Se esta teniendo dificultades en la ejecución del módulo debido a la cantidad de información y se estima una espera de hasta 50 horas para la carga. Se esperaba traabajar en .csv pero el archivo es tan grande que no permite la conversión, por lo que se va a esperar hasta el viernes o el sabado para ejecutar de nuevo y que se cargue durante todo el fin de semana
24/03/2026 El fin de semana se paso la mayor parte de información, pero existía en el dopcumento datos no normalizados que fueron entonces individualizados y cargados según correspondía
25/03/2026 Se realiza el cargue para los datos de la última semana</t>
  </si>
  <si>
    <t>REQ-28-3</t>
  </si>
  <si>
    <t>Corrección en trámites y reporteria</t>
  </si>
  <si>
    <t>19/03/2026 Problemas resueltos en el flujo de trámites para mesa unificada. Se corrige todas las ionconsitencias generadas en el cambio de tecnología para el reporte de trazabilidad</t>
  </si>
  <si>
    <t>REQ-29</t>
  </si>
  <si>
    <t>Creación de lógica en el consumo para registro de errores de código, corrección e identificación de lógica que puede estar causando las inconsistencias</t>
  </si>
  <si>
    <t>Identificación y corrección de servicios de consumo de bonos complejos en imagine</t>
  </si>
  <si>
    <t>24/03/2026 Se identifican posibles probelmas para uno de lasopciones del cargue, se realizan correcciones y se le indica al usuario que hay eventos que se están consumiendo con fallas en los datos y que según la necesidad puede que se deba realizar un cambio en el código</t>
  </si>
  <si>
    <t>REQ-30</t>
  </si>
  <si>
    <t>Se necesita añadir lógica a respuesta de servicio con información complementaria</t>
  </si>
  <si>
    <t>Complementación de respuesta de servicio con distinta información de tracking</t>
  </si>
  <si>
    <t>30/03/2026 Se realizan distintas pruebas internas y se crea manual de consumo
30/03/2026 Se indica al usuario la necesidad de ejecutar pruebas
10/04/2026 El usuario había estado realizando pruebas pero no se estaba reflejando la nueva estructura en la respuesta que ellos obtienen, se hizo verificación, conversación y se llegó a la conclusión de que el servicio que ellos tienen desplegado no está capturando bien la información
14/04/2026 Se realiza reunión para verificar pruebas nuevamente, se comunica que la necesidad ya es totalmente distinta de la que necesitaban y se procede con el análisis y cambios necesarios</t>
  </si>
  <si>
    <t>REQ-31</t>
  </si>
  <si>
    <t>Debido a que en integración no existe forma de reenvío se debe de efectuar el cargue manual de cambioi de tareas.</t>
  </si>
  <si>
    <t>corrección de trámites que fallaron al realizar el consumo de mesa unificada OK</t>
  </si>
  <si>
    <t>30/03/2026 Se realiza el cargue manual y se conversa sobre la necesidad de creación de un módulo que le permita al cliente realizar esas ejecuciones manuales</t>
  </si>
  <si>
    <t>REQ-29-2</t>
  </si>
  <si>
    <t>Se han evidenciado que la necesidad del cliente corresponde a una ejecución distinta dentro de IMAGINE. Se necesita validar los distintos casos de actualización de estado y si es necesario modificar la lógica actual</t>
  </si>
  <si>
    <t>07/04/2026 Se realiza un acercamiento y se comparte lo que se ha realizado y trabajado correspondiente al tema. Se identifica que se debe de analizar otros casos y la ejecucipon de una propiedad que no se esta efectuando</t>
  </si>
  <si>
    <t>Interno-H16-20</t>
  </si>
  <si>
    <t>actualización de módulo para la extracción de todos los registros de fileNEt</t>
  </si>
  <si>
    <t>31/03/2026 Se identifica la necesidad de traer todos los registros y se desarrolla la funcionalidad para recrear la paginación de filenet y traer todos kis registros</t>
  </si>
  <si>
    <t>REQ-32</t>
  </si>
  <si>
    <t>Realizar corrección del sistema para permitir la carga de documentos en el módulo</t>
  </si>
  <si>
    <t xml:space="preserve">Corrección de opción de cargue edictos </t>
  </si>
  <si>
    <t>REQ-33</t>
  </si>
  <si>
    <t>Identificar la situación y si es posible crear una solución desde IMAGINE, para controlar los errores en ADVANCE. Además corregir más de los 700 casos con error</t>
  </si>
  <si>
    <t>Casos cuyos eventos generados desde IMAGINE no replican en ADVANCE</t>
  </si>
  <si>
    <t>13/04/2026 Se realizan cambios para que el sistema reintente hasta 3 veces y que guarde en memoria los archivos que son necesarios para la construcción de la petición del endPoint
14/04/2026 Se realizan las actualizaciones de estado para los 700 casos aúin con errores. Se identifica que no se esta guardando los archivos en cache porque hay errores en el momento de la descarga, se deshabilita la opción para evitar retrasos en las peticiones. Se indica que existe todavía errores
15/04/2026 Se identifican errores en otros métodos que usan el mismo consumo y se indica la novedad, anunciando un problema de intermitencia posiblemente causado por un bloqueo
16/04/2026 Se realiza una reunión con todos los equipos implicados y se levanta el bloqueo, además s ecomparten los archivos para que desde IMAGINE se pueda construir la petición, algo que en este momento está pendiente por hacer</t>
  </si>
  <si>
    <t>REQ-34</t>
  </si>
  <si>
    <t>Corrección del reporte de análisis que está construyendo registros con cantidad de campos inconsistentes</t>
  </si>
  <si>
    <t>Corrección de reporte</t>
  </si>
  <si>
    <t>REQ-30-2</t>
  </si>
  <si>
    <t>17/04/2026 Se realiza el cambio y con diferencia a lo que se había logrado, es que la información ya no se captura de un punto sino que se debe de modificar cada uno de los llamados a la operación en distintos archivos de distintos módulos. Se indica la necesidad de realizar bastantes pruebas porque fueron muchos los cambios
19/05/2026 Termino pruebas junto con el cliente y se está a la espera de que ellos terminen su desarrollo para pasar a producción</t>
  </si>
  <si>
    <t>REQ-35</t>
  </si>
  <si>
    <t xml:space="preserve">Se está bloqueando el flujo normal en la gestión de un trámite luego de cerrar una bandeja, se necesita el análisis y su corrección </t>
  </si>
  <si>
    <t>Análisis y corrección al momento de realziar gestión en una bandeja</t>
  </si>
  <si>
    <t>15/04/2026 Se realiza reunión con personal encargado de la gestión de la bandeja para identificar el flujo. Se analiza el código y se empieza a trabajar en su corrección
16/04/2026 Se entrega la corrección y se analiza para 3 casos si el flujo volvío con normalidad
17/04/2026 Se corrigen los casos que presentaron el error</t>
  </si>
  <si>
    <t>REQ-36</t>
  </si>
  <si>
    <t>Análisis y modificación  de servicio para adiccionar aperturas de distintas tareas</t>
  </si>
  <si>
    <t>Modificación de servicio para agregar la apertura de distintas tareas</t>
  </si>
  <si>
    <t xml:space="preserve">22/04/2026 Se trabajo con la información suministrada asociada al servicio, pero no se encontró lógica para la apertura de las tareas necesitadas. Se requirio nueva información asociada
27/04/2026 Se había estado parado el desarrollo pero ya se facilitó el evento para su análisis 
28/04/2026 El evento que se facilitó no cuadra con la necesidad. Se debe de verificar si es otro proceso el que se hace cargo
29/04/2026 Se verifica con el usuario, quien indica más epecificamente el funcionamiento y se modifica el ambiente de pruebas para que hagan pruebas con el añadido
15/05/2026 Se recibe mensaje para el paso a producción,y se ejecuta esa tarea </t>
  </si>
  <si>
    <t>REQ-30-3</t>
  </si>
  <si>
    <t>Se requiere la realización de un script que permita la creación de un archivo que cargue disntinta información necesitada por el cliente</t>
  </si>
  <si>
    <t>22/04/2026 Se suministra la información requerida para la evaluación del desarrollo. Inofrmación asociada a los trámites y su estado, a manera de reporte base del final requerido
23/04/2026 Se me facilita todos los campos que requieren y se empieza el desarrollo
27/04/2026 Se termina el desarrollo. Se espera hasta que se terminen de hacer las primeras pruebas para la primer parte del desarrollo para seguir con estas
19/05/2026 Termino pruebas junto con el cliente y se está a la espera de que ellos terminen su desarrollo para pasar a producción</t>
  </si>
  <si>
    <t>REQ-37</t>
  </si>
  <si>
    <t>Análisis de casos de envío de evento de normalización y solución general para quienes generan inconsistencias</t>
  </si>
  <si>
    <t>Solución de casos y creación de script para envío automático de evento</t>
  </si>
  <si>
    <t xml:space="preserve">27/04/2026 Se analiza y corrigen los casos
28/04/2026 Se construye solución apartir del análisi previo para envío autoático
</t>
  </si>
  <si>
    <t>REQ-38</t>
  </si>
  <si>
    <t>La instancia actual parecía haber tenido problemas y decidieron realizar un duplicado. Se debe estabilizar nuevamente las situaciones que se presenten</t>
  </si>
  <si>
    <t>Cambio de instancia del servicio en AWS</t>
  </si>
  <si>
    <t xml:space="preserve">08/05/2026 Se pone en producción el servicio en el nuevo sistema
11/05/2026 Se piden y configuran el acceso
15/05/2026 A lo largo de la sema se tucvieron que aplicar tareas de saneamiento en la comunicación con servicios externos, para evitar el bloqueo debido al cambio de IP 
</t>
  </si>
  <si>
    <t>REQ-39</t>
  </si>
  <si>
    <t>Las soluciones que conectan a fileNet no funcionan y debe ser corregido</t>
  </si>
  <si>
    <t>Corrección de cargue registros FileNet</t>
  </si>
  <si>
    <t xml:space="preserve">11/05/2026 Se identifica que las soluciones no conectan en ningún momneto. En primera instancia se cree que fue debido al cambio de segmento de red
12/05/2026 Se identifica los posibles errores y se trabaja en la solución
13/05/2026 Se soluciona todos los problemas que fueron derivados de un cambio que realizaron internamente en fileNEt cambiando el flujo y la manera de autenticación 
</t>
  </si>
  <si>
    <t>REQ-40</t>
  </si>
  <si>
    <t>Servicios bloqueados en la comunicación desde IMAGINE</t>
  </si>
  <si>
    <t>Corrección conexión servicios externos</t>
  </si>
  <si>
    <t xml:space="preserve">13/05/2026 Se identifica bloqueos en la comunicación en el momento de consumir servicios en AS400 y ADVANCE
13/05/2026 Se encuentra el problema y se plantea hasta cierto punto la solución
14/05/2026 Se genera la solución y se realizan pruebas exitosas en el momento del consumo
</t>
  </si>
  <si>
    <t>REQ-41</t>
  </si>
  <si>
    <t>Se identificaron inconsistencias cuando se marca un trámite para calificación y no se aperturaba la tarea luego de cierre de documentación. Es necesario la corrección del flujo.</t>
  </si>
  <si>
    <t>Activación de bandeja de Calificación después de cierre de mesa</t>
  </si>
  <si>
    <t xml:space="preserve">20/05/2026 Se realiza el análisis y la modificación del sistema para corregir el flujo
</t>
  </si>
  <si>
    <t>REQ-42</t>
  </si>
  <si>
    <t>Automatización del llamado para la ejecución de extracción de registros en fileNet. Se debe tomar en cuenta la capacidad del equipo y la generación de bloqueos del llamado para evitar sobre cargue</t>
  </si>
  <si>
    <t>Opción para la ejecución del cargue en fileNet</t>
  </si>
  <si>
    <t xml:space="preserve">22/05/2026 Se ejecuta prueba y el funcionamiento es correcto
</t>
  </si>
  <si>
    <t>REQ-43</t>
  </si>
  <si>
    <t>Se presenta la necesidad de migrar información del servidor local por lo que es necesario la identificación del gabinete a migrar y normalizar la información para procedera pasar los archivos</t>
  </si>
  <si>
    <t>Migracion de documentación de repositorio local a fileNet</t>
  </si>
  <si>
    <t>EN PROCESO</t>
  </si>
  <si>
    <t xml:space="preserve">26/05/2026 Identificación de recursos en donde se definen la mayor parte de gabinetes a migrar
</t>
  </si>
  <si>
    <t>REQ-44</t>
  </si>
  <si>
    <t>Existen bandejas en el tracking para algunos procesos que no habían sido considerados y deben de identificarse y adicionar el método en la lágica correspondiente</t>
  </si>
  <si>
    <t>Completación de evento de tracking para bandejas con procesos no considerados</t>
  </si>
  <si>
    <t>27/05/2026 Se identifican las bandejas pero no los procesos en la aplicación para realizar el añadido en el código. Se comenta al proceso para poder identificarlos
03/06/2026 Se recibió información para la gestión de la mitad de las bandejas y poder modificar el código añadiendo el étodo de tracking</t>
  </si>
  <si>
    <t>REQ-45</t>
  </si>
  <si>
    <t>Se necesita actualizar en el proceso un sistema de apertura de tareas por medio de marcación para 200 tipos nuevos</t>
  </si>
  <si>
    <t>Actualización de glosas y configuración para la apertura de tareas</t>
  </si>
  <si>
    <t>02/06/2026 Se analiza el código y la lógica del negocio y se encontró que para la maypria de casos solo es necesario una actualización en bases de datos, pero para otros si se necesitaría cambio en el cóidigo
03/06/2026 Se indica que es necesario primero una reunión para medir los cambios, debido a que la actualización es para muchos tipos</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</si>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</sst>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57">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1">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3" fontId="8" fillId="3" borderId="2" xfId="0" applyNumberFormat="1" applyFont="1" applyFill="1" applyBorder="1" applyAlignment="1">
      <alignment horizontal="center" vertical="center" wrapText="1"/>
    </xf>
    <xf numFmtId="164" fontId="7" fillId="3" borderId="2" xfId="0" applyNumberFormat="1" applyFont="1" applyFill="1" applyBorder="1" applyAlignment="1">
      <alignment horizontal="center" vertical="center"/>
    </xf>
    <xf numFmtId="164" fontId="7" fillId="3" borderId="2" xfId="0" applyNumberFormat="1" applyFont="1" applyFill="1" applyBorder="1" applyAlignment="1">
      <alignment horizontal="center" vertical="center" wrapText="1"/>
    </xf>
    <xf numFmtId="164" fontId="9" fillId="5" borderId="0" xfId="0" applyNumberFormat="1" applyFont="1" applyFill="1" applyAlignment="1">
      <alignment horizontal="center" vertical="center" wrapText="1"/>
    </xf>
    <xf numFmtId="164" fontId="7" fillId="3" borderId="2" xfId="0" applyNumberFormat="1"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10" fillId="2" borderId="0" xfId="0" applyFont="1" applyFill="1" applyAlignment="1">
      <alignment horizontal="center"/>
    </xf>
    <xf numFmtId="0" fontId="4" fillId="6" borderId="0" xfId="0" applyFont="1" applyFill="1"/>
    <xf numFmtId="0" fontId="11" fillId="6" borderId="3" xfId="0" applyFont="1" applyFill="1" applyBorder="1" applyAlignment="1">
      <alignment horizontal="center" vertical="center" wrapText="1"/>
    </xf>
    <xf numFmtId="49" fontId="12" fillId="6" borderId="3" xfId="0" applyNumberFormat="1" applyFont="1" applyFill="1" applyBorder="1" applyAlignment="1">
      <alignment horizontal="center" vertical="center" wrapText="1"/>
    </xf>
    <xf numFmtId="0" fontId="13"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5" fillId="6" borderId="3" xfId="0" applyFont="1" applyFill="1" applyBorder="1" applyAlignment="1">
      <alignment vertical="center" wrapText="1"/>
    </xf>
    <xf numFmtId="3" fontId="16" fillId="6" borderId="3" xfId="0" applyNumberFormat="1" applyFont="1" applyFill="1" applyBorder="1" applyAlignment="1">
      <alignment horizontal="center" vertical="center" wrapText="1"/>
    </xf>
    <xf numFmtId="3" fontId="7" fillId="6" borderId="3" xfId="0" applyNumberFormat="1"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3" fontId="16" fillId="6" borderId="3" xfId="0" applyNumberFormat="1" applyFont="1" applyFill="1" applyBorder="1" applyAlignment="1">
      <alignment horizontal="center" vertical="center" wrapText="1"/>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0" fontId="17" fillId="7" borderId="3" xfId="0" applyFont="1" applyFill="1" applyBorder="1" applyAlignment="1">
      <alignment horizontal="center" vertical="center" wrapText="1"/>
    </xf>
    <xf numFmtId="49" fontId="18" fillId="7" borderId="3" xfId="0" applyNumberFormat="1" applyFont="1" applyFill="1" applyBorder="1" applyAlignment="1">
      <alignment horizontal="center" vertical="center" wrapText="1"/>
    </xf>
    <xf numFmtId="0" fontId="19" fillId="7" borderId="3" xfId="0" applyFont="1" applyFill="1" applyBorder="1" applyAlignment="1">
      <alignment horizontal="left" vertical="center" wrapText="1"/>
    </xf>
    <xf numFmtId="0" fontId="20" fillId="7" borderId="3" xfId="0" applyFont="1" applyFill="1" applyBorder="1" applyAlignment="1">
      <alignment horizontal="center" vertical="center" wrapText="1"/>
    </xf>
    <xf numFmtId="0" fontId="21" fillId="7" borderId="3" xfId="0" applyFont="1" applyFill="1" applyBorder="1" applyAlignment="1">
      <alignment vertical="center" wrapText="1"/>
    </xf>
    <xf numFmtId="3" fontId="16" fillId="7" borderId="3" xfId="0" applyNumberFormat="1" applyFont="1" applyFill="1" applyBorder="1" applyAlignment="1">
      <alignment horizontal="center" vertical="center" wrapText="1"/>
    </xf>
    <xf numFmtId="3" fontId="7" fillId="7" borderId="3" xfId="0" applyNumberFormat="1" applyFont="1" applyFill="1" applyBorder="1" applyAlignment="1">
      <alignment horizontal="center" vertical="center"/>
    </xf>
    <xf numFmtId="164" fontId="16" fillId="7" borderId="3" xfId="0" applyNumberFormat="1" applyFont="1" applyFill="1" applyBorder="1" applyAlignment="1">
      <alignment vertical="center" wrapText="1"/>
    </xf>
    <xf numFmtId="164" fontId="16" fillId="7" borderId="3" xfId="0" applyNumberFormat="1" applyFont="1" applyFill="1" applyBorder="1" applyAlignment="1">
      <alignment vertical="center"/>
    </xf>
    <xf numFmtId="164" fontId="7" fillId="7" borderId="3" xfId="0" applyNumberFormat="1" applyFont="1" applyFill="1" applyBorder="1" applyAlignment="1">
      <alignment vertical="center"/>
    </xf>
    <xf numFmtId="3" fontId="16" fillId="7" borderId="3" xfId="0" applyNumberFormat="1" applyFont="1" applyFill="1" applyBorder="1" applyAlignment="1">
      <alignment horizontal="center" vertical="center" wrapText="1"/>
    </xf>
    <xf numFmtId="164" fontId="16" fillId="7" borderId="3" xfId="0" applyNumberFormat="1" applyFont="1" applyFill="1" applyBorder="1" applyAlignment="1">
      <alignment vertical="center" wrapText="1"/>
    </xf>
    <xf numFmtId="164" fontId="7" fillId="7" borderId="3" xfId="0" applyNumberFormat="1" applyFont="1" applyFill="1" applyBorder="1" applyAlignment="1">
      <alignment vertical="center"/>
    </xf>
    <xf numFmtId="0" fontId="16" fillId="7"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vertical="top"/>
    </xf>
    <xf numFmtId="0" fontId="22" fillId="7" borderId="3" xfId="0" applyFont="1" applyFill="1" applyBorder="1" applyAlignment="1">
      <alignment horizontal="left" vertical="center" wrapText="1"/>
    </xf>
    <xf numFmtId="0" fontId="23" fillId="6" borderId="4" xfId="0" applyFont="1" applyFill="1" applyBorder="1" applyAlignment="1">
      <alignment vertical="center" wrapText="1"/>
    </xf>
    <xf numFmtId="0" fontId="24" fillId="6" borderId="4" xfId="0" applyFont="1" applyFill="1" applyBorder="1" applyAlignment="1">
      <alignment vertical="center"/>
    </xf>
    <xf numFmtId="0" fontId="16" fillId="6" borderId="3" xfId="0" applyFont="1" applyFill="1" applyBorder="1" applyAlignment="1">
      <alignment horizontal="left" vertical="top"/>
    </xf>
    <xf numFmtId="0" fontId="25" fillId="7" borderId="3" xfId="0" applyFont="1" applyFill="1" applyBorder="1" applyAlignment="1">
      <alignment vertical="center"/>
    </xf>
    <xf numFmtId="0" fontId="26" fillId="6" borderId="3" xfId="0" applyFont="1" applyFill="1" applyBorder="1" applyAlignment="1">
      <alignment vertical="center"/>
    </xf>
    <xf numFmtId="164" fontId="16" fillId="6" borderId="3" xfId="0" applyNumberFormat="1" applyFont="1" applyFill="1" applyBorder="1" applyAlignment="1">
      <alignment vertical="center"/>
    </xf>
    <xf numFmtId="0" fontId="16" fillId="6" borderId="3" xfId="0" applyFont="1" applyFill="1" applyBorder="1" applyAlignment="1">
      <alignment vertical="center"/>
    </xf>
    <xf numFmtId="0" fontId="27" fillId="7" borderId="3" xfId="0" applyFont="1" applyFill="1" applyBorder="1" applyAlignment="1">
      <alignment horizontal="left" vertical="center"/>
    </xf>
    <xf numFmtId="164" fontId="16" fillId="7" borderId="3" xfId="0" applyNumberFormat="1" applyFont="1" applyFill="1" applyBorder="1" applyAlignment="1">
      <alignment vertical="center"/>
    </xf>
    <xf numFmtId="0" fontId="16" fillId="7" borderId="5" xfId="0" applyFont="1" applyFill="1" applyBorder="1" applyAlignment="1">
      <alignment horizontal="left" vertical="top"/>
    </xf>
    <xf numFmtId="0" fontId="16" fillId="7" borderId="6" xfId="0" applyFont="1" applyFill="1" applyBorder="1" applyAlignment="1">
      <alignment horizontal="left" vertical="top"/>
    </xf>
    <xf numFmtId="0" fontId="28" fillId="6" borderId="3" xfId="0" applyFont="1" applyFill="1" applyBorder="1" applyAlignment="1">
      <alignment horizontal="left" vertical="center"/>
    </xf>
    <xf numFmtId="0" fontId="29" fillId="6" borderId="3" xfId="0" applyFont="1" applyFill="1" applyBorder="1" applyAlignment="1">
      <alignment vertical="center"/>
    </xf>
    <xf numFmtId="0" fontId="16" fillId="6" borderId="7" xfId="0" applyFont="1" applyFill="1" applyBorder="1" applyAlignment="1">
      <alignment horizontal="left" vertical="top"/>
    </xf>
    <xf numFmtId="0" fontId="16" fillId="6" borderId="8" xfId="0" applyFont="1" applyFill="1" applyBorder="1" applyAlignment="1">
      <alignment horizontal="left" vertical="top"/>
    </xf>
    <xf numFmtId="0" fontId="30" fillId="7" borderId="3" xfId="0" applyFont="1" applyFill="1" applyBorder="1" applyAlignment="1">
      <alignment vertical="center" wrapText="1"/>
    </xf>
    <xf numFmtId="0" fontId="16" fillId="6" borderId="3" xfId="0" applyFont="1" applyFill="1" applyBorder="1" applyAlignment="1">
      <alignment horizontal="left" vertical="center"/>
    </xf>
    <xf numFmtId="0" fontId="31" fillId="6" borderId="3" xfId="0" applyFont="1" applyFill="1" applyBorder="1" applyAlignment="1">
      <alignment horizontal="left" vertical="center" wrapText="1"/>
    </xf>
    <xf numFmtId="3" fontId="16" fillId="6" borderId="3" xfId="0" applyNumberFormat="1" applyFont="1" applyFill="1" applyBorder="1" applyAlignment="1">
      <alignment horizontal="center" vertical="center"/>
    </xf>
    <xf numFmtId="0" fontId="32" fillId="7" borderId="4" xfId="0" applyFont="1" applyFill="1" applyBorder="1" applyAlignment="1">
      <alignment vertical="center"/>
    </xf>
    <xf numFmtId="0" fontId="33" fillId="7" borderId="4" xfId="0" applyFont="1" applyFill="1" applyBorder="1" applyAlignment="1">
      <alignment vertical="center"/>
    </xf>
    <xf numFmtId="3" fontId="34" fillId="7" borderId="3" xfId="0" applyNumberFormat="1" applyFont="1" applyFill="1" applyBorder="1" applyAlignment="1">
      <alignment horizontal="center" vertical="center"/>
    </xf>
    <xf numFmtId="3" fontId="16" fillId="7" borderId="3" xfId="0" applyNumberFormat="1" applyFont="1" applyFill="1" applyBorder="1" applyAlignment="1">
      <alignment horizontal="center" vertical="center"/>
    </xf>
    <xf numFmtId="164" fontId="4" fillId="7" borderId="0" xfId="0" applyNumberFormat="1" applyFont="1" applyFill="1"/>
    <xf numFmtId="0" fontId="16" fillId="7" borderId="3" xfId="0" applyFont="1" applyFill="1" applyBorder="1" applyAlignment="1">
      <alignment vertical="center"/>
    </xf>
    <xf numFmtId="0" fontId="35" fillId="6" borderId="3" xfId="0" applyFont="1" applyFill="1" applyBorder="1" applyAlignment="1">
      <alignment vertical="center" wrapText="1"/>
    </xf>
    <xf numFmtId="0" fontId="16" fillId="6" borderId="3" xfId="0" applyFont="1" applyFill="1" applyBorder="1" applyAlignment="1">
      <alignment vertical="center" wrapText="1"/>
    </xf>
    <xf numFmtId="0" fontId="36" fillId="7" borderId="3" xfId="0" applyFont="1" applyFill="1" applyBorder="1" applyAlignment="1">
      <alignment vertical="center"/>
    </xf>
    <xf numFmtId="3" fontId="16" fillId="7" borderId="3" xfId="0" applyNumberFormat="1" applyFont="1" applyFill="1" applyBorder="1" applyAlignment="1">
      <alignment horizontal="center" vertical="center"/>
    </xf>
    <xf numFmtId="0" fontId="16" fillId="6" borderId="3" xfId="0" applyFont="1" applyFill="1" applyBorder="1" applyAlignment="1">
      <alignment horizontal="left" vertical="top" wrapText="1"/>
    </xf>
    <xf numFmtId="0" fontId="16" fillId="7" borderId="3" xfId="0" applyFont="1" applyFill="1" applyBorder="1" applyAlignment="1">
      <alignment horizontal="left" vertical="top" wrapText="1"/>
    </xf>
    <xf numFmtId="0" fontId="37"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38" fillId="8" borderId="3" xfId="0" applyFont="1" applyFill="1" applyBorder="1" applyAlignment="1">
      <alignment horizontal="center" vertical="center" wrapText="1"/>
    </xf>
    <xf numFmtId="0" fontId="39" fillId="6" borderId="3" xfId="0" applyFont="1" applyFill="1" applyBorder="1" applyAlignment="1">
      <alignment horizontal="center" vertical="center" wrapText="1"/>
    </xf>
    <xf numFmtId="0" fontId="40" fillId="0" borderId="3" xfId="0" applyFont="1" applyBorder="1" applyAlignment="1">
      <alignment horizontal="left" vertical="center" wrapText="1"/>
    </xf>
    <xf numFmtId="0" fontId="41" fillId="6" borderId="3" xfId="0" applyFont="1" applyFill="1" applyBorder="1" applyAlignment="1">
      <alignment vertical="center" wrapText="1"/>
    </xf>
    <xf numFmtId="9" fontId="16"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1" fontId="16" fillId="6" borderId="3" xfId="0" applyNumberFormat="1" applyFont="1" applyFill="1" applyBorder="1" applyAlignment="1">
      <alignment horizontal="center" vertical="center" wrapText="1"/>
    </xf>
    <xf numFmtId="165" fontId="16"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horizontal="left" vertical="top"/>
    </xf>
    <xf numFmtId="9" fontId="16" fillId="6" borderId="3" xfId="0" applyNumberFormat="1" applyFont="1" applyFill="1" applyBorder="1" applyAlignment="1">
      <alignment horizontal="center" vertical="center"/>
    </xf>
    <xf numFmtId="0" fontId="16" fillId="6" borderId="3" xfId="0" applyFont="1" applyFill="1" applyBorder="1" applyAlignment="1">
      <alignment horizontal="center" vertical="center" wrapText="1"/>
    </xf>
    <xf numFmtId="0" fontId="16" fillId="6" borderId="3" xfId="0" applyFont="1" applyFill="1" applyBorder="1" applyAlignment="1">
      <alignment vertical="top"/>
    </xf>
    <xf numFmtId="0" fontId="42" fillId="6" borderId="3" xfId="0" applyFont="1" applyFill="1" applyBorder="1" applyAlignment="1">
      <alignment horizontal="left" vertical="center" wrapText="1"/>
    </xf>
    <xf numFmtId="0" fontId="16" fillId="6" borderId="3" xfId="0" applyFont="1" applyFill="1" applyBorder="1" applyAlignment="1">
      <alignment horizontal="center" vertical="center"/>
    </xf>
    <xf numFmtId="0" fontId="43" fillId="6" borderId="4" xfId="0" applyFont="1" applyFill="1" applyBorder="1" applyAlignment="1">
      <alignment vertical="center" wrapText="1"/>
    </xf>
    <xf numFmtId="0" fontId="44" fillId="6" borderId="4" xfId="0" applyFont="1" applyFill="1" applyBorder="1" applyAlignment="1">
      <alignment vertical="center"/>
    </xf>
    <xf numFmtId="0" fontId="45" fillId="0" borderId="3" xfId="0" applyFont="1" applyBorder="1" applyAlignment="1">
      <alignment horizontal="center" vertical="center"/>
    </xf>
    <xf numFmtId="0" fontId="46" fillId="6" borderId="3" xfId="0" applyFont="1" applyFill="1" applyBorder="1" applyAlignment="1">
      <alignment vertical="center"/>
    </xf>
    <xf numFmtId="165" fontId="16" fillId="6" borderId="3" xfId="0" applyNumberFormat="1" applyFont="1" applyFill="1" applyBorder="1" applyAlignment="1">
      <alignment vertical="center"/>
    </xf>
    <xf numFmtId="0" fontId="47" fillId="6" borderId="3" xfId="0" applyFont="1" applyFill="1" applyBorder="1" applyAlignment="1">
      <alignment vertical="center"/>
    </xf>
    <xf numFmtId="165" fontId="16" fillId="6" borderId="3" xfId="0" applyNumberFormat="1" applyFont="1" applyFill="1" applyBorder="1" applyAlignment="1">
      <alignment vertical="center"/>
    </xf>
    <xf numFmtId="14" fontId="16" fillId="6" borderId="3" xfId="0" applyNumberFormat="1" applyFont="1" applyFill="1" applyBorder="1" applyAlignment="1">
      <alignment vertical="center"/>
    </xf>
    <xf numFmtId="0" fontId="16" fillId="6" borderId="3" xfId="0" applyFont="1" applyFill="1" applyBorder="1" applyAlignment="1">
      <alignment vertical="center"/>
    </xf>
    <xf numFmtId="0" fontId="48" fillId="6" borderId="3" xfId="0" applyFont="1" applyFill="1" applyBorder="1" applyAlignment="1">
      <alignment horizontal="left" vertical="center" wrapText="1"/>
    </xf>
    <xf numFmtId="0" fontId="49" fillId="6" borderId="3" xfId="0" applyFont="1" applyFill="1" applyBorder="1" applyAlignment="1">
      <alignment horizontal="left" vertical="center"/>
    </xf>
    <xf numFmtId="165" fontId="7" fillId="6" borderId="3" xfId="0" applyNumberFormat="1" applyFont="1" applyFill="1" applyBorder="1" applyAlignment="1">
      <alignment vertical="center"/>
    </xf>
    <xf numFmtId="0" fontId="50" fillId="6" borderId="3" xfId="0" applyFont="1" applyFill="1" applyBorder="1" applyAlignment="1">
      <alignment vertical="center" wrapText="1"/>
    </xf>
    <xf numFmtId="0" fontId="51" fillId="0" borderId="3" xfId="0" applyFont="1" applyBorder="1" applyAlignment="1">
      <alignment horizontal="left" vertical="center" wrapText="1"/>
    </xf>
    <xf numFmtId="0" fontId="16" fillId="6" borderId="3" xfId="0" applyFont="1" applyFill="1" applyBorder="1" applyAlignment="1">
      <alignment horizontal="left" vertical="center"/>
    </xf>
    <xf numFmtId="14" fontId="52" fillId="0" borderId="0" xfId="0" applyNumberFormat="1" applyFont="1" applyAlignment="1">
      <alignment horizontal="right"/>
    </xf>
    <xf numFmtId="0" fontId="52" fillId="0" borderId="0" xfId="0" applyFont="1" applyAlignment="1"/>
    <xf numFmtId="0" fontId="52" fillId="0" borderId="0" xfId="0" applyFont="1" applyAlignment="1"/>
    <xf numFmtId="0" fontId="53" fillId="0" borderId="0" xfId="0" applyFont="1"/>
    <xf numFmtId="0" fontId="52" fillId="0" borderId="0" xfId="0" applyFont="1"/>
    <xf numFmtId="0" fontId="53" fillId="9" borderId="3" xfId="0" applyFont="1" applyFill="1" applyBorder="1" applyAlignment="1">
      <alignment vertical="center"/>
    </xf>
    <xf numFmtId="14" fontId="53" fillId="9" borderId="3" xfId="0" applyNumberFormat="1" applyFont="1" applyFill="1" applyBorder="1" applyAlignment="1">
      <alignment horizontal="center" vertical="center" wrapText="1"/>
    </xf>
    <xf numFmtId="14" fontId="53" fillId="9" borderId="9" xfId="0" applyNumberFormat="1" applyFont="1" applyFill="1" applyBorder="1" applyAlignment="1">
      <alignment horizontal="center" vertical="center" wrapText="1"/>
    </xf>
    <xf numFmtId="14" fontId="53" fillId="9" borderId="10" xfId="0" applyNumberFormat="1" applyFont="1" applyFill="1" applyBorder="1" applyAlignment="1">
      <alignment horizontal="center" vertical="center" wrapText="1"/>
    </xf>
    <xf numFmtId="0" fontId="53" fillId="10" borderId="3" xfId="0" applyFont="1" applyFill="1" applyBorder="1"/>
    <xf numFmtId="0" fontId="52" fillId="0" borderId="3" xfId="0" applyFont="1" applyBorder="1" applyAlignment="1">
      <alignment horizontal="center"/>
    </xf>
    <xf numFmtId="0" fontId="54" fillId="0" borderId="3" xfId="0" applyFont="1" applyBorder="1"/>
    <xf numFmtId="0" fontId="52" fillId="0" borderId="3" xfId="0" applyFont="1" applyBorder="1"/>
    <xf numFmtId="0" fontId="52" fillId="0" borderId="11" xfId="0" applyFont="1" applyBorder="1"/>
    <xf numFmtId="0" fontId="52" fillId="0" borderId="3" xfId="0" applyFont="1" applyBorder="1" applyAlignment="1">
      <alignment horizontal="center" vertical="center"/>
    </xf>
    <xf numFmtId="0" fontId="56" fillId="0" borderId="3" xfId="0" applyFont="1" applyBorder="1"/>
    <xf numFmtId="0" fontId="7" fillId="11" borderId="3" xfId="0" applyFont="1" applyFill="1" applyBorder="1" applyAlignment="1">
      <alignment horizontal="center" vertical="center"/>
    </xf>
    <xf numFmtId="0" fontId="7" fillId="12" borderId="3" xfId="0" applyFont="1" applyFill="1" applyBorder="1" applyAlignment="1">
      <alignment horizontal="center" vertical="center"/>
    </xf>
    <xf numFmtId="0" fontId="7" fillId="12"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3" borderId="3" xfId="0" applyFont="1" applyFill="1" applyBorder="1" applyAlignment="1">
      <alignment horizontal="center" vertical="center"/>
    </xf>
    <xf numFmtId="0" fontId="7" fillId="14" borderId="3" xfId="0" applyFont="1" applyFill="1" applyBorder="1" applyAlignment="1">
      <alignment horizontal="center" vertical="center"/>
    </xf>
    <xf numFmtId="0" fontId="16" fillId="0" borderId="0" xfId="0" applyFont="1" applyAlignment="1">
      <alignment horizontal="center" vertical="center"/>
    </xf>
    <xf numFmtId="0" fontId="7" fillId="8" borderId="3" xfId="0" applyFont="1" applyFill="1" applyBorder="1" applyAlignment="1">
      <alignment horizontal="center" vertical="center"/>
    </xf>
    <xf numFmtId="0" fontId="7" fillId="0" borderId="3" xfId="0" applyFont="1" applyBorder="1" applyAlignment="1">
      <alignment horizontal="left" vertical="center"/>
    </xf>
    <xf numFmtId="0" fontId="16" fillId="0" borderId="3" xfId="0" applyFont="1" applyBorder="1" applyAlignment="1">
      <alignment horizontal="left" vertical="center"/>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16" fillId="0" borderId="3" xfId="0" applyFont="1" applyBorder="1" applyAlignment="1">
      <alignment horizontal="left" vertical="center" wrapText="1"/>
    </xf>
    <xf numFmtId="0" fontId="16" fillId="0" borderId="0" xfId="0" applyFont="1" applyAlignment="1">
      <alignment horizontal="left" vertical="center"/>
    </xf>
    <xf numFmtId="0" fontId="16" fillId="0" borderId="12" xfId="0" applyFont="1" applyBorder="1" applyAlignment="1">
      <alignment horizontal="left" vertical="center" wrapText="1"/>
    </xf>
    <xf numFmtId="14" fontId="16" fillId="0" borderId="12" xfId="0" applyNumberFormat="1" applyFont="1" applyBorder="1" applyAlignment="1">
      <alignment horizontal="center" vertical="center"/>
    </xf>
    <xf numFmtId="0" fontId="16" fillId="0" borderId="12" xfId="0" applyFont="1" applyBorder="1" applyAlignment="1">
      <alignment horizontal="center" vertical="center"/>
    </xf>
    <xf numFmtId="1" fontId="16" fillId="0" borderId="12" xfId="0" applyNumberFormat="1" applyFont="1" applyBorder="1" applyAlignment="1">
      <alignment horizontal="center" vertical="center" wrapText="1"/>
    </xf>
    <xf numFmtId="0" fontId="16" fillId="0" borderId="12" xfId="0" applyFont="1" applyBorder="1" applyAlignment="1">
      <alignment horizontal="left" vertical="top" wrapText="1"/>
    </xf>
    <xf numFmtId="0" fontId="16" fillId="0" borderId="0" xfId="0" applyFont="1"/>
    <xf numFmtId="0" fontId="52" fillId="0" borderId="12" xfId="0" applyFont="1" applyBorder="1" applyAlignment="1">
      <alignment horizontal="center" vertical="center" wrapText="1"/>
    </xf>
    <xf numFmtId="0" fontId="55" fillId="0" borderId="13" xfId="0" applyFont="1" applyBorder="1"/>
    <xf numFmtId="0" fontId="55" fillId="0" borderId="14" xfId="0" applyFont="1" applyBorder="1"/>
    <xf numFmtId="0" fontId="7" fillId="0" borderId="12" xfId="0" applyFont="1" applyBorder="1" applyAlignment="1">
      <alignment horizontal="center" vertical="center"/>
    </xf>
    <xf numFmtId="0" fontId="0" fillId="7" borderId="0" xfId="0" applyFont="1" applyFill="1" applyAlignment="1"/>
    <xf numFmtId="0" fontId="0" fillId="6" borderId="0" xfId="0" applyFont="1" applyFill="1"/>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109"/>
  <sheetViews>
    <sheetView tabSelected="1" workbookViewId="0">
      <pane ySplit="1" topLeftCell="A107" activePane="bottomLeft" state="frozen"/>
      <selection pane="bottomLeft" activeCell="A109" sqref="A109"/>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10.88671875" customWidth="1"/>
    <col min="9" max="9" width="12.88671875" customWidth="1"/>
    <col min="10" max="10" width="12.21875" customWidth="1"/>
    <col min="11" max="11" width="12" customWidth="1"/>
    <col min="12" max="12" width="11.77734375" customWidth="1"/>
    <col min="13" max="13" width="9.6640625" customWidth="1"/>
    <col min="14" max="14" width="14" customWidth="1"/>
    <col min="15" max="15" width="11" customWidth="1"/>
    <col min="16" max="16" width="17.21875" customWidth="1"/>
    <col min="17" max="17" width="33.44140625" customWidth="1"/>
    <col min="18" max="18" width="7" customWidth="1"/>
    <col min="19" max="40" width="10.5546875" customWidth="1"/>
  </cols>
  <sheetData>
    <row r="1" spans="1:40" ht="36.75" customHeight="1">
      <c r="A1" s="1" t="s">
        <v>0</v>
      </c>
      <c r="B1" s="2" t="s">
        <v>1</v>
      </c>
      <c r="C1" s="3" t="s">
        <v>2</v>
      </c>
      <c r="D1" s="4" t="s">
        <v>3</v>
      </c>
      <c r="E1" s="5" t="s">
        <v>4</v>
      </c>
      <c r="F1" s="6" t="s">
        <v>5</v>
      </c>
      <c r="G1" s="7" t="s">
        <v>6</v>
      </c>
      <c r="H1" s="8" t="s">
        <v>7</v>
      </c>
      <c r="I1" s="9" t="s">
        <v>8</v>
      </c>
      <c r="J1" s="9" t="s">
        <v>9</v>
      </c>
      <c r="K1" s="10" t="s">
        <v>10</v>
      </c>
      <c r="L1" s="10" t="s">
        <v>11</v>
      </c>
      <c r="M1" s="7" t="s">
        <v>12</v>
      </c>
      <c r="N1" s="11" t="s">
        <v>13</v>
      </c>
      <c r="O1" s="12" t="s">
        <v>14</v>
      </c>
      <c r="P1" s="12"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spans="1:40" ht="29.25" customHeight="1">
      <c r="A2" s="16" t="s">
        <v>18</v>
      </c>
      <c r="B2" s="17" t="s">
        <v>19</v>
      </c>
      <c r="C2" s="18" t="s">
        <v>20</v>
      </c>
      <c r="D2" s="19" t="s">
        <v>21</v>
      </c>
      <c r="E2" s="19"/>
      <c r="F2" s="20" t="s">
        <v>22</v>
      </c>
      <c r="G2" s="21">
        <v>100</v>
      </c>
      <c r="H2" s="22">
        <f>IF(OR(J2="",K2="",K2&lt;J2),0,NETWORKDAYS(J2,K2,Hoja2!$A$2:$A$53))</f>
        <v>1</v>
      </c>
      <c r="I2" s="23">
        <v>45826</v>
      </c>
      <c r="J2" s="23">
        <v>45827</v>
      </c>
      <c r="K2" s="24">
        <v>45827</v>
      </c>
      <c r="L2" s="24">
        <v>45827</v>
      </c>
      <c r="M2" s="25">
        <f ca="1">IF(OR(J2="",AND(L2="",TODAY()&lt;J2),AND(L2&lt;&gt;"",L2&lt;J2)),0,
   IF(L2="",
      NETWORKDAYS(J2,TODAY(),Hoja2!$A$2:$A$53),
      NETWORKDAYS(J2,L2,Hoja2!$A$2:$A$53)
   )
)</f>
        <v>1</v>
      </c>
      <c r="N2" s="26"/>
      <c r="O2" s="26"/>
      <c r="P2" s="27"/>
      <c r="Q2" s="28" t="s">
        <v>23</v>
      </c>
      <c r="R2" s="160" t="s">
        <v>493</v>
      </c>
    </row>
    <row r="3" spans="1:40" ht="29.25" customHeight="1">
      <c r="A3" s="29" t="s">
        <v>18</v>
      </c>
      <c r="B3" s="30" t="s">
        <v>24</v>
      </c>
      <c r="C3" s="31" t="s">
        <v>25</v>
      </c>
      <c r="D3" s="32" t="s">
        <v>21</v>
      </c>
      <c r="E3" s="32"/>
      <c r="F3" s="33" t="s">
        <v>22</v>
      </c>
      <c r="G3" s="34">
        <v>100</v>
      </c>
      <c r="H3" s="35">
        <f>IF(OR(J3="",K3="",K3&lt;J3),0,NETWORKDAYS(J3,K3,Hoja2!$A$2:$A$53))</f>
        <v>1</v>
      </c>
      <c r="I3" s="36">
        <v>45827</v>
      </c>
      <c r="J3" s="37">
        <v>45832</v>
      </c>
      <c r="K3" s="38">
        <v>45832</v>
      </c>
      <c r="L3" s="38">
        <v>45832</v>
      </c>
      <c r="M3" s="39">
        <f ca="1">IF(OR(J3="",AND(L3="",TODAY()&lt;J3),AND(L3&lt;&gt;"",L3&lt;J3)),0,
   IF(L3="",
      NETWORKDAYS(J3,TODAY(),Hoja2!$A$2:$A$53),
      NETWORKDAYS(J3,L3,Hoja2!$A$2:$A$53)
   )
)</f>
        <v>1</v>
      </c>
      <c r="N3" s="40"/>
      <c r="O3" s="40"/>
      <c r="P3" s="41"/>
      <c r="Q3" s="42" t="s">
        <v>26</v>
      </c>
      <c r="R3" s="160" t="s">
        <v>493</v>
      </c>
    </row>
    <row r="4" spans="1:40" ht="29.25" customHeight="1">
      <c r="A4" s="16" t="s">
        <v>18</v>
      </c>
      <c r="B4" s="17" t="s">
        <v>27</v>
      </c>
      <c r="C4" s="18" t="s">
        <v>28</v>
      </c>
      <c r="D4" s="19" t="s">
        <v>29</v>
      </c>
      <c r="E4" s="19"/>
      <c r="F4" s="20" t="s">
        <v>22</v>
      </c>
      <c r="G4" s="21">
        <v>100</v>
      </c>
      <c r="H4" s="22">
        <f>IF(OR(J4="",K4="",K4&lt;J4),0,NETWORKDAYS(J4,K4,Hoja2!$A$2:$A$53))</f>
        <v>0</v>
      </c>
      <c r="I4" s="43">
        <v>45832</v>
      </c>
      <c r="J4" s="43">
        <v>45839</v>
      </c>
      <c r="K4" s="24">
        <v>45833</v>
      </c>
      <c r="L4" s="24">
        <v>45839</v>
      </c>
      <c r="M4" s="25">
        <f ca="1">IF(OR(J4="",AND(L4="",TODAY()&lt;J4),AND(L4&lt;&gt;"",L4&lt;J4)),0,
   IF(L4="",
      NETWORKDAYS(J4,TODAY(),Hoja2!$A$2:$A$53),
      NETWORKDAYS(J4,L4,Hoja2!$A$2:$A$53)
   )
)</f>
        <v>1</v>
      </c>
      <c r="N4" s="24"/>
      <c r="O4" s="24">
        <v>45839</v>
      </c>
      <c r="P4" s="24">
        <v>45853</v>
      </c>
      <c r="Q4" s="44" t="s">
        <v>30</v>
      </c>
      <c r="R4" s="160" t="s">
        <v>493</v>
      </c>
    </row>
    <row r="5" spans="1:40" ht="29.25" customHeight="1">
      <c r="A5" s="29" t="s">
        <v>18</v>
      </c>
      <c r="B5" s="30" t="s">
        <v>31</v>
      </c>
      <c r="C5" s="31" t="s">
        <v>32</v>
      </c>
      <c r="D5" s="32" t="s">
        <v>29</v>
      </c>
      <c r="E5" s="45"/>
      <c r="F5" s="33" t="s">
        <v>22</v>
      </c>
      <c r="G5" s="34">
        <v>100</v>
      </c>
      <c r="H5" s="35">
        <f>IF(OR(J5="",K5="",K5&lt;J5),0,NETWORKDAYS(J5,K5,Hoja2!$A$2:$A$53))</f>
        <v>2</v>
      </c>
      <c r="I5" s="37">
        <v>45839</v>
      </c>
      <c r="J5" s="37">
        <v>45839</v>
      </c>
      <c r="K5" s="38">
        <v>45840</v>
      </c>
      <c r="L5" s="38">
        <v>45848</v>
      </c>
      <c r="M5" s="39">
        <f ca="1">IF(OR(J5="",AND(L5="",TODAY()&lt;J5),AND(L5&lt;&gt;"",L5&lt;J5)),0,
   IF(L5="",
      NETWORKDAYS(J5,TODAY(),Hoja2!$A$2:$A$53),
      NETWORKDAYS(J5,L5,Hoja2!$A$2:$A$53)
   )
)</f>
        <v>8</v>
      </c>
      <c r="N5" s="38"/>
      <c r="O5" s="38">
        <v>45848</v>
      </c>
      <c r="P5" s="38">
        <v>45853</v>
      </c>
      <c r="Q5" s="42" t="s">
        <v>33</v>
      </c>
      <c r="R5" s="160" t="s">
        <v>493</v>
      </c>
    </row>
    <row r="6" spans="1:40" ht="29.25" customHeight="1">
      <c r="A6" s="16" t="s">
        <v>18</v>
      </c>
      <c r="B6" s="17" t="s">
        <v>34</v>
      </c>
      <c r="C6" s="18" t="s">
        <v>35</v>
      </c>
      <c r="D6" s="19" t="s">
        <v>29</v>
      </c>
      <c r="E6" s="46"/>
      <c r="F6" s="47" t="s">
        <v>22</v>
      </c>
      <c r="G6" s="21">
        <v>100</v>
      </c>
      <c r="H6" s="22">
        <f>IF(OR(J6="",K6="",K6&lt;J6),0,NETWORKDAYS(J6,K6,Hoja2!$A$2:$A$53))</f>
        <v>1</v>
      </c>
      <c r="I6" s="43">
        <v>45839</v>
      </c>
      <c r="J6" s="43">
        <v>45840</v>
      </c>
      <c r="K6" s="24">
        <v>45840</v>
      </c>
      <c r="L6" s="24">
        <v>45840</v>
      </c>
      <c r="M6" s="25">
        <f ca="1">IF(OR(J6="",AND(L6="",TODAY()&lt;J6),AND(L6&lt;&gt;"",L6&lt;J6)),0,
   IF(L6="",
      NETWORKDAYS(J6,TODAY(),Hoja2!$A$2:$A$53),
      NETWORKDAYS(J6,L6,Hoja2!$A$2:$A$53)
   )
)</f>
        <v>1</v>
      </c>
      <c r="N6" s="24"/>
      <c r="O6" s="24">
        <v>45840</v>
      </c>
      <c r="P6" s="24">
        <v>45853</v>
      </c>
      <c r="Q6" s="48" t="s">
        <v>36</v>
      </c>
      <c r="R6" s="160" t="s">
        <v>493</v>
      </c>
    </row>
    <row r="7" spans="1:40" ht="29.25" customHeight="1">
      <c r="A7" s="29" t="s">
        <v>18</v>
      </c>
      <c r="B7" s="30" t="s">
        <v>37</v>
      </c>
      <c r="C7" s="31" t="s">
        <v>38</v>
      </c>
      <c r="D7" s="32" t="s">
        <v>29</v>
      </c>
      <c r="E7" s="32"/>
      <c r="F7" s="49" t="s">
        <v>22</v>
      </c>
      <c r="G7" s="34">
        <v>100</v>
      </c>
      <c r="H7" s="35">
        <f>IF(OR(J7="",K7="",K7&lt;J7),0,NETWORKDAYS(J7,K7,Hoja2!$A$2:$A$53))</f>
        <v>2</v>
      </c>
      <c r="I7" s="37">
        <v>45847</v>
      </c>
      <c r="J7" s="37">
        <v>45847</v>
      </c>
      <c r="K7" s="38">
        <v>45848</v>
      </c>
      <c r="L7" s="38">
        <v>45848</v>
      </c>
      <c r="M7" s="39">
        <f ca="1">IF(OR(J7="",AND(L7="",TODAY()&lt;J7),AND(L7&lt;&gt;"",L7&lt;J7)),0,
   IF(L7="",
      NETWORKDAYS(J7,TODAY(),Hoja2!$A$2:$A$53),
      NETWORKDAYS(J7,L7,Hoja2!$A$2:$A$53)
   )
)</f>
        <v>2</v>
      </c>
      <c r="N7" s="38"/>
      <c r="O7" s="38">
        <v>45848</v>
      </c>
      <c r="P7" s="38">
        <v>45853</v>
      </c>
      <c r="Q7" s="42" t="s">
        <v>39</v>
      </c>
      <c r="R7" s="160" t="s">
        <v>493</v>
      </c>
    </row>
    <row r="8" spans="1:40" ht="29.25" customHeight="1">
      <c r="A8" s="16" t="s">
        <v>18</v>
      </c>
      <c r="B8" s="17" t="s">
        <v>40</v>
      </c>
      <c r="C8" s="18" t="s">
        <v>41</v>
      </c>
      <c r="D8" s="19" t="s">
        <v>42</v>
      </c>
      <c r="E8" s="50"/>
      <c r="F8" s="20" t="s">
        <v>22</v>
      </c>
      <c r="G8" s="21">
        <v>100</v>
      </c>
      <c r="H8" s="22">
        <f>IF(OR(J8="",K8="",K8&lt;J8),0,NETWORKDAYS(J8,K8,Hoja2!$A$2:$A$53))</f>
        <v>1</v>
      </c>
      <c r="I8" s="43">
        <v>45832</v>
      </c>
      <c r="J8" s="43">
        <v>45832</v>
      </c>
      <c r="K8" s="24">
        <v>45832</v>
      </c>
      <c r="L8" s="24">
        <v>45832</v>
      </c>
      <c r="M8" s="25">
        <f ca="1">IF(OR(J8="",AND(L8="",TODAY()&lt;J8),AND(L8&lt;&gt;"",L8&lt;J8)),0,
   IF(L8="",
      NETWORKDAYS(J8,TODAY(),Hoja2!$A$2:$A$53),
      NETWORKDAYS(J8,L8,Hoja2!$A$2:$A$53)
   )
)</f>
        <v>1</v>
      </c>
      <c r="N8" s="51"/>
      <c r="O8" s="51"/>
      <c r="P8" s="51"/>
      <c r="Q8" s="52" t="s">
        <v>43</v>
      </c>
      <c r="R8" s="160" t="s">
        <v>493</v>
      </c>
    </row>
    <row r="9" spans="1:40" ht="29.25" customHeight="1">
      <c r="A9" s="29" t="s">
        <v>18</v>
      </c>
      <c r="B9" s="30" t="s">
        <v>44</v>
      </c>
      <c r="C9" s="31" t="s">
        <v>45</v>
      </c>
      <c r="D9" s="53"/>
      <c r="E9" s="32"/>
      <c r="F9" s="49" t="s">
        <v>22</v>
      </c>
      <c r="G9" s="34">
        <v>100</v>
      </c>
      <c r="H9" s="35">
        <f>IF(OR(J9="",K9="",K9&lt;J9),0,NETWORKDAYS(J9,K9,Hoja2!$A$2:$A$53))</f>
        <v>1</v>
      </c>
      <c r="I9" s="37">
        <v>45847</v>
      </c>
      <c r="J9" s="37">
        <v>45847</v>
      </c>
      <c r="K9" s="38">
        <v>45847</v>
      </c>
      <c r="L9" s="38">
        <v>45847</v>
      </c>
      <c r="M9" s="39">
        <f ca="1">IF(OR(J9="",AND(L9="",TODAY()&lt;J9),AND(L9&lt;&gt;"",L9&lt;J9)),0,
   IF(L9="",
      NETWORKDAYS(J9,TODAY(),Hoja2!$A$2:$A$53),
      NETWORKDAYS(J9,L9,Hoja2!$A$2:$A$53)
   )
)</f>
        <v>1</v>
      </c>
      <c r="N9" s="38"/>
      <c r="O9" s="38">
        <v>45847</v>
      </c>
      <c r="P9" s="54"/>
      <c r="Q9" s="42" t="s">
        <v>46</v>
      </c>
      <c r="R9" s="160" t="s">
        <v>493</v>
      </c>
      <c r="S9" s="55"/>
      <c r="T9" s="55"/>
      <c r="U9" s="55"/>
      <c r="V9" s="55"/>
      <c r="W9" s="55"/>
      <c r="X9" s="55"/>
      <c r="Y9" s="55"/>
      <c r="Z9" s="55"/>
      <c r="AA9" s="55"/>
      <c r="AB9" s="55"/>
      <c r="AC9" s="55"/>
      <c r="AD9" s="55"/>
      <c r="AE9" s="55"/>
      <c r="AF9" s="55"/>
      <c r="AG9" s="55"/>
      <c r="AH9" s="55"/>
      <c r="AI9" s="55"/>
      <c r="AJ9" s="55"/>
      <c r="AK9" s="55"/>
      <c r="AL9" s="55"/>
      <c r="AM9" s="55"/>
      <c r="AN9" s="56"/>
    </row>
    <row r="10" spans="1:40" ht="29.25" customHeight="1">
      <c r="A10" s="16" t="s">
        <v>18</v>
      </c>
      <c r="B10" s="17" t="s">
        <v>47</v>
      </c>
      <c r="C10" s="18" t="s">
        <v>48</v>
      </c>
      <c r="D10" s="57"/>
      <c r="E10" s="19"/>
      <c r="F10" s="58" t="s">
        <v>22</v>
      </c>
      <c r="G10" s="21">
        <v>100</v>
      </c>
      <c r="H10" s="22">
        <f>IF(OR(J10="",K10="",K10&lt;J10),0,NETWORKDAYS(J10,K10,Hoja2!$A$2:$A$53))</f>
        <v>1</v>
      </c>
      <c r="I10" s="43">
        <v>45849</v>
      </c>
      <c r="J10" s="43">
        <v>45849</v>
      </c>
      <c r="K10" s="24">
        <v>45849</v>
      </c>
      <c r="L10" s="24">
        <v>45849</v>
      </c>
      <c r="M10" s="25">
        <f ca="1">IF(OR(J10="",AND(L10="",TODAY()&lt;J10),AND(L10&lt;&gt;"",L10&lt;J10)),0,
   IF(L10="",
      NETWORKDAYS(J10,TODAY(),Hoja2!$A$2:$A$53),
      NETWORKDAYS(J10,L10,Hoja2!$A$2:$A$53)
   )
)</f>
        <v>1</v>
      </c>
      <c r="N10" s="24"/>
      <c r="O10" s="24"/>
      <c r="P10" s="51"/>
      <c r="Q10" s="48" t="s">
        <v>49</v>
      </c>
      <c r="R10" s="160" t="s">
        <v>493</v>
      </c>
      <c r="S10" s="59"/>
      <c r="T10" s="59"/>
      <c r="U10" s="59"/>
      <c r="V10" s="59"/>
      <c r="W10" s="59"/>
      <c r="X10" s="59"/>
      <c r="Y10" s="59"/>
      <c r="Z10" s="59"/>
      <c r="AA10" s="59"/>
      <c r="AB10" s="59"/>
      <c r="AC10" s="59"/>
      <c r="AD10" s="59"/>
      <c r="AE10" s="59"/>
      <c r="AF10" s="59"/>
      <c r="AG10" s="59"/>
      <c r="AH10" s="59"/>
      <c r="AI10" s="59"/>
      <c r="AJ10" s="59"/>
      <c r="AK10" s="59"/>
      <c r="AL10" s="59"/>
      <c r="AM10" s="59"/>
      <c r="AN10" s="60"/>
    </row>
    <row r="11" spans="1:40" ht="29.25" customHeight="1">
      <c r="A11" s="29" t="s">
        <v>18</v>
      </c>
      <c r="B11" s="30" t="s">
        <v>50</v>
      </c>
      <c r="C11" s="31" t="s">
        <v>51</v>
      </c>
      <c r="D11" s="32" t="s">
        <v>42</v>
      </c>
      <c r="E11" s="61"/>
      <c r="F11" s="49" t="s">
        <v>22</v>
      </c>
      <c r="G11" s="34">
        <v>100</v>
      </c>
      <c r="H11" s="35">
        <f>IF(OR(J11="",K11="",K11&lt;J11),0,NETWORKDAYS(J11,K11,Hoja2!$A$2:$A$53))</f>
        <v>1</v>
      </c>
      <c r="I11" s="37">
        <v>45854</v>
      </c>
      <c r="J11" s="37">
        <v>45854</v>
      </c>
      <c r="K11" s="38">
        <v>45854</v>
      </c>
      <c r="L11" s="38">
        <v>45854</v>
      </c>
      <c r="M11" s="39">
        <f ca="1">IF(OR(J11="",AND(L11="",TODAY()&lt;J11),AND(L11&lt;&gt;"",L11&lt;J11)),0,
   IF(L11="",
      NETWORKDAYS(J11,TODAY(),Hoja2!$A$2:$A$53),
      NETWORKDAYS(J11,L11,Hoja2!$A$2:$A$53)
   )
)</f>
        <v>1</v>
      </c>
      <c r="N11" s="38"/>
      <c r="O11" s="38">
        <v>45854</v>
      </c>
      <c r="P11" s="54"/>
      <c r="Q11" s="42" t="s">
        <v>52</v>
      </c>
      <c r="R11" s="160" t="s">
        <v>493</v>
      </c>
      <c r="S11" s="55"/>
      <c r="T11" s="55"/>
      <c r="U11" s="55"/>
      <c r="V11" s="55"/>
      <c r="W11" s="55"/>
      <c r="X11" s="55"/>
      <c r="Y11" s="55"/>
      <c r="Z11" s="55"/>
      <c r="AA11" s="55"/>
      <c r="AB11" s="55"/>
      <c r="AC11" s="55"/>
      <c r="AD11" s="55"/>
      <c r="AE11" s="55"/>
      <c r="AF11" s="55"/>
      <c r="AG11" s="55"/>
      <c r="AH11" s="55"/>
      <c r="AI11" s="55"/>
      <c r="AJ11" s="55"/>
      <c r="AK11" s="55"/>
      <c r="AL11" s="55"/>
      <c r="AM11" s="55"/>
      <c r="AN11" s="56"/>
    </row>
    <row r="12" spans="1:40" ht="29.25" customHeight="1">
      <c r="A12" s="16" t="s">
        <v>18</v>
      </c>
      <c r="B12" s="17" t="s">
        <v>53</v>
      </c>
      <c r="C12" s="18" t="s">
        <v>54</v>
      </c>
      <c r="D12" s="19" t="s">
        <v>55</v>
      </c>
      <c r="E12" s="19"/>
      <c r="F12" s="58" t="s">
        <v>22</v>
      </c>
      <c r="G12" s="21">
        <v>100</v>
      </c>
      <c r="H12" s="22">
        <f>IF(OR(J12="",K12="",K12&lt;J12),0,NETWORKDAYS(J12,K12,Hoja2!$A$2:$A$53))</f>
        <v>5</v>
      </c>
      <c r="I12" s="43">
        <v>45855</v>
      </c>
      <c r="J12" s="43">
        <v>45856</v>
      </c>
      <c r="K12" s="24">
        <v>45862</v>
      </c>
      <c r="L12" s="24">
        <v>45861</v>
      </c>
      <c r="M12" s="25">
        <f ca="1">IF(OR(J12="",AND(L12="",TODAY()&lt;J12),AND(L12&lt;&gt;"",L12&lt;J12)),0,
   IF(L12="",
      NETWORKDAYS(J12,TODAY(),Hoja2!$A$2:$A$53),
      NETWORKDAYS(J12,L12,Hoja2!$A$2:$A$53)
   )
)</f>
        <v>4</v>
      </c>
      <c r="N12" s="24"/>
      <c r="O12" s="24">
        <v>45861</v>
      </c>
      <c r="P12" s="51"/>
      <c r="Q12" s="48" t="s">
        <v>56</v>
      </c>
      <c r="R12" s="160" t="s">
        <v>493</v>
      </c>
      <c r="S12" s="59"/>
      <c r="T12" s="59"/>
      <c r="U12" s="59"/>
      <c r="V12" s="59"/>
      <c r="W12" s="59"/>
      <c r="X12" s="59"/>
      <c r="Y12" s="59"/>
      <c r="Z12" s="59"/>
      <c r="AA12" s="59"/>
      <c r="AB12" s="59"/>
      <c r="AC12" s="59"/>
      <c r="AD12" s="59"/>
      <c r="AE12" s="59"/>
      <c r="AF12" s="59"/>
      <c r="AG12" s="59"/>
      <c r="AH12" s="59"/>
      <c r="AI12" s="59"/>
      <c r="AJ12" s="59"/>
      <c r="AK12" s="59"/>
      <c r="AL12" s="59"/>
      <c r="AM12" s="59"/>
      <c r="AN12" s="60"/>
    </row>
    <row r="13" spans="1:40" ht="29.25" customHeight="1">
      <c r="A13" s="29" t="s">
        <v>18</v>
      </c>
      <c r="B13" s="30" t="s">
        <v>57</v>
      </c>
      <c r="C13" s="31" t="s">
        <v>58</v>
      </c>
      <c r="D13" s="32" t="s">
        <v>59</v>
      </c>
      <c r="E13" s="32"/>
      <c r="F13" s="49" t="s">
        <v>22</v>
      </c>
      <c r="G13" s="34">
        <v>100</v>
      </c>
      <c r="H13" s="35">
        <f>IF(OR(J13="",K13="",K13&lt;J13),0,NETWORKDAYS(J13,K13,Hoja2!$A$2:$A$53))</f>
        <v>1</v>
      </c>
      <c r="I13" s="37">
        <v>45860</v>
      </c>
      <c r="J13" s="37">
        <v>45860</v>
      </c>
      <c r="K13" s="38">
        <v>45860</v>
      </c>
      <c r="L13" s="38">
        <v>45860</v>
      </c>
      <c r="M13" s="39">
        <f ca="1">IF(OR(J13="",AND(L13="",TODAY()&lt;J13),AND(L13&lt;&gt;"",L13&lt;J13)),0,
   IF(L13="",
      NETWORKDAYS(J13,TODAY(),Hoja2!$A$2:$A$53),
      NETWORKDAYS(J13,L13,Hoja2!$A$2:$A$53)
   )
)</f>
        <v>1</v>
      </c>
      <c r="N13" s="54"/>
      <c r="O13" s="54"/>
      <c r="P13" s="54"/>
      <c r="Q13" s="42" t="s">
        <v>60</v>
      </c>
      <c r="R13" s="160" t="s">
        <v>493</v>
      </c>
      <c r="S13" s="55"/>
      <c r="T13" s="55"/>
      <c r="U13" s="55"/>
      <c r="V13" s="55"/>
      <c r="W13" s="55"/>
      <c r="X13" s="55"/>
      <c r="Y13" s="55"/>
      <c r="Z13" s="55"/>
      <c r="AA13" s="55"/>
      <c r="AB13" s="55"/>
      <c r="AC13" s="55"/>
      <c r="AD13" s="55"/>
      <c r="AE13" s="55"/>
      <c r="AF13" s="55"/>
      <c r="AG13" s="55"/>
      <c r="AH13" s="55"/>
      <c r="AI13" s="55"/>
      <c r="AJ13" s="55"/>
      <c r="AK13" s="55"/>
      <c r="AL13" s="55"/>
      <c r="AM13" s="55"/>
      <c r="AN13" s="56"/>
    </row>
    <row r="14" spans="1:40" ht="29.25" customHeight="1">
      <c r="A14" s="16" t="s">
        <v>18</v>
      </c>
      <c r="B14" s="17" t="s">
        <v>61</v>
      </c>
      <c r="C14" s="18" t="s">
        <v>62</v>
      </c>
      <c r="D14" s="62"/>
      <c r="E14" s="46"/>
      <c r="F14" s="52" t="s">
        <v>22</v>
      </c>
      <c r="G14" s="21">
        <v>100</v>
      </c>
      <c r="H14" s="22">
        <f>IF(OR(J14="",K14="",K14&lt;J14),0,NETWORKDAYS(J14,K14,Hoja2!$A$2:$A$53))</f>
        <v>2</v>
      </c>
      <c r="I14" s="43">
        <v>45863</v>
      </c>
      <c r="J14" s="43">
        <v>45863</v>
      </c>
      <c r="K14" s="24">
        <v>45866</v>
      </c>
      <c r="L14" s="24">
        <v>45866</v>
      </c>
      <c r="M14" s="25">
        <f ca="1">IF(OR(J14="",AND(L14="",TODAY()&lt;J14),AND(L14&lt;&gt;"",L14&lt;J14)),0,
   IF(L14="",
      NETWORKDAYS(J14,TODAY(),Hoja2!$A$2:$A$53),
      NETWORKDAYS(J14,L14,Hoja2!$A$2:$A$53)
   )
)</f>
        <v>2</v>
      </c>
      <c r="N14" s="51"/>
      <c r="O14" s="51"/>
      <c r="P14" s="51"/>
      <c r="Q14" s="48" t="s">
        <v>63</v>
      </c>
      <c r="R14" s="160" t="s">
        <v>493</v>
      </c>
      <c r="S14" s="59"/>
      <c r="T14" s="59"/>
      <c r="U14" s="59"/>
      <c r="V14" s="59"/>
      <c r="W14" s="59"/>
      <c r="X14" s="59"/>
      <c r="Y14" s="59"/>
      <c r="Z14" s="59"/>
      <c r="AA14" s="59"/>
      <c r="AB14" s="59"/>
      <c r="AC14" s="59"/>
      <c r="AD14" s="59"/>
      <c r="AE14" s="59"/>
      <c r="AF14" s="59"/>
      <c r="AG14" s="59"/>
      <c r="AH14" s="59"/>
      <c r="AI14" s="59"/>
      <c r="AJ14" s="59"/>
      <c r="AK14" s="59"/>
      <c r="AL14" s="59"/>
      <c r="AM14" s="59"/>
      <c r="AN14" s="60"/>
    </row>
    <row r="15" spans="1:40" ht="29.25" customHeight="1">
      <c r="A15" s="29" t="s">
        <v>18</v>
      </c>
      <c r="B15" s="30" t="s">
        <v>64</v>
      </c>
      <c r="C15" s="31" t="s">
        <v>65</v>
      </c>
      <c r="D15" s="32"/>
      <c r="E15" s="32"/>
      <c r="F15" s="33" t="s">
        <v>22</v>
      </c>
      <c r="G15" s="34">
        <v>100</v>
      </c>
      <c r="H15" s="35">
        <f>IF(OR(J15="",K15="",K15&lt;J15),0,NETWORKDAYS(J15,K15,Hoja2!$A$2:$A$53))</f>
        <v>2</v>
      </c>
      <c r="I15" s="36">
        <v>45824</v>
      </c>
      <c r="J15" s="36">
        <v>45825</v>
      </c>
      <c r="K15" s="38">
        <v>45826</v>
      </c>
      <c r="L15" s="38">
        <v>45827</v>
      </c>
      <c r="M15" s="39">
        <f ca="1">IF(OR(J15="",AND(L15="",TODAY()&lt;J15),AND(L15&lt;&gt;"",L15&lt;J15)),0,
   IF(L15="",
      NETWORKDAYS(J15,TODAY(),Hoja2!$A$2:$A$53),
      NETWORKDAYS(J15,L15,Hoja2!$A$2:$A$53)
   )
)</f>
        <v>3</v>
      </c>
      <c r="N15" s="36"/>
      <c r="O15" s="36">
        <v>45826</v>
      </c>
      <c r="P15" s="41"/>
      <c r="Q15" s="42" t="s">
        <v>66</v>
      </c>
      <c r="R15" s="160" t="s">
        <v>493</v>
      </c>
    </row>
    <row r="16" spans="1:40" ht="40.5" customHeight="1">
      <c r="A16" s="16" t="s">
        <v>18</v>
      </c>
      <c r="B16" s="17" t="s">
        <v>67</v>
      </c>
      <c r="C16" s="18" t="s">
        <v>68</v>
      </c>
      <c r="D16" s="19"/>
      <c r="E16" s="19"/>
      <c r="F16" s="20" t="s">
        <v>22</v>
      </c>
      <c r="G16" s="21">
        <v>100</v>
      </c>
      <c r="H16" s="22">
        <f>IF(OR(J16="",K16="",K16&lt;J16),0,NETWORKDAYS(J16,K16,Hoja2!$A$2:$A$53))</f>
        <v>2</v>
      </c>
      <c r="I16" s="23">
        <v>45826</v>
      </c>
      <c r="J16" s="23">
        <v>45828</v>
      </c>
      <c r="K16" s="24">
        <v>45832</v>
      </c>
      <c r="L16" s="24">
        <v>45833</v>
      </c>
      <c r="M16" s="25">
        <f ca="1">IF(OR(J16="",AND(L16="",TODAY()&lt;J16),AND(L16&lt;&gt;"",L16&lt;J16)),0,
   IF(L16="",
      NETWORKDAYS(J16,TODAY(),Hoja2!$A$2:$A$53),
      NETWORKDAYS(J16,L16,Hoja2!$A$2:$A$53)
   )
)</f>
        <v>3</v>
      </c>
      <c r="N16" s="24"/>
      <c r="O16" s="24">
        <v>45833</v>
      </c>
      <c r="P16" s="27"/>
      <c r="Q16" s="48" t="s">
        <v>69</v>
      </c>
      <c r="R16" s="160" t="s">
        <v>493</v>
      </c>
    </row>
    <row r="17" spans="1:18" ht="48" customHeight="1">
      <c r="A17" s="29" t="s">
        <v>18</v>
      </c>
      <c r="B17" s="30" t="s">
        <v>70</v>
      </c>
      <c r="C17" s="31" t="s">
        <v>71</v>
      </c>
      <c r="D17" s="32"/>
      <c r="E17" s="32"/>
      <c r="F17" s="33" t="s">
        <v>22</v>
      </c>
      <c r="G17" s="34">
        <v>100</v>
      </c>
      <c r="H17" s="35">
        <f>IF(OR(J17="",K17="",K17&lt;J17),0,NETWORKDAYS(J17,K17,Hoja2!$A$2:$A$53))</f>
        <v>0</v>
      </c>
      <c r="I17" s="36">
        <v>45826</v>
      </c>
      <c r="J17" s="37">
        <v>45869</v>
      </c>
      <c r="K17" s="38">
        <v>45834</v>
      </c>
      <c r="L17" s="38">
        <v>45870</v>
      </c>
      <c r="M17" s="39">
        <f ca="1">IF(OR(J17="",AND(L17="",TODAY()&lt;J17),AND(L17&lt;&gt;"",L17&lt;J17)),0,
   IF(L17="",
      NETWORKDAYS(J17,TODAY(),Hoja2!$A$2:$A$53),
      NETWORKDAYS(J17,L17,Hoja2!$A$2:$A$53)
   )
)</f>
        <v>2</v>
      </c>
      <c r="N17" s="38"/>
      <c r="O17" s="38">
        <v>45870</v>
      </c>
      <c r="P17" s="41"/>
      <c r="Q17" s="42" t="s">
        <v>72</v>
      </c>
      <c r="R17" s="160" t="s">
        <v>493</v>
      </c>
    </row>
    <row r="18" spans="1:18" ht="42" customHeight="1">
      <c r="A18" s="16" t="s">
        <v>18</v>
      </c>
      <c r="B18" s="17" t="s">
        <v>73</v>
      </c>
      <c r="C18" s="18" t="s">
        <v>74</v>
      </c>
      <c r="D18" s="63"/>
      <c r="E18" s="19"/>
      <c r="F18" s="58" t="s">
        <v>22</v>
      </c>
      <c r="G18" s="64">
        <v>100</v>
      </c>
      <c r="H18" s="22">
        <f>IF(OR(J18="",K18="",K18&lt;J18),0,NETWORKDAYS(J18,K18,Hoja2!$A$2:$A$53))</f>
        <v>0</v>
      </c>
      <c r="I18" s="43">
        <v>45833</v>
      </c>
      <c r="J18" s="24">
        <v>45841</v>
      </c>
      <c r="K18" s="24">
        <v>45839</v>
      </c>
      <c r="L18" s="24">
        <v>45845</v>
      </c>
      <c r="M18" s="25">
        <f ca="1">IF(OR(J18="",AND(L18="",TODAY()&lt;J18),AND(L18&lt;&gt;"",L18&lt;J18)),0,
   IF(L18="",
      NETWORKDAYS(J18,TODAY(),Hoja2!$A$2:$A$53),
      NETWORKDAYS(J18,L18,Hoja2!$A$2:$A$53)
   )
)</f>
        <v>3</v>
      </c>
      <c r="N18" s="24"/>
      <c r="O18" s="24">
        <v>45845</v>
      </c>
      <c r="P18" s="51"/>
      <c r="Q18" s="48" t="s">
        <v>75</v>
      </c>
      <c r="R18" s="160" t="s">
        <v>493</v>
      </c>
    </row>
    <row r="19" spans="1:18" ht="29.25" customHeight="1">
      <c r="A19" s="29" t="s">
        <v>18</v>
      </c>
      <c r="B19" s="30" t="s">
        <v>76</v>
      </c>
      <c r="C19" s="31" t="s">
        <v>77</v>
      </c>
      <c r="D19" s="65"/>
      <c r="E19" s="32"/>
      <c r="F19" s="66" t="s">
        <v>22</v>
      </c>
      <c r="G19" s="67">
        <v>100</v>
      </c>
      <c r="H19" s="35">
        <f>IF(OR(J19="",K19="",K19&lt;J19),0,NETWORKDAYS(J19,K19,Hoja2!$A$2:$A$53))</f>
        <v>1</v>
      </c>
      <c r="I19" s="37">
        <v>45845</v>
      </c>
      <c r="J19" s="37">
        <v>45845</v>
      </c>
      <c r="K19" s="38">
        <v>45845</v>
      </c>
      <c r="L19" s="38">
        <v>45845</v>
      </c>
      <c r="M19" s="39">
        <f ca="1">IF(OR(J19="",AND(L19="",TODAY()&lt;J19),AND(L19&lt;&gt;"",L19&lt;J19)),0,
   IF(L19="",
      NETWORKDAYS(J19,TODAY(),Hoja2!$A$2:$A$53),
      NETWORKDAYS(J19,L19,Hoja2!$A$2:$A$53)
   )
)</f>
        <v>1</v>
      </c>
      <c r="N19" s="38"/>
      <c r="O19" s="38">
        <v>45845</v>
      </c>
      <c r="P19" s="54"/>
      <c r="Q19" s="42" t="s">
        <v>78</v>
      </c>
      <c r="R19" s="160" t="s">
        <v>493</v>
      </c>
    </row>
    <row r="20" spans="1:18" ht="52.5" customHeight="1">
      <c r="A20" s="16" t="s">
        <v>18</v>
      </c>
      <c r="B20" s="17" t="s">
        <v>79</v>
      </c>
      <c r="C20" s="18" t="s">
        <v>80</v>
      </c>
      <c r="D20" s="57"/>
      <c r="E20" s="19"/>
      <c r="F20" s="58" t="s">
        <v>22</v>
      </c>
      <c r="G20" s="64">
        <v>100</v>
      </c>
      <c r="H20" s="22">
        <f>IF(OR(J20="",K20="",K20&lt;J20),0,NETWORKDAYS(J20,K20,Hoja2!$A$2:$A$53))</f>
        <v>3</v>
      </c>
      <c r="I20" s="43">
        <v>45854</v>
      </c>
      <c r="J20" s="43">
        <v>45854</v>
      </c>
      <c r="K20" s="24">
        <v>45858</v>
      </c>
      <c r="L20" s="51"/>
      <c r="M20" s="25">
        <f ca="1">IF(OR(J20="",AND(L20="",TODAY()&lt;J20),AND(L20&lt;&gt;"",L20&lt;J20)),0,
   IF(L20="",
      NETWORKDAYS(J20,TODAY(),Hoja2!$A$2:$A$53),
      NETWORKDAYS(J20,L20,Hoja2!$A$2:$A$53)
   )
)</f>
        <v>217</v>
      </c>
      <c r="N20" s="51"/>
      <c r="O20" s="51"/>
      <c r="P20" s="51"/>
      <c r="Q20" s="48" t="s">
        <v>81</v>
      </c>
      <c r="R20" s="160" t="s">
        <v>493</v>
      </c>
    </row>
    <row r="21" spans="1:18" ht="67.5" customHeight="1">
      <c r="A21" s="29" t="s">
        <v>18</v>
      </c>
      <c r="B21" s="30" t="s">
        <v>82</v>
      </c>
      <c r="C21" s="31" t="s">
        <v>83</v>
      </c>
      <c r="D21" s="32" t="s">
        <v>21</v>
      </c>
      <c r="E21" s="32"/>
      <c r="F21" s="33" t="s">
        <v>84</v>
      </c>
      <c r="G21" s="68"/>
      <c r="H21" s="35">
        <f>IF(OR(J21="",K21="",K21&lt;J21),0,NETWORKDAYS(J21,K21,Hoja2!$A$2:$A$53))</f>
        <v>0</v>
      </c>
      <c r="I21" s="37"/>
      <c r="J21" s="69"/>
      <c r="K21" s="54"/>
      <c r="L21" s="54"/>
      <c r="M21" s="39">
        <f ca="1">IF(OR(J21="",AND(L21="",TODAY()&lt;J21),AND(L21&lt;&gt;"",L21&lt;J21)),0,
   IF(L21="",
      NETWORKDAYS(J21,TODAY(),Hoja2!$A$2:$A$53),
      NETWORKDAYS(J21,L21,Hoja2!$A$2:$A$53)
   )
)</f>
        <v>0</v>
      </c>
      <c r="N21" s="54"/>
      <c r="O21" s="54"/>
      <c r="P21" s="54"/>
      <c r="Q21" s="70" t="s">
        <v>85</v>
      </c>
      <c r="R21" s="159" t="s">
        <v>492</v>
      </c>
    </row>
    <row r="22" spans="1:18" ht="129.75" customHeight="1">
      <c r="A22" s="16" t="s">
        <v>18</v>
      </c>
      <c r="B22" s="17" t="s">
        <v>86</v>
      </c>
      <c r="C22" s="18" t="s">
        <v>87</v>
      </c>
      <c r="D22" s="19" t="s">
        <v>42</v>
      </c>
      <c r="E22" s="71"/>
      <c r="F22" s="72" t="s">
        <v>22</v>
      </c>
      <c r="G22" s="64">
        <v>100</v>
      </c>
      <c r="H22" s="22">
        <f>IF(OR(J22="",K22="",K22&lt;J22),0,NETWORKDAYS(J22,K22,Hoja2!$A$2:$A$53))</f>
        <v>3</v>
      </c>
      <c r="I22" s="43">
        <v>45834</v>
      </c>
      <c r="J22" s="43">
        <v>45834</v>
      </c>
      <c r="K22" s="24">
        <v>45839</v>
      </c>
      <c r="L22" s="24">
        <v>45840</v>
      </c>
      <c r="M22" s="25">
        <f ca="1">IF(OR(J22="",AND(L22="",TODAY()&lt;J22),AND(L22&lt;&gt;"",L22&lt;J22)),0,
   IF(L22="",
      NETWORKDAYS(J22,TODAY(),Hoja2!$A$2:$A$53),
      NETWORKDAYS(J22,L22,Hoja2!$A$2:$A$53)
   )
)</f>
        <v>4</v>
      </c>
      <c r="N22" s="24"/>
      <c r="O22" s="24">
        <v>45840</v>
      </c>
      <c r="P22" s="51"/>
      <c r="Q22" s="52" t="s">
        <v>88</v>
      </c>
      <c r="R22" s="160" t="s">
        <v>493</v>
      </c>
    </row>
    <row r="23" spans="1:18" ht="69" customHeight="1">
      <c r="A23" s="29" t="s">
        <v>18</v>
      </c>
      <c r="B23" s="30" t="s">
        <v>89</v>
      </c>
      <c r="C23" s="31" t="s">
        <v>90</v>
      </c>
      <c r="D23" s="32" t="s">
        <v>91</v>
      </c>
      <c r="E23" s="73"/>
      <c r="F23" s="33" t="s">
        <v>22</v>
      </c>
      <c r="G23" s="74">
        <v>100</v>
      </c>
      <c r="H23" s="35">
        <f>IF(OR(J23="",K23="",K23&lt;J23),0,NETWORKDAYS(J23,K23,Hoja2!$A$2:$A$53))</f>
        <v>46</v>
      </c>
      <c r="I23" s="37">
        <v>45833</v>
      </c>
      <c r="J23" s="37">
        <v>45833</v>
      </c>
      <c r="K23" s="38">
        <v>45901</v>
      </c>
      <c r="L23" s="38">
        <v>45901</v>
      </c>
      <c r="M23" s="39">
        <f ca="1">IF(OR(J23="",AND(L23="",TODAY()&lt;J23),AND(L23&lt;&gt;"",L23&lt;J23)),0,
   IF(L23="",
      NETWORKDAYS(J23,TODAY(),Hoja2!$A$2:$A$53),
      NETWORKDAYS(J23,L23,Hoja2!$A$2:$A$53)
   )
)</f>
        <v>46</v>
      </c>
      <c r="N23" s="38"/>
      <c r="O23" s="38">
        <v>45901</v>
      </c>
      <c r="P23" s="54"/>
      <c r="Q23" s="70" t="s">
        <v>92</v>
      </c>
      <c r="R23" s="160" t="s">
        <v>493</v>
      </c>
    </row>
    <row r="24" spans="1:18" ht="78.75" customHeight="1">
      <c r="A24" s="16" t="s">
        <v>18</v>
      </c>
      <c r="B24" s="17" t="s">
        <v>93</v>
      </c>
      <c r="C24" s="18" t="s">
        <v>94</v>
      </c>
      <c r="D24" s="57"/>
      <c r="E24" s="46"/>
      <c r="F24" s="58" t="s">
        <v>22</v>
      </c>
      <c r="G24" s="64">
        <v>100</v>
      </c>
      <c r="H24" s="22">
        <f>IF(OR(J24="",K24="",K24&lt;J24),0,NETWORKDAYS(J24,K24,Hoja2!$A$2:$A$53))</f>
        <v>5</v>
      </c>
      <c r="I24" s="43">
        <v>45855</v>
      </c>
      <c r="J24" s="43">
        <v>45855</v>
      </c>
      <c r="K24" s="24">
        <v>45861</v>
      </c>
      <c r="L24" s="24">
        <v>45870</v>
      </c>
      <c r="M24" s="25">
        <f ca="1">IF(OR(J24="",AND(L24="",TODAY()&lt;J24),AND(L24&lt;&gt;"",L24&lt;J24)),0,
   IF(L24="",
      NETWORKDAYS(J24,TODAY(),Hoja2!$A$2:$A$53),
      NETWORKDAYS(J24,L24,Hoja2!$A$2:$A$53)
   )
)</f>
        <v>12</v>
      </c>
      <c r="N24" s="24"/>
      <c r="O24" s="24">
        <v>45870</v>
      </c>
      <c r="P24" s="51"/>
      <c r="Q24" s="48" t="s">
        <v>95</v>
      </c>
      <c r="R24" s="160" t="s">
        <v>493</v>
      </c>
    </row>
    <row r="25" spans="1:18" ht="63" customHeight="1">
      <c r="A25" s="29" t="s">
        <v>18</v>
      </c>
      <c r="B25" s="30" t="s">
        <v>96</v>
      </c>
      <c r="C25" s="31" t="s">
        <v>97</v>
      </c>
      <c r="D25" s="32" t="s">
        <v>98</v>
      </c>
      <c r="E25" s="32"/>
      <c r="F25" s="70" t="s">
        <v>22</v>
      </c>
      <c r="G25" s="74">
        <v>100</v>
      </c>
      <c r="H25" s="35">
        <f>IF(OR(J25="",K25="",K25&lt;J25),0,NETWORKDAYS(J25,K25,Hoja2!$A$2:$A$53))</f>
        <v>5</v>
      </c>
      <c r="I25" s="37">
        <v>45862</v>
      </c>
      <c r="J25" s="37">
        <v>45862</v>
      </c>
      <c r="K25" s="38">
        <v>45868</v>
      </c>
      <c r="L25" s="38">
        <v>45894</v>
      </c>
      <c r="M25" s="39">
        <f ca="1">IF(OR(J25="",AND(L25="",TODAY()&lt;J25),AND(L25&lt;&gt;"",L25&lt;J25)),0,
   IF(L25="",
      NETWORKDAYS(J25,TODAY(),Hoja2!$A$2:$A$53),
      NETWORKDAYS(J25,L25,Hoja2!$A$2:$A$53)
   )
)</f>
        <v>21</v>
      </c>
      <c r="N25" s="38"/>
      <c r="O25" s="38">
        <v>45894</v>
      </c>
      <c r="P25" s="38">
        <v>45894</v>
      </c>
      <c r="Q25" s="42" t="s">
        <v>99</v>
      </c>
      <c r="R25" s="160" t="s">
        <v>493</v>
      </c>
    </row>
    <row r="26" spans="1:18" ht="67.5" customHeight="1">
      <c r="A26" s="16" t="s">
        <v>18</v>
      </c>
      <c r="B26" s="17" t="s">
        <v>100</v>
      </c>
      <c r="C26" s="18" t="s">
        <v>101</v>
      </c>
      <c r="D26" s="19" t="s">
        <v>102</v>
      </c>
      <c r="E26" s="19"/>
      <c r="F26" s="52" t="s">
        <v>22</v>
      </c>
      <c r="G26" s="64">
        <v>100</v>
      </c>
      <c r="H26" s="22">
        <f>IF(OR(J26="",K26="",K26&lt;J26),0,NETWORKDAYS(J26,K26,Hoja2!$A$2:$A$53))</f>
        <v>4</v>
      </c>
      <c r="I26" s="43">
        <v>45868</v>
      </c>
      <c r="J26" s="43">
        <v>45868</v>
      </c>
      <c r="K26" s="24">
        <v>45873</v>
      </c>
      <c r="L26" s="24">
        <v>45870</v>
      </c>
      <c r="M26" s="25">
        <f ca="1">IF(OR(J26="",AND(L26="",TODAY()&lt;J26),AND(L26&lt;&gt;"",L26&lt;J26)),0,
   IF(L26="",
      NETWORKDAYS(J26,TODAY(),Hoja2!$A$2:$A$53),
      NETWORKDAYS(J26,L26,Hoja2!$A$2:$A$53)
   )
)</f>
        <v>3</v>
      </c>
      <c r="N26" s="51"/>
      <c r="O26" s="51"/>
      <c r="P26" s="51"/>
      <c r="Q26" s="48" t="s">
        <v>103</v>
      </c>
      <c r="R26" s="160" t="s">
        <v>493</v>
      </c>
    </row>
    <row r="27" spans="1:18" ht="55.5" customHeight="1">
      <c r="A27" s="29" t="s">
        <v>18</v>
      </c>
      <c r="B27" s="30" t="s">
        <v>104</v>
      </c>
      <c r="C27" s="31" t="s">
        <v>105</v>
      </c>
      <c r="D27" s="32" t="s">
        <v>102</v>
      </c>
      <c r="E27" s="32" t="s">
        <v>106</v>
      </c>
      <c r="F27" s="70" t="s">
        <v>84</v>
      </c>
      <c r="G27" s="68"/>
      <c r="H27" s="35">
        <f>IF(OR(J27="",K27="",K27&lt;J27),0,NETWORKDAYS(J27,K27,Hoja2!$A$2:$A$53))</f>
        <v>0</v>
      </c>
      <c r="I27" s="54"/>
      <c r="J27" s="54"/>
      <c r="K27" s="54"/>
      <c r="L27" s="54"/>
      <c r="M27" s="39">
        <f ca="1">IF(OR(J27="",AND(L27="",TODAY()&lt;J27),AND(L27&lt;&gt;"",L27&lt;J27)),0,
   IF(L27="",
      NETWORKDAYS(J27,TODAY(),Hoja2!$A$2:$A$53),
      NETWORKDAYS(J27,L27,Hoja2!$A$2:$A$53)
   )
)</f>
        <v>0</v>
      </c>
      <c r="N27" s="54"/>
      <c r="O27" s="54"/>
      <c r="P27" s="54"/>
      <c r="Q27" s="42" t="s">
        <v>107</v>
      </c>
      <c r="R27" s="159" t="s">
        <v>492</v>
      </c>
    </row>
    <row r="28" spans="1:18" ht="138" customHeight="1">
      <c r="A28" s="16" t="s">
        <v>18</v>
      </c>
      <c r="B28" s="17" t="s">
        <v>108</v>
      </c>
      <c r="C28" s="18" t="s">
        <v>109</v>
      </c>
      <c r="D28" s="19"/>
      <c r="E28" s="19"/>
      <c r="F28" s="52" t="s">
        <v>22</v>
      </c>
      <c r="G28" s="21">
        <v>100</v>
      </c>
      <c r="H28" s="22">
        <f>IF(OR(J28="",K28="",K28&lt;J28),0,NETWORKDAYS(J28,K28,Hoja2!$A$2:$A$53))</f>
        <v>3</v>
      </c>
      <c r="I28" s="43">
        <v>45894</v>
      </c>
      <c r="J28" s="43">
        <v>45894</v>
      </c>
      <c r="K28" s="24">
        <v>45896</v>
      </c>
      <c r="L28" s="24">
        <v>45896</v>
      </c>
      <c r="M28" s="25">
        <f ca="1">IF(OR(J28="",AND(L28="",TODAY()&lt;J28),AND(L28&lt;&gt;"",L28&lt;J28)),0,
   IF(L28="",
      NETWORKDAYS(J28,TODAY(),Hoja2!$A$2:$A$53),
      NETWORKDAYS(J28,L28,Hoja2!$A$2:$A$53)
   )
)</f>
        <v>3</v>
      </c>
      <c r="N28" s="24"/>
      <c r="O28" s="24">
        <v>45896</v>
      </c>
      <c r="P28" s="51"/>
      <c r="Q28" s="75" t="s">
        <v>110</v>
      </c>
      <c r="R28" s="160" t="s">
        <v>493</v>
      </c>
    </row>
    <row r="29" spans="1:18" ht="67.5" customHeight="1">
      <c r="A29" s="29" t="s">
        <v>18</v>
      </c>
      <c r="B29" s="30" t="s">
        <v>111</v>
      </c>
      <c r="C29" s="31" t="s">
        <v>112</v>
      </c>
      <c r="D29" s="32" t="s">
        <v>113</v>
      </c>
      <c r="E29" s="32"/>
      <c r="F29" s="70" t="s">
        <v>22</v>
      </c>
      <c r="G29" s="74">
        <v>100</v>
      </c>
      <c r="H29" s="35">
        <f>IF(OR(J29="",K29="",K29&lt;J29),0,NETWORKDAYS(J29,K29,Hoja2!$A$2:$A$53))</f>
        <v>5</v>
      </c>
      <c r="I29" s="37">
        <v>45866</v>
      </c>
      <c r="J29" s="37">
        <v>45866</v>
      </c>
      <c r="K29" s="38">
        <v>45870</v>
      </c>
      <c r="L29" s="38">
        <v>45870</v>
      </c>
      <c r="M29" s="39">
        <f ca="1">IF(OR(J29="",AND(L29="",TODAY()&lt;J29),AND(L29&lt;&gt;"",L29&lt;J29)),0,
   IF(L29="",
      NETWORKDAYS(J29,TODAY(),Hoja2!$A$2:$A$53),
      NETWORKDAYS(J29,L29,Hoja2!$A$2:$A$53)
   )
)</f>
        <v>5</v>
      </c>
      <c r="N29" s="38"/>
      <c r="O29" s="38">
        <v>45870</v>
      </c>
      <c r="P29" s="54"/>
      <c r="Q29" s="42"/>
      <c r="R29" s="160" t="s">
        <v>493</v>
      </c>
    </row>
    <row r="30" spans="1:18" ht="85.5">
      <c r="A30" s="16" t="s">
        <v>18</v>
      </c>
      <c r="B30" s="17" t="s">
        <v>114</v>
      </c>
      <c r="C30" s="18" t="s">
        <v>109</v>
      </c>
      <c r="D30" s="19"/>
      <c r="E30" s="19"/>
      <c r="F30" s="52" t="s">
        <v>22</v>
      </c>
      <c r="G30" s="64">
        <v>100</v>
      </c>
      <c r="H30" s="22">
        <f>IF(OR(J30="",K30="",K30&lt;J30),0,NETWORKDAYS(J30,K30,Hoja2!$A$2:$A$53))</f>
        <v>5</v>
      </c>
      <c r="I30" s="43">
        <v>45896</v>
      </c>
      <c r="J30" s="43">
        <v>45896</v>
      </c>
      <c r="K30" s="24">
        <v>45902</v>
      </c>
      <c r="L30" s="24">
        <v>45902</v>
      </c>
      <c r="M30" s="25">
        <f ca="1">IF(OR(J30="",AND(L30="",TODAY()&lt;J30),AND(L30&lt;&gt;"",L30&lt;J30)),0,
   IF(L30="",
      NETWORKDAYS(J30,TODAY(),Hoja2!$A$2:$A$53),
      NETWORKDAYS(J30,L30,Hoja2!$A$2:$A$53)
   )
)</f>
        <v>5</v>
      </c>
      <c r="N30" s="24"/>
      <c r="O30" s="24">
        <v>45902</v>
      </c>
      <c r="P30" s="51"/>
      <c r="Q30" s="75"/>
      <c r="R30" s="160" t="s">
        <v>493</v>
      </c>
    </row>
    <row r="31" spans="1:18" ht="71.25">
      <c r="A31" s="29" t="s">
        <v>18</v>
      </c>
      <c r="B31" s="30" t="s">
        <v>115</v>
      </c>
      <c r="C31" s="31" t="s">
        <v>116</v>
      </c>
      <c r="D31" s="32"/>
      <c r="E31" s="32"/>
      <c r="F31" s="70" t="s">
        <v>22</v>
      </c>
      <c r="G31" s="34">
        <v>100</v>
      </c>
      <c r="H31" s="35">
        <f>IF(OR(J31="",K31="",K31&lt;J31),0,NETWORKDAYS(J31,K31,Hoja2!$A$2:$A$53))</f>
        <v>3</v>
      </c>
      <c r="I31" s="37">
        <v>45902</v>
      </c>
      <c r="J31" s="37">
        <v>45902</v>
      </c>
      <c r="K31" s="38">
        <v>45904</v>
      </c>
      <c r="L31" s="38">
        <v>45903</v>
      </c>
      <c r="M31" s="39">
        <f ca="1">IF(OR(J31="",AND(L31="",TODAY()&lt;J31),AND(L31&lt;&gt;"",L31&lt;J31)),0,
   IF(L31="",
      NETWORKDAYS(J31,TODAY(),Hoja2!$A$2:$A$53),
      NETWORKDAYS(J31,L31,Hoja2!$A$2:$A$53)
   )
)</f>
        <v>2</v>
      </c>
      <c r="N31" s="38"/>
      <c r="O31" s="38">
        <v>45903</v>
      </c>
      <c r="P31" s="54"/>
      <c r="Q31" s="76"/>
      <c r="R31" s="160" t="s">
        <v>493</v>
      </c>
    </row>
    <row r="32" spans="1:18" ht="42.75">
      <c r="A32" s="16" t="s">
        <v>18</v>
      </c>
      <c r="B32" s="17" t="s">
        <v>117</v>
      </c>
      <c r="C32" s="18" t="s">
        <v>118</v>
      </c>
      <c r="D32" s="19"/>
      <c r="E32" s="19"/>
      <c r="F32" s="52" t="s">
        <v>22</v>
      </c>
      <c r="G32" s="64">
        <v>100</v>
      </c>
      <c r="H32" s="22">
        <f>IF(OR(J32="",K32="",K32&lt;J32),0,NETWORKDAYS(J32,K32,Hoja2!$A$2:$A$53))</f>
        <v>2</v>
      </c>
      <c r="I32" s="43">
        <v>45904</v>
      </c>
      <c r="J32" s="43">
        <v>45908</v>
      </c>
      <c r="K32" s="24">
        <v>45909</v>
      </c>
      <c r="L32" s="24">
        <v>45908</v>
      </c>
      <c r="M32" s="25">
        <f ca="1">IF(OR(J32="",AND(L32="",TODAY()&lt;J32),AND(L32&lt;&gt;"",L32&lt;J32)),0,
   IF(L32="",
      NETWORKDAYS(J32,TODAY(),Hoja2!$A$2:$A$53),
      NETWORKDAYS(J32,L32,Hoja2!$A$2:$A$53)
   )
)</f>
        <v>1</v>
      </c>
      <c r="N32" s="24"/>
      <c r="O32" s="24"/>
      <c r="P32" s="51"/>
      <c r="Q32" s="75"/>
      <c r="R32" s="160" t="s">
        <v>493</v>
      </c>
    </row>
    <row r="33" spans="1:18" ht="76.5" customHeight="1">
      <c r="A33" s="29" t="s">
        <v>18</v>
      </c>
      <c r="B33" s="30" t="s">
        <v>119</v>
      </c>
      <c r="C33" s="31" t="s">
        <v>120</v>
      </c>
      <c r="D33" s="32"/>
      <c r="E33" s="32"/>
      <c r="F33" s="70" t="s">
        <v>22</v>
      </c>
      <c r="G33" s="34">
        <v>100</v>
      </c>
      <c r="H33" s="35">
        <f>IF(OR(J33="",K33="",K33&lt;J33),0,NETWORKDAYS(J33,K33,Hoja2!$A$2:$A$53))</f>
        <v>4</v>
      </c>
      <c r="I33" s="37">
        <v>45904</v>
      </c>
      <c r="J33" s="37">
        <v>45909</v>
      </c>
      <c r="K33" s="38">
        <v>45912</v>
      </c>
      <c r="L33" s="38">
        <v>45918</v>
      </c>
      <c r="M33" s="39">
        <f ca="1">IF(OR(J33="",AND(L33="",TODAY()&lt;J33),AND(L33&lt;&gt;"",L33&lt;J33)),0,
   IF(L33="",
      NETWORKDAYS(J33,TODAY(),Hoja2!$A$2:$A$53),
      NETWORKDAYS(J33,L33,Hoja2!$A$2:$A$53)
   )
)</f>
        <v>8</v>
      </c>
      <c r="N33" s="38"/>
      <c r="O33" s="38">
        <v>45918</v>
      </c>
      <c r="P33" s="54"/>
      <c r="Q33" s="76" t="s">
        <v>121</v>
      </c>
      <c r="R33" s="160" t="s">
        <v>493</v>
      </c>
    </row>
    <row r="34" spans="1:18" ht="38.25">
      <c r="A34" s="16" t="s">
        <v>18</v>
      </c>
      <c r="B34" s="17" t="s">
        <v>122</v>
      </c>
      <c r="C34" s="18" t="s">
        <v>123</v>
      </c>
      <c r="D34" s="19" t="s">
        <v>124</v>
      </c>
      <c r="E34" s="19"/>
      <c r="F34" s="52" t="s">
        <v>22</v>
      </c>
      <c r="G34" s="64">
        <v>100</v>
      </c>
      <c r="H34" s="22">
        <f>IF(OR(J34="",K34="",K34&lt;J34),0,NETWORKDAYS(J34,K34,Hoja2!$A$2:$A$53))</f>
        <v>2</v>
      </c>
      <c r="I34" s="43">
        <v>45909</v>
      </c>
      <c r="J34" s="43">
        <v>45910</v>
      </c>
      <c r="K34" s="24">
        <v>45911</v>
      </c>
      <c r="L34" s="24">
        <v>45911</v>
      </c>
      <c r="M34" s="25">
        <f ca="1">IF(OR(J34="",AND(L34="",TODAY()&lt;J34),AND(L34&lt;&gt;"",L34&lt;J34)),0,
   IF(L34="",
      NETWORKDAYS(J34,TODAY(),Hoja2!$A$2:$A$53),
      NETWORKDAYS(J34,L34,Hoja2!$A$2:$A$53)
   )
)</f>
        <v>2</v>
      </c>
      <c r="N34" s="24"/>
      <c r="O34" s="24">
        <v>45911</v>
      </c>
      <c r="P34" s="51"/>
      <c r="Q34" s="75" t="s">
        <v>125</v>
      </c>
      <c r="R34" s="160" t="s">
        <v>493</v>
      </c>
    </row>
    <row r="35" spans="1:18" ht="42.75">
      <c r="A35" s="29" t="s">
        <v>18</v>
      </c>
      <c r="B35" s="30" t="s">
        <v>126</v>
      </c>
      <c r="C35" s="31" t="s">
        <v>127</v>
      </c>
      <c r="D35" s="32" t="s">
        <v>124</v>
      </c>
      <c r="E35" s="32"/>
      <c r="F35" s="70" t="s">
        <v>22</v>
      </c>
      <c r="G35" s="74">
        <v>100</v>
      </c>
      <c r="H35" s="35">
        <f>IF(OR(J35="",K35="",K35&lt;J35),0,NETWORKDAYS(J35,K35,Hoja2!$A$2:$A$53))</f>
        <v>2</v>
      </c>
      <c r="I35" s="37">
        <v>45909</v>
      </c>
      <c r="J35" s="37">
        <v>45910</v>
      </c>
      <c r="K35" s="38">
        <v>45911</v>
      </c>
      <c r="L35" s="38">
        <v>45911</v>
      </c>
      <c r="M35" s="39">
        <f ca="1">IF(OR(J35="",AND(L35="",TODAY()&lt;J35),AND(L35&lt;&gt;"",L35&lt;J35)),0,
   IF(L35="",
      NETWORKDAYS(J35,TODAY(),Hoja2!$A$2:$A$53),
      NETWORKDAYS(J35,L35,Hoja2!$A$2:$A$53)
   )
)</f>
        <v>2</v>
      </c>
      <c r="N35" s="38"/>
      <c r="O35" s="38">
        <v>45911</v>
      </c>
      <c r="P35" s="54"/>
      <c r="Q35" s="76" t="s">
        <v>125</v>
      </c>
      <c r="R35" s="160" t="s">
        <v>493</v>
      </c>
    </row>
    <row r="36" spans="1:18" ht="93" customHeight="1">
      <c r="A36" s="16" t="s">
        <v>18</v>
      </c>
      <c r="B36" s="17" t="s">
        <v>128</v>
      </c>
      <c r="C36" s="18" t="s">
        <v>129</v>
      </c>
      <c r="D36" s="19" t="s">
        <v>130</v>
      </c>
      <c r="E36" s="19"/>
      <c r="F36" s="52" t="s">
        <v>22</v>
      </c>
      <c r="G36" s="64">
        <v>100</v>
      </c>
      <c r="H36" s="22">
        <f>IF(OR(J36="",K36="",K36&lt;J36),0,NETWORKDAYS(J36,K36,Hoja2!$A$2:$A$53))</f>
        <v>4</v>
      </c>
      <c r="I36" s="43">
        <v>45909</v>
      </c>
      <c r="J36" s="43">
        <v>45910</v>
      </c>
      <c r="K36" s="24">
        <v>45915</v>
      </c>
      <c r="L36" s="24">
        <v>45915</v>
      </c>
      <c r="M36" s="25">
        <f ca="1">IF(OR(J36="",AND(L36="",TODAY()&lt;J36),AND(L36&lt;&gt;"",L36&lt;J36)),0,
   IF(L36="",
      NETWORKDAYS(J36,TODAY(),Hoja2!$A$2:$A$53),
      NETWORKDAYS(J36,L36,Hoja2!$A$2:$A$53)
   )
)</f>
        <v>4</v>
      </c>
      <c r="N36" s="24"/>
      <c r="O36" s="24">
        <v>45915</v>
      </c>
      <c r="P36" s="51"/>
      <c r="Q36" s="75" t="s">
        <v>131</v>
      </c>
      <c r="R36" s="160" t="s">
        <v>493</v>
      </c>
    </row>
    <row r="37" spans="1:18" ht="76.5" customHeight="1">
      <c r="A37" s="29" t="s">
        <v>18</v>
      </c>
      <c r="B37" s="30" t="s">
        <v>132</v>
      </c>
      <c r="C37" s="31" t="s">
        <v>133</v>
      </c>
      <c r="D37" s="32" t="s">
        <v>134</v>
      </c>
      <c r="E37" s="32"/>
      <c r="F37" s="70" t="s">
        <v>22</v>
      </c>
      <c r="G37" s="34">
        <v>100</v>
      </c>
      <c r="H37" s="35">
        <f>IF(OR(J37="",K37="",K37&lt;J37),0,NETWORKDAYS(J37,K37,Hoja2!$A$2:$A$53))</f>
        <v>6</v>
      </c>
      <c r="I37" s="37">
        <v>45918</v>
      </c>
      <c r="J37" s="37">
        <v>45919</v>
      </c>
      <c r="K37" s="38">
        <v>45926</v>
      </c>
      <c r="L37" s="38">
        <v>45926</v>
      </c>
      <c r="M37" s="39">
        <f ca="1">IF(OR(J37="",AND(L37="",TODAY()&lt;J37),AND(L37&lt;&gt;"",L37&lt;J37)),0,
   IF(L37="",
      NETWORKDAYS(J37,TODAY(),Hoja2!$A$2:$A$53),
      NETWORKDAYS(J37,L37,Hoja2!$A$2:$A$53)
   )
)</f>
        <v>6</v>
      </c>
      <c r="N37" s="38"/>
      <c r="O37" s="38">
        <v>45926</v>
      </c>
      <c r="P37" s="38"/>
      <c r="Q37" s="76" t="s">
        <v>135</v>
      </c>
      <c r="R37" s="160" t="s">
        <v>493</v>
      </c>
    </row>
    <row r="38" spans="1:18" ht="235.5" customHeight="1">
      <c r="A38" s="16" t="s">
        <v>18</v>
      </c>
      <c r="B38" s="17" t="s">
        <v>136</v>
      </c>
      <c r="C38" s="18" t="s">
        <v>137</v>
      </c>
      <c r="D38" s="19" t="s">
        <v>138</v>
      </c>
      <c r="E38" s="19"/>
      <c r="F38" s="52" t="s">
        <v>84</v>
      </c>
      <c r="G38" s="64">
        <v>85</v>
      </c>
      <c r="H38" s="22">
        <f>IF(OR(J38="",K38="",K38&lt;J38),0,NETWORKDAYS(J38,K38,Hoja2!$A$2:$A$53))</f>
        <v>8</v>
      </c>
      <c r="I38" s="43">
        <v>45910</v>
      </c>
      <c r="J38" s="43">
        <v>45922</v>
      </c>
      <c r="K38" s="24">
        <v>45931</v>
      </c>
      <c r="L38" s="24"/>
      <c r="M38" s="25">
        <f ca="1">IF(OR(J38="",AND(L38="",TODAY()&lt;J38),AND(L38&lt;&gt;"",L38&lt;J38)),0,
   IF(L38="",
      NETWORKDAYS(J38,TODAY(),Hoja2!$A$2:$A$53),
      NETWORKDAYS(J38,L38,Hoja2!$A$2:$A$53)
   )
)</f>
        <v>171</v>
      </c>
      <c r="N38" s="24"/>
      <c r="O38" s="24"/>
      <c r="P38" s="51"/>
      <c r="Q38" s="75" t="s">
        <v>139</v>
      </c>
      <c r="R38" s="159" t="s">
        <v>492</v>
      </c>
    </row>
    <row r="39" spans="1:18" ht="162" customHeight="1">
      <c r="A39" s="29" t="s">
        <v>18</v>
      </c>
      <c r="B39" s="30" t="s">
        <v>140</v>
      </c>
      <c r="C39" s="31" t="s">
        <v>141</v>
      </c>
      <c r="D39" s="32" t="s">
        <v>134</v>
      </c>
      <c r="E39" s="32"/>
      <c r="F39" s="70" t="s">
        <v>22</v>
      </c>
      <c r="G39" s="34">
        <v>100</v>
      </c>
      <c r="H39" s="35">
        <f>IF(OR(J39="",K39="",K39&lt;J39),0,NETWORKDAYS(J39,K39,Hoja2!$A$2:$A$53))</f>
        <v>7</v>
      </c>
      <c r="I39" s="37">
        <v>45929</v>
      </c>
      <c r="J39" s="37">
        <v>45929</v>
      </c>
      <c r="K39" s="38">
        <v>45937</v>
      </c>
      <c r="L39" s="38">
        <v>45958</v>
      </c>
      <c r="M39" s="39">
        <f ca="1">IF(OR(J39="",AND(L39="",TODAY()&lt;J39),AND(L39&lt;&gt;"",L39&lt;J39)),0,
   IF(L39="",
      NETWORKDAYS(J39,TODAY(),Hoja2!$A$2:$A$53),
      NETWORKDAYS(J39,L39,Hoja2!$A$2:$A$53)
   )
)</f>
        <v>21</v>
      </c>
      <c r="N39" s="38"/>
      <c r="O39" s="38">
        <v>45958</v>
      </c>
      <c r="P39" s="54"/>
      <c r="Q39" s="76" t="s">
        <v>142</v>
      </c>
      <c r="R39" s="160" t="s">
        <v>493</v>
      </c>
    </row>
    <row r="40" spans="1:18" ht="93" customHeight="1">
      <c r="A40" s="16" t="s">
        <v>18</v>
      </c>
      <c r="B40" s="17" t="s">
        <v>143</v>
      </c>
      <c r="C40" s="18" t="s">
        <v>144</v>
      </c>
      <c r="D40" s="19" t="s">
        <v>145</v>
      </c>
      <c r="E40" s="19"/>
      <c r="F40" s="52" t="s">
        <v>22</v>
      </c>
      <c r="G40" s="64">
        <v>100</v>
      </c>
      <c r="H40" s="22">
        <f>IF(OR(J40="",K40="",K40&lt;J40),0,NETWORKDAYS(J40,K40,Hoja2!$A$2:$A$53))</f>
        <v>3</v>
      </c>
      <c r="I40" s="43">
        <v>45930</v>
      </c>
      <c r="J40" s="43">
        <v>45930</v>
      </c>
      <c r="K40" s="24">
        <v>45932</v>
      </c>
      <c r="L40" s="24">
        <v>45932</v>
      </c>
      <c r="M40" s="25">
        <f ca="1">IF(OR(J40="",AND(L40="",TODAY()&lt;J40),AND(L40&lt;&gt;"",L40&lt;J40)),0,
   IF(L40="",
      NETWORKDAYS(J40,TODAY(),Hoja2!$A$2:$A$53),
      NETWORKDAYS(J40,L40,Hoja2!$A$2:$A$53)
   )
)</f>
        <v>3</v>
      </c>
      <c r="N40" s="24"/>
      <c r="O40" s="24">
        <v>45932</v>
      </c>
      <c r="P40" s="43">
        <v>45932</v>
      </c>
      <c r="Q40" s="75" t="s">
        <v>146</v>
      </c>
      <c r="R40" s="160" t="s">
        <v>493</v>
      </c>
    </row>
    <row r="41" spans="1:18" ht="93" customHeight="1">
      <c r="A41" s="29" t="s">
        <v>18</v>
      </c>
      <c r="B41" s="30" t="s">
        <v>147</v>
      </c>
      <c r="C41" s="31" t="s">
        <v>148</v>
      </c>
      <c r="D41" s="32" t="s">
        <v>149</v>
      </c>
      <c r="E41" s="32"/>
      <c r="F41" s="70" t="s">
        <v>150</v>
      </c>
      <c r="G41" s="74">
        <v>90</v>
      </c>
      <c r="H41" s="35">
        <f>IF(OR(J41="",K41="",K41&lt;J41),0,NETWORKDAYS(J41,K41,Hoja2!$A$2:$A$53))</f>
        <v>2</v>
      </c>
      <c r="I41" s="37">
        <v>45932</v>
      </c>
      <c r="J41" s="37">
        <v>45932</v>
      </c>
      <c r="K41" s="38">
        <v>45933</v>
      </c>
      <c r="L41" s="38">
        <v>45933</v>
      </c>
      <c r="M41" s="39">
        <f ca="1">IF(OR(J41="",AND(L41="",TODAY()&lt;J41),AND(L41&lt;&gt;"",L41&lt;J41)),0,
   IF(L41="",
      NETWORKDAYS(J41,TODAY(),Hoja2!$A$2:$A$53),
      NETWORKDAYS(J41,L41,Hoja2!$A$2:$A$53)
   )
)</f>
        <v>2</v>
      </c>
      <c r="N41" s="37"/>
      <c r="O41" s="37">
        <v>45932</v>
      </c>
      <c r="P41" s="37"/>
      <c r="Q41" s="76" t="s">
        <v>151</v>
      </c>
      <c r="R41" s="160" t="s">
        <v>493</v>
      </c>
    </row>
    <row r="42" spans="1:18" ht="67.5" customHeight="1">
      <c r="A42" s="16" t="s">
        <v>18</v>
      </c>
      <c r="B42" s="17" t="s">
        <v>152</v>
      </c>
      <c r="C42" s="18" t="s">
        <v>153</v>
      </c>
      <c r="D42" s="19" t="s">
        <v>113</v>
      </c>
      <c r="E42" s="19"/>
      <c r="F42" s="52" t="s">
        <v>22</v>
      </c>
      <c r="G42" s="64">
        <v>100</v>
      </c>
      <c r="H42" s="22">
        <f>IF(OR(J42="",K42="",K42&lt;J42),0,NETWORKDAYS(J42,K42,Hoja2!$A$2:$A$53))</f>
        <v>2</v>
      </c>
      <c r="I42" s="43">
        <v>45945</v>
      </c>
      <c r="J42" s="43">
        <v>45945</v>
      </c>
      <c r="K42" s="24">
        <v>45946</v>
      </c>
      <c r="L42" s="24">
        <v>45946</v>
      </c>
      <c r="M42" s="25">
        <f ca="1">IF(OR(J42="",AND(L42="",TODAY()&lt;J42),AND(L42&lt;&gt;"",L42&lt;J42)),0,
   IF(L42="",
      NETWORKDAYS(J42,TODAY(),Hoja2!$A$2:$A$53),
      NETWORKDAYS(J42,L42,Hoja2!$A$2:$A$53)
   )
)</f>
        <v>2</v>
      </c>
      <c r="N42" s="24"/>
      <c r="O42" s="24">
        <v>45946</v>
      </c>
      <c r="P42" s="24">
        <v>45960</v>
      </c>
      <c r="Q42" s="48" t="s">
        <v>154</v>
      </c>
      <c r="R42" s="160" t="s">
        <v>493</v>
      </c>
    </row>
    <row r="43" spans="1:18" ht="93" customHeight="1">
      <c r="A43" s="29" t="s">
        <v>18</v>
      </c>
      <c r="B43" s="30" t="s">
        <v>155</v>
      </c>
      <c r="C43" s="31" t="s">
        <v>156</v>
      </c>
      <c r="D43" s="32" t="s">
        <v>157</v>
      </c>
      <c r="E43" s="32"/>
      <c r="F43" s="70" t="s">
        <v>22</v>
      </c>
      <c r="G43" s="74">
        <v>100</v>
      </c>
      <c r="H43" s="35">
        <f>IF(OR(J43="",K43="",K43&lt;J43),0,NETWORKDAYS(J43,K43,Hoja2!$A$2:$A$53))</f>
        <v>2</v>
      </c>
      <c r="I43" s="37">
        <v>45944</v>
      </c>
      <c r="J43" s="37">
        <v>45947</v>
      </c>
      <c r="K43" s="38">
        <v>45950</v>
      </c>
      <c r="L43" s="38">
        <v>45967</v>
      </c>
      <c r="M43" s="39">
        <f ca="1">IF(OR(J43="",AND(L43="",TODAY()&lt;J43),AND(L43&lt;&gt;"",L43&lt;J43)),0,
   IF(L43="",
      NETWORKDAYS(J43,TODAY(),Hoja2!$A$2:$A$53),
      NETWORKDAYS(J43,L43,Hoja2!$A$2:$A$53)
   )
)</f>
        <v>14</v>
      </c>
      <c r="N43" s="38"/>
      <c r="O43" s="38">
        <v>45967</v>
      </c>
      <c r="P43" s="38">
        <v>45967</v>
      </c>
      <c r="Q43" s="76" t="s">
        <v>158</v>
      </c>
      <c r="R43" s="160" t="s">
        <v>493</v>
      </c>
    </row>
    <row r="44" spans="1:18" ht="93" customHeight="1">
      <c r="A44" s="16" t="s">
        <v>18</v>
      </c>
      <c r="B44" s="17" t="s">
        <v>159</v>
      </c>
      <c r="C44" s="18" t="s">
        <v>160</v>
      </c>
      <c r="D44" s="19" t="s">
        <v>161</v>
      </c>
      <c r="E44" s="19"/>
      <c r="F44" s="52" t="s">
        <v>22</v>
      </c>
      <c r="G44" s="64">
        <v>100</v>
      </c>
      <c r="H44" s="22">
        <f>IF(OR(J44="",K44="",K44&lt;J44),0,NETWORKDAYS(J44,K44,Hoja2!$A$2:$A$53))</f>
        <v>2</v>
      </c>
      <c r="I44" s="43">
        <v>45966</v>
      </c>
      <c r="J44" s="43">
        <v>45966</v>
      </c>
      <c r="K44" s="24">
        <v>45967</v>
      </c>
      <c r="L44" s="24">
        <v>45967</v>
      </c>
      <c r="M44" s="25">
        <f ca="1">IF(OR(J44="",AND(L44="",TODAY()&lt;J44),AND(L44&lt;&gt;"",L44&lt;J44)),0,
   IF(L44="",
      NETWORKDAYS(J44,TODAY(),Hoja2!$A$2:$A$53),
      NETWORKDAYS(J44,L44,Hoja2!$A$2:$A$53)
   )
)</f>
        <v>2</v>
      </c>
      <c r="N44" s="24"/>
      <c r="O44" s="24">
        <v>45967</v>
      </c>
      <c r="P44" s="24">
        <v>45967</v>
      </c>
      <c r="Q44" s="75" t="s">
        <v>162</v>
      </c>
      <c r="R44" s="160" t="s">
        <v>493</v>
      </c>
    </row>
    <row r="45" spans="1:18" ht="93" customHeight="1">
      <c r="A45" s="29" t="s">
        <v>18</v>
      </c>
      <c r="B45" s="30" t="s">
        <v>163</v>
      </c>
      <c r="C45" s="31" t="s">
        <v>164</v>
      </c>
      <c r="D45" s="32" t="s">
        <v>165</v>
      </c>
      <c r="E45" s="32"/>
      <c r="F45" s="70" t="s">
        <v>22</v>
      </c>
      <c r="G45" s="74">
        <v>100</v>
      </c>
      <c r="H45" s="35">
        <f>IF(OR(J45="",K45="",K45&lt;J45),0,NETWORKDAYS(J45,K45,Hoja2!$A$2:$A$53))</f>
        <v>1</v>
      </c>
      <c r="I45" s="37">
        <v>45967</v>
      </c>
      <c r="J45" s="37">
        <v>45967</v>
      </c>
      <c r="K45" s="38">
        <v>45967</v>
      </c>
      <c r="L45" s="38">
        <v>45967</v>
      </c>
      <c r="M45" s="39">
        <f ca="1">IF(OR(J45="",AND(L45="",TODAY()&lt;J45),AND(L45&lt;&gt;"",L45&lt;J45)),0,
   IF(L45="",
      NETWORKDAYS(J45,TODAY(),Hoja2!$A$2:$A$53),
      NETWORKDAYS(J45,L45,Hoja2!$A$2:$A$53)
   )
)</f>
        <v>1</v>
      </c>
      <c r="N45" s="38"/>
      <c r="O45" s="38">
        <v>45967</v>
      </c>
      <c r="P45" s="38">
        <v>45967</v>
      </c>
      <c r="Q45" s="76" t="s">
        <v>166</v>
      </c>
      <c r="R45" s="160" t="s">
        <v>493</v>
      </c>
    </row>
    <row r="46" spans="1:18" ht="162" customHeight="1">
      <c r="A46" s="16" t="s">
        <v>18</v>
      </c>
      <c r="B46" s="17" t="s">
        <v>167</v>
      </c>
      <c r="C46" s="18" t="s">
        <v>168</v>
      </c>
      <c r="D46" s="19" t="s">
        <v>169</v>
      </c>
      <c r="E46" s="19"/>
      <c r="F46" s="52" t="s">
        <v>22</v>
      </c>
      <c r="G46" s="21">
        <v>100</v>
      </c>
      <c r="H46" s="22">
        <f>IF(OR(J46="",K46="",K46&lt;J46),0,NETWORKDAYS(J46,K46,Hoja2!$A$2:$A$53))</f>
        <v>5</v>
      </c>
      <c r="I46" s="43">
        <v>45965</v>
      </c>
      <c r="J46" s="43">
        <v>45965</v>
      </c>
      <c r="K46" s="24">
        <v>45971</v>
      </c>
      <c r="L46" s="24">
        <v>45971</v>
      </c>
      <c r="M46" s="25">
        <f ca="1">IF(OR(J46="",AND(L46="",TODAY()&lt;J46),AND(L46&lt;&gt;"",L46&lt;J46)),0,
   IF(L46="",
      NETWORKDAYS(J46,TODAY(),Hoja2!$A$2:$A$53),
      NETWORKDAYS(J46,L46,Hoja2!$A$2:$A$53)
   )
)</f>
        <v>5</v>
      </c>
      <c r="N46" s="24"/>
      <c r="O46" s="24">
        <v>45971</v>
      </c>
      <c r="P46" s="24">
        <v>45992</v>
      </c>
      <c r="Q46" s="75" t="s">
        <v>170</v>
      </c>
      <c r="R46" s="160" t="s">
        <v>493</v>
      </c>
    </row>
    <row r="47" spans="1:18" ht="162" customHeight="1">
      <c r="A47" s="29" t="s">
        <v>18</v>
      </c>
      <c r="B47" s="30" t="s">
        <v>171</v>
      </c>
      <c r="C47" s="31" t="s">
        <v>172</v>
      </c>
      <c r="D47" s="32" t="s">
        <v>169</v>
      </c>
      <c r="E47" s="32"/>
      <c r="F47" s="70" t="s">
        <v>22</v>
      </c>
      <c r="G47" s="34">
        <v>100</v>
      </c>
      <c r="H47" s="35">
        <f>IF(OR(J47="",K47="",K47&lt;J47),0,NETWORKDAYS(J47,K47,Hoja2!$A$2:$A$53))</f>
        <v>10</v>
      </c>
      <c r="I47" s="37">
        <v>45971</v>
      </c>
      <c r="J47" s="37">
        <v>45971</v>
      </c>
      <c r="K47" s="38">
        <v>45985</v>
      </c>
      <c r="L47" s="38">
        <v>45980</v>
      </c>
      <c r="M47" s="39">
        <f ca="1">IF(OR(J47="",AND(L47="",TODAY()&lt;J47),AND(L47&lt;&gt;"",L47&lt;J47)),0,
   IF(L47="",
      NETWORKDAYS(J47,TODAY(),Hoja2!$A$2:$A$53),
      NETWORKDAYS(J47,L47,Hoja2!$A$2:$A$53)
   )
)</f>
        <v>7</v>
      </c>
      <c r="N47" s="38"/>
      <c r="O47" s="38">
        <v>45980</v>
      </c>
      <c r="P47" s="38">
        <v>45992</v>
      </c>
      <c r="Q47" s="76" t="s">
        <v>173</v>
      </c>
      <c r="R47" s="160" t="s">
        <v>493</v>
      </c>
    </row>
    <row r="48" spans="1:18" ht="162" customHeight="1">
      <c r="A48" s="16" t="s">
        <v>18</v>
      </c>
      <c r="B48" s="17" t="s">
        <v>174</v>
      </c>
      <c r="C48" s="18" t="s">
        <v>175</v>
      </c>
      <c r="D48" s="19" t="s">
        <v>169</v>
      </c>
      <c r="E48" s="19"/>
      <c r="F48" s="52" t="s">
        <v>22</v>
      </c>
      <c r="G48" s="21">
        <v>100</v>
      </c>
      <c r="H48" s="22">
        <f>IF(OR(J48="",K48="",K48&lt;J48),0,NETWORKDAYS(J48,K48,Hoja2!$A$2:$A$53))</f>
        <v>3</v>
      </c>
      <c r="I48" s="43">
        <v>45981</v>
      </c>
      <c r="J48" s="43">
        <v>45981</v>
      </c>
      <c r="K48" s="24">
        <v>45985</v>
      </c>
      <c r="L48" s="24">
        <v>45985</v>
      </c>
      <c r="M48" s="25">
        <f ca="1">IF(OR(J48="",AND(L48="",TODAY()&lt;J48),AND(L48&lt;&gt;"",L48&lt;J48)),0,
   IF(L48="",
      NETWORKDAYS(J48,TODAY(),Hoja2!$A$2:$A$53),
      NETWORKDAYS(J48,L48,Hoja2!$A$2:$A$53)
   )
)</f>
        <v>3</v>
      </c>
      <c r="N48" s="24"/>
      <c r="O48" s="24">
        <v>45985</v>
      </c>
      <c r="P48" s="24">
        <v>45992</v>
      </c>
      <c r="Q48" s="75" t="s">
        <v>176</v>
      </c>
      <c r="R48" s="160" t="s">
        <v>493</v>
      </c>
    </row>
    <row r="49" spans="1:18" ht="162" customHeight="1">
      <c r="A49" s="29" t="s">
        <v>18</v>
      </c>
      <c r="B49" s="30" t="s">
        <v>177</v>
      </c>
      <c r="C49" s="31" t="s">
        <v>178</v>
      </c>
      <c r="D49" s="32" t="s">
        <v>169</v>
      </c>
      <c r="E49" s="32"/>
      <c r="F49" s="70" t="s">
        <v>22</v>
      </c>
      <c r="G49" s="34">
        <v>100</v>
      </c>
      <c r="H49" s="35">
        <f>IF(OR(J49="",K49="",K49&lt;J49),0,NETWORKDAYS(J49,K49,Hoja2!$A$2:$A$53))</f>
        <v>3</v>
      </c>
      <c r="I49" s="37">
        <v>45985</v>
      </c>
      <c r="J49" s="37">
        <v>45985</v>
      </c>
      <c r="K49" s="38">
        <v>45987</v>
      </c>
      <c r="L49" s="38">
        <v>45987</v>
      </c>
      <c r="M49" s="39">
        <f ca="1">IF(OR(J49="",AND(L49="",TODAY()&lt;J49),AND(L49&lt;&gt;"",L49&lt;J49)),0,
   IF(L49="",
      NETWORKDAYS(J49,TODAY(),Hoja2!$A$2:$A$53),
      NETWORKDAYS(J49,L49,Hoja2!$A$2:$A$53)
   )
)</f>
        <v>3</v>
      </c>
      <c r="N49" s="38"/>
      <c r="O49" s="38">
        <v>45987</v>
      </c>
      <c r="P49" s="38">
        <v>45992</v>
      </c>
      <c r="Q49" s="76" t="s">
        <v>179</v>
      </c>
      <c r="R49" s="160" t="s">
        <v>493</v>
      </c>
    </row>
    <row r="50" spans="1:18" ht="162" customHeight="1">
      <c r="A50" s="16" t="s">
        <v>18</v>
      </c>
      <c r="B50" s="17" t="s">
        <v>180</v>
      </c>
      <c r="C50" s="18" t="s">
        <v>181</v>
      </c>
      <c r="D50" s="19" t="s">
        <v>169</v>
      </c>
      <c r="E50" s="19"/>
      <c r="F50" s="52" t="s">
        <v>22</v>
      </c>
      <c r="G50" s="21">
        <v>100</v>
      </c>
      <c r="H50" s="22">
        <f>IF(OR(J50="",K50="",K50&lt;J50),0,NETWORKDAYS(J50,K50,Hoja2!$A$2:$A$53))</f>
        <v>4</v>
      </c>
      <c r="I50" s="43">
        <v>45987</v>
      </c>
      <c r="J50" s="43">
        <v>45987</v>
      </c>
      <c r="K50" s="24">
        <v>45992</v>
      </c>
      <c r="L50" s="24">
        <v>45992</v>
      </c>
      <c r="M50" s="25">
        <f ca="1">IF(OR(J50="",AND(L50="",TODAY()&lt;J50),AND(L50&lt;&gt;"",L50&lt;J50)),0,
   IF(L50="",
      NETWORKDAYS(J50,TODAY(),Hoja2!$A$2:$A$53),
      NETWORKDAYS(J50,L50,Hoja2!$A$2:$A$53)
   )
)</f>
        <v>4</v>
      </c>
      <c r="N50" s="24"/>
      <c r="O50" s="24">
        <v>45992</v>
      </c>
      <c r="P50" s="24">
        <v>45992</v>
      </c>
      <c r="Q50" s="75" t="s">
        <v>182</v>
      </c>
      <c r="R50" s="160" t="s">
        <v>493</v>
      </c>
    </row>
    <row r="51" spans="1:18" ht="162" customHeight="1">
      <c r="A51" s="29" t="s">
        <v>18</v>
      </c>
      <c r="B51" s="30" t="s">
        <v>183</v>
      </c>
      <c r="C51" s="31" t="s">
        <v>184</v>
      </c>
      <c r="D51" s="32" t="s">
        <v>169</v>
      </c>
      <c r="E51" s="32"/>
      <c r="F51" s="70" t="s">
        <v>22</v>
      </c>
      <c r="G51" s="34">
        <v>100</v>
      </c>
      <c r="H51" s="35">
        <f>IF(OR(J51="",K51="",K51&lt;J51),0,NETWORKDAYS(J51,K51,Hoja2!$A$2:$A$53))</f>
        <v>7</v>
      </c>
      <c r="I51" s="37">
        <v>45992</v>
      </c>
      <c r="J51" s="37">
        <v>45992</v>
      </c>
      <c r="K51" s="38">
        <v>46001</v>
      </c>
      <c r="L51" s="38">
        <v>46001</v>
      </c>
      <c r="M51" s="39">
        <f ca="1">IF(OR(J51="",AND(L51="",TODAY()&lt;J51),AND(L51&lt;&gt;"",L51&lt;J51)),0,
   IF(L51="",
      NETWORKDAYS(J51,TODAY(),Hoja2!$A$2:$A$53),
      NETWORKDAYS(J51,L51,Hoja2!$A$2:$A$53)
   )
)</f>
        <v>7</v>
      </c>
      <c r="N51" s="38"/>
      <c r="O51" s="38">
        <v>46000</v>
      </c>
      <c r="P51" s="38">
        <v>46000</v>
      </c>
      <c r="Q51" s="76" t="s">
        <v>185</v>
      </c>
      <c r="R51" s="160" t="s">
        <v>493</v>
      </c>
    </row>
    <row r="52" spans="1:18" ht="162" customHeight="1">
      <c r="A52" s="16" t="s">
        <v>18</v>
      </c>
      <c r="B52" s="17" t="s">
        <v>186</v>
      </c>
      <c r="C52" s="18" t="s">
        <v>187</v>
      </c>
      <c r="D52" s="19" t="s">
        <v>169</v>
      </c>
      <c r="E52" s="19"/>
      <c r="F52" s="52" t="s">
        <v>22</v>
      </c>
      <c r="G52" s="21">
        <v>100</v>
      </c>
      <c r="H52" s="22">
        <f>IF(OR(J52="",K52="",K52&lt;J52),0,NETWORKDAYS(J52,K52,Hoja2!$A$2:$A$53))</f>
        <v>10</v>
      </c>
      <c r="I52" s="43">
        <v>46000</v>
      </c>
      <c r="J52" s="43">
        <v>46000</v>
      </c>
      <c r="K52" s="24">
        <v>46013</v>
      </c>
      <c r="L52" s="24">
        <v>46010</v>
      </c>
      <c r="M52" s="25">
        <f ca="1">IF(OR(J52="",AND(L52="",TODAY()&lt;J52),AND(L52&lt;&gt;"",L52&lt;J52)),0,
   IF(L52="",
      NETWORKDAYS(J52,TODAY(),Hoja2!$A$2:$A$53),
      NETWORKDAYS(J52,L52,Hoja2!$A$2:$A$53)
   )
)</f>
        <v>9</v>
      </c>
      <c r="N52" s="24"/>
      <c r="O52" s="24">
        <v>46010</v>
      </c>
      <c r="P52" s="24"/>
      <c r="Q52" s="75" t="s">
        <v>188</v>
      </c>
      <c r="R52" s="160" t="s">
        <v>493</v>
      </c>
    </row>
    <row r="53" spans="1:18" ht="101.25" customHeight="1">
      <c r="A53" s="29" t="s">
        <v>18</v>
      </c>
      <c r="B53" s="30" t="s">
        <v>189</v>
      </c>
      <c r="C53" s="31" t="s">
        <v>190</v>
      </c>
      <c r="D53" s="32" t="s">
        <v>191</v>
      </c>
      <c r="E53" s="32"/>
      <c r="F53" s="70" t="s">
        <v>22</v>
      </c>
      <c r="G53" s="34">
        <v>100</v>
      </c>
      <c r="H53" s="35">
        <f>IF(OR(J53="",K53="",K53&lt;J53),0,NETWORKDAYS(J53,K53,Hoja2!$A$2:$A$53))</f>
        <v>5</v>
      </c>
      <c r="I53" s="37">
        <v>46006</v>
      </c>
      <c r="J53" s="37">
        <v>46006</v>
      </c>
      <c r="K53" s="38">
        <v>46010</v>
      </c>
      <c r="L53" s="38">
        <v>46010</v>
      </c>
      <c r="M53" s="39">
        <f ca="1">IF(OR(J53="",AND(L53="",TODAY()&lt;J53),AND(L53&lt;&gt;"",L53&lt;J53)),0,
   IF(L53="",
      NETWORKDAYS(J53,TODAY(),Hoja2!$A$2:$A$53),
      NETWORKDAYS(J53,L53,Hoja2!$A$2:$A$53)
   )
)</f>
        <v>5</v>
      </c>
      <c r="N53" s="38"/>
      <c r="O53" s="38">
        <v>46010</v>
      </c>
      <c r="P53" s="38"/>
      <c r="Q53" s="76" t="s">
        <v>192</v>
      </c>
      <c r="R53" s="160" t="s">
        <v>493</v>
      </c>
    </row>
    <row r="54" spans="1:18" ht="110.25" customHeight="1">
      <c r="A54" s="16" t="s">
        <v>18</v>
      </c>
      <c r="B54" s="17" t="s">
        <v>193</v>
      </c>
      <c r="C54" s="18" t="s">
        <v>194</v>
      </c>
      <c r="D54" s="19" t="s">
        <v>195</v>
      </c>
      <c r="E54" s="19"/>
      <c r="F54" s="52" t="s">
        <v>22</v>
      </c>
      <c r="G54" s="64">
        <v>100</v>
      </c>
      <c r="H54" s="22">
        <f>IF(OR(J54="",K54="",K54&lt;J54),0,NETWORKDAYS(J54,K54,Hoja2!$A$2:$A$53))</f>
        <v>11</v>
      </c>
      <c r="I54" s="43">
        <v>46002</v>
      </c>
      <c r="J54" s="43">
        <v>46002</v>
      </c>
      <c r="K54" s="24">
        <v>46017</v>
      </c>
      <c r="L54" s="24">
        <v>46020</v>
      </c>
      <c r="M54" s="25">
        <f ca="1">IF(OR(J54="",AND(L54="",TODAY()&lt;J54),AND(L54&lt;&gt;"",L54&lt;J54)),0,
   IF(L54="",
      NETWORKDAYS(J54,TODAY(),Hoja2!$A$2:$A$53),
      NETWORKDAYS(J54,L54,Hoja2!$A$2:$A$53)
   )
)</f>
        <v>12</v>
      </c>
      <c r="N54" s="24"/>
      <c r="O54" s="24">
        <v>46020</v>
      </c>
      <c r="P54" s="24"/>
      <c r="Q54" s="75" t="s">
        <v>196</v>
      </c>
      <c r="R54" s="160" t="s">
        <v>493</v>
      </c>
    </row>
    <row r="55" spans="1:18" ht="162" customHeight="1">
      <c r="A55" s="29" t="s">
        <v>18</v>
      </c>
      <c r="B55" s="30" t="s">
        <v>197</v>
      </c>
      <c r="C55" s="31" t="s">
        <v>198</v>
      </c>
      <c r="D55" s="32" t="s">
        <v>191</v>
      </c>
      <c r="E55" s="32"/>
      <c r="F55" s="70" t="s">
        <v>22</v>
      </c>
      <c r="G55" s="34">
        <v>100</v>
      </c>
      <c r="H55" s="35">
        <f>IF(OR(J55="",K55="",K55&lt;J55),0,NETWORKDAYS(J55,K55,Hoja2!$A$2:$A$53))</f>
        <v>5</v>
      </c>
      <c r="I55" s="37">
        <v>46010</v>
      </c>
      <c r="J55" s="37">
        <v>46010</v>
      </c>
      <c r="K55" s="38">
        <v>46017</v>
      </c>
      <c r="L55" s="38">
        <v>46020</v>
      </c>
      <c r="M55" s="39">
        <f ca="1">IF(OR(J55="",AND(L55="",TODAY()&lt;J55),AND(L55&lt;&gt;"",L55&lt;J55)),0,
   IF(L55="",
      NETWORKDAYS(J55,TODAY(),Hoja2!$A$2:$A$53),
      NETWORKDAYS(J55,L55,Hoja2!$A$2:$A$53)
   )
)</f>
        <v>6</v>
      </c>
      <c r="N55" s="38"/>
      <c r="O55" s="38">
        <v>46020</v>
      </c>
      <c r="P55" s="38">
        <v>46092</v>
      </c>
      <c r="Q55" s="76" t="s">
        <v>199</v>
      </c>
      <c r="R55" s="160" t="s">
        <v>493</v>
      </c>
    </row>
    <row r="56" spans="1:18" ht="162" customHeight="1">
      <c r="A56" s="16" t="s">
        <v>18</v>
      </c>
      <c r="B56" s="17" t="s">
        <v>200</v>
      </c>
      <c r="C56" s="18" t="s">
        <v>201</v>
      </c>
      <c r="D56" s="19" t="s">
        <v>191</v>
      </c>
      <c r="E56" s="19"/>
      <c r="F56" s="52" t="s">
        <v>22</v>
      </c>
      <c r="G56" s="21">
        <v>100</v>
      </c>
      <c r="H56" s="22">
        <f>IF(OR(J56="",K56="",K56&lt;J56),0,NETWORKDAYS(J56,K56,Hoja2!$A$2:$A$53))</f>
        <v>8</v>
      </c>
      <c r="I56" s="43">
        <v>46021</v>
      </c>
      <c r="J56" s="43">
        <v>46021</v>
      </c>
      <c r="K56" s="24">
        <v>46031</v>
      </c>
      <c r="L56" s="24">
        <v>46035</v>
      </c>
      <c r="M56" s="25">
        <f ca="1">IF(OR(J56="",AND(L56="",TODAY()&lt;J56),AND(L56&lt;&gt;"",L56&lt;J56)),0,
   IF(L56="",
      NETWORKDAYS(J56,TODAY(),Hoja2!$A$2:$A$53),
      NETWORKDAYS(J56,L56,Hoja2!$A$2:$A$53)
   )
)</f>
        <v>9</v>
      </c>
      <c r="N56" s="24"/>
      <c r="O56" s="24">
        <v>46035</v>
      </c>
      <c r="P56" s="24">
        <v>46092</v>
      </c>
      <c r="Q56" s="75" t="s">
        <v>202</v>
      </c>
      <c r="R56" s="160" t="s">
        <v>493</v>
      </c>
    </row>
    <row r="57" spans="1:18" ht="110.25" customHeight="1">
      <c r="A57" s="29" t="s">
        <v>18</v>
      </c>
      <c r="B57" s="30" t="s">
        <v>203</v>
      </c>
      <c r="C57" s="31" t="s">
        <v>204</v>
      </c>
      <c r="D57" s="32" t="s">
        <v>205</v>
      </c>
      <c r="E57" s="32"/>
      <c r="F57" s="70" t="s">
        <v>22</v>
      </c>
      <c r="G57" s="74">
        <v>100</v>
      </c>
      <c r="H57" s="35">
        <f>IF(OR(J57="",K57="",K57&lt;J57),0,NETWORKDAYS(J57,K57,Hoja2!$A$2:$A$53))</f>
        <v>2</v>
      </c>
      <c r="I57" s="37">
        <v>46028</v>
      </c>
      <c r="J57" s="37">
        <v>46028</v>
      </c>
      <c r="K57" s="38">
        <v>46029</v>
      </c>
      <c r="L57" s="38">
        <v>46029</v>
      </c>
      <c r="M57" s="39">
        <f ca="1">IF(OR(J57="",AND(L57="",TODAY()&lt;J57),AND(L57&lt;&gt;"",L57&lt;J57)),0,
   IF(L57="",
      NETWORKDAYS(J57,TODAY(),Hoja2!$A$2:$A$53),
      NETWORKDAYS(J57,L57,Hoja2!$A$2:$A$53)
   )
)</f>
        <v>2</v>
      </c>
      <c r="N57" s="38"/>
      <c r="O57" s="38">
        <v>46029</v>
      </c>
      <c r="P57" s="38">
        <v>46029</v>
      </c>
      <c r="Q57" s="76" t="s">
        <v>206</v>
      </c>
      <c r="R57" s="160" t="s">
        <v>493</v>
      </c>
    </row>
    <row r="58" spans="1:18" ht="162" customHeight="1">
      <c r="A58" s="16" t="s">
        <v>18</v>
      </c>
      <c r="B58" s="17" t="s">
        <v>207</v>
      </c>
      <c r="C58" s="18" t="s">
        <v>208</v>
      </c>
      <c r="D58" s="19" t="s">
        <v>191</v>
      </c>
      <c r="E58" s="19"/>
      <c r="F58" s="52" t="s">
        <v>22</v>
      </c>
      <c r="G58" s="21">
        <v>100</v>
      </c>
      <c r="H58" s="22">
        <f>IF(OR(J58="",K58="",K58&lt;J58),0,NETWORKDAYS(J58,K58,Hoja2!$A$2:$A$53))</f>
        <v>4</v>
      </c>
      <c r="I58" s="43">
        <v>46036</v>
      </c>
      <c r="J58" s="43">
        <v>46036</v>
      </c>
      <c r="K58" s="24">
        <v>46041</v>
      </c>
      <c r="L58" s="24">
        <v>46038</v>
      </c>
      <c r="M58" s="25">
        <f ca="1">IF(OR(J58="",AND(L58="",TODAY()&lt;J58),AND(L58&lt;&gt;"",L58&lt;J58)),0,
   IF(L58="",
      NETWORKDAYS(J58,TODAY(),Hoja2!$A$2:$A$53),
      NETWORKDAYS(J58,L58,Hoja2!$A$2:$A$53)
   )
)</f>
        <v>3</v>
      </c>
      <c r="N58" s="24"/>
      <c r="O58" s="24">
        <v>46038</v>
      </c>
      <c r="P58" s="24">
        <v>46092</v>
      </c>
      <c r="Q58" s="75" t="s">
        <v>209</v>
      </c>
      <c r="R58" s="160" t="s">
        <v>493</v>
      </c>
    </row>
    <row r="59" spans="1:18" ht="110.25" customHeight="1">
      <c r="A59" s="29" t="s">
        <v>18</v>
      </c>
      <c r="B59" s="30" t="s">
        <v>210</v>
      </c>
      <c r="C59" s="31" t="s">
        <v>211</v>
      </c>
      <c r="D59" s="32" t="s">
        <v>212</v>
      </c>
      <c r="E59" s="32"/>
      <c r="F59" s="70" t="s">
        <v>22</v>
      </c>
      <c r="G59" s="74">
        <v>100</v>
      </c>
      <c r="H59" s="35">
        <f>IF(OR(J59="",K59="",K59&lt;J59),0,NETWORKDAYS(J59,K59,Hoja2!$A$2:$A$53))</f>
        <v>1</v>
      </c>
      <c r="I59" s="37">
        <v>46035</v>
      </c>
      <c r="J59" s="37">
        <v>46036</v>
      </c>
      <c r="K59" s="38">
        <v>46036</v>
      </c>
      <c r="L59" s="38">
        <v>46036</v>
      </c>
      <c r="M59" s="39">
        <f ca="1">IF(OR(J59="",AND(L59="",TODAY()&lt;J59),AND(L59&lt;&gt;"",L59&lt;J59)),0,
   IF(L59="",
      NETWORKDAYS(J59,TODAY(),Hoja2!$A$2:$A$53),
      NETWORKDAYS(J59,L59,Hoja2!$A$2:$A$53)
   )
)</f>
        <v>1</v>
      </c>
      <c r="N59" s="38"/>
      <c r="O59" s="38">
        <v>46036</v>
      </c>
      <c r="P59" s="38">
        <v>46036</v>
      </c>
      <c r="Q59" s="76" t="s">
        <v>213</v>
      </c>
      <c r="R59" s="160" t="s">
        <v>493</v>
      </c>
    </row>
    <row r="60" spans="1:18" ht="162" customHeight="1">
      <c r="A60" s="16" t="s">
        <v>18</v>
      </c>
      <c r="B60" s="17" t="s">
        <v>214</v>
      </c>
      <c r="C60" s="18" t="s">
        <v>215</v>
      </c>
      <c r="D60" s="19" t="s">
        <v>191</v>
      </c>
      <c r="E60" s="19"/>
      <c r="F60" s="52" t="s">
        <v>22</v>
      </c>
      <c r="G60" s="21">
        <v>100</v>
      </c>
      <c r="H60" s="22">
        <f>IF(OR(J60="",K60="",K60&lt;J60),0,NETWORKDAYS(J60,K60,Hoja2!$A$2:$A$53))</f>
        <v>4</v>
      </c>
      <c r="I60" s="43">
        <v>46041</v>
      </c>
      <c r="J60" s="43">
        <v>46041</v>
      </c>
      <c r="K60" s="24">
        <v>46044</v>
      </c>
      <c r="L60" s="24">
        <v>46050</v>
      </c>
      <c r="M60" s="25">
        <f ca="1">IF(OR(J60="",AND(L60="",TODAY()&lt;J60),AND(L60&lt;&gt;"",L60&lt;J60)),0,
   IF(L60="",
      NETWORKDAYS(J60,TODAY(),Hoja2!$A$2:$A$53),
      NETWORKDAYS(J60,L60,Hoja2!$A$2:$A$53)
   )
)</f>
        <v>8</v>
      </c>
      <c r="N60" s="24"/>
      <c r="O60" s="24">
        <v>46050</v>
      </c>
      <c r="P60" s="24">
        <v>46092</v>
      </c>
      <c r="Q60" s="75" t="s">
        <v>216</v>
      </c>
      <c r="R60" s="160" t="s">
        <v>493</v>
      </c>
    </row>
    <row r="61" spans="1:18" ht="162" customHeight="1">
      <c r="A61" s="29" t="s">
        <v>18</v>
      </c>
      <c r="B61" s="30" t="s">
        <v>217</v>
      </c>
      <c r="C61" s="31" t="s">
        <v>218</v>
      </c>
      <c r="D61" s="32" t="s">
        <v>191</v>
      </c>
      <c r="E61" s="32"/>
      <c r="F61" s="70" t="s">
        <v>22</v>
      </c>
      <c r="G61" s="34">
        <v>100</v>
      </c>
      <c r="H61" s="35">
        <f>IF(OR(J61="",K61="",K61&lt;J61),0,NETWORKDAYS(J61,K61,Hoja2!$A$2:$A$53))</f>
        <v>1</v>
      </c>
      <c r="I61" s="37">
        <v>46042</v>
      </c>
      <c r="J61" s="37">
        <v>46042</v>
      </c>
      <c r="K61" s="38">
        <v>46042</v>
      </c>
      <c r="L61" s="38">
        <v>46042</v>
      </c>
      <c r="M61" s="39">
        <f ca="1">IF(OR(J61="",AND(L61="",TODAY()&lt;J61),AND(L61&lt;&gt;"",L61&lt;J61)),0,
   IF(L61="",
      NETWORKDAYS(J61,TODAY(),Hoja2!$A$2:$A$53),
      NETWORKDAYS(J61,L61,Hoja2!$A$2:$A$53)
   )
)</f>
        <v>1</v>
      </c>
      <c r="N61" s="38"/>
      <c r="O61" s="38">
        <v>46042</v>
      </c>
      <c r="P61" s="38">
        <v>46042</v>
      </c>
      <c r="Q61" s="76" t="s">
        <v>219</v>
      </c>
      <c r="R61" s="160" t="s">
        <v>493</v>
      </c>
    </row>
    <row r="62" spans="1:18" ht="110.25" customHeight="1">
      <c r="A62" s="16" t="s">
        <v>18</v>
      </c>
      <c r="B62" s="17" t="s">
        <v>220</v>
      </c>
      <c r="C62" s="18" t="s">
        <v>211</v>
      </c>
      <c r="D62" s="19" t="s">
        <v>221</v>
      </c>
      <c r="E62" s="19"/>
      <c r="F62" s="52" t="s">
        <v>22</v>
      </c>
      <c r="G62" s="64">
        <v>100</v>
      </c>
      <c r="H62" s="22">
        <f>IF(OR(J62="",K62="",K62&lt;J62),0,NETWORKDAYS(J62,K62,Hoja2!$A$2:$A$53))</f>
        <v>1</v>
      </c>
      <c r="I62" s="43">
        <v>46042</v>
      </c>
      <c r="J62" s="43">
        <v>46042</v>
      </c>
      <c r="K62" s="24">
        <v>46042</v>
      </c>
      <c r="L62" s="24">
        <v>46042</v>
      </c>
      <c r="M62" s="25">
        <f ca="1">IF(OR(J62="",AND(L62="",TODAY()&lt;J62),AND(L62&lt;&gt;"",L62&lt;J62)),0,
   IF(L62="",
      NETWORKDAYS(J62,TODAY(),Hoja2!$A$2:$A$53),
      NETWORKDAYS(J62,L62,Hoja2!$A$2:$A$53)
   )
)</f>
        <v>1</v>
      </c>
      <c r="N62" s="24"/>
      <c r="O62" s="24">
        <v>46042</v>
      </c>
      <c r="P62" s="24">
        <v>46042</v>
      </c>
      <c r="Q62" s="75" t="s">
        <v>222</v>
      </c>
      <c r="R62" s="160" t="s">
        <v>493</v>
      </c>
    </row>
    <row r="63" spans="1:18" ht="162" customHeight="1">
      <c r="A63" s="29" t="s">
        <v>18</v>
      </c>
      <c r="B63" s="30" t="s">
        <v>223</v>
      </c>
      <c r="C63" s="31" t="s">
        <v>224</v>
      </c>
      <c r="D63" s="32" t="s">
        <v>191</v>
      </c>
      <c r="E63" s="32"/>
      <c r="F63" s="70" t="s">
        <v>22</v>
      </c>
      <c r="G63" s="34">
        <v>100</v>
      </c>
      <c r="H63" s="35">
        <f>IF(OR(J63="",K63="",K63&lt;J63),0,NETWORKDAYS(J63,K63,Hoja2!$A$2:$A$53))</f>
        <v>3</v>
      </c>
      <c r="I63" s="37">
        <v>46043</v>
      </c>
      <c r="J63" s="37">
        <v>46043</v>
      </c>
      <c r="K63" s="38">
        <v>46045</v>
      </c>
      <c r="L63" s="38">
        <v>46050</v>
      </c>
      <c r="M63" s="39">
        <f ca="1">IF(OR(J63="",AND(L63="",TODAY()&lt;J63),AND(L63&lt;&gt;"",L63&lt;J63)),0,
   IF(L63="",
      NETWORKDAYS(J63,TODAY(),Hoja2!$A$2:$A$53),
      NETWORKDAYS(J63,L63,Hoja2!$A$2:$A$53)
   )
)</f>
        <v>6</v>
      </c>
      <c r="N63" s="38"/>
      <c r="O63" s="38">
        <v>46050</v>
      </c>
      <c r="P63" s="38">
        <v>46092</v>
      </c>
      <c r="Q63" s="76" t="s">
        <v>225</v>
      </c>
      <c r="R63" s="160" t="s">
        <v>493</v>
      </c>
    </row>
    <row r="64" spans="1:18" ht="132.75" customHeight="1">
      <c r="A64" s="16" t="s">
        <v>18</v>
      </c>
      <c r="B64" s="17" t="s">
        <v>226</v>
      </c>
      <c r="C64" s="18" t="s">
        <v>227</v>
      </c>
      <c r="D64" s="19" t="s">
        <v>228</v>
      </c>
      <c r="E64" s="19"/>
      <c r="F64" s="52" t="s">
        <v>22</v>
      </c>
      <c r="G64" s="64">
        <v>100</v>
      </c>
      <c r="H64" s="22">
        <f>IF(OR(J64="",K64="",K64&lt;J64),0,NETWORKDAYS(J64,K64,Hoja2!$A$2:$A$53))</f>
        <v>2</v>
      </c>
      <c r="I64" s="43">
        <v>46044</v>
      </c>
      <c r="J64" s="43">
        <v>46044</v>
      </c>
      <c r="K64" s="24">
        <v>46045</v>
      </c>
      <c r="L64" s="24">
        <v>46045</v>
      </c>
      <c r="M64" s="25">
        <f ca="1">IF(OR(J64="",AND(L64="",TODAY()&lt;J64),AND(L64&lt;&gt;"",L64&lt;J64)),0,
   IF(L64="",
      NETWORKDAYS(J64,TODAY(),Hoja2!$A$2:$A$53),
      NETWORKDAYS(J64,L64,Hoja2!$A$2:$A$53)
   )
)</f>
        <v>2</v>
      </c>
      <c r="N64" s="24"/>
      <c r="O64" s="24">
        <v>46045</v>
      </c>
      <c r="P64" s="24">
        <v>46045</v>
      </c>
      <c r="Q64" s="75" t="s">
        <v>229</v>
      </c>
      <c r="R64" s="160" t="s">
        <v>493</v>
      </c>
    </row>
    <row r="65" spans="1:18" ht="132.75" customHeight="1">
      <c r="A65" s="29" t="s">
        <v>18</v>
      </c>
      <c r="B65" s="30" t="s">
        <v>230</v>
      </c>
      <c r="C65" s="31" t="s">
        <v>231</v>
      </c>
      <c r="D65" s="32" t="s">
        <v>232</v>
      </c>
      <c r="E65" s="32"/>
      <c r="F65" s="70" t="s">
        <v>22</v>
      </c>
      <c r="G65" s="74">
        <v>100</v>
      </c>
      <c r="H65" s="35">
        <f>IF(OR(J65="",K65="",K65&lt;J65),0,NETWORKDAYS(J65,K65,Hoja2!$A$2:$A$53))</f>
        <v>1</v>
      </c>
      <c r="I65" s="37">
        <v>46044</v>
      </c>
      <c r="J65" s="37">
        <v>46044</v>
      </c>
      <c r="K65" s="38">
        <v>46044</v>
      </c>
      <c r="L65" s="38">
        <v>46044</v>
      </c>
      <c r="M65" s="39">
        <f ca="1">IF(OR(J65="",AND(L65="",TODAY()&lt;J65),AND(L65&lt;&gt;"",L65&lt;J65)),0,
   IF(L65="",
      NETWORKDAYS(J65,TODAY(),Hoja2!$A$2:$A$53),
      NETWORKDAYS(J65,L65,Hoja2!$A$2:$A$53)
   )
)</f>
        <v>1</v>
      </c>
      <c r="N65" s="38"/>
      <c r="O65" s="38">
        <v>46044</v>
      </c>
      <c r="P65" s="38">
        <v>46044</v>
      </c>
      <c r="Q65" s="76" t="s">
        <v>233</v>
      </c>
      <c r="R65" s="160" t="s">
        <v>493</v>
      </c>
    </row>
    <row r="66" spans="1:18" ht="162" customHeight="1">
      <c r="A66" s="16" t="s">
        <v>18</v>
      </c>
      <c r="B66" s="17" t="s">
        <v>234</v>
      </c>
      <c r="C66" s="18" t="s">
        <v>235</v>
      </c>
      <c r="D66" s="19" t="s">
        <v>191</v>
      </c>
      <c r="E66" s="19"/>
      <c r="F66" s="52" t="s">
        <v>22</v>
      </c>
      <c r="G66" s="21">
        <v>100</v>
      </c>
      <c r="H66" s="22">
        <f>IF(OR(J66="",K66="",K66&lt;J66),0,NETWORKDAYS(J66,K66,Hoja2!$A$2:$A$53))</f>
        <v>6</v>
      </c>
      <c r="I66" s="43">
        <v>46045</v>
      </c>
      <c r="J66" s="43">
        <v>46045</v>
      </c>
      <c r="K66" s="24">
        <v>46052</v>
      </c>
      <c r="L66" s="24">
        <v>46050</v>
      </c>
      <c r="M66" s="25">
        <f ca="1">IF(OR(J66="",AND(L66="",TODAY()&lt;J66),AND(L66&lt;&gt;"",L66&lt;J66)),0,
   IF(L66="",
      NETWORKDAYS(J66,TODAY(),Hoja2!$A$2:$A$53),
      NETWORKDAYS(J66,L66,Hoja2!$A$2:$A$53)
   )
)</f>
        <v>4</v>
      </c>
      <c r="N66" s="24"/>
      <c r="O66" s="24">
        <v>46050</v>
      </c>
      <c r="P66" s="24">
        <v>46092</v>
      </c>
      <c r="Q66" s="75" t="s">
        <v>236</v>
      </c>
      <c r="R66" s="160" t="s">
        <v>493</v>
      </c>
    </row>
    <row r="67" spans="1:18" ht="162" customHeight="1">
      <c r="A67" s="29" t="s">
        <v>18</v>
      </c>
      <c r="B67" s="30" t="s">
        <v>237</v>
      </c>
      <c r="C67" s="31" t="s">
        <v>238</v>
      </c>
      <c r="D67" s="32" t="s">
        <v>191</v>
      </c>
      <c r="E67" s="32"/>
      <c r="F67" s="70" t="s">
        <v>22</v>
      </c>
      <c r="G67" s="34">
        <v>100</v>
      </c>
      <c r="H67" s="35">
        <f>IF(OR(J67="",K67="",K67&lt;J67),0,NETWORKDAYS(J67,K67,Hoja2!$A$2:$A$53))</f>
        <v>2</v>
      </c>
      <c r="I67" s="37">
        <v>46050</v>
      </c>
      <c r="J67" s="37">
        <v>46050</v>
      </c>
      <c r="K67" s="38">
        <v>46051</v>
      </c>
      <c r="L67" s="38">
        <v>46056</v>
      </c>
      <c r="M67" s="39">
        <f ca="1">IF(OR(J67="",AND(L67="",TODAY()&lt;J67),AND(L67&lt;&gt;"",L67&lt;J67)),0,
   IF(L67="",
      NETWORKDAYS(J67,TODAY(),Hoja2!$A$2:$A$53),
      NETWORKDAYS(J67,L67,Hoja2!$A$2:$A$53)
   )
)</f>
        <v>5</v>
      </c>
      <c r="N67" s="38"/>
      <c r="O67" s="38">
        <v>46051</v>
      </c>
      <c r="P67" s="38">
        <v>46092</v>
      </c>
      <c r="Q67" s="76" t="s">
        <v>239</v>
      </c>
      <c r="R67" s="160" t="s">
        <v>493</v>
      </c>
    </row>
    <row r="68" spans="1:18" ht="162" customHeight="1">
      <c r="A68" s="16" t="s">
        <v>18</v>
      </c>
      <c r="B68" s="17" t="s">
        <v>240</v>
      </c>
      <c r="C68" s="18" t="s">
        <v>241</v>
      </c>
      <c r="D68" s="19" t="s">
        <v>191</v>
      </c>
      <c r="E68" s="19"/>
      <c r="F68" s="52" t="s">
        <v>22</v>
      </c>
      <c r="G68" s="21">
        <v>100</v>
      </c>
      <c r="H68" s="22">
        <f>IF(OR(J68="",K68="",K68&lt;J68),0,NETWORKDAYS(J68,K68,Hoja2!$A$2:$A$53))</f>
        <v>2</v>
      </c>
      <c r="I68" s="43">
        <v>46051</v>
      </c>
      <c r="J68" s="43">
        <v>46051</v>
      </c>
      <c r="K68" s="24">
        <v>46052</v>
      </c>
      <c r="L68" s="24">
        <v>46056</v>
      </c>
      <c r="M68" s="25">
        <f ca="1">IF(OR(J68="",AND(L68="",TODAY()&lt;J68),AND(L68&lt;&gt;"",L68&lt;J68)),0,
   IF(L68="",
      NETWORKDAYS(J68,TODAY(),Hoja2!$A$2:$A$53),
      NETWORKDAYS(J68,L68,Hoja2!$A$2:$A$53)
   )
)</f>
        <v>4</v>
      </c>
      <c r="N68" s="24"/>
      <c r="O68" s="24">
        <v>46051</v>
      </c>
      <c r="P68" s="24">
        <v>46092</v>
      </c>
      <c r="Q68" s="75" t="s">
        <v>239</v>
      </c>
      <c r="R68" s="160" t="s">
        <v>493</v>
      </c>
    </row>
    <row r="69" spans="1:18" ht="132.75" customHeight="1">
      <c r="A69" s="29" t="s">
        <v>18</v>
      </c>
      <c r="B69" s="30" t="s">
        <v>242</v>
      </c>
      <c r="C69" s="31" t="s">
        <v>243</v>
      </c>
      <c r="D69" s="32" t="s">
        <v>244</v>
      </c>
      <c r="E69" s="32"/>
      <c r="F69" s="70" t="s">
        <v>22</v>
      </c>
      <c r="G69" s="74">
        <v>100</v>
      </c>
      <c r="H69" s="35">
        <v>1</v>
      </c>
      <c r="I69" s="37">
        <v>46045</v>
      </c>
      <c r="J69" s="37">
        <v>46048</v>
      </c>
      <c r="K69" s="38">
        <v>46048</v>
      </c>
      <c r="L69" s="38">
        <v>46048</v>
      </c>
      <c r="M69" s="39">
        <f ca="1">IF(OR(J69="",AND(L69="",TODAY()&lt;J69),AND(L69&lt;&gt;"",L69&lt;J69)),0,
   IF(L69="",
      NETWORKDAYS(J69,TODAY(),Hoja2!$A$2:$A$53),
      NETWORKDAYS(J69,L69,Hoja2!$A$2:$A$53)
   )
)</f>
        <v>1</v>
      </c>
      <c r="N69" s="38"/>
      <c r="O69" s="38">
        <v>46048</v>
      </c>
      <c r="P69" s="38">
        <v>46048</v>
      </c>
      <c r="Q69" s="76" t="s">
        <v>245</v>
      </c>
      <c r="R69" s="160" t="s">
        <v>493</v>
      </c>
    </row>
    <row r="70" spans="1:18" ht="162" customHeight="1">
      <c r="A70" s="16" t="s">
        <v>18</v>
      </c>
      <c r="B70" s="17" t="s">
        <v>246</v>
      </c>
      <c r="C70" s="18" t="s">
        <v>247</v>
      </c>
      <c r="D70" s="19" t="s">
        <v>191</v>
      </c>
      <c r="E70" s="19"/>
      <c r="F70" s="52" t="s">
        <v>22</v>
      </c>
      <c r="G70" s="21">
        <v>100</v>
      </c>
      <c r="H70" s="22">
        <f>IF(OR(J70="",K70="",K70&lt;J70),0,NETWORKDAYS(J70,K70,Hoja2!$A$2:$A$53))</f>
        <v>2</v>
      </c>
      <c r="I70" s="43">
        <v>46056</v>
      </c>
      <c r="J70" s="43">
        <v>46056</v>
      </c>
      <c r="K70" s="24">
        <v>46057</v>
      </c>
      <c r="L70" s="24">
        <v>46057</v>
      </c>
      <c r="M70" s="25">
        <f ca="1">IF(OR(J70="",AND(L70="",TODAY()&lt;J70),AND(L70&lt;&gt;"",L70&lt;J70)),0,
   IF(L70="",
      NETWORKDAYS(J70,TODAY(),Hoja2!$A$2:$A$53),
      NETWORKDAYS(J70,L70,Hoja2!$A$2:$A$53)
   )
)</f>
        <v>2</v>
      </c>
      <c r="N70" s="24"/>
      <c r="O70" s="24">
        <v>46057</v>
      </c>
      <c r="P70" s="24">
        <v>46092</v>
      </c>
      <c r="Q70" s="75" t="s">
        <v>248</v>
      </c>
      <c r="R70" s="160" t="s">
        <v>493</v>
      </c>
    </row>
    <row r="71" spans="1:18" ht="162" customHeight="1">
      <c r="A71" s="29" t="s">
        <v>18</v>
      </c>
      <c r="B71" s="30" t="s">
        <v>249</v>
      </c>
      <c r="C71" s="31" t="s">
        <v>250</v>
      </c>
      <c r="D71" s="32" t="s">
        <v>232</v>
      </c>
      <c r="E71" s="32"/>
      <c r="F71" s="70" t="s">
        <v>22</v>
      </c>
      <c r="G71" s="34">
        <v>100</v>
      </c>
      <c r="H71" s="35">
        <v>2</v>
      </c>
      <c r="I71" s="37">
        <v>46057</v>
      </c>
      <c r="J71" s="37">
        <v>46057</v>
      </c>
      <c r="K71" s="38">
        <v>46057</v>
      </c>
      <c r="L71" s="38">
        <v>46059</v>
      </c>
      <c r="M71" s="39">
        <f ca="1">IF(OR(J71="",AND(L71="",TODAY()&lt;J71),AND(L71&lt;&gt;"",L71&lt;J71)),0,
   IF(L71="",
      NETWORKDAYS(J71,TODAY(),Hoja2!$A$2:$A$53),
      NETWORKDAYS(J71,L71,Hoja2!$A$2:$A$53)
   )
)</f>
        <v>3</v>
      </c>
      <c r="N71" s="38"/>
      <c r="O71" s="38">
        <v>46057</v>
      </c>
      <c r="P71" s="38">
        <v>46070</v>
      </c>
      <c r="Q71" s="76" t="s">
        <v>251</v>
      </c>
      <c r="R71" s="160" t="s">
        <v>493</v>
      </c>
    </row>
    <row r="72" spans="1:18" ht="162" customHeight="1">
      <c r="A72" s="16" t="s">
        <v>18</v>
      </c>
      <c r="B72" s="17" t="s">
        <v>252</v>
      </c>
      <c r="C72" s="18" t="s">
        <v>253</v>
      </c>
      <c r="D72" s="19" t="s">
        <v>232</v>
      </c>
      <c r="E72" s="19"/>
      <c r="F72" s="52" t="s">
        <v>22</v>
      </c>
      <c r="G72" s="21">
        <v>100</v>
      </c>
      <c r="H72" s="22">
        <f>IF(OR(J72="",K72="",K72&lt;J72),0,NETWORKDAYS(J72,K72,Hoja2!$A$2:$A$53))</f>
        <v>1</v>
      </c>
      <c r="I72" s="43">
        <v>46057</v>
      </c>
      <c r="J72" s="43">
        <v>46057</v>
      </c>
      <c r="K72" s="24">
        <v>46057</v>
      </c>
      <c r="L72" s="24">
        <v>46058</v>
      </c>
      <c r="M72" s="25">
        <f ca="1">IF(OR(J72="",AND(L72="",TODAY()&lt;J72),AND(L72&lt;&gt;"",L72&lt;J72)),0,
   IF(L72="",
      NETWORKDAYS(J72,TODAY(),Hoja2!$A$2:$A$53),
      NETWORKDAYS(J72,L72,Hoja2!$A$2:$A$53)
   )
)</f>
        <v>2</v>
      </c>
      <c r="N72" s="24"/>
      <c r="O72" s="24">
        <v>46058</v>
      </c>
      <c r="P72" s="24">
        <v>46058</v>
      </c>
      <c r="Q72" s="75" t="s">
        <v>254</v>
      </c>
      <c r="R72" s="160" t="s">
        <v>493</v>
      </c>
    </row>
    <row r="73" spans="1:18" ht="162" customHeight="1">
      <c r="A73" s="29" t="s">
        <v>18</v>
      </c>
      <c r="B73" s="30" t="s">
        <v>255</v>
      </c>
      <c r="C73" s="31" t="s">
        <v>256</v>
      </c>
      <c r="D73" s="32" t="s">
        <v>134</v>
      </c>
      <c r="E73" s="32"/>
      <c r="F73" s="70" t="s">
        <v>22</v>
      </c>
      <c r="G73" s="34">
        <v>100</v>
      </c>
      <c r="H73" s="35">
        <f>IF(OR(J73="",K73="",K73&lt;J73),0,NETWORKDAYS(J73,K73,Hoja2!$A$2:$A$53))</f>
        <v>2</v>
      </c>
      <c r="I73" s="37">
        <v>46059</v>
      </c>
      <c r="J73" s="37">
        <v>46059</v>
      </c>
      <c r="K73" s="38">
        <v>46062</v>
      </c>
      <c r="L73" s="38">
        <v>46062</v>
      </c>
      <c r="M73" s="39">
        <f ca="1">IF(OR(J73="",AND(L73="",TODAY()&lt;J73),AND(L73&lt;&gt;"",L73&lt;J73)),0,
   IF(L73="",
      NETWORKDAYS(J73,TODAY(),Hoja2!$A$2:$A$53),
      NETWORKDAYS(J73,L73,Hoja2!$A$2:$A$53)
   )
)</f>
        <v>2</v>
      </c>
      <c r="N73" s="38"/>
      <c r="O73" s="38">
        <v>46062</v>
      </c>
      <c r="P73" s="38">
        <v>46062</v>
      </c>
      <c r="Q73" s="76" t="s">
        <v>257</v>
      </c>
      <c r="R73" s="160" t="s">
        <v>493</v>
      </c>
    </row>
    <row r="74" spans="1:18" ht="144" customHeight="1">
      <c r="A74" s="16" t="s">
        <v>18</v>
      </c>
      <c r="B74" s="17" t="s">
        <v>258</v>
      </c>
      <c r="C74" s="18" t="s">
        <v>259</v>
      </c>
      <c r="D74" s="19" t="s">
        <v>260</v>
      </c>
      <c r="E74" s="19"/>
      <c r="F74" s="52" t="s">
        <v>22</v>
      </c>
      <c r="G74" s="21">
        <v>100</v>
      </c>
      <c r="H74" s="22">
        <f>IF(OR(J74="",K74="",K74&lt;J74),0,NETWORKDAYS(J74,K74,Hoja2!$A$2:$A$53))</f>
        <v>3</v>
      </c>
      <c r="I74" s="43">
        <v>46062</v>
      </c>
      <c r="J74" s="43">
        <v>46063</v>
      </c>
      <c r="K74" s="24">
        <v>46065</v>
      </c>
      <c r="L74" s="24">
        <v>46070</v>
      </c>
      <c r="M74" s="25">
        <f ca="1">IF(OR(J74="",AND(L74="",TODAY()&lt;J74),AND(L74&lt;&gt;"",L74&lt;J74)),0,
   IF(L74="",
      NETWORKDAYS(J74,TODAY(),Hoja2!$A$2:$A$53),
      NETWORKDAYS(J74,L74,Hoja2!$A$2:$A$53)
   )
)</f>
        <v>6</v>
      </c>
      <c r="N74" s="24"/>
      <c r="O74" s="24">
        <v>46070</v>
      </c>
      <c r="P74" s="24">
        <v>46070</v>
      </c>
      <c r="Q74" s="75" t="s">
        <v>261</v>
      </c>
      <c r="R74" s="160" t="s">
        <v>493</v>
      </c>
    </row>
    <row r="75" spans="1:18" ht="162" customHeight="1">
      <c r="A75" s="29" t="s">
        <v>18</v>
      </c>
      <c r="B75" s="30" t="s">
        <v>262</v>
      </c>
      <c r="C75" s="31" t="s">
        <v>263</v>
      </c>
      <c r="D75" s="32" t="s">
        <v>134</v>
      </c>
      <c r="E75" s="32"/>
      <c r="F75" s="70" t="s">
        <v>22</v>
      </c>
      <c r="G75" s="34">
        <v>100</v>
      </c>
      <c r="H75" s="35">
        <f>IF(OR(J75="",K75="",K75&lt;J75),0,NETWORKDAYS(J75,K75,Hoja2!$A$2:$A$53))</f>
        <v>2</v>
      </c>
      <c r="I75" s="37">
        <v>46063</v>
      </c>
      <c r="J75" s="37">
        <v>46065</v>
      </c>
      <c r="K75" s="38">
        <v>46066</v>
      </c>
      <c r="L75" s="38">
        <v>46069</v>
      </c>
      <c r="M75" s="39">
        <f ca="1">IF(OR(J75="",AND(L75="",TODAY()&lt;J75),AND(L75&lt;&gt;"",L75&lt;J75)),0,
   IF(L75="",
      NETWORKDAYS(J75,TODAY(),Hoja2!$A$2:$A$53),
      NETWORKDAYS(J75,L75,Hoja2!$A$2:$A$53)
   )
)</f>
        <v>3</v>
      </c>
      <c r="N75" s="38"/>
      <c r="O75" s="38">
        <v>46069</v>
      </c>
      <c r="P75" s="38">
        <v>46069</v>
      </c>
      <c r="Q75" s="76" t="s">
        <v>264</v>
      </c>
      <c r="R75" s="160" t="s">
        <v>493</v>
      </c>
    </row>
    <row r="76" spans="1:18" ht="132.75" customHeight="1">
      <c r="A76" s="16" t="s">
        <v>18</v>
      </c>
      <c r="B76" s="17" t="s">
        <v>265</v>
      </c>
      <c r="C76" s="18" t="s">
        <v>266</v>
      </c>
      <c r="D76" s="19" t="s">
        <v>267</v>
      </c>
      <c r="E76" s="19"/>
      <c r="F76" s="52" t="s">
        <v>22</v>
      </c>
      <c r="G76" s="64">
        <v>100</v>
      </c>
      <c r="H76" s="22">
        <f>IF(OR(J76="",K76="",K76&lt;J76),0,NETWORKDAYS(J76,K76,Hoja2!$A$2:$A$53))</f>
        <v>2</v>
      </c>
      <c r="I76" s="43">
        <v>46070</v>
      </c>
      <c r="J76" s="43">
        <v>46070</v>
      </c>
      <c r="K76" s="24">
        <v>46071</v>
      </c>
      <c r="L76" s="24">
        <v>46072</v>
      </c>
      <c r="M76" s="25">
        <f ca="1">IF(OR(J76="",AND(L76="",TODAY()&lt;J76),AND(L76&lt;&gt;"",L76&lt;J76)),0,
   IF(L76="",
      NETWORKDAYS(J76,TODAY(),Hoja2!$A$2:$A$53),
      NETWORKDAYS(J76,L76,Hoja2!$A$2:$A$53)
   )
)</f>
        <v>3</v>
      </c>
      <c r="N76" s="24"/>
      <c r="O76" s="24">
        <v>46072</v>
      </c>
      <c r="P76" s="24">
        <v>46072</v>
      </c>
      <c r="Q76" s="75" t="s">
        <v>268</v>
      </c>
      <c r="R76" s="160" t="s">
        <v>493</v>
      </c>
    </row>
    <row r="77" spans="1:18" ht="176.25" customHeight="1">
      <c r="A77" s="29" t="s">
        <v>18</v>
      </c>
      <c r="B77" s="30" t="s">
        <v>269</v>
      </c>
      <c r="C77" s="31" t="s">
        <v>270</v>
      </c>
      <c r="D77" s="32" t="s">
        <v>232</v>
      </c>
      <c r="E77" s="32"/>
      <c r="F77" s="70" t="s">
        <v>22</v>
      </c>
      <c r="G77" s="34">
        <v>100</v>
      </c>
      <c r="H77" s="35">
        <f>IF(OR(J77="",K77="",K77&lt;J77),0,NETWORKDAYS(J77,K77,Hoja2!$A$2:$A$53))</f>
        <v>3</v>
      </c>
      <c r="I77" s="37">
        <v>46072</v>
      </c>
      <c r="J77" s="37">
        <v>46072</v>
      </c>
      <c r="K77" s="38">
        <v>46076</v>
      </c>
      <c r="L77" s="38">
        <v>46073</v>
      </c>
      <c r="M77" s="39">
        <f ca="1">IF(OR(J77="",AND(L77="",TODAY()&lt;J77),AND(L77&lt;&gt;"",L77&lt;J77)),0,
   IF(L77="",
      NETWORKDAYS(J77,TODAY(),Hoja2!$A$2:$A$53),
      NETWORKDAYS(J77,L77,Hoja2!$A$2:$A$53)
   )
)</f>
        <v>2</v>
      </c>
      <c r="N77" s="38"/>
      <c r="O77" s="38">
        <v>46073</v>
      </c>
      <c r="P77" s="38">
        <v>46073</v>
      </c>
      <c r="Q77" s="76" t="s">
        <v>271</v>
      </c>
      <c r="R77" s="160" t="s">
        <v>493</v>
      </c>
    </row>
    <row r="78" spans="1:18" ht="132.75" customHeight="1">
      <c r="A78" s="16" t="s">
        <v>18</v>
      </c>
      <c r="B78" s="17" t="s">
        <v>272</v>
      </c>
      <c r="C78" s="18" t="s">
        <v>273</v>
      </c>
      <c r="D78" s="19" t="s">
        <v>274</v>
      </c>
      <c r="E78" s="19"/>
      <c r="F78" s="52" t="s">
        <v>22</v>
      </c>
      <c r="G78" s="64">
        <v>100</v>
      </c>
      <c r="H78" s="22">
        <f>IF(OR(J78="",K78="",K78&lt;J78),0,NETWORKDAYS(J78,K78,Hoja2!$A$2:$A$53))</f>
        <v>4</v>
      </c>
      <c r="I78" s="43">
        <v>46076</v>
      </c>
      <c r="J78" s="43">
        <v>46076</v>
      </c>
      <c r="K78" s="24">
        <v>46079</v>
      </c>
      <c r="L78" s="24">
        <v>46080</v>
      </c>
      <c r="M78" s="25">
        <f ca="1">IF(OR(J78="",AND(L78="",TODAY()&lt;J78),AND(L78&lt;&gt;"",L78&lt;J78)),0,
   IF(L78="",
      NETWORKDAYS(J78,TODAY(),Hoja2!$A$2:$A$53),
      NETWORKDAYS(J78,L78,Hoja2!$A$2:$A$53)
   )
)</f>
        <v>5</v>
      </c>
      <c r="N78" s="24"/>
      <c r="O78" s="24">
        <v>46080</v>
      </c>
      <c r="P78" s="24">
        <v>46080</v>
      </c>
      <c r="Q78" s="75" t="s">
        <v>275</v>
      </c>
      <c r="R78" s="160" t="s">
        <v>493</v>
      </c>
    </row>
    <row r="79" spans="1:18" ht="132.75" customHeight="1">
      <c r="A79" s="29" t="s">
        <v>18</v>
      </c>
      <c r="B79" s="30" t="s">
        <v>276</v>
      </c>
      <c r="C79" s="31" t="s">
        <v>277</v>
      </c>
      <c r="D79" s="32" t="s">
        <v>278</v>
      </c>
      <c r="E79" s="32"/>
      <c r="F79" s="70" t="s">
        <v>22</v>
      </c>
      <c r="G79" s="74">
        <v>100</v>
      </c>
      <c r="H79" s="35">
        <f>IF(OR(J79="",K79="",K79&lt;J79),0,NETWORKDAYS(J79,K79,Hoja2!$A$2:$A$53))</f>
        <v>2</v>
      </c>
      <c r="I79" s="37">
        <v>46076</v>
      </c>
      <c r="J79" s="37">
        <v>46076</v>
      </c>
      <c r="K79" s="38">
        <v>46077</v>
      </c>
      <c r="L79" s="38">
        <v>46077</v>
      </c>
      <c r="M79" s="39">
        <f ca="1">IF(OR(J79="",AND(L79="",TODAY()&lt;J79),AND(L79&lt;&gt;"",L79&lt;J79)),0,
   IF(L79="",
      NETWORKDAYS(J79,TODAY(),Hoja2!$A$2:$A$53),
      NETWORKDAYS(J79,L79,Hoja2!$A$2:$A$53)
   )
)</f>
        <v>2</v>
      </c>
      <c r="N79" s="38"/>
      <c r="O79" s="38">
        <v>46077</v>
      </c>
      <c r="P79" s="38">
        <v>46077</v>
      </c>
      <c r="Q79" s="76" t="s">
        <v>279</v>
      </c>
      <c r="R79" s="160" t="s">
        <v>493</v>
      </c>
    </row>
    <row r="80" spans="1:18" ht="153" customHeight="1">
      <c r="A80" s="16" t="s">
        <v>18</v>
      </c>
      <c r="B80" s="17" t="s">
        <v>280</v>
      </c>
      <c r="C80" s="18" t="s">
        <v>281</v>
      </c>
      <c r="D80" s="19" t="s">
        <v>282</v>
      </c>
      <c r="E80" s="19"/>
      <c r="F80" s="52" t="s">
        <v>22</v>
      </c>
      <c r="G80" s="64">
        <v>100</v>
      </c>
      <c r="H80" s="22">
        <f>IF(OR(J80="",K80="",K80&lt;J80),0,NETWORKDAYS(J80,K80,Hoja2!$A$2:$A$53))</f>
        <v>4</v>
      </c>
      <c r="I80" s="43">
        <v>46078</v>
      </c>
      <c r="J80" s="43">
        <v>46079</v>
      </c>
      <c r="K80" s="24">
        <v>46084</v>
      </c>
      <c r="L80" s="24">
        <v>46084</v>
      </c>
      <c r="M80" s="25">
        <f ca="1">IF(OR(J80="",AND(L80="",TODAY()&lt;J80),AND(L80&lt;&gt;"",L80&lt;J80)),0,
   IF(L80="",
      NETWORKDAYS(J80,TODAY(),Hoja2!$A$2:$A$53),
      NETWORKDAYS(J80,L80,Hoja2!$A$2:$A$53)
   )
)</f>
        <v>4</v>
      </c>
      <c r="N80" s="24">
        <v>46084</v>
      </c>
      <c r="O80" s="24">
        <v>46084</v>
      </c>
      <c r="P80" s="24">
        <v>46084</v>
      </c>
      <c r="Q80" s="75" t="s">
        <v>283</v>
      </c>
      <c r="R80" s="160" t="s">
        <v>493</v>
      </c>
    </row>
    <row r="81" spans="1:18" ht="132.75" customHeight="1">
      <c r="A81" s="29" t="s">
        <v>18</v>
      </c>
      <c r="B81" s="30" t="s">
        <v>284</v>
      </c>
      <c r="C81" s="31" t="s">
        <v>285</v>
      </c>
      <c r="D81" s="32" t="s">
        <v>286</v>
      </c>
      <c r="E81" s="32"/>
      <c r="F81" s="70" t="s">
        <v>22</v>
      </c>
      <c r="G81" s="74">
        <v>100</v>
      </c>
      <c r="H81" s="35">
        <f>IF(OR(J81="",K81="",K81&lt;J81),0,NETWORKDAYS(J81,K81,Hoja2!$A$2:$A$53))</f>
        <v>3</v>
      </c>
      <c r="I81" s="37">
        <v>46083</v>
      </c>
      <c r="J81" s="37">
        <v>46083</v>
      </c>
      <c r="K81" s="38">
        <v>46085</v>
      </c>
      <c r="L81" s="38">
        <v>46090</v>
      </c>
      <c r="M81" s="39">
        <f ca="1">IF(OR(J81="",AND(L81="",TODAY()&lt;J81),AND(L81&lt;&gt;"",L81&lt;J81)),0,
   IF(L81="",
      NETWORKDAYS(J81,TODAY(),Hoja2!$A$2:$A$53),
      NETWORKDAYS(J81,L81,Hoja2!$A$2:$A$53)
   )
)</f>
        <v>6</v>
      </c>
      <c r="N81" s="38"/>
      <c r="O81" s="38">
        <v>46084</v>
      </c>
      <c r="P81" s="38">
        <v>46090</v>
      </c>
      <c r="Q81" s="76" t="s">
        <v>287</v>
      </c>
      <c r="R81" s="160" t="s">
        <v>493</v>
      </c>
    </row>
    <row r="82" spans="1:18" ht="153" customHeight="1">
      <c r="A82" s="16" t="s">
        <v>18</v>
      </c>
      <c r="B82" s="17" t="s">
        <v>288</v>
      </c>
      <c r="C82" s="18" t="s">
        <v>289</v>
      </c>
      <c r="D82" s="19" t="s">
        <v>290</v>
      </c>
      <c r="E82" s="19"/>
      <c r="F82" s="52" t="s">
        <v>22</v>
      </c>
      <c r="G82" s="64">
        <v>100</v>
      </c>
      <c r="H82" s="22">
        <f>IF(OR(J82="",K82="",K82&lt;J82),0,NETWORKDAYS(J82,K82,Hoja2!$A$2:$A$53))</f>
        <v>3</v>
      </c>
      <c r="I82" s="43">
        <v>46085</v>
      </c>
      <c r="J82" s="43">
        <v>46085</v>
      </c>
      <c r="K82" s="24">
        <v>46087</v>
      </c>
      <c r="L82" s="24">
        <v>46091</v>
      </c>
      <c r="M82" s="25">
        <f ca="1">IF(OR(J82="",AND(L82="",TODAY()&lt;J82),AND(L82&lt;&gt;"",L82&lt;J82)),0,
   IF(L82="",
      NETWORKDAYS(J82,TODAY(),Hoja2!$A$2:$A$53),
      NETWORKDAYS(J82,L82,Hoja2!$A$2:$A$53)
   )
)</f>
        <v>5</v>
      </c>
      <c r="N82" s="24"/>
      <c r="O82" s="24">
        <v>46090</v>
      </c>
      <c r="P82" s="24">
        <v>46091</v>
      </c>
      <c r="Q82" s="75" t="s">
        <v>291</v>
      </c>
      <c r="R82" s="160" t="s">
        <v>493</v>
      </c>
    </row>
    <row r="83" spans="1:18" ht="162" customHeight="1">
      <c r="A83" s="29" t="s">
        <v>18</v>
      </c>
      <c r="B83" s="30" t="s">
        <v>292</v>
      </c>
      <c r="C83" s="31" t="s">
        <v>293</v>
      </c>
      <c r="D83" s="32" t="s">
        <v>191</v>
      </c>
      <c r="E83" s="32"/>
      <c r="F83" s="70" t="s">
        <v>22</v>
      </c>
      <c r="G83" s="34">
        <v>100</v>
      </c>
      <c r="H83" s="35">
        <f>IF(OR(J83="",K83="",K83&lt;J83),0,NETWORKDAYS(J83,K83,Hoja2!$A$2:$A$53))</f>
        <v>3</v>
      </c>
      <c r="I83" s="37">
        <v>46091</v>
      </c>
      <c r="J83" s="37">
        <v>46092</v>
      </c>
      <c r="K83" s="38">
        <v>46094</v>
      </c>
      <c r="L83" s="38">
        <v>46097</v>
      </c>
      <c r="M83" s="39">
        <f ca="1">IF(OR(J83="",AND(L83="",TODAY()&lt;J83),AND(L83&lt;&gt;"",L83&lt;J83)),0,
   IF(L83="",
      NETWORKDAYS(J83,TODAY(),Hoja2!$A$2:$A$53),
      NETWORKDAYS(J83,L83,Hoja2!$A$2:$A$53)
   )
)</f>
        <v>4</v>
      </c>
      <c r="N83" s="38"/>
      <c r="O83" s="38">
        <v>46094</v>
      </c>
      <c r="P83" s="38">
        <v>46097</v>
      </c>
      <c r="Q83" s="76" t="s">
        <v>294</v>
      </c>
      <c r="R83" s="160" t="s">
        <v>493</v>
      </c>
    </row>
    <row r="84" spans="1:18" ht="162" customHeight="1">
      <c r="A84" s="16" t="s">
        <v>18</v>
      </c>
      <c r="B84" s="17" t="s">
        <v>295</v>
      </c>
      <c r="C84" s="18" t="s">
        <v>296</v>
      </c>
      <c r="D84" s="19" t="s">
        <v>297</v>
      </c>
      <c r="E84" s="19"/>
      <c r="F84" s="52" t="s">
        <v>22</v>
      </c>
      <c r="G84" s="21">
        <v>100</v>
      </c>
      <c r="H84" s="22">
        <f>IF(OR(J84="",K84="",K84&lt;J84),0,NETWORKDAYS(J84,K84,Hoja2!$A$2:$A$53))</f>
        <v>3</v>
      </c>
      <c r="I84" s="43">
        <v>46091</v>
      </c>
      <c r="J84" s="43">
        <v>46091</v>
      </c>
      <c r="K84" s="24">
        <v>46093</v>
      </c>
      <c r="L84" s="24">
        <v>46093</v>
      </c>
      <c r="M84" s="25">
        <f ca="1">IF(OR(J84="",AND(L84="",TODAY()&lt;J84),AND(L84&lt;&gt;"",L84&lt;J84)),0,
   IF(L84="",
      NETWORKDAYS(J84,TODAY(),Hoja2!$A$2:$A$53),
      NETWORKDAYS(J84,L84,Hoja2!$A$2:$A$53)
   )
)</f>
        <v>3</v>
      </c>
      <c r="N84" s="24"/>
      <c r="O84" s="24"/>
      <c r="P84" s="24"/>
      <c r="Q84" s="75" t="s">
        <v>298</v>
      </c>
      <c r="R84" s="160" t="s">
        <v>493</v>
      </c>
    </row>
    <row r="85" spans="1:18" ht="153" customHeight="1">
      <c r="A85" s="29" t="s">
        <v>18</v>
      </c>
      <c r="B85" s="30" t="s">
        <v>299</v>
      </c>
      <c r="C85" s="31" t="s">
        <v>289</v>
      </c>
      <c r="D85" s="32" t="s">
        <v>290</v>
      </c>
      <c r="E85" s="32"/>
      <c r="F85" s="70" t="s">
        <v>22</v>
      </c>
      <c r="G85" s="74">
        <v>100</v>
      </c>
      <c r="H85" s="35">
        <f>IF(OR(J85="",K85="",K85&lt;J85),0,NETWORKDAYS(J85,K85,Hoja2!$A$2:$A$53))</f>
        <v>1</v>
      </c>
      <c r="I85" s="37">
        <v>46094</v>
      </c>
      <c r="J85" s="37">
        <v>46094</v>
      </c>
      <c r="K85" s="38">
        <v>46094</v>
      </c>
      <c r="L85" s="38">
        <v>46097</v>
      </c>
      <c r="M85" s="39">
        <f ca="1">IF(OR(J85="",AND(L85="",TODAY()&lt;J85),AND(L85&lt;&gt;"",L85&lt;J85)),0,
   IF(L85="",
      NETWORKDAYS(J85,TODAY(),Hoja2!$A$2:$A$53),
      NETWORKDAYS(J85,L85,Hoja2!$A$2:$A$53)
   )
)</f>
        <v>2</v>
      </c>
      <c r="N85" s="38"/>
      <c r="O85" s="38">
        <v>46094</v>
      </c>
      <c r="P85" s="38">
        <v>46094</v>
      </c>
      <c r="Q85" s="76" t="s">
        <v>300</v>
      </c>
      <c r="R85" s="160" t="s">
        <v>493</v>
      </c>
    </row>
    <row r="86" spans="1:18" ht="162" customHeight="1">
      <c r="A86" s="16" t="s">
        <v>18</v>
      </c>
      <c r="B86" s="17" t="s">
        <v>301</v>
      </c>
      <c r="C86" s="18" t="s">
        <v>302</v>
      </c>
      <c r="D86" s="19" t="s">
        <v>191</v>
      </c>
      <c r="E86" s="19"/>
      <c r="F86" s="52" t="s">
        <v>22</v>
      </c>
      <c r="G86" s="21">
        <v>100</v>
      </c>
      <c r="H86" s="22">
        <f>IF(OR(J86="",K86="",K86&lt;J86),0,NETWORKDAYS(J86,K86,Hoja2!$A$2:$A$53))</f>
        <v>2</v>
      </c>
      <c r="I86" s="43">
        <v>46097</v>
      </c>
      <c r="J86" s="43">
        <v>46098</v>
      </c>
      <c r="K86" s="24">
        <v>46099</v>
      </c>
      <c r="L86" s="24">
        <v>46099</v>
      </c>
      <c r="M86" s="25">
        <f ca="1">IF(OR(J86="",AND(L86="",TODAY()&lt;J86),AND(L86&lt;&gt;"",L86&lt;J86)),0,
   IF(L86="",
      NETWORKDAYS(J86,TODAY(),Hoja2!$A$2:$A$53),
      NETWORKDAYS(J86,L86,Hoja2!$A$2:$A$53)
   )
)</f>
        <v>2</v>
      </c>
      <c r="N86" s="24"/>
      <c r="O86" s="24">
        <v>46099</v>
      </c>
      <c r="P86" s="24">
        <v>46101</v>
      </c>
      <c r="Q86" s="75" t="s">
        <v>303</v>
      </c>
      <c r="R86" s="160" t="s">
        <v>493</v>
      </c>
    </row>
    <row r="87" spans="1:18" ht="162" customHeight="1">
      <c r="A87" s="29" t="s">
        <v>18</v>
      </c>
      <c r="B87" s="30" t="s">
        <v>304</v>
      </c>
      <c r="C87" s="31" t="s">
        <v>305</v>
      </c>
      <c r="D87" s="32" t="s">
        <v>191</v>
      </c>
      <c r="E87" s="32"/>
      <c r="F87" s="70" t="s">
        <v>22</v>
      </c>
      <c r="G87" s="34">
        <v>100</v>
      </c>
      <c r="H87" s="35">
        <f>IF(OR(J87="",K87="",K87&lt;J87),0,NETWORKDAYS(J87,K87,Hoja2!$A$2:$A$53))</f>
        <v>2</v>
      </c>
      <c r="I87" s="37">
        <v>46097</v>
      </c>
      <c r="J87" s="37">
        <v>46099</v>
      </c>
      <c r="K87" s="38">
        <v>46100</v>
      </c>
      <c r="L87" s="38">
        <v>46106</v>
      </c>
      <c r="M87" s="39">
        <f ca="1">IF(OR(J87="",AND(L87="",TODAY()&lt;J87),AND(L87&lt;&gt;"",L87&lt;J87)),0,
   IF(L87="",
      NETWORKDAYS(J87,TODAY(),Hoja2!$A$2:$A$53),
      NETWORKDAYS(J87,L87,Hoja2!$A$2:$A$53)
   )
)</f>
        <v>5</v>
      </c>
      <c r="N87" s="38"/>
      <c r="O87" s="38">
        <v>46100</v>
      </c>
      <c r="P87" s="38">
        <v>46101</v>
      </c>
      <c r="Q87" s="76" t="s">
        <v>306</v>
      </c>
      <c r="R87" s="160" t="s">
        <v>493</v>
      </c>
    </row>
    <row r="88" spans="1:18" ht="153" customHeight="1">
      <c r="A88" s="16" t="s">
        <v>18</v>
      </c>
      <c r="B88" s="17" t="s">
        <v>307</v>
      </c>
      <c r="C88" s="18" t="s">
        <v>308</v>
      </c>
      <c r="D88" s="19" t="s">
        <v>290</v>
      </c>
      <c r="E88" s="19"/>
      <c r="F88" s="52" t="s">
        <v>22</v>
      </c>
      <c r="G88" s="64">
        <v>100</v>
      </c>
      <c r="H88" s="22">
        <f>IF(OR(J88="",K88="",K88&lt;J88),0,NETWORKDAYS(J88,K88,Hoja2!$A$2:$A$53))</f>
        <v>3</v>
      </c>
      <c r="I88" s="43">
        <v>46097</v>
      </c>
      <c r="J88" s="43">
        <v>46098</v>
      </c>
      <c r="K88" s="24">
        <v>46100</v>
      </c>
      <c r="L88" s="24">
        <v>46100</v>
      </c>
      <c r="M88" s="25">
        <f ca="1">IF(OR(J88="",AND(L88="",TODAY()&lt;J88),AND(L88&lt;&gt;"",L88&lt;J88)),0,
   IF(L88="",
      NETWORKDAYS(J88,TODAY(),Hoja2!$A$2:$A$53),
      NETWORKDAYS(J88,L88,Hoja2!$A$2:$A$53)
   )
)</f>
        <v>3</v>
      </c>
      <c r="N88" s="24"/>
      <c r="O88" s="24">
        <v>46100</v>
      </c>
      <c r="P88" s="24">
        <v>46100</v>
      </c>
      <c r="Q88" s="75" t="s">
        <v>309</v>
      </c>
      <c r="R88" s="160" t="s">
        <v>493</v>
      </c>
    </row>
    <row r="89" spans="1:18" ht="153" customHeight="1">
      <c r="A89" s="29" t="s">
        <v>18</v>
      </c>
      <c r="B89" s="30" t="s">
        <v>310</v>
      </c>
      <c r="C89" s="31" t="s">
        <v>311</v>
      </c>
      <c r="D89" s="32" t="s">
        <v>312</v>
      </c>
      <c r="E89" s="32"/>
      <c r="F89" s="70" t="s">
        <v>22</v>
      </c>
      <c r="G89" s="74">
        <v>100</v>
      </c>
      <c r="H89" s="35">
        <f>IF(OR(J89="",K89="",K89&lt;J89),0,NETWORKDAYS(J89,K89,Hoja2!$A$2:$A$53))</f>
        <v>1</v>
      </c>
      <c r="I89" s="37">
        <v>46104</v>
      </c>
      <c r="J89" s="37">
        <v>46105</v>
      </c>
      <c r="K89" s="38">
        <v>46105</v>
      </c>
      <c r="L89" s="38">
        <v>46105</v>
      </c>
      <c r="M89" s="39">
        <f ca="1">IF(OR(J89="",AND(L89="",TODAY()&lt;J89),AND(L89&lt;&gt;"",L89&lt;J89)),0,
   IF(L89="",
      NETWORKDAYS(J89,TODAY(),Hoja2!$A$2:$A$53),
      NETWORKDAYS(J89,L89,Hoja2!$A$2:$A$53)
   )
)</f>
        <v>1</v>
      </c>
      <c r="N89" s="38"/>
      <c r="O89" s="38">
        <v>46105</v>
      </c>
      <c r="P89" s="38">
        <v>46105</v>
      </c>
      <c r="Q89" s="76" t="s">
        <v>313</v>
      </c>
      <c r="R89" s="160" t="s">
        <v>493</v>
      </c>
    </row>
    <row r="90" spans="1:18" ht="204">
      <c r="A90" s="16" t="s">
        <v>18</v>
      </c>
      <c r="B90" s="17" t="s">
        <v>314</v>
      </c>
      <c r="C90" s="18" t="s">
        <v>315</v>
      </c>
      <c r="D90" s="19" t="s">
        <v>316</v>
      </c>
      <c r="E90" s="19"/>
      <c r="F90" s="52" t="s">
        <v>22</v>
      </c>
      <c r="G90" s="64">
        <v>100</v>
      </c>
      <c r="H90" s="22">
        <f>IF(OR(J90="",K90="",K90&lt;J90),0,NETWORKDAYS(J90,K90,Hoja2!$A$2:$A$53))</f>
        <v>4</v>
      </c>
      <c r="I90" s="43">
        <v>46107</v>
      </c>
      <c r="J90" s="43">
        <v>46107</v>
      </c>
      <c r="K90" s="24">
        <v>46112</v>
      </c>
      <c r="L90" s="24">
        <v>46111</v>
      </c>
      <c r="M90" s="25">
        <f ca="1">IF(OR(J90="",AND(L90="",TODAY()&lt;J90),AND(L90&lt;&gt;"",L90&lt;J90)),0,
   IF(L90="",
      NETWORKDAYS(J90,TODAY(),Hoja2!$A$2:$A$53),
      NETWORKDAYS(J90,L90,Hoja2!$A$2:$A$53)
   )
)</f>
        <v>3</v>
      </c>
      <c r="N90" s="24"/>
      <c r="O90" s="24">
        <v>46111</v>
      </c>
      <c r="P90" s="24"/>
      <c r="Q90" s="75" t="s">
        <v>317</v>
      </c>
      <c r="R90" s="160" t="s">
        <v>493</v>
      </c>
    </row>
    <row r="91" spans="1:18" ht="153" customHeight="1">
      <c r="A91" s="29" t="s">
        <v>18</v>
      </c>
      <c r="B91" s="30" t="s">
        <v>318</v>
      </c>
      <c r="C91" s="31" t="s">
        <v>319</v>
      </c>
      <c r="D91" s="32" t="s">
        <v>320</v>
      </c>
      <c r="E91" s="32"/>
      <c r="F91" s="70" t="s">
        <v>22</v>
      </c>
      <c r="G91" s="74">
        <v>100</v>
      </c>
      <c r="H91" s="35">
        <f>IF(OR(J91="",K91="",K91&lt;J91),0,NETWORKDAYS(J91,K91,Hoja2!$A$2:$A$53))</f>
        <v>1</v>
      </c>
      <c r="I91" s="37">
        <v>46111</v>
      </c>
      <c r="J91" s="37">
        <v>46111</v>
      </c>
      <c r="K91" s="38">
        <v>46111</v>
      </c>
      <c r="L91" s="38">
        <v>46111</v>
      </c>
      <c r="M91" s="39">
        <f ca="1">IF(OR(J91="",AND(L91="",TODAY()&lt;J91),AND(L91&lt;&gt;"",L91&lt;J91)),0,
   IF(L91="",
      NETWORKDAYS(J91,TODAY(),Hoja2!$A$2:$A$53),
      NETWORKDAYS(J91,L91,Hoja2!$A$2:$A$53)
   )
)</f>
        <v>1</v>
      </c>
      <c r="N91" s="38"/>
      <c r="O91" s="38">
        <v>46111</v>
      </c>
      <c r="P91" s="38">
        <v>46111</v>
      </c>
      <c r="Q91" s="76" t="s">
        <v>321</v>
      </c>
      <c r="R91" s="160" t="s">
        <v>493</v>
      </c>
    </row>
    <row r="92" spans="1:18" ht="153" customHeight="1">
      <c r="A92" s="16" t="s">
        <v>18</v>
      </c>
      <c r="B92" s="17" t="s">
        <v>322</v>
      </c>
      <c r="C92" s="18" t="s">
        <v>323</v>
      </c>
      <c r="D92" s="19" t="s">
        <v>312</v>
      </c>
      <c r="E92" s="19"/>
      <c r="F92" s="52" t="s">
        <v>22</v>
      </c>
      <c r="G92" s="64">
        <v>100</v>
      </c>
      <c r="H92" s="22">
        <f>IF(OR(J92="",K92="",K92&lt;J92),0,NETWORKDAYS(J92,K92,Hoja2!$A$2:$A$53))</f>
        <v>3</v>
      </c>
      <c r="I92" s="43">
        <v>46119</v>
      </c>
      <c r="J92" s="43">
        <v>46119</v>
      </c>
      <c r="K92" s="24">
        <v>46121</v>
      </c>
      <c r="L92" s="24">
        <v>46121</v>
      </c>
      <c r="M92" s="25">
        <f ca="1">IF(OR(J92="",AND(L92="",TODAY()&lt;J92),AND(L92&lt;&gt;"",L92&lt;J92)),0,
   IF(L92="",
      NETWORKDAYS(J92,TODAY(),Hoja2!$A$2:$A$53),
      NETWORKDAYS(J92,L92,Hoja2!$A$2:$A$53)
   )
)</f>
        <v>3</v>
      </c>
      <c r="N92" s="24"/>
      <c r="O92" s="24">
        <v>46121</v>
      </c>
      <c r="P92" s="24">
        <v>46121</v>
      </c>
      <c r="Q92" s="75" t="s">
        <v>324</v>
      </c>
      <c r="R92" s="160" t="s">
        <v>493</v>
      </c>
    </row>
    <row r="93" spans="1:18" ht="162" customHeight="1">
      <c r="A93" s="29" t="s">
        <v>18</v>
      </c>
      <c r="B93" s="30" t="s">
        <v>325</v>
      </c>
      <c r="C93" s="31" t="s">
        <v>326</v>
      </c>
      <c r="D93" s="32" t="s">
        <v>191</v>
      </c>
      <c r="E93" s="32"/>
      <c r="F93" s="70" t="s">
        <v>22</v>
      </c>
      <c r="G93" s="34">
        <v>100</v>
      </c>
      <c r="H93" s="35">
        <f>IF(OR(J93="",K93="",K93&lt;J93),0,NETWORKDAYS(J93,K93,Hoja2!$A$2:$A$53))</f>
        <v>2</v>
      </c>
      <c r="I93" s="37">
        <v>46112</v>
      </c>
      <c r="J93" s="37">
        <v>46112</v>
      </c>
      <c r="K93" s="38">
        <v>46113</v>
      </c>
      <c r="L93" s="38">
        <v>46113</v>
      </c>
      <c r="M93" s="39">
        <f ca="1">IF(OR(J93="",AND(L93="",TODAY()&lt;J93),AND(L93&lt;&gt;"",L93&lt;J93)),0,
   IF(L93="",
      NETWORKDAYS(J93,TODAY(),Hoja2!$A$2:$A$53),
      NETWORKDAYS(J93,L93,Hoja2!$A$2:$A$53)
   )
)</f>
        <v>2</v>
      </c>
      <c r="N93" s="38"/>
      <c r="O93" s="38">
        <v>46113</v>
      </c>
      <c r="P93" s="38">
        <v>46113</v>
      </c>
      <c r="Q93" s="76" t="s">
        <v>327</v>
      </c>
      <c r="R93" s="160" t="s">
        <v>493</v>
      </c>
    </row>
    <row r="94" spans="1:18" ht="153" customHeight="1">
      <c r="A94" s="16" t="s">
        <v>18</v>
      </c>
      <c r="B94" s="17" t="s">
        <v>328</v>
      </c>
      <c r="C94" s="18" t="s">
        <v>329</v>
      </c>
      <c r="D94" s="19" t="s">
        <v>330</v>
      </c>
      <c r="E94" s="19"/>
      <c r="F94" s="52" t="s">
        <v>22</v>
      </c>
      <c r="G94" s="64">
        <v>100</v>
      </c>
      <c r="H94" s="22">
        <f>IF(OR(J94="",K94="",K94&lt;J94),0,NETWORKDAYS(J94,K94,Hoja2!$A$2:$A$53))</f>
        <v>1</v>
      </c>
      <c r="I94" s="43">
        <v>46119</v>
      </c>
      <c r="J94" s="43">
        <v>46119</v>
      </c>
      <c r="K94" s="24">
        <v>46119</v>
      </c>
      <c r="L94" s="24">
        <v>46119</v>
      </c>
      <c r="M94" s="25">
        <f ca="1">IF(OR(J94="",AND(L94="",TODAY()&lt;J94),AND(L94&lt;&gt;"",L94&lt;J94)),0,
   IF(L94="",
      NETWORKDAYS(J94,TODAY(),Hoja2!$A$2:$A$53),
      NETWORKDAYS(J94,L94,Hoja2!$A$2:$A$53)
   )
)</f>
        <v>1</v>
      </c>
      <c r="N94" s="24"/>
      <c r="O94" s="24">
        <v>46119</v>
      </c>
      <c r="P94" s="24">
        <v>46119</v>
      </c>
      <c r="Q94" s="75" t="s">
        <v>324</v>
      </c>
      <c r="R94" s="160" t="s">
        <v>493</v>
      </c>
    </row>
    <row r="95" spans="1:18" ht="258" customHeight="1">
      <c r="A95" s="29" t="s">
        <v>18</v>
      </c>
      <c r="B95" s="30" t="s">
        <v>331</v>
      </c>
      <c r="C95" s="31" t="s">
        <v>332</v>
      </c>
      <c r="D95" s="32" t="s">
        <v>333</v>
      </c>
      <c r="E95" s="32"/>
      <c r="F95" s="70" t="s">
        <v>22</v>
      </c>
      <c r="G95" s="74">
        <v>100</v>
      </c>
      <c r="H95" s="35">
        <f>IF(OR(J95="",K95="",K95&lt;J95),0,NETWORKDAYS(J95,K95,Hoja2!$A$2:$A$53))</f>
        <v>1</v>
      </c>
      <c r="I95" s="37">
        <v>46125</v>
      </c>
      <c r="J95" s="37">
        <v>46125</v>
      </c>
      <c r="K95" s="38">
        <v>46125</v>
      </c>
      <c r="L95" s="38">
        <v>46128</v>
      </c>
      <c r="M95" s="39">
        <f ca="1">IF(OR(J95="",AND(L95="",TODAY()&lt;J95),AND(L95&lt;&gt;"",L95&lt;J95)),0,
   IF(L95="",
      NETWORKDAYS(J95,TODAY(),Hoja2!$A$2:$A$53),
      NETWORKDAYS(J95,L95,Hoja2!$A$2:$A$53)
   )
)</f>
        <v>4</v>
      </c>
      <c r="N95" s="38"/>
      <c r="O95" s="38">
        <v>46125</v>
      </c>
      <c r="P95" s="38">
        <v>46125</v>
      </c>
      <c r="Q95" s="76" t="s">
        <v>334</v>
      </c>
      <c r="R95" s="160" t="s">
        <v>493</v>
      </c>
    </row>
    <row r="96" spans="1:18" ht="168.75" customHeight="1">
      <c r="A96" s="16" t="s">
        <v>18</v>
      </c>
      <c r="B96" s="17" t="s">
        <v>335</v>
      </c>
      <c r="C96" s="18" t="s">
        <v>336</v>
      </c>
      <c r="D96" s="19" t="s">
        <v>337</v>
      </c>
      <c r="E96" s="19"/>
      <c r="F96" s="52" t="s">
        <v>22</v>
      </c>
      <c r="G96" s="64">
        <v>100</v>
      </c>
      <c r="H96" s="22">
        <f>IF(OR(J96="",K96="",K96&lt;J96),0,NETWORKDAYS(J96,K96,Hoja2!$A$2:$A$53))</f>
        <v>1</v>
      </c>
      <c r="I96" s="43">
        <v>46129</v>
      </c>
      <c r="J96" s="43">
        <v>46129</v>
      </c>
      <c r="K96" s="24">
        <v>46129</v>
      </c>
      <c r="L96" s="24">
        <v>46129</v>
      </c>
      <c r="M96" s="25">
        <f ca="1">IF(OR(J96="",AND(L96="",TODAY()&lt;J96),AND(L96&lt;&gt;"",L96&lt;J96)),0,
   IF(L96="",
      NETWORKDAYS(J96,TODAY(),Hoja2!$A$2:$A$53),
      NETWORKDAYS(J96,L96,Hoja2!$A$2:$A$53)
   )
)</f>
        <v>1</v>
      </c>
      <c r="N96" s="24"/>
      <c r="O96" s="24">
        <v>46129</v>
      </c>
      <c r="P96" s="24">
        <v>46129</v>
      </c>
      <c r="Q96" s="75"/>
      <c r="R96" s="160" t="s">
        <v>493</v>
      </c>
    </row>
    <row r="97" spans="1:18" ht="129.75" customHeight="1">
      <c r="A97" s="29" t="s">
        <v>18</v>
      </c>
      <c r="B97" s="30" t="s">
        <v>338</v>
      </c>
      <c r="C97" s="31" t="s">
        <v>315</v>
      </c>
      <c r="D97" s="32" t="s">
        <v>316</v>
      </c>
      <c r="E97" s="32"/>
      <c r="F97" s="70" t="s">
        <v>22</v>
      </c>
      <c r="G97" s="74">
        <v>100</v>
      </c>
      <c r="H97" s="35">
        <f>IF(OR(J97="",K97="",K97&lt;J97),0,NETWORKDAYS(J97,K97,Hoja2!$A$2:$A$53))</f>
        <v>2</v>
      </c>
      <c r="I97" s="37">
        <v>46126</v>
      </c>
      <c r="J97" s="37">
        <v>46128</v>
      </c>
      <c r="K97" s="38">
        <v>46129</v>
      </c>
      <c r="L97" s="38">
        <v>46129</v>
      </c>
      <c r="M97" s="39">
        <f ca="1">IF(OR(J97="",AND(L97="",TODAY()&lt;J97),AND(L97&lt;&gt;"",L97&lt;J97)),0,
   IF(L97="",
      NETWORKDAYS(J97,TODAY(),Hoja2!$A$2:$A$53),
      NETWORKDAYS(J97,L97,Hoja2!$A$2:$A$53)
   )
)</f>
        <v>2</v>
      </c>
      <c r="N97" s="38"/>
      <c r="O97" s="38">
        <v>46129</v>
      </c>
      <c r="P97" s="38"/>
      <c r="Q97" s="76" t="s">
        <v>339</v>
      </c>
      <c r="R97" s="160" t="s">
        <v>493</v>
      </c>
    </row>
    <row r="98" spans="1:18" ht="140.25" customHeight="1">
      <c r="A98" s="16" t="s">
        <v>18</v>
      </c>
      <c r="B98" s="17" t="s">
        <v>340</v>
      </c>
      <c r="C98" s="18" t="s">
        <v>341</v>
      </c>
      <c r="D98" s="19" t="s">
        <v>342</v>
      </c>
      <c r="E98" s="19"/>
      <c r="F98" s="52" t="s">
        <v>22</v>
      </c>
      <c r="G98" s="64">
        <v>100</v>
      </c>
      <c r="H98" s="22">
        <f>IF(OR(J98="",K98="",K98&lt;J98),0,NETWORKDAYS(J98,K98,Hoja2!$A$2:$A$53))</f>
        <v>2</v>
      </c>
      <c r="I98" s="43">
        <v>46125</v>
      </c>
      <c r="J98" s="43">
        <v>46127</v>
      </c>
      <c r="K98" s="24">
        <v>46128</v>
      </c>
      <c r="L98" s="24">
        <v>46128</v>
      </c>
      <c r="M98" s="25">
        <f ca="1">IF(OR(J98="",AND(L98="",TODAY()&lt;J98),AND(L98&lt;&gt;"",L98&lt;J98)),0,
   IF(L98="",
      NETWORKDAYS(J98,TODAY(),Hoja2!$A$2:$A$53),
      NETWORKDAYS(J98,L98,Hoja2!$A$2:$A$53)
   )
)</f>
        <v>2</v>
      </c>
      <c r="N98" s="24"/>
      <c r="O98" s="24">
        <v>46128</v>
      </c>
      <c r="P98" s="24">
        <v>46128</v>
      </c>
      <c r="Q98" s="75" t="s">
        <v>343</v>
      </c>
      <c r="R98" s="160" t="s">
        <v>493</v>
      </c>
    </row>
    <row r="99" spans="1:18" ht="184.5" customHeight="1">
      <c r="A99" s="29" t="s">
        <v>18</v>
      </c>
      <c r="B99" s="30" t="s">
        <v>344</v>
      </c>
      <c r="C99" s="31" t="s">
        <v>345</v>
      </c>
      <c r="D99" s="32" t="s">
        <v>346</v>
      </c>
      <c r="E99" s="32"/>
      <c r="F99" s="70" t="s">
        <v>22</v>
      </c>
      <c r="G99" s="74">
        <v>100</v>
      </c>
      <c r="H99" s="35">
        <f>IF(OR(J99="",K99="",K99&lt;J99),0,NETWORKDAYS(J99,K99,Hoja2!$A$2:$A$53))</f>
        <v>2</v>
      </c>
      <c r="I99" s="37">
        <v>46133</v>
      </c>
      <c r="J99" s="37">
        <v>46134</v>
      </c>
      <c r="K99" s="38">
        <v>46135</v>
      </c>
      <c r="L99" s="38">
        <v>46157</v>
      </c>
      <c r="M99" s="39">
        <f ca="1">IF(OR(J99="",AND(L99="",TODAY()&lt;J99),AND(L99&lt;&gt;"",L99&lt;J99)),0,
   IF(L99="",
      NETWORKDAYS(J99,TODAY(),Hoja2!$A$2:$A$53),
      NETWORKDAYS(J99,L99,Hoja2!$A$2:$A$53)
   )
)</f>
        <v>17</v>
      </c>
      <c r="N99" s="38"/>
      <c r="O99" s="38">
        <v>46141</v>
      </c>
      <c r="P99" s="38">
        <v>46157</v>
      </c>
      <c r="Q99" s="76" t="s">
        <v>347</v>
      </c>
      <c r="R99" s="160" t="s">
        <v>493</v>
      </c>
    </row>
    <row r="100" spans="1:18" ht="177" customHeight="1">
      <c r="A100" s="16" t="s">
        <v>18</v>
      </c>
      <c r="B100" s="17" t="s">
        <v>348</v>
      </c>
      <c r="C100" s="18" t="s">
        <v>349</v>
      </c>
      <c r="D100" s="19" t="s">
        <v>316</v>
      </c>
      <c r="E100" s="19"/>
      <c r="F100" s="52" t="s">
        <v>22</v>
      </c>
      <c r="G100" s="64">
        <v>100</v>
      </c>
      <c r="H100" s="22">
        <f>IF(OR(J100="",K100="",K100&lt;J100),0,NETWORKDAYS(J100,K100,Hoja2!$A$2:$A$53))</f>
        <v>3</v>
      </c>
      <c r="I100" s="43">
        <v>46133</v>
      </c>
      <c r="J100" s="43">
        <v>46134</v>
      </c>
      <c r="K100" s="24">
        <v>46136</v>
      </c>
      <c r="L100" s="24">
        <v>46139</v>
      </c>
      <c r="M100" s="25">
        <f ca="1">IF(OR(J100="",AND(L100="",TODAY()&lt;J100),AND(L100&lt;&gt;"",L100&lt;J100)),0,
   IF(L100="",
      NETWORKDAYS(J100,TODAY(),Hoja2!$A$2:$A$53),
      NETWORKDAYS(J100,L100,Hoja2!$A$2:$A$53)
   )
)</f>
        <v>4</v>
      </c>
      <c r="N100" s="24"/>
      <c r="O100" s="24">
        <v>46139</v>
      </c>
      <c r="P100" s="24"/>
      <c r="Q100" s="75" t="s">
        <v>350</v>
      </c>
      <c r="R100" s="160" t="s">
        <v>493</v>
      </c>
    </row>
    <row r="101" spans="1:18" ht="140.25" customHeight="1">
      <c r="A101" s="29" t="s">
        <v>18</v>
      </c>
      <c r="B101" s="30" t="s">
        <v>351</v>
      </c>
      <c r="C101" s="31" t="s">
        <v>352</v>
      </c>
      <c r="D101" s="32" t="s">
        <v>353</v>
      </c>
      <c r="E101" s="32"/>
      <c r="F101" s="70" t="s">
        <v>22</v>
      </c>
      <c r="G101" s="74">
        <v>100</v>
      </c>
      <c r="H101" s="35">
        <f>IF(OR(J101="",K101="",K101&lt;J101),0,NETWORKDAYS(J101,K101,Hoja2!$A$2:$A$53))</f>
        <v>2</v>
      </c>
      <c r="I101" s="37">
        <v>46139</v>
      </c>
      <c r="J101" s="37">
        <v>46139</v>
      </c>
      <c r="K101" s="38">
        <v>46140</v>
      </c>
      <c r="L101" s="38">
        <v>46140</v>
      </c>
      <c r="M101" s="39">
        <f ca="1">IF(OR(J101="",AND(L101="",TODAY()&lt;J101),AND(L101&lt;&gt;"",L101&lt;J101)),0,
   IF(L101="",
      NETWORKDAYS(J101,TODAY(),Hoja2!$A$2:$A$53),
      NETWORKDAYS(J101,L101,Hoja2!$A$2:$A$53)
   )
)</f>
        <v>2</v>
      </c>
      <c r="N101" s="38"/>
      <c r="O101" s="38">
        <v>46140</v>
      </c>
      <c r="P101" s="38">
        <v>46140</v>
      </c>
      <c r="Q101" s="76" t="s">
        <v>354</v>
      </c>
      <c r="R101" s="160" t="s">
        <v>493</v>
      </c>
    </row>
    <row r="102" spans="1:18" ht="140.25" customHeight="1">
      <c r="A102" s="16" t="s">
        <v>18</v>
      </c>
      <c r="B102" s="17" t="s">
        <v>355</v>
      </c>
      <c r="C102" s="18" t="s">
        <v>356</v>
      </c>
      <c r="D102" s="19" t="s">
        <v>357</v>
      </c>
      <c r="E102" s="19"/>
      <c r="F102" s="52" t="s">
        <v>22</v>
      </c>
      <c r="G102" s="64">
        <v>100</v>
      </c>
      <c r="H102" s="22">
        <f>IF(OR(J102="",K102="",K102&lt;J102),0,NETWORKDAYS(J102,K102,Hoja2!$A$2:$A$53))</f>
        <v>6</v>
      </c>
      <c r="I102" s="43">
        <v>46150</v>
      </c>
      <c r="J102" s="43">
        <v>46150</v>
      </c>
      <c r="K102" s="24">
        <v>46157</v>
      </c>
      <c r="L102" s="24">
        <v>46157</v>
      </c>
      <c r="M102" s="25">
        <f ca="1">IF(OR(J102="",AND(L102="",TODAY()&lt;J102),AND(L102&lt;&gt;"",L102&lt;J102)),0,
   IF(L102="",
      NETWORKDAYS(J102,TODAY(),Hoja2!$A$2:$A$53),
      NETWORKDAYS(J102,L102,Hoja2!$A$2:$A$53)
   )
)</f>
        <v>6</v>
      </c>
      <c r="N102" s="24"/>
      <c r="O102" s="24">
        <v>46157</v>
      </c>
      <c r="P102" s="24">
        <v>46157</v>
      </c>
      <c r="Q102" s="75" t="s">
        <v>358</v>
      </c>
      <c r="R102" s="160" t="s">
        <v>493</v>
      </c>
    </row>
    <row r="103" spans="1:18" ht="140.25" customHeight="1">
      <c r="A103" s="29" t="s">
        <v>18</v>
      </c>
      <c r="B103" s="30" t="s">
        <v>359</v>
      </c>
      <c r="C103" s="31" t="s">
        <v>360</v>
      </c>
      <c r="D103" s="32" t="s">
        <v>361</v>
      </c>
      <c r="E103" s="32"/>
      <c r="F103" s="70" t="s">
        <v>22</v>
      </c>
      <c r="G103" s="74">
        <v>100</v>
      </c>
      <c r="H103" s="35">
        <f>IF(OR(J103="",K103="",K103&lt;J103),0,NETWORKDAYS(J103,K103,Hoja2!$A$2:$A$53))</f>
        <v>5</v>
      </c>
      <c r="I103" s="37">
        <v>46153</v>
      </c>
      <c r="J103" s="37">
        <v>46153</v>
      </c>
      <c r="K103" s="38">
        <v>46157</v>
      </c>
      <c r="L103" s="38">
        <v>46155</v>
      </c>
      <c r="M103" s="39">
        <f ca="1">IF(OR(J103="",AND(L103="",TODAY()&lt;J103),AND(L103&lt;&gt;"",L103&lt;J103)),0,
   IF(L103="",
      NETWORKDAYS(J103,TODAY(),Hoja2!$A$2:$A$53),
      NETWORKDAYS(J103,L103,Hoja2!$A$2:$A$53)
   )
)</f>
        <v>3</v>
      </c>
      <c r="N103" s="38"/>
      <c r="O103" s="38">
        <v>46155</v>
      </c>
      <c r="P103" s="38">
        <v>46155</v>
      </c>
      <c r="Q103" s="76" t="s">
        <v>362</v>
      </c>
      <c r="R103" s="160" t="s">
        <v>493</v>
      </c>
    </row>
    <row r="104" spans="1:18" ht="140.25" customHeight="1">
      <c r="A104" s="16" t="s">
        <v>18</v>
      </c>
      <c r="B104" s="17" t="s">
        <v>363</v>
      </c>
      <c r="C104" s="18" t="s">
        <v>364</v>
      </c>
      <c r="D104" s="19" t="s">
        <v>365</v>
      </c>
      <c r="E104" s="19"/>
      <c r="F104" s="52" t="s">
        <v>22</v>
      </c>
      <c r="G104" s="64">
        <v>100</v>
      </c>
      <c r="H104" s="22">
        <f>IF(OR(J104="",K104="",K104&lt;J104),0,NETWORKDAYS(J104,K104,Hoja2!$A$2:$A$53))</f>
        <v>2</v>
      </c>
      <c r="I104" s="43">
        <v>46155</v>
      </c>
      <c r="J104" s="43">
        <v>46155</v>
      </c>
      <c r="K104" s="24">
        <v>46156</v>
      </c>
      <c r="L104" s="24">
        <v>46156</v>
      </c>
      <c r="M104" s="25">
        <f ca="1">IF(OR(J104="",AND(L104="",TODAY()&lt;J104),AND(L104&lt;&gt;"",L104&lt;J104)),0,
   IF(L104="",
      NETWORKDAYS(J104,TODAY(),Hoja2!$A$2:$A$53),
      NETWORKDAYS(J104,L104,Hoja2!$A$2:$A$53)
   )
)</f>
        <v>2</v>
      </c>
      <c r="N104" s="24"/>
      <c r="O104" s="24">
        <v>46156</v>
      </c>
      <c r="P104" s="24">
        <v>46156</v>
      </c>
      <c r="Q104" s="75" t="s">
        <v>366</v>
      </c>
      <c r="R104" s="160" t="s">
        <v>493</v>
      </c>
    </row>
    <row r="105" spans="1:18" ht="140.25" customHeight="1">
      <c r="A105" s="29" t="s">
        <v>18</v>
      </c>
      <c r="B105" s="30" t="s">
        <v>367</v>
      </c>
      <c r="C105" s="31" t="s">
        <v>368</v>
      </c>
      <c r="D105" s="32" t="s">
        <v>369</v>
      </c>
      <c r="E105" s="32"/>
      <c r="F105" s="70" t="s">
        <v>22</v>
      </c>
      <c r="G105" s="74">
        <v>100</v>
      </c>
      <c r="H105" s="35">
        <f>IF(OR(J105="",K105="",K105&lt;J105),0,NETWORKDAYS(J105,K105,Hoja2!$A$2:$A$53))</f>
        <v>1</v>
      </c>
      <c r="I105" s="37">
        <v>46157</v>
      </c>
      <c r="J105" s="37">
        <v>46162</v>
      </c>
      <c r="K105" s="38">
        <v>46162</v>
      </c>
      <c r="L105" s="38">
        <v>46162</v>
      </c>
      <c r="M105" s="39">
        <f ca="1">IF(OR(J105="",AND(L105="",TODAY()&lt;J105),AND(L105&lt;&gt;"",L105&lt;J105)),0,
   IF(L105="",
      NETWORKDAYS(J105,TODAY(),Hoja2!$A$2:$A$53),
      NETWORKDAYS(J105,L105,Hoja2!$A$2:$A$53)
   )
)</f>
        <v>1</v>
      </c>
      <c r="N105" s="38"/>
      <c r="O105" s="38">
        <v>46162</v>
      </c>
      <c r="P105" s="38">
        <v>46162</v>
      </c>
      <c r="Q105" s="76" t="s">
        <v>370</v>
      </c>
      <c r="R105" s="160" t="s">
        <v>493</v>
      </c>
    </row>
    <row r="106" spans="1:18" ht="140.25" customHeight="1">
      <c r="A106" s="16" t="s">
        <v>18</v>
      </c>
      <c r="B106" s="17" t="s">
        <v>371</v>
      </c>
      <c r="C106" s="18" t="s">
        <v>372</v>
      </c>
      <c r="D106" s="19" t="s">
        <v>373</v>
      </c>
      <c r="E106" s="19"/>
      <c r="F106" s="52" t="s">
        <v>22</v>
      </c>
      <c r="G106" s="64">
        <v>100</v>
      </c>
      <c r="H106" s="22">
        <f>IF(OR(J106="",K106="",K106&lt;J106),0,NETWORKDAYS(J106,K106,Hoja2!$A$2:$A$53))</f>
        <v>1</v>
      </c>
      <c r="I106" s="43">
        <v>46161</v>
      </c>
      <c r="J106" s="43">
        <v>46163</v>
      </c>
      <c r="K106" s="24">
        <v>46163</v>
      </c>
      <c r="L106" s="24">
        <v>46163</v>
      </c>
      <c r="M106" s="25">
        <f ca="1">IF(OR(J106="",AND(L106="",TODAY()&lt;J106),AND(L106&lt;&gt;"",L106&lt;J106)),0,
   IF(L106="",
      NETWORKDAYS(J106,TODAY(),Hoja2!$A$2:$A$53),
      NETWORKDAYS(J106,L106,Hoja2!$A$2:$A$53)
   )
)</f>
        <v>1</v>
      </c>
      <c r="N106" s="24"/>
      <c r="O106" s="24">
        <v>46163</v>
      </c>
      <c r="P106" s="24">
        <v>46163</v>
      </c>
      <c r="Q106" s="75" t="s">
        <v>374</v>
      </c>
      <c r="R106" s="160" t="s">
        <v>493</v>
      </c>
    </row>
    <row r="107" spans="1:18" ht="140.25" customHeight="1">
      <c r="A107" s="29" t="s">
        <v>18</v>
      </c>
      <c r="B107" s="30" t="s">
        <v>375</v>
      </c>
      <c r="C107" s="31" t="s">
        <v>376</v>
      </c>
      <c r="D107" s="32" t="s">
        <v>377</v>
      </c>
      <c r="E107" s="32"/>
      <c r="F107" s="70" t="s">
        <v>378</v>
      </c>
      <c r="G107" s="74">
        <v>5</v>
      </c>
      <c r="H107" s="35">
        <f>IF(OR(J107="",K107="",K107&lt;J107),0,NETWORKDAYS(J107,K107,Hoja2!$A$2:$A$53))</f>
        <v>13</v>
      </c>
      <c r="I107" s="37">
        <v>46167</v>
      </c>
      <c r="J107" s="37">
        <v>46168</v>
      </c>
      <c r="K107" s="38">
        <v>46188</v>
      </c>
      <c r="L107" s="38"/>
      <c r="M107" s="39">
        <f ca="1">IF(OR(J107="",AND(L107="",TODAY()&lt;J107),AND(L107&lt;&gt;"",L107&lt;J107)),0,
   IF(L107="",
      NETWORKDAYS(J107,TODAY(),Hoja2!$A$2:$A$53),
      NETWORKDAYS(J107,L107,Hoja2!$A$2:$A$53)
   )
)</f>
        <v>7</v>
      </c>
      <c r="N107" s="38"/>
      <c r="O107" s="38"/>
      <c r="P107" s="38"/>
      <c r="Q107" s="76" t="s">
        <v>379</v>
      </c>
      <c r="R107" s="160" t="s">
        <v>493</v>
      </c>
    </row>
    <row r="108" spans="1:18" ht="140.25" customHeight="1">
      <c r="A108" s="16" t="s">
        <v>18</v>
      </c>
      <c r="B108" s="17" t="s">
        <v>380</v>
      </c>
      <c r="C108" s="18" t="s">
        <v>381</v>
      </c>
      <c r="D108" s="19" t="s">
        <v>382</v>
      </c>
      <c r="E108" s="19"/>
      <c r="F108" s="52" t="s">
        <v>378</v>
      </c>
      <c r="G108" s="64">
        <v>5</v>
      </c>
      <c r="H108" s="22">
        <f>IF(OR(J108="",K108="",K108&lt;J108),0,NETWORKDAYS(J108,K108,Hoja2!$A$2:$A$53))</f>
        <v>4</v>
      </c>
      <c r="I108" s="43">
        <v>46169</v>
      </c>
      <c r="J108" s="43">
        <v>46169</v>
      </c>
      <c r="K108" s="24">
        <v>46174</v>
      </c>
      <c r="L108" s="24"/>
      <c r="M108" s="25">
        <f ca="1">IF(OR(J108="",AND(L108="",TODAY()&lt;J108),AND(L108&lt;&gt;"",L108&lt;J108)),0,
   IF(L108="",
      NETWORKDAYS(J108,TODAY(),Hoja2!$A$2:$A$53),
      NETWORKDAYS(J108,L108,Hoja2!$A$2:$A$53)
   )
)</f>
        <v>6</v>
      </c>
      <c r="N108" s="24"/>
      <c r="O108" s="24"/>
      <c r="P108" s="24"/>
      <c r="Q108" s="75" t="s">
        <v>383</v>
      </c>
      <c r="R108" s="160" t="s">
        <v>493</v>
      </c>
    </row>
    <row r="109" spans="1:18" ht="140.25" customHeight="1">
      <c r="A109" s="29" t="s">
        <v>18</v>
      </c>
      <c r="B109" s="30" t="s">
        <v>384</v>
      </c>
      <c r="C109" s="31" t="s">
        <v>385</v>
      </c>
      <c r="D109" s="32" t="s">
        <v>386</v>
      </c>
      <c r="E109" s="32"/>
      <c r="F109" s="70" t="s">
        <v>378</v>
      </c>
      <c r="G109" s="74">
        <v>5</v>
      </c>
      <c r="H109" s="35">
        <f>IF(OR(J109="",K109="",K109&lt;J109),0,NETWORKDAYS(J109,K109,Hoja2!$A$2:$A$53))</f>
        <v>6</v>
      </c>
      <c r="I109" s="37">
        <v>46174</v>
      </c>
      <c r="J109" s="37">
        <v>46175</v>
      </c>
      <c r="K109" s="38">
        <v>46183</v>
      </c>
      <c r="L109" s="38"/>
      <c r="M109" s="39">
        <f ca="1">IF(OR(J109="",AND(L109="",TODAY()&lt;J109),AND(L109&lt;&gt;"",L109&lt;J109)),0,
   IF(L109="",
      NETWORKDAYS(J109,TODAY(),Hoja2!$A$2:$A$53),
      NETWORKDAYS(J109,L109,Hoja2!$A$2:$A$53)
   )
)</f>
        <v>2</v>
      </c>
      <c r="N109" s="38"/>
      <c r="O109" s="38"/>
      <c r="P109" s="38"/>
      <c r="Q109" s="76" t="s">
        <v>387</v>
      </c>
      <c r="R109" s="160" t="s">
        <v>493</v>
      </c>
    </row>
  </sheetData>
  <autoFilter ref="A1:AN109"/>
  <conditionalFormatting sqref="B1:B109">
    <cfRule type="expression" dxfId="0" priority="2">
      <formula>COUNTIF(B$1:B$109, B1)&gt;1</formula>
    </cfRule>
  </conditionalFormatting>
  <dataValidations count="2">
    <dataValidation type="custom" allowBlank="1" showDropDown="1" sqref="I2:L20 I21 K21:L21 I22:L109 N2:P109">
      <formula1>OR(NOT(ISERROR(DATEVALUE(I2))), AND(ISNUMBER(I2), LEFT(CELL("format", I2))="D"))</formula1>
    </dataValidation>
    <dataValidation type="list" allowBlank="1" sqref="F2:F109">
      <formula1>"FINALIZADO,EN PROCESO,PAUSADO,EN TEST,PENDIENTE,PRUEBAS CLIENTE,PRUEBAS IMAGINE,CANCELADO"</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77" t="s">
        <v>0</v>
      </c>
      <c r="B1" s="2" t="s">
        <v>1</v>
      </c>
      <c r="C1" s="3" t="s">
        <v>2</v>
      </c>
      <c r="D1" s="4" t="s">
        <v>3</v>
      </c>
      <c r="E1" s="5" t="s">
        <v>4</v>
      </c>
      <c r="F1" s="6" t="s">
        <v>5</v>
      </c>
      <c r="G1" s="78" t="s">
        <v>6</v>
      </c>
      <c r="H1" s="79" t="s">
        <v>388</v>
      </c>
      <c r="I1" s="80" t="s">
        <v>8</v>
      </c>
      <c r="J1" s="80" t="s">
        <v>9</v>
      </c>
      <c r="K1" s="81" t="s">
        <v>10</v>
      </c>
      <c r="L1" s="81" t="s">
        <v>11</v>
      </c>
      <c r="M1" s="80" t="s">
        <v>389</v>
      </c>
      <c r="N1" s="82" t="s">
        <v>14</v>
      </c>
      <c r="O1" s="82" t="s">
        <v>15</v>
      </c>
      <c r="P1" s="13" t="s">
        <v>16</v>
      </c>
      <c r="R1" s="15"/>
      <c r="S1" s="15"/>
      <c r="T1" s="15"/>
      <c r="U1" s="15"/>
      <c r="V1" s="15"/>
      <c r="W1" s="15"/>
      <c r="X1" s="15"/>
      <c r="Y1" s="15"/>
      <c r="Z1" s="15"/>
      <c r="AA1" s="15"/>
      <c r="AB1" s="15"/>
      <c r="AC1" s="15"/>
      <c r="AD1" s="15"/>
      <c r="AE1" s="15"/>
      <c r="AF1" s="15"/>
      <c r="AG1" s="15"/>
      <c r="AH1" s="15"/>
      <c r="AI1" s="15"/>
      <c r="AJ1" s="15"/>
      <c r="AK1" s="15"/>
      <c r="AL1" s="15"/>
      <c r="AM1" s="15"/>
    </row>
    <row r="2" spans="1:39" ht="29.25" customHeight="1">
      <c r="A2" s="83" t="s">
        <v>390</v>
      </c>
      <c r="B2" s="84" t="s">
        <v>19</v>
      </c>
      <c r="C2" s="85" t="s">
        <v>391</v>
      </c>
      <c r="D2" s="84" t="s">
        <v>21</v>
      </c>
      <c r="E2" s="84" t="s">
        <v>392</v>
      </c>
      <c r="F2" s="86" t="s">
        <v>22</v>
      </c>
      <c r="G2" s="87">
        <v>1</v>
      </c>
      <c r="H2" s="88">
        <v>1</v>
      </c>
      <c r="I2" s="89">
        <v>45826</v>
      </c>
      <c r="J2" s="89">
        <v>45827</v>
      </c>
      <c r="K2" s="90">
        <v>45827</v>
      </c>
      <c r="L2" s="90">
        <v>45827</v>
      </c>
      <c r="M2" s="91">
        <f ca="1">IF(ISBLANK(L2), NETWORKDAYS(J2, TODAY(),Hoja2!$A$1:$A$18), NETWORKDAYS(J2, L2, Hoja2!$A$1:$A$18))</f>
        <v>1</v>
      </c>
      <c r="N2" s="92"/>
      <c r="O2" s="93"/>
      <c r="P2" s="94" t="s">
        <v>23</v>
      </c>
    </row>
    <row r="3" spans="1:39" ht="29.25" customHeight="1">
      <c r="A3" s="83" t="s">
        <v>390</v>
      </c>
      <c r="B3" s="84" t="s">
        <v>24</v>
      </c>
      <c r="C3" s="85" t="s">
        <v>391</v>
      </c>
      <c r="D3" s="84" t="s">
        <v>21</v>
      </c>
      <c r="E3" s="84" t="s">
        <v>393</v>
      </c>
      <c r="F3" s="86" t="s">
        <v>22</v>
      </c>
      <c r="G3" s="87">
        <v>1</v>
      </c>
      <c r="H3" s="88">
        <v>1</v>
      </c>
      <c r="I3" s="89">
        <v>45827</v>
      </c>
      <c r="J3" s="95">
        <v>45832</v>
      </c>
      <c r="K3" s="90">
        <v>45832</v>
      </c>
      <c r="L3" s="90">
        <v>45832</v>
      </c>
      <c r="M3" s="91">
        <f ca="1">IF(ISBLANK(L3), NETWORKDAYS(J3, TODAY(),Hoja2!$A$1:$A$18), NETWORKDAYS(J3, L3, Hoja2!$A$1:$A$18))</f>
        <v>1</v>
      </c>
      <c r="N3" s="92"/>
      <c r="O3" s="93"/>
      <c r="P3" s="96" t="s">
        <v>26</v>
      </c>
    </row>
    <row r="4" spans="1:39" ht="39" customHeight="1">
      <c r="A4" s="83" t="s">
        <v>390</v>
      </c>
      <c r="B4" s="84" t="s">
        <v>27</v>
      </c>
      <c r="C4" s="85" t="s">
        <v>394</v>
      </c>
      <c r="D4" s="84" t="s">
        <v>29</v>
      </c>
      <c r="E4" s="84" t="s">
        <v>395</v>
      </c>
      <c r="F4" s="86" t="s">
        <v>22</v>
      </c>
      <c r="G4" s="97">
        <v>1</v>
      </c>
      <c r="H4" s="98">
        <v>1</v>
      </c>
      <c r="I4" s="95">
        <v>45832</v>
      </c>
      <c r="J4" s="95">
        <v>45839</v>
      </c>
      <c r="K4" s="90">
        <v>45833</v>
      </c>
      <c r="L4" s="90">
        <v>45839</v>
      </c>
      <c r="M4" s="91">
        <f ca="1">IF(ISBLANK(L4), NETWORKDAYS(J4, TODAY(),Hoja2!$A$1:$A$18), NETWORKDAYS(J4, L4, Hoja2!$A$1:$A$18))</f>
        <v>1</v>
      </c>
      <c r="N4" s="90">
        <v>45839</v>
      </c>
      <c r="O4" s="90">
        <v>45853</v>
      </c>
      <c r="P4" s="99" t="s">
        <v>30</v>
      </c>
    </row>
    <row r="5" spans="1:39" ht="127.5">
      <c r="A5" s="83" t="s">
        <v>390</v>
      </c>
      <c r="B5" s="84" t="s">
        <v>31</v>
      </c>
      <c r="C5" s="85" t="s">
        <v>394</v>
      </c>
      <c r="D5" s="84" t="s">
        <v>29</v>
      </c>
      <c r="E5" s="100" t="s">
        <v>396</v>
      </c>
      <c r="F5" s="86" t="s">
        <v>22</v>
      </c>
      <c r="G5" s="97">
        <v>1</v>
      </c>
      <c r="H5" s="101">
        <v>2</v>
      </c>
      <c r="I5" s="95">
        <v>45839</v>
      </c>
      <c r="J5" s="95">
        <v>45839</v>
      </c>
      <c r="K5" s="90">
        <v>45840</v>
      </c>
      <c r="L5" s="90">
        <v>45848</v>
      </c>
      <c r="M5" s="91">
        <f ca="1">IF(ISBLANK(L5), NETWORKDAYS(J5, TODAY(),Hoja2!$A$1:$A$18), NETWORKDAYS(J5, L5, Hoja2!$A$1:$A$18))</f>
        <v>8</v>
      </c>
      <c r="N5" s="90">
        <v>45848</v>
      </c>
      <c r="O5" s="90">
        <v>45853</v>
      </c>
      <c r="P5" s="96" t="s">
        <v>33</v>
      </c>
    </row>
    <row r="6" spans="1:39" ht="29.25" customHeight="1">
      <c r="A6" s="83" t="s">
        <v>390</v>
      </c>
      <c r="B6" s="84" t="s">
        <v>34</v>
      </c>
      <c r="C6" s="85" t="s">
        <v>394</v>
      </c>
      <c r="D6" s="84" t="s">
        <v>29</v>
      </c>
      <c r="E6" s="102" t="s">
        <v>397</v>
      </c>
      <c r="F6" s="103" t="s">
        <v>22</v>
      </c>
      <c r="G6" s="97">
        <v>1</v>
      </c>
      <c r="H6" s="104">
        <v>1</v>
      </c>
      <c r="I6" s="95">
        <v>45839</v>
      </c>
      <c r="J6" s="95">
        <v>45840</v>
      </c>
      <c r="K6" s="90">
        <v>45840</v>
      </c>
      <c r="L6" s="90">
        <v>45840</v>
      </c>
      <c r="M6" s="91">
        <f ca="1">IF(ISBLANK(L6), NETWORKDAYS(J6, TODAY(),Hoja2!$A$1:$A$18), NETWORKDAYS(J6, L6, Hoja2!$A$1:$A$18))</f>
        <v>1</v>
      </c>
      <c r="N6" s="90">
        <v>45840</v>
      </c>
      <c r="O6" s="90">
        <v>45853</v>
      </c>
      <c r="P6" s="96" t="s">
        <v>36</v>
      </c>
    </row>
    <row r="7" spans="1:39" ht="29.25" customHeight="1">
      <c r="A7" s="83" t="s">
        <v>390</v>
      </c>
      <c r="B7" s="84" t="s">
        <v>37</v>
      </c>
      <c r="C7" s="85" t="s">
        <v>394</v>
      </c>
      <c r="D7" s="84" t="s">
        <v>29</v>
      </c>
      <c r="E7" s="84" t="s">
        <v>398</v>
      </c>
      <c r="F7" s="105" t="s">
        <v>22</v>
      </c>
      <c r="G7" s="97">
        <v>1</v>
      </c>
      <c r="H7" s="101">
        <v>1</v>
      </c>
      <c r="I7" s="106">
        <v>45847</v>
      </c>
      <c r="J7" s="106">
        <v>45847</v>
      </c>
      <c r="K7" s="90">
        <v>45848</v>
      </c>
      <c r="L7" s="90">
        <v>45848</v>
      </c>
      <c r="M7" s="91">
        <f ca="1">IF(ISBLANK(L7), NETWORKDAYS(J7, TODAY(),Hoja2!$A$1:$A$18), NETWORKDAYS(J7, L7, Hoja2!$A$1:$A$18))</f>
        <v>2</v>
      </c>
      <c r="N7" s="90">
        <v>45848</v>
      </c>
      <c r="O7" s="90">
        <v>45853</v>
      </c>
      <c r="P7" s="96" t="s">
        <v>39</v>
      </c>
    </row>
    <row r="8" spans="1:39" ht="29.25" customHeight="1">
      <c r="A8" s="83" t="s">
        <v>390</v>
      </c>
      <c r="B8" s="84" t="s">
        <v>40</v>
      </c>
      <c r="C8" s="85" t="s">
        <v>399</v>
      </c>
      <c r="D8" s="84" t="s">
        <v>42</v>
      </c>
      <c r="E8" s="107" t="s">
        <v>400</v>
      </c>
      <c r="F8" s="86" t="s">
        <v>22</v>
      </c>
      <c r="G8" s="97">
        <v>1</v>
      </c>
      <c r="H8" s="98">
        <v>1</v>
      </c>
      <c r="I8" s="95">
        <v>45832</v>
      </c>
      <c r="J8" s="95">
        <v>45832</v>
      </c>
      <c r="K8" s="90">
        <v>45832</v>
      </c>
      <c r="L8" s="90">
        <v>45832</v>
      </c>
      <c r="M8" s="91">
        <f ca="1">IF(ISBLANK(L8), NETWORKDAYS(J8, TODAY(),Hoja2!$A$1:$A$18), NETWORKDAYS(J8, L8, Hoja2!$A$1:$A$18))</f>
        <v>1</v>
      </c>
      <c r="N8" s="108"/>
      <c r="O8" s="109"/>
      <c r="P8" s="110" t="s">
        <v>43</v>
      </c>
    </row>
    <row r="9" spans="1:39" ht="29.25" customHeight="1">
      <c r="A9" s="83" t="s">
        <v>390</v>
      </c>
      <c r="B9" s="84" t="s">
        <v>44</v>
      </c>
      <c r="C9" s="111" t="s">
        <v>401</v>
      </c>
      <c r="D9" s="112"/>
      <c r="E9" s="84" t="s">
        <v>402</v>
      </c>
      <c r="F9" s="105" t="s">
        <v>22</v>
      </c>
      <c r="G9" s="97">
        <v>1</v>
      </c>
      <c r="H9" s="101">
        <v>1</v>
      </c>
      <c r="I9" s="106">
        <v>45847</v>
      </c>
      <c r="J9" s="106">
        <v>45847</v>
      </c>
      <c r="K9" s="90">
        <v>45847</v>
      </c>
      <c r="L9" s="90">
        <v>45847</v>
      </c>
      <c r="M9" s="91">
        <f ca="1">IF(ISBLANK(L9), NETWORKDAYS(J9, TODAY(),Hoja2!$A$1:$A$18), NETWORKDAYS(J9, L9, Hoja2!$A$1:$A$18))</f>
        <v>1</v>
      </c>
      <c r="N9" s="90">
        <v>45847</v>
      </c>
      <c r="O9" s="109"/>
      <c r="P9" s="96" t="s">
        <v>46</v>
      </c>
    </row>
    <row r="10" spans="1:39" ht="93" customHeight="1">
      <c r="A10" s="83" t="s">
        <v>390</v>
      </c>
      <c r="B10" s="84" t="s">
        <v>47</v>
      </c>
      <c r="C10" s="111" t="s">
        <v>403</v>
      </c>
      <c r="D10" s="112"/>
      <c r="E10" s="84" t="s">
        <v>404</v>
      </c>
      <c r="F10" s="105" t="s">
        <v>22</v>
      </c>
      <c r="G10" s="97">
        <v>1</v>
      </c>
      <c r="H10" s="101">
        <v>1</v>
      </c>
      <c r="I10" s="106">
        <v>45849</v>
      </c>
      <c r="J10" s="106">
        <v>45849</v>
      </c>
      <c r="K10" s="113">
        <v>45849</v>
      </c>
      <c r="L10" s="113">
        <v>45849</v>
      </c>
      <c r="M10" s="91">
        <f ca="1">IF(ISBLANK(L10), NETWORKDAYS(J10, TODAY(),Hoja2!$A$1:$A$18), NETWORKDAYS(J10, L10, Hoja2!$A$1:$A$18))</f>
        <v>1</v>
      </c>
      <c r="N10" s="113"/>
      <c r="O10" s="109"/>
      <c r="P10" s="96" t="s">
        <v>49</v>
      </c>
    </row>
    <row r="11" spans="1:39" ht="409.5">
      <c r="A11" s="83" t="s">
        <v>390</v>
      </c>
      <c r="B11" s="84" t="s">
        <v>50</v>
      </c>
      <c r="C11" s="85" t="s">
        <v>399</v>
      </c>
      <c r="D11" s="84" t="s">
        <v>42</v>
      </c>
      <c r="E11" s="114" t="s">
        <v>405</v>
      </c>
      <c r="F11" s="105" t="s">
        <v>22</v>
      </c>
      <c r="G11" s="97">
        <v>1</v>
      </c>
      <c r="H11" s="101">
        <v>1</v>
      </c>
      <c r="I11" s="106">
        <v>45854</v>
      </c>
      <c r="J11" s="106">
        <v>45854</v>
      </c>
      <c r="K11" s="113">
        <v>45854</v>
      </c>
      <c r="L11" s="113">
        <v>45854</v>
      </c>
      <c r="M11" s="91">
        <f ca="1">IF(ISBLANK(L11), NETWORKDAYS(J11, TODAY(),Hoja2!$A$1:$A$18), NETWORKDAYS(J11, L11, Hoja2!$A$1:$A$18))</f>
        <v>1</v>
      </c>
      <c r="N11" s="113">
        <v>45854</v>
      </c>
      <c r="O11" s="109"/>
      <c r="P11" s="96" t="s">
        <v>52</v>
      </c>
    </row>
    <row r="12" spans="1:39" ht="29.25" customHeight="1">
      <c r="A12" s="83" t="s">
        <v>390</v>
      </c>
      <c r="B12" s="84" t="s">
        <v>53</v>
      </c>
      <c r="C12" s="115" t="s">
        <v>406</v>
      </c>
      <c r="D12" s="84" t="s">
        <v>55</v>
      </c>
      <c r="E12" s="84" t="s">
        <v>407</v>
      </c>
      <c r="F12" s="105" t="s">
        <v>22</v>
      </c>
      <c r="G12" s="97">
        <v>1</v>
      </c>
      <c r="H12" s="101">
        <v>5</v>
      </c>
      <c r="I12" s="106">
        <v>45855</v>
      </c>
      <c r="J12" s="106">
        <v>45856</v>
      </c>
      <c r="K12" s="113">
        <v>45862</v>
      </c>
      <c r="L12" s="113">
        <v>45861</v>
      </c>
      <c r="M12" s="91">
        <f ca="1">IF(ISBLANK(K12), NETWORKDAYS(J12, TODAY(),Hoja2!$A$1:$A$18), NETWORKDAYS(J12, K12, Hoja2!$A$1:$A$18))</f>
        <v>5</v>
      </c>
      <c r="N12" s="113">
        <v>45861</v>
      </c>
      <c r="O12" s="109"/>
      <c r="P12" s="96" t="s">
        <v>56</v>
      </c>
    </row>
    <row r="13" spans="1:39" ht="29.25" customHeight="1">
      <c r="A13" s="83" t="s">
        <v>390</v>
      </c>
      <c r="B13" s="84" t="s">
        <v>57</v>
      </c>
      <c r="C13" s="111" t="s">
        <v>408</v>
      </c>
      <c r="D13" s="84" t="s">
        <v>59</v>
      </c>
      <c r="E13" s="84" t="s">
        <v>409</v>
      </c>
      <c r="F13" s="105" t="s">
        <v>22</v>
      </c>
      <c r="G13" s="97">
        <v>1</v>
      </c>
      <c r="H13" s="101">
        <v>1</v>
      </c>
      <c r="I13" s="106">
        <v>45860</v>
      </c>
      <c r="J13" s="106">
        <v>45860</v>
      </c>
      <c r="K13" s="113">
        <v>45860</v>
      </c>
      <c r="L13" s="113">
        <v>45860</v>
      </c>
      <c r="M13" s="91">
        <f ca="1">IF(ISBLANK(L13), NETWORKDAYS(J13, TODAY(),Hoja2!$A$1:$A$18), NETWORKDAYS(J13, L13, Hoja2!$A$1:$A$18))</f>
        <v>1</v>
      </c>
      <c r="N13" s="108"/>
      <c r="O13" s="109"/>
      <c r="P13" s="96" t="s">
        <v>60</v>
      </c>
    </row>
    <row r="14" spans="1:39" ht="29.25" customHeight="1">
      <c r="A14" s="83" t="s">
        <v>390</v>
      </c>
      <c r="B14" s="84" t="s">
        <v>61</v>
      </c>
      <c r="C14" s="115" t="s">
        <v>80</v>
      </c>
      <c r="D14" s="116"/>
      <c r="E14" s="102" t="s">
        <v>410</v>
      </c>
      <c r="F14" s="110" t="s">
        <v>22</v>
      </c>
      <c r="G14" s="97">
        <v>1</v>
      </c>
      <c r="H14" s="101">
        <v>2</v>
      </c>
      <c r="I14" s="106">
        <v>45863</v>
      </c>
      <c r="J14" s="106">
        <v>45863</v>
      </c>
      <c r="K14" s="113">
        <v>45866</v>
      </c>
      <c r="L14" s="113">
        <v>45866</v>
      </c>
      <c r="M14" s="91">
        <f ca="1">IF(ISBLANK(L14), NETWORKDAYS(J14, TODAY(),Hoja2!$A$1:$A$18), NETWORKDAYS(J14, L14, Hoja2!$A$1:$A$18))</f>
        <v>2</v>
      </c>
      <c r="N14" s="108"/>
      <c r="O14" s="109"/>
      <c r="P14" s="96" t="s">
        <v>63</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17">
        <v>45292</v>
      </c>
      <c r="B1" s="118" t="s">
        <v>411</v>
      </c>
    </row>
    <row r="2" spans="1:2" ht="17.25" customHeight="1">
      <c r="A2" s="117">
        <v>45299</v>
      </c>
      <c r="B2" s="118" t="s">
        <v>412</v>
      </c>
    </row>
    <row r="3" spans="1:2" ht="17.25" customHeight="1">
      <c r="A3" s="117">
        <v>45376</v>
      </c>
      <c r="B3" s="118" t="s">
        <v>413</v>
      </c>
    </row>
    <row r="4" spans="1:2" ht="17.25" customHeight="1">
      <c r="A4" s="117">
        <v>45379</v>
      </c>
      <c r="B4" s="118" t="s">
        <v>414</v>
      </c>
    </row>
    <row r="5" spans="1:2" ht="17.25" customHeight="1">
      <c r="A5" s="117">
        <v>45380</v>
      </c>
      <c r="B5" s="118" t="s">
        <v>415</v>
      </c>
    </row>
    <row r="6" spans="1:2" ht="17.25" customHeight="1">
      <c r="A6" s="117">
        <v>45413</v>
      </c>
      <c r="B6" s="118" t="s">
        <v>416</v>
      </c>
    </row>
    <row r="7" spans="1:2" ht="17.25" customHeight="1">
      <c r="A7" s="117">
        <v>45425</v>
      </c>
      <c r="B7" s="118" t="s">
        <v>417</v>
      </c>
    </row>
    <row r="8" spans="1:2" ht="17.25" customHeight="1">
      <c r="A8" s="117">
        <v>45446</v>
      </c>
      <c r="B8" s="118" t="s">
        <v>418</v>
      </c>
    </row>
    <row r="9" spans="1:2" ht="17.25" customHeight="1">
      <c r="A9" s="117">
        <v>45453</v>
      </c>
      <c r="B9" s="118" t="s">
        <v>419</v>
      </c>
    </row>
    <row r="10" spans="1:2" ht="17.25" customHeight="1">
      <c r="A10" s="117">
        <v>45474</v>
      </c>
      <c r="B10" s="118" t="s">
        <v>420</v>
      </c>
    </row>
    <row r="11" spans="1:2" ht="17.25" customHeight="1">
      <c r="A11" s="117">
        <v>45493</v>
      </c>
      <c r="B11" s="118" t="s">
        <v>421</v>
      </c>
    </row>
    <row r="12" spans="1:2" ht="17.25" customHeight="1">
      <c r="A12" s="117">
        <v>45511</v>
      </c>
      <c r="B12" s="118" t="s">
        <v>422</v>
      </c>
    </row>
    <row r="13" spans="1:2" ht="17.25" customHeight="1">
      <c r="A13" s="117">
        <v>45523</v>
      </c>
      <c r="B13" s="118" t="s">
        <v>423</v>
      </c>
    </row>
    <row r="14" spans="1:2" ht="17.25" customHeight="1">
      <c r="A14" s="117">
        <v>45579</v>
      </c>
      <c r="B14" s="118" t="s">
        <v>424</v>
      </c>
    </row>
    <row r="15" spans="1:2" ht="17.25" customHeight="1">
      <c r="A15" s="117">
        <v>45600</v>
      </c>
      <c r="B15" s="118" t="s">
        <v>425</v>
      </c>
    </row>
    <row r="16" spans="1:2" ht="17.25" customHeight="1">
      <c r="A16" s="117">
        <v>45607</v>
      </c>
      <c r="B16" s="118" t="s">
        <v>426</v>
      </c>
    </row>
    <row r="17" spans="1:2" ht="17.25" customHeight="1">
      <c r="A17" s="117">
        <v>45634</v>
      </c>
      <c r="B17" s="118" t="s">
        <v>427</v>
      </c>
    </row>
    <row r="18" spans="1:2" ht="17.25" customHeight="1">
      <c r="A18" s="117">
        <v>45651</v>
      </c>
      <c r="B18" s="118" t="s">
        <v>428</v>
      </c>
    </row>
    <row r="19" spans="1:2" ht="17.25" customHeight="1">
      <c r="A19" s="117">
        <v>45658</v>
      </c>
      <c r="B19" s="119" t="s">
        <v>429</v>
      </c>
    </row>
    <row r="20" spans="1:2" ht="17.25" customHeight="1">
      <c r="A20" s="117">
        <v>45663</v>
      </c>
      <c r="B20" s="119" t="s">
        <v>430</v>
      </c>
    </row>
    <row r="21" spans="1:2" ht="17.25" customHeight="1">
      <c r="A21" s="117">
        <v>45740</v>
      </c>
      <c r="B21" s="119" t="s">
        <v>431</v>
      </c>
    </row>
    <row r="22" spans="1:2" ht="17.25" customHeight="1">
      <c r="A22" s="117">
        <v>45764</v>
      </c>
      <c r="B22" s="119" t="s">
        <v>432</v>
      </c>
    </row>
    <row r="23" spans="1:2" ht="17.25" customHeight="1">
      <c r="A23" s="117">
        <v>45765</v>
      </c>
      <c r="B23" s="119" t="s">
        <v>433</v>
      </c>
    </row>
    <row r="24" spans="1:2" ht="17.25" customHeight="1">
      <c r="A24" s="117">
        <v>45778</v>
      </c>
      <c r="B24" s="119" t="s">
        <v>434</v>
      </c>
    </row>
    <row r="25" spans="1:2" ht="17.25" customHeight="1">
      <c r="A25" s="117">
        <v>45810</v>
      </c>
      <c r="B25" s="119" t="s">
        <v>435</v>
      </c>
    </row>
    <row r="26" spans="1:2" ht="17.25" customHeight="1">
      <c r="A26" s="117">
        <v>45831</v>
      </c>
      <c r="B26" s="119" t="s">
        <v>436</v>
      </c>
    </row>
    <row r="27" spans="1:2" ht="17.25" customHeight="1">
      <c r="A27" s="117">
        <v>45838</v>
      </c>
      <c r="B27" s="119" t="s">
        <v>437</v>
      </c>
    </row>
    <row r="28" spans="1:2" ht="17.25" customHeight="1">
      <c r="A28" s="117">
        <v>45858</v>
      </c>
      <c r="B28" s="119" t="s">
        <v>438</v>
      </c>
    </row>
    <row r="29" spans="1:2" ht="17.25" customHeight="1">
      <c r="A29" s="117">
        <v>45876</v>
      </c>
      <c r="B29" s="119" t="s">
        <v>439</v>
      </c>
    </row>
    <row r="30" spans="1:2" ht="17.25" customHeight="1">
      <c r="A30" s="117">
        <v>45887</v>
      </c>
      <c r="B30" s="119" t="s">
        <v>440</v>
      </c>
    </row>
    <row r="31" spans="1:2" ht="17.25" customHeight="1">
      <c r="A31" s="117">
        <v>45943</v>
      </c>
      <c r="B31" s="119" t="s">
        <v>441</v>
      </c>
    </row>
    <row r="32" spans="1:2" ht="17.25" customHeight="1">
      <c r="A32" s="117">
        <v>45964</v>
      </c>
      <c r="B32" s="119" t="s">
        <v>442</v>
      </c>
    </row>
    <row r="33" spans="1:2" ht="17.25" customHeight="1">
      <c r="A33" s="117">
        <v>45978</v>
      </c>
      <c r="B33" s="119" t="s">
        <v>443</v>
      </c>
    </row>
    <row r="34" spans="1:2" ht="17.25" customHeight="1">
      <c r="A34" s="117">
        <v>45999</v>
      </c>
      <c r="B34" s="119" t="s">
        <v>444</v>
      </c>
    </row>
    <row r="35" spans="1:2" ht="17.25" customHeight="1">
      <c r="A35" s="117">
        <v>46016</v>
      </c>
      <c r="B35" s="119" t="s">
        <v>445</v>
      </c>
    </row>
    <row r="36" spans="1:2" ht="17.25" customHeight="1">
      <c r="A36" s="117">
        <v>46023</v>
      </c>
      <c r="B36" s="119" t="s">
        <v>429</v>
      </c>
    </row>
    <row r="37" spans="1:2" ht="17.25" customHeight="1">
      <c r="A37" s="117">
        <v>46034</v>
      </c>
      <c r="B37" s="119" t="s">
        <v>430</v>
      </c>
    </row>
    <row r="38" spans="1:2" ht="17.25" customHeight="1">
      <c r="A38" s="117">
        <v>46104</v>
      </c>
      <c r="B38" s="119" t="s">
        <v>431</v>
      </c>
    </row>
    <row r="39" spans="1:2" ht="17.25" customHeight="1">
      <c r="A39" s="117">
        <v>46114</v>
      </c>
      <c r="B39" s="119" t="s">
        <v>432</v>
      </c>
    </row>
    <row r="40" spans="1:2" ht="17.25" customHeight="1">
      <c r="A40" s="117">
        <v>46115</v>
      </c>
      <c r="B40" s="119" t="s">
        <v>433</v>
      </c>
    </row>
    <row r="41" spans="1:2" ht="17.25" customHeight="1">
      <c r="A41" s="117">
        <v>46143</v>
      </c>
      <c r="B41" s="119" t="s">
        <v>434</v>
      </c>
    </row>
    <row r="42" spans="1:2" ht="17.25" customHeight="1">
      <c r="A42" s="117">
        <v>46160</v>
      </c>
      <c r="B42" s="119" t="s">
        <v>435</v>
      </c>
    </row>
    <row r="43" spans="1:2" ht="17.25" customHeight="1">
      <c r="A43" s="117">
        <v>46181</v>
      </c>
      <c r="B43" s="119" t="s">
        <v>436</v>
      </c>
    </row>
    <row r="44" spans="1:2" ht="17.25" customHeight="1">
      <c r="A44" s="117">
        <v>46188</v>
      </c>
      <c r="B44" s="119" t="s">
        <v>446</v>
      </c>
    </row>
    <row r="45" spans="1:2" ht="17.25" customHeight="1">
      <c r="A45" s="117">
        <v>46202</v>
      </c>
      <c r="B45" s="119" t="s">
        <v>447</v>
      </c>
    </row>
    <row r="46" spans="1:2" ht="17.25" customHeight="1">
      <c r="A46" s="117">
        <v>46223</v>
      </c>
      <c r="B46" s="119" t="s">
        <v>438</v>
      </c>
    </row>
    <row r="47" spans="1:2" ht="17.25" customHeight="1">
      <c r="A47" s="117">
        <v>46241</v>
      </c>
      <c r="B47" s="119" t="s">
        <v>439</v>
      </c>
    </row>
    <row r="48" spans="1:2" ht="17.25" customHeight="1">
      <c r="A48" s="117">
        <v>46251</v>
      </c>
      <c r="B48" s="119" t="s">
        <v>440</v>
      </c>
    </row>
    <row r="49" spans="1:2" ht="17.25" customHeight="1">
      <c r="A49" s="117">
        <v>46307</v>
      </c>
      <c r="B49" s="119" t="s">
        <v>441</v>
      </c>
    </row>
    <row r="50" spans="1:2" ht="17.25" customHeight="1">
      <c r="A50" s="117">
        <v>46328</v>
      </c>
      <c r="B50" s="119" t="s">
        <v>442</v>
      </c>
    </row>
    <row r="51" spans="1:2" ht="17.25" customHeight="1">
      <c r="A51" s="117">
        <v>46342</v>
      </c>
      <c r="B51" s="119" t="s">
        <v>443</v>
      </c>
    </row>
    <row r="52" spans="1:2" ht="17.25" customHeight="1">
      <c r="A52" s="117">
        <v>46364</v>
      </c>
      <c r="B52" s="119" t="s">
        <v>444</v>
      </c>
    </row>
    <row r="53" spans="1:2" ht="17.25" customHeight="1">
      <c r="A53" s="117">
        <v>46381</v>
      </c>
      <c r="B53" s="119" t="s">
        <v>445</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0" t="s">
        <v>448</v>
      </c>
      <c r="B1" s="121"/>
      <c r="C1" s="121"/>
      <c r="D1" s="121"/>
      <c r="E1" s="121"/>
      <c r="F1" s="121"/>
      <c r="G1" s="121"/>
      <c r="H1" s="121"/>
      <c r="I1" s="121"/>
      <c r="J1" s="121"/>
      <c r="K1" s="121"/>
      <c r="L1" s="121"/>
      <c r="M1" s="121"/>
      <c r="N1" s="121"/>
      <c r="O1" s="121"/>
      <c r="P1" s="121"/>
      <c r="Q1" s="121"/>
      <c r="R1" s="121"/>
      <c r="S1" s="121"/>
      <c r="T1" s="121"/>
      <c r="U1" s="121"/>
      <c r="V1" s="121"/>
      <c r="W1" s="121"/>
      <c r="X1" s="121"/>
      <c r="Y1" s="121"/>
      <c r="Z1" s="121"/>
    </row>
    <row r="2" spans="1:97">
      <c r="A2" s="121"/>
      <c r="B2" s="121"/>
      <c r="C2" s="121"/>
      <c r="D2" s="121"/>
      <c r="E2" s="121"/>
      <c r="F2" s="121"/>
      <c r="G2" s="121"/>
      <c r="H2" s="121"/>
      <c r="I2" s="121"/>
      <c r="J2" s="121"/>
      <c r="K2" s="121"/>
      <c r="L2" s="121"/>
      <c r="M2" s="121"/>
      <c r="N2" s="121"/>
      <c r="O2" s="121"/>
      <c r="P2" s="121"/>
      <c r="Q2" s="121"/>
      <c r="R2" s="121"/>
      <c r="S2" s="121"/>
      <c r="T2" s="121"/>
      <c r="U2" s="121"/>
      <c r="V2" s="121"/>
      <c r="W2" s="121"/>
      <c r="X2" s="121"/>
      <c r="Y2" s="121"/>
      <c r="Z2" s="121"/>
    </row>
    <row r="3" spans="1:97" ht="32.25" customHeight="1">
      <c r="A3" s="122" t="s">
        <v>449</v>
      </c>
      <c r="B3" s="123">
        <v>45596</v>
      </c>
      <c r="C3" s="123">
        <v>45597</v>
      </c>
      <c r="D3" s="123">
        <v>45601</v>
      </c>
      <c r="E3" s="123">
        <v>45602</v>
      </c>
      <c r="F3" s="123">
        <v>45603</v>
      </c>
      <c r="G3" s="123">
        <v>45604</v>
      </c>
      <c r="H3" s="123">
        <v>45608</v>
      </c>
      <c r="I3" s="123">
        <v>45609</v>
      </c>
      <c r="J3" s="123">
        <v>45610</v>
      </c>
      <c r="K3" s="123">
        <v>45611</v>
      </c>
      <c r="L3" s="123">
        <v>45614</v>
      </c>
      <c r="M3" s="123">
        <v>45615</v>
      </c>
      <c r="N3" s="123">
        <v>45616</v>
      </c>
      <c r="O3" s="123">
        <v>45617</v>
      </c>
      <c r="P3" s="123">
        <v>45618</v>
      </c>
      <c r="Q3" s="124">
        <v>45621</v>
      </c>
      <c r="R3" s="124">
        <v>45622</v>
      </c>
      <c r="S3" s="124">
        <v>45623</v>
      </c>
      <c r="T3" s="124">
        <v>45624</v>
      </c>
      <c r="U3" s="124">
        <v>45625</v>
      </c>
      <c r="V3" s="124">
        <v>45628</v>
      </c>
      <c r="W3" s="124">
        <v>45629</v>
      </c>
      <c r="X3" s="124">
        <v>45630</v>
      </c>
      <c r="Y3" s="124">
        <v>45631</v>
      </c>
      <c r="Z3" s="124">
        <v>45632</v>
      </c>
      <c r="AA3" s="124">
        <v>45635</v>
      </c>
      <c r="AB3" s="124">
        <v>45636</v>
      </c>
      <c r="AC3" s="124">
        <v>45637</v>
      </c>
      <c r="AD3" s="124">
        <v>45638</v>
      </c>
      <c r="AE3" s="125">
        <v>45639</v>
      </c>
      <c r="AF3" s="123">
        <v>45642</v>
      </c>
      <c r="AG3" s="123">
        <v>45643</v>
      </c>
      <c r="AH3" s="123">
        <v>45644</v>
      </c>
      <c r="AI3" s="123">
        <v>45645</v>
      </c>
      <c r="AJ3" s="123">
        <v>45646</v>
      </c>
      <c r="AK3" s="123">
        <v>45649</v>
      </c>
      <c r="AL3" s="123">
        <v>45650</v>
      </c>
      <c r="AM3" s="123">
        <v>45652</v>
      </c>
      <c r="AN3" s="123">
        <v>45653</v>
      </c>
      <c r="AO3" s="123">
        <v>45656</v>
      </c>
      <c r="AP3" s="123">
        <v>45656</v>
      </c>
      <c r="AQ3" s="123">
        <v>45664</v>
      </c>
      <c r="AR3" s="123">
        <v>45665</v>
      </c>
      <c r="AS3" s="123">
        <v>45666</v>
      </c>
      <c r="AT3" s="123">
        <v>45667</v>
      </c>
      <c r="AU3" s="123">
        <v>45670</v>
      </c>
      <c r="AV3" s="123">
        <v>45671</v>
      </c>
      <c r="AW3" s="123">
        <v>45672</v>
      </c>
      <c r="AX3" s="123">
        <v>45673</v>
      </c>
      <c r="AY3" s="123">
        <v>45674</v>
      </c>
      <c r="AZ3" s="123">
        <v>45677</v>
      </c>
      <c r="BA3" s="123">
        <v>45678</v>
      </c>
      <c r="BB3" s="123">
        <v>45679</v>
      </c>
      <c r="BC3" s="123">
        <v>45680</v>
      </c>
      <c r="BD3" s="123">
        <v>45681</v>
      </c>
      <c r="BE3" s="123">
        <v>45684</v>
      </c>
      <c r="BF3" s="123">
        <v>45685</v>
      </c>
      <c r="BG3" s="123">
        <v>45686</v>
      </c>
      <c r="BH3" s="123">
        <v>45687</v>
      </c>
      <c r="BI3" s="123">
        <v>45688</v>
      </c>
      <c r="BJ3" s="124">
        <v>45691</v>
      </c>
      <c r="BK3" s="124">
        <v>45692</v>
      </c>
      <c r="BL3" s="124">
        <v>45693</v>
      </c>
      <c r="BM3" s="124">
        <v>45694</v>
      </c>
      <c r="BN3" s="124">
        <v>45695</v>
      </c>
      <c r="BO3" s="124">
        <v>45698</v>
      </c>
      <c r="BP3" s="124">
        <v>45699</v>
      </c>
      <c r="BQ3" s="124">
        <v>45700</v>
      </c>
      <c r="BR3" s="124">
        <v>45701</v>
      </c>
      <c r="BS3" s="124">
        <v>45702</v>
      </c>
      <c r="BT3" s="124">
        <v>45705</v>
      </c>
      <c r="BU3" s="124">
        <v>45706</v>
      </c>
      <c r="BV3" s="124">
        <v>45707</v>
      </c>
      <c r="BW3" s="124">
        <v>45708</v>
      </c>
      <c r="BX3" s="124">
        <v>45709</v>
      </c>
      <c r="BY3" s="124">
        <v>45712</v>
      </c>
      <c r="BZ3" s="124">
        <v>45713</v>
      </c>
      <c r="CA3" s="124">
        <v>45714</v>
      </c>
      <c r="CB3" s="124">
        <v>45715</v>
      </c>
      <c r="CC3" s="124">
        <v>45716</v>
      </c>
      <c r="CD3" s="124">
        <v>45719</v>
      </c>
      <c r="CE3" s="124">
        <v>45720</v>
      </c>
      <c r="CF3" s="124">
        <v>45721</v>
      </c>
      <c r="CG3" s="124">
        <v>45722</v>
      </c>
      <c r="CH3" s="124">
        <v>45723</v>
      </c>
      <c r="CI3" s="124">
        <v>45726</v>
      </c>
      <c r="CJ3" s="124">
        <v>45727</v>
      </c>
      <c r="CK3" s="124">
        <v>45728</v>
      </c>
      <c r="CL3" s="124">
        <v>45729</v>
      </c>
      <c r="CM3" s="124">
        <v>45730</v>
      </c>
      <c r="CN3" s="124">
        <v>45733</v>
      </c>
      <c r="CO3" s="124">
        <v>45734</v>
      </c>
      <c r="CP3" s="124">
        <v>45735</v>
      </c>
      <c r="CQ3" s="124">
        <v>45736</v>
      </c>
      <c r="CR3" s="124">
        <v>45737</v>
      </c>
      <c r="CS3" s="124">
        <v>45741</v>
      </c>
    </row>
    <row r="4" spans="1:97" ht="30.75" customHeight="1">
      <c r="A4" s="126" t="s">
        <v>450</v>
      </c>
      <c r="B4" s="127" t="s">
        <v>451</v>
      </c>
      <c r="C4" s="128" t="s">
        <v>452</v>
      </c>
      <c r="D4" s="129" t="s">
        <v>451</v>
      </c>
      <c r="E4" s="129" t="s">
        <v>451</v>
      </c>
      <c r="F4" s="129" t="s">
        <v>451</v>
      </c>
      <c r="G4" s="129" t="s">
        <v>451</v>
      </c>
      <c r="H4" s="129" t="s">
        <v>451</v>
      </c>
      <c r="I4" s="129" t="s">
        <v>451</v>
      </c>
      <c r="J4" s="129" t="s">
        <v>451</v>
      </c>
      <c r="K4" s="129" t="s">
        <v>451</v>
      </c>
      <c r="L4" s="129" t="s">
        <v>451</v>
      </c>
      <c r="M4" s="129" t="s">
        <v>451</v>
      </c>
      <c r="N4" s="129" t="s">
        <v>451</v>
      </c>
      <c r="O4" s="129" t="s">
        <v>453</v>
      </c>
      <c r="P4" s="130" t="s">
        <v>451</v>
      </c>
      <c r="Q4" s="129" t="s">
        <v>451</v>
      </c>
      <c r="R4" s="129" t="s">
        <v>451</v>
      </c>
      <c r="S4" s="129" t="s">
        <v>451</v>
      </c>
      <c r="T4" s="129" t="s">
        <v>451</v>
      </c>
      <c r="U4" s="130" t="s">
        <v>454</v>
      </c>
      <c r="V4" s="129" t="s">
        <v>451</v>
      </c>
      <c r="W4" s="129" t="s">
        <v>451</v>
      </c>
      <c r="X4" s="129" t="s">
        <v>451</v>
      </c>
      <c r="Y4" s="129" t="s">
        <v>451</v>
      </c>
      <c r="Z4" s="129" t="s">
        <v>451</v>
      </c>
      <c r="AA4" s="129" t="s">
        <v>451</v>
      </c>
      <c r="AB4" s="129" t="s">
        <v>451</v>
      </c>
      <c r="AC4" s="129" t="s">
        <v>451</v>
      </c>
      <c r="AD4" s="129" t="s">
        <v>451</v>
      </c>
      <c r="AE4" s="155" t="s">
        <v>455</v>
      </c>
      <c r="AF4" s="129" t="s">
        <v>451</v>
      </c>
      <c r="AG4" s="129" t="s">
        <v>451</v>
      </c>
      <c r="AH4" s="129" t="s">
        <v>451</v>
      </c>
      <c r="AI4" s="129" t="s">
        <v>451</v>
      </c>
      <c r="AJ4" s="129" t="s">
        <v>451</v>
      </c>
      <c r="AK4" s="129" t="s">
        <v>451</v>
      </c>
      <c r="AL4" s="155" t="s">
        <v>456</v>
      </c>
      <c r="AM4" s="129" t="s">
        <v>454</v>
      </c>
      <c r="AN4" s="129" t="s">
        <v>454</v>
      </c>
      <c r="AO4" s="129" t="s">
        <v>451</v>
      </c>
      <c r="AP4" s="155" t="s">
        <v>457</v>
      </c>
      <c r="AQ4" s="129" t="s">
        <v>451</v>
      </c>
      <c r="AR4" s="129" t="s">
        <v>451</v>
      </c>
      <c r="AS4" s="155" t="s">
        <v>457</v>
      </c>
      <c r="AT4" s="131" t="s">
        <v>451</v>
      </c>
      <c r="AU4" s="129" t="s">
        <v>451</v>
      </c>
      <c r="AV4" s="129" t="s">
        <v>451</v>
      </c>
      <c r="AW4" s="129" t="s">
        <v>451</v>
      </c>
      <c r="AX4" s="129" t="s">
        <v>451</v>
      </c>
      <c r="AY4" s="155" t="s">
        <v>457</v>
      </c>
      <c r="AZ4" s="129" t="s">
        <v>451</v>
      </c>
      <c r="BA4" s="129" t="s">
        <v>451</v>
      </c>
      <c r="BB4" s="129" t="s">
        <v>451</v>
      </c>
      <c r="BC4" s="129" t="s">
        <v>451</v>
      </c>
      <c r="BD4" s="129" t="s">
        <v>451</v>
      </c>
      <c r="BE4" s="129" t="s">
        <v>451</v>
      </c>
      <c r="BF4" s="129" t="s">
        <v>451</v>
      </c>
      <c r="BG4" s="129" t="s">
        <v>451</v>
      </c>
      <c r="BH4" s="129" t="s">
        <v>451</v>
      </c>
      <c r="BI4" s="130" t="s">
        <v>451</v>
      </c>
      <c r="BJ4" s="155" t="s">
        <v>457</v>
      </c>
      <c r="BK4" s="130" t="s">
        <v>458</v>
      </c>
      <c r="BL4" s="130" t="s">
        <v>458</v>
      </c>
      <c r="BM4" s="130" t="s">
        <v>458</v>
      </c>
      <c r="BN4" s="130" t="s">
        <v>458</v>
      </c>
      <c r="BO4" s="130" t="s">
        <v>458</v>
      </c>
      <c r="BP4" s="130" t="s">
        <v>458</v>
      </c>
      <c r="BQ4" s="130" t="s">
        <v>458</v>
      </c>
      <c r="BR4" s="129" t="s">
        <v>451</v>
      </c>
      <c r="BS4" s="129" t="s">
        <v>451</v>
      </c>
      <c r="BT4" s="129" t="s">
        <v>451</v>
      </c>
      <c r="BU4" s="129" t="s">
        <v>451</v>
      </c>
      <c r="BV4" s="129" t="s">
        <v>451</v>
      </c>
      <c r="BW4" s="129" t="s">
        <v>451</v>
      </c>
      <c r="BX4" s="129" t="s">
        <v>451</v>
      </c>
      <c r="BY4" s="129" t="s">
        <v>451</v>
      </c>
      <c r="BZ4" s="129" t="s">
        <v>451</v>
      </c>
      <c r="CA4" s="129" t="s">
        <v>451</v>
      </c>
      <c r="CB4" s="129" t="s">
        <v>451</v>
      </c>
      <c r="CC4" s="129" t="s">
        <v>451</v>
      </c>
      <c r="CD4" s="129" t="s">
        <v>451</v>
      </c>
      <c r="CE4" s="129" t="s">
        <v>451</v>
      </c>
      <c r="CF4" s="129" t="s">
        <v>451</v>
      </c>
      <c r="CG4" s="129"/>
      <c r="CH4" s="129"/>
      <c r="CI4" s="155" t="s">
        <v>459</v>
      </c>
      <c r="CJ4" s="129"/>
      <c r="CK4" s="129"/>
      <c r="CL4" s="129"/>
      <c r="CM4" s="129"/>
      <c r="CN4" s="129"/>
      <c r="CO4" s="129"/>
      <c r="CP4" s="129"/>
      <c r="CQ4" s="129"/>
      <c r="CR4" s="129"/>
      <c r="CS4" s="129" t="s">
        <v>451</v>
      </c>
    </row>
    <row r="5" spans="1:97" ht="15.75" customHeight="1">
      <c r="A5" s="126" t="s">
        <v>460</v>
      </c>
      <c r="B5" s="127" t="s">
        <v>451</v>
      </c>
      <c r="C5" s="129" t="s">
        <v>451</v>
      </c>
      <c r="D5" s="129" t="s">
        <v>451</v>
      </c>
      <c r="E5" s="129" t="s">
        <v>451</v>
      </c>
      <c r="F5" s="129" t="s">
        <v>451</v>
      </c>
      <c r="G5" s="129" t="s">
        <v>451</v>
      </c>
      <c r="H5" s="129" t="s">
        <v>451</v>
      </c>
      <c r="I5" s="129" t="s">
        <v>451</v>
      </c>
      <c r="J5" s="129" t="s">
        <v>451</v>
      </c>
      <c r="K5" s="129" t="s">
        <v>451</v>
      </c>
      <c r="L5" s="129" t="s">
        <v>458</v>
      </c>
      <c r="M5" s="129" t="s">
        <v>458</v>
      </c>
      <c r="N5" s="129" t="s">
        <v>458</v>
      </c>
      <c r="O5" s="129" t="s">
        <v>458</v>
      </c>
      <c r="P5" s="130" t="s">
        <v>458</v>
      </c>
      <c r="Q5" s="129" t="s">
        <v>451</v>
      </c>
      <c r="R5" s="129" t="s">
        <v>451</v>
      </c>
      <c r="S5" s="129" t="s">
        <v>451</v>
      </c>
      <c r="T5" s="129" t="s">
        <v>451</v>
      </c>
      <c r="U5" s="130" t="s">
        <v>451</v>
      </c>
      <c r="V5" s="129" t="s">
        <v>451</v>
      </c>
      <c r="W5" s="129" t="s">
        <v>451</v>
      </c>
      <c r="X5" s="129" t="s">
        <v>451</v>
      </c>
      <c r="Y5" s="129" t="s">
        <v>451</v>
      </c>
      <c r="Z5" s="129" t="s">
        <v>451</v>
      </c>
      <c r="AA5" s="129" t="s">
        <v>451</v>
      </c>
      <c r="AB5" s="129" t="s">
        <v>451</v>
      </c>
      <c r="AC5" s="129" t="s">
        <v>451</v>
      </c>
      <c r="AD5" s="129" t="s">
        <v>451</v>
      </c>
      <c r="AE5" s="156"/>
      <c r="AF5" s="129" t="s">
        <v>451</v>
      </c>
      <c r="AG5" s="129" t="s">
        <v>451</v>
      </c>
      <c r="AH5" s="129" t="s">
        <v>451</v>
      </c>
      <c r="AI5" s="129" t="s">
        <v>451</v>
      </c>
      <c r="AJ5" s="129" t="s">
        <v>451</v>
      </c>
      <c r="AK5" s="129" t="s">
        <v>451</v>
      </c>
      <c r="AL5" s="156"/>
      <c r="AM5" s="129" t="s">
        <v>451</v>
      </c>
      <c r="AN5" s="129" t="s">
        <v>451</v>
      </c>
      <c r="AO5" s="129" t="s">
        <v>451</v>
      </c>
      <c r="AP5" s="156"/>
      <c r="AQ5" s="129" t="s">
        <v>458</v>
      </c>
      <c r="AR5" s="129" t="s">
        <v>458</v>
      </c>
      <c r="AS5" s="156"/>
      <c r="AT5" s="129" t="s">
        <v>458</v>
      </c>
      <c r="AU5" s="129" t="s">
        <v>458</v>
      </c>
      <c r="AV5" s="129" t="s">
        <v>458</v>
      </c>
      <c r="AW5" s="129" t="s">
        <v>458</v>
      </c>
      <c r="AX5" s="129" t="s">
        <v>458</v>
      </c>
      <c r="AY5" s="156"/>
      <c r="AZ5" s="129" t="s">
        <v>458</v>
      </c>
      <c r="BA5" s="129" t="s">
        <v>451</v>
      </c>
      <c r="BB5" s="129" t="s">
        <v>451</v>
      </c>
      <c r="BC5" s="129" t="s">
        <v>451</v>
      </c>
      <c r="BD5" s="129" t="s">
        <v>451</v>
      </c>
      <c r="BE5" s="129" t="s">
        <v>451</v>
      </c>
      <c r="BF5" s="129" t="s">
        <v>451</v>
      </c>
      <c r="BG5" s="129" t="s">
        <v>451</v>
      </c>
      <c r="BH5" s="129" t="s">
        <v>451</v>
      </c>
      <c r="BI5" s="130" t="s">
        <v>451</v>
      </c>
      <c r="BJ5" s="156"/>
      <c r="BK5" s="130" t="s">
        <v>451</v>
      </c>
      <c r="BL5" s="130" t="s">
        <v>451</v>
      </c>
      <c r="BM5" s="129" t="s">
        <v>451</v>
      </c>
      <c r="BN5" s="130" t="s">
        <v>451</v>
      </c>
      <c r="BO5" s="129" t="s">
        <v>451</v>
      </c>
      <c r="BP5" s="129" t="s">
        <v>451</v>
      </c>
      <c r="BQ5" s="129" t="s">
        <v>451</v>
      </c>
      <c r="BR5" s="129" t="s">
        <v>451</v>
      </c>
      <c r="BS5" s="129" t="s">
        <v>451</v>
      </c>
      <c r="BT5" s="129" t="s">
        <v>451</v>
      </c>
      <c r="BU5" s="129" t="s">
        <v>451</v>
      </c>
      <c r="BV5" s="129" t="s">
        <v>451</v>
      </c>
      <c r="BW5" s="129" t="s">
        <v>451</v>
      </c>
      <c r="BX5" s="129" t="s">
        <v>451</v>
      </c>
      <c r="BY5" s="129" t="s">
        <v>451</v>
      </c>
      <c r="BZ5" s="129" t="s">
        <v>451</v>
      </c>
      <c r="CA5" s="129" t="s">
        <v>451</v>
      </c>
      <c r="CB5" s="129" t="s">
        <v>451</v>
      </c>
      <c r="CC5" s="129" t="s">
        <v>451</v>
      </c>
      <c r="CD5" s="129" t="s">
        <v>451</v>
      </c>
      <c r="CE5" s="129" t="s">
        <v>451</v>
      </c>
      <c r="CF5" s="129" t="s">
        <v>451</v>
      </c>
      <c r="CG5" s="129"/>
      <c r="CH5" s="129"/>
      <c r="CI5" s="156"/>
      <c r="CJ5" s="129"/>
      <c r="CK5" s="129"/>
      <c r="CL5" s="129"/>
      <c r="CM5" s="129"/>
      <c r="CN5" s="129"/>
      <c r="CO5" s="129"/>
      <c r="CP5" s="129"/>
      <c r="CQ5" s="129"/>
      <c r="CR5" s="129"/>
      <c r="CS5" s="129" t="s">
        <v>451</v>
      </c>
    </row>
    <row r="6" spans="1:97" ht="15.75">
      <c r="A6" s="126" t="s">
        <v>461</v>
      </c>
      <c r="B6" s="127" t="s">
        <v>451</v>
      </c>
      <c r="C6" s="129" t="s">
        <v>451</v>
      </c>
      <c r="D6" s="129" t="s">
        <v>451</v>
      </c>
      <c r="E6" s="129" t="s">
        <v>451</v>
      </c>
      <c r="F6" s="129" t="s">
        <v>451</v>
      </c>
      <c r="G6" s="129" t="s">
        <v>451</v>
      </c>
      <c r="H6" s="129" t="s">
        <v>451</v>
      </c>
      <c r="I6" s="129" t="s">
        <v>451</v>
      </c>
      <c r="J6" s="129" t="s">
        <v>451</v>
      </c>
      <c r="K6" s="132" t="s">
        <v>462</v>
      </c>
      <c r="L6" s="129" t="s">
        <v>451</v>
      </c>
      <c r="M6" s="129" t="s">
        <v>451</v>
      </c>
      <c r="N6" s="129" t="s">
        <v>451</v>
      </c>
      <c r="O6" s="129" t="s">
        <v>453</v>
      </c>
      <c r="P6" s="130" t="s">
        <v>451</v>
      </c>
      <c r="Q6" s="129" t="s">
        <v>451</v>
      </c>
      <c r="R6" s="129" t="s">
        <v>451</v>
      </c>
      <c r="S6" s="129" t="s">
        <v>451</v>
      </c>
      <c r="T6" s="129" t="s">
        <v>451</v>
      </c>
      <c r="U6" s="130" t="s">
        <v>451</v>
      </c>
      <c r="V6" s="129" t="s">
        <v>451</v>
      </c>
      <c r="W6" s="129" t="s">
        <v>451</v>
      </c>
      <c r="X6" s="129" t="s">
        <v>451</v>
      </c>
      <c r="Y6" s="129" t="s">
        <v>451</v>
      </c>
      <c r="Z6" s="129" t="s">
        <v>451</v>
      </c>
      <c r="AA6" s="129" t="s">
        <v>451</v>
      </c>
      <c r="AB6" s="129" t="s">
        <v>451</v>
      </c>
      <c r="AC6" s="129" t="s">
        <v>451</v>
      </c>
      <c r="AD6" s="129" t="s">
        <v>451</v>
      </c>
      <c r="AE6" s="156"/>
      <c r="AF6" s="129" t="s">
        <v>451</v>
      </c>
      <c r="AG6" s="129" t="s">
        <v>451</v>
      </c>
      <c r="AH6" s="129" t="s">
        <v>451</v>
      </c>
      <c r="AI6" s="129" t="s">
        <v>451</v>
      </c>
      <c r="AJ6" s="129" t="s">
        <v>451</v>
      </c>
      <c r="AK6" s="129" t="s">
        <v>451</v>
      </c>
      <c r="AL6" s="156"/>
      <c r="AM6" s="129" t="s">
        <v>451</v>
      </c>
      <c r="AN6" s="129" t="s">
        <v>451</v>
      </c>
      <c r="AO6" s="129" t="s">
        <v>451</v>
      </c>
      <c r="AP6" s="156"/>
      <c r="AQ6" s="129" t="s">
        <v>451</v>
      </c>
      <c r="AR6" s="129" t="s">
        <v>451</v>
      </c>
      <c r="AS6" s="156"/>
      <c r="AT6" s="129" t="s">
        <v>451</v>
      </c>
      <c r="AU6" s="129" t="s">
        <v>451</v>
      </c>
      <c r="AV6" s="129" t="s">
        <v>451</v>
      </c>
      <c r="AW6" s="129" t="s">
        <v>451</v>
      </c>
      <c r="AX6" s="129" t="s">
        <v>451</v>
      </c>
      <c r="AY6" s="156"/>
      <c r="AZ6" s="129" t="s">
        <v>451</v>
      </c>
      <c r="BA6" s="129" t="s">
        <v>451</v>
      </c>
      <c r="BB6" s="129" t="s">
        <v>451</v>
      </c>
      <c r="BC6" s="129" t="s">
        <v>451</v>
      </c>
      <c r="BD6" s="129" t="s">
        <v>451</v>
      </c>
      <c r="BE6" s="129" t="s">
        <v>451</v>
      </c>
      <c r="BF6" s="129" t="s">
        <v>451</v>
      </c>
      <c r="BG6" s="129" t="s">
        <v>451</v>
      </c>
      <c r="BH6" s="129" t="s">
        <v>451</v>
      </c>
      <c r="BI6" s="130" t="s">
        <v>451</v>
      </c>
      <c r="BJ6" s="156"/>
      <c r="BK6" s="130" t="s">
        <v>451</v>
      </c>
      <c r="BL6" s="130" t="s">
        <v>451</v>
      </c>
      <c r="BM6" s="129" t="s">
        <v>463</v>
      </c>
      <c r="BN6" s="130" t="s">
        <v>451</v>
      </c>
      <c r="BO6" s="129" t="s">
        <v>451</v>
      </c>
      <c r="BP6" s="129" t="s">
        <v>451</v>
      </c>
      <c r="BQ6" s="129" t="s">
        <v>451</v>
      </c>
      <c r="BR6" s="129" t="s">
        <v>451</v>
      </c>
      <c r="BS6" s="129" t="s">
        <v>451</v>
      </c>
      <c r="BT6" s="129" t="s">
        <v>451</v>
      </c>
      <c r="BU6" s="129" t="s">
        <v>451</v>
      </c>
      <c r="BV6" s="129" t="s">
        <v>451</v>
      </c>
      <c r="BW6" s="129" t="s">
        <v>451</v>
      </c>
      <c r="BX6" s="129" t="s">
        <v>451</v>
      </c>
      <c r="BY6" s="129" t="s">
        <v>451</v>
      </c>
      <c r="BZ6" s="129" t="s">
        <v>451</v>
      </c>
      <c r="CA6" s="129" t="s">
        <v>451</v>
      </c>
      <c r="CB6" s="129" t="s">
        <v>451</v>
      </c>
      <c r="CC6" s="129" t="s">
        <v>451</v>
      </c>
      <c r="CD6" s="129" t="s">
        <v>451</v>
      </c>
      <c r="CE6" s="129" t="s">
        <v>451</v>
      </c>
      <c r="CF6" s="129" t="s">
        <v>451</v>
      </c>
      <c r="CG6" s="129"/>
      <c r="CH6" s="129"/>
      <c r="CI6" s="156"/>
      <c r="CJ6" s="129"/>
      <c r="CK6" s="129"/>
      <c r="CL6" s="129"/>
      <c r="CM6" s="129"/>
      <c r="CN6" s="129"/>
      <c r="CO6" s="129"/>
      <c r="CP6" s="129"/>
      <c r="CQ6" s="129"/>
      <c r="CR6" s="129"/>
      <c r="CS6" s="129" t="s">
        <v>451</v>
      </c>
    </row>
    <row r="7" spans="1:97" ht="15.75" hidden="1" customHeight="1">
      <c r="A7" s="126" t="s">
        <v>464</v>
      </c>
      <c r="B7" s="127" t="s">
        <v>451</v>
      </c>
      <c r="C7" s="129" t="s">
        <v>451</v>
      </c>
      <c r="D7" s="129" t="s">
        <v>451</v>
      </c>
      <c r="E7" s="129" t="s">
        <v>451</v>
      </c>
      <c r="F7" s="129" t="s">
        <v>451</v>
      </c>
      <c r="G7" s="129" t="s">
        <v>451</v>
      </c>
      <c r="H7" s="129" t="s">
        <v>451</v>
      </c>
      <c r="I7" s="129" t="s">
        <v>451</v>
      </c>
      <c r="J7" s="129" t="s">
        <v>451</v>
      </c>
      <c r="K7" s="129" t="s">
        <v>451</v>
      </c>
      <c r="L7" s="132" t="s">
        <v>462</v>
      </c>
      <c r="M7" s="129" t="s">
        <v>451</v>
      </c>
      <c r="N7" s="129" t="s">
        <v>451</v>
      </c>
      <c r="O7" s="129" t="s">
        <v>453</v>
      </c>
      <c r="P7" s="130" t="s">
        <v>451</v>
      </c>
      <c r="Q7" s="129" t="s">
        <v>451</v>
      </c>
      <c r="R7" s="129" t="s">
        <v>451</v>
      </c>
      <c r="S7" s="129" t="s">
        <v>451</v>
      </c>
      <c r="T7" s="129" t="s">
        <v>451</v>
      </c>
      <c r="U7" s="130" t="s">
        <v>465</v>
      </c>
      <c r="V7" s="129" t="s">
        <v>451</v>
      </c>
      <c r="W7" s="129" t="s">
        <v>451</v>
      </c>
      <c r="X7" s="129" t="s">
        <v>451</v>
      </c>
      <c r="Y7" s="129" t="s">
        <v>451</v>
      </c>
      <c r="Z7" s="129" t="s">
        <v>454</v>
      </c>
      <c r="AA7" s="129" t="s">
        <v>451</v>
      </c>
      <c r="AB7" s="129" t="s">
        <v>451</v>
      </c>
      <c r="AC7" s="129" t="s">
        <v>451</v>
      </c>
      <c r="AD7" s="129" t="s">
        <v>451</v>
      </c>
      <c r="AE7" s="156"/>
      <c r="AF7" s="129" t="s">
        <v>451</v>
      </c>
      <c r="AG7" s="129" t="s">
        <v>451</v>
      </c>
      <c r="AH7" s="129" t="s">
        <v>451</v>
      </c>
      <c r="AI7" s="129" t="s">
        <v>451</v>
      </c>
      <c r="AJ7" s="129" t="s">
        <v>451</v>
      </c>
      <c r="AK7" s="129" t="s">
        <v>451</v>
      </c>
      <c r="AL7" s="156"/>
      <c r="AM7" s="129" t="s">
        <v>451</v>
      </c>
      <c r="AN7" s="129" t="s">
        <v>451</v>
      </c>
      <c r="AO7" s="129" t="s">
        <v>451</v>
      </c>
      <c r="AP7" s="156"/>
      <c r="AQ7" s="129" t="s">
        <v>451</v>
      </c>
      <c r="AR7" s="129" t="s">
        <v>451</v>
      </c>
      <c r="AS7" s="156"/>
      <c r="AT7" s="129" t="s">
        <v>451</v>
      </c>
      <c r="AU7" s="129" t="s">
        <v>454</v>
      </c>
      <c r="AV7" s="129" t="s">
        <v>451</v>
      </c>
      <c r="AW7" s="129" t="s">
        <v>451</v>
      </c>
      <c r="AX7" s="129" t="s">
        <v>451</v>
      </c>
      <c r="AY7" s="156"/>
      <c r="AZ7" s="129" t="s">
        <v>451</v>
      </c>
      <c r="BA7" s="129" t="s">
        <v>451</v>
      </c>
      <c r="BB7" s="129" t="s">
        <v>451</v>
      </c>
      <c r="BC7" s="129" t="s">
        <v>451</v>
      </c>
      <c r="BD7" s="129" t="s">
        <v>451</v>
      </c>
      <c r="BE7" s="129" t="s">
        <v>451</v>
      </c>
      <c r="BF7" s="129" t="s">
        <v>451</v>
      </c>
      <c r="BG7" s="129" t="s">
        <v>451</v>
      </c>
      <c r="BH7" s="129" t="s">
        <v>451</v>
      </c>
      <c r="BI7" s="130" t="s">
        <v>451</v>
      </c>
      <c r="BJ7" s="156"/>
      <c r="BK7" s="130" t="s">
        <v>451</v>
      </c>
      <c r="BL7" s="130" t="s">
        <v>451</v>
      </c>
      <c r="BM7" s="129" t="s">
        <v>451</v>
      </c>
      <c r="BN7" s="130" t="s">
        <v>451</v>
      </c>
      <c r="BO7" s="129" t="s">
        <v>454</v>
      </c>
      <c r="BP7" s="129"/>
      <c r="BQ7" s="129"/>
      <c r="BR7" s="129"/>
      <c r="BS7" s="129"/>
      <c r="BT7" s="129"/>
      <c r="BU7" s="129" t="s">
        <v>451</v>
      </c>
      <c r="BV7" s="129" t="s">
        <v>451</v>
      </c>
      <c r="BW7" s="129" t="s">
        <v>451</v>
      </c>
      <c r="BX7" s="129" t="s">
        <v>451</v>
      </c>
      <c r="BY7" s="129"/>
      <c r="BZ7" s="129"/>
      <c r="CA7" s="129"/>
      <c r="CB7" s="129"/>
      <c r="CC7" s="129"/>
      <c r="CD7" s="129"/>
      <c r="CE7" s="129"/>
      <c r="CF7" s="129"/>
      <c r="CG7" s="129"/>
      <c r="CH7" s="129"/>
      <c r="CI7" s="156"/>
      <c r="CJ7" s="129"/>
      <c r="CK7" s="129"/>
      <c r="CL7" s="129"/>
      <c r="CM7" s="129"/>
      <c r="CN7" s="129"/>
      <c r="CO7" s="129"/>
      <c r="CP7" s="129"/>
      <c r="CQ7" s="129"/>
      <c r="CR7" s="129"/>
      <c r="CS7" s="129"/>
    </row>
    <row r="8" spans="1:97" ht="15.75" hidden="1" customHeight="1">
      <c r="A8" s="126" t="s">
        <v>466</v>
      </c>
      <c r="B8" s="127" t="s">
        <v>451</v>
      </c>
      <c r="C8" s="129" t="s">
        <v>451</v>
      </c>
      <c r="D8" s="129" t="s">
        <v>451</v>
      </c>
      <c r="E8" s="129" t="s">
        <v>451</v>
      </c>
      <c r="F8" s="129" t="s">
        <v>451</v>
      </c>
      <c r="G8" s="129" t="s">
        <v>451</v>
      </c>
      <c r="H8" s="129" t="s">
        <v>451</v>
      </c>
      <c r="I8" s="129" t="s">
        <v>451</v>
      </c>
      <c r="J8" s="129" t="s">
        <v>451</v>
      </c>
      <c r="K8" s="129" t="s">
        <v>451</v>
      </c>
      <c r="L8" s="129" t="s">
        <v>454</v>
      </c>
      <c r="M8" s="129" t="s">
        <v>451</v>
      </c>
      <c r="N8" s="129" t="s">
        <v>451</v>
      </c>
      <c r="O8" s="129" t="s">
        <v>453</v>
      </c>
      <c r="P8" s="130" t="s">
        <v>451</v>
      </c>
      <c r="Q8" s="129" t="s">
        <v>451</v>
      </c>
      <c r="R8" s="129" t="s">
        <v>451</v>
      </c>
      <c r="S8" s="129" t="s">
        <v>451</v>
      </c>
      <c r="T8" s="129" t="s">
        <v>451</v>
      </c>
      <c r="U8" s="130" t="s">
        <v>451</v>
      </c>
      <c r="V8" s="129" t="s">
        <v>451</v>
      </c>
      <c r="W8" s="129" t="s">
        <v>467</v>
      </c>
      <c r="X8" s="129" t="s">
        <v>451</v>
      </c>
      <c r="Y8" s="129" t="s">
        <v>451</v>
      </c>
      <c r="Z8" s="129" t="s">
        <v>451</v>
      </c>
      <c r="AA8" s="129" t="s">
        <v>451</v>
      </c>
      <c r="AB8" s="129" t="s">
        <v>454</v>
      </c>
      <c r="AC8" s="129" t="s">
        <v>451</v>
      </c>
      <c r="AD8" s="129" t="s">
        <v>451</v>
      </c>
      <c r="AE8" s="156"/>
      <c r="AF8" s="129" t="s">
        <v>451</v>
      </c>
      <c r="AG8" s="129" t="s">
        <v>451</v>
      </c>
      <c r="AH8" s="129" t="s">
        <v>451</v>
      </c>
      <c r="AI8" s="129" t="s">
        <v>451</v>
      </c>
      <c r="AJ8" s="129" t="s">
        <v>451</v>
      </c>
      <c r="AK8" s="129" t="s">
        <v>451</v>
      </c>
      <c r="AL8" s="156"/>
      <c r="AM8" s="129" t="s">
        <v>451</v>
      </c>
      <c r="AN8" s="129" t="s">
        <v>454</v>
      </c>
      <c r="AO8" s="129" t="s">
        <v>451</v>
      </c>
      <c r="AP8" s="156"/>
      <c r="AQ8" s="129" t="s">
        <v>451</v>
      </c>
      <c r="AR8" s="129" t="s">
        <v>451</v>
      </c>
      <c r="AS8" s="156"/>
      <c r="AT8" s="129" t="s">
        <v>451</v>
      </c>
      <c r="AU8" s="129" t="s">
        <v>451</v>
      </c>
      <c r="AV8" s="129" t="s">
        <v>451</v>
      </c>
      <c r="AW8" s="129" t="s">
        <v>451</v>
      </c>
      <c r="AX8" s="129" t="s">
        <v>451</v>
      </c>
      <c r="AY8" s="156"/>
      <c r="AZ8" s="129" t="s">
        <v>451</v>
      </c>
      <c r="BA8" s="129" t="s">
        <v>451</v>
      </c>
      <c r="BB8" s="129" t="s">
        <v>451</v>
      </c>
      <c r="BC8" s="129" t="s">
        <v>451</v>
      </c>
      <c r="BD8" s="129" t="s">
        <v>451</v>
      </c>
      <c r="BE8" s="129" t="s">
        <v>451</v>
      </c>
      <c r="BF8" s="129" t="s">
        <v>451</v>
      </c>
      <c r="BG8" s="129" t="s">
        <v>468</v>
      </c>
      <c r="BH8" s="129" t="s">
        <v>451</v>
      </c>
      <c r="BI8" s="130" t="s">
        <v>451</v>
      </c>
      <c r="BJ8" s="156"/>
      <c r="BK8" s="130" t="s">
        <v>451</v>
      </c>
      <c r="BL8" s="130" t="s">
        <v>451</v>
      </c>
      <c r="BM8" s="129" t="s">
        <v>451</v>
      </c>
      <c r="BN8" s="130" t="s">
        <v>451</v>
      </c>
      <c r="BO8" s="129" t="s">
        <v>451</v>
      </c>
      <c r="BP8" s="129" t="s">
        <v>451</v>
      </c>
      <c r="BQ8" s="129" t="s">
        <v>451</v>
      </c>
      <c r="BR8" s="129" t="s">
        <v>451</v>
      </c>
      <c r="BS8" s="129" t="s">
        <v>451</v>
      </c>
      <c r="BT8" s="129" t="s">
        <v>451</v>
      </c>
      <c r="BU8" s="129" t="s">
        <v>451</v>
      </c>
      <c r="BV8" s="129" t="s">
        <v>451</v>
      </c>
      <c r="BW8" s="129" t="s">
        <v>451</v>
      </c>
      <c r="BX8" s="129" t="s">
        <v>469</v>
      </c>
      <c r="BY8" s="129"/>
      <c r="BZ8" s="129"/>
      <c r="CA8" s="129"/>
      <c r="CB8" s="129"/>
      <c r="CC8" s="129"/>
      <c r="CD8" s="129"/>
      <c r="CE8" s="129"/>
      <c r="CF8" s="129"/>
      <c r="CG8" s="129"/>
      <c r="CH8" s="129"/>
      <c r="CI8" s="156"/>
      <c r="CJ8" s="129"/>
      <c r="CK8" s="129"/>
      <c r="CL8" s="129"/>
      <c r="CM8" s="129"/>
      <c r="CN8" s="129"/>
      <c r="CO8" s="129"/>
      <c r="CP8" s="129"/>
      <c r="CQ8" s="129"/>
      <c r="CR8" s="129"/>
      <c r="CS8" s="129"/>
    </row>
    <row r="9" spans="1:97" ht="15.75">
      <c r="A9" s="126" t="s">
        <v>470</v>
      </c>
      <c r="B9" s="127" t="s">
        <v>451</v>
      </c>
      <c r="C9" s="129" t="s">
        <v>451</v>
      </c>
      <c r="D9" s="129" t="s">
        <v>451</v>
      </c>
      <c r="E9" s="129" t="s">
        <v>451</v>
      </c>
      <c r="F9" s="129" t="s">
        <v>451</v>
      </c>
      <c r="G9" s="129" t="s">
        <v>451</v>
      </c>
      <c r="H9" s="129" t="s">
        <v>451</v>
      </c>
      <c r="I9" s="129" t="s">
        <v>451</v>
      </c>
      <c r="J9" s="129" t="s">
        <v>451</v>
      </c>
      <c r="K9" s="129" t="s">
        <v>451</v>
      </c>
      <c r="L9" s="129" t="s">
        <v>451</v>
      </c>
      <c r="M9" s="129" t="s">
        <v>451</v>
      </c>
      <c r="N9" s="129" t="s">
        <v>451</v>
      </c>
      <c r="O9" s="132" t="s">
        <v>462</v>
      </c>
      <c r="P9" s="130" t="s">
        <v>451</v>
      </c>
      <c r="Q9" s="129" t="s">
        <v>451</v>
      </c>
      <c r="R9" s="129" t="s">
        <v>451</v>
      </c>
      <c r="S9" s="129" t="s">
        <v>451</v>
      </c>
      <c r="T9" s="129" t="s">
        <v>451</v>
      </c>
      <c r="U9" s="130" t="s">
        <v>451</v>
      </c>
      <c r="V9" s="129" t="s">
        <v>451</v>
      </c>
      <c r="W9" s="129" t="s">
        <v>451</v>
      </c>
      <c r="X9" s="129" t="s">
        <v>451</v>
      </c>
      <c r="Y9" s="129" t="s">
        <v>451</v>
      </c>
      <c r="Z9" s="129" t="s">
        <v>451</v>
      </c>
      <c r="AA9" s="129" t="s">
        <v>451</v>
      </c>
      <c r="AB9" s="129" t="s">
        <v>451</v>
      </c>
      <c r="AC9" s="129" t="s">
        <v>451</v>
      </c>
      <c r="AD9" s="129" t="s">
        <v>451</v>
      </c>
      <c r="AE9" s="156"/>
      <c r="AF9" s="129" t="s">
        <v>451</v>
      </c>
      <c r="AG9" s="129" t="s">
        <v>451</v>
      </c>
      <c r="AH9" s="129" t="s">
        <v>451</v>
      </c>
      <c r="AI9" s="129" t="s">
        <v>451</v>
      </c>
      <c r="AJ9" s="129" t="s">
        <v>451</v>
      </c>
      <c r="AK9" s="129" t="s">
        <v>451</v>
      </c>
      <c r="AL9" s="156"/>
      <c r="AM9" s="129" t="s">
        <v>451</v>
      </c>
      <c r="AN9" s="129" t="s">
        <v>451</v>
      </c>
      <c r="AO9" s="129" t="s">
        <v>451</v>
      </c>
      <c r="AP9" s="156"/>
      <c r="AQ9" s="129" t="s">
        <v>451</v>
      </c>
      <c r="AR9" s="129" t="s">
        <v>451</v>
      </c>
      <c r="AS9" s="156"/>
      <c r="AT9" s="129" t="s">
        <v>451</v>
      </c>
      <c r="AU9" s="129" t="s">
        <v>451</v>
      </c>
      <c r="AV9" s="129" t="s">
        <v>451</v>
      </c>
      <c r="AW9" s="129" t="s">
        <v>451</v>
      </c>
      <c r="AX9" s="129" t="s">
        <v>451</v>
      </c>
      <c r="AY9" s="156"/>
      <c r="AZ9" s="129" t="s">
        <v>451</v>
      </c>
      <c r="BA9" s="129" t="s">
        <v>451</v>
      </c>
      <c r="BB9" s="129" t="s">
        <v>451</v>
      </c>
      <c r="BC9" s="129" t="s">
        <v>451</v>
      </c>
      <c r="BD9" s="129" t="s">
        <v>451</v>
      </c>
      <c r="BE9" s="129" t="s">
        <v>451</v>
      </c>
      <c r="BF9" s="129" t="s">
        <v>451</v>
      </c>
      <c r="BG9" s="129" t="s">
        <v>451</v>
      </c>
      <c r="BH9" s="129" t="s">
        <v>451</v>
      </c>
      <c r="BI9" s="130" t="s">
        <v>451</v>
      </c>
      <c r="BJ9" s="156"/>
      <c r="BK9" s="130" t="s">
        <v>451</v>
      </c>
      <c r="BL9" s="130" t="s">
        <v>451</v>
      </c>
      <c r="BM9" s="129" t="s">
        <v>451</v>
      </c>
      <c r="BN9" s="130" t="s">
        <v>451</v>
      </c>
      <c r="BO9" s="129" t="s">
        <v>451</v>
      </c>
      <c r="BP9" s="129" t="s">
        <v>451</v>
      </c>
      <c r="BQ9" s="129" t="s">
        <v>451</v>
      </c>
      <c r="BR9" s="129" t="s">
        <v>451</v>
      </c>
      <c r="BS9" s="129" t="s">
        <v>451</v>
      </c>
      <c r="BT9" s="129" t="s">
        <v>451</v>
      </c>
      <c r="BU9" s="129" t="s">
        <v>451</v>
      </c>
      <c r="BV9" s="129" t="s">
        <v>451</v>
      </c>
      <c r="BW9" s="129" t="s">
        <v>451</v>
      </c>
      <c r="BX9" s="129" t="s">
        <v>451</v>
      </c>
      <c r="BY9" s="129" t="s">
        <v>451</v>
      </c>
      <c r="BZ9" s="129" t="s">
        <v>451</v>
      </c>
      <c r="CA9" s="129" t="s">
        <v>451</v>
      </c>
      <c r="CB9" s="129" t="s">
        <v>451</v>
      </c>
      <c r="CC9" s="129" t="s">
        <v>451</v>
      </c>
      <c r="CD9" s="129" t="s">
        <v>451</v>
      </c>
      <c r="CE9" s="129" t="s">
        <v>451</v>
      </c>
      <c r="CF9" s="129" t="s">
        <v>451</v>
      </c>
      <c r="CG9" s="129"/>
      <c r="CH9" s="129"/>
      <c r="CI9" s="156"/>
      <c r="CJ9" s="129"/>
      <c r="CK9" s="129"/>
      <c r="CL9" s="129"/>
      <c r="CM9" s="129"/>
      <c r="CN9" s="129"/>
      <c r="CO9" s="129"/>
      <c r="CP9" s="129"/>
      <c r="CQ9" s="129"/>
      <c r="CR9" s="129"/>
      <c r="CS9" s="129" t="s">
        <v>451</v>
      </c>
    </row>
    <row r="10" spans="1:97" ht="15.75">
      <c r="A10" s="126" t="s">
        <v>471</v>
      </c>
      <c r="B10" s="127" t="s">
        <v>451</v>
      </c>
      <c r="C10" s="129" t="s">
        <v>451</v>
      </c>
      <c r="D10" s="129" t="s">
        <v>451</v>
      </c>
      <c r="E10" s="129" t="s">
        <v>451</v>
      </c>
      <c r="F10" s="129" t="s">
        <v>451</v>
      </c>
      <c r="G10" s="129" t="s">
        <v>451</v>
      </c>
      <c r="H10" s="129" t="s">
        <v>451</v>
      </c>
      <c r="I10" s="129" t="s">
        <v>454</v>
      </c>
      <c r="J10" s="129" t="s">
        <v>451</v>
      </c>
      <c r="K10" s="129" t="s">
        <v>454</v>
      </c>
      <c r="L10" s="129" t="s">
        <v>451</v>
      </c>
      <c r="M10" s="129" t="s">
        <v>451</v>
      </c>
      <c r="N10" s="129" t="s">
        <v>454</v>
      </c>
      <c r="O10" s="129" t="s">
        <v>453</v>
      </c>
      <c r="P10" s="130" t="s">
        <v>454</v>
      </c>
      <c r="Q10" s="129" t="s">
        <v>454</v>
      </c>
      <c r="R10" s="129" t="s">
        <v>451</v>
      </c>
      <c r="S10" s="129" t="s">
        <v>451</v>
      </c>
      <c r="T10" s="129" t="s">
        <v>451</v>
      </c>
      <c r="U10" s="130" t="s">
        <v>454</v>
      </c>
      <c r="V10" s="129" t="s">
        <v>451</v>
      </c>
      <c r="W10" s="129" t="s">
        <v>451</v>
      </c>
      <c r="X10" s="129" t="s">
        <v>451</v>
      </c>
      <c r="Y10" s="129" t="s">
        <v>451</v>
      </c>
      <c r="Z10" s="129" t="s">
        <v>451</v>
      </c>
      <c r="AA10" s="129" t="s">
        <v>451</v>
      </c>
      <c r="AB10" s="129" t="s">
        <v>451</v>
      </c>
      <c r="AC10" s="129" t="s">
        <v>451</v>
      </c>
      <c r="AD10" s="129" t="s">
        <v>451</v>
      </c>
      <c r="AE10" s="156"/>
      <c r="AF10" s="129" t="s">
        <v>451</v>
      </c>
      <c r="AG10" s="129" t="s">
        <v>451</v>
      </c>
      <c r="AH10" s="129" t="s">
        <v>451</v>
      </c>
      <c r="AI10" s="129" t="s">
        <v>451</v>
      </c>
      <c r="AJ10" s="129" t="s">
        <v>451</v>
      </c>
      <c r="AK10" s="129" t="s">
        <v>454</v>
      </c>
      <c r="AL10" s="156"/>
      <c r="AM10" s="129" t="s">
        <v>454</v>
      </c>
      <c r="AN10" s="129" t="s">
        <v>451</v>
      </c>
      <c r="AO10" s="129" t="s">
        <v>451</v>
      </c>
      <c r="AP10" s="156"/>
      <c r="AQ10" s="129" t="s">
        <v>451</v>
      </c>
      <c r="AR10" s="129" t="s">
        <v>451</v>
      </c>
      <c r="AS10" s="156"/>
      <c r="AT10" s="129" t="s">
        <v>451</v>
      </c>
      <c r="AU10" s="129" t="s">
        <v>451</v>
      </c>
      <c r="AV10" s="129" t="s">
        <v>451</v>
      </c>
      <c r="AW10" s="129" t="s">
        <v>451</v>
      </c>
      <c r="AX10" s="129" t="s">
        <v>451</v>
      </c>
      <c r="AY10" s="156"/>
      <c r="AZ10" s="129" t="s">
        <v>451</v>
      </c>
      <c r="BA10" s="129" t="s">
        <v>454</v>
      </c>
      <c r="BB10" s="129" t="s">
        <v>454</v>
      </c>
      <c r="BC10" s="129" t="s">
        <v>454</v>
      </c>
      <c r="BD10" s="129" t="s">
        <v>454</v>
      </c>
      <c r="BE10" s="129" t="s">
        <v>454</v>
      </c>
      <c r="BF10" s="129" t="s">
        <v>451</v>
      </c>
      <c r="BG10" s="129" t="s">
        <v>451</v>
      </c>
      <c r="BH10" s="129" t="s">
        <v>451</v>
      </c>
      <c r="BI10" s="130" t="s">
        <v>451</v>
      </c>
      <c r="BJ10" s="156"/>
      <c r="BK10" s="130" t="s">
        <v>451</v>
      </c>
      <c r="BL10" s="130" t="s">
        <v>451</v>
      </c>
      <c r="BM10" s="129" t="s">
        <v>451</v>
      </c>
      <c r="BN10" s="130" t="s">
        <v>451</v>
      </c>
      <c r="BO10" s="129" t="s">
        <v>451</v>
      </c>
      <c r="BP10" s="129" t="s">
        <v>451</v>
      </c>
      <c r="BQ10" s="129" t="s">
        <v>451</v>
      </c>
      <c r="BR10" s="129" t="s">
        <v>451</v>
      </c>
      <c r="BS10" s="129" t="s">
        <v>451</v>
      </c>
      <c r="BT10" s="129" t="s">
        <v>451</v>
      </c>
      <c r="BU10" s="129" t="s">
        <v>451</v>
      </c>
      <c r="BV10" s="129" t="s">
        <v>451</v>
      </c>
      <c r="BW10" s="129" t="s">
        <v>454</v>
      </c>
      <c r="BX10" s="129" t="s">
        <v>451</v>
      </c>
      <c r="BY10" s="129" t="s">
        <v>451</v>
      </c>
      <c r="BZ10" s="129" t="s">
        <v>451</v>
      </c>
      <c r="CA10" s="129" t="s">
        <v>451</v>
      </c>
      <c r="CB10" s="129" t="s">
        <v>451</v>
      </c>
      <c r="CC10" s="129" t="s">
        <v>451</v>
      </c>
      <c r="CD10" s="129" t="s">
        <v>451</v>
      </c>
      <c r="CE10" s="129" t="s">
        <v>451</v>
      </c>
      <c r="CF10" s="129" t="s">
        <v>451</v>
      </c>
      <c r="CG10" s="129"/>
      <c r="CH10" s="129"/>
      <c r="CI10" s="156"/>
      <c r="CJ10" s="129"/>
      <c r="CK10" s="129"/>
      <c r="CL10" s="129"/>
      <c r="CM10" s="129"/>
      <c r="CN10" s="129"/>
      <c r="CO10" s="129"/>
      <c r="CP10" s="129"/>
      <c r="CQ10" s="129"/>
      <c r="CR10" s="129"/>
      <c r="CS10" s="129" t="s">
        <v>451</v>
      </c>
    </row>
    <row r="11" spans="1:97" ht="15.75">
      <c r="A11" s="126" t="s">
        <v>472</v>
      </c>
      <c r="B11" s="127" t="s">
        <v>451</v>
      </c>
      <c r="C11" s="129" t="s">
        <v>451</v>
      </c>
      <c r="D11" s="129" t="s">
        <v>451</v>
      </c>
      <c r="E11" s="129" t="s">
        <v>451</v>
      </c>
      <c r="F11" s="129" t="s">
        <v>451</v>
      </c>
      <c r="G11" s="129" t="s">
        <v>451</v>
      </c>
      <c r="H11" s="129" t="s">
        <v>451</v>
      </c>
      <c r="I11" s="129" t="s">
        <v>451</v>
      </c>
      <c r="J11" s="129" t="s">
        <v>473</v>
      </c>
      <c r="K11" s="129" t="s">
        <v>454</v>
      </c>
      <c r="L11" s="129" t="s">
        <v>451</v>
      </c>
      <c r="M11" s="129" t="s">
        <v>454</v>
      </c>
      <c r="N11" s="129" t="s">
        <v>451</v>
      </c>
      <c r="O11" s="129" t="s">
        <v>453</v>
      </c>
      <c r="P11" s="130" t="s">
        <v>451</v>
      </c>
      <c r="Q11" s="129" t="s">
        <v>451</v>
      </c>
      <c r="R11" s="129" t="s">
        <v>451</v>
      </c>
      <c r="S11" s="129" t="s">
        <v>454</v>
      </c>
      <c r="T11" s="129" t="s">
        <v>454</v>
      </c>
      <c r="U11" s="130" t="s">
        <v>454</v>
      </c>
      <c r="V11" s="129" t="s">
        <v>451</v>
      </c>
      <c r="W11" s="129" t="s">
        <v>451</v>
      </c>
      <c r="X11" s="129" t="s">
        <v>451</v>
      </c>
      <c r="Y11" s="129" t="s">
        <v>451</v>
      </c>
      <c r="Z11" s="129" t="s">
        <v>451</v>
      </c>
      <c r="AA11" s="129" t="s">
        <v>451</v>
      </c>
      <c r="AB11" s="129" t="s">
        <v>451</v>
      </c>
      <c r="AC11" s="129" t="s">
        <v>451</v>
      </c>
      <c r="AD11" s="129" t="s">
        <v>454</v>
      </c>
      <c r="AE11" s="156"/>
      <c r="AF11" s="129" t="s">
        <v>451</v>
      </c>
      <c r="AG11" s="129" t="s">
        <v>451</v>
      </c>
      <c r="AH11" s="129" t="s">
        <v>451</v>
      </c>
      <c r="AI11" s="129" t="s">
        <v>451</v>
      </c>
      <c r="AJ11" s="129" t="s">
        <v>451</v>
      </c>
      <c r="AK11" s="129" t="s">
        <v>451</v>
      </c>
      <c r="AL11" s="156"/>
      <c r="AM11" s="129" t="s">
        <v>451</v>
      </c>
      <c r="AN11" s="129" t="s">
        <v>451</v>
      </c>
      <c r="AO11" s="129" t="s">
        <v>451</v>
      </c>
      <c r="AP11" s="156"/>
      <c r="AQ11" s="129" t="s">
        <v>451</v>
      </c>
      <c r="AR11" s="129" t="s">
        <v>451</v>
      </c>
      <c r="AS11" s="156"/>
      <c r="AT11" s="129" t="s">
        <v>451</v>
      </c>
      <c r="AU11" s="129" t="s">
        <v>454</v>
      </c>
      <c r="AV11" s="129" t="s">
        <v>454</v>
      </c>
      <c r="AW11" s="129" t="s">
        <v>451</v>
      </c>
      <c r="AX11" s="129" t="s">
        <v>451</v>
      </c>
      <c r="AY11" s="156"/>
      <c r="AZ11" s="129" t="s">
        <v>454</v>
      </c>
      <c r="BA11" s="129" t="s">
        <v>451</v>
      </c>
      <c r="BB11" s="129" t="s">
        <v>451</v>
      </c>
      <c r="BC11" s="129" t="s">
        <v>451</v>
      </c>
      <c r="BD11" s="129" t="s">
        <v>451</v>
      </c>
      <c r="BE11" s="129" t="s">
        <v>454</v>
      </c>
      <c r="BF11" s="129" t="s">
        <v>454</v>
      </c>
      <c r="BG11" s="129" t="s">
        <v>454</v>
      </c>
      <c r="BH11" s="129" t="s">
        <v>451</v>
      </c>
      <c r="BI11" s="130" t="s">
        <v>451</v>
      </c>
      <c r="BJ11" s="156"/>
      <c r="BK11" s="130" t="s">
        <v>451</v>
      </c>
      <c r="BL11" s="130" t="s">
        <v>451</v>
      </c>
      <c r="BM11" s="129" t="s">
        <v>451</v>
      </c>
      <c r="BN11" s="130" t="s">
        <v>451</v>
      </c>
      <c r="BO11" s="129" t="s">
        <v>454</v>
      </c>
      <c r="BP11" s="129" t="s">
        <v>451</v>
      </c>
      <c r="BQ11" s="129" t="s">
        <v>451</v>
      </c>
      <c r="BR11" s="129" t="s">
        <v>474</v>
      </c>
      <c r="BS11" s="129" t="s">
        <v>451</v>
      </c>
      <c r="BT11" s="129" t="s">
        <v>451</v>
      </c>
      <c r="BU11" s="129" t="s">
        <v>451</v>
      </c>
      <c r="BV11" s="129" t="s">
        <v>451</v>
      </c>
      <c r="BW11" s="129" t="s">
        <v>451</v>
      </c>
      <c r="BX11" s="129" t="s">
        <v>451</v>
      </c>
      <c r="BY11" s="129" t="s">
        <v>451</v>
      </c>
      <c r="BZ11" s="129" t="s">
        <v>451</v>
      </c>
      <c r="CA11" s="129" t="s">
        <v>451</v>
      </c>
      <c r="CB11" s="129" t="s">
        <v>454</v>
      </c>
      <c r="CC11" s="129" t="s">
        <v>454</v>
      </c>
      <c r="CD11" s="129" t="s">
        <v>451</v>
      </c>
      <c r="CE11" s="129" t="s">
        <v>451</v>
      </c>
      <c r="CF11" s="129" t="s">
        <v>451</v>
      </c>
      <c r="CG11" s="129"/>
      <c r="CH11" s="129"/>
      <c r="CI11" s="156"/>
      <c r="CJ11" s="129"/>
      <c r="CK11" s="129"/>
      <c r="CL11" s="129"/>
      <c r="CM11" s="129"/>
      <c r="CN11" s="129"/>
      <c r="CO11" s="129"/>
      <c r="CP11" s="129"/>
      <c r="CQ11" s="129"/>
      <c r="CR11" s="129"/>
      <c r="CS11" s="129" t="s">
        <v>451</v>
      </c>
    </row>
    <row r="12" spans="1:97" ht="15.75">
      <c r="A12" s="126" t="s">
        <v>475</v>
      </c>
      <c r="B12" s="127" t="s">
        <v>451</v>
      </c>
      <c r="C12" s="129" t="s">
        <v>454</v>
      </c>
      <c r="D12" s="129" t="s">
        <v>451</v>
      </c>
      <c r="E12" s="129" t="s">
        <v>451</v>
      </c>
      <c r="F12" s="129" t="s">
        <v>454</v>
      </c>
      <c r="G12" s="129" t="s">
        <v>454</v>
      </c>
      <c r="H12" s="129" t="s">
        <v>451</v>
      </c>
      <c r="I12" s="129" t="s">
        <v>454</v>
      </c>
      <c r="J12" s="129" t="s">
        <v>451</v>
      </c>
      <c r="K12" s="129" t="s">
        <v>454</v>
      </c>
      <c r="L12" s="129" t="s">
        <v>451</v>
      </c>
      <c r="M12" s="129" t="s">
        <v>454</v>
      </c>
      <c r="N12" s="129" t="s">
        <v>454</v>
      </c>
      <c r="O12" s="129" t="s">
        <v>453</v>
      </c>
      <c r="P12" s="130" t="s">
        <v>451</v>
      </c>
      <c r="Q12" s="129" t="s">
        <v>454</v>
      </c>
      <c r="R12" s="129" t="s">
        <v>454</v>
      </c>
      <c r="S12" s="129" t="s">
        <v>454</v>
      </c>
      <c r="T12" s="129" t="s">
        <v>454</v>
      </c>
      <c r="U12" s="130" t="s">
        <v>454</v>
      </c>
      <c r="V12" s="129" t="s">
        <v>454</v>
      </c>
      <c r="W12" s="129" t="s">
        <v>451</v>
      </c>
      <c r="X12" s="129" t="s">
        <v>454</v>
      </c>
      <c r="Y12" s="129" t="s">
        <v>454</v>
      </c>
      <c r="Z12" s="129" t="s">
        <v>451</v>
      </c>
      <c r="AA12" s="129" t="s">
        <v>454</v>
      </c>
      <c r="AB12" s="129" t="s">
        <v>454</v>
      </c>
      <c r="AC12" s="129" t="s">
        <v>451</v>
      </c>
      <c r="AD12" s="129" t="s">
        <v>454</v>
      </c>
      <c r="AE12" s="156"/>
      <c r="AF12" s="129" t="s">
        <v>454</v>
      </c>
      <c r="AG12" s="129" t="s">
        <v>454</v>
      </c>
      <c r="AH12" s="129" t="s">
        <v>454</v>
      </c>
      <c r="AI12" s="129" t="s">
        <v>454</v>
      </c>
      <c r="AJ12" s="129" t="s">
        <v>451</v>
      </c>
      <c r="AK12" s="129" t="s">
        <v>451</v>
      </c>
      <c r="AL12" s="156"/>
      <c r="AM12" s="129" t="s">
        <v>454</v>
      </c>
      <c r="AN12" s="129" t="s">
        <v>454</v>
      </c>
      <c r="AO12" s="129" t="s">
        <v>454</v>
      </c>
      <c r="AP12" s="156"/>
      <c r="AQ12" s="129" t="s">
        <v>454</v>
      </c>
      <c r="AR12" s="129" t="s">
        <v>454</v>
      </c>
      <c r="AS12" s="156"/>
      <c r="AT12" s="129" t="s">
        <v>454</v>
      </c>
      <c r="AU12" s="129" t="s">
        <v>454</v>
      </c>
      <c r="AV12" s="129" t="s">
        <v>451</v>
      </c>
      <c r="AW12" s="129" t="s">
        <v>451</v>
      </c>
      <c r="AX12" s="129" t="s">
        <v>454</v>
      </c>
      <c r="AY12" s="156"/>
      <c r="AZ12" s="129" t="s">
        <v>454</v>
      </c>
      <c r="BA12" s="129" t="s">
        <v>454</v>
      </c>
      <c r="BB12" s="129" t="s">
        <v>454</v>
      </c>
      <c r="BC12" s="129" t="s">
        <v>451</v>
      </c>
      <c r="BD12" s="129" t="s">
        <v>454</v>
      </c>
      <c r="BE12" s="129" t="s">
        <v>451</v>
      </c>
      <c r="BF12" s="129" t="s">
        <v>454</v>
      </c>
      <c r="BG12" s="129" t="s">
        <v>454</v>
      </c>
      <c r="BH12" s="129" t="s">
        <v>451</v>
      </c>
      <c r="BI12" s="130" t="s">
        <v>454</v>
      </c>
      <c r="BJ12" s="156"/>
      <c r="BK12" s="130" t="s">
        <v>454</v>
      </c>
      <c r="BL12" s="130" t="s">
        <v>454</v>
      </c>
      <c r="BM12" s="129" t="s">
        <v>451</v>
      </c>
      <c r="BN12" s="130" t="s">
        <v>454</v>
      </c>
      <c r="BO12" s="129" t="s">
        <v>454</v>
      </c>
      <c r="BP12" s="129" t="s">
        <v>454</v>
      </c>
      <c r="BQ12" s="129" t="s">
        <v>454</v>
      </c>
      <c r="BR12" s="129" t="s">
        <v>451</v>
      </c>
      <c r="BS12" s="129" t="s">
        <v>454</v>
      </c>
      <c r="BT12" s="129" t="s">
        <v>454</v>
      </c>
      <c r="BU12" s="129" t="s">
        <v>451</v>
      </c>
      <c r="BV12" s="129" t="s">
        <v>451</v>
      </c>
      <c r="BW12" s="129" t="s">
        <v>454</v>
      </c>
      <c r="BX12" s="129" t="s">
        <v>454</v>
      </c>
      <c r="BY12" s="129" t="s">
        <v>451</v>
      </c>
      <c r="BZ12" s="129" t="s">
        <v>454</v>
      </c>
      <c r="CA12" s="129" t="s">
        <v>454</v>
      </c>
      <c r="CB12" s="129" t="s">
        <v>451</v>
      </c>
      <c r="CC12" s="129" t="s">
        <v>454</v>
      </c>
      <c r="CD12" s="129" t="s">
        <v>454</v>
      </c>
      <c r="CE12" s="129" t="s">
        <v>451</v>
      </c>
      <c r="CF12" s="129" t="s">
        <v>454</v>
      </c>
      <c r="CG12" s="129"/>
      <c r="CH12" s="129"/>
      <c r="CI12" s="156"/>
      <c r="CJ12" s="129"/>
      <c r="CK12" s="129"/>
      <c r="CL12" s="129"/>
      <c r="CM12" s="129"/>
      <c r="CN12" s="129"/>
      <c r="CO12" s="129"/>
      <c r="CP12" s="129"/>
      <c r="CQ12" s="129"/>
      <c r="CR12" s="129"/>
      <c r="CS12" s="129" t="s">
        <v>454</v>
      </c>
    </row>
    <row r="13" spans="1:97" ht="15.75">
      <c r="A13" s="126" t="s">
        <v>476</v>
      </c>
      <c r="B13" s="127" t="s">
        <v>451</v>
      </c>
      <c r="C13" s="129" t="s">
        <v>454</v>
      </c>
      <c r="D13" s="129" t="s">
        <v>454</v>
      </c>
      <c r="E13" s="129" t="s">
        <v>454</v>
      </c>
      <c r="F13" s="129" t="s">
        <v>454</v>
      </c>
      <c r="G13" s="129" t="s">
        <v>454</v>
      </c>
      <c r="H13" s="129" t="s">
        <v>454</v>
      </c>
      <c r="I13" s="129" t="s">
        <v>454</v>
      </c>
      <c r="J13" s="129" t="s">
        <v>451</v>
      </c>
      <c r="K13" s="129" t="s">
        <v>454</v>
      </c>
      <c r="L13" s="129" t="s">
        <v>454</v>
      </c>
      <c r="M13" s="129" t="s">
        <v>451</v>
      </c>
      <c r="N13" s="129" t="s">
        <v>454</v>
      </c>
      <c r="O13" s="129" t="s">
        <v>453</v>
      </c>
      <c r="P13" s="130" t="s">
        <v>454</v>
      </c>
      <c r="Q13" s="129" t="s">
        <v>454</v>
      </c>
      <c r="R13" s="129" t="s">
        <v>454</v>
      </c>
      <c r="S13" s="129" t="s">
        <v>454</v>
      </c>
      <c r="T13" s="129" t="s">
        <v>454</v>
      </c>
      <c r="U13" s="130" t="s">
        <v>454</v>
      </c>
      <c r="V13" s="129" t="s">
        <v>451</v>
      </c>
      <c r="W13" s="129" t="s">
        <v>454</v>
      </c>
      <c r="X13" s="129" t="s">
        <v>454</v>
      </c>
      <c r="Y13" s="129" t="s">
        <v>454</v>
      </c>
      <c r="Z13" s="129" t="s">
        <v>454</v>
      </c>
      <c r="AA13" s="129" t="s">
        <v>454</v>
      </c>
      <c r="AB13" s="129" t="s">
        <v>454</v>
      </c>
      <c r="AC13" s="129" t="s">
        <v>451</v>
      </c>
      <c r="AD13" s="129" t="s">
        <v>454</v>
      </c>
      <c r="AE13" s="157"/>
      <c r="AF13" s="129" t="s">
        <v>454</v>
      </c>
      <c r="AG13" s="129" t="s">
        <v>454</v>
      </c>
      <c r="AH13" s="129" t="s">
        <v>454</v>
      </c>
      <c r="AI13" s="129" t="s">
        <v>451</v>
      </c>
      <c r="AJ13" s="129" t="s">
        <v>454</v>
      </c>
      <c r="AK13" s="129" t="s">
        <v>454</v>
      </c>
      <c r="AL13" s="157"/>
      <c r="AM13" s="129" t="s">
        <v>454</v>
      </c>
      <c r="AN13" s="129" t="s">
        <v>454</v>
      </c>
      <c r="AO13" s="129" t="s">
        <v>454</v>
      </c>
      <c r="AP13" s="157"/>
      <c r="AQ13" s="129" t="s">
        <v>454</v>
      </c>
      <c r="AR13" s="129" t="s">
        <v>454</v>
      </c>
      <c r="AS13" s="157"/>
      <c r="AT13" s="129" t="s">
        <v>454</v>
      </c>
      <c r="AU13" s="129" t="s">
        <v>454</v>
      </c>
      <c r="AV13" s="129" t="s">
        <v>454</v>
      </c>
      <c r="AW13" s="129" t="s">
        <v>454</v>
      </c>
      <c r="AX13" s="129" t="s">
        <v>454</v>
      </c>
      <c r="AY13" s="157"/>
      <c r="AZ13" s="129" t="s">
        <v>454</v>
      </c>
      <c r="BA13" s="129" t="s">
        <v>454</v>
      </c>
      <c r="BB13" s="129" t="s">
        <v>454</v>
      </c>
      <c r="BC13" s="129" t="s">
        <v>454</v>
      </c>
      <c r="BD13" s="129" t="s">
        <v>454</v>
      </c>
      <c r="BE13" s="129" t="s">
        <v>454</v>
      </c>
      <c r="BF13" s="129" t="s">
        <v>454</v>
      </c>
      <c r="BG13" s="129" t="s">
        <v>454</v>
      </c>
      <c r="BH13" s="129" t="s">
        <v>454</v>
      </c>
      <c r="BI13" s="130" t="s">
        <v>454</v>
      </c>
      <c r="BJ13" s="157"/>
      <c r="BK13" s="130" t="s">
        <v>454</v>
      </c>
      <c r="BL13" s="130" t="s">
        <v>454</v>
      </c>
      <c r="BM13" s="129" t="s">
        <v>454</v>
      </c>
      <c r="BN13" s="130" t="s">
        <v>454</v>
      </c>
      <c r="BO13" s="129" t="s">
        <v>454</v>
      </c>
      <c r="BP13" s="129" t="s">
        <v>454</v>
      </c>
      <c r="BQ13" s="129" t="s">
        <v>454</v>
      </c>
      <c r="BR13" s="129" t="s">
        <v>474</v>
      </c>
      <c r="BS13" s="129" t="s">
        <v>454</v>
      </c>
      <c r="BT13" s="129" t="s">
        <v>454</v>
      </c>
      <c r="BU13" s="129" t="s">
        <v>454</v>
      </c>
      <c r="BV13" s="129" t="s">
        <v>454</v>
      </c>
      <c r="BW13" s="129" t="s">
        <v>454</v>
      </c>
      <c r="BX13" s="129" t="s">
        <v>454</v>
      </c>
      <c r="BY13" s="129" t="s">
        <v>454</v>
      </c>
      <c r="BZ13" s="129" t="s">
        <v>454</v>
      </c>
      <c r="CA13" s="129" t="s">
        <v>454</v>
      </c>
      <c r="CB13" s="129" t="s">
        <v>454</v>
      </c>
      <c r="CC13" s="129" t="s">
        <v>454</v>
      </c>
      <c r="CD13" s="129" t="s">
        <v>451</v>
      </c>
      <c r="CE13" s="129" t="s">
        <v>451</v>
      </c>
      <c r="CF13" s="129" t="s">
        <v>451</v>
      </c>
      <c r="CG13" s="129"/>
      <c r="CH13" s="129"/>
      <c r="CI13" s="157"/>
      <c r="CJ13" s="129"/>
      <c r="CK13" s="129"/>
      <c r="CL13" s="129"/>
      <c r="CM13" s="129"/>
      <c r="CN13" s="129"/>
      <c r="CO13" s="129"/>
      <c r="CP13" s="129"/>
      <c r="CQ13" s="129"/>
      <c r="CR13" s="129"/>
      <c r="CS13" s="129" t="s">
        <v>454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3" t="s">
        <v>477</v>
      </c>
      <c r="B1" s="133" t="s">
        <v>2</v>
      </c>
      <c r="C1" s="133" t="s">
        <v>4</v>
      </c>
      <c r="D1" s="133" t="s">
        <v>5</v>
      </c>
      <c r="E1" s="134" t="s">
        <v>8</v>
      </c>
      <c r="F1" s="134" t="s">
        <v>9</v>
      </c>
      <c r="G1" s="135" t="s">
        <v>10</v>
      </c>
      <c r="H1" s="134" t="s">
        <v>11</v>
      </c>
      <c r="I1" s="136" t="s">
        <v>389</v>
      </c>
      <c r="J1" s="137" t="s">
        <v>478</v>
      </c>
      <c r="K1" s="138" t="s">
        <v>479</v>
      </c>
      <c r="L1" s="136" t="s">
        <v>480</v>
      </c>
      <c r="M1" s="139"/>
      <c r="N1" s="139"/>
      <c r="O1" s="139"/>
      <c r="P1" s="139"/>
      <c r="Q1" s="139"/>
      <c r="R1" s="139"/>
      <c r="S1" s="139"/>
      <c r="T1" s="139"/>
      <c r="U1" s="139"/>
      <c r="V1" s="139"/>
      <c r="W1" s="139"/>
      <c r="X1" s="139"/>
      <c r="Y1" s="139"/>
      <c r="Z1" s="139"/>
    </row>
    <row r="2" spans="1:26" ht="38.25">
      <c r="A2" s="140" t="s">
        <v>481</v>
      </c>
      <c r="B2" s="141" t="s">
        <v>482</v>
      </c>
      <c r="C2" s="142"/>
      <c r="D2" s="142" t="s">
        <v>22</v>
      </c>
      <c r="E2" s="143">
        <v>45567</v>
      </c>
      <c r="F2" s="143">
        <v>45567</v>
      </c>
      <c r="G2" s="143">
        <v>45568</v>
      </c>
      <c r="H2" s="143">
        <v>45569</v>
      </c>
      <c r="I2" s="144">
        <f ca="1">IF(ISBLANK(H2), NETWORKDAYS(F2, TODAY(),Hoja2!$A$1:$A$18), NETWORKDAYS(F2, H2, Hoja2!$A$1:$A$18))</f>
        <v>3</v>
      </c>
      <c r="J2" s="143">
        <v>45572</v>
      </c>
      <c r="K2" s="145"/>
      <c r="L2" s="146" t="s">
        <v>483</v>
      </c>
      <c r="M2" s="139"/>
      <c r="N2" s="139"/>
      <c r="O2" s="139"/>
      <c r="P2" s="139"/>
      <c r="Q2" s="139"/>
      <c r="R2" s="139"/>
      <c r="S2" s="139"/>
      <c r="T2" s="139"/>
      <c r="U2" s="139"/>
      <c r="V2" s="139"/>
      <c r="W2" s="139"/>
      <c r="X2" s="139"/>
      <c r="Y2" s="139"/>
      <c r="Z2" s="139"/>
    </row>
    <row r="3" spans="1:26" ht="51">
      <c r="A3" s="140" t="s">
        <v>470</v>
      </c>
      <c r="B3" s="158" t="s">
        <v>484</v>
      </c>
      <c r="C3" s="147" t="s">
        <v>485</v>
      </c>
      <c r="D3" s="142" t="s">
        <v>486</v>
      </c>
      <c r="E3" s="143">
        <v>45575</v>
      </c>
      <c r="F3" s="143"/>
      <c r="G3" s="143"/>
      <c r="H3" s="145">
        <v>0</v>
      </c>
      <c r="I3" s="144">
        <f ca="1">IF(ISBLANK(H3), NETWORKDAYS(F3, TODAY(),Hoja2!$A$1:$A$18), NETWORKDAYS(F3, H3, Hoja2!$A$1:$A$18))</f>
        <v>0</v>
      </c>
      <c r="J3" s="143">
        <v>45569</v>
      </c>
      <c r="K3" s="143"/>
      <c r="L3" s="146" t="s">
        <v>487</v>
      </c>
      <c r="M3" s="148"/>
      <c r="N3" s="139"/>
      <c r="O3" s="139"/>
      <c r="P3" s="139"/>
      <c r="Q3" s="139"/>
      <c r="R3" s="139"/>
      <c r="S3" s="139"/>
      <c r="T3" s="139"/>
      <c r="U3" s="139"/>
      <c r="V3" s="139"/>
      <c r="W3" s="139"/>
      <c r="X3" s="139"/>
      <c r="Y3" s="139"/>
      <c r="Z3" s="139"/>
    </row>
    <row r="4" spans="1:26" ht="51">
      <c r="A4" s="140" t="s">
        <v>470</v>
      </c>
      <c r="B4" s="156"/>
      <c r="C4" s="149" t="s">
        <v>488</v>
      </c>
      <c r="D4" s="142" t="s">
        <v>486</v>
      </c>
      <c r="E4" s="143">
        <v>45575</v>
      </c>
      <c r="F4" s="150"/>
      <c r="G4" s="150"/>
      <c r="H4" s="151">
        <v>0</v>
      </c>
      <c r="I4" s="152">
        <f ca="1">IF(ISBLANK(H4), NETWORKDAYS(F4, TODAY(),Hoja2!$A$1:$A$18), NETWORKDAYS(F4, H4, Hoja2!$A$1:$A$18))</f>
        <v>0</v>
      </c>
      <c r="J4" s="150">
        <v>45569</v>
      </c>
      <c r="K4" s="150"/>
      <c r="L4" s="153" t="s">
        <v>489</v>
      </c>
      <c r="M4" s="148"/>
      <c r="N4" s="139"/>
      <c r="O4" s="139"/>
      <c r="P4" s="139"/>
      <c r="Q4" s="139"/>
      <c r="R4" s="139"/>
      <c r="S4" s="139"/>
      <c r="T4" s="139"/>
      <c r="U4" s="139"/>
      <c r="V4" s="139"/>
      <c r="W4" s="139"/>
      <c r="X4" s="139"/>
      <c r="Y4" s="139"/>
      <c r="Z4" s="139"/>
    </row>
    <row r="5" spans="1:26" ht="51">
      <c r="A5" s="140" t="s">
        <v>470</v>
      </c>
      <c r="B5" s="136" t="s">
        <v>490</v>
      </c>
      <c r="C5" s="142" t="s">
        <v>491</v>
      </c>
      <c r="D5" s="142" t="s">
        <v>486</v>
      </c>
      <c r="E5" s="143">
        <v>45575</v>
      </c>
      <c r="F5" s="143"/>
      <c r="G5" s="143"/>
      <c r="H5" s="145">
        <v>0</v>
      </c>
      <c r="I5" s="144">
        <f ca="1">IF(ISBLANK(H5), NETWORKDAYS(F5, TODAY(),Hoja2!$A$1:$A$18), NETWORKDAYS(F5, H5, Hoja2!$A$1:$A$18))</f>
        <v>0</v>
      </c>
      <c r="J5" s="143">
        <v>45569</v>
      </c>
      <c r="K5" s="143"/>
      <c r="L5" s="146" t="s">
        <v>489</v>
      </c>
      <c r="M5" s="148"/>
      <c r="N5" s="139"/>
      <c r="O5" s="139"/>
      <c r="P5" s="139"/>
      <c r="Q5" s="139"/>
      <c r="R5" s="139"/>
      <c r="S5" s="139"/>
      <c r="T5" s="139"/>
      <c r="U5" s="139"/>
      <c r="V5" s="139"/>
      <c r="W5" s="139"/>
      <c r="X5" s="139"/>
      <c r="Y5" s="139"/>
      <c r="Z5" s="139"/>
    </row>
    <row r="6" spans="1:26">
      <c r="A6" s="154"/>
      <c r="B6" s="154"/>
      <c r="C6" s="154"/>
      <c r="D6" s="154"/>
      <c r="E6" s="154"/>
      <c r="F6" s="154"/>
      <c r="G6" s="154"/>
      <c r="H6" s="154"/>
      <c r="I6" s="154"/>
      <c r="J6" s="154"/>
      <c r="K6" s="154"/>
      <c r="L6" s="154"/>
      <c r="M6" s="154"/>
      <c r="N6" s="154"/>
      <c r="O6" s="154"/>
      <c r="P6" s="154"/>
      <c r="Q6" s="154"/>
      <c r="R6" s="154"/>
      <c r="S6" s="154"/>
      <c r="T6" s="154"/>
      <c r="U6" s="154"/>
      <c r="V6" s="154"/>
      <c r="W6" s="154"/>
      <c r="X6" s="154"/>
      <c r="Y6" s="154"/>
      <c r="Z6" s="154"/>
    </row>
    <row r="7" spans="1:26">
      <c r="A7" s="154"/>
      <c r="B7" s="154"/>
      <c r="C7" s="154"/>
      <c r="D7" s="154"/>
      <c r="E7" s="154"/>
      <c r="F7" s="154"/>
      <c r="G7" s="154"/>
      <c r="H7" s="154"/>
      <c r="I7" s="154"/>
      <c r="J7" s="154"/>
      <c r="K7" s="154"/>
      <c r="L7" s="154"/>
      <c r="M7" s="154"/>
      <c r="N7" s="154"/>
      <c r="O7" s="154"/>
      <c r="P7" s="154"/>
      <c r="Q7" s="154"/>
      <c r="R7" s="154"/>
      <c r="S7" s="154"/>
      <c r="T7" s="154"/>
      <c r="U7" s="154"/>
      <c r="V7" s="154"/>
      <c r="W7" s="154"/>
      <c r="X7" s="154"/>
      <c r="Y7" s="154"/>
      <c r="Z7" s="154"/>
    </row>
    <row r="8" spans="1:26">
      <c r="A8" s="154"/>
      <c r="B8" s="154"/>
      <c r="C8" s="154"/>
      <c r="D8" s="154"/>
      <c r="E8" s="154"/>
      <c r="F8" s="154"/>
      <c r="G8" s="154"/>
      <c r="H8" s="154"/>
      <c r="I8" s="154"/>
      <c r="J8" s="154"/>
      <c r="K8" s="154"/>
      <c r="L8" s="154"/>
      <c r="M8" s="154"/>
      <c r="N8" s="154"/>
      <c r="O8" s="154"/>
      <c r="P8" s="154"/>
      <c r="Q8" s="154"/>
      <c r="R8" s="154"/>
      <c r="S8" s="154"/>
      <c r="T8" s="154"/>
      <c r="U8" s="154"/>
      <c r="V8" s="154"/>
      <c r="W8" s="154"/>
      <c r="X8" s="154"/>
      <c r="Y8" s="154"/>
      <c r="Z8" s="154"/>
    </row>
    <row r="9" spans="1:26">
      <c r="A9" s="154"/>
      <c r="B9" s="154"/>
      <c r="C9" s="154"/>
      <c r="D9" s="154"/>
      <c r="E9" s="154"/>
      <c r="F9" s="154"/>
      <c r="G9" s="154"/>
      <c r="H9" s="154"/>
      <c r="I9" s="154"/>
      <c r="J9" s="154"/>
      <c r="K9" s="154"/>
      <c r="L9" s="154"/>
      <c r="M9" s="154"/>
      <c r="N9" s="154"/>
      <c r="O9" s="154"/>
      <c r="P9" s="154"/>
      <c r="Q9" s="154"/>
      <c r="R9" s="154"/>
      <c r="S9" s="154"/>
      <c r="T9" s="154"/>
      <c r="U9" s="154"/>
      <c r="V9" s="154"/>
      <c r="W9" s="154"/>
      <c r="X9" s="154"/>
      <c r="Y9" s="154"/>
      <c r="Z9" s="154"/>
    </row>
    <row r="10" spans="1:26">
      <c r="A10" s="154"/>
      <c r="B10" s="154"/>
      <c r="C10" s="154"/>
      <c r="D10" s="154"/>
      <c r="E10" s="154"/>
      <c r="F10" s="154"/>
      <c r="G10" s="154"/>
      <c r="H10" s="154"/>
      <c r="I10" s="154"/>
      <c r="J10" s="154"/>
      <c r="K10" s="154"/>
      <c r="L10" s="154"/>
      <c r="M10" s="154"/>
      <c r="N10" s="154"/>
      <c r="O10" s="154"/>
      <c r="P10" s="154"/>
      <c r="Q10" s="154"/>
      <c r="R10" s="154"/>
      <c r="S10" s="154"/>
      <c r="T10" s="154"/>
      <c r="U10" s="154"/>
      <c r="V10" s="154"/>
      <c r="W10" s="154"/>
      <c r="X10" s="154"/>
      <c r="Y10" s="154"/>
      <c r="Z10" s="154"/>
    </row>
    <row r="11" spans="1:26">
      <c r="A11" s="154"/>
      <c r="B11" s="154"/>
      <c r="C11" s="154"/>
      <c r="D11" s="154"/>
      <c r="E11" s="154"/>
      <c r="F11" s="154"/>
      <c r="G11" s="154"/>
      <c r="H11" s="154"/>
      <c r="I11" s="154"/>
      <c r="J11" s="154"/>
      <c r="K11" s="154"/>
      <c r="L11" s="154"/>
      <c r="M11" s="154"/>
      <c r="N11" s="154"/>
      <c r="O11" s="154"/>
      <c r="P11" s="154"/>
      <c r="Q11" s="154"/>
      <c r="R11" s="154"/>
      <c r="S11" s="154"/>
      <c r="T11" s="154"/>
      <c r="U11" s="154"/>
      <c r="V11" s="154"/>
      <c r="W11" s="154"/>
      <c r="X11" s="154"/>
      <c r="Y11" s="154"/>
      <c r="Z11" s="154"/>
    </row>
    <row r="12" spans="1:26">
      <c r="A12" s="154"/>
      <c r="B12" s="154"/>
      <c r="C12" s="154"/>
      <c r="D12" s="154"/>
      <c r="E12" s="154"/>
      <c r="F12" s="154"/>
      <c r="G12" s="154"/>
      <c r="H12" s="154"/>
      <c r="I12" s="154"/>
      <c r="J12" s="154"/>
      <c r="K12" s="154"/>
      <c r="L12" s="154"/>
      <c r="M12" s="154"/>
      <c r="N12" s="154"/>
      <c r="O12" s="154"/>
      <c r="P12" s="154"/>
      <c r="Q12" s="154"/>
      <c r="R12" s="154"/>
      <c r="S12" s="154"/>
      <c r="T12" s="154"/>
      <c r="U12" s="154"/>
      <c r="V12" s="154"/>
      <c r="W12" s="154"/>
      <c r="X12" s="154"/>
      <c r="Y12" s="154"/>
      <c r="Z12" s="154"/>
    </row>
    <row r="13" spans="1:26">
      <c r="A13" s="154"/>
      <c r="B13" s="154"/>
      <c r="C13" s="154"/>
      <c r="D13" s="154"/>
      <c r="E13" s="154"/>
      <c r="F13" s="154"/>
      <c r="G13" s="154"/>
      <c r="H13" s="154"/>
      <c r="I13" s="154"/>
      <c r="J13" s="154"/>
      <c r="K13" s="154"/>
      <c r="L13" s="154"/>
      <c r="M13" s="154"/>
      <c r="N13" s="154"/>
      <c r="O13" s="154"/>
      <c r="P13" s="154"/>
      <c r="Q13" s="154"/>
      <c r="R13" s="154"/>
      <c r="S13" s="154"/>
      <c r="T13" s="154"/>
      <c r="U13" s="154"/>
      <c r="V13" s="154"/>
      <c r="W13" s="154"/>
      <c r="X13" s="154"/>
      <c r="Y13" s="154"/>
      <c r="Z13" s="154"/>
    </row>
    <row r="14" spans="1:26">
      <c r="A14" s="154"/>
      <c r="B14" s="154"/>
      <c r="C14" s="154"/>
      <c r="D14" s="154"/>
      <c r="E14" s="154"/>
      <c r="F14" s="154"/>
      <c r="G14" s="154"/>
      <c r="H14" s="154"/>
      <c r="I14" s="154"/>
      <c r="J14" s="154"/>
      <c r="K14" s="154"/>
      <c r="L14" s="154"/>
      <c r="M14" s="154"/>
      <c r="N14" s="154"/>
      <c r="O14" s="154"/>
      <c r="P14" s="154"/>
      <c r="Q14" s="154"/>
      <c r="R14" s="154"/>
      <c r="S14" s="154"/>
      <c r="T14" s="154"/>
      <c r="U14" s="154"/>
      <c r="V14" s="154"/>
      <c r="W14" s="154"/>
      <c r="X14" s="154"/>
      <c r="Y14" s="154"/>
      <c r="Z14" s="154"/>
    </row>
    <row r="15" spans="1:26">
      <c r="A15" s="154"/>
      <c r="B15" s="154"/>
      <c r="C15" s="154"/>
      <c r="D15" s="154"/>
      <c r="E15" s="154"/>
      <c r="F15" s="154"/>
      <c r="G15" s="154"/>
      <c r="H15" s="154"/>
      <c r="I15" s="154"/>
      <c r="J15" s="154"/>
      <c r="K15" s="154"/>
      <c r="L15" s="154"/>
      <c r="M15" s="154"/>
      <c r="N15" s="154"/>
      <c r="O15" s="154"/>
      <c r="P15" s="154"/>
      <c r="Q15" s="154"/>
      <c r="R15" s="154"/>
      <c r="S15" s="154"/>
      <c r="T15" s="154"/>
      <c r="U15" s="154"/>
      <c r="V15" s="154"/>
      <c r="W15" s="154"/>
      <c r="X15" s="154"/>
      <c r="Y15" s="154"/>
      <c r="Z15" s="154"/>
    </row>
    <row r="16" spans="1:26">
      <c r="A16" s="154"/>
      <c r="B16" s="154"/>
      <c r="C16" s="154"/>
      <c r="D16" s="154"/>
      <c r="E16" s="154"/>
      <c r="F16" s="154"/>
      <c r="G16" s="154"/>
      <c r="H16" s="154"/>
      <c r="I16" s="154"/>
      <c r="J16" s="154"/>
      <c r="K16" s="154"/>
      <c r="L16" s="154"/>
      <c r="M16" s="154"/>
      <c r="N16" s="154"/>
      <c r="O16" s="154"/>
      <c r="P16" s="154"/>
      <c r="Q16" s="154"/>
      <c r="R16" s="154"/>
      <c r="S16" s="154"/>
      <c r="T16" s="154"/>
      <c r="U16" s="154"/>
      <c r="V16" s="154"/>
      <c r="W16" s="154"/>
      <c r="X16" s="154"/>
      <c r="Y16" s="154"/>
      <c r="Z16" s="154"/>
    </row>
    <row r="17" spans="1:26">
      <c r="A17" s="154"/>
      <c r="B17" s="154"/>
      <c r="C17" s="154"/>
      <c r="D17" s="154"/>
      <c r="E17" s="154"/>
      <c r="F17" s="154"/>
      <c r="G17" s="154"/>
      <c r="H17" s="154"/>
      <c r="I17" s="154"/>
      <c r="J17" s="154"/>
      <c r="K17" s="154"/>
      <c r="L17" s="154"/>
      <c r="M17" s="154"/>
      <c r="N17" s="154"/>
      <c r="O17" s="154"/>
      <c r="P17" s="154"/>
      <c r="Q17" s="154"/>
      <c r="R17" s="154"/>
      <c r="S17" s="154"/>
      <c r="T17" s="154"/>
      <c r="U17" s="154"/>
      <c r="V17" s="154"/>
      <c r="W17" s="154"/>
      <c r="X17" s="154"/>
      <c r="Y17" s="154"/>
      <c r="Z17" s="154"/>
    </row>
    <row r="18" spans="1:26">
      <c r="A18" s="154"/>
      <c r="B18" s="154"/>
      <c r="C18" s="154"/>
      <c r="D18" s="154"/>
      <c r="E18" s="154"/>
      <c r="F18" s="154"/>
      <c r="G18" s="154"/>
      <c r="H18" s="154"/>
      <c r="I18" s="154"/>
      <c r="J18" s="154"/>
      <c r="K18" s="154"/>
      <c r="L18" s="154"/>
      <c r="M18" s="154"/>
      <c r="N18" s="154"/>
      <c r="O18" s="154"/>
      <c r="P18" s="154"/>
      <c r="Q18" s="154"/>
      <c r="R18" s="154"/>
      <c r="S18" s="154"/>
      <c r="T18" s="154"/>
      <c r="U18" s="154"/>
      <c r="V18" s="154"/>
      <c r="W18" s="154"/>
      <c r="X18" s="154"/>
      <c r="Y18" s="154"/>
      <c r="Z18" s="154"/>
    </row>
    <row r="19" spans="1:26">
      <c r="A19" s="154"/>
      <c r="B19" s="154"/>
      <c r="C19" s="154"/>
      <c r="D19" s="154"/>
      <c r="E19" s="154"/>
      <c r="F19" s="154"/>
      <c r="G19" s="154"/>
      <c r="H19" s="154"/>
      <c r="I19" s="154"/>
      <c r="J19" s="154"/>
      <c r="K19" s="154"/>
      <c r="L19" s="154"/>
      <c r="M19" s="154"/>
      <c r="N19" s="154"/>
      <c r="O19" s="154"/>
      <c r="P19" s="154"/>
      <c r="Q19" s="154"/>
      <c r="R19" s="154"/>
      <c r="S19" s="154"/>
      <c r="T19" s="154"/>
      <c r="U19" s="154"/>
      <c r="V19" s="154"/>
      <c r="W19" s="154"/>
      <c r="X19" s="154"/>
      <c r="Y19" s="154"/>
      <c r="Z19" s="154"/>
    </row>
    <row r="20" spans="1:26">
      <c r="A20" s="154"/>
      <c r="B20" s="154"/>
      <c r="C20" s="154"/>
      <c r="D20" s="154"/>
      <c r="E20" s="154"/>
      <c r="F20" s="154"/>
      <c r="G20" s="154"/>
      <c r="H20" s="154"/>
      <c r="I20" s="154"/>
      <c r="J20" s="154"/>
      <c r="K20" s="154"/>
      <c r="L20" s="154"/>
      <c r="M20" s="154"/>
      <c r="N20" s="154"/>
      <c r="O20" s="154"/>
      <c r="P20" s="154"/>
      <c r="Q20" s="154"/>
      <c r="R20" s="154"/>
      <c r="S20" s="154"/>
      <c r="T20" s="154"/>
      <c r="U20" s="154"/>
      <c r="V20" s="154"/>
      <c r="W20" s="154"/>
      <c r="X20" s="154"/>
      <c r="Y20" s="154"/>
      <c r="Z20" s="154"/>
    </row>
    <row r="21" spans="1:26" ht="15.75" customHeight="1">
      <c r="A21" s="154"/>
      <c r="B21" s="154"/>
      <c r="C21" s="154"/>
      <c r="D21" s="154"/>
      <c r="E21" s="154"/>
      <c r="F21" s="154"/>
      <c r="G21" s="154"/>
      <c r="H21" s="154"/>
      <c r="I21" s="154"/>
      <c r="J21" s="154"/>
      <c r="K21" s="154"/>
      <c r="L21" s="154"/>
      <c r="M21" s="154"/>
      <c r="N21" s="154"/>
      <c r="O21" s="154"/>
      <c r="P21" s="154"/>
      <c r="Q21" s="154"/>
      <c r="R21" s="154"/>
      <c r="S21" s="154"/>
      <c r="T21" s="154"/>
      <c r="U21" s="154"/>
      <c r="V21" s="154"/>
      <c r="W21" s="154"/>
      <c r="X21" s="154"/>
      <c r="Y21" s="154"/>
      <c r="Z21" s="154"/>
    </row>
    <row r="22" spans="1:26" ht="15.75" customHeight="1">
      <c r="A22" s="154"/>
      <c r="B22" s="154"/>
      <c r="C22" s="154"/>
      <c r="D22" s="154"/>
      <c r="E22" s="154"/>
      <c r="F22" s="154"/>
      <c r="G22" s="154"/>
      <c r="H22" s="154"/>
      <c r="I22" s="154"/>
      <c r="J22" s="154"/>
      <c r="K22" s="154"/>
      <c r="L22" s="154"/>
      <c r="M22" s="154"/>
      <c r="N22" s="154"/>
      <c r="O22" s="154"/>
      <c r="P22" s="154"/>
      <c r="Q22" s="154"/>
      <c r="R22" s="154"/>
      <c r="S22" s="154"/>
      <c r="T22" s="154"/>
      <c r="U22" s="154"/>
      <c r="V22" s="154"/>
      <c r="W22" s="154"/>
      <c r="X22" s="154"/>
      <c r="Y22" s="154"/>
      <c r="Z22" s="154"/>
    </row>
    <row r="23" spans="1:26" ht="15.75" customHeight="1">
      <c r="A23" s="154"/>
      <c r="B23" s="154"/>
      <c r="C23" s="154"/>
      <c r="D23" s="154"/>
      <c r="E23" s="154"/>
      <c r="F23" s="154"/>
      <c r="G23" s="154"/>
      <c r="H23" s="154"/>
      <c r="I23" s="154"/>
      <c r="J23" s="154"/>
      <c r="K23" s="154"/>
      <c r="L23" s="154"/>
      <c r="M23" s="154"/>
      <c r="N23" s="154"/>
      <c r="O23" s="154"/>
      <c r="P23" s="154"/>
      <c r="Q23" s="154"/>
      <c r="R23" s="154"/>
      <c r="S23" s="154"/>
      <c r="T23" s="154"/>
      <c r="U23" s="154"/>
      <c r="V23" s="154"/>
      <c r="W23" s="154"/>
      <c r="X23" s="154"/>
      <c r="Y23" s="154"/>
      <c r="Z23" s="154"/>
    </row>
    <row r="24" spans="1:26" ht="15.75" customHeight="1">
      <c r="A24" s="154"/>
      <c r="B24" s="154"/>
      <c r="C24" s="154"/>
      <c r="D24" s="154"/>
      <c r="E24" s="154"/>
      <c r="F24" s="154"/>
      <c r="G24" s="154"/>
      <c r="H24" s="154"/>
      <c r="I24" s="154"/>
      <c r="J24" s="154"/>
      <c r="K24" s="154"/>
      <c r="L24" s="154"/>
      <c r="M24" s="154"/>
      <c r="N24" s="154"/>
      <c r="O24" s="154"/>
      <c r="P24" s="154"/>
      <c r="Q24" s="154"/>
      <c r="R24" s="154"/>
      <c r="S24" s="154"/>
      <c r="T24" s="154"/>
      <c r="U24" s="154"/>
      <c r="V24" s="154"/>
      <c r="W24" s="154"/>
      <c r="X24" s="154"/>
      <c r="Y24" s="154"/>
      <c r="Z24" s="154"/>
    </row>
    <row r="25" spans="1:26" ht="15.75" customHeight="1">
      <c r="A25" s="154"/>
      <c r="B25" s="154"/>
      <c r="C25" s="154"/>
      <c r="D25" s="154"/>
      <c r="E25" s="154"/>
      <c r="F25" s="154"/>
      <c r="G25" s="154"/>
      <c r="H25" s="154"/>
      <c r="I25" s="154"/>
      <c r="J25" s="154"/>
      <c r="K25" s="154"/>
      <c r="L25" s="154"/>
      <c r="M25" s="154"/>
      <c r="N25" s="154"/>
      <c r="O25" s="154"/>
      <c r="P25" s="154"/>
      <c r="Q25" s="154"/>
      <c r="R25" s="154"/>
      <c r="S25" s="154"/>
      <c r="T25" s="154"/>
      <c r="U25" s="154"/>
      <c r="V25" s="154"/>
      <c r="W25" s="154"/>
      <c r="X25" s="154"/>
      <c r="Y25" s="154"/>
      <c r="Z25" s="154"/>
    </row>
    <row r="26" spans="1:26" ht="15.75" customHeight="1">
      <c r="A26" s="154"/>
      <c r="B26" s="154"/>
      <c r="C26" s="154"/>
      <c r="D26" s="154"/>
      <c r="E26" s="154"/>
      <c r="F26" s="154"/>
      <c r="G26" s="154"/>
      <c r="H26" s="154"/>
      <c r="I26" s="154"/>
      <c r="J26" s="154"/>
      <c r="K26" s="154"/>
      <c r="L26" s="154"/>
      <c r="M26" s="154"/>
      <c r="N26" s="154"/>
      <c r="O26" s="154"/>
      <c r="P26" s="154"/>
      <c r="Q26" s="154"/>
      <c r="R26" s="154"/>
      <c r="S26" s="154"/>
      <c r="T26" s="154"/>
      <c r="U26" s="154"/>
      <c r="V26" s="154"/>
      <c r="W26" s="154"/>
      <c r="X26" s="154"/>
      <c r="Y26" s="154"/>
      <c r="Z26" s="154"/>
    </row>
    <row r="27" spans="1:26" ht="15.75" customHeight="1">
      <c r="A27" s="154"/>
      <c r="B27" s="154"/>
      <c r="C27" s="154"/>
      <c r="D27" s="154"/>
      <c r="E27" s="154"/>
      <c r="F27" s="154"/>
      <c r="G27" s="154"/>
      <c r="H27" s="154"/>
      <c r="I27" s="154"/>
      <c r="J27" s="154"/>
      <c r="K27" s="154"/>
      <c r="L27" s="154"/>
      <c r="M27" s="154"/>
      <c r="N27" s="154"/>
      <c r="O27" s="154"/>
      <c r="P27" s="154"/>
      <c r="Q27" s="154"/>
      <c r="R27" s="154"/>
      <c r="S27" s="154"/>
      <c r="T27" s="154"/>
      <c r="U27" s="154"/>
      <c r="V27" s="154"/>
      <c r="W27" s="154"/>
      <c r="X27" s="154"/>
      <c r="Y27" s="154"/>
      <c r="Z27" s="154"/>
    </row>
    <row r="28" spans="1:26" ht="15.75" customHeight="1">
      <c r="A28" s="154"/>
      <c r="B28" s="154"/>
      <c r="C28" s="154"/>
      <c r="D28" s="154"/>
      <c r="E28" s="154"/>
      <c r="F28" s="154"/>
      <c r="G28" s="154"/>
      <c r="H28" s="154"/>
      <c r="I28" s="154"/>
      <c r="J28" s="154"/>
      <c r="K28" s="154"/>
      <c r="L28" s="154"/>
      <c r="M28" s="154"/>
      <c r="N28" s="154"/>
      <c r="O28" s="154"/>
      <c r="P28" s="154"/>
      <c r="Q28" s="154"/>
      <c r="R28" s="154"/>
      <c r="S28" s="154"/>
      <c r="T28" s="154"/>
      <c r="U28" s="154"/>
      <c r="V28" s="154"/>
      <c r="W28" s="154"/>
      <c r="X28" s="154"/>
      <c r="Y28" s="154"/>
      <c r="Z28" s="154"/>
    </row>
    <row r="29" spans="1:26" ht="15.75" customHeight="1">
      <c r="A29" s="154"/>
      <c r="B29" s="154"/>
      <c r="C29" s="154"/>
      <c r="D29" s="154"/>
      <c r="E29" s="154"/>
      <c r="F29" s="154"/>
      <c r="G29" s="154"/>
      <c r="H29" s="154"/>
      <c r="I29" s="154"/>
      <c r="J29" s="154"/>
      <c r="K29" s="154"/>
      <c r="L29" s="154"/>
      <c r="M29" s="154"/>
      <c r="N29" s="154"/>
      <c r="O29" s="154"/>
      <c r="P29" s="154"/>
      <c r="Q29" s="154"/>
      <c r="R29" s="154"/>
      <c r="S29" s="154"/>
      <c r="T29" s="154"/>
      <c r="U29" s="154"/>
      <c r="V29" s="154"/>
      <c r="W29" s="154"/>
      <c r="X29" s="154"/>
      <c r="Y29" s="154"/>
      <c r="Z29" s="154"/>
    </row>
    <row r="30" spans="1:26" ht="15.75" customHeight="1">
      <c r="A30" s="154"/>
      <c r="B30" s="154"/>
      <c r="C30" s="154"/>
      <c r="D30" s="154"/>
      <c r="E30" s="154"/>
      <c r="F30" s="154"/>
      <c r="G30" s="154"/>
      <c r="H30" s="154"/>
      <c r="I30" s="154"/>
      <c r="J30" s="154"/>
      <c r="K30" s="154"/>
      <c r="L30" s="154"/>
      <c r="M30" s="154"/>
      <c r="N30" s="154"/>
      <c r="O30" s="154"/>
      <c r="P30" s="154"/>
      <c r="Q30" s="154"/>
      <c r="R30" s="154"/>
      <c r="S30" s="154"/>
      <c r="T30" s="154"/>
      <c r="U30" s="154"/>
      <c r="V30" s="154"/>
      <c r="W30" s="154"/>
      <c r="X30" s="154"/>
      <c r="Y30" s="154"/>
      <c r="Z30" s="154"/>
    </row>
    <row r="31" spans="1:26" ht="15.75" customHeight="1">
      <c r="A31" s="154"/>
      <c r="B31" s="154"/>
      <c r="C31" s="154"/>
      <c r="D31" s="154"/>
      <c r="E31" s="154"/>
      <c r="F31" s="154"/>
      <c r="G31" s="154"/>
      <c r="H31" s="154"/>
      <c r="I31" s="154"/>
      <c r="J31" s="154"/>
      <c r="K31" s="154"/>
      <c r="L31" s="154"/>
      <c r="M31" s="154"/>
      <c r="N31" s="154"/>
      <c r="O31" s="154"/>
      <c r="P31" s="154"/>
      <c r="Q31" s="154"/>
      <c r="R31" s="154"/>
      <c r="S31" s="154"/>
      <c r="T31" s="154"/>
      <c r="U31" s="154"/>
      <c r="V31" s="154"/>
      <c r="W31" s="154"/>
      <c r="X31" s="154"/>
      <c r="Y31" s="154"/>
      <c r="Z31" s="154"/>
    </row>
    <row r="32" spans="1:26" ht="15.75" customHeight="1">
      <c r="A32" s="154"/>
      <c r="B32" s="154"/>
      <c r="C32" s="154"/>
      <c r="D32" s="154"/>
      <c r="E32" s="154"/>
      <c r="F32" s="154"/>
      <c r="G32" s="154"/>
      <c r="H32" s="154"/>
      <c r="I32" s="154"/>
      <c r="J32" s="154"/>
      <c r="K32" s="154"/>
      <c r="L32" s="154"/>
      <c r="M32" s="154"/>
      <c r="N32" s="154"/>
      <c r="O32" s="154"/>
      <c r="P32" s="154"/>
      <c r="Q32" s="154"/>
      <c r="R32" s="154"/>
      <c r="S32" s="154"/>
      <c r="T32" s="154"/>
      <c r="U32" s="154"/>
      <c r="V32" s="154"/>
      <c r="W32" s="154"/>
      <c r="X32" s="154"/>
      <c r="Y32" s="154"/>
      <c r="Z32" s="154"/>
    </row>
    <row r="33" spans="1:26" ht="15.75" customHeight="1">
      <c r="A33" s="154"/>
      <c r="B33" s="154"/>
      <c r="C33" s="154"/>
      <c r="D33" s="154"/>
      <c r="E33" s="154"/>
      <c r="F33" s="154"/>
      <c r="G33" s="154"/>
      <c r="H33" s="154"/>
      <c r="I33" s="154"/>
      <c r="J33" s="154"/>
      <c r="K33" s="154"/>
      <c r="L33" s="154"/>
      <c r="M33" s="154"/>
      <c r="N33" s="154"/>
      <c r="O33" s="154"/>
      <c r="P33" s="154"/>
      <c r="Q33" s="154"/>
      <c r="R33" s="154"/>
      <c r="S33" s="154"/>
      <c r="T33" s="154"/>
      <c r="U33" s="154"/>
      <c r="V33" s="154"/>
      <c r="W33" s="154"/>
      <c r="X33" s="154"/>
      <c r="Y33" s="154"/>
      <c r="Z33" s="154"/>
    </row>
    <row r="34" spans="1:26" ht="15.75" customHeight="1">
      <c r="A34" s="154"/>
      <c r="B34" s="154"/>
      <c r="C34" s="154"/>
      <c r="D34" s="154"/>
      <c r="E34" s="154"/>
      <c r="F34" s="154"/>
      <c r="G34" s="154"/>
      <c r="H34" s="154"/>
      <c r="I34" s="154"/>
      <c r="J34" s="154"/>
      <c r="K34" s="154"/>
      <c r="L34" s="154"/>
      <c r="M34" s="154"/>
      <c r="N34" s="154"/>
      <c r="O34" s="154"/>
      <c r="P34" s="154"/>
      <c r="Q34" s="154"/>
      <c r="R34" s="154"/>
      <c r="S34" s="154"/>
      <c r="T34" s="154"/>
      <c r="U34" s="154"/>
      <c r="V34" s="154"/>
      <c r="W34" s="154"/>
      <c r="X34" s="154"/>
      <c r="Y34" s="154"/>
      <c r="Z34" s="154"/>
    </row>
    <row r="35" spans="1:26" ht="15.75" customHeight="1">
      <c r="A35" s="154"/>
      <c r="B35" s="154"/>
      <c r="C35" s="154"/>
      <c r="D35" s="154"/>
      <c r="E35" s="154"/>
      <c r="F35" s="154"/>
      <c r="G35" s="154"/>
      <c r="H35" s="154"/>
      <c r="I35" s="154"/>
      <c r="J35" s="154"/>
      <c r="K35" s="154"/>
      <c r="L35" s="154"/>
      <c r="M35" s="154"/>
      <c r="N35" s="154"/>
      <c r="O35" s="154"/>
      <c r="P35" s="154"/>
      <c r="Q35" s="154"/>
      <c r="R35" s="154"/>
      <c r="S35" s="154"/>
      <c r="T35" s="154"/>
      <c r="U35" s="154"/>
      <c r="V35" s="154"/>
      <c r="W35" s="154"/>
      <c r="X35" s="154"/>
      <c r="Y35" s="154"/>
      <c r="Z35" s="154"/>
    </row>
    <row r="36" spans="1:26" ht="15.75" customHeight="1">
      <c r="A36" s="154"/>
      <c r="B36" s="154"/>
      <c r="C36" s="154"/>
      <c r="D36" s="154"/>
      <c r="E36" s="154"/>
      <c r="F36" s="154"/>
      <c r="G36" s="154"/>
      <c r="H36" s="154"/>
      <c r="I36" s="154"/>
      <c r="J36" s="154"/>
      <c r="K36" s="154"/>
      <c r="L36" s="154"/>
      <c r="M36" s="154"/>
      <c r="N36" s="154"/>
      <c r="O36" s="154"/>
      <c r="P36" s="154"/>
      <c r="Q36" s="154"/>
      <c r="R36" s="154"/>
      <c r="S36" s="154"/>
      <c r="T36" s="154"/>
      <c r="U36" s="154"/>
      <c r="V36" s="154"/>
      <c r="W36" s="154"/>
      <c r="X36" s="154"/>
      <c r="Y36" s="154"/>
      <c r="Z36" s="154"/>
    </row>
    <row r="37" spans="1:26" ht="15.75" customHeight="1">
      <c r="A37" s="154"/>
      <c r="B37" s="154"/>
      <c r="C37" s="154"/>
      <c r="D37" s="154"/>
      <c r="E37" s="154"/>
      <c r="F37" s="154"/>
      <c r="G37" s="154"/>
      <c r="H37" s="154"/>
      <c r="I37" s="154"/>
      <c r="J37" s="154"/>
      <c r="K37" s="154"/>
      <c r="L37" s="154"/>
      <c r="M37" s="154"/>
      <c r="N37" s="154"/>
      <c r="O37" s="154"/>
      <c r="P37" s="154"/>
      <c r="Q37" s="154"/>
      <c r="R37" s="154"/>
      <c r="S37" s="154"/>
      <c r="T37" s="154"/>
      <c r="U37" s="154"/>
      <c r="V37" s="154"/>
      <c r="W37" s="154"/>
      <c r="X37" s="154"/>
      <c r="Y37" s="154"/>
      <c r="Z37" s="154"/>
    </row>
    <row r="38" spans="1:26" ht="15.75" customHeight="1">
      <c r="A38" s="154"/>
      <c r="B38" s="154"/>
      <c r="C38" s="154"/>
      <c r="D38" s="154"/>
      <c r="E38" s="154"/>
      <c r="F38" s="154"/>
      <c r="G38" s="154"/>
      <c r="H38" s="154"/>
      <c r="I38" s="154"/>
      <c r="J38" s="154"/>
      <c r="K38" s="154"/>
      <c r="L38" s="154"/>
      <c r="M38" s="154"/>
      <c r="N38" s="154"/>
      <c r="O38" s="154"/>
      <c r="P38" s="154"/>
      <c r="Q38" s="154"/>
      <c r="R38" s="154"/>
      <c r="S38" s="154"/>
      <c r="T38" s="154"/>
      <c r="U38" s="154"/>
      <c r="V38" s="154"/>
      <c r="W38" s="154"/>
      <c r="X38" s="154"/>
      <c r="Y38" s="154"/>
      <c r="Z38" s="154"/>
    </row>
    <row r="39" spans="1:26" ht="15.75" customHeight="1">
      <c r="A39" s="154"/>
      <c r="B39" s="154"/>
      <c r="C39" s="154"/>
      <c r="D39" s="154"/>
      <c r="E39" s="154"/>
      <c r="F39" s="154"/>
      <c r="G39" s="154"/>
      <c r="H39" s="154"/>
      <c r="I39" s="154"/>
      <c r="J39" s="154"/>
      <c r="K39" s="154"/>
      <c r="L39" s="154"/>
      <c r="M39" s="154"/>
      <c r="N39" s="154"/>
      <c r="O39" s="154"/>
      <c r="P39" s="154"/>
      <c r="Q39" s="154"/>
      <c r="R39" s="154"/>
      <c r="S39" s="154"/>
      <c r="T39" s="154"/>
      <c r="U39" s="154"/>
      <c r="V39" s="154"/>
      <c r="W39" s="154"/>
      <c r="X39" s="154"/>
      <c r="Y39" s="154"/>
      <c r="Z39" s="154"/>
    </row>
    <row r="40" spans="1:26" ht="15.75" customHeight="1">
      <c r="A40" s="154"/>
      <c r="B40" s="154"/>
      <c r="C40" s="154"/>
      <c r="D40" s="154"/>
      <c r="E40" s="154"/>
      <c r="F40" s="154"/>
      <c r="G40" s="154"/>
      <c r="H40" s="154"/>
      <c r="I40" s="154"/>
      <c r="J40" s="154"/>
      <c r="K40" s="154"/>
      <c r="L40" s="154"/>
      <c r="M40" s="154"/>
      <c r="N40" s="154"/>
      <c r="O40" s="154"/>
      <c r="P40" s="154"/>
      <c r="Q40" s="154"/>
      <c r="R40" s="154"/>
      <c r="S40" s="154"/>
      <c r="T40" s="154"/>
      <c r="U40" s="154"/>
      <c r="V40" s="154"/>
      <c r="W40" s="154"/>
      <c r="X40" s="154"/>
      <c r="Y40" s="154"/>
      <c r="Z40" s="154"/>
    </row>
    <row r="41" spans="1:26" ht="15.75" customHeight="1">
      <c r="A41" s="154"/>
      <c r="B41" s="154"/>
      <c r="C41" s="154"/>
      <c r="D41" s="154"/>
      <c r="E41" s="154"/>
      <c r="F41" s="154"/>
      <c r="G41" s="154"/>
      <c r="H41" s="154"/>
      <c r="I41" s="154"/>
      <c r="J41" s="154"/>
      <c r="K41" s="154"/>
      <c r="L41" s="154"/>
      <c r="M41" s="154"/>
      <c r="N41" s="154"/>
      <c r="O41" s="154"/>
      <c r="P41" s="154"/>
      <c r="Q41" s="154"/>
      <c r="R41" s="154"/>
      <c r="S41" s="154"/>
      <c r="T41" s="154"/>
      <c r="U41" s="154"/>
      <c r="V41" s="154"/>
      <c r="W41" s="154"/>
      <c r="X41" s="154"/>
      <c r="Y41" s="154"/>
      <c r="Z41" s="154"/>
    </row>
    <row r="42" spans="1:26" ht="15.75" customHeight="1">
      <c r="A42" s="154"/>
      <c r="B42" s="154"/>
      <c r="C42" s="154"/>
      <c r="D42" s="154"/>
      <c r="E42" s="154"/>
      <c r="F42" s="154"/>
      <c r="G42" s="154"/>
      <c r="H42" s="154"/>
      <c r="I42" s="154"/>
      <c r="J42" s="154"/>
      <c r="K42" s="154"/>
      <c r="L42" s="154"/>
      <c r="M42" s="154"/>
      <c r="N42" s="154"/>
      <c r="O42" s="154"/>
      <c r="P42" s="154"/>
      <c r="Q42" s="154"/>
      <c r="R42" s="154"/>
      <c r="S42" s="154"/>
      <c r="T42" s="154"/>
      <c r="U42" s="154"/>
      <c r="V42" s="154"/>
      <c r="W42" s="154"/>
      <c r="X42" s="154"/>
      <c r="Y42" s="154"/>
      <c r="Z42" s="154"/>
    </row>
    <row r="43" spans="1:26" ht="15.75" customHeight="1">
      <c r="A43" s="154"/>
      <c r="B43" s="154"/>
      <c r="C43" s="154"/>
      <c r="D43" s="154"/>
      <c r="E43" s="154"/>
      <c r="F43" s="154"/>
      <c r="G43" s="154"/>
      <c r="H43" s="154"/>
      <c r="I43" s="154"/>
      <c r="J43" s="154"/>
      <c r="K43" s="154"/>
      <c r="L43" s="154"/>
      <c r="M43" s="154"/>
      <c r="N43" s="154"/>
      <c r="O43" s="154"/>
      <c r="P43" s="154"/>
      <c r="Q43" s="154"/>
      <c r="R43" s="154"/>
      <c r="S43" s="154"/>
      <c r="T43" s="154"/>
      <c r="U43" s="154"/>
      <c r="V43" s="154"/>
      <c r="W43" s="154"/>
      <c r="X43" s="154"/>
      <c r="Y43" s="154"/>
      <c r="Z43" s="154"/>
    </row>
    <row r="44" spans="1:26" ht="15.75" customHeight="1">
      <c r="A44" s="154"/>
      <c r="B44" s="154"/>
      <c r="C44" s="154"/>
      <c r="D44" s="154"/>
      <c r="E44" s="154"/>
      <c r="F44" s="154"/>
      <c r="G44" s="154"/>
      <c r="H44" s="154"/>
      <c r="I44" s="154"/>
      <c r="J44" s="154"/>
      <c r="K44" s="154"/>
      <c r="L44" s="154"/>
      <c r="M44" s="154"/>
      <c r="N44" s="154"/>
      <c r="O44" s="154"/>
      <c r="P44" s="154"/>
      <c r="Q44" s="154"/>
      <c r="R44" s="154"/>
      <c r="S44" s="154"/>
      <c r="T44" s="154"/>
      <c r="U44" s="154"/>
      <c r="V44" s="154"/>
      <c r="W44" s="154"/>
      <c r="X44" s="154"/>
      <c r="Y44" s="154"/>
      <c r="Z44" s="154"/>
    </row>
    <row r="45" spans="1:26" ht="15.75" customHeight="1">
      <c r="A45" s="154"/>
      <c r="B45" s="154"/>
      <c r="C45" s="154"/>
      <c r="D45" s="154"/>
      <c r="E45" s="154"/>
      <c r="F45" s="154"/>
      <c r="G45" s="154"/>
      <c r="H45" s="154"/>
      <c r="I45" s="154"/>
      <c r="J45" s="154"/>
      <c r="K45" s="154"/>
      <c r="L45" s="154"/>
      <c r="M45" s="154"/>
      <c r="N45" s="154"/>
      <c r="O45" s="154"/>
      <c r="P45" s="154"/>
      <c r="Q45" s="154"/>
      <c r="R45" s="154"/>
      <c r="S45" s="154"/>
      <c r="T45" s="154"/>
      <c r="U45" s="154"/>
      <c r="V45" s="154"/>
      <c r="W45" s="154"/>
      <c r="X45" s="154"/>
      <c r="Y45" s="154"/>
      <c r="Z45" s="154"/>
    </row>
    <row r="46" spans="1:26" ht="15.75" customHeight="1">
      <c r="A46" s="154"/>
      <c r="B46" s="154"/>
      <c r="C46" s="154"/>
      <c r="D46" s="154"/>
      <c r="E46" s="154"/>
      <c r="F46" s="154"/>
      <c r="G46" s="154"/>
      <c r="H46" s="154"/>
      <c r="I46" s="154"/>
      <c r="J46" s="154"/>
      <c r="K46" s="154"/>
      <c r="L46" s="154"/>
      <c r="M46" s="154"/>
      <c r="N46" s="154"/>
      <c r="O46" s="154"/>
      <c r="P46" s="154"/>
      <c r="Q46" s="154"/>
      <c r="R46" s="154"/>
      <c r="S46" s="154"/>
      <c r="T46" s="154"/>
      <c r="U46" s="154"/>
      <c r="V46" s="154"/>
      <c r="W46" s="154"/>
      <c r="X46" s="154"/>
      <c r="Y46" s="154"/>
      <c r="Z46" s="154"/>
    </row>
    <row r="47" spans="1:26" ht="15.75" customHeight="1">
      <c r="A47" s="154"/>
      <c r="B47" s="154"/>
      <c r="C47" s="154"/>
      <c r="D47" s="154"/>
      <c r="E47" s="154"/>
      <c r="F47" s="154"/>
      <c r="G47" s="154"/>
      <c r="H47" s="154"/>
      <c r="I47" s="154"/>
      <c r="J47" s="154"/>
      <c r="K47" s="154"/>
      <c r="L47" s="154"/>
      <c r="M47" s="154"/>
      <c r="N47" s="154"/>
      <c r="O47" s="154"/>
      <c r="P47" s="154"/>
      <c r="Q47" s="154"/>
      <c r="R47" s="154"/>
      <c r="S47" s="154"/>
      <c r="T47" s="154"/>
      <c r="U47" s="154"/>
      <c r="V47" s="154"/>
      <c r="W47" s="154"/>
      <c r="X47" s="154"/>
      <c r="Y47" s="154"/>
      <c r="Z47" s="154"/>
    </row>
    <row r="48" spans="1:26" ht="15.75" customHeight="1">
      <c r="A48" s="154"/>
      <c r="B48" s="154"/>
      <c r="C48" s="154"/>
      <c r="D48" s="154"/>
      <c r="E48" s="154"/>
      <c r="F48" s="154"/>
      <c r="G48" s="154"/>
      <c r="H48" s="154"/>
      <c r="I48" s="154"/>
      <c r="J48" s="154"/>
      <c r="K48" s="154"/>
      <c r="L48" s="154"/>
      <c r="M48" s="154"/>
      <c r="N48" s="154"/>
      <c r="O48" s="154"/>
      <c r="P48" s="154"/>
      <c r="Q48" s="154"/>
      <c r="R48" s="154"/>
      <c r="S48" s="154"/>
      <c r="T48" s="154"/>
      <c r="U48" s="154"/>
      <c r="V48" s="154"/>
      <c r="W48" s="154"/>
      <c r="X48" s="154"/>
      <c r="Y48" s="154"/>
      <c r="Z48" s="154"/>
    </row>
    <row r="49" spans="1:26" ht="15.75" customHeight="1">
      <c r="A49" s="154"/>
      <c r="B49" s="154"/>
      <c r="C49" s="154"/>
      <c r="D49" s="154"/>
      <c r="E49" s="154"/>
      <c r="F49" s="154"/>
      <c r="G49" s="154"/>
      <c r="H49" s="154"/>
      <c r="I49" s="154"/>
      <c r="J49" s="154"/>
      <c r="K49" s="154"/>
      <c r="L49" s="154"/>
      <c r="M49" s="154"/>
      <c r="N49" s="154"/>
      <c r="O49" s="154"/>
      <c r="P49" s="154"/>
      <c r="Q49" s="154"/>
      <c r="R49" s="154"/>
      <c r="S49" s="154"/>
      <c r="T49" s="154"/>
      <c r="U49" s="154"/>
      <c r="V49" s="154"/>
      <c r="W49" s="154"/>
      <c r="X49" s="154"/>
      <c r="Y49" s="154"/>
      <c r="Z49" s="154"/>
    </row>
    <row r="50" spans="1:26" ht="15.75" customHeight="1">
      <c r="A50" s="154"/>
      <c r="B50" s="154"/>
      <c r="C50" s="154"/>
      <c r="D50" s="154"/>
      <c r="E50" s="154"/>
      <c r="F50" s="154"/>
      <c r="G50" s="154"/>
      <c r="H50" s="154"/>
      <c r="I50" s="154"/>
      <c r="J50" s="154"/>
      <c r="K50" s="154"/>
      <c r="L50" s="154"/>
      <c r="M50" s="154"/>
      <c r="N50" s="154"/>
      <c r="O50" s="154"/>
      <c r="P50" s="154"/>
      <c r="Q50" s="154"/>
      <c r="R50" s="154"/>
      <c r="S50" s="154"/>
      <c r="T50" s="154"/>
      <c r="U50" s="154"/>
      <c r="V50" s="154"/>
      <c r="W50" s="154"/>
      <c r="X50" s="154"/>
      <c r="Y50" s="154"/>
      <c r="Z50" s="154"/>
    </row>
    <row r="51" spans="1:26" ht="15.75" customHeight="1">
      <c r="A51" s="154"/>
      <c r="B51" s="154"/>
      <c r="C51" s="154"/>
      <c r="D51" s="154"/>
      <c r="E51" s="154"/>
      <c r="F51" s="154"/>
      <c r="G51" s="154"/>
      <c r="H51" s="154"/>
      <c r="I51" s="154"/>
      <c r="J51" s="154"/>
      <c r="K51" s="154"/>
      <c r="L51" s="154"/>
      <c r="M51" s="154"/>
      <c r="N51" s="154"/>
      <c r="O51" s="154"/>
      <c r="P51" s="154"/>
      <c r="Q51" s="154"/>
      <c r="R51" s="154"/>
      <c r="S51" s="154"/>
      <c r="T51" s="154"/>
      <c r="U51" s="154"/>
      <c r="V51" s="154"/>
      <c r="W51" s="154"/>
      <c r="X51" s="154"/>
      <c r="Y51" s="154"/>
      <c r="Z51" s="154"/>
    </row>
    <row r="52" spans="1:26" ht="15.75" customHeight="1">
      <c r="A52" s="154"/>
      <c r="B52" s="154"/>
      <c r="C52" s="154"/>
      <c r="D52" s="154"/>
      <c r="E52" s="154"/>
      <c r="F52" s="154"/>
      <c r="G52" s="154"/>
      <c r="H52" s="154"/>
      <c r="I52" s="154"/>
      <c r="J52" s="154"/>
      <c r="K52" s="154"/>
      <c r="L52" s="154"/>
      <c r="M52" s="154"/>
      <c r="N52" s="154"/>
      <c r="O52" s="154"/>
      <c r="P52" s="154"/>
      <c r="Q52" s="154"/>
      <c r="R52" s="154"/>
      <c r="S52" s="154"/>
      <c r="T52" s="154"/>
      <c r="U52" s="154"/>
      <c r="V52" s="154"/>
      <c r="W52" s="154"/>
      <c r="X52" s="154"/>
      <c r="Y52" s="154"/>
      <c r="Z52" s="154"/>
    </row>
    <row r="53" spans="1:26" ht="15.75" customHeight="1">
      <c r="A53" s="154"/>
      <c r="B53" s="154"/>
      <c r="C53" s="154"/>
      <c r="D53" s="154"/>
      <c r="E53" s="154"/>
      <c r="F53" s="154"/>
      <c r="G53" s="154"/>
      <c r="H53" s="154"/>
      <c r="I53" s="154"/>
      <c r="J53" s="154"/>
      <c r="K53" s="154"/>
      <c r="L53" s="154"/>
      <c r="M53" s="154"/>
      <c r="N53" s="154"/>
      <c r="O53" s="154"/>
      <c r="P53" s="154"/>
      <c r="Q53" s="154"/>
      <c r="R53" s="154"/>
      <c r="S53" s="154"/>
      <c r="T53" s="154"/>
      <c r="U53" s="154"/>
      <c r="V53" s="154"/>
      <c r="W53" s="154"/>
      <c r="X53" s="154"/>
      <c r="Y53" s="154"/>
      <c r="Z53" s="154"/>
    </row>
    <row r="54" spans="1:26" ht="15.75" customHeight="1">
      <c r="A54" s="154"/>
      <c r="B54" s="154"/>
      <c r="C54" s="154"/>
      <c r="D54" s="154"/>
      <c r="E54" s="154"/>
      <c r="F54" s="154"/>
      <c r="G54" s="154"/>
      <c r="H54" s="154"/>
      <c r="I54" s="154"/>
      <c r="J54" s="154"/>
      <c r="K54" s="154"/>
      <c r="L54" s="154"/>
      <c r="M54" s="154"/>
      <c r="N54" s="154"/>
      <c r="O54" s="154"/>
      <c r="P54" s="154"/>
      <c r="Q54" s="154"/>
      <c r="R54" s="154"/>
      <c r="S54" s="154"/>
      <c r="T54" s="154"/>
      <c r="U54" s="154"/>
      <c r="V54" s="154"/>
      <c r="W54" s="154"/>
      <c r="X54" s="154"/>
      <c r="Y54" s="154"/>
      <c r="Z54" s="154"/>
    </row>
    <row r="55" spans="1:26" ht="15.75" customHeight="1">
      <c r="A55" s="154"/>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row>
    <row r="56" spans="1:26" ht="15.75" customHeight="1">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row>
    <row r="57" spans="1:26" ht="15.75" customHeight="1">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row>
    <row r="58" spans="1:26" ht="15.75" customHeight="1">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row>
    <row r="59" spans="1:26" ht="15.75" customHeight="1">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row>
    <row r="60" spans="1:26" ht="15.75" customHeight="1">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row>
    <row r="61" spans="1:26" ht="15.75" customHeight="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row>
    <row r="62" spans="1:26" ht="15.75" customHeight="1">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row>
    <row r="63" spans="1:26" ht="15.75" customHeight="1">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row>
    <row r="64" spans="1:26" ht="15.75" customHeight="1">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row>
    <row r="65" spans="1:26" ht="15.75" customHeight="1">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row>
    <row r="66" spans="1:26" ht="15.75" customHeight="1">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row>
    <row r="67" spans="1:26" ht="15.75" customHeight="1">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row>
    <row r="68" spans="1:26" ht="15.75" customHeight="1">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row>
    <row r="69" spans="1:26" ht="15.75" customHeight="1">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row>
    <row r="70" spans="1:26" ht="15.75" customHeight="1">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row>
    <row r="71" spans="1:26" ht="15.75" customHeight="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row>
    <row r="72" spans="1:26" ht="15.75" customHeight="1">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row>
    <row r="73" spans="1:26" ht="15.75" customHeight="1">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row>
    <row r="74" spans="1:26" ht="15.75" customHeight="1">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row>
    <row r="75" spans="1:26" ht="15.75" customHeight="1">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row>
    <row r="76" spans="1:26" ht="15.75" customHeight="1">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row>
    <row r="77" spans="1:26" ht="15.75" customHeight="1">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row>
    <row r="78" spans="1:26" ht="15.75" customHeight="1">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row>
    <row r="79" spans="1:26" ht="15.75" customHeight="1">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row>
    <row r="80" spans="1:26" ht="15.75" customHeight="1">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row>
    <row r="81" spans="1:26" ht="15.75" customHeight="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row>
    <row r="82" spans="1:26" ht="15.75" customHeight="1">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row>
    <row r="83" spans="1:26" ht="15.75" customHeight="1">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row>
    <row r="84" spans="1:26" ht="15.75" customHeight="1">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row>
    <row r="85" spans="1:26" ht="15.75" customHeight="1">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row>
    <row r="86" spans="1:26" ht="15.75" customHeight="1">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row>
    <row r="87" spans="1:26" ht="15.75" customHeight="1">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row>
    <row r="88" spans="1:26" ht="15.75" customHeight="1">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row>
    <row r="89" spans="1:26" ht="15.75" customHeight="1">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row>
    <row r="90" spans="1:26" ht="15.75" customHeight="1">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row>
    <row r="91" spans="1:26" ht="15.75" customHeight="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row>
    <row r="92" spans="1:26" ht="15.75" customHeight="1">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row>
    <row r="93" spans="1:26" ht="15.75" customHeight="1">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row>
    <row r="94" spans="1:26" ht="15.75" customHeight="1">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row>
    <row r="95" spans="1:26" ht="15.75" customHeight="1">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row>
    <row r="96" spans="1:26" ht="15.75" customHeight="1">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row>
    <row r="97" spans="1:26" ht="15.75" customHeight="1">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row>
    <row r="98" spans="1:26" ht="15.75" customHeight="1">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row>
    <row r="99" spans="1:26" ht="15.75" customHeight="1">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row>
    <row r="100" spans="1:26" ht="15.75" customHeight="1">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row>
    <row r="101" spans="1:26" ht="15.75" customHeight="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row>
    <row r="102" spans="1:26" ht="15.75" customHeight="1">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row>
    <row r="103" spans="1:26" ht="15.75" customHeight="1">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row>
    <row r="104" spans="1:26" ht="15.75" customHeight="1">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row>
    <row r="105" spans="1:26" ht="15.75" customHeight="1">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row>
    <row r="106" spans="1:26" ht="15.75" customHeight="1">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row>
    <row r="107" spans="1:26" ht="15.75" customHeight="1">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row>
    <row r="108" spans="1:26" ht="15.75" customHeight="1">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row>
    <row r="109" spans="1:26" ht="15.75" customHeight="1">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row>
    <row r="110" spans="1:26" ht="15.75" customHeight="1">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row>
    <row r="111" spans="1:26" ht="15.75" customHeight="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row>
    <row r="112" spans="1:26" ht="15.75" customHeight="1">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row>
    <row r="113" spans="1:26" ht="15.75" customHeight="1">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row>
    <row r="114" spans="1:26" ht="15.75" customHeight="1">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row>
    <row r="115" spans="1:26" ht="15.75" customHeight="1">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row>
    <row r="116" spans="1:26" ht="15.75" customHeight="1">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row>
    <row r="117" spans="1:26" ht="15.75" customHeight="1">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row>
    <row r="118" spans="1:26" ht="15.75" customHeight="1">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row>
    <row r="119" spans="1:26" ht="15.75" customHeight="1">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row>
    <row r="120" spans="1:26" ht="15.75" customHeight="1">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row>
    <row r="121" spans="1:26" ht="15.75" customHeight="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row>
    <row r="122" spans="1:26" ht="15.75" customHeight="1">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row>
    <row r="123" spans="1:26" ht="15.75" customHeight="1">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row>
    <row r="124" spans="1:26" ht="15.75" customHeight="1">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row>
    <row r="125" spans="1:26" ht="15.75" customHeight="1">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row>
    <row r="126" spans="1:26" ht="15.75" customHeight="1">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row>
    <row r="127" spans="1:26" ht="15.75" customHeight="1">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row>
    <row r="128" spans="1:26" ht="15.75" customHeight="1">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row>
    <row r="129" spans="1:26" ht="15.75" customHeight="1">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row>
    <row r="130" spans="1:26" ht="15.75" customHeight="1">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row>
    <row r="131" spans="1:26" ht="15.75" customHeight="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row>
    <row r="132" spans="1:26" ht="15.75" customHeight="1">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row>
    <row r="133" spans="1:26" ht="15.75" customHeight="1">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row>
    <row r="134" spans="1:26" ht="15.75" customHeight="1">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row>
    <row r="135" spans="1:26" ht="15.75" customHeight="1">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row>
    <row r="136" spans="1:26" ht="15.75" customHeight="1">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row>
    <row r="137" spans="1:26" ht="15.75" customHeight="1">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row>
    <row r="138" spans="1:26" ht="15.75" customHeight="1">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row>
    <row r="139" spans="1:26" ht="15.75" customHeight="1">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row>
    <row r="140" spans="1:26" ht="15.75" customHeight="1">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row>
    <row r="141" spans="1:26" ht="15.75" customHeight="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row>
    <row r="142" spans="1:26" ht="15.75" customHeight="1">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row>
    <row r="143" spans="1:26" ht="15.75" customHeight="1">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row>
    <row r="144" spans="1:26" ht="15.75" customHeight="1">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row>
    <row r="145" spans="1:26" ht="15.75" customHeight="1">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row>
    <row r="146" spans="1:26" ht="15.75" customHeight="1">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row>
    <row r="147" spans="1:26" ht="15.75" customHeight="1">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row>
    <row r="148" spans="1:26" ht="15.75" customHeight="1">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row>
    <row r="149" spans="1:26" ht="15.75" customHeight="1">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row>
    <row r="150" spans="1:26" ht="15.75" customHeight="1">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row>
    <row r="151" spans="1:26" ht="15.75" customHeight="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row>
    <row r="152" spans="1:26" ht="15.75" customHeight="1">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row>
    <row r="153" spans="1:26" ht="15.75" customHeight="1">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row>
    <row r="154" spans="1:26" ht="15.75" customHeight="1">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row>
    <row r="155" spans="1:26" ht="15.75" customHeight="1">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row>
    <row r="156" spans="1:26" ht="15.75" customHeight="1">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row>
    <row r="157" spans="1:26" ht="15.75" customHeight="1">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row>
    <row r="158" spans="1:26" ht="15.75" customHeight="1">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row>
    <row r="159" spans="1:26" ht="15.75" customHeight="1">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row>
    <row r="160" spans="1:26" ht="15.75" customHeight="1">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row>
    <row r="161" spans="1:26" ht="15.75" customHeight="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row>
    <row r="162" spans="1:26" ht="15.75" customHeight="1">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row>
    <row r="163" spans="1:26" ht="15.75" customHeight="1">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row>
    <row r="164" spans="1:26" ht="15.75" customHeight="1">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row>
    <row r="165" spans="1:26" ht="15.75" customHeight="1">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row>
    <row r="166" spans="1:26" ht="15.75" customHeight="1">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row>
    <row r="167" spans="1:26" ht="15.75" customHeight="1">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row>
    <row r="168" spans="1:26" ht="15.75" customHeight="1">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row>
    <row r="169" spans="1:26" ht="15.75" customHeight="1">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row>
    <row r="170" spans="1:26" ht="15.75" customHeight="1">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row>
    <row r="171" spans="1:26" ht="15.75" customHeight="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row>
    <row r="172" spans="1:26" ht="15.75" customHeight="1">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row>
    <row r="173" spans="1:26" ht="15.75" customHeight="1">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row>
    <row r="174" spans="1:26" ht="15.75" customHeight="1">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row>
    <row r="175" spans="1:26" ht="15.75" customHeight="1">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row>
    <row r="176" spans="1:26" ht="15.75" customHeight="1">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row>
    <row r="177" spans="1:26" ht="15.75" customHeight="1">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row>
    <row r="178" spans="1:26" ht="15.75" customHeight="1">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row>
    <row r="179" spans="1:26" ht="15.75" customHeight="1">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row>
    <row r="180" spans="1:26" ht="15.75" customHeight="1">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row>
    <row r="181" spans="1:26" ht="15.75" customHeight="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row>
    <row r="182" spans="1:26" ht="15.75" customHeight="1">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row>
    <row r="183" spans="1:26" ht="15.75" customHeight="1">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row>
    <row r="184" spans="1:26" ht="15.75" customHeight="1">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row>
    <row r="185" spans="1:26" ht="15.75" customHeight="1">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row>
    <row r="186" spans="1:26" ht="15.75" customHeight="1">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row>
    <row r="187" spans="1:26" ht="15.75" customHeight="1">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row>
    <row r="188" spans="1:26" ht="15.75" customHeight="1">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row>
    <row r="189" spans="1:26" ht="15.75" customHeight="1">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row>
    <row r="190" spans="1:26" ht="15.75" customHeight="1">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row>
    <row r="191" spans="1:26" ht="15.75" customHeight="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row>
    <row r="192" spans="1:26" ht="15.75" customHeight="1">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row>
    <row r="193" spans="1:26" ht="15.75" customHeight="1">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row>
    <row r="194" spans="1:26" ht="15.75" customHeight="1">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row>
    <row r="195" spans="1:26" ht="15.75" customHeight="1">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row>
    <row r="196" spans="1:26" ht="15.75" customHeight="1">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row>
    <row r="197" spans="1:26" ht="15.75" customHeight="1">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row>
    <row r="198" spans="1:26" ht="15.75" customHeight="1">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row>
    <row r="199" spans="1:26" ht="15.75" customHeight="1">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row>
    <row r="200" spans="1:26" ht="15.75" customHeight="1">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row>
    <row r="201" spans="1:26" ht="15.75" customHeight="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row>
    <row r="202" spans="1:26" ht="15.75" customHeight="1">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row>
    <row r="203" spans="1:26" ht="15.75" customHeight="1">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row>
    <row r="204" spans="1:26" ht="15.75" customHeight="1">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row>
    <row r="205" spans="1:26" ht="15.75" customHeight="1">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row>
    <row r="206" spans="1:26" ht="15.75" customHeight="1">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row>
    <row r="207" spans="1:26" ht="15.75" customHeight="1">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row>
    <row r="208" spans="1:26" ht="15.75" customHeight="1">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row>
    <row r="209" spans="1:26" ht="15.75" customHeight="1">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row>
    <row r="210" spans="1:26" ht="15.75" customHeight="1">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row>
    <row r="211" spans="1:26" ht="15.75" customHeight="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row>
    <row r="212" spans="1:26" ht="15.75" customHeight="1">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row>
    <row r="213" spans="1:26" ht="15.75" customHeight="1">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row>
    <row r="214" spans="1:26" ht="15.75" customHeight="1">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row>
    <row r="215" spans="1:26" ht="15.75" customHeight="1">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row>
    <row r="216" spans="1:26" ht="15.75" customHeight="1">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row>
    <row r="217" spans="1:26" ht="15.75" customHeight="1">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row>
    <row r="218" spans="1:26" ht="15.75" customHeight="1">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row>
    <row r="219" spans="1:26" ht="15.75" customHeight="1">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row>
    <row r="220" spans="1:26" ht="15.75" customHeight="1">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(Proteccíon)</vt:lpstr>
      <vt:lpstr>FINALIZADOS  despues de actu, i</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2026-06-03T22:33:46Z</dcterms:modified>
</cp:coreProperties>
</file>
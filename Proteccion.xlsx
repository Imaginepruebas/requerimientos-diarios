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(Proteccíon)'!$A$1:$R$30</definedName>
  </definedNames>
  <calcPr calcId="162913"/>
  <extLst>
    <ext uri="GoogleSheetsCustomDataVersion2">
      <go:sheetsCustomData xmlns:go="http://customooxmlschemas.google.com/" r:id="rId9" roundtripDataChecksum="kOPNtWXSO08hiSw0QRxHc9zOTaIWYHgNZ9iB/ZnTg/s="/>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74" i="1"/>
  <c r="H74" i="1"/>
  <c r="M73" i="1"/>
  <c r="H73" i="1"/>
  <c r="M72" i="1"/>
  <c r="H72" i="1"/>
  <c r="M71" i="1"/>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<sst xmlns="http://schemas.openxmlformats.org/spreadsheetml/2006/main" count="1472" uniqueCount="367">
  <si>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</si>
  <si>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</si>
  <si>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</si>
  <si>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</si>
  <si>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</si>
  <si>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</si>
  <si>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</si>
  <si>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</si>
  <si>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</si>
  <si>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</si>
  <si>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</si>
  <si>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</si>
  <si>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</si>
  <si>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</si>
  <si>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</si>
  <si>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</si>
  <si>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</si>
  <si>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</si>
  <si>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</si>
  <si>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</si>
  <si>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</si>
  <si>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</si>
  <si>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</si>
  <si>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</si>
  <si>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</si>
  <si>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</si>
  <si>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</si>
  <si>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</si>
  <si>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</si>
  <si>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</si>
  <si>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</si>
  <si>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</si>
  <si>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</si>
  <si>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</si>
  <si>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</si>
  <si>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</si>
  <si>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</si>
  <si>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</si>
  <si>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</si>
  <si>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</si>
  <si>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</si>
  <si>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</si>
  <si>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</si>
  <si>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</si>
  <si>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</si>
  <si>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</si>
  <si>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</si>
  <si>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</si>
  <si>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</si>
  <si>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</si>
  <si>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</si>
  <si>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</si>
  <si>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</si>
  <si>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</si>
  <si>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</si>
  <si>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</si>
  <si>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</si>
  <si>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</si>
  <si>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</si>
  <si>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</si>
  <si>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</si>
  <si>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</si>
  <si>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</si>
  <si>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</si>
  <si>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</si>
  <si>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</si>
  <si>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</si>
  <si>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</si>
  <si>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</si>
  <si>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</si>
  <si>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</si>
  <si>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</si>
  <si>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</si>
  <si>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</si>
  <si>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</si>
  <si>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</si>
  <si>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</si>
  <si>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</si>
  <si>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</si>
  <si>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</si>
  <si>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</si>
  <si>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</si>
  <si>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</si>
  <si>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</si>
  <si>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</si>
  <si>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</si>
  <si>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</si>
  <si>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</si>
  <si>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</si>
  <si>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</si>
  <si>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</si>
  <si>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</si>
  <si>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</si>
  <si>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</si>
  <si>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</si>
  <si>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</si>
  <si>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</si>
  <si>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</si>
  <si>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</si>
  <si>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</si>
  <si>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</si>
  <si>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</si>
  <si>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</si>
  <si>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</si>
  <si>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</si>
  <si>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</si>
  <si>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</si>
  <si>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</si>
  <si>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</si>
  <si>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</si>
  <si>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</si>
  <si>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</si>
  <si>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</si>
  <si>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</si>
  <si>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</si>
  <si>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</si>
  <si>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</si>
  <si>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</si>
  <si>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</si>
  <si>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</si>
  <si>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</si>
  <si>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</si>
  <si>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</si>
  <si>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</si>
  <si>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</si>
  <si>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</si>
  <si>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</si>
  <si>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</si>
  <si>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</si>
  <si>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</si>
  <si>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</si>
  <si>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</si>
  <si>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</si>
  <si>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</si>
  <si>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</si>
  <si>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</si>
  <si>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</si>
  <si>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</si>
  <si>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</si>
  <si>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</si>
  <si>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</si>
  <si>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</si>
  <si>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</si>
  <si>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</si>
  <si>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</si>
  <si>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</si>
  <si>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</si>
  <si>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</si>
  <si>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</si>
  <si>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</si>
  <si>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</si>
  <si>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</si>
  <si>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</si>
  <si>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</si>
  <si>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</si>
  <si>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</si>
  <si>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</si>
  <si>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</si>
  <si>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</si>
  <si>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</si>
  <si>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</si>
  <si>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</si>
  <si>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</si>
  <si>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</si>
  <si>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</si>
  <si>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</si>
  <si>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</si>
  <si>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</si>
  <si>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</si>
  <si>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</si>
  <si>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</si>
  <si>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</si>
  <si>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</si>
  <si>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</si>
  <si>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</si>
  <si>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</si>
  <si>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</si>
  <si>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</si>
  <si>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</si>
  <si>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</si>
  <si>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</si>
  <si>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</si>
  <si>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</si>
  <si>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</si>
  <si>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</si>
  <si>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</si>
  <si>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</si>
  <si>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</si>
  <si>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</si>
  <si>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</si>
  <si>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</si>
  <si>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</si>
  <si>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</si>
  <si>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</si>
  <si>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</si>
  <si>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</si>
  <si>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</si>
  <si>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</si>
  <si>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</si>
  <si>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</si>
  <si>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</si>
  <si>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</si>
  <si>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</si>
  <si>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</si>
  <si>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</si>
  <si>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</si>
  <si>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</si>
  <si>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</si>
  <si>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</si>
  <si>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</si>
  <si>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</si>
  <si>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</si>
  <si>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</si>
  <si>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</si>
  <si>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</si>
  <si>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</si>
  <si>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</si>
  <si>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</si>
  <si>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</si>
  <si>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</si>
  <si>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</si>
  <si>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</si>
  <si>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</si>
  <si>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</si>
  <si>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</si>
  <si>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</si>
  <si>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</si>
  <si>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</si>
  <si>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</si>
  <si>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</si>
  <si>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</si>
  <si>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</si>
  <si>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</si>
  <si>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</si>
  <si>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</si>
  <si>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</si>
  <si>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t>
  </si>
  <si>
    <t>Interno-H16-9</t>
  </si>
  <si>
    <t>Acople de resultados con procesos ya existentes en Imagine</t>
  </si>
  <si>
    <t>29/01/2026 Se termina la implementación y me encuentro en pruebas de funcionamiento
03/02/2026 Se pudo lograr realizar una prueba depunto a punto exitosa</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</si>
  <si>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</si>
  <si>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</si>
  <si>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</si>
  <si>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</si>
  <si>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</si>
  <si>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</si>
  <si>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</si>
  <si>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</si>
  <si>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04/02/2026 Se cambia la lógica actual que estaba presentando lentitud en la gestión del operador por una asyncrona que se renueva todos los días</t>
  </si>
  <si>
    <t>Interno-H16-12</t>
  </si>
  <si>
    <t>Procesos de mejora de rendimiento de tiempo al aprovar y rechazar un documento. Trasladando el proceso síncrono a uno asíncrono</t>
  </si>
  <si>
    <t>05/02/2026 Se agrega termina de cambiar la lógica y de agregar el script que ejecute asíncronamente el envió 
06/02/2026 Se esta en proceso de pruebas y cambiosdebido a que se han presentado situaciones que deben de darse mantenimiento</t>
  </si>
  <si>
    <t>Interno-H16-13</t>
  </si>
  <si>
    <t>Adición de modulos para la asignación y filtro de información</t>
  </si>
  <si>
    <t>05/02/2026 Se agrega los nuevos módulos, se prueban y se pasan a producción</t>
  </si>
  <si>
    <t>Interno-H16-14</t>
  </si>
  <si>
    <t>Identificación de problemas con el servidor al momento de hacer cargues pesados</t>
  </si>
  <si>
    <t>06/02/2026 Se identifica lentitud y se empieza un proceso de migración de servicios a producción que originalmente estaban en pruebas
09/02/2026 Se monta la solución en producción y se espera confirmación de funcionamiento</t>
  </si>
  <si>
    <t>Interno-H16-15</t>
  </si>
  <si>
    <t>Creación de servicio que accedera a FileNet y descargará los archivos asociados a la documentación por validar y acoplamiento a los dos proyectos de fileNet</t>
  </si>
  <si>
    <t>Modificación para los módulo de validación filenet y creación de servicio para el acceso a archivos</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</si>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</sst>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4">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7" borderId="3" xfId="0" applyFont="1" applyFill="1" applyBorder="1" applyAlignment="1">
      <alignment horizontal="left" vertical="top"/>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4" fillId="7" borderId="0" xfId="0" applyFont="1" applyFill="1" applyAlignment="1"/>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74"/>
  <sheetViews>
    <sheetView tabSelected="1" workbookViewId="0">
      <pane ySplit="1" topLeftCell="A2" activePane="bottomLeft" state="frozen"/>
      <selection pane="bottomLeft" activeCell="G6" sqref="G6"/>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365</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365</v>
      </c>
    </row>
    <row r="4" spans="1:40" ht="29.25"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s">
        <v>365</v>
      </c>
    </row>
    <row r="5" spans="1:40" ht="29.25"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s">
        <v>365</v>
      </c>
    </row>
    <row r="6" spans="1:40" ht="29.25"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s">
        <v>365</v>
      </c>
    </row>
    <row r="7" spans="1:40" ht="29.25"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s">
        <v>365</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365</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365</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365</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365</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365</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365</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365</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365</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365</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365</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365</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365</v>
      </c>
    </row>
    <row r="20" spans="1:18" ht="29.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142</v>
      </c>
      <c r="N20" s="53"/>
      <c r="O20" s="53"/>
      <c r="P20" s="53"/>
      <c r="Q20" s="50" t="s">
        <v>81</v>
      </c>
      <c r="R20" s="29" t="s">
        <v>365</v>
      </c>
    </row>
    <row r="21" spans="1:18" ht="39"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44" t="s">
        <v>365</v>
      </c>
    </row>
    <row r="22" spans="1:18" ht="129.75" customHeight="1">
      <c r="A22" s="16" t="s">
        <v>18</v>
      </c>
      <c r="B22" s="17" t="s">
        <v>86</v>
      </c>
      <c r="C22" s="18" t="s">
        <v>87</v>
      </c>
      <c r="D22" s="19" t="s">
        <v>42</v>
      </c>
      <c r="E22" s="73"/>
      <c r="F22" s="74"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365</v>
      </c>
    </row>
    <row r="23" spans="1:18" ht="69" customHeight="1">
      <c r="A23" s="30" t="s">
        <v>18</v>
      </c>
      <c r="B23" s="31" t="s">
        <v>89</v>
      </c>
      <c r="C23" s="32" t="s">
        <v>90</v>
      </c>
      <c r="D23" s="33" t="s">
        <v>91</v>
      </c>
      <c r="E23" s="75"/>
      <c r="F23" s="34" t="s">
        <v>22</v>
      </c>
      <c r="G23" s="76">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44" t="s">
        <v>365</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29" t="s">
        <v>365</v>
      </c>
    </row>
    <row r="25" spans="1:18" ht="63" customHeight="1">
      <c r="A25" s="30" t="s">
        <v>18</v>
      </c>
      <c r="B25" s="31" t="s">
        <v>96</v>
      </c>
      <c r="C25" s="32" t="s">
        <v>97</v>
      </c>
      <c r="D25" s="33" t="s">
        <v>98</v>
      </c>
      <c r="E25" s="33"/>
      <c r="F25" s="72" t="s">
        <v>22</v>
      </c>
      <c r="G25" s="76">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s">
        <v>365</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29" t="s">
        <v>365</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77"/>
      <c r="R27" s="44" t="s">
        <v>366</v>
      </c>
    </row>
    <row r="28" spans="1:18" ht="138" customHeight="1">
      <c r="A28" s="16" t="s">
        <v>18</v>
      </c>
      <c r="B28" s="17" t="s">
        <v>107</v>
      </c>
      <c r="C28" s="18" t="s">
        <v>108</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109</v>
      </c>
      <c r="R28" s="29" t="s">
        <v>365</v>
      </c>
    </row>
    <row r="29" spans="1:18" ht="67.5" customHeight="1">
      <c r="A29" s="30" t="s">
        <v>18</v>
      </c>
      <c r="B29" s="31" t="s">
        <v>110</v>
      </c>
      <c r="C29" s="32" t="s">
        <v>111</v>
      </c>
      <c r="D29" s="33" t="s">
        <v>112</v>
      </c>
      <c r="E29" s="33"/>
      <c r="F29" s="72" t="s">
        <v>22</v>
      </c>
      <c r="G29" s="76">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365</v>
      </c>
    </row>
    <row r="30" spans="1:18" ht="85.5">
      <c r="A30" s="16" t="s">
        <v>18</v>
      </c>
      <c r="B30" s="17" t="s">
        <v>113</v>
      </c>
      <c r="C30" s="18" t="s">
        <v>108</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365</v>
      </c>
    </row>
    <row r="31" spans="1:18" ht="71.25">
      <c r="A31" s="30" t="s">
        <v>18</v>
      </c>
      <c r="B31" s="31" t="s">
        <v>114</v>
      </c>
      <c r="C31" s="32" t="s">
        <v>115</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365</v>
      </c>
    </row>
    <row r="32" spans="1:18" ht="42.75">
      <c r="A32" s="16" t="s">
        <v>18</v>
      </c>
      <c r="B32" s="17" t="s">
        <v>116</v>
      </c>
      <c r="C32" s="18" t="s">
        <v>117</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365</v>
      </c>
    </row>
    <row r="33" spans="1:18" ht="76.5" customHeight="1">
      <c r="A33" s="30" t="s">
        <v>18</v>
      </c>
      <c r="B33" s="31" t="s">
        <v>118</v>
      </c>
      <c r="C33" s="32" t="s">
        <v>119</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120</v>
      </c>
      <c r="R33" s="44" t="s">
        <v>365</v>
      </c>
    </row>
    <row r="34" spans="1:18" ht="38.25">
      <c r="A34" s="16" t="s">
        <v>18</v>
      </c>
      <c r="B34" s="17" t="s">
        <v>121</v>
      </c>
      <c r="C34" s="18" t="s">
        <v>122</v>
      </c>
      <c r="D34" s="19" t="s">
        <v>123</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124</v>
      </c>
      <c r="R34" s="29" t="s">
        <v>365</v>
      </c>
    </row>
    <row r="35" spans="1:18" ht="42.75">
      <c r="A35" s="30" t="s">
        <v>18</v>
      </c>
      <c r="B35" s="31" t="s">
        <v>125</v>
      </c>
      <c r="C35" s="32" t="s">
        <v>126</v>
      </c>
      <c r="D35" s="33" t="s">
        <v>123</v>
      </c>
      <c r="E35" s="33"/>
      <c r="F35" s="72" t="s">
        <v>22</v>
      </c>
      <c r="G35" s="76">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124</v>
      </c>
      <c r="R35" s="44" t="s">
        <v>365</v>
      </c>
    </row>
    <row r="36" spans="1:18" ht="93" customHeight="1">
      <c r="A36" s="16" t="s">
        <v>18</v>
      </c>
      <c r="B36" s="17" t="s">
        <v>127</v>
      </c>
      <c r="C36" s="18" t="s">
        <v>128</v>
      </c>
      <c r="D36" s="19" t="s">
        <v>129</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130</v>
      </c>
      <c r="R36" s="29" t="s">
        <v>365</v>
      </c>
    </row>
    <row r="37" spans="1:18" ht="76.5" customHeight="1">
      <c r="A37" s="30" t="s">
        <v>18</v>
      </c>
      <c r="B37" s="31" t="s">
        <v>131</v>
      </c>
      <c r="C37" s="32" t="s">
        <v>132</v>
      </c>
      <c r="D37" s="33" t="s">
        <v>133</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134</v>
      </c>
      <c r="R37" s="44" t="s">
        <v>365</v>
      </c>
    </row>
    <row r="38" spans="1:18" ht="120.75" customHeight="1">
      <c r="A38" s="16" t="s">
        <v>18</v>
      </c>
      <c r="B38" s="17" t="s">
        <v>135</v>
      </c>
      <c r="C38" s="18" t="s">
        <v>136</v>
      </c>
      <c r="D38" s="19" t="s">
        <v>137</v>
      </c>
      <c r="E38" s="19"/>
      <c r="F38" s="54" t="s">
        <v>138</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96</v>
      </c>
      <c r="N38" s="24"/>
      <c r="O38" s="24"/>
      <c r="P38" s="53"/>
      <c r="Q38" s="78" t="s">
        <v>139</v>
      </c>
      <c r="R38" s="29" t="s">
        <v>365</v>
      </c>
    </row>
    <row r="39" spans="1:18" ht="162" customHeight="1">
      <c r="A39" s="30" t="s">
        <v>18</v>
      </c>
      <c r="B39" s="31" t="s">
        <v>140</v>
      </c>
      <c r="C39" s="32" t="s">
        <v>141</v>
      </c>
      <c r="D39" s="33" t="s">
        <v>133</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44" t="s">
        <v>365</v>
      </c>
    </row>
    <row r="40" spans="1:18" ht="93"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s">
        <v>365</v>
      </c>
    </row>
    <row r="41" spans="1:18" ht="93" customHeight="1">
      <c r="A41" s="30" t="s">
        <v>18</v>
      </c>
      <c r="B41" s="31" t="s">
        <v>147</v>
      </c>
      <c r="C41" s="32" t="s">
        <v>148</v>
      </c>
      <c r="D41" s="33" t="s">
        <v>149</v>
      </c>
      <c r="E41" s="33"/>
      <c r="F41" s="72" t="s">
        <v>150</v>
      </c>
      <c r="G41" s="76">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44" t="s">
        <v>365</v>
      </c>
    </row>
    <row r="42" spans="1:18" ht="67.5" customHeight="1">
      <c r="A42" s="16" t="s">
        <v>18</v>
      </c>
      <c r="B42" s="17" t="s">
        <v>152</v>
      </c>
      <c r="C42" s="18" t="s">
        <v>153</v>
      </c>
      <c r="D42" s="19" t="s">
        <v>112</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s">
        <v>365</v>
      </c>
    </row>
    <row r="43" spans="1:18" ht="93" customHeight="1">
      <c r="A43" s="30" t="s">
        <v>18</v>
      </c>
      <c r="B43" s="31" t="s">
        <v>155</v>
      </c>
      <c r="C43" s="32" t="s">
        <v>156</v>
      </c>
      <c r="D43" s="33" t="s">
        <v>157</v>
      </c>
      <c r="E43" s="33"/>
      <c r="F43" s="72" t="s">
        <v>22</v>
      </c>
      <c r="G43" s="76">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s">
        <v>365</v>
      </c>
    </row>
    <row r="44" spans="1:18" ht="93"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s">
        <v>365</v>
      </c>
    </row>
    <row r="45" spans="1:18" ht="93" customHeight="1">
      <c r="A45" s="30" t="s">
        <v>18</v>
      </c>
      <c r="B45" s="31" t="s">
        <v>163</v>
      </c>
      <c r="C45" s="32" t="s">
        <v>164</v>
      </c>
      <c r="D45" s="33" t="s">
        <v>165</v>
      </c>
      <c r="E45" s="33"/>
      <c r="F45" s="72" t="s">
        <v>22</v>
      </c>
      <c r="G45" s="76">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s">
        <v>365</v>
      </c>
    </row>
    <row r="46" spans="1:18" ht="162"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s">
        <v>365</v>
      </c>
    </row>
    <row r="47" spans="1:18" ht="162"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s">
        <v>365</v>
      </c>
    </row>
    <row r="48" spans="1:18" ht="162"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s">
        <v>365</v>
      </c>
    </row>
    <row r="49" spans="1:18" ht="162"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s">
        <v>365</v>
      </c>
    </row>
    <row r="50" spans="1:18" ht="162"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s">
        <v>365</v>
      </c>
    </row>
    <row r="51" spans="1:18" ht="162"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s">
        <v>365</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29" t="s">
        <v>365</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44" t="s">
        <v>365</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29" t="s">
        <v>365</v>
      </c>
    </row>
    <row r="55" spans="1:18" ht="162" customHeight="1">
      <c r="A55" s="30" t="s">
        <v>18</v>
      </c>
      <c r="B55" s="31" t="s">
        <v>197</v>
      </c>
      <c r="C55" s="32" t="s">
        <v>198</v>
      </c>
      <c r="D55" s="33" t="s">
        <v>191</v>
      </c>
      <c r="E55" s="33"/>
      <c r="F55" s="72" t="s">
        <v>199</v>
      </c>
      <c r="G55" s="35">
        <v>90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200</v>
      </c>
      <c r="R55" s="44" t="s">
        <v>365</v>
      </c>
    </row>
    <row r="56" spans="1:18" ht="162" customHeight="1">
      <c r="A56" s="16" t="s">
        <v>18</v>
      </c>
      <c r="B56" s="17" t="s">
        <v>201</v>
      </c>
      <c r="C56" s="18" t="s">
        <v>202</v>
      </c>
      <c r="D56" s="19" t="s">
        <v>191</v>
      </c>
      <c r="E56" s="19"/>
      <c r="F56" s="54" t="s">
        <v>199</v>
      </c>
      <c r="G56" s="21">
        <v>90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203</v>
      </c>
      <c r="R56" s="80" t="s">
        <v>365</v>
      </c>
    </row>
    <row r="57" spans="1:18" ht="110.25" customHeight="1">
      <c r="A57" s="30" t="s">
        <v>18</v>
      </c>
      <c r="B57" s="31" t="s">
        <v>204</v>
      </c>
      <c r="C57" s="32" t="s">
        <v>205</v>
      </c>
      <c r="D57" s="33" t="s">
        <v>206</v>
      </c>
      <c r="E57" s="33"/>
      <c r="F57" s="72" t="s">
        <v>22</v>
      </c>
      <c r="G57" s="76">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207</v>
      </c>
      <c r="R57" s="44" t="s">
        <v>365</v>
      </c>
    </row>
    <row r="58" spans="1:18" ht="162" customHeight="1">
      <c r="A58" s="16" t="s">
        <v>18</v>
      </c>
      <c r="B58" s="17" t="s">
        <v>208</v>
      </c>
      <c r="C58" s="18" t="s">
        <v>209</v>
      </c>
      <c r="D58" s="19" t="s">
        <v>191</v>
      </c>
      <c r="E58" s="19"/>
      <c r="F58" s="54" t="s">
        <v>199</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210</v>
      </c>
      <c r="R58" s="80" t="s">
        <v>365</v>
      </c>
    </row>
    <row r="59" spans="1:18" ht="110.25" customHeight="1">
      <c r="A59" s="30" t="s">
        <v>18</v>
      </c>
      <c r="B59" s="31" t="s">
        <v>211</v>
      </c>
      <c r="C59" s="32" t="s">
        <v>212</v>
      </c>
      <c r="D59" s="33" t="s">
        <v>213</v>
      </c>
      <c r="E59" s="33"/>
      <c r="F59" s="72" t="s">
        <v>22</v>
      </c>
      <c r="G59" s="76">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214</v>
      </c>
      <c r="R59" s="44" t="s">
        <v>365</v>
      </c>
    </row>
    <row r="60" spans="1:18" ht="162" customHeight="1">
      <c r="A60" s="16" t="s">
        <v>18</v>
      </c>
      <c r="B60" s="17" t="s">
        <v>215</v>
      </c>
      <c r="C60" s="18" t="s">
        <v>216</v>
      </c>
      <c r="D60" s="19" t="s">
        <v>191</v>
      </c>
      <c r="E60" s="19"/>
      <c r="F60" s="54" t="s">
        <v>22</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c r="Q60" s="78" t="s">
        <v>217</v>
      </c>
      <c r="R60" s="80" t="s">
        <v>365</v>
      </c>
    </row>
    <row r="61" spans="1:18" ht="162" customHeight="1">
      <c r="A61" s="30" t="s">
        <v>18</v>
      </c>
      <c r="B61" s="31" t="s">
        <v>218</v>
      </c>
      <c r="C61" s="32" t="s">
        <v>219</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220</v>
      </c>
      <c r="R61" s="81" t="s">
        <v>365</v>
      </c>
    </row>
    <row r="62" spans="1:18" ht="110.25" customHeight="1">
      <c r="A62" s="16" t="s">
        <v>18</v>
      </c>
      <c r="B62" s="17" t="s">
        <v>221</v>
      </c>
      <c r="C62" s="18" t="s">
        <v>212</v>
      </c>
      <c r="D62" s="19" t="s">
        <v>222</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223</v>
      </c>
      <c r="R62" s="29" t="s">
        <v>365</v>
      </c>
    </row>
    <row r="63" spans="1:18" ht="162" customHeight="1">
      <c r="A63" s="30" t="s">
        <v>18</v>
      </c>
      <c r="B63" s="31" t="s">
        <v>224</v>
      </c>
      <c r="C63" s="32" t="s">
        <v>225</v>
      </c>
      <c r="D63" s="33" t="s">
        <v>191</v>
      </c>
      <c r="E63" s="33"/>
      <c r="F63" s="72" t="s">
        <v>22</v>
      </c>
      <c r="G63" s="35">
        <v>100</v>
      </c>
      <c r="H63" s="36">
        <f>IF(OR(J63="",K63="",K63&lt;J63),0,NETWORKDAYS(J63,K63,Hoja2!$A$2:$A$53))</f>
        <v>3</v>
      </c>
      <c r="I63" s="38">
        <v>46043</v>
      </c>
      <c r="J63" s="38">
        <v>46043</v>
      </c>
      <c r="K63" s="39">
        <v>46045</v>
      </c>
      <c r="L63" s="39"/>
      <c r="M63" s="40">
        <f ca="1">IF(OR(J63="",AND(L63="",TODAY()&lt;J63),AND(L63&lt;&gt;"",L63&lt;J63)),0,
   IF(L63="",
      NETWORKDAYS(J63,TODAY(),Hoja2!$A$2:$A$53),
      NETWORKDAYS(J63,L63,Hoja2!$A$2:$A$53)
   )
)</f>
        <v>16</v>
      </c>
      <c r="N63" s="39"/>
      <c r="O63" s="39"/>
      <c r="P63" s="39"/>
      <c r="Q63" s="79"/>
      <c r="R63" s="81" t="s">
        <v>365</v>
      </c>
    </row>
    <row r="64" spans="1:18" ht="132.75" customHeight="1">
      <c r="A64" s="16" t="s">
        <v>18</v>
      </c>
      <c r="B64" s="17" t="s">
        <v>226</v>
      </c>
      <c r="C64" s="18" t="s">
        <v>227</v>
      </c>
      <c r="D64" s="19" t="s">
        <v>228</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229</v>
      </c>
      <c r="R64" s="29" t="s">
        <v>365</v>
      </c>
    </row>
    <row r="65" spans="1:18" ht="132.75" customHeight="1">
      <c r="A65" s="30" t="s">
        <v>18</v>
      </c>
      <c r="B65" s="31" t="s">
        <v>230</v>
      </c>
      <c r="C65" s="32" t="s">
        <v>231</v>
      </c>
      <c r="D65" s="33" t="s">
        <v>232</v>
      </c>
      <c r="E65" s="33"/>
      <c r="F65" s="72" t="s">
        <v>22</v>
      </c>
      <c r="G65" s="76">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233</v>
      </c>
      <c r="R65" s="44" t="s">
        <v>365</v>
      </c>
    </row>
    <row r="66" spans="1:18" ht="162" customHeight="1">
      <c r="A66" s="16" t="s">
        <v>18</v>
      </c>
      <c r="B66" s="17" t="s">
        <v>234</v>
      </c>
      <c r="C66" s="18" t="s">
        <v>235</v>
      </c>
      <c r="D66" s="19" t="s">
        <v>191</v>
      </c>
      <c r="E66" s="19"/>
      <c r="F66" s="54" t="s">
        <v>22</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c r="Q66" s="78" t="s">
        <v>236</v>
      </c>
      <c r="R66" s="80" t="s">
        <v>365</v>
      </c>
    </row>
    <row r="67" spans="1:18" ht="162" customHeight="1">
      <c r="A67" s="30" t="s">
        <v>18</v>
      </c>
      <c r="B67" s="31" t="s">
        <v>237</v>
      </c>
      <c r="C67" s="32" t="s">
        <v>238</v>
      </c>
      <c r="D67" s="33" t="s">
        <v>191</v>
      </c>
      <c r="E67" s="33"/>
      <c r="F67" s="72" t="s">
        <v>22</v>
      </c>
      <c r="G67" s="35">
        <v>100</v>
      </c>
      <c r="H67" s="36">
        <f>IF(OR(J67="",K67="",K67&lt;J67),0,NETWORKDAYS(J67,K67,Hoja2!$A$2:$A$53))</f>
        <v>2</v>
      </c>
      <c r="I67" s="38">
        <v>46050</v>
      </c>
      <c r="J67" s="38">
        <v>46050</v>
      </c>
      <c r="K67" s="39">
        <v>46051</v>
      </c>
      <c r="L67" s="39">
        <v>46056</v>
      </c>
      <c r="M67" s="40">
        <f ca="1">IF(OR(J67="",AND(L67="",TODAY()&lt;J67),AND(L67&lt;&gt;"",L67&lt;J67)),0,
   IF(L67="",
      NETWORKDAYS(J67,TODAY(),Hoja2!$A$2:$A$53),
      NETWORKDAYS(J67,L67,Hoja2!$A$2:$A$53)
   )
)</f>
        <v>5</v>
      </c>
      <c r="N67" s="39"/>
      <c r="O67" s="39">
        <v>46051</v>
      </c>
      <c r="P67" s="39"/>
      <c r="Q67" s="79" t="s">
        <v>239</v>
      </c>
      <c r="R67" s="81" t="s">
        <v>365</v>
      </c>
    </row>
    <row r="68" spans="1:18" ht="162" customHeight="1">
      <c r="A68" s="16" t="s">
        <v>18</v>
      </c>
      <c r="B68" s="17" t="s">
        <v>240</v>
      </c>
      <c r="C68" s="18" t="s">
        <v>241</v>
      </c>
      <c r="D68" s="19" t="s">
        <v>191</v>
      </c>
      <c r="E68" s="19"/>
      <c r="F68" s="54" t="s">
        <v>22</v>
      </c>
      <c r="G68" s="21">
        <v>100</v>
      </c>
      <c r="H68" s="22">
        <f>IF(OR(J68="",K68="",K68&lt;J68),0,NETWORKDAYS(J68,K68,Hoja2!$A$2:$A$53))</f>
        <v>2</v>
      </c>
      <c r="I68" s="45">
        <v>46051</v>
      </c>
      <c r="J68" s="45">
        <v>46051</v>
      </c>
      <c r="K68" s="24">
        <v>46052</v>
      </c>
      <c r="L68" s="24">
        <v>46056</v>
      </c>
      <c r="M68" s="25">
        <f ca="1">IF(OR(J68="",AND(L68="",TODAY()&lt;J68),AND(L68&lt;&gt;"",L68&lt;J68)),0,
   IF(L68="",
      NETWORKDAYS(J68,TODAY(),Hoja2!$A$2:$A$53),
      NETWORKDAYS(J68,L68,Hoja2!$A$2:$A$53)
   )
)</f>
        <v>4</v>
      </c>
      <c r="N68" s="24"/>
      <c r="O68" s="24">
        <v>46051</v>
      </c>
      <c r="P68" s="24"/>
      <c r="Q68" s="78" t="s">
        <v>239</v>
      </c>
      <c r="R68" s="80" t="s">
        <v>365</v>
      </c>
    </row>
    <row r="69" spans="1:18" ht="132.75" customHeight="1">
      <c r="A69" s="30" t="s">
        <v>18</v>
      </c>
      <c r="B69" s="31" t="s">
        <v>242</v>
      </c>
      <c r="C69" s="32" t="s">
        <v>243</v>
      </c>
      <c r="D69" s="33" t="s">
        <v>244</v>
      </c>
      <c r="E69" s="33"/>
      <c r="F69" s="72" t="s">
        <v>22</v>
      </c>
      <c r="G69" s="76">
        <v>100</v>
      </c>
      <c r="H69" s="36">
        <v>1</v>
      </c>
      <c r="I69" s="38">
        <v>46045</v>
      </c>
      <c r="J69" s="38">
        <v>46048</v>
      </c>
      <c r="K69" s="39">
        <v>46048</v>
      </c>
      <c r="L69" s="39">
        <v>46048</v>
      </c>
      <c r="M69" s="40">
        <f ca="1">IF(OR(J69="",AND(L69="",TODAY()&lt;J69),AND(L69&lt;&gt;"",L69&lt;J69)),0,
   IF(L69="",
      NETWORKDAYS(J69,TODAY(),Hoja2!$A$2:$A$53),
      NETWORKDAYS(J69,L69,Hoja2!$A$2:$A$53)
   )
)</f>
        <v>1</v>
      </c>
      <c r="N69" s="39"/>
      <c r="O69" s="39">
        <v>46048</v>
      </c>
      <c r="P69" s="39">
        <v>46048</v>
      </c>
      <c r="Q69" s="79" t="s">
        <v>245</v>
      </c>
      <c r="R69" s="44" t="s">
        <v>365</v>
      </c>
    </row>
    <row r="70" spans="1:18" ht="162" customHeight="1">
      <c r="A70" s="16" t="s">
        <v>18</v>
      </c>
      <c r="B70" s="17" t="s">
        <v>246</v>
      </c>
      <c r="C70" s="18" t="s">
        <v>247</v>
      </c>
      <c r="D70" s="19" t="s">
        <v>191</v>
      </c>
      <c r="E70" s="19"/>
      <c r="F70" s="54" t="s">
        <v>22</v>
      </c>
      <c r="G70" s="21">
        <v>100</v>
      </c>
      <c r="H70" s="22">
        <f>IF(OR(J70="",K70="",K70&lt;J70),0,NETWORKDAYS(J70,K70,Hoja2!$A$2:$A$53))</f>
        <v>2</v>
      </c>
      <c r="I70" s="45">
        <v>46056</v>
      </c>
      <c r="J70" s="45">
        <v>46056</v>
      </c>
      <c r="K70" s="24">
        <v>46057</v>
      </c>
      <c r="L70" s="24">
        <v>46057</v>
      </c>
      <c r="M70" s="25">
        <f ca="1">IF(OR(J70="",AND(L70="",TODAY()&lt;J70),AND(L70&lt;&gt;"",L70&lt;J70)),0,
   IF(L70="",
      NETWORKDAYS(J70,TODAY(),Hoja2!$A$2:$A$53),
      NETWORKDAYS(J70,L70,Hoja2!$A$2:$A$53)
   )
)</f>
        <v>2</v>
      </c>
      <c r="N70" s="24"/>
      <c r="O70" s="24">
        <v>46057</v>
      </c>
      <c r="P70" s="24"/>
      <c r="Q70" s="78" t="s">
        <v>248</v>
      </c>
      <c r="R70" s="80" t="s">
        <v>365</v>
      </c>
    </row>
    <row r="71" spans="1:18" ht="162" customHeight="1">
      <c r="A71" s="30" t="s">
        <v>18</v>
      </c>
      <c r="B71" s="31" t="s">
        <v>249</v>
      </c>
      <c r="C71" s="32" t="s">
        <v>250</v>
      </c>
      <c r="D71" s="33" t="s">
        <v>232</v>
      </c>
      <c r="E71" s="33"/>
      <c r="F71" s="72" t="s">
        <v>199</v>
      </c>
      <c r="G71" s="35">
        <v>80</v>
      </c>
      <c r="H71" s="36">
        <v>2</v>
      </c>
      <c r="I71" s="38">
        <v>46057</v>
      </c>
      <c r="J71" s="38">
        <v>46057</v>
      </c>
      <c r="K71" s="39">
        <v>46057</v>
      </c>
      <c r="L71" s="39"/>
      <c r="M71" s="40">
        <f ca="1">IF(OR(J71="",AND(L71="",TODAY()&lt;J71),AND(L71&lt;&gt;"",L71&lt;J71)),0,
   IF(L71="",
      NETWORKDAYS(J71,TODAY(),Hoja2!$A$2:$A$53),
      NETWORKDAYS(J71,L71,Hoja2!$A$2:$A$53)
   )
)</f>
        <v>6</v>
      </c>
      <c r="N71" s="39"/>
      <c r="O71" s="39">
        <v>46057</v>
      </c>
      <c r="P71" s="39"/>
      <c r="Q71" s="79" t="s">
        <v>251</v>
      </c>
      <c r="R71" s="81" t="s">
        <v>365</v>
      </c>
    </row>
    <row r="72" spans="1:18" ht="162" customHeight="1">
      <c r="A72" s="16" t="s">
        <v>18</v>
      </c>
      <c r="B72" s="17" t="s">
        <v>252</v>
      </c>
      <c r="C72" s="18" t="s">
        <v>253</v>
      </c>
      <c r="D72" s="19" t="s">
        <v>232</v>
      </c>
      <c r="E72" s="19"/>
      <c r="F72" s="54" t="s">
        <v>22</v>
      </c>
      <c r="G72" s="21">
        <v>100</v>
      </c>
      <c r="H72" s="22">
        <f>IF(OR(J72="",K72="",K72&lt;J72),0,NETWORKDAYS(J72,K72,Hoja2!$A$2:$A$53))</f>
        <v>1</v>
      </c>
      <c r="I72" s="45">
        <v>46057</v>
      </c>
      <c r="J72" s="45">
        <v>46057</v>
      </c>
      <c r="K72" s="24">
        <v>46057</v>
      </c>
      <c r="L72" s="24">
        <v>46058</v>
      </c>
      <c r="M72" s="25">
        <f ca="1">IF(OR(J72="",AND(L72="",TODAY()&lt;J72),AND(L72&lt;&gt;"",L72&lt;J72)),0,
   IF(L72="",
      NETWORKDAYS(J72,TODAY(),Hoja2!$A$2:$A$53),
      NETWORKDAYS(J72,L72,Hoja2!$A$2:$A$53)
   )
)</f>
        <v>2</v>
      </c>
      <c r="N72" s="24"/>
      <c r="O72" s="24">
        <v>46058</v>
      </c>
      <c r="P72" s="24">
        <v>46058</v>
      </c>
      <c r="Q72" s="78" t="s">
        <v>254</v>
      </c>
      <c r="R72" s="80" t="s">
        <v>365</v>
      </c>
    </row>
    <row r="73" spans="1:18" ht="162" customHeight="1">
      <c r="A73" s="30" t="s">
        <v>18</v>
      </c>
      <c r="B73" s="31" t="s">
        <v>255</v>
      </c>
      <c r="C73" s="32" t="s">
        <v>256</v>
      </c>
      <c r="D73" s="33" t="s">
        <v>133</v>
      </c>
      <c r="E73" s="33"/>
      <c r="F73" s="72" t="s">
        <v>22</v>
      </c>
      <c r="G73" s="35">
        <v>100</v>
      </c>
      <c r="H73" s="36">
        <f>IF(OR(J73="",K73="",K73&lt;J73),0,NETWORKDAYS(J73,K73,Hoja2!$A$2:$A$53))</f>
        <v>2</v>
      </c>
      <c r="I73" s="38">
        <v>46059</v>
      </c>
      <c r="J73" s="38">
        <v>46059</v>
      </c>
      <c r="K73" s="39">
        <v>46062</v>
      </c>
      <c r="L73" s="39">
        <v>46062</v>
      </c>
      <c r="M73" s="40">
        <f ca="1">IF(OR(J73="",AND(L73="",TODAY()&lt;J73),AND(L73&lt;&gt;"",L73&lt;J73)),0,
   IF(L73="",
      NETWORKDAYS(J73,TODAY(),Hoja2!$A$2:$A$53),
      NETWORKDAYS(J73,L73,Hoja2!$A$2:$A$53)
   )
)</f>
        <v>2</v>
      </c>
      <c r="N73" s="39"/>
      <c r="O73" s="39">
        <v>46062</v>
      </c>
      <c r="P73" s="39">
        <v>46062</v>
      </c>
      <c r="Q73" s="79" t="s">
        <v>257</v>
      </c>
      <c r="R73" s="81" t="s">
        <v>365</v>
      </c>
    </row>
    <row r="74" spans="1:18" ht="162" customHeight="1">
      <c r="A74" s="16" t="s">
        <v>18</v>
      </c>
      <c r="B74" s="17" t="s">
        <v>258</v>
      </c>
      <c r="C74" s="18" t="s">
        <v>259</v>
      </c>
      <c r="D74" s="19" t="s">
        <v>260</v>
      </c>
      <c r="E74" s="19"/>
      <c r="F74" s="54" t="s">
        <v>138</v>
      </c>
      <c r="G74" s="21">
        <v>50</v>
      </c>
      <c r="H74" s="22">
        <f>IF(OR(J74="",K74="",K74&lt;J74),0,NETWORKDAYS(J74,K74,Hoja2!$A$2:$A$53))</f>
        <v>3</v>
      </c>
      <c r="I74" s="45">
        <v>46062</v>
      </c>
      <c r="J74" s="45">
        <v>46063</v>
      </c>
      <c r="K74" s="24">
        <v>46065</v>
      </c>
      <c r="L74" s="24"/>
      <c r="M74" s="25">
        <f ca="1">IF(OR(J74="",AND(L74="",TODAY()&lt;J74),AND(L74&lt;&gt;"",L74&lt;J74)),0,
   IF(L74="",
      NETWORKDAYS(J74,TODAY(),Hoja2!$A$2:$A$53),
      NETWORKDAYS(J74,L74,Hoja2!$A$2:$A$53)
   )
)</f>
        <v>2</v>
      </c>
      <c r="N74" s="24"/>
      <c r="O74" s="24"/>
      <c r="P74" s="24"/>
      <c r="Q74" s="78" t="s">
        <v>254</v>
      </c>
      <c r="R74" s="80" t="s">
        <v>365</v>
      </c>
    </row>
  </sheetData>
  <autoFilter ref="A1:R30"/>
  <conditionalFormatting sqref="B1:B74">
    <cfRule type="expression" dxfId="0" priority="2">
      <formula>COUNTIF(B$1:B$74, B1)&gt;1</formula>
    </cfRule>
  </conditionalFormatting>
  <dataValidations count="2">
    <dataValidation type="custom" allowBlank="1" showDropDown="1" sqref="I2:L20 I21 K21:L21 I22:L74 N2:P74">
      <formula1>OR(NOT(ISERROR(DATEVALUE(I2))), AND(ISNUMBER(I2), LEFT(CELL("format", I2))="D"))</formula1>
    </dataValidation>
    <dataValidation type="list" allowBlank="1" sqref="F2:F74">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82" t="s">
        <v>0</v>
      </c>
      <c r="B1" s="2" t="s">
        <v>1</v>
      </c>
      <c r="C1" s="3" t="s">
        <v>2</v>
      </c>
      <c r="D1" s="4" t="s">
        <v>3</v>
      </c>
      <c r="E1" s="5" t="s">
        <v>4</v>
      </c>
      <c r="F1" s="6" t="s">
        <v>5</v>
      </c>
      <c r="G1" s="83" t="s">
        <v>6</v>
      </c>
      <c r="H1" s="84" t="s">
        <v>261</v>
      </c>
      <c r="I1" s="85" t="s">
        <v>8</v>
      </c>
      <c r="J1" s="85" t="s">
        <v>9</v>
      </c>
      <c r="K1" s="86" t="s">
        <v>10</v>
      </c>
      <c r="L1" s="86" t="s">
        <v>11</v>
      </c>
      <c r="M1" s="85" t="s">
        <v>262</v>
      </c>
      <c r="N1" s="87" t="s">
        <v>14</v>
      </c>
      <c r="O1" s="87"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8" t="s">
        <v>263</v>
      </c>
      <c r="B2" s="89" t="s">
        <v>19</v>
      </c>
      <c r="C2" s="90" t="s">
        <v>264</v>
      </c>
      <c r="D2" s="89" t="s">
        <v>21</v>
      </c>
      <c r="E2" s="89" t="s">
        <v>265</v>
      </c>
      <c r="F2" s="91" t="s">
        <v>22</v>
      </c>
      <c r="G2" s="92">
        <v>1</v>
      </c>
      <c r="H2" s="93">
        <v>1</v>
      </c>
      <c r="I2" s="94">
        <v>45826</v>
      </c>
      <c r="J2" s="94">
        <v>45827</v>
      </c>
      <c r="K2" s="95">
        <v>45827</v>
      </c>
      <c r="L2" s="95">
        <v>45827</v>
      </c>
      <c r="M2" s="96">
        <f ca="1">IF(ISBLANK(L2), NETWORKDAYS(J2, TODAY(),Hoja2!$A$1:$A$18), NETWORKDAYS(J2, L2, Hoja2!$A$1:$A$18))</f>
        <v>1</v>
      </c>
      <c r="N2" s="97"/>
      <c r="O2" s="98"/>
      <c r="P2" s="99" t="s">
        <v>23</v>
      </c>
    </row>
    <row r="3" spans="1:39" ht="29.25" customHeight="1">
      <c r="A3" s="88" t="s">
        <v>263</v>
      </c>
      <c r="B3" s="89" t="s">
        <v>24</v>
      </c>
      <c r="C3" s="90" t="s">
        <v>264</v>
      </c>
      <c r="D3" s="89" t="s">
        <v>21</v>
      </c>
      <c r="E3" s="89" t="s">
        <v>266</v>
      </c>
      <c r="F3" s="91" t="s">
        <v>22</v>
      </c>
      <c r="G3" s="92">
        <v>1</v>
      </c>
      <c r="H3" s="93">
        <v>1</v>
      </c>
      <c r="I3" s="94">
        <v>45827</v>
      </c>
      <c r="J3" s="100">
        <v>45832</v>
      </c>
      <c r="K3" s="95">
        <v>45832</v>
      </c>
      <c r="L3" s="95">
        <v>45832</v>
      </c>
      <c r="M3" s="96">
        <f ca="1">IF(ISBLANK(L3), NETWORKDAYS(J3, TODAY(),Hoja2!$A$1:$A$18), NETWORKDAYS(J3, L3, Hoja2!$A$1:$A$18))</f>
        <v>1</v>
      </c>
      <c r="N3" s="97"/>
      <c r="O3" s="98"/>
      <c r="P3" s="101" t="s">
        <v>26</v>
      </c>
    </row>
    <row r="4" spans="1:39" ht="39" customHeight="1">
      <c r="A4" s="88" t="s">
        <v>263</v>
      </c>
      <c r="B4" s="89" t="s">
        <v>27</v>
      </c>
      <c r="C4" s="90" t="s">
        <v>267</v>
      </c>
      <c r="D4" s="89" t="s">
        <v>29</v>
      </c>
      <c r="E4" s="89" t="s">
        <v>268</v>
      </c>
      <c r="F4" s="91" t="s">
        <v>22</v>
      </c>
      <c r="G4" s="102">
        <v>1</v>
      </c>
      <c r="H4" s="103">
        <v>1</v>
      </c>
      <c r="I4" s="100">
        <v>45832</v>
      </c>
      <c r="J4" s="100">
        <v>45839</v>
      </c>
      <c r="K4" s="95">
        <v>45833</v>
      </c>
      <c r="L4" s="95">
        <v>45839</v>
      </c>
      <c r="M4" s="96">
        <f ca="1">IF(ISBLANK(L4), NETWORKDAYS(J4, TODAY(),Hoja2!$A$1:$A$18), NETWORKDAYS(J4, L4, Hoja2!$A$1:$A$18))</f>
        <v>1</v>
      </c>
      <c r="N4" s="95">
        <v>45839</v>
      </c>
      <c r="O4" s="95">
        <v>45853</v>
      </c>
      <c r="P4" s="104" t="s">
        <v>30</v>
      </c>
    </row>
    <row r="5" spans="1:39" ht="127.5">
      <c r="A5" s="88" t="s">
        <v>263</v>
      </c>
      <c r="B5" s="89" t="s">
        <v>31</v>
      </c>
      <c r="C5" s="90" t="s">
        <v>267</v>
      </c>
      <c r="D5" s="89" t="s">
        <v>29</v>
      </c>
      <c r="E5" s="105" t="s">
        <v>269</v>
      </c>
      <c r="F5" s="91" t="s">
        <v>22</v>
      </c>
      <c r="G5" s="102">
        <v>1</v>
      </c>
      <c r="H5" s="106">
        <v>2</v>
      </c>
      <c r="I5" s="100">
        <v>45839</v>
      </c>
      <c r="J5" s="100">
        <v>45839</v>
      </c>
      <c r="K5" s="95">
        <v>45840</v>
      </c>
      <c r="L5" s="95">
        <v>45848</v>
      </c>
      <c r="M5" s="96">
        <f ca="1">IF(ISBLANK(L5), NETWORKDAYS(J5, TODAY(),Hoja2!$A$1:$A$18), NETWORKDAYS(J5, L5, Hoja2!$A$1:$A$18))</f>
        <v>8</v>
      </c>
      <c r="N5" s="95">
        <v>45848</v>
      </c>
      <c r="O5" s="95">
        <v>45853</v>
      </c>
      <c r="P5" s="101" t="s">
        <v>33</v>
      </c>
    </row>
    <row r="6" spans="1:39" ht="29.25" customHeight="1">
      <c r="A6" s="88" t="s">
        <v>263</v>
      </c>
      <c r="B6" s="89" t="s">
        <v>34</v>
      </c>
      <c r="C6" s="90" t="s">
        <v>267</v>
      </c>
      <c r="D6" s="89" t="s">
        <v>29</v>
      </c>
      <c r="E6" s="107" t="s">
        <v>270</v>
      </c>
      <c r="F6" s="108" t="s">
        <v>22</v>
      </c>
      <c r="G6" s="102">
        <v>1</v>
      </c>
      <c r="H6" s="109">
        <v>1</v>
      </c>
      <c r="I6" s="100">
        <v>45839</v>
      </c>
      <c r="J6" s="100">
        <v>45840</v>
      </c>
      <c r="K6" s="95">
        <v>45840</v>
      </c>
      <c r="L6" s="95">
        <v>45840</v>
      </c>
      <c r="M6" s="96">
        <f ca="1">IF(ISBLANK(L6), NETWORKDAYS(J6, TODAY(),Hoja2!$A$1:$A$18), NETWORKDAYS(J6, L6, Hoja2!$A$1:$A$18))</f>
        <v>1</v>
      </c>
      <c r="N6" s="95">
        <v>45840</v>
      </c>
      <c r="O6" s="95">
        <v>45853</v>
      </c>
      <c r="P6" s="101" t="s">
        <v>36</v>
      </c>
    </row>
    <row r="7" spans="1:39" ht="29.25" customHeight="1">
      <c r="A7" s="88" t="s">
        <v>263</v>
      </c>
      <c r="B7" s="89" t="s">
        <v>37</v>
      </c>
      <c r="C7" s="90" t="s">
        <v>267</v>
      </c>
      <c r="D7" s="89" t="s">
        <v>29</v>
      </c>
      <c r="E7" s="89" t="s">
        <v>271</v>
      </c>
      <c r="F7" s="110" t="s">
        <v>22</v>
      </c>
      <c r="G7" s="102">
        <v>1</v>
      </c>
      <c r="H7" s="106">
        <v>1</v>
      </c>
      <c r="I7" s="111">
        <v>45847</v>
      </c>
      <c r="J7" s="111">
        <v>45847</v>
      </c>
      <c r="K7" s="95">
        <v>45848</v>
      </c>
      <c r="L7" s="95">
        <v>45848</v>
      </c>
      <c r="M7" s="96">
        <f ca="1">IF(ISBLANK(L7), NETWORKDAYS(J7, TODAY(),Hoja2!$A$1:$A$18), NETWORKDAYS(J7, L7, Hoja2!$A$1:$A$18))</f>
        <v>2</v>
      </c>
      <c r="N7" s="95">
        <v>45848</v>
      </c>
      <c r="O7" s="95">
        <v>45853</v>
      </c>
      <c r="P7" s="101" t="s">
        <v>39</v>
      </c>
    </row>
    <row r="8" spans="1:39" ht="29.25" customHeight="1">
      <c r="A8" s="88" t="s">
        <v>263</v>
      </c>
      <c r="B8" s="89" t="s">
        <v>40</v>
      </c>
      <c r="C8" s="90" t="s">
        <v>272</v>
      </c>
      <c r="D8" s="89" t="s">
        <v>42</v>
      </c>
      <c r="E8" s="112" t="s">
        <v>273</v>
      </c>
      <c r="F8" s="91" t="s">
        <v>22</v>
      </c>
      <c r="G8" s="102">
        <v>1</v>
      </c>
      <c r="H8" s="103">
        <v>1</v>
      </c>
      <c r="I8" s="100">
        <v>45832</v>
      </c>
      <c r="J8" s="100">
        <v>45832</v>
      </c>
      <c r="K8" s="95">
        <v>45832</v>
      </c>
      <c r="L8" s="95">
        <v>45832</v>
      </c>
      <c r="M8" s="96">
        <f ca="1">IF(ISBLANK(L8), NETWORKDAYS(J8, TODAY(),Hoja2!$A$1:$A$18), NETWORKDAYS(J8, L8, Hoja2!$A$1:$A$18))</f>
        <v>1</v>
      </c>
      <c r="N8" s="113"/>
      <c r="O8" s="114"/>
      <c r="P8" s="115" t="s">
        <v>43</v>
      </c>
    </row>
    <row r="9" spans="1:39" ht="29.25" customHeight="1">
      <c r="A9" s="88" t="s">
        <v>263</v>
      </c>
      <c r="B9" s="89" t="s">
        <v>44</v>
      </c>
      <c r="C9" s="116" t="s">
        <v>274</v>
      </c>
      <c r="D9" s="117"/>
      <c r="E9" s="89" t="s">
        <v>275</v>
      </c>
      <c r="F9" s="110" t="s">
        <v>22</v>
      </c>
      <c r="G9" s="102">
        <v>1</v>
      </c>
      <c r="H9" s="106">
        <v>1</v>
      </c>
      <c r="I9" s="111">
        <v>45847</v>
      </c>
      <c r="J9" s="111">
        <v>45847</v>
      </c>
      <c r="K9" s="95">
        <v>45847</v>
      </c>
      <c r="L9" s="95">
        <v>45847</v>
      </c>
      <c r="M9" s="96">
        <f ca="1">IF(ISBLANK(L9), NETWORKDAYS(J9, TODAY(),Hoja2!$A$1:$A$18), NETWORKDAYS(J9, L9, Hoja2!$A$1:$A$18))</f>
        <v>1</v>
      </c>
      <c r="N9" s="95">
        <v>45847</v>
      </c>
      <c r="O9" s="114"/>
      <c r="P9" s="101" t="s">
        <v>46</v>
      </c>
    </row>
    <row r="10" spans="1:39" ht="93" customHeight="1">
      <c r="A10" s="88" t="s">
        <v>263</v>
      </c>
      <c r="B10" s="89" t="s">
        <v>47</v>
      </c>
      <c r="C10" s="116" t="s">
        <v>276</v>
      </c>
      <c r="D10" s="117"/>
      <c r="E10" s="89" t="s">
        <v>277</v>
      </c>
      <c r="F10" s="110" t="s">
        <v>22</v>
      </c>
      <c r="G10" s="102">
        <v>1</v>
      </c>
      <c r="H10" s="106">
        <v>1</v>
      </c>
      <c r="I10" s="111">
        <v>45849</v>
      </c>
      <c r="J10" s="111">
        <v>45849</v>
      </c>
      <c r="K10" s="118">
        <v>45849</v>
      </c>
      <c r="L10" s="118">
        <v>45849</v>
      </c>
      <c r="M10" s="96">
        <f ca="1">IF(ISBLANK(L10), NETWORKDAYS(J10, TODAY(),Hoja2!$A$1:$A$18), NETWORKDAYS(J10, L10, Hoja2!$A$1:$A$18))</f>
        <v>1</v>
      </c>
      <c r="N10" s="118"/>
      <c r="O10" s="114"/>
      <c r="P10" s="101" t="s">
        <v>49</v>
      </c>
    </row>
    <row r="11" spans="1:39" ht="409.5">
      <c r="A11" s="88" t="s">
        <v>263</v>
      </c>
      <c r="B11" s="89" t="s">
        <v>50</v>
      </c>
      <c r="C11" s="90" t="s">
        <v>272</v>
      </c>
      <c r="D11" s="89" t="s">
        <v>42</v>
      </c>
      <c r="E11" s="119" t="s">
        <v>278</v>
      </c>
      <c r="F11" s="110" t="s">
        <v>22</v>
      </c>
      <c r="G11" s="102">
        <v>1</v>
      </c>
      <c r="H11" s="106">
        <v>1</v>
      </c>
      <c r="I11" s="111">
        <v>45854</v>
      </c>
      <c r="J11" s="111">
        <v>45854</v>
      </c>
      <c r="K11" s="118">
        <v>45854</v>
      </c>
      <c r="L11" s="118">
        <v>45854</v>
      </c>
      <c r="M11" s="96">
        <f ca="1">IF(ISBLANK(L11), NETWORKDAYS(J11, TODAY(),Hoja2!$A$1:$A$18), NETWORKDAYS(J11, L11, Hoja2!$A$1:$A$18))</f>
        <v>1</v>
      </c>
      <c r="N11" s="118">
        <v>45854</v>
      </c>
      <c r="O11" s="114"/>
      <c r="P11" s="101" t="s">
        <v>52</v>
      </c>
    </row>
    <row r="12" spans="1:39" ht="29.25" customHeight="1">
      <c r="A12" s="88" t="s">
        <v>263</v>
      </c>
      <c r="B12" s="89" t="s">
        <v>53</v>
      </c>
      <c r="C12" s="120" t="s">
        <v>279</v>
      </c>
      <c r="D12" s="89" t="s">
        <v>55</v>
      </c>
      <c r="E12" s="89" t="s">
        <v>280</v>
      </c>
      <c r="F12" s="110" t="s">
        <v>22</v>
      </c>
      <c r="G12" s="102">
        <v>1</v>
      </c>
      <c r="H12" s="106">
        <v>5</v>
      </c>
      <c r="I12" s="111">
        <v>45855</v>
      </c>
      <c r="J12" s="111">
        <v>45856</v>
      </c>
      <c r="K12" s="118">
        <v>45862</v>
      </c>
      <c r="L12" s="118">
        <v>45861</v>
      </c>
      <c r="M12" s="96">
        <f ca="1">IF(ISBLANK(K12), NETWORKDAYS(J12, TODAY(),Hoja2!$A$1:$A$18), NETWORKDAYS(J12, K12, Hoja2!$A$1:$A$18))</f>
        <v>5</v>
      </c>
      <c r="N12" s="118">
        <v>45861</v>
      </c>
      <c r="O12" s="114"/>
      <c r="P12" s="101" t="s">
        <v>56</v>
      </c>
    </row>
    <row r="13" spans="1:39" ht="29.25" customHeight="1">
      <c r="A13" s="88" t="s">
        <v>263</v>
      </c>
      <c r="B13" s="89" t="s">
        <v>57</v>
      </c>
      <c r="C13" s="116" t="s">
        <v>281</v>
      </c>
      <c r="D13" s="89" t="s">
        <v>59</v>
      </c>
      <c r="E13" s="89" t="s">
        <v>282</v>
      </c>
      <c r="F13" s="110" t="s">
        <v>22</v>
      </c>
      <c r="G13" s="102">
        <v>1</v>
      </c>
      <c r="H13" s="106">
        <v>1</v>
      </c>
      <c r="I13" s="111">
        <v>45860</v>
      </c>
      <c r="J13" s="111">
        <v>45860</v>
      </c>
      <c r="K13" s="118">
        <v>45860</v>
      </c>
      <c r="L13" s="118">
        <v>45860</v>
      </c>
      <c r="M13" s="96">
        <f ca="1">IF(ISBLANK(L13), NETWORKDAYS(J13, TODAY(),Hoja2!$A$1:$A$18), NETWORKDAYS(J13, L13, Hoja2!$A$1:$A$18))</f>
        <v>1</v>
      </c>
      <c r="N13" s="113"/>
      <c r="O13" s="114"/>
      <c r="P13" s="101" t="s">
        <v>60</v>
      </c>
    </row>
    <row r="14" spans="1:39" ht="29.25" customHeight="1">
      <c r="A14" s="88" t="s">
        <v>263</v>
      </c>
      <c r="B14" s="89" t="s">
        <v>61</v>
      </c>
      <c r="C14" s="120" t="s">
        <v>80</v>
      </c>
      <c r="D14" s="121"/>
      <c r="E14" s="107" t="s">
        <v>283</v>
      </c>
      <c r="F14" s="115" t="s">
        <v>22</v>
      </c>
      <c r="G14" s="102">
        <v>1</v>
      </c>
      <c r="H14" s="106">
        <v>2</v>
      </c>
      <c r="I14" s="111">
        <v>45863</v>
      </c>
      <c r="J14" s="111">
        <v>45863</v>
      </c>
      <c r="K14" s="118">
        <v>45866</v>
      </c>
      <c r="L14" s="118">
        <v>45866</v>
      </c>
      <c r="M14" s="96">
        <f ca="1">IF(ISBLANK(L14), NETWORKDAYS(J14, TODAY(),Hoja2!$A$1:$A$18), NETWORKDAYS(J14, L14, Hoja2!$A$1:$A$18))</f>
        <v>2</v>
      </c>
      <c r="N14" s="113"/>
      <c r="O14" s="114"/>
      <c r="P14" s="101"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2">
        <v>45292</v>
      </c>
      <c r="B1" s="123" t="s">
        <v>284</v>
      </c>
    </row>
    <row r="2" spans="1:2" ht="17.25" customHeight="1">
      <c r="A2" s="122">
        <v>45299</v>
      </c>
      <c r="B2" s="123" t="s">
        <v>285</v>
      </c>
    </row>
    <row r="3" spans="1:2" ht="17.25" customHeight="1">
      <c r="A3" s="122">
        <v>45376</v>
      </c>
      <c r="B3" s="123" t="s">
        <v>286</v>
      </c>
    </row>
    <row r="4" spans="1:2" ht="17.25" customHeight="1">
      <c r="A4" s="122">
        <v>45379</v>
      </c>
      <c r="B4" s="123" t="s">
        <v>287</v>
      </c>
    </row>
    <row r="5" spans="1:2" ht="17.25" customHeight="1">
      <c r="A5" s="122">
        <v>45380</v>
      </c>
      <c r="B5" s="123" t="s">
        <v>288</v>
      </c>
    </row>
    <row r="6" spans="1:2" ht="17.25" customHeight="1">
      <c r="A6" s="122">
        <v>45413</v>
      </c>
      <c r="B6" s="123" t="s">
        <v>289</v>
      </c>
    </row>
    <row r="7" spans="1:2" ht="17.25" customHeight="1">
      <c r="A7" s="122">
        <v>45425</v>
      </c>
      <c r="B7" s="123" t="s">
        <v>290</v>
      </c>
    </row>
    <row r="8" spans="1:2" ht="17.25" customHeight="1">
      <c r="A8" s="122">
        <v>45446</v>
      </c>
      <c r="B8" s="123" t="s">
        <v>291</v>
      </c>
    </row>
    <row r="9" spans="1:2" ht="17.25" customHeight="1">
      <c r="A9" s="122">
        <v>45453</v>
      </c>
      <c r="B9" s="123" t="s">
        <v>292</v>
      </c>
    </row>
    <row r="10" spans="1:2" ht="17.25" customHeight="1">
      <c r="A10" s="122">
        <v>45474</v>
      </c>
      <c r="B10" s="123" t="s">
        <v>293</v>
      </c>
    </row>
    <row r="11" spans="1:2" ht="17.25" customHeight="1">
      <c r="A11" s="122">
        <v>45493</v>
      </c>
      <c r="B11" s="123" t="s">
        <v>294</v>
      </c>
    </row>
    <row r="12" spans="1:2" ht="17.25" customHeight="1">
      <c r="A12" s="122">
        <v>45511</v>
      </c>
      <c r="B12" s="123" t="s">
        <v>295</v>
      </c>
    </row>
    <row r="13" spans="1:2" ht="17.25" customHeight="1">
      <c r="A13" s="122">
        <v>45523</v>
      </c>
      <c r="B13" s="123" t="s">
        <v>296</v>
      </c>
    </row>
    <row r="14" spans="1:2" ht="17.25" customHeight="1">
      <c r="A14" s="122">
        <v>45579</v>
      </c>
      <c r="B14" s="123" t="s">
        <v>297</v>
      </c>
    </row>
    <row r="15" spans="1:2" ht="17.25" customHeight="1">
      <c r="A15" s="122">
        <v>45600</v>
      </c>
      <c r="B15" s="123" t="s">
        <v>298</v>
      </c>
    </row>
    <row r="16" spans="1:2" ht="17.25" customHeight="1">
      <c r="A16" s="122">
        <v>45607</v>
      </c>
      <c r="B16" s="123" t="s">
        <v>299</v>
      </c>
    </row>
    <row r="17" spans="1:2" ht="17.25" customHeight="1">
      <c r="A17" s="122">
        <v>45634</v>
      </c>
      <c r="B17" s="123" t="s">
        <v>300</v>
      </c>
    </row>
    <row r="18" spans="1:2" ht="17.25" customHeight="1">
      <c r="A18" s="122">
        <v>45651</v>
      </c>
      <c r="B18" s="123" t="s">
        <v>301</v>
      </c>
    </row>
    <row r="19" spans="1:2" ht="17.25" customHeight="1">
      <c r="A19" s="122">
        <v>45658</v>
      </c>
      <c r="B19" s="124" t="s">
        <v>302</v>
      </c>
    </row>
    <row r="20" spans="1:2" ht="17.25" customHeight="1">
      <c r="A20" s="122">
        <v>45663</v>
      </c>
      <c r="B20" s="124" t="s">
        <v>303</v>
      </c>
    </row>
    <row r="21" spans="1:2" ht="17.25" customHeight="1">
      <c r="A21" s="122">
        <v>45740</v>
      </c>
      <c r="B21" s="124" t="s">
        <v>304</v>
      </c>
    </row>
    <row r="22" spans="1:2" ht="17.25" customHeight="1">
      <c r="A22" s="122">
        <v>45764</v>
      </c>
      <c r="B22" s="124" t="s">
        <v>305</v>
      </c>
    </row>
    <row r="23" spans="1:2" ht="17.25" customHeight="1">
      <c r="A23" s="122">
        <v>45765</v>
      </c>
      <c r="B23" s="124" t="s">
        <v>306</v>
      </c>
    </row>
    <row r="24" spans="1:2" ht="17.25" customHeight="1">
      <c r="A24" s="122">
        <v>45778</v>
      </c>
      <c r="B24" s="124" t="s">
        <v>307</v>
      </c>
    </row>
    <row r="25" spans="1:2" ht="17.25" customHeight="1">
      <c r="A25" s="122">
        <v>45810</v>
      </c>
      <c r="B25" s="124" t="s">
        <v>308</v>
      </c>
    </row>
    <row r="26" spans="1:2" ht="17.25" customHeight="1">
      <c r="A26" s="122">
        <v>45831</v>
      </c>
      <c r="B26" s="124" t="s">
        <v>309</v>
      </c>
    </row>
    <row r="27" spans="1:2" ht="17.25" customHeight="1">
      <c r="A27" s="122">
        <v>45838</v>
      </c>
      <c r="B27" s="124" t="s">
        <v>310</v>
      </c>
    </row>
    <row r="28" spans="1:2" ht="17.25" customHeight="1">
      <c r="A28" s="122">
        <v>45858</v>
      </c>
      <c r="B28" s="124" t="s">
        <v>311</v>
      </c>
    </row>
    <row r="29" spans="1:2" ht="17.25" customHeight="1">
      <c r="A29" s="122">
        <v>45876</v>
      </c>
      <c r="B29" s="124" t="s">
        <v>312</v>
      </c>
    </row>
    <row r="30" spans="1:2" ht="17.25" customHeight="1">
      <c r="A30" s="122">
        <v>45887</v>
      </c>
      <c r="B30" s="124" t="s">
        <v>313</v>
      </c>
    </row>
    <row r="31" spans="1:2" ht="17.25" customHeight="1">
      <c r="A31" s="122">
        <v>45943</v>
      </c>
      <c r="B31" s="124" t="s">
        <v>314</v>
      </c>
    </row>
    <row r="32" spans="1:2" ht="17.25" customHeight="1">
      <c r="A32" s="122">
        <v>45964</v>
      </c>
      <c r="B32" s="124" t="s">
        <v>315</v>
      </c>
    </row>
    <row r="33" spans="1:2" ht="17.25" customHeight="1">
      <c r="A33" s="122">
        <v>45978</v>
      </c>
      <c r="B33" s="124" t="s">
        <v>316</v>
      </c>
    </row>
    <row r="34" spans="1:2" ht="17.25" customHeight="1">
      <c r="A34" s="122">
        <v>45999</v>
      </c>
      <c r="B34" s="124" t="s">
        <v>317</v>
      </c>
    </row>
    <row r="35" spans="1:2" ht="17.25" customHeight="1">
      <c r="A35" s="122">
        <v>46016</v>
      </c>
      <c r="B35" s="124" t="s">
        <v>318</v>
      </c>
    </row>
    <row r="36" spans="1:2" ht="17.25" customHeight="1">
      <c r="A36" s="122">
        <v>46023</v>
      </c>
      <c r="B36" s="124" t="s">
        <v>302</v>
      </c>
    </row>
    <row r="37" spans="1:2" ht="17.25" customHeight="1">
      <c r="A37" s="122">
        <v>46034</v>
      </c>
      <c r="B37" s="124" t="s">
        <v>303</v>
      </c>
    </row>
    <row r="38" spans="1:2" ht="17.25" customHeight="1">
      <c r="A38" s="122">
        <v>46104</v>
      </c>
      <c r="B38" s="124" t="s">
        <v>304</v>
      </c>
    </row>
    <row r="39" spans="1:2" ht="17.25" customHeight="1">
      <c r="A39" s="122">
        <v>46114</v>
      </c>
      <c r="B39" s="124" t="s">
        <v>305</v>
      </c>
    </row>
    <row r="40" spans="1:2" ht="17.25" customHeight="1">
      <c r="A40" s="122">
        <v>46115</v>
      </c>
      <c r="B40" s="124" t="s">
        <v>306</v>
      </c>
    </row>
    <row r="41" spans="1:2" ht="17.25" customHeight="1">
      <c r="A41" s="122">
        <v>46143</v>
      </c>
      <c r="B41" s="124" t="s">
        <v>307</v>
      </c>
    </row>
    <row r="42" spans="1:2" ht="17.25" customHeight="1">
      <c r="A42" s="122">
        <v>46160</v>
      </c>
      <c r="B42" s="124" t="s">
        <v>308</v>
      </c>
    </row>
    <row r="43" spans="1:2" ht="17.25" customHeight="1">
      <c r="A43" s="122">
        <v>46181</v>
      </c>
      <c r="B43" s="124" t="s">
        <v>309</v>
      </c>
    </row>
    <row r="44" spans="1:2" ht="17.25" customHeight="1">
      <c r="A44" s="122">
        <v>46188</v>
      </c>
      <c r="B44" s="124" t="s">
        <v>319</v>
      </c>
    </row>
    <row r="45" spans="1:2" ht="17.25" customHeight="1">
      <c r="A45" s="122">
        <v>46202</v>
      </c>
      <c r="B45" s="124" t="s">
        <v>320</v>
      </c>
    </row>
    <row r="46" spans="1:2" ht="17.25" customHeight="1">
      <c r="A46" s="122">
        <v>46223</v>
      </c>
      <c r="B46" s="124" t="s">
        <v>311</v>
      </c>
    </row>
    <row r="47" spans="1:2" ht="17.25" customHeight="1">
      <c r="A47" s="122">
        <v>46241</v>
      </c>
      <c r="B47" s="124" t="s">
        <v>312</v>
      </c>
    </row>
    <row r="48" spans="1:2" ht="17.25" customHeight="1">
      <c r="A48" s="122">
        <v>46251</v>
      </c>
      <c r="B48" s="124" t="s">
        <v>313</v>
      </c>
    </row>
    <row r="49" spans="1:2" ht="17.25" customHeight="1">
      <c r="A49" s="122">
        <v>46307</v>
      </c>
      <c r="B49" s="124" t="s">
        <v>314</v>
      </c>
    </row>
    <row r="50" spans="1:2" ht="17.25" customHeight="1">
      <c r="A50" s="122">
        <v>46328</v>
      </c>
      <c r="B50" s="124" t="s">
        <v>315</v>
      </c>
    </row>
    <row r="51" spans="1:2" ht="17.25" customHeight="1">
      <c r="A51" s="122">
        <v>46342</v>
      </c>
      <c r="B51" s="124" t="s">
        <v>316</v>
      </c>
    </row>
    <row r="52" spans="1:2" ht="17.25" customHeight="1">
      <c r="A52" s="122">
        <v>46364</v>
      </c>
      <c r="B52" s="124" t="s">
        <v>317</v>
      </c>
    </row>
    <row r="53" spans="1:2" ht="17.25" customHeight="1">
      <c r="A53" s="122">
        <v>46381</v>
      </c>
      <c r="B53" s="124" t="s">
        <v>318</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5" t="s">
        <v>321</v>
      </c>
      <c r="B1" s="126"/>
      <c r="C1" s="126"/>
      <c r="D1" s="126"/>
      <c r="E1" s="126"/>
      <c r="F1" s="126"/>
      <c r="G1" s="126"/>
      <c r="H1" s="126"/>
      <c r="I1" s="126"/>
      <c r="J1" s="126"/>
      <c r="K1" s="126"/>
      <c r="L1" s="126"/>
      <c r="M1" s="126"/>
      <c r="N1" s="126"/>
      <c r="O1" s="126"/>
      <c r="P1" s="126"/>
      <c r="Q1" s="126"/>
      <c r="R1" s="126"/>
      <c r="S1" s="126"/>
      <c r="T1" s="126"/>
      <c r="U1" s="126"/>
      <c r="V1" s="126"/>
      <c r="W1" s="126"/>
      <c r="X1" s="126"/>
      <c r="Y1" s="126"/>
      <c r="Z1" s="126"/>
    </row>
    <row r="2" spans="1:97">
      <c r="A2" s="126"/>
      <c r="B2" s="126"/>
      <c r="C2" s="126"/>
      <c r="D2" s="126"/>
      <c r="E2" s="126"/>
      <c r="F2" s="126"/>
      <c r="G2" s="126"/>
      <c r="H2" s="126"/>
      <c r="I2" s="126"/>
      <c r="J2" s="126"/>
      <c r="K2" s="126"/>
      <c r="L2" s="126"/>
      <c r="M2" s="126"/>
      <c r="N2" s="126"/>
      <c r="O2" s="126"/>
      <c r="P2" s="126"/>
      <c r="Q2" s="126"/>
      <c r="R2" s="126"/>
      <c r="S2" s="126"/>
      <c r="T2" s="126"/>
      <c r="U2" s="126"/>
      <c r="V2" s="126"/>
      <c r="W2" s="126"/>
      <c r="X2" s="126"/>
      <c r="Y2" s="126"/>
      <c r="Z2" s="126"/>
    </row>
    <row r="3" spans="1:97" ht="32.25" customHeight="1">
      <c r="A3" s="127" t="s">
        <v>322</v>
      </c>
      <c r="B3" s="128">
        <v>45596</v>
      </c>
      <c r="C3" s="128">
        <v>45597</v>
      </c>
      <c r="D3" s="128">
        <v>45601</v>
      </c>
      <c r="E3" s="128">
        <v>45602</v>
      </c>
      <c r="F3" s="128">
        <v>45603</v>
      </c>
      <c r="G3" s="128">
        <v>45604</v>
      </c>
      <c r="H3" s="128">
        <v>45608</v>
      </c>
      <c r="I3" s="128">
        <v>45609</v>
      </c>
      <c r="J3" s="128">
        <v>45610</v>
      </c>
      <c r="K3" s="128">
        <v>45611</v>
      </c>
      <c r="L3" s="128">
        <v>45614</v>
      </c>
      <c r="M3" s="128">
        <v>45615</v>
      </c>
      <c r="N3" s="128">
        <v>45616</v>
      </c>
      <c r="O3" s="128">
        <v>45617</v>
      </c>
      <c r="P3" s="128">
        <v>45618</v>
      </c>
      <c r="Q3" s="129">
        <v>45621</v>
      </c>
      <c r="R3" s="129">
        <v>45622</v>
      </c>
      <c r="S3" s="129">
        <v>45623</v>
      </c>
      <c r="T3" s="129">
        <v>45624</v>
      </c>
      <c r="U3" s="129">
        <v>45625</v>
      </c>
      <c r="V3" s="129">
        <v>45628</v>
      </c>
      <c r="W3" s="129">
        <v>45629</v>
      </c>
      <c r="X3" s="129">
        <v>45630</v>
      </c>
      <c r="Y3" s="129">
        <v>45631</v>
      </c>
      <c r="Z3" s="129">
        <v>45632</v>
      </c>
      <c r="AA3" s="129">
        <v>45635</v>
      </c>
      <c r="AB3" s="129">
        <v>45636</v>
      </c>
      <c r="AC3" s="129">
        <v>45637</v>
      </c>
      <c r="AD3" s="129">
        <v>45638</v>
      </c>
      <c r="AE3" s="130">
        <v>45639</v>
      </c>
      <c r="AF3" s="128">
        <v>45642</v>
      </c>
      <c r="AG3" s="128">
        <v>45643</v>
      </c>
      <c r="AH3" s="128">
        <v>45644</v>
      </c>
      <c r="AI3" s="128">
        <v>45645</v>
      </c>
      <c r="AJ3" s="128">
        <v>45646</v>
      </c>
      <c r="AK3" s="128">
        <v>45649</v>
      </c>
      <c r="AL3" s="128">
        <v>45650</v>
      </c>
      <c r="AM3" s="128">
        <v>45652</v>
      </c>
      <c r="AN3" s="128">
        <v>45653</v>
      </c>
      <c r="AO3" s="128">
        <v>45656</v>
      </c>
      <c r="AP3" s="128">
        <v>45656</v>
      </c>
      <c r="AQ3" s="128">
        <v>45664</v>
      </c>
      <c r="AR3" s="128">
        <v>45665</v>
      </c>
      <c r="AS3" s="128">
        <v>45666</v>
      </c>
      <c r="AT3" s="128">
        <v>45667</v>
      </c>
      <c r="AU3" s="128">
        <v>45670</v>
      </c>
      <c r="AV3" s="128">
        <v>45671</v>
      </c>
      <c r="AW3" s="128">
        <v>45672</v>
      </c>
      <c r="AX3" s="128">
        <v>45673</v>
      </c>
      <c r="AY3" s="128">
        <v>45674</v>
      </c>
      <c r="AZ3" s="128">
        <v>45677</v>
      </c>
      <c r="BA3" s="128">
        <v>45678</v>
      </c>
      <c r="BB3" s="128">
        <v>45679</v>
      </c>
      <c r="BC3" s="128">
        <v>45680</v>
      </c>
      <c r="BD3" s="128">
        <v>45681</v>
      </c>
      <c r="BE3" s="128">
        <v>45684</v>
      </c>
      <c r="BF3" s="128">
        <v>45685</v>
      </c>
      <c r="BG3" s="128">
        <v>45686</v>
      </c>
      <c r="BH3" s="128">
        <v>45687</v>
      </c>
      <c r="BI3" s="128">
        <v>45688</v>
      </c>
      <c r="BJ3" s="129">
        <v>45691</v>
      </c>
      <c r="BK3" s="129">
        <v>45692</v>
      </c>
      <c r="BL3" s="129">
        <v>45693</v>
      </c>
      <c r="BM3" s="129">
        <v>45694</v>
      </c>
      <c r="BN3" s="129">
        <v>45695</v>
      </c>
      <c r="BO3" s="129">
        <v>45698</v>
      </c>
      <c r="BP3" s="129">
        <v>45699</v>
      </c>
      <c r="BQ3" s="129">
        <v>45700</v>
      </c>
      <c r="BR3" s="129">
        <v>45701</v>
      </c>
      <c r="BS3" s="129">
        <v>45702</v>
      </c>
      <c r="BT3" s="129">
        <v>45705</v>
      </c>
      <c r="BU3" s="129">
        <v>45706</v>
      </c>
      <c r="BV3" s="129">
        <v>45707</v>
      </c>
      <c r="BW3" s="129">
        <v>45708</v>
      </c>
      <c r="BX3" s="129">
        <v>45709</v>
      </c>
      <c r="BY3" s="129">
        <v>45712</v>
      </c>
      <c r="BZ3" s="129">
        <v>45713</v>
      </c>
      <c r="CA3" s="129">
        <v>45714</v>
      </c>
      <c r="CB3" s="129">
        <v>45715</v>
      </c>
      <c r="CC3" s="129">
        <v>45716</v>
      </c>
      <c r="CD3" s="129">
        <v>45719</v>
      </c>
      <c r="CE3" s="129">
        <v>45720</v>
      </c>
      <c r="CF3" s="129">
        <v>45721</v>
      </c>
      <c r="CG3" s="129">
        <v>45722</v>
      </c>
      <c r="CH3" s="129">
        <v>45723</v>
      </c>
      <c r="CI3" s="129">
        <v>45726</v>
      </c>
      <c r="CJ3" s="129">
        <v>45727</v>
      </c>
      <c r="CK3" s="129">
        <v>45728</v>
      </c>
      <c r="CL3" s="129">
        <v>45729</v>
      </c>
      <c r="CM3" s="129">
        <v>45730</v>
      </c>
      <c r="CN3" s="129">
        <v>45733</v>
      </c>
      <c r="CO3" s="129">
        <v>45734</v>
      </c>
      <c r="CP3" s="129">
        <v>45735</v>
      </c>
      <c r="CQ3" s="129">
        <v>45736</v>
      </c>
      <c r="CR3" s="129">
        <v>45737</v>
      </c>
      <c r="CS3" s="129">
        <v>45741</v>
      </c>
    </row>
    <row r="4" spans="1:97" ht="30.75" customHeight="1">
      <c r="A4" s="131" t="s">
        <v>323</v>
      </c>
      <c r="B4" s="132" t="s">
        <v>324</v>
      </c>
      <c r="C4" s="133" t="s">
        <v>325</v>
      </c>
      <c r="D4" s="134" t="s">
        <v>324</v>
      </c>
      <c r="E4" s="134" t="s">
        <v>324</v>
      </c>
      <c r="F4" s="134" t="s">
        <v>324</v>
      </c>
      <c r="G4" s="134" t="s">
        <v>324</v>
      </c>
      <c r="H4" s="134" t="s">
        <v>324</v>
      </c>
      <c r="I4" s="134" t="s">
        <v>324</v>
      </c>
      <c r="J4" s="134" t="s">
        <v>324</v>
      </c>
      <c r="K4" s="134" t="s">
        <v>324</v>
      </c>
      <c r="L4" s="134" t="s">
        <v>324</v>
      </c>
      <c r="M4" s="134" t="s">
        <v>324</v>
      </c>
      <c r="N4" s="134" t="s">
        <v>324</v>
      </c>
      <c r="O4" s="134" t="s">
        <v>326</v>
      </c>
      <c r="P4" s="135" t="s">
        <v>324</v>
      </c>
      <c r="Q4" s="134" t="s">
        <v>324</v>
      </c>
      <c r="R4" s="134" t="s">
        <v>324</v>
      </c>
      <c r="S4" s="134" t="s">
        <v>324</v>
      </c>
      <c r="T4" s="134" t="s">
        <v>324</v>
      </c>
      <c r="U4" s="135" t="s">
        <v>327</v>
      </c>
      <c r="V4" s="134" t="s">
        <v>324</v>
      </c>
      <c r="W4" s="134" t="s">
        <v>324</v>
      </c>
      <c r="X4" s="134" t="s">
        <v>324</v>
      </c>
      <c r="Y4" s="134" t="s">
        <v>324</v>
      </c>
      <c r="Z4" s="134" t="s">
        <v>324</v>
      </c>
      <c r="AA4" s="134" t="s">
        <v>324</v>
      </c>
      <c r="AB4" s="134" t="s">
        <v>324</v>
      </c>
      <c r="AC4" s="134" t="s">
        <v>324</v>
      </c>
      <c r="AD4" s="134" t="s">
        <v>324</v>
      </c>
      <c r="AE4" s="160" t="s">
        <v>328</v>
      </c>
      <c r="AF4" s="134" t="s">
        <v>324</v>
      </c>
      <c r="AG4" s="134" t="s">
        <v>324</v>
      </c>
      <c r="AH4" s="134" t="s">
        <v>324</v>
      </c>
      <c r="AI4" s="134" t="s">
        <v>324</v>
      </c>
      <c r="AJ4" s="134" t="s">
        <v>324</v>
      </c>
      <c r="AK4" s="134" t="s">
        <v>324</v>
      </c>
      <c r="AL4" s="160" t="s">
        <v>329</v>
      </c>
      <c r="AM4" s="134" t="s">
        <v>327</v>
      </c>
      <c r="AN4" s="134" t="s">
        <v>327</v>
      </c>
      <c r="AO4" s="134" t="s">
        <v>324</v>
      </c>
      <c r="AP4" s="160" t="s">
        <v>330</v>
      </c>
      <c r="AQ4" s="134" t="s">
        <v>324</v>
      </c>
      <c r="AR4" s="134" t="s">
        <v>324</v>
      </c>
      <c r="AS4" s="160" t="s">
        <v>330</v>
      </c>
      <c r="AT4" s="136" t="s">
        <v>324</v>
      </c>
      <c r="AU4" s="134" t="s">
        <v>324</v>
      </c>
      <c r="AV4" s="134" t="s">
        <v>324</v>
      </c>
      <c r="AW4" s="134" t="s">
        <v>324</v>
      </c>
      <c r="AX4" s="134" t="s">
        <v>324</v>
      </c>
      <c r="AY4" s="160" t="s">
        <v>330</v>
      </c>
      <c r="AZ4" s="134" t="s">
        <v>324</v>
      </c>
      <c r="BA4" s="134" t="s">
        <v>324</v>
      </c>
      <c r="BB4" s="134" t="s">
        <v>324</v>
      </c>
      <c r="BC4" s="134" t="s">
        <v>324</v>
      </c>
      <c r="BD4" s="134" t="s">
        <v>324</v>
      </c>
      <c r="BE4" s="134" t="s">
        <v>324</v>
      </c>
      <c r="BF4" s="134" t="s">
        <v>324</v>
      </c>
      <c r="BG4" s="134" t="s">
        <v>324</v>
      </c>
      <c r="BH4" s="134" t="s">
        <v>324</v>
      </c>
      <c r="BI4" s="135" t="s">
        <v>324</v>
      </c>
      <c r="BJ4" s="160" t="s">
        <v>330</v>
      </c>
      <c r="BK4" s="135" t="s">
        <v>331</v>
      </c>
      <c r="BL4" s="135" t="s">
        <v>331</v>
      </c>
      <c r="BM4" s="135" t="s">
        <v>331</v>
      </c>
      <c r="BN4" s="135" t="s">
        <v>331</v>
      </c>
      <c r="BO4" s="135" t="s">
        <v>331</v>
      </c>
      <c r="BP4" s="135" t="s">
        <v>331</v>
      </c>
      <c r="BQ4" s="135" t="s">
        <v>331</v>
      </c>
      <c r="BR4" s="134" t="s">
        <v>324</v>
      </c>
      <c r="BS4" s="134" t="s">
        <v>324</v>
      </c>
      <c r="BT4" s="134" t="s">
        <v>324</v>
      </c>
      <c r="BU4" s="134" t="s">
        <v>324</v>
      </c>
      <c r="BV4" s="134" t="s">
        <v>324</v>
      </c>
      <c r="BW4" s="134" t="s">
        <v>324</v>
      </c>
      <c r="BX4" s="134" t="s">
        <v>324</v>
      </c>
      <c r="BY4" s="134" t="s">
        <v>324</v>
      </c>
      <c r="BZ4" s="134" t="s">
        <v>324</v>
      </c>
      <c r="CA4" s="134" t="s">
        <v>324</v>
      </c>
      <c r="CB4" s="134" t="s">
        <v>324</v>
      </c>
      <c r="CC4" s="134" t="s">
        <v>324</v>
      </c>
      <c r="CD4" s="134" t="s">
        <v>324</v>
      </c>
      <c r="CE4" s="134" t="s">
        <v>324</v>
      </c>
      <c r="CF4" s="134" t="s">
        <v>324</v>
      </c>
      <c r="CG4" s="134"/>
      <c r="CH4" s="134"/>
      <c r="CI4" s="160" t="s">
        <v>332</v>
      </c>
      <c r="CJ4" s="134"/>
      <c r="CK4" s="134"/>
      <c r="CL4" s="134"/>
      <c r="CM4" s="134"/>
      <c r="CN4" s="134"/>
      <c r="CO4" s="134"/>
      <c r="CP4" s="134"/>
      <c r="CQ4" s="134"/>
      <c r="CR4" s="134"/>
      <c r="CS4" s="134" t="s">
        <v>324</v>
      </c>
    </row>
    <row r="5" spans="1:97" ht="15.75" customHeight="1">
      <c r="A5" s="131" t="s">
        <v>333</v>
      </c>
      <c r="B5" s="132" t="s">
        <v>324</v>
      </c>
      <c r="C5" s="134" t="s">
        <v>324</v>
      </c>
      <c r="D5" s="134" t="s">
        <v>324</v>
      </c>
      <c r="E5" s="134" t="s">
        <v>324</v>
      </c>
      <c r="F5" s="134" t="s">
        <v>324</v>
      </c>
      <c r="G5" s="134" t="s">
        <v>324</v>
      </c>
      <c r="H5" s="134" t="s">
        <v>324</v>
      </c>
      <c r="I5" s="134" t="s">
        <v>324</v>
      </c>
      <c r="J5" s="134" t="s">
        <v>324</v>
      </c>
      <c r="K5" s="134" t="s">
        <v>324</v>
      </c>
      <c r="L5" s="134" t="s">
        <v>331</v>
      </c>
      <c r="M5" s="134" t="s">
        <v>331</v>
      </c>
      <c r="N5" s="134" t="s">
        <v>331</v>
      </c>
      <c r="O5" s="134" t="s">
        <v>331</v>
      </c>
      <c r="P5" s="135" t="s">
        <v>331</v>
      </c>
      <c r="Q5" s="134" t="s">
        <v>324</v>
      </c>
      <c r="R5" s="134" t="s">
        <v>324</v>
      </c>
      <c r="S5" s="134" t="s">
        <v>324</v>
      </c>
      <c r="T5" s="134" t="s">
        <v>324</v>
      </c>
      <c r="U5" s="135" t="s">
        <v>324</v>
      </c>
      <c r="V5" s="134" t="s">
        <v>324</v>
      </c>
      <c r="W5" s="134" t="s">
        <v>324</v>
      </c>
      <c r="X5" s="134" t="s">
        <v>324</v>
      </c>
      <c r="Y5" s="134" t="s">
        <v>324</v>
      </c>
      <c r="Z5" s="134" t="s">
        <v>324</v>
      </c>
      <c r="AA5" s="134" t="s">
        <v>324</v>
      </c>
      <c r="AB5" s="134" t="s">
        <v>324</v>
      </c>
      <c r="AC5" s="134" t="s">
        <v>324</v>
      </c>
      <c r="AD5" s="134" t="s">
        <v>324</v>
      </c>
      <c r="AE5" s="161"/>
      <c r="AF5" s="134" t="s">
        <v>324</v>
      </c>
      <c r="AG5" s="134" t="s">
        <v>324</v>
      </c>
      <c r="AH5" s="134" t="s">
        <v>324</v>
      </c>
      <c r="AI5" s="134" t="s">
        <v>324</v>
      </c>
      <c r="AJ5" s="134" t="s">
        <v>324</v>
      </c>
      <c r="AK5" s="134" t="s">
        <v>324</v>
      </c>
      <c r="AL5" s="161"/>
      <c r="AM5" s="134" t="s">
        <v>324</v>
      </c>
      <c r="AN5" s="134" t="s">
        <v>324</v>
      </c>
      <c r="AO5" s="134" t="s">
        <v>324</v>
      </c>
      <c r="AP5" s="161"/>
      <c r="AQ5" s="134" t="s">
        <v>331</v>
      </c>
      <c r="AR5" s="134" t="s">
        <v>331</v>
      </c>
      <c r="AS5" s="161"/>
      <c r="AT5" s="134" t="s">
        <v>331</v>
      </c>
      <c r="AU5" s="134" t="s">
        <v>331</v>
      </c>
      <c r="AV5" s="134" t="s">
        <v>331</v>
      </c>
      <c r="AW5" s="134" t="s">
        <v>331</v>
      </c>
      <c r="AX5" s="134" t="s">
        <v>331</v>
      </c>
      <c r="AY5" s="161"/>
      <c r="AZ5" s="134" t="s">
        <v>331</v>
      </c>
      <c r="BA5" s="134" t="s">
        <v>324</v>
      </c>
      <c r="BB5" s="134" t="s">
        <v>324</v>
      </c>
      <c r="BC5" s="134" t="s">
        <v>324</v>
      </c>
      <c r="BD5" s="134" t="s">
        <v>324</v>
      </c>
      <c r="BE5" s="134" t="s">
        <v>324</v>
      </c>
      <c r="BF5" s="134" t="s">
        <v>324</v>
      </c>
      <c r="BG5" s="134" t="s">
        <v>324</v>
      </c>
      <c r="BH5" s="134" t="s">
        <v>324</v>
      </c>
      <c r="BI5" s="135" t="s">
        <v>324</v>
      </c>
      <c r="BJ5" s="161"/>
      <c r="BK5" s="135" t="s">
        <v>324</v>
      </c>
      <c r="BL5" s="135" t="s">
        <v>324</v>
      </c>
      <c r="BM5" s="134" t="s">
        <v>324</v>
      </c>
      <c r="BN5" s="135" t="s">
        <v>324</v>
      </c>
      <c r="BO5" s="134" t="s">
        <v>324</v>
      </c>
      <c r="BP5" s="134" t="s">
        <v>324</v>
      </c>
      <c r="BQ5" s="134" t="s">
        <v>324</v>
      </c>
      <c r="BR5" s="134" t="s">
        <v>324</v>
      </c>
      <c r="BS5" s="134" t="s">
        <v>324</v>
      </c>
      <c r="BT5" s="134" t="s">
        <v>324</v>
      </c>
      <c r="BU5" s="134" t="s">
        <v>324</v>
      </c>
      <c r="BV5" s="134" t="s">
        <v>324</v>
      </c>
      <c r="BW5" s="134" t="s">
        <v>324</v>
      </c>
      <c r="BX5" s="134" t="s">
        <v>324</v>
      </c>
      <c r="BY5" s="134" t="s">
        <v>324</v>
      </c>
      <c r="BZ5" s="134" t="s">
        <v>324</v>
      </c>
      <c r="CA5" s="134" t="s">
        <v>324</v>
      </c>
      <c r="CB5" s="134" t="s">
        <v>324</v>
      </c>
      <c r="CC5" s="134" t="s">
        <v>324</v>
      </c>
      <c r="CD5" s="134" t="s">
        <v>324</v>
      </c>
      <c r="CE5" s="134" t="s">
        <v>324</v>
      </c>
      <c r="CF5" s="134" t="s">
        <v>324</v>
      </c>
      <c r="CG5" s="134"/>
      <c r="CH5" s="134"/>
      <c r="CI5" s="161"/>
      <c r="CJ5" s="134"/>
      <c r="CK5" s="134"/>
      <c r="CL5" s="134"/>
      <c r="CM5" s="134"/>
      <c r="CN5" s="134"/>
      <c r="CO5" s="134"/>
      <c r="CP5" s="134"/>
      <c r="CQ5" s="134"/>
      <c r="CR5" s="134"/>
      <c r="CS5" s="134" t="s">
        <v>324</v>
      </c>
    </row>
    <row r="6" spans="1:97" ht="15.75">
      <c r="A6" s="131" t="s">
        <v>334</v>
      </c>
      <c r="B6" s="132" t="s">
        <v>324</v>
      </c>
      <c r="C6" s="134" t="s">
        <v>324</v>
      </c>
      <c r="D6" s="134" t="s">
        <v>324</v>
      </c>
      <c r="E6" s="134" t="s">
        <v>324</v>
      </c>
      <c r="F6" s="134" t="s">
        <v>324</v>
      </c>
      <c r="G6" s="134" t="s">
        <v>324</v>
      </c>
      <c r="H6" s="134" t="s">
        <v>324</v>
      </c>
      <c r="I6" s="134" t="s">
        <v>324</v>
      </c>
      <c r="J6" s="134" t="s">
        <v>324</v>
      </c>
      <c r="K6" s="137" t="s">
        <v>335</v>
      </c>
      <c r="L6" s="134" t="s">
        <v>324</v>
      </c>
      <c r="M6" s="134" t="s">
        <v>324</v>
      </c>
      <c r="N6" s="134" t="s">
        <v>324</v>
      </c>
      <c r="O6" s="134" t="s">
        <v>326</v>
      </c>
      <c r="P6" s="135" t="s">
        <v>324</v>
      </c>
      <c r="Q6" s="134" t="s">
        <v>324</v>
      </c>
      <c r="R6" s="134" t="s">
        <v>324</v>
      </c>
      <c r="S6" s="134" t="s">
        <v>324</v>
      </c>
      <c r="T6" s="134" t="s">
        <v>324</v>
      </c>
      <c r="U6" s="135" t="s">
        <v>324</v>
      </c>
      <c r="V6" s="134" t="s">
        <v>324</v>
      </c>
      <c r="W6" s="134" t="s">
        <v>324</v>
      </c>
      <c r="X6" s="134" t="s">
        <v>324</v>
      </c>
      <c r="Y6" s="134" t="s">
        <v>324</v>
      </c>
      <c r="Z6" s="134" t="s">
        <v>324</v>
      </c>
      <c r="AA6" s="134" t="s">
        <v>324</v>
      </c>
      <c r="AB6" s="134" t="s">
        <v>324</v>
      </c>
      <c r="AC6" s="134" t="s">
        <v>324</v>
      </c>
      <c r="AD6" s="134" t="s">
        <v>324</v>
      </c>
      <c r="AE6" s="161"/>
      <c r="AF6" s="134" t="s">
        <v>324</v>
      </c>
      <c r="AG6" s="134" t="s">
        <v>324</v>
      </c>
      <c r="AH6" s="134" t="s">
        <v>324</v>
      </c>
      <c r="AI6" s="134" t="s">
        <v>324</v>
      </c>
      <c r="AJ6" s="134" t="s">
        <v>324</v>
      </c>
      <c r="AK6" s="134" t="s">
        <v>324</v>
      </c>
      <c r="AL6" s="161"/>
      <c r="AM6" s="134" t="s">
        <v>324</v>
      </c>
      <c r="AN6" s="134" t="s">
        <v>324</v>
      </c>
      <c r="AO6" s="134" t="s">
        <v>324</v>
      </c>
      <c r="AP6" s="161"/>
      <c r="AQ6" s="134" t="s">
        <v>324</v>
      </c>
      <c r="AR6" s="134" t="s">
        <v>324</v>
      </c>
      <c r="AS6" s="161"/>
      <c r="AT6" s="134" t="s">
        <v>324</v>
      </c>
      <c r="AU6" s="134" t="s">
        <v>324</v>
      </c>
      <c r="AV6" s="134" t="s">
        <v>324</v>
      </c>
      <c r="AW6" s="134" t="s">
        <v>324</v>
      </c>
      <c r="AX6" s="134" t="s">
        <v>324</v>
      </c>
      <c r="AY6" s="161"/>
      <c r="AZ6" s="134" t="s">
        <v>324</v>
      </c>
      <c r="BA6" s="134" t="s">
        <v>324</v>
      </c>
      <c r="BB6" s="134" t="s">
        <v>324</v>
      </c>
      <c r="BC6" s="134" t="s">
        <v>324</v>
      </c>
      <c r="BD6" s="134" t="s">
        <v>324</v>
      </c>
      <c r="BE6" s="134" t="s">
        <v>324</v>
      </c>
      <c r="BF6" s="134" t="s">
        <v>324</v>
      </c>
      <c r="BG6" s="134" t="s">
        <v>324</v>
      </c>
      <c r="BH6" s="134" t="s">
        <v>324</v>
      </c>
      <c r="BI6" s="135" t="s">
        <v>324</v>
      </c>
      <c r="BJ6" s="161"/>
      <c r="BK6" s="135" t="s">
        <v>324</v>
      </c>
      <c r="BL6" s="135" t="s">
        <v>324</v>
      </c>
      <c r="BM6" s="134" t="s">
        <v>336</v>
      </c>
      <c r="BN6" s="135" t="s">
        <v>324</v>
      </c>
      <c r="BO6" s="134" t="s">
        <v>324</v>
      </c>
      <c r="BP6" s="134" t="s">
        <v>324</v>
      </c>
      <c r="BQ6" s="134" t="s">
        <v>324</v>
      </c>
      <c r="BR6" s="134" t="s">
        <v>324</v>
      </c>
      <c r="BS6" s="134" t="s">
        <v>324</v>
      </c>
      <c r="BT6" s="134" t="s">
        <v>324</v>
      </c>
      <c r="BU6" s="134" t="s">
        <v>324</v>
      </c>
      <c r="BV6" s="134" t="s">
        <v>324</v>
      </c>
      <c r="BW6" s="134" t="s">
        <v>324</v>
      </c>
      <c r="BX6" s="134" t="s">
        <v>324</v>
      </c>
      <c r="BY6" s="134" t="s">
        <v>324</v>
      </c>
      <c r="BZ6" s="134" t="s">
        <v>324</v>
      </c>
      <c r="CA6" s="134" t="s">
        <v>324</v>
      </c>
      <c r="CB6" s="134" t="s">
        <v>324</v>
      </c>
      <c r="CC6" s="134" t="s">
        <v>324</v>
      </c>
      <c r="CD6" s="134" t="s">
        <v>324</v>
      </c>
      <c r="CE6" s="134" t="s">
        <v>324</v>
      </c>
      <c r="CF6" s="134" t="s">
        <v>324</v>
      </c>
      <c r="CG6" s="134"/>
      <c r="CH6" s="134"/>
      <c r="CI6" s="161"/>
      <c r="CJ6" s="134"/>
      <c r="CK6" s="134"/>
      <c r="CL6" s="134"/>
      <c r="CM6" s="134"/>
      <c r="CN6" s="134"/>
      <c r="CO6" s="134"/>
      <c r="CP6" s="134"/>
      <c r="CQ6" s="134"/>
      <c r="CR6" s="134"/>
      <c r="CS6" s="134" t="s">
        <v>324</v>
      </c>
    </row>
    <row r="7" spans="1:97" ht="15.75" hidden="1" customHeight="1">
      <c r="A7" s="131" t="s">
        <v>337</v>
      </c>
      <c r="B7" s="132" t="s">
        <v>324</v>
      </c>
      <c r="C7" s="134" t="s">
        <v>324</v>
      </c>
      <c r="D7" s="134" t="s">
        <v>324</v>
      </c>
      <c r="E7" s="134" t="s">
        <v>324</v>
      </c>
      <c r="F7" s="134" t="s">
        <v>324</v>
      </c>
      <c r="G7" s="134" t="s">
        <v>324</v>
      </c>
      <c r="H7" s="134" t="s">
        <v>324</v>
      </c>
      <c r="I7" s="134" t="s">
        <v>324</v>
      </c>
      <c r="J7" s="134" t="s">
        <v>324</v>
      </c>
      <c r="K7" s="134" t="s">
        <v>324</v>
      </c>
      <c r="L7" s="137" t="s">
        <v>335</v>
      </c>
      <c r="M7" s="134" t="s">
        <v>324</v>
      </c>
      <c r="N7" s="134" t="s">
        <v>324</v>
      </c>
      <c r="O7" s="134" t="s">
        <v>326</v>
      </c>
      <c r="P7" s="135" t="s">
        <v>324</v>
      </c>
      <c r="Q7" s="134" t="s">
        <v>324</v>
      </c>
      <c r="R7" s="134" t="s">
        <v>324</v>
      </c>
      <c r="S7" s="134" t="s">
        <v>324</v>
      </c>
      <c r="T7" s="134" t="s">
        <v>324</v>
      </c>
      <c r="U7" s="135" t="s">
        <v>338</v>
      </c>
      <c r="V7" s="134" t="s">
        <v>324</v>
      </c>
      <c r="W7" s="134" t="s">
        <v>324</v>
      </c>
      <c r="X7" s="134" t="s">
        <v>324</v>
      </c>
      <c r="Y7" s="134" t="s">
        <v>324</v>
      </c>
      <c r="Z7" s="134" t="s">
        <v>327</v>
      </c>
      <c r="AA7" s="134" t="s">
        <v>324</v>
      </c>
      <c r="AB7" s="134" t="s">
        <v>324</v>
      </c>
      <c r="AC7" s="134" t="s">
        <v>324</v>
      </c>
      <c r="AD7" s="134" t="s">
        <v>324</v>
      </c>
      <c r="AE7" s="161"/>
      <c r="AF7" s="134" t="s">
        <v>324</v>
      </c>
      <c r="AG7" s="134" t="s">
        <v>324</v>
      </c>
      <c r="AH7" s="134" t="s">
        <v>324</v>
      </c>
      <c r="AI7" s="134" t="s">
        <v>324</v>
      </c>
      <c r="AJ7" s="134" t="s">
        <v>324</v>
      </c>
      <c r="AK7" s="134" t="s">
        <v>324</v>
      </c>
      <c r="AL7" s="161"/>
      <c r="AM7" s="134" t="s">
        <v>324</v>
      </c>
      <c r="AN7" s="134" t="s">
        <v>324</v>
      </c>
      <c r="AO7" s="134" t="s">
        <v>324</v>
      </c>
      <c r="AP7" s="161"/>
      <c r="AQ7" s="134" t="s">
        <v>324</v>
      </c>
      <c r="AR7" s="134" t="s">
        <v>324</v>
      </c>
      <c r="AS7" s="161"/>
      <c r="AT7" s="134" t="s">
        <v>324</v>
      </c>
      <c r="AU7" s="134" t="s">
        <v>327</v>
      </c>
      <c r="AV7" s="134" t="s">
        <v>324</v>
      </c>
      <c r="AW7" s="134" t="s">
        <v>324</v>
      </c>
      <c r="AX7" s="134" t="s">
        <v>324</v>
      </c>
      <c r="AY7" s="161"/>
      <c r="AZ7" s="134" t="s">
        <v>324</v>
      </c>
      <c r="BA7" s="134" t="s">
        <v>324</v>
      </c>
      <c r="BB7" s="134" t="s">
        <v>324</v>
      </c>
      <c r="BC7" s="134" t="s">
        <v>324</v>
      </c>
      <c r="BD7" s="134" t="s">
        <v>324</v>
      </c>
      <c r="BE7" s="134" t="s">
        <v>324</v>
      </c>
      <c r="BF7" s="134" t="s">
        <v>324</v>
      </c>
      <c r="BG7" s="134" t="s">
        <v>324</v>
      </c>
      <c r="BH7" s="134" t="s">
        <v>324</v>
      </c>
      <c r="BI7" s="135" t="s">
        <v>324</v>
      </c>
      <c r="BJ7" s="161"/>
      <c r="BK7" s="135" t="s">
        <v>324</v>
      </c>
      <c r="BL7" s="135" t="s">
        <v>324</v>
      </c>
      <c r="BM7" s="134" t="s">
        <v>324</v>
      </c>
      <c r="BN7" s="135" t="s">
        <v>324</v>
      </c>
      <c r="BO7" s="134" t="s">
        <v>327</v>
      </c>
      <c r="BP7" s="134"/>
      <c r="BQ7" s="134"/>
      <c r="BR7" s="134"/>
      <c r="BS7" s="134"/>
      <c r="BT7" s="134"/>
      <c r="BU7" s="134" t="s">
        <v>324</v>
      </c>
      <c r="BV7" s="134" t="s">
        <v>324</v>
      </c>
      <c r="BW7" s="134" t="s">
        <v>324</v>
      </c>
      <c r="BX7" s="134" t="s">
        <v>324</v>
      </c>
      <c r="BY7" s="134"/>
      <c r="BZ7" s="134"/>
      <c r="CA7" s="134"/>
      <c r="CB7" s="134"/>
      <c r="CC7" s="134"/>
      <c r="CD7" s="134"/>
      <c r="CE7" s="134"/>
      <c r="CF7" s="134"/>
      <c r="CG7" s="134"/>
      <c r="CH7" s="134"/>
      <c r="CI7" s="161"/>
      <c r="CJ7" s="134"/>
      <c r="CK7" s="134"/>
      <c r="CL7" s="134"/>
      <c r="CM7" s="134"/>
      <c r="CN7" s="134"/>
      <c r="CO7" s="134"/>
      <c r="CP7" s="134"/>
      <c r="CQ7" s="134"/>
      <c r="CR7" s="134"/>
      <c r="CS7" s="134"/>
    </row>
    <row r="8" spans="1:97" ht="15.75" hidden="1" customHeight="1">
      <c r="A8" s="131" t="s">
        <v>339</v>
      </c>
      <c r="B8" s="132" t="s">
        <v>324</v>
      </c>
      <c r="C8" s="134" t="s">
        <v>324</v>
      </c>
      <c r="D8" s="134" t="s">
        <v>324</v>
      </c>
      <c r="E8" s="134" t="s">
        <v>324</v>
      </c>
      <c r="F8" s="134" t="s">
        <v>324</v>
      </c>
      <c r="G8" s="134" t="s">
        <v>324</v>
      </c>
      <c r="H8" s="134" t="s">
        <v>324</v>
      </c>
      <c r="I8" s="134" t="s">
        <v>324</v>
      </c>
      <c r="J8" s="134" t="s">
        <v>324</v>
      </c>
      <c r="K8" s="134" t="s">
        <v>324</v>
      </c>
      <c r="L8" s="134" t="s">
        <v>327</v>
      </c>
      <c r="M8" s="134" t="s">
        <v>324</v>
      </c>
      <c r="N8" s="134" t="s">
        <v>324</v>
      </c>
      <c r="O8" s="134" t="s">
        <v>326</v>
      </c>
      <c r="P8" s="135" t="s">
        <v>324</v>
      </c>
      <c r="Q8" s="134" t="s">
        <v>324</v>
      </c>
      <c r="R8" s="134" t="s">
        <v>324</v>
      </c>
      <c r="S8" s="134" t="s">
        <v>324</v>
      </c>
      <c r="T8" s="134" t="s">
        <v>324</v>
      </c>
      <c r="U8" s="135" t="s">
        <v>324</v>
      </c>
      <c r="V8" s="134" t="s">
        <v>324</v>
      </c>
      <c r="W8" s="134" t="s">
        <v>340</v>
      </c>
      <c r="X8" s="134" t="s">
        <v>324</v>
      </c>
      <c r="Y8" s="134" t="s">
        <v>324</v>
      </c>
      <c r="Z8" s="134" t="s">
        <v>324</v>
      </c>
      <c r="AA8" s="134" t="s">
        <v>324</v>
      </c>
      <c r="AB8" s="134" t="s">
        <v>327</v>
      </c>
      <c r="AC8" s="134" t="s">
        <v>324</v>
      </c>
      <c r="AD8" s="134" t="s">
        <v>324</v>
      </c>
      <c r="AE8" s="161"/>
      <c r="AF8" s="134" t="s">
        <v>324</v>
      </c>
      <c r="AG8" s="134" t="s">
        <v>324</v>
      </c>
      <c r="AH8" s="134" t="s">
        <v>324</v>
      </c>
      <c r="AI8" s="134" t="s">
        <v>324</v>
      </c>
      <c r="AJ8" s="134" t="s">
        <v>324</v>
      </c>
      <c r="AK8" s="134" t="s">
        <v>324</v>
      </c>
      <c r="AL8" s="161"/>
      <c r="AM8" s="134" t="s">
        <v>324</v>
      </c>
      <c r="AN8" s="134" t="s">
        <v>327</v>
      </c>
      <c r="AO8" s="134" t="s">
        <v>324</v>
      </c>
      <c r="AP8" s="161"/>
      <c r="AQ8" s="134" t="s">
        <v>324</v>
      </c>
      <c r="AR8" s="134" t="s">
        <v>324</v>
      </c>
      <c r="AS8" s="161"/>
      <c r="AT8" s="134" t="s">
        <v>324</v>
      </c>
      <c r="AU8" s="134" t="s">
        <v>324</v>
      </c>
      <c r="AV8" s="134" t="s">
        <v>324</v>
      </c>
      <c r="AW8" s="134" t="s">
        <v>324</v>
      </c>
      <c r="AX8" s="134" t="s">
        <v>324</v>
      </c>
      <c r="AY8" s="161"/>
      <c r="AZ8" s="134" t="s">
        <v>324</v>
      </c>
      <c r="BA8" s="134" t="s">
        <v>324</v>
      </c>
      <c r="BB8" s="134" t="s">
        <v>324</v>
      </c>
      <c r="BC8" s="134" t="s">
        <v>324</v>
      </c>
      <c r="BD8" s="134" t="s">
        <v>324</v>
      </c>
      <c r="BE8" s="134" t="s">
        <v>324</v>
      </c>
      <c r="BF8" s="134" t="s">
        <v>324</v>
      </c>
      <c r="BG8" s="134" t="s">
        <v>341</v>
      </c>
      <c r="BH8" s="134" t="s">
        <v>324</v>
      </c>
      <c r="BI8" s="135" t="s">
        <v>324</v>
      </c>
      <c r="BJ8" s="161"/>
      <c r="BK8" s="135" t="s">
        <v>324</v>
      </c>
      <c r="BL8" s="135" t="s">
        <v>324</v>
      </c>
      <c r="BM8" s="134" t="s">
        <v>324</v>
      </c>
      <c r="BN8" s="135" t="s">
        <v>324</v>
      </c>
      <c r="BO8" s="134" t="s">
        <v>324</v>
      </c>
      <c r="BP8" s="134" t="s">
        <v>324</v>
      </c>
      <c r="BQ8" s="134" t="s">
        <v>324</v>
      </c>
      <c r="BR8" s="134" t="s">
        <v>324</v>
      </c>
      <c r="BS8" s="134" t="s">
        <v>324</v>
      </c>
      <c r="BT8" s="134" t="s">
        <v>324</v>
      </c>
      <c r="BU8" s="134" t="s">
        <v>324</v>
      </c>
      <c r="BV8" s="134" t="s">
        <v>324</v>
      </c>
      <c r="BW8" s="134" t="s">
        <v>324</v>
      </c>
      <c r="BX8" s="134" t="s">
        <v>342</v>
      </c>
      <c r="BY8" s="134"/>
      <c r="BZ8" s="134"/>
      <c r="CA8" s="134"/>
      <c r="CB8" s="134"/>
      <c r="CC8" s="134"/>
      <c r="CD8" s="134"/>
      <c r="CE8" s="134"/>
      <c r="CF8" s="134"/>
      <c r="CG8" s="134"/>
      <c r="CH8" s="134"/>
      <c r="CI8" s="161"/>
      <c r="CJ8" s="134"/>
      <c r="CK8" s="134"/>
      <c r="CL8" s="134"/>
      <c r="CM8" s="134"/>
      <c r="CN8" s="134"/>
      <c r="CO8" s="134"/>
      <c r="CP8" s="134"/>
      <c r="CQ8" s="134"/>
      <c r="CR8" s="134"/>
      <c r="CS8" s="134"/>
    </row>
    <row r="9" spans="1:97" ht="15.75">
      <c r="A9" s="131" t="s">
        <v>343</v>
      </c>
      <c r="B9" s="132" t="s">
        <v>324</v>
      </c>
      <c r="C9" s="134" t="s">
        <v>324</v>
      </c>
      <c r="D9" s="134" t="s">
        <v>324</v>
      </c>
      <c r="E9" s="134" t="s">
        <v>324</v>
      </c>
      <c r="F9" s="134" t="s">
        <v>324</v>
      </c>
      <c r="G9" s="134" t="s">
        <v>324</v>
      </c>
      <c r="H9" s="134" t="s">
        <v>324</v>
      </c>
      <c r="I9" s="134" t="s">
        <v>324</v>
      </c>
      <c r="J9" s="134" t="s">
        <v>324</v>
      </c>
      <c r="K9" s="134" t="s">
        <v>324</v>
      </c>
      <c r="L9" s="134" t="s">
        <v>324</v>
      </c>
      <c r="M9" s="134" t="s">
        <v>324</v>
      </c>
      <c r="N9" s="134" t="s">
        <v>324</v>
      </c>
      <c r="O9" s="137" t="s">
        <v>335</v>
      </c>
      <c r="P9" s="135" t="s">
        <v>324</v>
      </c>
      <c r="Q9" s="134" t="s">
        <v>324</v>
      </c>
      <c r="R9" s="134" t="s">
        <v>324</v>
      </c>
      <c r="S9" s="134" t="s">
        <v>324</v>
      </c>
      <c r="T9" s="134" t="s">
        <v>324</v>
      </c>
      <c r="U9" s="135" t="s">
        <v>324</v>
      </c>
      <c r="V9" s="134" t="s">
        <v>324</v>
      </c>
      <c r="W9" s="134" t="s">
        <v>324</v>
      </c>
      <c r="X9" s="134" t="s">
        <v>324</v>
      </c>
      <c r="Y9" s="134" t="s">
        <v>324</v>
      </c>
      <c r="Z9" s="134" t="s">
        <v>324</v>
      </c>
      <c r="AA9" s="134" t="s">
        <v>324</v>
      </c>
      <c r="AB9" s="134" t="s">
        <v>324</v>
      </c>
      <c r="AC9" s="134" t="s">
        <v>324</v>
      </c>
      <c r="AD9" s="134" t="s">
        <v>324</v>
      </c>
      <c r="AE9" s="161"/>
      <c r="AF9" s="134" t="s">
        <v>324</v>
      </c>
      <c r="AG9" s="134" t="s">
        <v>324</v>
      </c>
      <c r="AH9" s="134" t="s">
        <v>324</v>
      </c>
      <c r="AI9" s="134" t="s">
        <v>324</v>
      </c>
      <c r="AJ9" s="134" t="s">
        <v>324</v>
      </c>
      <c r="AK9" s="134" t="s">
        <v>324</v>
      </c>
      <c r="AL9" s="161"/>
      <c r="AM9" s="134" t="s">
        <v>324</v>
      </c>
      <c r="AN9" s="134" t="s">
        <v>324</v>
      </c>
      <c r="AO9" s="134" t="s">
        <v>324</v>
      </c>
      <c r="AP9" s="161"/>
      <c r="AQ9" s="134" t="s">
        <v>324</v>
      </c>
      <c r="AR9" s="134" t="s">
        <v>324</v>
      </c>
      <c r="AS9" s="161"/>
      <c r="AT9" s="134" t="s">
        <v>324</v>
      </c>
      <c r="AU9" s="134" t="s">
        <v>324</v>
      </c>
      <c r="AV9" s="134" t="s">
        <v>324</v>
      </c>
      <c r="AW9" s="134" t="s">
        <v>324</v>
      </c>
      <c r="AX9" s="134" t="s">
        <v>324</v>
      </c>
      <c r="AY9" s="161"/>
      <c r="AZ9" s="134" t="s">
        <v>324</v>
      </c>
      <c r="BA9" s="134" t="s">
        <v>324</v>
      </c>
      <c r="BB9" s="134" t="s">
        <v>324</v>
      </c>
      <c r="BC9" s="134" t="s">
        <v>324</v>
      </c>
      <c r="BD9" s="134" t="s">
        <v>324</v>
      </c>
      <c r="BE9" s="134" t="s">
        <v>324</v>
      </c>
      <c r="BF9" s="134" t="s">
        <v>324</v>
      </c>
      <c r="BG9" s="134" t="s">
        <v>324</v>
      </c>
      <c r="BH9" s="134" t="s">
        <v>324</v>
      </c>
      <c r="BI9" s="135" t="s">
        <v>324</v>
      </c>
      <c r="BJ9" s="161"/>
      <c r="BK9" s="135" t="s">
        <v>324</v>
      </c>
      <c r="BL9" s="135" t="s">
        <v>324</v>
      </c>
      <c r="BM9" s="134" t="s">
        <v>324</v>
      </c>
      <c r="BN9" s="135" t="s">
        <v>324</v>
      </c>
      <c r="BO9" s="134" t="s">
        <v>324</v>
      </c>
      <c r="BP9" s="134" t="s">
        <v>324</v>
      </c>
      <c r="BQ9" s="134" t="s">
        <v>324</v>
      </c>
      <c r="BR9" s="134" t="s">
        <v>324</v>
      </c>
      <c r="BS9" s="134" t="s">
        <v>324</v>
      </c>
      <c r="BT9" s="134" t="s">
        <v>324</v>
      </c>
      <c r="BU9" s="134" t="s">
        <v>324</v>
      </c>
      <c r="BV9" s="134" t="s">
        <v>324</v>
      </c>
      <c r="BW9" s="134" t="s">
        <v>324</v>
      </c>
      <c r="BX9" s="134" t="s">
        <v>324</v>
      </c>
      <c r="BY9" s="134" t="s">
        <v>324</v>
      </c>
      <c r="BZ9" s="134" t="s">
        <v>324</v>
      </c>
      <c r="CA9" s="134" t="s">
        <v>324</v>
      </c>
      <c r="CB9" s="134" t="s">
        <v>324</v>
      </c>
      <c r="CC9" s="134" t="s">
        <v>324</v>
      </c>
      <c r="CD9" s="134" t="s">
        <v>324</v>
      </c>
      <c r="CE9" s="134" t="s">
        <v>324</v>
      </c>
      <c r="CF9" s="134" t="s">
        <v>324</v>
      </c>
      <c r="CG9" s="134"/>
      <c r="CH9" s="134"/>
      <c r="CI9" s="161"/>
      <c r="CJ9" s="134"/>
      <c r="CK9" s="134"/>
      <c r="CL9" s="134"/>
      <c r="CM9" s="134"/>
      <c r="CN9" s="134"/>
      <c r="CO9" s="134"/>
      <c r="CP9" s="134"/>
      <c r="CQ9" s="134"/>
      <c r="CR9" s="134"/>
      <c r="CS9" s="134" t="s">
        <v>324</v>
      </c>
    </row>
    <row r="10" spans="1:97" ht="15.75">
      <c r="A10" s="131" t="s">
        <v>344</v>
      </c>
      <c r="B10" s="132" t="s">
        <v>324</v>
      </c>
      <c r="C10" s="134" t="s">
        <v>324</v>
      </c>
      <c r="D10" s="134" t="s">
        <v>324</v>
      </c>
      <c r="E10" s="134" t="s">
        <v>324</v>
      </c>
      <c r="F10" s="134" t="s">
        <v>324</v>
      </c>
      <c r="G10" s="134" t="s">
        <v>324</v>
      </c>
      <c r="H10" s="134" t="s">
        <v>324</v>
      </c>
      <c r="I10" s="134" t="s">
        <v>327</v>
      </c>
      <c r="J10" s="134" t="s">
        <v>324</v>
      </c>
      <c r="K10" s="134" t="s">
        <v>327</v>
      </c>
      <c r="L10" s="134" t="s">
        <v>324</v>
      </c>
      <c r="M10" s="134" t="s">
        <v>324</v>
      </c>
      <c r="N10" s="134" t="s">
        <v>327</v>
      </c>
      <c r="O10" s="134" t="s">
        <v>326</v>
      </c>
      <c r="P10" s="135" t="s">
        <v>327</v>
      </c>
      <c r="Q10" s="134" t="s">
        <v>327</v>
      </c>
      <c r="R10" s="134" t="s">
        <v>324</v>
      </c>
      <c r="S10" s="134" t="s">
        <v>324</v>
      </c>
      <c r="T10" s="134" t="s">
        <v>324</v>
      </c>
      <c r="U10" s="135" t="s">
        <v>327</v>
      </c>
      <c r="V10" s="134" t="s">
        <v>324</v>
      </c>
      <c r="W10" s="134" t="s">
        <v>324</v>
      </c>
      <c r="X10" s="134" t="s">
        <v>324</v>
      </c>
      <c r="Y10" s="134" t="s">
        <v>324</v>
      </c>
      <c r="Z10" s="134" t="s">
        <v>324</v>
      </c>
      <c r="AA10" s="134" t="s">
        <v>324</v>
      </c>
      <c r="AB10" s="134" t="s">
        <v>324</v>
      </c>
      <c r="AC10" s="134" t="s">
        <v>324</v>
      </c>
      <c r="AD10" s="134" t="s">
        <v>324</v>
      </c>
      <c r="AE10" s="161"/>
      <c r="AF10" s="134" t="s">
        <v>324</v>
      </c>
      <c r="AG10" s="134" t="s">
        <v>324</v>
      </c>
      <c r="AH10" s="134" t="s">
        <v>324</v>
      </c>
      <c r="AI10" s="134" t="s">
        <v>324</v>
      </c>
      <c r="AJ10" s="134" t="s">
        <v>324</v>
      </c>
      <c r="AK10" s="134" t="s">
        <v>327</v>
      </c>
      <c r="AL10" s="161"/>
      <c r="AM10" s="134" t="s">
        <v>327</v>
      </c>
      <c r="AN10" s="134" t="s">
        <v>324</v>
      </c>
      <c r="AO10" s="134" t="s">
        <v>324</v>
      </c>
      <c r="AP10" s="161"/>
      <c r="AQ10" s="134" t="s">
        <v>324</v>
      </c>
      <c r="AR10" s="134" t="s">
        <v>324</v>
      </c>
      <c r="AS10" s="161"/>
      <c r="AT10" s="134" t="s">
        <v>324</v>
      </c>
      <c r="AU10" s="134" t="s">
        <v>324</v>
      </c>
      <c r="AV10" s="134" t="s">
        <v>324</v>
      </c>
      <c r="AW10" s="134" t="s">
        <v>324</v>
      </c>
      <c r="AX10" s="134" t="s">
        <v>324</v>
      </c>
      <c r="AY10" s="161"/>
      <c r="AZ10" s="134" t="s">
        <v>324</v>
      </c>
      <c r="BA10" s="134" t="s">
        <v>327</v>
      </c>
      <c r="BB10" s="134" t="s">
        <v>327</v>
      </c>
      <c r="BC10" s="134" t="s">
        <v>327</v>
      </c>
      <c r="BD10" s="134" t="s">
        <v>327</v>
      </c>
      <c r="BE10" s="134" t="s">
        <v>327</v>
      </c>
      <c r="BF10" s="134" t="s">
        <v>324</v>
      </c>
      <c r="BG10" s="134" t="s">
        <v>324</v>
      </c>
      <c r="BH10" s="134" t="s">
        <v>324</v>
      </c>
      <c r="BI10" s="135" t="s">
        <v>324</v>
      </c>
      <c r="BJ10" s="161"/>
      <c r="BK10" s="135" t="s">
        <v>324</v>
      </c>
      <c r="BL10" s="135" t="s">
        <v>324</v>
      </c>
      <c r="BM10" s="134" t="s">
        <v>324</v>
      </c>
      <c r="BN10" s="135" t="s">
        <v>324</v>
      </c>
      <c r="BO10" s="134" t="s">
        <v>324</v>
      </c>
      <c r="BP10" s="134" t="s">
        <v>324</v>
      </c>
      <c r="BQ10" s="134" t="s">
        <v>324</v>
      </c>
      <c r="BR10" s="134" t="s">
        <v>324</v>
      </c>
      <c r="BS10" s="134" t="s">
        <v>324</v>
      </c>
      <c r="BT10" s="134" t="s">
        <v>324</v>
      </c>
      <c r="BU10" s="134" t="s">
        <v>324</v>
      </c>
      <c r="BV10" s="134" t="s">
        <v>324</v>
      </c>
      <c r="BW10" s="134" t="s">
        <v>327</v>
      </c>
      <c r="BX10" s="134" t="s">
        <v>324</v>
      </c>
      <c r="BY10" s="134" t="s">
        <v>324</v>
      </c>
      <c r="BZ10" s="134" t="s">
        <v>324</v>
      </c>
      <c r="CA10" s="134" t="s">
        <v>324</v>
      </c>
      <c r="CB10" s="134" t="s">
        <v>324</v>
      </c>
      <c r="CC10" s="134" t="s">
        <v>324</v>
      </c>
      <c r="CD10" s="134" t="s">
        <v>324</v>
      </c>
      <c r="CE10" s="134" t="s">
        <v>324</v>
      </c>
      <c r="CF10" s="134" t="s">
        <v>324</v>
      </c>
      <c r="CG10" s="134"/>
      <c r="CH10" s="134"/>
      <c r="CI10" s="161"/>
      <c r="CJ10" s="134"/>
      <c r="CK10" s="134"/>
      <c r="CL10" s="134"/>
      <c r="CM10" s="134"/>
      <c r="CN10" s="134"/>
      <c r="CO10" s="134"/>
      <c r="CP10" s="134"/>
      <c r="CQ10" s="134"/>
      <c r="CR10" s="134"/>
      <c r="CS10" s="134" t="s">
        <v>324</v>
      </c>
    </row>
    <row r="11" spans="1:97" ht="15.75">
      <c r="A11" s="131" t="s">
        <v>345</v>
      </c>
      <c r="B11" s="132" t="s">
        <v>324</v>
      </c>
      <c r="C11" s="134" t="s">
        <v>324</v>
      </c>
      <c r="D11" s="134" t="s">
        <v>324</v>
      </c>
      <c r="E11" s="134" t="s">
        <v>324</v>
      </c>
      <c r="F11" s="134" t="s">
        <v>324</v>
      </c>
      <c r="G11" s="134" t="s">
        <v>324</v>
      </c>
      <c r="H11" s="134" t="s">
        <v>324</v>
      </c>
      <c r="I11" s="134" t="s">
        <v>324</v>
      </c>
      <c r="J11" s="134" t="s">
        <v>346</v>
      </c>
      <c r="K11" s="134" t="s">
        <v>327</v>
      </c>
      <c r="L11" s="134" t="s">
        <v>324</v>
      </c>
      <c r="M11" s="134" t="s">
        <v>327</v>
      </c>
      <c r="N11" s="134" t="s">
        <v>324</v>
      </c>
      <c r="O11" s="134" t="s">
        <v>326</v>
      </c>
      <c r="P11" s="135" t="s">
        <v>324</v>
      </c>
      <c r="Q11" s="134" t="s">
        <v>324</v>
      </c>
      <c r="R11" s="134" t="s">
        <v>324</v>
      </c>
      <c r="S11" s="134" t="s">
        <v>327</v>
      </c>
      <c r="T11" s="134" t="s">
        <v>327</v>
      </c>
      <c r="U11" s="135" t="s">
        <v>327</v>
      </c>
      <c r="V11" s="134" t="s">
        <v>324</v>
      </c>
      <c r="W11" s="134" t="s">
        <v>324</v>
      </c>
      <c r="X11" s="134" t="s">
        <v>324</v>
      </c>
      <c r="Y11" s="134" t="s">
        <v>324</v>
      </c>
      <c r="Z11" s="134" t="s">
        <v>324</v>
      </c>
      <c r="AA11" s="134" t="s">
        <v>324</v>
      </c>
      <c r="AB11" s="134" t="s">
        <v>324</v>
      </c>
      <c r="AC11" s="134" t="s">
        <v>324</v>
      </c>
      <c r="AD11" s="134" t="s">
        <v>327</v>
      </c>
      <c r="AE11" s="161"/>
      <c r="AF11" s="134" t="s">
        <v>324</v>
      </c>
      <c r="AG11" s="134" t="s">
        <v>324</v>
      </c>
      <c r="AH11" s="134" t="s">
        <v>324</v>
      </c>
      <c r="AI11" s="134" t="s">
        <v>324</v>
      </c>
      <c r="AJ11" s="134" t="s">
        <v>324</v>
      </c>
      <c r="AK11" s="134" t="s">
        <v>324</v>
      </c>
      <c r="AL11" s="161"/>
      <c r="AM11" s="134" t="s">
        <v>324</v>
      </c>
      <c r="AN11" s="134" t="s">
        <v>324</v>
      </c>
      <c r="AO11" s="134" t="s">
        <v>324</v>
      </c>
      <c r="AP11" s="161"/>
      <c r="AQ11" s="134" t="s">
        <v>324</v>
      </c>
      <c r="AR11" s="134" t="s">
        <v>324</v>
      </c>
      <c r="AS11" s="161"/>
      <c r="AT11" s="134" t="s">
        <v>324</v>
      </c>
      <c r="AU11" s="134" t="s">
        <v>327</v>
      </c>
      <c r="AV11" s="134" t="s">
        <v>327</v>
      </c>
      <c r="AW11" s="134" t="s">
        <v>324</v>
      </c>
      <c r="AX11" s="134" t="s">
        <v>324</v>
      </c>
      <c r="AY11" s="161"/>
      <c r="AZ11" s="134" t="s">
        <v>327</v>
      </c>
      <c r="BA11" s="134" t="s">
        <v>324</v>
      </c>
      <c r="BB11" s="134" t="s">
        <v>324</v>
      </c>
      <c r="BC11" s="134" t="s">
        <v>324</v>
      </c>
      <c r="BD11" s="134" t="s">
        <v>324</v>
      </c>
      <c r="BE11" s="134" t="s">
        <v>327</v>
      </c>
      <c r="BF11" s="134" t="s">
        <v>327</v>
      </c>
      <c r="BG11" s="134" t="s">
        <v>327</v>
      </c>
      <c r="BH11" s="134" t="s">
        <v>324</v>
      </c>
      <c r="BI11" s="135" t="s">
        <v>324</v>
      </c>
      <c r="BJ11" s="161"/>
      <c r="BK11" s="135" t="s">
        <v>324</v>
      </c>
      <c r="BL11" s="135" t="s">
        <v>324</v>
      </c>
      <c r="BM11" s="134" t="s">
        <v>324</v>
      </c>
      <c r="BN11" s="135" t="s">
        <v>324</v>
      </c>
      <c r="BO11" s="134" t="s">
        <v>327</v>
      </c>
      <c r="BP11" s="134" t="s">
        <v>324</v>
      </c>
      <c r="BQ11" s="134" t="s">
        <v>324</v>
      </c>
      <c r="BR11" s="134" t="s">
        <v>347</v>
      </c>
      <c r="BS11" s="134" t="s">
        <v>324</v>
      </c>
      <c r="BT11" s="134" t="s">
        <v>324</v>
      </c>
      <c r="BU11" s="134" t="s">
        <v>324</v>
      </c>
      <c r="BV11" s="134" t="s">
        <v>324</v>
      </c>
      <c r="BW11" s="134" t="s">
        <v>324</v>
      </c>
      <c r="BX11" s="134" t="s">
        <v>324</v>
      </c>
      <c r="BY11" s="134" t="s">
        <v>324</v>
      </c>
      <c r="BZ11" s="134" t="s">
        <v>324</v>
      </c>
      <c r="CA11" s="134" t="s">
        <v>324</v>
      </c>
      <c r="CB11" s="134" t="s">
        <v>327</v>
      </c>
      <c r="CC11" s="134" t="s">
        <v>327</v>
      </c>
      <c r="CD11" s="134" t="s">
        <v>324</v>
      </c>
      <c r="CE11" s="134" t="s">
        <v>324</v>
      </c>
      <c r="CF11" s="134" t="s">
        <v>324</v>
      </c>
      <c r="CG11" s="134"/>
      <c r="CH11" s="134"/>
      <c r="CI11" s="161"/>
      <c r="CJ11" s="134"/>
      <c r="CK11" s="134"/>
      <c r="CL11" s="134"/>
      <c r="CM11" s="134"/>
      <c r="CN11" s="134"/>
      <c r="CO11" s="134"/>
      <c r="CP11" s="134"/>
      <c r="CQ11" s="134"/>
      <c r="CR11" s="134"/>
      <c r="CS11" s="134" t="s">
        <v>324</v>
      </c>
    </row>
    <row r="12" spans="1:97" ht="15.75">
      <c r="A12" s="131" t="s">
        <v>348</v>
      </c>
      <c r="B12" s="132" t="s">
        <v>324</v>
      </c>
      <c r="C12" s="134" t="s">
        <v>327</v>
      </c>
      <c r="D12" s="134" t="s">
        <v>324</v>
      </c>
      <c r="E12" s="134" t="s">
        <v>324</v>
      </c>
      <c r="F12" s="134" t="s">
        <v>327</v>
      </c>
      <c r="G12" s="134" t="s">
        <v>327</v>
      </c>
      <c r="H12" s="134" t="s">
        <v>324</v>
      </c>
      <c r="I12" s="134" t="s">
        <v>327</v>
      </c>
      <c r="J12" s="134" t="s">
        <v>324</v>
      </c>
      <c r="K12" s="134" t="s">
        <v>327</v>
      </c>
      <c r="L12" s="134" t="s">
        <v>324</v>
      </c>
      <c r="M12" s="134" t="s">
        <v>327</v>
      </c>
      <c r="N12" s="134" t="s">
        <v>327</v>
      </c>
      <c r="O12" s="134" t="s">
        <v>326</v>
      </c>
      <c r="P12" s="135" t="s">
        <v>324</v>
      </c>
      <c r="Q12" s="134" t="s">
        <v>327</v>
      </c>
      <c r="R12" s="134" t="s">
        <v>327</v>
      </c>
      <c r="S12" s="134" t="s">
        <v>327</v>
      </c>
      <c r="T12" s="134" t="s">
        <v>327</v>
      </c>
      <c r="U12" s="135" t="s">
        <v>327</v>
      </c>
      <c r="V12" s="134" t="s">
        <v>327</v>
      </c>
      <c r="W12" s="134" t="s">
        <v>324</v>
      </c>
      <c r="X12" s="134" t="s">
        <v>327</v>
      </c>
      <c r="Y12" s="134" t="s">
        <v>327</v>
      </c>
      <c r="Z12" s="134" t="s">
        <v>324</v>
      </c>
      <c r="AA12" s="134" t="s">
        <v>327</v>
      </c>
      <c r="AB12" s="134" t="s">
        <v>327</v>
      </c>
      <c r="AC12" s="134" t="s">
        <v>324</v>
      </c>
      <c r="AD12" s="134" t="s">
        <v>327</v>
      </c>
      <c r="AE12" s="161"/>
      <c r="AF12" s="134" t="s">
        <v>327</v>
      </c>
      <c r="AG12" s="134" t="s">
        <v>327</v>
      </c>
      <c r="AH12" s="134" t="s">
        <v>327</v>
      </c>
      <c r="AI12" s="134" t="s">
        <v>327</v>
      </c>
      <c r="AJ12" s="134" t="s">
        <v>324</v>
      </c>
      <c r="AK12" s="134" t="s">
        <v>324</v>
      </c>
      <c r="AL12" s="161"/>
      <c r="AM12" s="134" t="s">
        <v>327</v>
      </c>
      <c r="AN12" s="134" t="s">
        <v>327</v>
      </c>
      <c r="AO12" s="134" t="s">
        <v>327</v>
      </c>
      <c r="AP12" s="161"/>
      <c r="AQ12" s="134" t="s">
        <v>327</v>
      </c>
      <c r="AR12" s="134" t="s">
        <v>327</v>
      </c>
      <c r="AS12" s="161"/>
      <c r="AT12" s="134" t="s">
        <v>327</v>
      </c>
      <c r="AU12" s="134" t="s">
        <v>327</v>
      </c>
      <c r="AV12" s="134" t="s">
        <v>324</v>
      </c>
      <c r="AW12" s="134" t="s">
        <v>324</v>
      </c>
      <c r="AX12" s="134" t="s">
        <v>327</v>
      </c>
      <c r="AY12" s="161"/>
      <c r="AZ12" s="134" t="s">
        <v>327</v>
      </c>
      <c r="BA12" s="134" t="s">
        <v>327</v>
      </c>
      <c r="BB12" s="134" t="s">
        <v>327</v>
      </c>
      <c r="BC12" s="134" t="s">
        <v>324</v>
      </c>
      <c r="BD12" s="134" t="s">
        <v>327</v>
      </c>
      <c r="BE12" s="134" t="s">
        <v>324</v>
      </c>
      <c r="BF12" s="134" t="s">
        <v>327</v>
      </c>
      <c r="BG12" s="134" t="s">
        <v>327</v>
      </c>
      <c r="BH12" s="134" t="s">
        <v>324</v>
      </c>
      <c r="BI12" s="135" t="s">
        <v>327</v>
      </c>
      <c r="BJ12" s="161"/>
      <c r="BK12" s="135" t="s">
        <v>327</v>
      </c>
      <c r="BL12" s="135" t="s">
        <v>327</v>
      </c>
      <c r="BM12" s="134" t="s">
        <v>324</v>
      </c>
      <c r="BN12" s="135" t="s">
        <v>327</v>
      </c>
      <c r="BO12" s="134" t="s">
        <v>327</v>
      </c>
      <c r="BP12" s="134" t="s">
        <v>327</v>
      </c>
      <c r="BQ12" s="134" t="s">
        <v>327</v>
      </c>
      <c r="BR12" s="134" t="s">
        <v>324</v>
      </c>
      <c r="BS12" s="134" t="s">
        <v>327</v>
      </c>
      <c r="BT12" s="134" t="s">
        <v>327</v>
      </c>
      <c r="BU12" s="134" t="s">
        <v>324</v>
      </c>
      <c r="BV12" s="134" t="s">
        <v>324</v>
      </c>
      <c r="BW12" s="134" t="s">
        <v>327</v>
      </c>
      <c r="BX12" s="134" t="s">
        <v>327</v>
      </c>
      <c r="BY12" s="134" t="s">
        <v>324</v>
      </c>
      <c r="BZ12" s="134" t="s">
        <v>327</v>
      </c>
      <c r="CA12" s="134" t="s">
        <v>327</v>
      </c>
      <c r="CB12" s="134" t="s">
        <v>324</v>
      </c>
      <c r="CC12" s="134" t="s">
        <v>327</v>
      </c>
      <c r="CD12" s="134" t="s">
        <v>327</v>
      </c>
      <c r="CE12" s="134" t="s">
        <v>324</v>
      </c>
      <c r="CF12" s="134" t="s">
        <v>327</v>
      </c>
      <c r="CG12" s="134"/>
      <c r="CH12" s="134"/>
      <c r="CI12" s="161"/>
      <c r="CJ12" s="134"/>
      <c r="CK12" s="134"/>
      <c r="CL12" s="134"/>
      <c r="CM12" s="134"/>
      <c r="CN12" s="134"/>
      <c r="CO12" s="134"/>
      <c r="CP12" s="134"/>
      <c r="CQ12" s="134"/>
      <c r="CR12" s="134"/>
      <c r="CS12" s="134" t="s">
        <v>327</v>
      </c>
    </row>
    <row r="13" spans="1:97" ht="15.75">
      <c r="A13" s="131" t="s">
        <v>349</v>
      </c>
      <c r="B13" s="132" t="s">
        <v>324</v>
      </c>
      <c r="C13" s="134" t="s">
        <v>327</v>
      </c>
      <c r="D13" s="134" t="s">
        <v>327</v>
      </c>
      <c r="E13" s="134" t="s">
        <v>327</v>
      </c>
      <c r="F13" s="134" t="s">
        <v>327</v>
      </c>
      <c r="G13" s="134" t="s">
        <v>327</v>
      </c>
      <c r="H13" s="134" t="s">
        <v>327</v>
      </c>
      <c r="I13" s="134" t="s">
        <v>327</v>
      </c>
      <c r="J13" s="134" t="s">
        <v>324</v>
      </c>
      <c r="K13" s="134" t="s">
        <v>327</v>
      </c>
      <c r="L13" s="134" t="s">
        <v>327</v>
      </c>
      <c r="M13" s="134" t="s">
        <v>324</v>
      </c>
      <c r="N13" s="134" t="s">
        <v>327</v>
      </c>
      <c r="O13" s="134" t="s">
        <v>326</v>
      </c>
      <c r="P13" s="135" t="s">
        <v>327</v>
      </c>
      <c r="Q13" s="134" t="s">
        <v>327</v>
      </c>
      <c r="R13" s="134" t="s">
        <v>327</v>
      </c>
      <c r="S13" s="134" t="s">
        <v>327</v>
      </c>
      <c r="T13" s="134" t="s">
        <v>327</v>
      </c>
      <c r="U13" s="135" t="s">
        <v>327</v>
      </c>
      <c r="V13" s="134" t="s">
        <v>324</v>
      </c>
      <c r="W13" s="134" t="s">
        <v>327</v>
      </c>
      <c r="X13" s="134" t="s">
        <v>327</v>
      </c>
      <c r="Y13" s="134" t="s">
        <v>327</v>
      </c>
      <c r="Z13" s="134" t="s">
        <v>327</v>
      </c>
      <c r="AA13" s="134" t="s">
        <v>327</v>
      </c>
      <c r="AB13" s="134" t="s">
        <v>327</v>
      </c>
      <c r="AC13" s="134" t="s">
        <v>324</v>
      </c>
      <c r="AD13" s="134" t="s">
        <v>327</v>
      </c>
      <c r="AE13" s="162"/>
      <c r="AF13" s="134" t="s">
        <v>327</v>
      </c>
      <c r="AG13" s="134" t="s">
        <v>327</v>
      </c>
      <c r="AH13" s="134" t="s">
        <v>327</v>
      </c>
      <c r="AI13" s="134" t="s">
        <v>324</v>
      </c>
      <c r="AJ13" s="134" t="s">
        <v>327</v>
      </c>
      <c r="AK13" s="134" t="s">
        <v>327</v>
      </c>
      <c r="AL13" s="162"/>
      <c r="AM13" s="134" t="s">
        <v>327</v>
      </c>
      <c r="AN13" s="134" t="s">
        <v>327</v>
      </c>
      <c r="AO13" s="134" t="s">
        <v>327</v>
      </c>
      <c r="AP13" s="162"/>
      <c r="AQ13" s="134" t="s">
        <v>327</v>
      </c>
      <c r="AR13" s="134" t="s">
        <v>327</v>
      </c>
      <c r="AS13" s="162"/>
      <c r="AT13" s="134" t="s">
        <v>327</v>
      </c>
      <c r="AU13" s="134" t="s">
        <v>327</v>
      </c>
      <c r="AV13" s="134" t="s">
        <v>327</v>
      </c>
      <c r="AW13" s="134" t="s">
        <v>327</v>
      </c>
      <c r="AX13" s="134" t="s">
        <v>327</v>
      </c>
      <c r="AY13" s="162"/>
      <c r="AZ13" s="134" t="s">
        <v>327</v>
      </c>
      <c r="BA13" s="134" t="s">
        <v>327</v>
      </c>
      <c r="BB13" s="134" t="s">
        <v>327</v>
      </c>
      <c r="BC13" s="134" t="s">
        <v>327</v>
      </c>
      <c r="BD13" s="134" t="s">
        <v>327</v>
      </c>
      <c r="BE13" s="134" t="s">
        <v>327</v>
      </c>
      <c r="BF13" s="134" t="s">
        <v>327</v>
      </c>
      <c r="BG13" s="134" t="s">
        <v>327</v>
      </c>
      <c r="BH13" s="134" t="s">
        <v>327</v>
      </c>
      <c r="BI13" s="135" t="s">
        <v>327</v>
      </c>
      <c r="BJ13" s="162"/>
      <c r="BK13" s="135" t="s">
        <v>327</v>
      </c>
      <c r="BL13" s="135" t="s">
        <v>327</v>
      </c>
      <c r="BM13" s="134" t="s">
        <v>327</v>
      </c>
      <c r="BN13" s="135" t="s">
        <v>327</v>
      </c>
      <c r="BO13" s="134" t="s">
        <v>327</v>
      </c>
      <c r="BP13" s="134" t="s">
        <v>327</v>
      </c>
      <c r="BQ13" s="134" t="s">
        <v>327</v>
      </c>
      <c r="BR13" s="134" t="s">
        <v>347</v>
      </c>
      <c r="BS13" s="134" t="s">
        <v>327</v>
      </c>
      <c r="BT13" s="134" t="s">
        <v>327</v>
      </c>
      <c r="BU13" s="134" t="s">
        <v>327</v>
      </c>
      <c r="BV13" s="134" t="s">
        <v>327</v>
      </c>
      <c r="BW13" s="134" t="s">
        <v>327</v>
      </c>
      <c r="BX13" s="134" t="s">
        <v>327</v>
      </c>
      <c r="BY13" s="134" t="s">
        <v>327</v>
      </c>
      <c r="BZ13" s="134" t="s">
        <v>327</v>
      </c>
      <c r="CA13" s="134" t="s">
        <v>327</v>
      </c>
      <c r="CB13" s="134" t="s">
        <v>327</v>
      </c>
      <c r="CC13" s="134" t="s">
        <v>327</v>
      </c>
      <c r="CD13" s="134" t="s">
        <v>324</v>
      </c>
      <c r="CE13" s="134" t="s">
        <v>324</v>
      </c>
      <c r="CF13" s="134" t="s">
        <v>324</v>
      </c>
      <c r="CG13" s="134"/>
      <c r="CH13" s="134"/>
      <c r="CI13" s="162"/>
      <c r="CJ13" s="134"/>
      <c r="CK13" s="134"/>
      <c r="CL13" s="134"/>
      <c r="CM13" s="134"/>
      <c r="CN13" s="134"/>
      <c r="CO13" s="134"/>
      <c r="CP13" s="134"/>
      <c r="CQ13" s="134"/>
      <c r="CR13" s="134"/>
      <c r="CS13" s="134" t="s">
        <v>327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8" t="s">
        <v>350</v>
      </c>
      <c r="B1" s="138" t="s">
        <v>2</v>
      </c>
      <c r="C1" s="138" t="s">
        <v>4</v>
      </c>
      <c r="D1" s="138" t="s">
        <v>5</v>
      </c>
      <c r="E1" s="139" t="s">
        <v>8</v>
      </c>
      <c r="F1" s="139" t="s">
        <v>9</v>
      </c>
      <c r="G1" s="140" t="s">
        <v>10</v>
      </c>
      <c r="H1" s="139" t="s">
        <v>11</v>
      </c>
      <c r="I1" s="141" t="s">
        <v>262</v>
      </c>
      <c r="J1" s="142" t="s">
        <v>351</v>
      </c>
      <c r="K1" s="143" t="s">
        <v>352</v>
      </c>
      <c r="L1" s="141" t="s">
        <v>353</v>
      </c>
      <c r="M1" s="144"/>
      <c r="N1" s="144"/>
      <c r="O1" s="144"/>
      <c r="P1" s="144"/>
      <c r="Q1" s="144"/>
      <c r="R1" s="144"/>
      <c r="S1" s="144"/>
      <c r="T1" s="144"/>
      <c r="U1" s="144"/>
      <c r="V1" s="144"/>
      <c r="W1" s="144"/>
      <c r="X1" s="144"/>
      <c r="Y1" s="144"/>
      <c r="Z1" s="144"/>
    </row>
    <row r="2" spans="1:26" ht="38.25">
      <c r="A2" s="145" t="s">
        <v>354</v>
      </c>
      <c r="B2" s="146" t="s">
        <v>355</v>
      </c>
      <c r="C2" s="147"/>
      <c r="D2" s="147" t="s">
        <v>22</v>
      </c>
      <c r="E2" s="148">
        <v>45567</v>
      </c>
      <c r="F2" s="148">
        <v>45567</v>
      </c>
      <c r="G2" s="148">
        <v>45568</v>
      </c>
      <c r="H2" s="148">
        <v>45569</v>
      </c>
      <c r="I2" s="149">
        <f ca="1">IF(ISBLANK(H2), NETWORKDAYS(F2, TODAY(),Hoja2!$A$1:$A$18), NETWORKDAYS(F2, H2, Hoja2!$A$1:$A$18))</f>
        <v>3</v>
      </c>
      <c r="J2" s="148">
        <v>45572</v>
      </c>
      <c r="K2" s="150"/>
      <c r="L2" s="151" t="s">
        <v>356</v>
      </c>
      <c r="M2" s="144"/>
      <c r="N2" s="144"/>
      <c r="O2" s="144"/>
      <c r="P2" s="144"/>
      <c r="Q2" s="144"/>
      <c r="R2" s="144"/>
      <c r="S2" s="144"/>
      <c r="T2" s="144"/>
      <c r="U2" s="144"/>
      <c r="V2" s="144"/>
      <c r="W2" s="144"/>
      <c r="X2" s="144"/>
      <c r="Y2" s="144"/>
      <c r="Z2" s="144"/>
    </row>
    <row r="3" spans="1:26" ht="51">
      <c r="A3" s="145" t="s">
        <v>343</v>
      </c>
      <c r="B3" s="163" t="s">
        <v>357</v>
      </c>
      <c r="C3" s="152" t="s">
        <v>358</v>
      </c>
      <c r="D3" s="147" t="s">
        <v>359</v>
      </c>
      <c r="E3" s="148">
        <v>45575</v>
      </c>
      <c r="F3" s="148"/>
      <c r="G3" s="148"/>
      <c r="H3" s="150">
        <v>0</v>
      </c>
      <c r="I3" s="149">
        <f ca="1">IF(ISBLANK(H3), NETWORKDAYS(F3, TODAY(),Hoja2!$A$1:$A$18), NETWORKDAYS(F3, H3, Hoja2!$A$1:$A$18))</f>
        <v>0</v>
      </c>
      <c r="J3" s="148">
        <v>45569</v>
      </c>
      <c r="K3" s="148"/>
      <c r="L3" s="151" t="s">
        <v>360</v>
      </c>
      <c r="M3" s="153"/>
      <c r="N3" s="144"/>
      <c r="O3" s="144"/>
      <c r="P3" s="144"/>
      <c r="Q3" s="144"/>
      <c r="R3" s="144"/>
      <c r="S3" s="144"/>
      <c r="T3" s="144"/>
      <c r="U3" s="144"/>
      <c r="V3" s="144"/>
      <c r="W3" s="144"/>
      <c r="X3" s="144"/>
      <c r="Y3" s="144"/>
      <c r="Z3" s="144"/>
    </row>
    <row r="4" spans="1:26" ht="51">
      <c r="A4" s="145" t="s">
        <v>343</v>
      </c>
      <c r="B4" s="161"/>
      <c r="C4" s="154" t="s">
        <v>361</v>
      </c>
      <c r="D4" s="147" t="s">
        <v>359</v>
      </c>
      <c r="E4" s="148">
        <v>45575</v>
      </c>
      <c r="F4" s="155"/>
      <c r="G4" s="155"/>
      <c r="H4" s="156">
        <v>0</v>
      </c>
      <c r="I4" s="157">
        <f ca="1">IF(ISBLANK(H4), NETWORKDAYS(F4, TODAY(),Hoja2!$A$1:$A$18), NETWORKDAYS(F4, H4, Hoja2!$A$1:$A$18))</f>
        <v>0</v>
      </c>
      <c r="J4" s="155">
        <v>45569</v>
      </c>
      <c r="K4" s="155"/>
      <c r="L4" s="158" t="s">
        <v>362</v>
      </c>
      <c r="M4" s="153"/>
      <c r="N4" s="144"/>
      <c r="O4" s="144"/>
      <c r="P4" s="144"/>
      <c r="Q4" s="144"/>
      <c r="R4" s="144"/>
      <c r="S4" s="144"/>
      <c r="T4" s="144"/>
      <c r="U4" s="144"/>
      <c r="V4" s="144"/>
      <c r="W4" s="144"/>
      <c r="X4" s="144"/>
      <c r="Y4" s="144"/>
      <c r="Z4" s="144"/>
    </row>
    <row r="5" spans="1:26" ht="51">
      <c r="A5" s="145" t="s">
        <v>343</v>
      </c>
      <c r="B5" s="141" t="s">
        <v>363</v>
      </c>
      <c r="C5" s="147" t="s">
        <v>364</v>
      </c>
      <c r="D5" s="147" t="s">
        <v>359</v>
      </c>
      <c r="E5" s="148">
        <v>45575</v>
      </c>
      <c r="F5" s="148"/>
      <c r="G5" s="148"/>
      <c r="H5" s="150">
        <v>0</v>
      </c>
      <c r="I5" s="149">
        <f ca="1">IF(ISBLANK(H5), NETWORKDAYS(F5, TODAY(),Hoja2!$A$1:$A$18), NETWORKDAYS(F5, H5, Hoja2!$A$1:$A$18))</f>
        <v>0</v>
      </c>
      <c r="J5" s="148">
        <v>45569</v>
      </c>
      <c r="K5" s="148"/>
      <c r="L5" s="151" t="s">
        <v>362</v>
      </c>
      <c r="M5" s="153"/>
      <c r="N5" s="144"/>
      <c r="O5" s="144"/>
      <c r="P5" s="144"/>
      <c r="Q5" s="144"/>
      <c r="R5" s="144"/>
      <c r="S5" s="144"/>
      <c r="T5" s="144"/>
      <c r="U5" s="144"/>
      <c r="V5" s="144"/>
      <c r="W5" s="144"/>
      <c r="X5" s="144"/>
      <c r="Y5" s="144"/>
      <c r="Z5" s="144"/>
    </row>
    <row r="6" spans="1:26">
      <c r="A6" s="159"/>
      <c r="B6" s="159"/>
      <c r="C6" s="159"/>
      <c r="D6" s="159"/>
      <c r="E6" s="159"/>
      <c r="F6" s="159"/>
      <c r="G6" s="159"/>
      <c r="H6" s="159"/>
      <c r="I6" s="159"/>
      <c r="J6" s="159"/>
      <c r="K6" s="159"/>
      <c r="L6" s="159"/>
      <c r="M6" s="159"/>
      <c r="N6" s="159"/>
      <c r="O6" s="159"/>
      <c r="P6" s="159"/>
      <c r="Q6" s="159"/>
      <c r="R6" s="159"/>
      <c r="S6" s="159"/>
      <c r="T6" s="159"/>
      <c r="U6" s="159"/>
      <c r="V6" s="159"/>
      <c r="W6" s="159"/>
      <c r="X6" s="159"/>
      <c r="Y6" s="159"/>
      <c r="Z6" s="159"/>
    </row>
    <row r="7" spans="1:26">
      <c r="A7" s="159"/>
      <c r="B7" s="159"/>
      <c r="C7" s="159"/>
      <c r="D7" s="159"/>
      <c r="E7" s="159"/>
      <c r="F7" s="159"/>
      <c r="G7" s="159"/>
      <c r="H7" s="159"/>
      <c r="I7" s="159"/>
      <c r="J7" s="159"/>
      <c r="K7" s="159"/>
      <c r="L7" s="159"/>
      <c r="M7" s="159"/>
      <c r="N7" s="159"/>
      <c r="O7" s="159"/>
      <c r="P7" s="159"/>
      <c r="Q7" s="159"/>
      <c r="R7" s="159"/>
      <c r="S7" s="159"/>
      <c r="T7" s="159"/>
      <c r="U7" s="159"/>
      <c r="V7" s="159"/>
      <c r="W7" s="159"/>
      <c r="X7" s="159"/>
      <c r="Y7" s="159"/>
      <c r="Z7" s="159"/>
    </row>
    <row r="8" spans="1:26">
      <c r="A8" s="159"/>
      <c r="B8" s="159"/>
      <c r="C8" s="159"/>
      <c r="D8" s="159"/>
      <c r="E8" s="159"/>
      <c r="F8" s="159"/>
      <c r="G8" s="159"/>
      <c r="H8" s="159"/>
      <c r="I8" s="159"/>
      <c r="J8" s="159"/>
      <c r="K8" s="159"/>
      <c r="L8" s="159"/>
      <c r="M8" s="159"/>
      <c r="N8" s="159"/>
      <c r="O8" s="159"/>
      <c r="P8" s="159"/>
      <c r="Q8" s="159"/>
      <c r="R8" s="159"/>
      <c r="S8" s="159"/>
      <c r="T8" s="159"/>
      <c r="U8" s="159"/>
      <c r="V8" s="159"/>
      <c r="W8" s="159"/>
      <c r="X8" s="159"/>
      <c r="Y8" s="159"/>
      <c r="Z8" s="159"/>
    </row>
    <row r="9" spans="1:26">
      <c r="A9" s="159"/>
      <c r="B9" s="159"/>
      <c r="C9" s="159"/>
      <c r="D9" s="159"/>
      <c r="E9" s="159"/>
      <c r="F9" s="159"/>
      <c r="G9" s="159"/>
      <c r="H9" s="159"/>
      <c r="I9" s="159"/>
      <c r="J9" s="159"/>
      <c r="K9" s="159"/>
      <c r="L9" s="159"/>
      <c r="M9" s="159"/>
      <c r="N9" s="159"/>
      <c r="O9" s="159"/>
      <c r="P9" s="159"/>
      <c r="Q9" s="159"/>
      <c r="R9" s="159"/>
      <c r="S9" s="159"/>
      <c r="T9" s="159"/>
      <c r="U9" s="159"/>
      <c r="V9" s="159"/>
      <c r="W9" s="159"/>
      <c r="X9" s="159"/>
      <c r="Y9" s="159"/>
      <c r="Z9" s="159"/>
    </row>
    <row r="10" spans="1:26">
      <c r="A10" s="159"/>
      <c r="B10" s="159"/>
      <c r="C10" s="159"/>
      <c r="D10" s="159"/>
      <c r="E10" s="159"/>
      <c r="F10" s="159"/>
      <c r="G10" s="159"/>
      <c r="H10" s="159"/>
      <c r="I10" s="159"/>
      <c r="J10" s="159"/>
      <c r="K10" s="159"/>
      <c r="L10" s="159"/>
      <c r="M10" s="159"/>
      <c r="N10" s="159"/>
      <c r="O10" s="159"/>
      <c r="P10" s="159"/>
      <c r="Q10" s="159"/>
      <c r="R10" s="159"/>
      <c r="S10" s="159"/>
      <c r="T10" s="159"/>
      <c r="U10" s="159"/>
      <c r="V10" s="159"/>
      <c r="W10" s="159"/>
      <c r="X10" s="159"/>
      <c r="Y10" s="159"/>
      <c r="Z10" s="159"/>
    </row>
    <row r="11" spans="1:26">
      <c r="A11" s="159"/>
      <c r="B11" s="159"/>
      <c r="C11" s="159"/>
      <c r="D11" s="159"/>
      <c r="E11" s="159"/>
      <c r="F11" s="159"/>
      <c r="G11" s="159"/>
      <c r="H11" s="159"/>
      <c r="I11" s="159"/>
      <c r="J11" s="159"/>
      <c r="K11" s="159"/>
      <c r="L11" s="159"/>
      <c r="M11" s="159"/>
      <c r="N11" s="159"/>
      <c r="O11" s="159"/>
      <c r="P11" s="159"/>
      <c r="Q11" s="159"/>
      <c r="R11" s="159"/>
      <c r="S11" s="159"/>
      <c r="T11" s="159"/>
      <c r="U11" s="159"/>
      <c r="V11" s="159"/>
      <c r="W11" s="159"/>
      <c r="X11" s="159"/>
      <c r="Y11" s="159"/>
      <c r="Z11" s="159"/>
    </row>
    <row r="12" spans="1:26">
      <c r="A12" s="159"/>
      <c r="B12" s="159"/>
      <c r="C12" s="159"/>
      <c r="D12" s="159"/>
      <c r="E12" s="159"/>
      <c r="F12" s="159"/>
      <c r="G12" s="159"/>
      <c r="H12" s="159"/>
      <c r="I12" s="159"/>
      <c r="J12" s="159"/>
      <c r="K12" s="159"/>
      <c r="L12" s="159"/>
      <c r="M12" s="159"/>
      <c r="N12" s="159"/>
      <c r="O12" s="159"/>
      <c r="P12" s="159"/>
      <c r="Q12" s="159"/>
      <c r="R12" s="159"/>
      <c r="S12" s="159"/>
      <c r="T12" s="159"/>
      <c r="U12" s="159"/>
      <c r="V12" s="159"/>
      <c r="W12" s="159"/>
      <c r="X12" s="159"/>
      <c r="Y12" s="159"/>
      <c r="Z12" s="159"/>
    </row>
    <row r="13" spans="1:26">
      <c r="A13" s="159"/>
      <c r="B13" s="159"/>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row>
    <row r="14" spans="1:26">
      <c r="A14" s="159"/>
      <c r="B14" s="159"/>
      <c r="C14" s="159"/>
      <c r="D14" s="159"/>
      <c r="E14" s="159"/>
      <c r="F14" s="159"/>
      <c r="G14" s="159"/>
      <c r="H14" s="159"/>
      <c r="I14" s="159"/>
      <c r="J14" s="159"/>
      <c r="K14" s="159"/>
      <c r="L14" s="159"/>
      <c r="M14" s="159"/>
      <c r="N14" s="159"/>
      <c r="O14" s="159"/>
      <c r="P14" s="159"/>
      <c r="Q14" s="159"/>
      <c r="R14" s="159"/>
      <c r="S14" s="159"/>
      <c r="T14" s="159"/>
      <c r="U14" s="159"/>
      <c r="V14" s="159"/>
      <c r="W14" s="159"/>
      <c r="X14" s="159"/>
      <c r="Y14" s="159"/>
      <c r="Z14" s="159"/>
    </row>
    <row r="15" spans="1:26">
      <c r="A15" s="159"/>
      <c r="B15" s="159"/>
      <c r="C15" s="159"/>
      <c r="D15" s="159"/>
      <c r="E15" s="159"/>
      <c r="F15" s="159"/>
      <c r="G15" s="159"/>
      <c r="H15" s="159"/>
      <c r="I15" s="159"/>
      <c r="J15" s="159"/>
      <c r="K15" s="159"/>
      <c r="L15" s="159"/>
      <c r="M15" s="159"/>
      <c r="N15" s="159"/>
      <c r="O15" s="159"/>
      <c r="P15" s="159"/>
      <c r="Q15" s="159"/>
      <c r="R15" s="159"/>
      <c r="S15" s="159"/>
      <c r="T15" s="159"/>
      <c r="U15" s="159"/>
      <c r="V15" s="159"/>
      <c r="W15" s="159"/>
      <c r="X15" s="159"/>
      <c r="Y15" s="159"/>
      <c r="Z15" s="159"/>
    </row>
    <row r="16" spans="1:26">
      <c r="A16" s="159"/>
      <c r="B16" s="159"/>
      <c r="C16" s="159"/>
      <c r="D16" s="159"/>
      <c r="E16" s="159"/>
      <c r="F16" s="159"/>
      <c r="G16" s="159"/>
      <c r="H16" s="159"/>
      <c r="I16" s="159"/>
      <c r="J16" s="159"/>
      <c r="K16" s="159"/>
      <c r="L16" s="159"/>
      <c r="M16" s="159"/>
      <c r="N16" s="159"/>
      <c r="O16" s="159"/>
      <c r="P16" s="159"/>
      <c r="Q16" s="159"/>
      <c r="R16" s="159"/>
      <c r="S16" s="159"/>
      <c r="T16" s="159"/>
      <c r="U16" s="159"/>
      <c r="V16" s="159"/>
      <c r="W16" s="159"/>
      <c r="X16" s="159"/>
      <c r="Y16" s="159"/>
      <c r="Z16" s="159"/>
    </row>
    <row r="17" spans="1:26">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spans="1:26">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spans="1:26">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spans="1:26">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spans="1:26" ht="15.75" customHeight="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spans="1:26" ht="15.75" customHeight="1">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spans="1:26" ht="15.75" customHeight="1">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spans="1:26" ht="15.75" customHeight="1">
      <c r="A24" s="159"/>
      <c r="B24" s="159"/>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spans="1:26" ht="15.75" customHeight="1">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spans="1:26" ht="15.75" customHeight="1">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spans="1:26" ht="15.75" customHeight="1">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spans="1:26" ht="15.75" customHeight="1">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spans="1:26" ht="15.75" customHeight="1">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spans="1:26" ht="15.75" customHeight="1">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spans="1:26" ht="15.75" customHeight="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spans="1:26" ht="15.75" customHeight="1">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spans="1:26" ht="15.75" customHeight="1">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spans="1:26" ht="15.75" customHeight="1">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spans="1:26" ht="15.75" customHeight="1">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spans="1:26" ht="15.75" customHeight="1">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spans="1:26" ht="15.75" customHeight="1">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spans="1:26" ht="15.75" customHeight="1">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spans="1:26" ht="15.75" customHeight="1">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spans="1:26" ht="15.75" customHeight="1">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spans="1:26" ht="15.75" customHeight="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spans="1:26" ht="15.75" customHeight="1">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spans="1:26" ht="15.75" customHeight="1">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spans="1:26" ht="15.75" customHeight="1">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spans="1:26" ht="15.75" customHeight="1">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spans="1:26" ht="15.75" customHeight="1">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spans="1:26" ht="15.75" customHeight="1">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spans="1:26" ht="15.75" customHeight="1">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spans="1:26" ht="15.75" customHeight="1">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spans="1:26" ht="15.75" customHeight="1">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spans="1:26" ht="15.75" customHeight="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spans="1:26" ht="15.75" customHeight="1">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spans="1:26" ht="15.75" customHeight="1">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spans="1:26" ht="15.75" customHeight="1">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spans="1:26" ht="15.75" customHeight="1">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spans="1:26" ht="15.75" customHeight="1">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spans="1:26" ht="15.75" customHeight="1">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spans="1:26" ht="15.75" customHeight="1">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spans="1:26" ht="15.75" customHeight="1">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spans="1:26" ht="15.75" customHeight="1">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spans="1:26" ht="15.75" customHeight="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spans="1:26" ht="15.75" customHeight="1">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spans="1:26" ht="15.75" customHeight="1">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spans="1:26" ht="15.75" customHeight="1">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spans="1:26" ht="15.75" customHeight="1">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spans="1:26" ht="15.75" customHeight="1">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spans="1:26" ht="15.75" customHeight="1">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spans="1:26" ht="15.75" customHeight="1">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spans="1:26" ht="15.75" customHeight="1">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spans="1:26" ht="15.75" customHeight="1">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spans="1:26" ht="15.75" customHeight="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spans="1:26" ht="15.75" customHeight="1">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spans="1:26" ht="15.75" customHeight="1">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spans="1:26" ht="15.75" customHeight="1">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spans="1:26" ht="15.75" customHeight="1">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spans="1:26" ht="15.75" customHeight="1">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spans="1:26" ht="15.75" customHeight="1">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spans="1:26" ht="15.75" customHeight="1">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spans="1:26" ht="15.75" customHeight="1">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spans="1:26" ht="15.75" customHeight="1">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spans="1:26" ht="15.75" customHeight="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spans="1:26" ht="15.75" customHeight="1">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spans="1:26" ht="15.75" customHeight="1">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spans="1:26" ht="15.75" customHeight="1">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spans="1:26" ht="15.75" customHeight="1">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spans="1:26" ht="15.75" customHeight="1">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spans="1:26" ht="15.75" customHeight="1">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spans="1:26" ht="15.75" customHeight="1">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spans="1:26" ht="15.75" customHeight="1">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spans="1:26" ht="15.75" customHeight="1">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spans="1:26" ht="15.75" customHeight="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spans="1:26" ht="15.75" customHeight="1">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spans="1:26" ht="15.75" customHeight="1">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spans="1:26" ht="15.75" customHeight="1">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spans="1:26" ht="15.75" customHeight="1">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spans="1:26" ht="15.75" customHeight="1">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spans="1:26" ht="15.75" customHeight="1">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spans="1:26" ht="15.75" customHeight="1">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spans="1:26" ht="15.75" customHeight="1">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spans="1:26" ht="15.75" customHeight="1">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spans="1:26" ht="15.75" customHeight="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spans="1:26" ht="15.75" customHeight="1">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spans="1:26" ht="15.75" customHeight="1">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spans="1:26" ht="15.75" customHeight="1">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spans="1:26" ht="15.75" customHeight="1">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spans="1:26" ht="15.75" customHeight="1">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spans="1:26" ht="15.75" customHeight="1">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spans="1:26" ht="15.75" customHeight="1">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spans="1:26" ht="15.75" customHeight="1">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spans="1:26" ht="15.75" customHeight="1">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spans="1:26" ht="15.75" customHeight="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spans="1:26" ht="15.75" customHeight="1">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spans="1:26" ht="15.75" customHeight="1">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spans="1:26" ht="15.75" customHeight="1">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spans="1:26" ht="15.75" customHeight="1">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spans="1:26" ht="15.75" customHeight="1">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spans="1:26" ht="15.75" customHeight="1">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spans="1:26" ht="15.75" customHeight="1">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spans="1:26" ht="15.75" customHeight="1">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spans="1:26" ht="15.75" customHeight="1">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spans="1:26" ht="15.75" customHeight="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spans="1:26" ht="15.75" customHeight="1">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spans="1:26" ht="15.75" customHeight="1">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spans="1:26" ht="15.75" customHeight="1">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spans="1:26" ht="15.75" customHeight="1">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spans="1:26" ht="15.75" customHeight="1">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spans="1:26" ht="15.75" customHeight="1">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spans="1:26" ht="15.75" customHeight="1">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spans="1:26" ht="15.75" customHeight="1">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spans="1:26" ht="15.75" customHeight="1">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spans="1:26" ht="15.75" customHeight="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spans="1:26" ht="15.75" customHeight="1">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spans="1:26" ht="15.75" customHeight="1">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spans="1:26" ht="15.75" customHeight="1">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spans="1:26" ht="15.75" customHeight="1">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spans="1:26" ht="15.75" customHeight="1">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spans="1:26" ht="15.75" customHeight="1">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spans="1:26" ht="15.75" customHeight="1">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spans="1:26" ht="15.75" customHeight="1">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spans="1:26" ht="15.75" customHeight="1">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spans="1:26" ht="15.75" customHeight="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spans="1:26" ht="15.75" customHeight="1">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spans="1:26" ht="15.75" customHeight="1">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spans="1:26" ht="15.75" customHeight="1">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spans="1:26" ht="15.75" customHeight="1">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spans="1:26" ht="15.75" customHeight="1">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spans="1:26" ht="15.75" customHeight="1">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spans="1:26" ht="15.75" customHeight="1">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spans="1:26" ht="15.75" customHeight="1">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spans="1:26" ht="15.75" customHeight="1">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spans="1:26" ht="15.75" customHeight="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spans="1:26" ht="15.75" customHeight="1">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spans="1:26" ht="15.75" customHeight="1">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spans="1:26" ht="15.75" customHeight="1">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spans="1:26" ht="15.75" customHeight="1">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spans="1:26" ht="15.75" customHeight="1">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spans="1:26" ht="15.75" customHeight="1">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spans="1:26" ht="15.75" customHeight="1">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spans="1:26" ht="15.75" customHeight="1">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spans="1:26" ht="15.75" customHeight="1">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spans="1:26" ht="15.75" customHeight="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spans="1:26" ht="15.75" customHeight="1">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spans="1:26" ht="15.75" customHeight="1">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spans="1:26" ht="15.75" customHeight="1">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spans="1:26" ht="15.75" customHeight="1">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spans="1:26" ht="15.75" customHeight="1">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spans="1:26" ht="15.75" customHeight="1">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spans="1:26" ht="15.75" customHeight="1">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spans="1:26" ht="15.75" customHeight="1">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spans="1:26" ht="15.75" customHeight="1">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spans="1:26" ht="15.75" customHeight="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spans="1:26" ht="15.75" customHeight="1">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spans="1:26" ht="15.75" customHeight="1">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spans="1:26" ht="15.75" customHeight="1">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spans="1:26" ht="15.75" customHeight="1">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spans="1:26" ht="15.75" customHeight="1">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spans="1:26" ht="15.75" customHeight="1">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spans="1:26" ht="15.75" customHeight="1">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spans="1:26" ht="15.75" customHeight="1">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spans="1:26" ht="15.75" customHeight="1">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spans="1:26" ht="15.75" customHeight="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spans="1:26" ht="15.75" customHeight="1">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spans="1:26" ht="15.75" customHeight="1">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spans="1:26" ht="15.75" customHeight="1">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spans="1:26" ht="15.75" customHeight="1">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spans="1:26" ht="15.75" customHeight="1">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spans="1:26" ht="15.75" customHeight="1">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spans="1:26" ht="15.75" customHeight="1">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spans="1:26" ht="15.75" customHeight="1">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spans="1:26" ht="15.75" customHeight="1">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spans="1:26" ht="15.75" customHeight="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spans="1:26" ht="15.75" customHeight="1">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spans="1:26" ht="15.75" customHeight="1">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spans="1:26" ht="15.75" customHeight="1">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spans="1:26" ht="15.75" customHeight="1">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spans="1:26" ht="15.75" customHeight="1">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spans="1:26" ht="15.75" customHeight="1">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spans="1:26" ht="15.75" customHeight="1">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spans="1:26" ht="15.75" customHeight="1">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spans="1:26" ht="15.75" customHeight="1">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spans="1:26" ht="15.75" customHeight="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spans="1:26" ht="15.75" customHeight="1">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spans="1:26" ht="15.75" customHeight="1">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spans="1:26" ht="15.75" customHeight="1">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spans="1:26" ht="15.75" customHeight="1">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spans="1:26" ht="15.75" customHeight="1">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spans="1:26" ht="15.75" customHeight="1">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spans="1:26" ht="15.75" customHeight="1">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spans="1:26" ht="15.75" customHeight="1">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spans="1:26" ht="15.75" customHeight="1">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spans="1:26" ht="15.75" customHeight="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spans="1:26" ht="15.75" customHeight="1">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spans="1:26" ht="15.75" customHeight="1">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spans="1:26" ht="15.75" customHeight="1">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spans="1:26" ht="15.75" customHeight="1">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spans="1:26" ht="15.75" customHeight="1">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spans="1:26" ht="15.75" customHeight="1">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spans="1:26" ht="15.75" customHeight="1">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spans="1:26" ht="15.75" customHeight="1">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spans="1:26" ht="15.75" customHeight="1">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2026-02-11T22:27:33Z</dcterms:modified>
</cp:coreProperties>
</file>
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Hoja2" sheetId="3" state="hidden" r:id="rId3"/>
    <sheet name="ASISTENCIA" sheetId="4" state="hidden" r:id="rId4"/>
    <sheet name="pruebas i" sheetId="5" state="hidden" r:id="rId5"/>
  </sheets>
  <definedNames>
    <definedName name="_xlnm._FilterDatabase" localSheetId="0" hidden="1">'EN PROCESO (Proteccíon)'!$A$1:$AN$82</definedName>
  </definedNames>
  <calcPr calcId="162913"/>
  <extLst>
    <ext uri="GoogleSheetsCustomDataVersion2">
      <go:sheetsCustomData xmlns:go="http://customooxmlschemas.google.com/" r:id="rId9" roundtripDataChecksum="WUy2KbASr3IRYYj5c1pCLjYJ039V3p1ROdCGuSaZ/fA="/>
    </ext>
  </extLst>
</workbook>
</file>

<file path=xl/calcChain.xml><?xml version="1.0" encoding="utf-8"?>
<calcChain xmlns="http://schemas.openxmlformats.org/spreadsheetml/2006/main">
  <c r="I5" i="5" l="1"/>
  <c r="I4" i="5"/>
  <c r="I3" i="5"/>
  <c r="I2" i="5"/>
  <c r="M14" i="2"/>
  <c r="M13" i="2"/>
  <c r="M12" i="2"/>
  <c r="M11" i="2"/>
  <c r="M10" i="2"/>
  <c r="M9" i="2"/>
  <c r="M8" i="2"/>
  <c r="M7" i="2"/>
  <c r="M6" i="2"/>
  <c r="M5" i="2"/>
  <c r="M4" i="2"/>
  <c r="M3" i="2"/>
  <c r="M2" i="2"/>
  <c r="M82" i="1"/>
  <c r="H82" i="1"/>
  <c r="M81" i="1"/>
  <c r="H81" i="1"/>
  <c r="M80" i="1"/>
  <c r="H80" i="1"/>
  <c r="M79" i="1"/>
  <c r="H79" i="1"/>
  <c r="M78" i="1"/>
  <c r="H78" i="1"/>
  <c r="M77" i="1"/>
  <c r="H77" i="1"/>
  <c r="M76" i="1"/>
  <c r="H76" i="1"/>
  <c r="M75" i="1"/>
  <c r="H75" i="1"/>
  <c r="M74" i="1"/>
  <c r="H74" i="1"/>
  <c r="M73" i="1"/>
  <c r="H73" i="1"/>
  <c r="M72" i="1"/>
  <c r="H72" i="1"/>
  <c r="M71" i="1"/>
  <c r="M70" i="1"/>
  <c r="H70" i="1"/>
  <c r="M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<sst xmlns="http://schemas.openxmlformats.org/spreadsheetml/2006/main" count="1498" uniqueCount="400">
  <si>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</si>
  <si>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</si>
  <si>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</si>
  <si>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</si>
  <si>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</si>
  <si>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</si>
  <si>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</si>
  <si>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</si>
  <si>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</si>
  <si>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</si>
  <si>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</si>
  <si>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</si>
  <si>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</si>
  <si>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</si>
  <si>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</si>
  <si>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</si>
  <si>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</si>
  <si>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</si>
  <si>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</si>
  <si>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</si>
  <si>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</si>
  <si>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</si>
  <si>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</si>
  <si>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</si>
  <si>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</si>
  <si>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</si>
  <si>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</si>
  <si>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</si>
  <si>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</si>
  <si>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</si>
  <si>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</si>
  <si>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</si>
  <si>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</si>
  <si>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</si>
  <si>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</si>
  <si>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</si>
  <si>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</si>
  <si>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</si>
  <si>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</si>
  <si>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</si>
  <si>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</si>
  <si>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</si>
  <si>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</si>
  <si>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</si>
  <si>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</si>
  <si>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</si>
  <si>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</si>
  <si>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</si>
  <si>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</si>
  <si>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</si>
  <si>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</si>
  <si>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</si>
  <si>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</si>
  <si>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</si>
  <si>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</si>
  <si>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</si>
  <si>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</si>
  <si>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</si>
  <si>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</si>
  <si>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</si>
  <si>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</si>
  <si>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</si>
  <si>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</si>
  <si>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</si>
  <si>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</si>
  <si>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</si>
  <si>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</si>
  <si>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</si>
  <si>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</si>
  <si>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</si>
  <si>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</si>
  <si>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</si>
  <si>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</si>
  <si>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</si>
  <si>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</si>
  <si>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</si>
  <si>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</si>
  <si>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</si>
  <si>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</si>
  <si>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</si>
  <si>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</si>
  <si>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</si>
  <si>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</si>
  <si>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</si>
  <si>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CANCELADO</t>
  </si>
  <si>
    <t>24/06/2025: El requerimiento esta en pauisa hasta que se identifique la viabilidad de la reforma pensional
06/03/2026 Hasta el momento no se ha obtenido respuesta del parte del cliente</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</si>
  <si>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</si>
  <si>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</si>
  <si>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</si>
  <si>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REQ-4-2</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</si>
  <si>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</si>
  <si>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</si>
  <si>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</si>
  <si>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</si>
  <si>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</si>
  <si>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</si>
  <si>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</si>
  <si>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</si>
  <si>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</si>
  <si>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</si>
  <si>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</si>
  <si>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</si>
  <si>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</si>
  <si>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</si>
  <si>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</si>
  <si>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</si>
  <si>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</si>
  <si>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06/03/2026 Hasta el momento no se ha obtenido respuesta del parte del cliente</t>
  </si>
  <si>
    <t>Interno-H8_1</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</si>
  <si>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</si>
  <si>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</si>
  <si>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</si>
  <si>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</si>
  <si>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</si>
  <si>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</si>
  <si>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Interno-H10</t>
  </si>
  <si>
    <t>Desacople de agente de clasificación y su lógica y acople del mismo dento del sistema distribuido. Adicionalmente, acople de la plataforma de agentes y todas las otras aplicaciones del sistema</t>
  </si>
  <si>
    <t>Interno-H12</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</si>
  <si>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</si>
  <si>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</si>
  <si>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</si>
  <si>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</si>
  <si>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</si>
  <si>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</si>
  <si>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</si>
  <si>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</si>
  <si>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Interno2-2</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</si>
  <si>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</si>
  <si>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</si>
  <si>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</si>
  <si>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</si>
  <si>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</si>
  <si>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</si>
  <si>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</si>
  <si>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</si>
  <si>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</si>
  <si>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</si>
  <si>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</si>
  <si>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</si>
  <si>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
06/03/2026 Se estaba ambientando una instancia completamente nueva para la migración, pero el proceso se cancelo y se reformulo, esto debido a que se requerían realizar la menor cantidad de pruebas posibles, por lo que se clonó el servidor de pruebas QA  que serviría de base para la migración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</si>
  <si>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</si>
  <si>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</si>
  <si>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</si>
  <si>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REQ-11-2</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</si>
  <si>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</si>
  <si>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</si>
  <si>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</si>
  <si>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</si>
  <si>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</si>
  <si>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</si>
  <si>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</si>
  <si>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</si>
  <si>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</si>
  <si>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</si>
  <si>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</si>
  <si>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</si>
  <si>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</si>
  <si>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</si>
  <si>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</si>
  <si>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</si>
  <si>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</si>
  <si>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</si>
  <si>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</si>
  <si>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</si>
  <si>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</si>
  <si>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</si>
  <si>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</si>
  <si>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</si>
  <si>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</si>
  <si>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</si>
  <si>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</si>
  <si>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</si>
  <si>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</si>
  <si>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</si>
  <si>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</si>
  <si>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</si>
  <si>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</si>
  <si>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</si>
  <si>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</si>
  <si>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</si>
  <si>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</si>
  <si>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</si>
  <si>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</si>
  <si>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</si>
  <si>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</si>
  <si>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</si>
  <si>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</si>
  <si>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</si>
  <si>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</si>
  <si>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</si>
  <si>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</si>
  <si>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</si>
  <si>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</si>
  <si>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</si>
  <si>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</si>
  <si>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</si>
  <si>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</si>
  <si>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</si>
  <si>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</si>
  <si>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</si>
  <si>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</si>
  <si>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Interno-H16-3</t>
  </si>
  <si>
    <t>Creacion de servicio para la captura y trabajo dentro de la plataforma de bonos</t>
  </si>
  <si>
    <t>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</si>
  <si>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REQ-21</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</si>
  <si>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</si>
  <si>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</si>
  <si>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</si>
  <si>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</si>
  <si>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</si>
  <si>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</si>
  <si>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</si>
  <si>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</si>
  <si>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</si>
  <si>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</si>
  <si>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</si>
  <si>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</si>
  <si>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26/01/2026 Se retoma el trabajo después de identificar las correcciones y nuevos elementos por analizar en el back. Sin embargo, hace falta un escenario por parametrizar que no se pudo encontrar un ejemplo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</si>
  <si>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</si>
  <si>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</si>
  <si>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</si>
  <si>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REQ-18</t>
  </si>
  <si>
    <t>Corrección de casos que no avanzan</t>
  </si>
  <si>
    <t>20/01/2026 Se analiza y se corrige la trazabilidad para trámites varios</t>
  </si>
  <si>
    <t>Interno-H16-7</t>
  </si>
  <si>
    <t>Corrección de datos para acoplar a las necesidades y todos los casos posibles del proceso</t>
  </si>
  <si>
    <t>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</si>
  <si>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REQ-20</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</si>
  <si>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</si>
  <si>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</si>
  <si>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</si>
  <si>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</si>
  <si>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</si>
  <si>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</si>
  <si>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</si>
  <si>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Interno-H16-8</t>
  </si>
  <si>
    <t>Conexión front - servicio - filenet para la visualización de archivos y gestionar aprovaciones y rechazos</t>
  </si>
  <si>
    <t>28/01/2026 Se encontraron dificultades en el acomplamiento de los servicios sobre todo hacia filenet, pero se puedo implementar todo el flujo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</si>
  <si>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Interno-H16-9</t>
  </si>
  <si>
    <t>Acople de resultados con procesos ya existentes en Imagine</t>
  </si>
  <si>
    <t>29/01/2026 Se termina la implementación y me encuentro en pruebas de funcionamiento
03/02/2026 Se pudo lograr realizar una prueba depunto a punto exitosa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</si>
  <si>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Interno-H16-10</t>
  </si>
  <si>
    <t>Creación de pestaña de consultas de radicados y cédulas tanto para procesos históricos y procesos gestionados con la herramienta</t>
  </si>
  <si>
    <t>REQ-22</t>
  </si>
  <si>
    <t>Se incluye lógica para la verificación de tiempo de ejecución en los procesos de creación de trámites</t>
  </si>
  <si>
    <t>Creación de lóigica para el control de casos de creación de trámite</t>
  </si>
  <si>
    <t>26/01/2026 Se procesa prueba exitosa y se pasa a producción</t>
  </si>
  <si>
    <t>Interno-H16-11</t>
  </si>
  <si>
    <t>Modificación de obtención de motivos y causas de rechazo. Se necesita crear lógica asincrona para mejorar tiempos de procedimiento</t>
  </si>
  <si>
    <t>04/02/2026 Se cambia la lógica actual que estaba presentando lentitud en la gestión del operador por una asyncrona que se renueva todos los días
06/03/2026 Hace parte de un grupo de funcionalidades que ya están probadas y son funcionales, pero el módulo aún le hace falta y todavía nada se ha pasado a producción. Esto último se debe a que se han priorizado otras tareas incluyendo el tema de migración el cual debía realizarse antes de pasar todo el proyecto y pedir los permisos de conexión al portal de BPO</t>
  </si>
  <si>
    <t>Interno-H16-12</t>
  </si>
  <si>
    <t>Procesos de mejora de rendimiento de tiempo al aprovar y rechazar un documento. Trasladando el proceso síncrono a uno asíncrono</t>
  </si>
  <si>
    <t>05/02/2026 Se agrega termina de cambiar la lógica y de agregar el script que ejecute asíncronamente el envió 
06/02/2026 Se esta en proceso de pruebas y cambiosdebido a que se han presentado situaciones que deben de darse mantenimiento
17/02/2026 Se habían generado pruebas pero el sistema no se estaba usando hasta hoy debido a que los problemas de la plataforma todavía se trasladaba a nuestro sistema con la carga de documentos sincrónica. Esto se cambio y ya desde el momento en que se trae la información también se trae el documento asociado</t>
  </si>
  <si>
    <t>Interno-H16-13</t>
  </si>
  <si>
    <t>Adición de modulos para la asignación y filtro de información</t>
  </si>
  <si>
    <t>05/02/2026 Se agrega los nuevos módulos, se prueban y se pasan a producción</t>
  </si>
  <si>
    <t>Interno-H16-14</t>
  </si>
  <si>
    <t>Identificación de problemas con el servidor al momento de hacer cargues pesados</t>
  </si>
  <si>
    <t>06/02/2026 Se identifica lentitud y se empieza un proceso de migración de servicios a producción que originalmente estaban en pruebas
09/02/2026 Se monta la solución en producción y se espera confirmación de funcionamiento</t>
  </si>
  <si>
    <t>Interno-H16-15</t>
  </si>
  <si>
    <t>Creación de servicio que accedera a FileNet y descargará los archivos asociados a la documentación por validar y acoplamiento a los dos proyectos de fileNet</t>
  </si>
  <si>
    <t>Modificación para los módulo de validación filenet y creación de servicio para el acceso a archivos</t>
  </si>
  <si>
    <t>05/02/2026 Se agrega los nuevos módulos, se prueban y se pasan a producción
17/02/2026 Se acopla el servicio de descarga de documentación con el sistema de validación en mesa unificada</t>
  </si>
  <si>
    <t>Interno-H16-14-2</t>
  </si>
  <si>
    <t>corrección en irregularidades en el servicio de cesantías y el de PHP</t>
  </si>
  <si>
    <t>10/02/2026 Se indican problemas de cargue y al realizar validaciones se encontraron inconsistencias en las configuraciones y versiones del servicio
16/02/2026 Se sube a producción las correcciones y se está en espera de las pruebas
06/03/2026 Al realizarse pruebas con lotes grandes se encontraron fallos que luego fueron arreglados aumentando la capacidad de carga del servicio</t>
  </si>
  <si>
    <t>REQ-23</t>
  </si>
  <si>
    <t>Se debe de corregir lógica que identifica el sub estado de un trámite a la hora de rechazar documentación</t>
  </si>
  <si>
    <t>Creación de lóigica para la visualización de sub estados de trámites</t>
  </si>
  <si>
    <t>17/02/2026 Se realiza un análisis de la lógica que genera los estados de las solicitudes
18/02/2026 Se desarrolla posible soluci+on a la necesidad
19/02/2026 Se realiza pruebas, modificaciones y se sube a producción</t>
  </si>
  <si>
    <t>Interno-H16-13-2</t>
  </si>
  <si>
    <t>Adición de modulos que faciliten el proceso de la validación</t>
  </si>
  <si>
    <t>19/02/2026 Se habla con Harol para la identificación de cambios que faciliten el trabajo del módulo
20/02/2026 Se cargan cambios para la visualización del visor en distintas ventanas, además de el formateo de información para el tipo documental
21/02/2026 Se está a la espera de las retroalimentaciones
24/02/2026 Se realizaron algunos cambios para extraer más datos pero el servicio solo carga hasta cierto punto y se debe revisar si es por alguna sobrecarga. De resto todo parece funcionar correctamente</t>
  </si>
  <si>
    <t>REQ-24</t>
  </si>
  <si>
    <t>Se deben de dar respuesta a la cola de casos abiertos en la plataforma del cliente</t>
  </si>
  <si>
    <t>Atención al soporte en plataforma del cliente</t>
  </si>
  <si>
    <t>23/02/2026 Se identifica que hay una cola de casos para soporte que se deben de gestionar. Se recibe documnetación para la atención en la plataforma
25/02/2026 Hasta el momento se han gestionado alrededor de 40 - 50 casos
27/02/2026 solo quedá a lo mucho 3 casos, pero es una tarea que será necesario trabajarle al mismo ritmo que llegan casos</t>
  </si>
  <si>
    <t>REQ-25</t>
  </si>
  <si>
    <t>Resultado de una falla lógica se debe de reenviar 1800 casos para finalizar etapa de documentación. Para ello se debe de crear un script que facilite la manualidad</t>
  </si>
  <si>
    <t>Casos con eventos de finalización de documentación no ingresados a IMAGINE</t>
  </si>
  <si>
    <t>25/02/2026 Se realiza la gestión para todos los casos asociados</t>
  </si>
  <si>
    <t>REQ-26</t>
  </si>
  <si>
    <t>Se debe de cargar servicios y actualizar aplicativo para el servidor de migraciones</t>
  </si>
  <si>
    <t>Cargue de servicios y afinación de servidor para migración</t>
  </si>
  <si>
    <t>26/02/2026 Se necesita poner en punta de nuevo el servidor que dejó de estar actualizada desde diciembre, por lo que es necesario cargar los servicios de validación fileNet
02/03/2026 Con los servicios ya cargados se cambia un proceso que no se había actualizado. Además se actualiza el repositorio para tener los datos tal cuál en producción
03/03/2026 Se termina de configurar, actualizar y cargar el repositorio. Además, se pasa el servidor de migraci´n a producción de 7 a 9 de la noche</t>
  </si>
  <si>
    <t>REQ-27</t>
  </si>
  <si>
    <t>Se debe de agregar una función que permita que si se valida mesa, se debe de identificar si se marco bonos para abrir dicha tarea</t>
  </si>
  <si>
    <t>Corrección lógica de mesa unificada</t>
  </si>
  <si>
    <t>03/03/2026 Se termina de construir la lógica para que el evento de mesa unificada ok pueda evaluar e identificar si el trámite necesita abrir bonos</t>
  </si>
  <si>
    <t>REQ-28</t>
  </si>
  <si>
    <t>Identificación y mantenimiento a cada una de las dificultades presentadas en el servidor nuevo</t>
  </si>
  <si>
    <t>Soporte a inconsistencias en la migración</t>
  </si>
  <si>
    <t>EN PROCESO</t>
  </si>
  <si>
    <t>06/03/2026 Se han hecho trabajos de soporte para distintos m[odulos que incurrieron en errores en el momento de la migraci[on. IOnluyendo reporter[ia, consumos, formularios, visores, etc&gt; no Se ha terminado el proceso de normalizaci[on del sistema y se siguen realizando correcciones</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</si>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</sst>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57">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63">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4" fillId="7" borderId="0" xfId="0" applyFont="1" applyFill="1" applyAlignment="1"/>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37"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38" fillId="8" borderId="3" xfId="0" applyFont="1" applyFill="1" applyBorder="1" applyAlignment="1">
      <alignment horizontal="center" vertical="center" wrapText="1"/>
    </xf>
    <xf numFmtId="0" fontId="39" fillId="6" borderId="3" xfId="0" applyFont="1" applyFill="1" applyBorder="1" applyAlignment="1">
      <alignment horizontal="center" vertical="center" wrapText="1"/>
    </xf>
    <xf numFmtId="0" fontId="40" fillId="0" borderId="3" xfId="0" applyFont="1" applyBorder="1" applyAlignment="1">
      <alignment horizontal="left" vertical="center" wrapText="1"/>
    </xf>
    <xf numFmtId="0" fontId="41"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2"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3" fillId="6" borderId="4" xfId="0" applyFont="1" applyFill="1" applyBorder="1" applyAlignment="1">
      <alignment vertical="center" wrapText="1"/>
    </xf>
    <xf numFmtId="0" fontId="44" fillId="6" borderId="4" xfId="0" applyFont="1" applyFill="1" applyBorder="1" applyAlignment="1">
      <alignment vertical="center"/>
    </xf>
    <xf numFmtId="0" fontId="45" fillId="0" borderId="3" xfId="0" applyFont="1" applyBorder="1" applyAlignment="1">
      <alignment horizontal="center" vertical="center"/>
    </xf>
    <xf numFmtId="0" fontId="46" fillId="6" borderId="3" xfId="0" applyFont="1" applyFill="1" applyBorder="1" applyAlignment="1">
      <alignment vertical="center"/>
    </xf>
    <xf numFmtId="165" fontId="16" fillId="6" borderId="3" xfId="0" applyNumberFormat="1" applyFont="1" applyFill="1" applyBorder="1" applyAlignment="1">
      <alignment vertical="center"/>
    </xf>
    <xf numFmtId="0" fontId="47"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48" fillId="6" borderId="3" xfId="0" applyFont="1" applyFill="1" applyBorder="1" applyAlignment="1">
      <alignment horizontal="left" vertical="center" wrapText="1"/>
    </xf>
    <xf numFmtId="0" fontId="49"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0" fillId="6" borderId="3" xfId="0" applyFont="1" applyFill="1" applyBorder="1" applyAlignment="1">
      <alignment vertical="center" wrapText="1"/>
    </xf>
    <xf numFmtId="0" fontId="51" fillId="0" borderId="3" xfId="0" applyFont="1" applyBorder="1" applyAlignment="1">
      <alignment horizontal="left" vertical="center" wrapText="1"/>
    </xf>
    <xf numFmtId="0" fontId="16" fillId="6" borderId="3" xfId="0" applyFont="1" applyFill="1" applyBorder="1" applyAlignment="1">
      <alignment horizontal="left" vertical="center"/>
    </xf>
    <xf numFmtId="14" fontId="52" fillId="0" borderId="0" xfId="0" applyNumberFormat="1" applyFont="1" applyAlignment="1">
      <alignment horizontal="right"/>
    </xf>
    <xf numFmtId="0" fontId="52" fillId="0" borderId="0" xfId="0" applyFont="1" applyAlignment="1"/>
    <xf numFmtId="0" fontId="52" fillId="0" borderId="0" xfId="0" applyFont="1" applyAlignment="1"/>
    <xf numFmtId="0" fontId="53" fillId="0" borderId="0" xfId="0" applyFont="1"/>
    <xf numFmtId="0" fontId="52" fillId="0" borderId="0" xfId="0" applyFont="1"/>
    <xf numFmtId="0" fontId="53" fillId="9" borderId="3" xfId="0" applyFont="1" applyFill="1" applyBorder="1" applyAlignment="1">
      <alignment vertical="center"/>
    </xf>
    <xf numFmtId="14" fontId="53" fillId="9" borderId="3" xfId="0" applyNumberFormat="1" applyFont="1" applyFill="1" applyBorder="1" applyAlignment="1">
      <alignment horizontal="center" vertical="center" wrapText="1"/>
    </xf>
    <xf numFmtId="14" fontId="53" fillId="9" borderId="9" xfId="0" applyNumberFormat="1" applyFont="1" applyFill="1" applyBorder="1" applyAlignment="1">
      <alignment horizontal="center" vertical="center" wrapText="1"/>
    </xf>
    <xf numFmtId="14" fontId="53" fillId="9" borderId="10" xfId="0" applyNumberFormat="1" applyFont="1" applyFill="1" applyBorder="1" applyAlignment="1">
      <alignment horizontal="center" vertical="center" wrapText="1"/>
    </xf>
    <xf numFmtId="0" fontId="53" fillId="10" borderId="3" xfId="0" applyFont="1" applyFill="1" applyBorder="1"/>
    <xf numFmtId="0" fontId="52" fillId="0" borderId="3" xfId="0" applyFont="1" applyBorder="1" applyAlignment="1">
      <alignment horizontal="center"/>
    </xf>
    <xf numFmtId="0" fontId="54" fillId="0" borderId="3" xfId="0" applyFont="1" applyBorder="1"/>
    <xf numFmtId="0" fontId="52" fillId="0" borderId="3" xfId="0" applyFont="1" applyBorder="1"/>
    <xf numFmtId="0" fontId="52" fillId="0" borderId="11" xfId="0" applyFont="1" applyBorder="1"/>
    <xf numFmtId="0" fontId="52" fillId="0" borderId="3" xfId="0" applyFont="1" applyBorder="1" applyAlignment="1">
      <alignment horizontal="center" vertical="center"/>
    </xf>
    <xf numFmtId="0" fontId="56" fillId="0" borderId="3" xfId="0" applyFont="1" applyBorder="1"/>
    <xf numFmtId="0" fontId="7" fillId="11" borderId="3" xfId="0" applyFont="1" applyFill="1" applyBorder="1" applyAlignment="1">
      <alignment horizontal="center" vertical="center"/>
    </xf>
    <xf numFmtId="0" fontId="7" fillId="12" borderId="3" xfId="0" applyFont="1" applyFill="1" applyBorder="1" applyAlignment="1">
      <alignment horizontal="center" vertical="center"/>
    </xf>
    <xf numFmtId="0" fontId="7" fillId="12"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3" borderId="3" xfId="0" applyFont="1" applyFill="1" applyBorder="1" applyAlignment="1">
      <alignment horizontal="center" vertical="center"/>
    </xf>
    <xf numFmtId="0" fontId="7" fillId="14"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2" xfId="0" applyFont="1" applyBorder="1" applyAlignment="1">
      <alignment horizontal="left" vertical="center" wrapText="1"/>
    </xf>
    <xf numFmtId="14" fontId="16" fillId="0" borderId="12" xfId="0" applyNumberFormat="1" applyFont="1" applyBorder="1" applyAlignment="1">
      <alignment horizontal="center" vertical="center"/>
    </xf>
    <xf numFmtId="0" fontId="16" fillId="0" borderId="12" xfId="0" applyFont="1" applyBorder="1" applyAlignment="1">
      <alignment horizontal="center" vertical="center"/>
    </xf>
    <xf numFmtId="1" fontId="16" fillId="0" borderId="12" xfId="0" applyNumberFormat="1" applyFont="1" applyBorder="1" applyAlignment="1">
      <alignment horizontal="center" vertical="center" wrapText="1"/>
    </xf>
    <xf numFmtId="0" fontId="16" fillId="0" borderId="12" xfId="0" applyFont="1" applyBorder="1" applyAlignment="1">
      <alignment horizontal="left" vertical="top" wrapText="1"/>
    </xf>
    <xf numFmtId="0" fontId="16" fillId="0" borderId="0" xfId="0" applyFont="1"/>
    <xf numFmtId="0" fontId="52" fillId="0" borderId="12" xfId="0" applyFont="1" applyBorder="1" applyAlignment="1">
      <alignment horizontal="center" vertical="center" wrapText="1"/>
    </xf>
    <xf numFmtId="0" fontId="55" fillId="0" borderId="13" xfId="0" applyFont="1" applyBorder="1"/>
    <xf numFmtId="0" fontId="55" fillId="0" borderId="14" xfId="0" applyFont="1" applyBorder="1"/>
    <xf numFmtId="0" fontId="7" fillId="0" borderId="12"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N82"/>
  <sheetViews>
    <sheetView tabSelected="1" workbookViewId="0">
      <pane ySplit="1" topLeftCell="A3" activePane="bottomLeft" state="frozen"/>
      <selection pane="bottomLeft" activeCell="A2" sqref="A2"/>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398</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398</v>
      </c>
    </row>
    <row r="4" spans="1:40" ht="29.25" hidden="1"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b">
        <v>1</v>
      </c>
    </row>
    <row r="5" spans="1:40" ht="29.25" hidden="1"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b">
        <v>1</v>
      </c>
    </row>
    <row r="6" spans="1:40" ht="29.25" hidden="1"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b">
        <v>1</v>
      </c>
    </row>
    <row r="7" spans="1:40" ht="29.25" hidden="1"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b">
        <v>1</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398</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398</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398</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398</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398</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398</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398</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398</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398</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398</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398</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398</v>
      </c>
    </row>
    <row r="20" spans="1:18" ht="5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159</v>
      </c>
      <c r="N20" s="53"/>
      <c r="O20" s="53"/>
      <c r="P20" s="53"/>
      <c r="Q20" s="50" t="s">
        <v>81</v>
      </c>
      <c r="R20" s="29" t="s">
        <v>398</v>
      </c>
    </row>
    <row r="21" spans="1:18" ht="67.5"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73" t="s">
        <v>399</v>
      </c>
    </row>
    <row r="22" spans="1:18" ht="129.75" customHeight="1">
      <c r="A22" s="16" t="s">
        <v>18</v>
      </c>
      <c r="B22" s="17" t="s">
        <v>86</v>
      </c>
      <c r="C22" s="18" t="s">
        <v>87</v>
      </c>
      <c r="D22" s="19" t="s">
        <v>42</v>
      </c>
      <c r="E22" s="74"/>
      <c r="F22" s="75"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398</v>
      </c>
    </row>
    <row r="23" spans="1:18" ht="69" customHeight="1">
      <c r="A23" s="30" t="s">
        <v>18</v>
      </c>
      <c r="B23" s="31" t="s">
        <v>89</v>
      </c>
      <c r="C23" s="32" t="s">
        <v>90</v>
      </c>
      <c r="D23" s="33" t="s">
        <v>91</v>
      </c>
      <c r="E23" s="76"/>
      <c r="F23" s="34" t="s">
        <v>22</v>
      </c>
      <c r="G23" s="77">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92</v>
      </c>
      <c r="R23" s="44" t="s">
        <v>398</v>
      </c>
    </row>
    <row r="24" spans="1:18" ht="78.75" customHeight="1">
      <c r="A24" s="16" t="s">
        <v>18</v>
      </c>
      <c r="B24" s="17" t="s">
        <v>93</v>
      </c>
      <c r="C24" s="18" t="s">
        <v>94</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95</v>
      </c>
      <c r="R24" s="29" t="s">
        <v>398</v>
      </c>
    </row>
    <row r="25" spans="1:18" ht="63" hidden="1" customHeight="1">
      <c r="A25" s="30" t="s">
        <v>18</v>
      </c>
      <c r="B25" s="31" t="s">
        <v>96</v>
      </c>
      <c r="C25" s="32" t="s">
        <v>97</v>
      </c>
      <c r="D25" s="33" t="s">
        <v>98</v>
      </c>
      <c r="E25" s="33"/>
      <c r="F25" s="72" t="s">
        <v>22</v>
      </c>
      <c r="G25" s="77">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99</v>
      </c>
      <c r="R25" s="44" t="b">
        <v>1</v>
      </c>
    </row>
    <row r="26" spans="1:18" ht="67.5" customHeight="1">
      <c r="A26" s="16" t="s">
        <v>18</v>
      </c>
      <c r="B26" s="17" t="s">
        <v>100</v>
      </c>
      <c r="C26" s="18" t="s">
        <v>101</v>
      </c>
      <c r="D26" s="19" t="s">
        <v>102</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103</v>
      </c>
      <c r="R26" s="29" t="s">
        <v>398</v>
      </c>
    </row>
    <row r="27" spans="1:18" ht="55.5" customHeight="1">
      <c r="A27" s="30" t="s">
        <v>18</v>
      </c>
      <c r="B27" s="31" t="s">
        <v>104</v>
      </c>
      <c r="C27" s="32" t="s">
        <v>105</v>
      </c>
      <c r="D27" s="33" t="s">
        <v>102</v>
      </c>
      <c r="E27" s="33" t="s">
        <v>106</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43" t="s">
        <v>107</v>
      </c>
      <c r="R27" s="44" t="s">
        <v>399</v>
      </c>
    </row>
    <row r="28" spans="1:18" ht="138" customHeight="1">
      <c r="A28" s="16" t="s">
        <v>18</v>
      </c>
      <c r="B28" s="17" t="s">
        <v>108</v>
      </c>
      <c r="C28" s="18" t="s">
        <v>109</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110</v>
      </c>
      <c r="R28" s="29" t="s">
        <v>398</v>
      </c>
    </row>
    <row r="29" spans="1:18" ht="67.5" customHeight="1">
      <c r="A29" s="30" t="s">
        <v>18</v>
      </c>
      <c r="B29" s="31" t="s">
        <v>111</v>
      </c>
      <c r="C29" s="32" t="s">
        <v>112</v>
      </c>
      <c r="D29" s="33" t="s">
        <v>113</v>
      </c>
      <c r="E29" s="33"/>
      <c r="F29" s="72" t="s">
        <v>22</v>
      </c>
      <c r="G29" s="77">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398</v>
      </c>
    </row>
    <row r="30" spans="1:18" ht="85.5">
      <c r="A30" s="16" t="s">
        <v>18</v>
      </c>
      <c r="B30" s="17" t="s">
        <v>114</v>
      </c>
      <c r="C30" s="18" t="s">
        <v>109</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398</v>
      </c>
    </row>
    <row r="31" spans="1:18" ht="71.25">
      <c r="A31" s="30" t="s">
        <v>18</v>
      </c>
      <c r="B31" s="31" t="s">
        <v>115</v>
      </c>
      <c r="C31" s="32" t="s">
        <v>116</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398</v>
      </c>
    </row>
    <row r="32" spans="1:18" ht="42.75">
      <c r="A32" s="16" t="s">
        <v>18</v>
      </c>
      <c r="B32" s="17" t="s">
        <v>117</v>
      </c>
      <c r="C32" s="18" t="s">
        <v>118</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398</v>
      </c>
    </row>
    <row r="33" spans="1:18" ht="76.5" customHeight="1">
      <c r="A33" s="30" t="s">
        <v>18</v>
      </c>
      <c r="B33" s="31" t="s">
        <v>119</v>
      </c>
      <c r="C33" s="32" t="s">
        <v>120</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121</v>
      </c>
      <c r="R33" s="44" t="s">
        <v>398</v>
      </c>
    </row>
    <row r="34" spans="1:18" ht="38.25">
      <c r="A34" s="16" t="s">
        <v>18</v>
      </c>
      <c r="B34" s="17" t="s">
        <v>122</v>
      </c>
      <c r="C34" s="18" t="s">
        <v>123</v>
      </c>
      <c r="D34" s="19" t="s">
        <v>124</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125</v>
      </c>
      <c r="R34" s="29" t="s">
        <v>398</v>
      </c>
    </row>
    <row r="35" spans="1:18" ht="42.75">
      <c r="A35" s="30" t="s">
        <v>18</v>
      </c>
      <c r="B35" s="31" t="s">
        <v>126</v>
      </c>
      <c r="C35" s="32" t="s">
        <v>127</v>
      </c>
      <c r="D35" s="33" t="s">
        <v>124</v>
      </c>
      <c r="E35" s="33"/>
      <c r="F35" s="72" t="s">
        <v>22</v>
      </c>
      <c r="G35" s="77">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125</v>
      </c>
      <c r="R35" s="44" t="s">
        <v>398</v>
      </c>
    </row>
    <row r="36" spans="1:18" ht="93" customHeight="1">
      <c r="A36" s="16" t="s">
        <v>18</v>
      </c>
      <c r="B36" s="17" t="s">
        <v>128</v>
      </c>
      <c r="C36" s="18" t="s">
        <v>129</v>
      </c>
      <c r="D36" s="19" t="s">
        <v>130</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131</v>
      </c>
      <c r="R36" s="29" t="s">
        <v>398</v>
      </c>
    </row>
    <row r="37" spans="1:18" ht="76.5" customHeight="1">
      <c r="A37" s="30" t="s">
        <v>18</v>
      </c>
      <c r="B37" s="31" t="s">
        <v>132</v>
      </c>
      <c r="C37" s="32" t="s">
        <v>133</v>
      </c>
      <c r="D37" s="33" t="s">
        <v>134</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135</v>
      </c>
      <c r="R37" s="44" t="s">
        <v>398</v>
      </c>
    </row>
    <row r="38" spans="1:18" ht="235.5" customHeight="1">
      <c r="A38" s="16" t="s">
        <v>18</v>
      </c>
      <c r="B38" s="17" t="s">
        <v>136</v>
      </c>
      <c r="C38" s="18" t="s">
        <v>137</v>
      </c>
      <c r="D38" s="19" t="s">
        <v>138</v>
      </c>
      <c r="E38" s="19"/>
      <c r="F38" s="54" t="s">
        <v>84</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113</v>
      </c>
      <c r="N38" s="24"/>
      <c r="O38" s="24"/>
      <c r="P38" s="53"/>
      <c r="Q38" s="78" t="s">
        <v>139</v>
      </c>
      <c r="R38" s="80" t="s">
        <v>399</v>
      </c>
    </row>
    <row r="39" spans="1:18" ht="162" customHeight="1">
      <c r="A39" s="30" t="s">
        <v>18</v>
      </c>
      <c r="B39" s="31" t="s">
        <v>140</v>
      </c>
      <c r="C39" s="32" t="s">
        <v>141</v>
      </c>
      <c r="D39" s="33" t="s">
        <v>134</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142</v>
      </c>
      <c r="R39" s="44" t="s">
        <v>398</v>
      </c>
    </row>
    <row r="40" spans="1:18" ht="93" hidden="1" customHeight="1">
      <c r="A40" s="16" t="s">
        <v>18</v>
      </c>
      <c r="B40" s="17" t="s">
        <v>143</v>
      </c>
      <c r="C40" s="18" t="s">
        <v>144</v>
      </c>
      <c r="D40" s="19" t="s">
        <v>145</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146</v>
      </c>
      <c r="R40" s="29" t="b">
        <v>1</v>
      </c>
    </row>
    <row r="41" spans="1:18" ht="93" customHeight="1">
      <c r="A41" s="30" t="s">
        <v>18</v>
      </c>
      <c r="B41" s="31" t="s">
        <v>147</v>
      </c>
      <c r="C41" s="32" t="s">
        <v>148</v>
      </c>
      <c r="D41" s="33" t="s">
        <v>149</v>
      </c>
      <c r="E41" s="33"/>
      <c r="F41" s="72" t="s">
        <v>150</v>
      </c>
      <c r="G41" s="77">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151</v>
      </c>
      <c r="R41" s="44" t="s">
        <v>398</v>
      </c>
    </row>
    <row r="42" spans="1:18" ht="67.5" hidden="1" customHeight="1">
      <c r="A42" s="16" t="s">
        <v>18</v>
      </c>
      <c r="B42" s="17" t="s">
        <v>152</v>
      </c>
      <c r="C42" s="18" t="s">
        <v>153</v>
      </c>
      <c r="D42" s="19" t="s">
        <v>113</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154</v>
      </c>
      <c r="R42" s="29" t="b">
        <v>1</v>
      </c>
    </row>
    <row r="43" spans="1:18" ht="93" hidden="1" customHeight="1">
      <c r="A43" s="30" t="s">
        <v>18</v>
      </c>
      <c r="B43" s="31" t="s">
        <v>155</v>
      </c>
      <c r="C43" s="32" t="s">
        <v>156</v>
      </c>
      <c r="D43" s="33" t="s">
        <v>157</v>
      </c>
      <c r="E43" s="33"/>
      <c r="F43" s="72" t="s">
        <v>22</v>
      </c>
      <c r="G43" s="77">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158</v>
      </c>
      <c r="R43" s="44" t="b">
        <v>1</v>
      </c>
    </row>
    <row r="44" spans="1:18" ht="93" hidden="1" customHeight="1">
      <c r="A44" s="16" t="s">
        <v>18</v>
      </c>
      <c r="B44" s="17" t="s">
        <v>159</v>
      </c>
      <c r="C44" s="18" t="s">
        <v>160</v>
      </c>
      <c r="D44" s="19" t="s">
        <v>161</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162</v>
      </c>
      <c r="R44" s="29" t="b">
        <v>1</v>
      </c>
    </row>
    <row r="45" spans="1:18" ht="93" hidden="1" customHeight="1">
      <c r="A45" s="30" t="s">
        <v>18</v>
      </c>
      <c r="B45" s="31" t="s">
        <v>163</v>
      </c>
      <c r="C45" s="32" t="s">
        <v>164</v>
      </c>
      <c r="D45" s="33" t="s">
        <v>165</v>
      </c>
      <c r="E45" s="33"/>
      <c r="F45" s="72" t="s">
        <v>22</v>
      </c>
      <c r="G45" s="77">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166</v>
      </c>
      <c r="R45" s="44" t="b">
        <v>1</v>
      </c>
    </row>
    <row r="46" spans="1:18" ht="162" hidden="1" customHeight="1">
      <c r="A46" s="16" t="s">
        <v>18</v>
      </c>
      <c r="B46" s="17" t="s">
        <v>167</v>
      </c>
      <c r="C46" s="18" t="s">
        <v>168</v>
      </c>
      <c r="D46" s="19" t="s">
        <v>169</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170</v>
      </c>
      <c r="R46" s="29" t="b">
        <v>1</v>
      </c>
    </row>
    <row r="47" spans="1:18" ht="162" hidden="1" customHeight="1">
      <c r="A47" s="30" t="s">
        <v>18</v>
      </c>
      <c r="B47" s="31" t="s">
        <v>171</v>
      </c>
      <c r="C47" s="32" t="s">
        <v>172</v>
      </c>
      <c r="D47" s="33" t="s">
        <v>169</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173</v>
      </c>
      <c r="R47" s="44" t="b">
        <v>1</v>
      </c>
    </row>
    <row r="48" spans="1:18" ht="162" hidden="1" customHeight="1">
      <c r="A48" s="16" t="s">
        <v>18</v>
      </c>
      <c r="B48" s="17" t="s">
        <v>174</v>
      </c>
      <c r="C48" s="18" t="s">
        <v>175</v>
      </c>
      <c r="D48" s="19" t="s">
        <v>169</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176</v>
      </c>
      <c r="R48" s="29" t="b">
        <v>1</v>
      </c>
    </row>
    <row r="49" spans="1:18" ht="162" hidden="1" customHeight="1">
      <c r="A49" s="30" t="s">
        <v>18</v>
      </c>
      <c r="B49" s="31" t="s">
        <v>177</v>
      </c>
      <c r="C49" s="32" t="s">
        <v>178</v>
      </c>
      <c r="D49" s="33" t="s">
        <v>169</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179</v>
      </c>
      <c r="R49" s="44" t="b">
        <v>1</v>
      </c>
    </row>
    <row r="50" spans="1:18" ht="162" hidden="1" customHeight="1">
      <c r="A50" s="16" t="s">
        <v>18</v>
      </c>
      <c r="B50" s="17" t="s">
        <v>180</v>
      </c>
      <c r="C50" s="18" t="s">
        <v>181</v>
      </c>
      <c r="D50" s="19" t="s">
        <v>169</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182</v>
      </c>
      <c r="R50" s="29" t="b">
        <v>1</v>
      </c>
    </row>
    <row r="51" spans="1:18" ht="162" hidden="1" customHeight="1">
      <c r="A51" s="30" t="s">
        <v>18</v>
      </c>
      <c r="B51" s="31" t="s">
        <v>183</v>
      </c>
      <c r="C51" s="32" t="s">
        <v>184</v>
      </c>
      <c r="D51" s="33" t="s">
        <v>169</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185</v>
      </c>
      <c r="R51" s="44" t="b">
        <v>1</v>
      </c>
    </row>
    <row r="52" spans="1:18" ht="162" customHeight="1">
      <c r="A52" s="16" t="s">
        <v>18</v>
      </c>
      <c r="B52" s="17" t="s">
        <v>186</v>
      </c>
      <c r="C52" s="18" t="s">
        <v>187</v>
      </c>
      <c r="D52" s="19" t="s">
        <v>169</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188</v>
      </c>
      <c r="R52" s="29" t="s">
        <v>398</v>
      </c>
    </row>
    <row r="53" spans="1:18" ht="101.25" customHeight="1">
      <c r="A53" s="30" t="s">
        <v>18</v>
      </c>
      <c r="B53" s="31" t="s">
        <v>189</v>
      </c>
      <c r="C53" s="32" t="s">
        <v>190</v>
      </c>
      <c r="D53" s="33" t="s">
        <v>191</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192</v>
      </c>
      <c r="R53" s="44" t="s">
        <v>398</v>
      </c>
    </row>
    <row r="54" spans="1:18" ht="110.25" customHeight="1">
      <c r="A54" s="16" t="s">
        <v>18</v>
      </c>
      <c r="B54" s="17" t="s">
        <v>193</v>
      </c>
      <c r="C54" s="18" t="s">
        <v>194</v>
      </c>
      <c r="D54" s="19" t="s">
        <v>195</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196</v>
      </c>
      <c r="R54" s="29" t="s">
        <v>398</v>
      </c>
    </row>
    <row r="55" spans="1:18" ht="162" customHeight="1">
      <c r="A55" s="30" t="s">
        <v>18</v>
      </c>
      <c r="B55" s="31" t="s">
        <v>197</v>
      </c>
      <c r="C55" s="32" t="s">
        <v>198</v>
      </c>
      <c r="D55" s="33" t="s">
        <v>191</v>
      </c>
      <c r="E55" s="33"/>
      <c r="F55" s="72" t="s">
        <v>199</v>
      </c>
      <c r="G55" s="35">
        <v>100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200</v>
      </c>
      <c r="R55" s="44" t="s">
        <v>398</v>
      </c>
    </row>
    <row r="56" spans="1:18" ht="162" customHeight="1">
      <c r="A56" s="16" t="s">
        <v>18</v>
      </c>
      <c r="B56" s="17" t="s">
        <v>201</v>
      </c>
      <c r="C56" s="18" t="s">
        <v>202</v>
      </c>
      <c r="D56" s="19" t="s">
        <v>191</v>
      </c>
      <c r="E56" s="19"/>
      <c r="F56" s="54" t="s">
        <v>199</v>
      </c>
      <c r="G56" s="21">
        <v>100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203</v>
      </c>
      <c r="R56" s="80" t="s">
        <v>398</v>
      </c>
    </row>
    <row r="57" spans="1:18" ht="110.25" hidden="1" customHeight="1">
      <c r="A57" s="30" t="s">
        <v>18</v>
      </c>
      <c r="B57" s="31" t="s">
        <v>204</v>
      </c>
      <c r="C57" s="32" t="s">
        <v>205</v>
      </c>
      <c r="D57" s="33" t="s">
        <v>206</v>
      </c>
      <c r="E57" s="33"/>
      <c r="F57" s="72" t="s">
        <v>22</v>
      </c>
      <c r="G57" s="77">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207</v>
      </c>
      <c r="R57" s="44" t="b">
        <v>1</v>
      </c>
    </row>
    <row r="58" spans="1:18" ht="162" customHeight="1">
      <c r="A58" s="16" t="s">
        <v>18</v>
      </c>
      <c r="B58" s="17" t="s">
        <v>208</v>
      </c>
      <c r="C58" s="18" t="s">
        <v>209</v>
      </c>
      <c r="D58" s="19" t="s">
        <v>191</v>
      </c>
      <c r="E58" s="19"/>
      <c r="F58" s="54" t="s">
        <v>199</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210</v>
      </c>
      <c r="R58" s="80" t="s">
        <v>398</v>
      </c>
    </row>
    <row r="59" spans="1:18" ht="110.25" hidden="1" customHeight="1">
      <c r="A59" s="30" t="s">
        <v>18</v>
      </c>
      <c r="B59" s="31" t="s">
        <v>211</v>
      </c>
      <c r="C59" s="32" t="s">
        <v>212</v>
      </c>
      <c r="D59" s="33" t="s">
        <v>213</v>
      </c>
      <c r="E59" s="33"/>
      <c r="F59" s="72" t="s">
        <v>22</v>
      </c>
      <c r="G59" s="77">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214</v>
      </c>
      <c r="R59" s="44" t="b">
        <v>1</v>
      </c>
    </row>
    <row r="60" spans="1:18" ht="162" customHeight="1">
      <c r="A60" s="16" t="s">
        <v>18</v>
      </c>
      <c r="B60" s="17" t="s">
        <v>215</v>
      </c>
      <c r="C60" s="18" t="s">
        <v>216</v>
      </c>
      <c r="D60" s="19" t="s">
        <v>191</v>
      </c>
      <c r="E60" s="19"/>
      <c r="F60" s="54" t="s">
        <v>199</v>
      </c>
      <c r="G60" s="21">
        <v>100</v>
      </c>
      <c r="H60" s="22">
        <f>IF(OR(J60="",K60="",K60&lt;J60),0,NETWORKDAYS(J60,K60,Hoja2!$A$2:$A$53))</f>
        <v>4</v>
      </c>
      <c r="I60" s="45">
        <v>46041</v>
      </c>
      <c r="J60" s="45">
        <v>46041</v>
      </c>
      <c r="K60" s="24">
        <v>46044</v>
      </c>
      <c r="L60" s="24">
        <v>46050</v>
      </c>
      <c r="M60" s="25">
        <f ca="1">IF(OR(J60="",AND(L60="",TODAY()&lt;J60),AND(L60&lt;&gt;"",L60&lt;J60)),0,
   IF(L60="",
      NETWORKDAYS(J60,TODAY(),Hoja2!$A$2:$A$53),
      NETWORKDAYS(J60,L60,Hoja2!$A$2:$A$53)
   )
)</f>
        <v>8</v>
      </c>
      <c r="N60" s="24"/>
      <c r="O60" s="24">
        <v>46050</v>
      </c>
      <c r="P60" s="24"/>
      <c r="Q60" s="78" t="s">
        <v>217</v>
      </c>
      <c r="R60" s="80" t="s">
        <v>398</v>
      </c>
    </row>
    <row r="61" spans="1:18" ht="162" hidden="1" customHeight="1">
      <c r="A61" s="30" t="s">
        <v>18</v>
      </c>
      <c r="B61" s="31" t="s">
        <v>218</v>
      </c>
      <c r="C61" s="32" t="s">
        <v>219</v>
      </c>
      <c r="D61" s="33" t="s">
        <v>191</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220</v>
      </c>
      <c r="R61" s="73" t="b">
        <v>1</v>
      </c>
    </row>
    <row r="62" spans="1:18" ht="110.25" hidden="1" customHeight="1">
      <c r="A62" s="16" t="s">
        <v>18</v>
      </c>
      <c r="B62" s="17" t="s">
        <v>221</v>
      </c>
      <c r="C62" s="18" t="s">
        <v>212</v>
      </c>
      <c r="D62" s="19" t="s">
        <v>222</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223</v>
      </c>
      <c r="R62" s="29" t="b">
        <v>1</v>
      </c>
    </row>
    <row r="63" spans="1:18" ht="162" customHeight="1">
      <c r="A63" s="30" t="s">
        <v>18</v>
      </c>
      <c r="B63" s="31" t="s">
        <v>224</v>
      </c>
      <c r="C63" s="32" t="s">
        <v>225</v>
      </c>
      <c r="D63" s="33" t="s">
        <v>191</v>
      </c>
      <c r="E63" s="33"/>
      <c r="F63" s="72" t="s">
        <v>199</v>
      </c>
      <c r="G63" s="35">
        <v>100</v>
      </c>
      <c r="H63" s="36">
        <f>IF(OR(J63="",K63="",K63&lt;J63),0,NETWORKDAYS(J63,K63,Hoja2!$A$2:$A$53))</f>
        <v>3</v>
      </c>
      <c r="I63" s="38">
        <v>46043</v>
      </c>
      <c r="J63" s="38">
        <v>46043</v>
      </c>
      <c r="K63" s="39">
        <v>46045</v>
      </c>
      <c r="L63" s="39">
        <v>46050</v>
      </c>
      <c r="M63" s="40">
        <f ca="1">IF(OR(J63="",AND(L63="",TODAY()&lt;J63),AND(L63&lt;&gt;"",L63&lt;J63)),0,
   IF(L63="",
      NETWORKDAYS(J63,TODAY(),Hoja2!$A$2:$A$53),
      NETWORKDAYS(J63,L63,Hoja2!$A$2:$A$53)
   )
)</f>
        <v>6</v>
      </c>
      <c r="N63" s="39"/>
      <c r="O63" s="39">
        <v>46050</v>
      </c>
      <c r="P63" s="39"/>
      <c r="Q63" s="79" t="s">
        <v>226</v>
      </c>
      <c r="R63" s="73" t="s">
        <v>398</v>
      </c>
    </row>
    <row r="64" spans="1:18" ht="132.75" hidden="1" customHeight="1">
      <c r="A64" s="16" t="s">
        <v>18</v>
      </c>
      <c r="B64" s="17" t="s">
        <v>227</v>
      </c>
      <c r="C64" s="18" t="s">
        <v>228</v>
      </c>
      <c r="D64" s="19" t="s">
        <v>229</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230</v>
      </c>
      <c r="R64" s="29" t="b">
        <v>1</v>
      </c>
    </row>
    <row r="65" spans="1:18" ht="132.75" hidden="1" customHeight="1">
      <c r="A65" s="30" t="s">
        <v>18</v>
      </c>
      <c r="B65" s="31" t="s">
        <v>231</v>
      </c>
      <c r="C65" s="32" t="s">
        <v>232</v>
      </c>
      <c r="D65" s="33" t="s">
        <v>233</v>
      </c>
      <c r="E65" s="33"/>
      <c r="F65" s="72" t="s">
        <v>22</v>
      </c>
      <c r="G65" s="77">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234</v>
      </c>
      <c r="R65" s="44" t="b">
        <v>1</v>
      </c>
    </row>
    <row r="66" spans="1:18" ht="162" customHeight="1">
      <c r="A66" s="16" t="s">
        <v>18</v>
      </c>
      <c r="B66" s="17" t="s">
        <v>235</v>
      </c>
      <c r="C66" s="18" t="s">
        <v>236</v>
      </c>
      <c r="D66" s="19" t="s">
        <v>191</v>
      </c>
      <c r="E66" s="19"/>
      <c r="F66" s="54" t="s">
        <v>199</v>
      </c>
      <c r="G66" s="21">
        <v>100</v>
      </c>
      <c r="H66" s="22">
        <f>IF(OR(J66="",K66="",K66&lt;J66),0,NETWORKDAYS(J66,K66,Hoja2!$A$2:$A$53))</f>
        <v>6</v>
      </c>
      <c r="I66" s="45">
        <v>46045</v>
      </c>
      <c r="J66" s="45">
        <v>46045</v>
      </c>
      <c r="K66" s="24">
        <v>46052</v>
      </c>
      <c r="L66" s="24">
        <v>46050</v>
      </c>
      <c r="M66" s="25">
        <f ca="1">IF(OR(J66="",AND(L66="",TODAY()&lt;J66),AND(L66&lt;&gt;"",L66&lt;J66)),0,
   IF(L66="",
      NETWORKDAYS(J66,TODAY(),Hoja2!$A$2:$A$53),
      NETWORKDAYS(J66,L66,Hoja2!$A$2:$A$53)
   )
)</f>
        <v>4</v>
      </c>
      <c r="N66" s="24"/>
      <c r="O66" s="24">
        <v>46050</v>
      </c>
      <c r="P66" s="24"/>
      <c r="Q66" s="78" t="s">
        <v>237</v>
      </c>
      <c r="R66" s="80" t="s">
        <v>398</v>
      </c>
    </row>
    <row r="67" spans="1:18" ht="162" customHeight="1">
      <c r="A67" s="30" t="s">
        <v>18</v>
      </c>
      <c r="B67" s="31" t="s">
        <v>238</v>
      </c>
      <c r="C67" s="32" t="s">
        <v>239</v>
      </c>
      <c r="D67" s="33" t="s">
        <v>191</v>
      </c>
      <c r="E67" s="33"/>
      <c r="F67" s="72" t="s">
        <v>199</v>
      </c>
      <c r="G67" s="35">
        <v>100</v>
      </c>
      <c r="H67" s="36">
        <f>IF(OR(J67="",K67="",K67&lt;J67),0,NETWORKDAYS(J67,K67,Hoja2!$A$2:$A$53))</f>
        <v>2</v>
      </c>
      <c r="I67" s="38">
        <v>46050</v>
      </c>
      <c r="J67" s="38">
        <v>46050</v>
      </c>
      <c r="K67" s="39">
        <v>46051</v>
      </c>
      <c r="L67" s="39">
        <v>46056</v>
      </c>
      <c r="M67" s="40">
        <f ca="1">IF(OR(J67="",AND(L67="",TODAY()&lt;J67),AND(L67&lt;&gt;"",L67&lt;J67)),0,
   IF(L67="",
      NETWORKDAYS(J67,TODAY(),Hoja2!$A$2:$A$53),
      NETWORKDAYS(J67,L67,Hoja2!$A$2:$A$53)
   )
)</f>
        <v>5</v>
      </c>
      <c r="N67" s="39"/>
      <c r="O67" s="39">
        <v>46051</v>
      </c>
      <c r="P67" s="39"/>
      <c r="Q67" s="79" t="s">
        <v>240</v>
      </c>
      <c r="R67" s="73" t="s">
        <v>398</v>
      </c>
    </row>
    <row r="68" spans="1:18" ht="162" customHeight="1">
      <c r="A68" s="16" t="s">
        <v>18</v>
      </c>
      <c r="B68" s="17" t="s">
        <v>241</v>
      </c>
      <c r="C68" s="18" t="s">
        <v>242</v>
      </c>
      <c r="D68" s="19" t="s">
        <v>191</v>
      </c>
      <c r="E68" s="19"/>
      <c r="F68" s="54" t="s">
        <v>199</v>
      </c>
      <c r="G68" s="21">
        <v>100</v>
      </c>
      <c r="H68" s="22">
        <f>IF(OR(J68="",K68="",K68&lt;J68),0,NETWORKDAYS(J68,K68,Hoja2!$A$2:$A$53))</f>
        <v>2</v>
      </c>
      <c r="I68" s="45">
        <v>46051</v>
      </c>
      <c r="J68" s="45">
        <v>46051</v>
      </c>
      <c r="K68" s="24">
        <v>46052</v>
      </c>
      <c r="L68" s="24">
        <v>46056</v>
      </c>
      <c r="M68" s="25">
        <f ca="1">IF(OR(J68="",AND(L68="",TODAY()&lt;J68),AND(L68&lt;&gt;"",L68&lt;J68)),0,
   IF(L68="",
      NETWORKDAYS(J68,TODAY(),Hoja2!$A$2:$A$53),
      NETWORKDAYS(J68,L68,Hoja2!$A$2:$A$53)
   )
)</f>
        <v>4</v>
      </c>
      <c r="N68" s="24"/>
      <c r="O68" s="24">
        <v>46051</v>
      </c>
      <c r="P68" s="24"/>
      <c r="Q68" s="78" t="s">
        <v>240</v>
      </c>
      <c r="R68" s="80" t="s">
        <v>398</v>
      </c>
    </row>
    <row r="69" spans="1:18" ht="132.75" hidden="1" customHeight="1">
      <c r="A69" s="30" t="s">
        <v>18</v>
      </c>
      <c r="B69" s="31" t="s">
        <v>243</v>
      </c>
      <c r="C69" s="32" t="s">
        <v>244</v>
      </c>
      <c r="D69" s="33" t="s">
        <v>245</v>
      </c>
      <c r="E69" s="33"/>
      <c r="F69" s="72" t="s">
        <v>22</v>
      </c>
      <c r="G69" s="77">
        <v>100</v>
      </c>
      <c r="H69" s="36">
        <v>1</v>
      </c>
      <c r="I69" s="38">
        <v>46045</v>
      </c>
      <c r="J69" s="38">
        <v>46048</v>
      </c>
      <c r="K69" s="39">
        <v>46048</v>
      </c>
      <c r="L69" s="39">
        <v>46048</v>
      </c>
      <c r="M69" s="40">
        <f ca="1">IF(OR(J69="",AND(L69="",TODAY()&lt;J69),AND(L69&lt;&gt;"",L69&lt;J69)),0,
   IF(L69="",
      NETWORKDAYS(J69,TODAY(),Hoja2!$A$2:$A$53),
      NETWORKDAYS(J69,L69,Hoja2!$A$2:$A$53)
   )
)</f>
        <v>1</v>
      </c>
      <c r="N69" s="39"/>
      <c r="O69" s="39">
        <v>46048</v>
      </c>
      <c r="P69" s="39">
        <v>46048</v>
      </c>
      <c r="Q69" s="79" t="s">
        <v>246</v>
      </c>
      <c r="R69" s="44" t="b">
        <v>1</v>
      </c>
    </row>
    <row r="70" spans="1:18" ht="162" customHeight="1">
      <c r="A70" s="16" t="s">
        <v>18</v>
      </c>
      <c r="B70" s="17" t="s">
        <v>247</v>
      </c>
      <c r="C70" s="18" t="s">
        <v>248</v>
      </c>
      <c r="D70" s="19" t="s">
        <v>191</v>
      </c>
      <c r="E70" s="19"/>
      <c r="F70" s="54" t="s">
        <v>199</v>
      </c>
      <c r="G70" s="21">
        <v>100</v>
      </c>
      <c r="H70" s="22">
        <f>IF(OR(J70="",K70="",K70&lt;J70),0,NETWORKDAYS(J70,K70,Hoja2!$A$2:$A$53))</f>
        <v>2</v>
      </c>
      <c r="I70" s="45">
        <v>46056</v>
      </c>
      <c r="J70" s="45">
        <v>46056</v>
      </c>
      <c r="K70" s="24">
        <v>46057</v>
      </c>
      <c r="L70" s="24">
        <v>46057</v>
      </c>
      <c r="M70" s="25">
        <f ca="1">IF(OR(J70="",AND(L70="",TODAY()&lt;J70),AND(L70&lt;&gt;"",L70&lt;J70)),0,
   IF(L70="",
      NETWORKDAYS(J70,TODAY(),Hoja2!$A$2:$A$53),
      NETWORKDAYS(J70,L70,Hoja2!$A$2:$A$53)
   )
)</f>
        <v>2</v>
      </c>
      <c r="N70" s="24"/>
      <c r="O70" s="24">
        <v>46057</v>
      </c>
      <c r="P70" s="24"/>
      <c r="Q70" s="78" t="s">
        <v>249</v>
      </c>
      <c r="R70" s="80" t="s">
        <v>398</v>
      </c>
    </row>
    <row r="71" spans="1:18" ht="162" hidden="1" customHeight="1">
      <c r="A71" s="30" t="s">
        <v>18</v>
      </c>
      <c r="B71" s="31" t="s">
        <v>250</v>
      </c>
      <c r="C71" s="32" t="s">
        <v>251</v>
      </c>
      <c r="D71" s="33" t="s">
        <v>233</v>
      </c>
      <c r="E71" s="33"/>
      <c r="F71" s="72" t="s">
        <v>22</v>
      </c>
      <c r="G71" s="35">
        <v>100</v>
      </c>
      <c r="H71" s="36">
        <v>2</v>
      </c>
      <c r="I71" s="38">
        <v>46057</v>
      </c>
      <c r="J71" s="38">
        <v>46057</v>
      </c>
      <c r="K71" s="39">
        <v>46057</v>
      </c>
      <c r="L71" s="39">
        <v>46059</v>
      </c>
      <c r="M71" s="40">
        <f ca="1">IF(OR(J71="",AND(L71="",TODAY()&lt;J71),AND(L71&lt;&gt;"",L71&lt;J71)),0,
   IF(L71="",
      NETWORKDAYS(J71,TODAY(),Hoja2!$A$2:$A$53),
      NETWORKDAYS(J71,L71,Hoja2!$A$2:$A$53)
   )
)</f>
        <v>3</v>
      </c>
      <c r="N71" s="39"/>
      <c r="O71" s="39">
        <v>46057</v>
      </c>
      <c r="P71" s="39">
        <v>46070</v>
      </c>
      <c r="Q71" s="79" t="s">
        <v>252</v>
      </c>
      <c r="R71" s="73" t="b">
        <v>1</v>
      </c>
    </row>
    <row r="72" spans="1:18" ht="162" hidden="1" customHeight="1">
      <c r="A72" s="16" t="s">
        <v>18</v>
      </c>
      <c r="B72" s="17" t="s">
        <v>253</v>
      </c>
      <c r="C72" s="18" t="s">
        <v>254</v>
      </c>
      <c r="D72" s="19" t="s">
        <v>233</v>
      </c>
      <c r="E72" s="19"/>
      <c r="F72" s="54" t="s">
        <v>22</v>
      </c>
      <c r="G72" s="21">
        <v>100</v>
      </c>
      <c r="H72" s="22">
        <f>IF(OR(J72="",K72="",K72&lt;J72),0,NETWORKDAYS(J72,K72,Hoja2!$A$2:$A$53))</f>
        <v>1</v>
      </c>
      <c r="I72" s="45">
        <v>46057</v>
      </c>
      <c r="J72" s="45">
        <v>46057</v>
      </c>
      <c r="K72" s="24">
        <v>46057</v>
      </c>
      <c r="L72" s="24">
        <v>46058</v>
      </c>
      <c r="M72" s="25">
        <f ca="1">IF(OR(J72="",AND(L72="",TODAY()&lt;J72),AND(L72&lt;&gt;"",L72&lt;J72)),0,
   IF(L72="",
      NETWORKDAYS(J72,TODAY(),Hoja2!$A$2:$A$53),
      NETWORKDAYS(J72,L72,Hoja2!$A$2:$A$53)
   )
)</f>
        <v>2</v>
      </c>
      <c r="N72" s="24"/>
      <c r="O72" s="24">
        <v>46058</v>
      </c>
      <c r="P72" s="24">
        <v>46058</v>
      </c>
      <c r="Q72" s="78" t="s">
        <v>255</v>
      </c>
      <c r="R72" s="80" t="b">
        <v>1</v>
      </c>
    </row>
    <row r="73" spans="1:18" ht="162" hidden="1" customHeight="1">
      <c r="A73" s="30" t="s">
        <v>18</v>
      </c>
      <c r="B73" s="31" t="s">
        <v>256</v>
      </c>
      <c r="C73" s="32" t="s">
        <v>257</v>
      </c>
      <c r="D73" s="33" t="s">
        <v>134</v>
      </c>
      <c r="E73" s="33"/>
      <c r="F73" s="72" t="s">
        <v>22</v>
      </c>
      <c r="G73" s="35">
        <v>100</v>
      </c>
      <c r="H73" s="36">
        <f>IF(OR(J73="",K73="",K73&lt;J73),0,NETWORKDAYS(J73,K73,Hoja2!$A$2:$A$53))</f>
        <v>2</v>
      </c>
      <c r="I73" s="38">
        <v>46059</v>
      </c>
      <c r="J73" s="38">
        <v>46059</v>
      </c>
      <c r="K73" s="39">
        <v>46062</v>
      </c>
      <c r="L73" s="39">
        <v>46062</v>
      </c>
      <c r="M73" s="40">
        <f ca="1">IF(OR(J73="",AND(L73="",TODAY()&lt;J73),AND(L73&lt;&gt;"",L73&lt;J73)),0,
   IF(L73="",
      NETWORKDAYS(J73,TODAY(),Hoja2!$A$2:$A$53),
      NETWORKDAYS(J73,L73,Hoja2!$A$2:$A$53)
   )
)</f>
        <v>2</v>
      </c>
      <c r="N73" s="39"/>
      <c r="O73" s="39">
        <v>46062</v>
      </c>
      <c r="P73" s="39">
        <v>46062</v>
      </c>
      <c r="Q73" s="79" t="s">
        <v>258</v>
      </c>
      <c r="R73" s="73" t="b">
        <v>1</v>
      </c>
    </row>
    <row r="74" spans="1:18" ht="144" hidden="1" customHeight="1">
      <c r="A74" s="16" t="s">
        <v>18</v>
      </c>
      <c r="B74" s="17" t="s">
        <v>259</v>
      </c>
      <c r="C74" s="18" t="s">
        <v>260</v>
      </c>
      <c r="D74" s="19" t="s">
        <v>261</v>
      </c>
      <c r="E74" s="19"/>
      <c r="F74" s="54" t="s">
        <v>22</v>
      </c>
      <c r="G74" s="21">
        <v>100</v>
      </c>
      <c r="H74" s="22">
        <f>IF(OR(J74="",K74="",K74&lt;J74),0,NETWORKDAYS(J74,K74,Hoja2!$A$2:$A$53))</f>
        <v>3</v>
      </c>
      <c r="I74" s="45">
        <v>46062</v>
      </c>
      <c r="J74" s="45">
        <v>46063</v>
      </c>
      <c r="K74" s="24">
        <v>46065</v>
      </c>
      <c r="L74" s="24">
        <v>46070</v>
      </c>
      <c r="M74" s="25">
        <f ca="1">IF(OR(J74="",AND(L74="",TODAY()&lt;J74),AND(L74&lt;&gt;"",L74&lt;J74)),0,
   IF(L74="",
      NETWORKDAYS(J74,TODAY(),Hoja2!$A$2:$A$53),
      NETWORKDAYS(J74,L74,Hoja2!$A$2:$A$53)
   )
)</f>
        <v>6</v>
      </c>
      <c r="N74" s="24"/>
      <c r="O74" s="24">
        <v>46070</v>
      </c>
      <c r="P74" s="24">
        <v>46070</v>
      </c>
      <c r="Q74" s="78" t="s">
        <v>262</v>
      </c>
      <c r="R74" s="80" t="b">
        <v>1</v>
      </c>
    </row>
    <row r="75" spans="1:18" ht="162" customHeight="1">
      <c r="A75" s="30" t="s">
        <v>18</v>
      </c>
      <c r="B75" s="31" t="s">
        <v>263</v>
      </c>
      <c r="C75" s="32" t="s">
        <v>264</v>
      </c>
      <c r="D75" s="33" t="s">
        <v>134</v>
      </c>
      <c r="E75" s="33"/>
      <c r="F75" s="72" t="s">
        <v>22</v>
      </c>
      <c r="G75" s="35">
        <v>100</v>
      </c>
      <c r="H75" s="36">
        <f>IF(OR(J75="",K75="",K75&lt;J75),0,NETWORKDAYS(J75,K75,Hoja2!$A$2:$A$53))</f>
        <v>2</v>
      </c>
      <c r="I75" s="38">
        <v>46063</v>
      </c>
      <c r="J75" s="38">
        <v>46065</v>
      </c>
      <c r="K75" s="39">
        <v>46066</v>
      </c>
      <c r="L75" s="39">
        <v>46069</v>
      </c>
      <c r="M75" s="40">
        <f ca="1">IF(OR(J75="",AND(L75="",TODAY()&lt;J75),AND(L75&lt;&gt;"",L75&lt;J75)),0,
   IF(L75="",
      NETWORKDAYS(J75,TODAY(),Hoja2!$A$2:$A$53),
      NETWORKDAYS(J75,L75,Hoja2!$A$2:$A$53)
   )
)</f>
        <v>3</v>
      </c>
      <c r="N75" s="39"/>
      <c r="O75" s="39">
        <v>46069</v>
      </c>
      <c r="P75" s="39">
        <v>46069</v>
      </c>
      <c r="Q75" s="79" t="s">
        <v>265</v>
      </c>
      <c r="R75" s="73" t="s">
        <v>398</v>
      </c>
    </row>
    <row r="76" spans="1:18" ht="132.75" hidden="1" customHeight="1">
      <c r="A76" s="16" t="s">
        <v>18</v>
      </c>
      <c r="B76" s="17" t="s">
        <v>266</v>
      </c>
      <c r="C76" s="18" t="s">
        <v>267</v>
      </c>
      <c r="D76" s="19" t="s">
        <v>268</v>
      </c>
      <c r="E76" s="19"/>
      <c r="F76" s="54" t="s">
        <v>22</v>
      </c>
      <c r="G76" s="66">
        <v>100</v>
      </c>
      <c r="H76" s="22">
        <f>IF(OR(J76="",K76="",K76&lt;J76),0,NETWORKDAYS(J76,K76,Hoja2!$A$2:$A$53))</f>
        <v>2</v>
      </c>
      <c r="I76" s="45">
        <v>46070</v>
      </c>
      <c r="J76" s="45">
        <v>46070</v>
      </c>
      <c r="K76" s="24">
        <v>46071</v>
      </c>
      <c r="L76" s="24">
        <v>46072</v>
      </c>
      <c r="M76" s="25">
        <f ca="1">IF(OR(J76="",AND(L76="",TODAY()&lt;J76),AND(L76&lt;&gt;"",L76&lt;J76)),0,
   IF(L76="",
      NETWORKDAYS(J76,TODAY(),Hoja2!$A$2:$A$53),
      NETWORKDAYS(J76,L76,Hoja2!$A$2:$A$53)
   )
)</f>
        <v>3</v>
      </c>
      <c r="N76" s="24"/>
      <c r="O76" s="24">
        <v>46072</v>
      </c>
      <c r="P76" s="24">
        <v>46072</v>
      </c>
      <c r="Q76" s="78" t="s">
        <v>269</v>
      </c>
      <c r="R76" s="29" t="b">
        <v>1</v>
      </c>
    </row>
    <row r="77" spans="1:18" ht="176.25" hidden="1" customHeight="1">
      <c r="A77" s="30" t="s">
        <v>18</v>
      </c>
      <c r="B77" s="31" t="s">
        <v>270</v>
      </c>
      <c r="C77" s="32" t="s">
        <v>271</v>
      </c>
      <c r="D77" s="33" t="s">
        <v>233</v>
      </c>
      <c r="E77" s="33"/>
      <c r="F77" s="72" t="s">
        <v>22</v>
      </c>
      <c r="G77" s="35">
        <v>100</v>
      </c>
      <c r="H77" s="36">
        <f>IF(OR(J77="",K77="",K77&lt;J77),0,NETWORKDAYS(J77,K77,Hoja2!$A$2:$A$53))</f>
        <v>3</v>
      </c>
      <c r="I77" s="38">
        <v>46072</v>
      </c>
      <c r="J77" s="38">
        <v>46072</v>
      </c>
      <c r="K77" s="39">
        <v>46076</v>
      </c>
      <c r="L77" s="39">
        <v>46073</v>
      </c>
      <c r="M77" s="40">
        <f ca="1">IF(OR(J77="",AND(L77="",TODAY()&lt;J77),AND(L77&lt;&gt;"",L77&lt;J77)),0,
   IF(L77="",
      NETWORKDAYS(J77,TODAY(),Hoja2!$A$2:$A$53),
      NETWORKDAYS(J77,L77,Hoja2!$A$2:$A$53)
   )
)</f>
        <v>2</v>
      </c>
      <c r="N77" s="39"/>
      <c r="O77" s="39">
        <v>46073</v>
      </c>
      <c r="P77" s="39">
        <v>46073</v>
      </c>
      <c r="Q77" s="79" t="s">
        <v>272</v>
      </c>
      <c r="R77" s="73" t="b">
        <v>1</v>
      </c>
    </row>
    <row r="78" spans="1:18" ht="132.75" hidden="1" customHeight="1">
      <c r="A78" s="16" t="s">
        <v>18</v>
      </c>
      <c r="B78" s="17" t="s">
        <v>273</v>
      </c>
      <c r="C78" s="18" t="s">
        <v>274</v>
      </c>
      <c r="D78" s="19" t="s">
        <v>275</v>
      </c>
      <c r="E78" s="19"/>
      <c r="F78" s="54" t="s">
        <v>22</v>
      </c>
      <c r="G78" s="66">
        <v>100</v>
      </c>
      <c r="H78" s="22">
        <f>IF(OR(J78="",K78="",K78&lt;J78),0,NETWORKDAYS(J78,K78,Hoja2!$A$2:$A$53))</f>
        <v>4</v>
      </c>
      <c r="I78" s="45">
        <v>46076</v>
      </c>
      <c r="J78" s="45">
        <v>46076</v>
      </c>
      <c r="K78" s="24">
        <v>46079</v>
      </c>
      <c r="L78" s="24">
        <v>46080</v>
      </c>
      <c r="M78" s="25">
        <f ca="1">IF(OR(J78="",AND(L78="",TODAY()&lt;J78),AND(L78&lt;&gt;"",L78&lt;J78)),0,
   IF(L78="",
      NETWORKDAYS(J78,TODAY(),Hoja2!$A$2:$A$53),
      NETWORKDAYS(J78,L78,Hoja2!$A$2:$A$53)
   )
)</f>
        <v>5</v>
      </c>
      <c r="N78" s="24"/>
      <c r="O78" s="24">
        <v>46080</v>
      </c>
      <c r="P78" s="24">
        <v>46080</v>
      </c>
      <c r="Q78" s="78" t="s">
        <v>276</v>
      </c>
      <c r="R78" s="29" t="b">
        <v>1</v>
      </c>
    </row>
    <row r="79" spans="1:18" ht="132.75" hidden="1" customHeight="1">
      <c r="A79" s="30" t="s">
        <v>18</v>
      </c>
      <c r="B79" s="31" t="s">
        <v>277</v>
      </c>
      <c r="C79" s="32" t="s">
        <v>278</v>
      </c>
      <c r="D79" s="33" t="s">
        <v>279</v>
      </c>
      <c r="E79" s="33"/>
      <c r="F79" s="72" t="s">
        <v>22</v>
      </c>
      <c r="G79" s="77">
        <v>100</v>
      </c>
      <c r="H79" s="36">
        <f>IF(OR(J79="",K79="",K79&lt;J79),0,NETWORKDAYS(J79,K79,Hoja2!$A$2:$A$53))</f>
        <v>2</v>
      </c>
      <c r="I79" s="38">
        <v>46076</v>
      </c>
      <c r="J79" s="38">
        <v>46076</v>
      </c>
      <c r="K79" s="39">
        <v>46077</v>
      </c>
      <c r="L79" s="39">
        <v>46077</v>
      </c>
      <c r="M79" s="40">
        <f ca="1">IF(OR(J79="",AND(L79="",TODAY()&lt;J79),AND(L79&lt;&gt;"",L79&lt;J79)),0,
   IF(L79="",
      NETWORKDAYS(J79,TODAY(),Hoja2!$A$2:$A$53),
      NETWORKDAYS(J79,L79,Hoja2!$A$2:$A$53)
   )
)</f>
        <v>2</v>
      </c>
      <c r="N79" s="39"/>
      <c r="O79" s="39">
        <v>46077</v>
      </c>
      <c r="P79" s="39">
        <v>46077</v>
      </c>
      <c r="Q79" s="79" t="s">
        <v>280</v>
      </c>
      <c r="R79" s="44" t="b">
        <v>1</v>
      </c>
    </row>
    <row r="80" spans="1:18" ht="153" hidden="1" customHeight="1">
      <c r="A80" s="16" t="s">
        <v>18</v>
      </c>
      <c r="B80" s="17" t="s">
        <v>281</v>
      </c>
      <c r="C80" s="18" t="s">
        <v>282</v>
      </c>
      <c r="D80" s="19" t="s">
        <v>283</v>
      </c>
      <c r="E80" s="19"/>
      <c r="F80" s="54" t="s">
        <v>22</v>
      </c>
      <c r="G80" s="66">
        <v>100</v>
      </c>
      <c r="H80" s="22">
        <f>IF(OR(J80="",K80="",K80&lt;J80),0,NETWORKDAYS(J80,K80,Hoja2!$A$2:$A$53))</f>
        <v>4</v>
      </c>
      <c r="I80" s="45">
        <v>46078</v>
      </c>
      <c r="J80" s="45">
        <v>46079</v>
      </c>
      <c r="K80" s="24">
        <v>46084</v>
      </c>
      <c r="L80" s="24">
        <v>46084</v>
      </c>
      <c r="M80" s="25">
        <f ca="1">IF(OR(J80="",AND(L80="",TODAY()&lt;J80),AND(L80&lt;&gt;"",L80&lt;J80)),0,
   IF(L80="",
      NETWORKDAYS(J80,TODAY(),Hoja2!$A$2:$A$53),
      NETWORKDAYS(J80,L80,Hoja2!$A$2:$A$53)
   )
)</f>
        <v>4</v>
      </c>
      <c r="N80" s="24">
        <v>46084</v>
      </c>
      <c r="O80" s="24">
        <v>46084</v>
      </c>
      <c r="P80" s="24">
        <v>46084</v>
      </c>
      <c r="Q80" s="78" t="s">
        <v>284</v>
      </c>
      <c r="R80" s="29" t="b">
        <v>1</v>
      </c>
    </row>
    <row r="81" spans="1:18" ht="132.75" customHeight="1">
      <c r="A81" s="30" t="s">
        <v>18</v>
      </c>
      <c r="B81" s="31" t="s">
        <v>285</v>
      </c>
      <c r="C81" s="32" t="s">
        <v>286</v>
      </c>
      <c r="D81" s="33" t="s">
        <v>287</v>
      </c>
      <c r="E81" s="33"/>
      <c r="F81" s="72" t="s">
        <v>199</v>
      </c>
      <c r="G81" s="77">
        <v>80</v>
      </c>
      <c r="H81" s="36">
        <f>IF(OR(J81="",K81="",K81&lt;J81),0,NETWORKDAYS(J81,K81,Hoja2!$A$2:$A$53))</f>
        <v>3</v>
      </c>
      <c r="I81" s="38">
        <v>46083</v>
      </c>
      <c r="J81" s="38">
        <v>46083</v>
      </c>
      <c r="K81" s="39">
        <v>46085</v>
      </c>
      <c r="L81" s="39"/>
      <c r="M81" s="40">
        <f ca="1">IF(OR(J81="",AND(L81="",TODAY()&lt;J81),AND(L81&lt;&gt;"",L81&lt;J81)),0,
   IF(L81="",
      NETWORKDAYS(J81,TODAY(),Hoja2!$A$2:$A$53),
      NETWORKDAYS(J81,L81,Hoja2!$A$2:$A$53)
   )
)</f>
        <v>5</v>
      </c>
      <c r="N81" s="39"/>
      <c r="O81" s="39">
        <v>46084</v>
      </c>
      <c r="P81" s="39"/>
      <c r="Q81" s="79" t="s">
        <v>288</v>
      </c>
      <c r="R81" s="44" t="s">
        <v>398</v>
      </c>
    </row>
    <row r="82" spans="1:18" ht="153" customHeight="1">
      <c r="A82" s="16" t="s">
        <v>18</v>
      </c>
      <c r="B82" s="17" t="s">
        <v>289</v>
      </c>
      <c r="C82" s="18" t="s">
        <v>290</v>
      </c>
      <c r="D82" s="19" t="s">
        <v>291</v>
      </c>
      <c r="E82" s="19"/>
      <c r="F82" s="54" t="s">
        <v>292</v>
      </c>
      <c r="G82" s="66">
        <v>80</v>
      </c>
      <c r="H82" s="22">
        <f>IF(OR(J82="",K82="",K82&lt;J82),0,NETWORKDAYS(J82,K82,Hoja2!$A$2:$A$53))</f>
        <v>3</v>
      </c>
      <c r="I82" s="45">
        <v>46085</v>
      </c>
      <c r="J82" s="45">
        <v>46085</v>
      </c>
      <c r="K82" s="24">
        <v>46087</v>
      </c>
      <c r="L82" s="24"/>
      <c r="M82" s="25">
        <f ca="1">IF(OR(J82="",AND(L82="",TODAY()&lt;J82),AND(L82&lt;&gt;"",L82&lt;J82)),0,
   IF(L82="",
      NETWORKDAYS(J82,TODAY(),Hoja2!$A$2:$A$53),
      NETWORKDAYS(J82,L82,Hoja2!$A$2:$A$53)
   )
)</f>
        <v>3</v>
      </c>
      <c r="N82" s="24"/>
      <c r="O82" s="24"/>
      <c r="P82" s="24"/>
      <c r="Q82" s="78" t="s">
        <v>293</v>
      </c>
      <c r="R82" s="29" t="s">
        <v>398</v>
      </c>
    </row>
  </sheetData>
  <autoFilter ref="A1:AN82">
    <filterColumn colId="15">
      <filters blank="1">
        <filter val="16/02/2026"/>
      </filters>
    </filterColumn>
  </autoFilter>
  <conditionalFormatting sqref="B1:B82">
    <cfRule type="expression" dxfId="0" priority="2">
      <formula>COUNTIF(B$1:B$82, B1)&gt;1</formula>
    </cfRule>
  </conditionalFormatting>
  <dataValidations count="2">
    <dataValidation type="custom" allowBlank="1" showDropDown="1" sqref="I2:L20 I21 K21:L21 I22:L82 N2:P82">
      <formula1>OR(NOT(ISERROR(DATEVALUE(I2))), AND(ISNUMBER(I2), LEFT(CELL("format", I2))="D"))</formula1>
    </dataValidation>
    <dataValidation type="list" allowBlank="1" sqref="F2:F82">
      <formula1>"FINALIZADO,EN PROCESO,PAUSADO,EN TEST,PENDIENTE,PRUEBAS CLIENTE,PRUEBAS IMAGINE,CANCELADO"</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81" t="s">
        <v>0</v>
      </c>
      <c r="B1" s="2" t="s">
        <v>1</v>
      </c>
      <c r="C1" s="3" t="s">
        <v>2</v>
      </c>
      <c r="D1" s="4" t="s">
        <v>3</v>
      </c>
      <c r="E1" s="5" t="s">
        <v>4</v>
      </c>
      <c r="F1" s="6" t="s">
        <v>5</v>
      </c>
      <c r="G1" s="82" t="s">
        <v>6</v>
      </c>
      <c r="H1" s="83" t="s">
        <v>294</v>
      </c>
      <c r="I1" s="84" t="s">
        <v>8</v>
      </c>
      <c r="J1" s="84" t="s">
        <v>9</v>
      </c>
      <c r="K1" s="85" t="s">
        <v>10</v>
      </c>
      <c r="L1" s="85" t="s">
        <v>11</v>
      </c>
      <c r="M1" s="84" t="s">
        <v>295</v>
      </c>
      <c r="N1" s="86" t="s">
        <v>14</v>
      </c>
      <c r="O1" s="86"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87" t="s">
        <v>296</v>
      </c>
      <c r="B2" s="88" t="s">
        <v>19</v>
      </c>
      <c r="C2" s="89" t="s">
        <v>297</v>
      </c>
      <c r="D2" s="88" t="s">
        <v>21</v>
      </c>
      <c r="E2" s="88" t="s">
        <v>298</v>
      </c>
      <c r="F2" s="90" t="s">
        <v>22</v>
      </c>
      <c r="G2" s="91">
        <v>1</v>
      </c>
      <c r="H2" s="92">
        <v>1</v>
      </c>
      <c r="I2" s="93">
        <v>45826</v>
      </c>
      <c r="J2" s="93">
        <v>45827</v>
      </c>
      <c r="K2" s="94">
        <v>45827</v>
      </c>
      <c r="L2" s="94">
        <v>45827</v>
      </c>
      <c r="M2" s="95">
        <f ca="1">IF(ISBLANK(L2), NETWORKDAYS(J2, TODAY(),Hoja2!$A$1:$A$18), NETWORKDAYS(J2, L2, Hoja2!$A$1:$A$18))</f>
        <v>1</v>
      </c>
      <c r="N2" s="96"/>
      <c r="O2" s="97"/>
      <c r="P2" s="98" t="s">
        <v>23</v>
      </c>
    </row>
    <row r="3" spans="1:39" ht="29.25" customHeight="1">
      <c r="A3" s="87" t="s">
        <v>296</v>
      </c>
      <c r="B3" s="88" t="s">
        <v>24</v>
      </c>
      <c r="C3" s="89" t="s">
        <v>297</v>
      </c>
      <c r="D3" s="88" t="s">
        <v>21</v>
      </c>
      <c r="E3" s="88" t="s">
        <v>299</v>
      </c>
      <c r="F3" s="90" t="s">
        <v>22</v>
      </c>
      <c r="G3" s="91">
        <v>1</v>
      </c>
      <c r="H3" s="92">
        <v>1</v>
      </c>
      <c r="I3" s="93">
        <v>45827</v>
      </c>
      <c r="J3" s="99">
        <v>45832</v>
      </c>
      <c r="K3" s="94">
        <v>45832</v>
      </c>
      <c r="L3" s="94">
        <v>45832</v>
      </c>
      <c r="M3" s="95">
        <f ca="1">IF(ISBLANK(L3), NETWORKDAYS(J3, TODAY(),Hoja2!$A$1:$A$18), NETWORKDAYS(J3, L3, Hoja2!$A$1:$A$18))</f>
        <v>1</v>
      </c>
      <c r="N3" s="96"/>
      <c r="O3" s="97"/>
      <c r="P3" s="100" t="s">
        <v>26</v>
      </c>
    </row>
    <row r="4" spans="1:39" ht="39" customHeight="1">
      <c r="A4" s="87" t="s">
        <v>296</v>
      </c>
      <c r="B4" s="88" t="s">
        <v>27</v>
      </c>
      <c r="C4" s="89" t="s">
        <v>300</v>
      </c>
      <c r="D4" s="88" t="s">
        <v>29</v>
      </c>
      <c r="E4" s="88" t="s">
        <v>301</v>
      </c>
      <c r="F4" s="90" t="s">
        <v>22</v>
      </c>
      <c r="G4" s="101">
        <v>1</v>
      </c>
      <c r="H4" s="102">
        <v>1</v>
      </c>
      <c r="I4" s="99">
        <v>45832</v>
      </c>
      <c r="J4" s="99">
        <v>45839</v>
      </c>
      <c r="K4" s="94">
        <v>45833</v>
      </c>
      <c r="L4" s="94">
        <v>45839</v>
      </c>
      <c r="M4" s="95">
        <f ca="1">IF(ISBLANK(L4), NETWORKDAYS(J4, TODAY(),Hoja2!$A$1:$A$18), NETWORKDAYS(J4, L4, Hoja2!$A$1:$A$18))</f>
        <v>1</v>
      </c>
      <c r="N4" s="94">
        <v>45839</v>
      </c>
      <c r="O4" s="94">
        <v>45853</v>
      </c>
      <c r="P4" s="103" t="s">
        <v>30</v>
      </c>
    </row>
    <row r="5" spans="1:39" ht="127.5">
      <c r="A5" s="87" t="s">
        <v>296</v>
      </c>
      <c r="B5" s="88" t="s">
        <v>31</v>
      </c>
      <c r="C5" s="89" t="s">
        <v>300</v>
      </c>
      <c r="D5" s="88" t="s">
        <v>29</v>
      </c>
      <c r="E5" s="104" t="s">
        <v>302</v>
      </c>
      <c r="F5" s="90" t="s">
        <v>22</v>
      </c>
      <c r="G5" s="101">
        <v>1</v>
      </c>
      <c r="H5" s="105">
        <v>2</v>
      </c>
      <c r="I5" s="99">
        <v>45839</v>
      </c>
      <c r="J5" s="99">
        <v>45839</v>
      </c>
      <c r="K5" s="94">
        <v>45840</v>
      </c>
      <c r="L5" s="94">
        <v>45848</v>
      </c>
      <c r="M5" s="95">
        <f ca="1">IF(ISBLANK(L5), NETWORKDAYS(J5, TODAY(),Hoja2!$A$1:$A$18), NETWORKDAYS(J5, L5, Hoja2!$A$1:$A$18))</f>
        <v>8</v>
      </c>
      <c r="N5" s="94">
        <v>45848</v>
      </c>
      <c r="O5" s="94">
        <v>45853</v>
      </c>
      <c r="P5" s="100" t="s">
        <v>33</v>
      </c>
    </row>
    <row r="6" spans="1:39" ht="29.25" customHeight="1">
      <c r="A6" s="87" t="s">
        <v>296</v>
      </c>
      <c r="B6" s="88" t="s">
        <v>34</v>
      </c>
      <c r="C6" s="89" t="s">
        <v>300</v>
      </c>
      <c r="D6" s="88" t="s">
        <v>29</v>
      </c>
      <c r="E6" s="106" t="s">
        <v>303</v>
      </c>
      <c r="F6" s="107" t="s">
        <v>22</v>
      </c>
      <c r="G6" s="101">
        <v>1</v>
      </c>
      <c r="H6" s="108">
        <v>1</v>
      </c>
      <c r="I6" s="99">
        <v>45839</v>
      </c>
      <c r="J6" s="99">
        <v>45840</v>
      </c>
      <c r="K6" s="94">
        <v>45840</v>
      </c>
      <c r="L6" s="94">
        <v>45840</v>
      </c>
      <c r="M6" s="95">
        <f ca="1">IF(ISBLANK(L6), NETWORKDAYS(J6, TODAY(),Hoja2!$A$1:$A$18), NETWORKDAYS(J6, L6, Hoja2!$A$1:$A$18))</f>
        <v>1</v>
      </c>
      <c r="N6" s="94">
        <v>45840</v>
      </c>
      <c r="O6" s="94">
        <v>45853</v>
      </c>
      <c r="P6" s="100" t="s">
        <v>36</v>
      </c>
    </row>
    <row r="7" spans="1:39" ht="29.25" customHeight="1">
      <c r="A7" s="87" t="s">
        <v>296</v>
      </c>
      <c r="B7" s="88" t="s">
        <v>37</v>
      </c>
      <c r="C7" s="89" t="s">
        <v>300</v>
      </c>
      <c r="D7" s="88" t="s">
        <v>29</v>
      </c>
      <c r="E7" s="88" t="s">
        <v>304</v>
      </c>
      <c r="F7" s="109" t="s">
        <v>22</v>
      </c>
      <c r="G7" s="101">
        <v>1</v>
      </c>
      <c r="H7" s="105">
        <v>1</v>
      </c>
      <c r="I7" s="110">
        <v>45847</v>
      </c>
      <c r="J7" s="110">
        <v>45847</v>
      </c>
      <c r="K7" s="94">
        <v>45848</v>
      </c>
      <c r="L7" s="94">
        <v>45848</v>
      </c>
      <c r="M7" s="95">
        <f ca="1">IF(ISBLANK(L7), NETWORKDAYS(J7, TODAY(),Hoja2!$A$1:$A$18), NETWORKDAYS(J7, L7, Hoja2!$A$1:$A$18))</f>
        <v>2</v>
      </c>
      <c r="N7" s="94">
        <v>45848</v>
      </c>
      <c r="O7" s="94">
        <v>45853</v>
      </c>
      <c r="P7" s="100" t="s">
        <v>39</v>
      </c>
    </row>
    <row r="8" spans="1:39" ht="29.25" customHeight="1">
      <c r="A8" s="87" t="s">
        <v>296</v>
      </c>
      <c r="B8" s="88" t="s">
        <v>40</v>
      </c>
      <c r="C8" s="89" t="s">
        <v>305</v>
      </c>
      <c r="D8" s="88" t="s">
        <v>42</v>
      </c>
      <c r="E8" s="111" t="s">
        <v>306</v>
      </c>
      <c r="F8" s="90" t="s">
        <v>22</v>
      </c>
      <c r="G8" s="101">
        <v>1</v>
      </c>
      <c r="H8" s="102">
        <v>1</v>
      </c>
      <c r="I8" s="99">
        <v>45832</v>
      </c>
      <c r="J8" s="99">
        <v>45832</v>
      </c>
      <c r="K8" s="94">
        <v>45832</v>
      </c>
      <c r="L8" s="94">
        <v>45832</v>
      </c>
      <c r="M8" s="95">
        <f ca="1">IF(ISBLANK(L8), NETWORKDAYS(J8, TODAY(),Hoja2!$A$1:$A$18), NETWORKDAYS(J8, L8, Hoja2!$A$1:$A$18))</f>
        <v>1</v>
      </c>
      <c r="N8" s="112"/>
      <c r="O8" s="113"/>
      <c r="P8" s="114" t="s">
        <v>43</v>
      </c>
    </row>
    <row r="9" spans="1:39" ht="29.25" customHeight="1">
      <c r="A9" s="87" t="s">
        <v>296</v>
      </c>
      <c r="B9" s="88" t="s">
        <v>44</v>
      </c>
      <c r="C9" s="115" t="s">
        <v>307</v>
      </c>
      <c r="D9" s="116"/>
      <c r="E9" s="88" t="s">
        <v>308</v>
      </c>
      <c r="F9" s="109" t="s">
        <v>22</v>
      </c>
      <c r="G9" s="101">
        <v>1</v>
      </c>
      <c r="H9" s="105">
        <v>1</v>
      </c>
      <c r="I9" s="110">
        <v>45847</v>
      </c>
      <c r="J9" s="110">
        <v>45847</v>
      </c>
      <c r="K9" s="94">
        <v>45847</v>
      </c>
      <c r="L9" s="94">
        <v>45847</v>
      </c>
      <c r="M9" s="95">
        <f ca="1">IF(ISBLANK(L9), NETWORKDAYS(J9, TODAY(),Hoja2!$A$1:$A$18), NETWORKDAYS(J9, L9, Hoja2!$A$1:$A$18))</f>
        <v>1</v>
      </c>
      <c r="N9" s="94">
        <v>45847</v>
      </c>
      <c r="O9" s="113"/>
      <c r="P9" s="100" t="s">
        <v>46</v>
      </c>
    </row>
    <row r="10" spans="1:39" ht="93" customHeight="1">
      <c r="A10" s="87" t="s">
        <v>296</v>
      </c>
      <c r="B10" s="88" t="s">
        <v>47</v>
      </c>
      <c r="C10" s="115" t="s">
        <v>309</v>
      </c>
      <c r="D10" s="116"/>
      <c r="E10" s="88" t="s">
        <v>310</v>
      </c>
      <c r="F10" s="109" t="s">
        <v>22</v>
      </c>
      <c r="G10" s="101">
        <v>1</v>
      </c>
      <c r="H10" s="105">
        <v>1</v>
      </c>
      <c r="I10" s="110">
        <v>45849</v>
      </c>
      <c r="J10" s="110">
        <v>45849</v>
      </c>
      <c r="K10" s="117">
        <v>45849</v>
      </c>
      <c r="L10" s="117">
        <v>45849</v>
      </c>
      <c r="M10" s="95">
        <f ca="1">IF(ISBLANK(L10), NETWORKDAYS(J10, TODAY(),Hoja2!$A$1:$A$18), NETWORKDAYS(J10, L10, Hoja2!$A$1:$A$18))</f>
        <v>1</v>
      </c>
      <c r="N10" s="117"/>
      <c r="O10" s="113"/>
      <c r="P10" s="100" t="s">
        <v>49</v>
      </c>
    </row>
    <row r="11" spans="1:39" ht="409.5">
      <c r="A11" s="87" t="s">
        <v>296</v>
      </c>
      <c r="B11" s="88" t="s">
        <v>50</v>
      </c>
      <c r="C11" s="89" t="s">
        <v>305</v>
      </c>
      <c r="D11" s="88" t="s">
        <v>42</v>
      </c>
      <c r="E11" s="118" t="s">
        <v>311</v>
      </c>
      <c r="F11" s="109" t="s">
        <v>22</v>
      </c>
      <c r="G11" s="101">
        <v>1</v>
      </c>
      <c r="H11" s="105">
        <v>1</v>
      </c>
      <c r="I11" s="110">
        <v>45854</v>
      </c>
      <c r="J11" s="110">
        <v>45854</v>
      </c>
      <c r="K11" s="117">
        <v>45854</v>
      </c>
      <c r="L11" s="117">
        <v>45854</v>
      </c>
      <c r="M11" s="95">
        <f ca="1">IF(ISBLANK(L11), NETWORKDAYS(J11, TODAY(),Hoja2!$A$1:$A$18), NETWORKDAYS(J11, L11, Hoja2!$A$1:$A$18))</f>
        <v>1</v>
      </c>
      <c r="N11" s="117">
        <v>45854</v>
      </c>
      <c r="O11" s="113"/>
      <c r="P11" s="100" t="s">
        <v>52</v>
      </c>
    </row>
    <row r="12" spans="1:39" ht="29.25" customHeight="1">
      <c r="A12" s="87" t="s">
        <v>296</v>
      </c>
      <c r="B12" s="88" t="s">
        <v>53</v>
      </c>
      <c r="C12" s="119" t="s">
        <v>312</v>
      </c>
      <c r="D12" s="88" t="s">
        <v>55</v>
      </c>
      <c r="E12" s="88" t="s">
        <v>313</v>
      </c>
      <c r="F12" s="109" t="s">
        <v>22</v>
      </c>
      <c r="G12" s="101">
        <v>1</v>
      </c>
      <c r="H12" s="105">
        <v>5</v>
      </c>
      <c r="I12" s="110">
        <v>45855</v>
      </c>
      <c r="J12" s="110">
        <v>45856</v>
      </c>
      <c r="K12" s="117">
        <v>45862</v>
      </c>
      <c r="L12" s="117">
        <v>45861</v>
      </c>
      <c r="M12" s="95">
        <f ca="1">IF(ISBLANK(K12), NETWORKDAYS(J12, TODAY(),Hoja2!$A$1:$A$18), NETWORKDAYS(J12, K12, Hoja2!$A$1:$A$18))</f>
        <v>5</v>
      </c>
      <c r="N12" s="117">
        <v>45861</v>
      </c>
      <c r="O12" s="113"/>
      <c r="P12" s="100" t="s">
        <v>56</v>
      </c>
    </row>
    <row r="13" spans="1:39" ht="29.25" customHeight="1">
      <c r="A13" s="87" t="s">
        <v>296</v>
      </c>
      <c r="B13" s="88" t="s">
        <v>57</v>
      </c>
      <c r="C13" s="115" t="s">
        <v>314</v>
      </c>
      <c r="D13" s="88" t="s">
        <v>59</v>
      </c>
      <c r="E13" s="88" t="s">
        <v>315</v>
      </c>
      <c r="F13" s="109" t="s">
        <v>22</v>
      </c>
      <c r="G13" s="101">
        <v>1</v>
      </c>
      <c r="H13" s="105">
        <v>1</v>
      </c>
      <c r="I13" s="110">
        <v>45860</v>
      </c>
      <c r="J13" s="110">
        <v>45860</v>
      </c>
      <c r="K13" s="117">
        <v>45860</v>
      </c>
      <c r="L13" s="117">
        <v>45860</v>
      </c>
      <c r="M13" s="95">
        <f ca="1">IF(ISBLANK(L13), NETWORKDAYS(J13, TODAY(),Hoja2!$A$1:$A$18), NETWORKDAYS(J13, L13, Hoja2!$A$1:$A$18))</f>
        <v>1</v>
      </c>
      <c r="N13" s="112"/>
      <c r="O13" s="113"/>
      <c r="P13" s="100" t="s">
        <v>60</v>
      </c>
    </row>
    <row r="14" spans="1:39" ht="29.25" customHeight="1">
      <c r="A14" s="87" t="s">
        <v>296</v>
      </c>
      <c r="B14" s="88" t="s">
        <v>61</v>
      </c>
      <c r="C14" s="119" t="s">
        <v>80</v>
      </c>
      <c r="D14" s="120"/>
      <c r="E14" s="106" t="s">
        <v>316</v>
      </c>
      <c r="F14" s="114" t="s">
        <v>22</v>
      </c>
      <c r="G14" s="101">
        <v>1</v>
      </c>
      <c r="H14" s="105">
        <v>2</v>
      </c>
      <c r="I14" s="110">
        <v>45863</v>
      </c>
      <c r="J14" s="110">
        <v>45863</v>
      </c>
      <c r="K14" s="117">
        <v>45866</v>
      </c>
      <c r="L14" s="117">
        <v>45866</v>
      </c>
      <c r="M14" s="95">
        <f ca="1">IF(ISBLANK(L14), NETWORKDAYS(J14, TODAY(),Hoja2!$A$1:$A$18), NETWORKDAYS(J14, L14, Hoja2!$A$1:$A$18))</f>
        <v>2</v>
      </c>
      <c r="N14" s="112"/>
      <c r="O14" s="113"/>
      <c r="P14" s="100"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21">
        <v>45292</v>
      </c>
      <c r="B1" s="122" t="s">
        <v>317</v>
      </c>
    </row>
    <row r="2" spans="1:2" ht="17.25" customHeight="1">
      <c r="A2" s="121">
        <v>45299</v>
      </c>
      <c r="B2" s="122" t="s">
        <v>318</v>
      </c>
    </row>
    <row r="3" spans="1:2" ht="17.25" customHeight="1">
      <c r="A3" s="121">
        <v>45376</v>
      </c>
      <c r="B3" s="122" t="s">
        <v>319</v>
      </c>
    </row>
    <row r="4" spans="1:2" ht="17.25" customHeight="1">
      <c r="A4" s="121">
        <v>45379</v>
      </c>
      <c r="B4" s="122" t="s">
        <v>320</v>
      </c>
    </row>
    <row r="5" spans="1:2" ht="17.25" customHeight="1">
      <c r="A5" s="121">
        <v>45380</v>
      </c>
      <c r="B5" s="122" t="s">
        <v>321</v>
      </c>
    </row>
    <row r="6" spans="1:2" ht="17.25" customHeight="1">
      <c r="A6" s="121">
        <v>45413</v>
      </c>
      <c r="B6" s="122" t="s">
        <v>322</v>
      </c>
    </row>
    <row r="7" spans="1:2" ht="17.25" customHeight="1">
      <c r="A7" s="121">
        <v>45425</v>
      </c>
      <c r="B7" s="122" t="s">
        <v>323</v>
      </c>
    </row>
    <row r="8" spans="1:2" ht="17.25" customHeight="1">
      <c r="A8" s="121">
        <v>45446</v>
      </c>
      <c r="B8" s="122" t="s">
        <v>324</v>
      </c>
    </row>
    <row r="9" spans="1:2" ht="17.25" customHeight="1">
      <c r="A9" s="121">
        <v>45453</v>
      </c>
      <c r="B9" s="122" t="s">
        <v>325</v>
      </c>
    </row>
    <row r="10" spans="1:2" ht="17.25" customHeight="1">
      <c r="A10" s="121">
        <v>45474</v>
      </c>
      <c r="B10" s="122" t="s">
        <v>326</v>
      </c>
    </row>
    <row r="11" spans="1:2" ht="17.25" customHeight="1">
      <c r="A11" s="121">
        <v>45493</v>
      </c>
      <c r="B11" s="122" t="s">
        <v>327</v>
      </c>
    </row>
    <row r="12" spans="1:2" ht="17.25" customHeight="1">
      <c r="A12" s="121">
        <v>45511</v>
      </c>
      <c r="B12" s="122" t="s">
        <v>328</v>
      </c>
    </row>
    <row r="13" spans="1:2" ht="17.25" customHeight="1">
      <c r="A13" s="121">
        <v>45523</v>
      </c>
      <c r="B13" s="122" t="s">
        <v>329</v>
      </c>
    </row>
    <row r="14" spans="1:2" ht="17.25" customHeight="1">
      <c r="A14" s="121">
        <v>45579</v>
      </c>
      <c r="B14" s="122" t="s">
        <v>330</v>
      </c>
    </row>
    <row r="15" spans="1:2" ht="17.25" customHeight="1">
      <c r="A15" s="121">
        <v>45600</v>
      </c>
      <c r="B15" s="122" t="s">
        <v>331</v>
      </c>
    </row>
    <row r="16" spans="1:2" ht="17.25" customHeight="1">
      <c r="A16" s="121">
        <v>45607</v>
      </c>
      <c r="B16" s="122" t="s">
        <v>332</v>
      </c>
    </row>
    <row r="17" spans="1:2" ht="17.25" customHeight="1">
      <c r="A17" s="121">
        <v>45634</v>
      </c>
      <c r="B17" s="122" t="s">
        <v>333</v>
      </c>
    </row>
    <row r="18" spans="1:2" ht="17.25" customHeight="1">
      <c r="A18" s="121">
        <v>45651</v>
      </c>
      <c r="B18" s="122" t="s">
        <v>334</v>
      </c>
    </row>
    <row r="19" spans="1:2" ht="17.25" customHeight="1">
      <c r="A19" s="121">
        <v>45658</v>
      </c>
      <c r="B19" s="123" t="s">
        <v>335</v>
      </c>
    </row>
    <row r="20" spans="1:2" ht="17.25" customHeight="1">
      <c r="A20" s="121">
        <v>45663</v>
      </c>
      <c r="B20" s="123" t="s">
        <v>336</v>
      </c>
    </row>
    <row r="21" spans="1:2" ht="17.25" customHeight="1">
      <c r="A21" s="121">
        <v>45740</v>
      </c>
      <c r="B21" s="123" t="s">
        <v>337</v>
      </c>
    </row>
    <row r="22" spans="1:2" ht="17.25" customHeight="1">
      <c r="A22" s="121">
        <v>45764</v>
      </c>
      <c r="B22" s="123" t="s">
        <v>338</v>
      </c>
    </row>
    <row r="23" spans="1:2" ht="17.25" customHeight="1">
      <c r="A23" s="121">
        <v>45765</v>
      </c>
      <c r="B23" s="123" t="s">
        <v>339</v>
      </c>
    </row>
    <row r="24" spans="1:2" ht="17.25" customHeight="1">
      <c r="A24" s="121">
        <v>45778</v>
      </c>
      <c r="B24" s="123" t="s">
        <v>340</v>
      </c>
    </row>
    <row r="25" spans="1:2" ht="17.25" customHeight="1">
      <c r="A25" s="121">
        <v>45810</v>
      </c>
      <c r="B25" s="123" t="s">
        <v>341</v>
      </c>
    </row>
    <row r="26" spans="1:2" ht="17.25" customHeight="1">
      <c r="A26" s="121">
        <v>45831</v>
      </c>
      <c r="B26" s="123" t="s">
        <v>342</v>
      </c>
    </row>
    <row r="27" spans="1:2" ht="17.25" customHeight="1">
      <c r="A27" s="121">
        <v>45838</v>
      </c>
      <c r="B27" s="123" t="s">
        <v>343</v>
      </c>
    </row>
    <row r="28" spans="1:2" ht="17.25" customHeight="1">
      <c r="A28" s="121">
        <v>45858</v>
      </c>
      <c r="B28" s="123" t="s">
        <v>344</v>
      </c>
    </row>
    <row r="29" spans="1:2" ht="17.25" customHeight="1">
      <c r="A29" s="121">
        <v>45876</v>
      </c>
      <c r="B29" s="123" t="s">
        <v>345</v>
      </c>
    </row>
    <row r="30" spans="1:2" ht="17.25" customHeight="1">
      <c r="A30" s="121">
        <v>45887</v>
      </c>
      <c r="B30" s="123" t="s">
        <v>346</v>
      </c>
    </row>
    <row r="31" spans="1:2" ht="17.25" customHeight="1">
      <c r="A31" s="121">
        <v>45943</v>
      </c>
      <c r="B31" s="123" t="s">
        <v>347</v>
      </c>
    </row>
    <row r="32" spans="1:2" ht="17.25" customHeight="1">
      <c r="A32" s="121">
        <v>45964</v>
      </c>
      <c r="B32" s="123" t="s">
        <v>348</v>
      </c>
    </row>
    <row r="33" spans="1:2" ht="17.25" customHeight="1">
      <c r="A33" s="121">
        <v>45978</v>
      </c>
      <c r="B33" s="123" t="s">
        <v>349</v>
      </c>
    </row>
    <row r="34" spans="1:2" ht="17.25" customHeight="1">
      <c r="A34" s="121">
        <v>45999</v>
      </c>
      <c r="B34" s="123" t="s">
        <v>350</v>
      </c>
    </row>
    <row r="35" spans="1:2" ht="17.25" customHeight="1">
      <c r="A35" s="121">
        <v>46016</v>
      </c>
      <c r="B35" s="123" t="s">
        <v>351</v>
      </c>
    </row>
    <row r="36" spans="1:2" ht="17.25" customHeight="1">
      <c r="A36" s="121">
        <v>46023</v>
      </c>
      <c r="B36" s="123" t="s">
        <v>335</v>
      </c>
    </row>
    <row r="37" spans="1:2" ht="17.25" customHeight="1">
      <c r="A37" s="121">
        <v>46034</v>
      </c>
      <c r="B37" s="123" t="s">
        <v>336</v>
      </c>
    </row>
    <row r="38" spans="1:2" ht="17.25" customHeight="1">
      <c r="A38" s="121">
        <v>46104</v>
      </c>
      <c r="B38" s="123" t="s">
        <v>337</v>
      </c>
    </row>
    <row r="39" spans="1:2" ht="17.25" customHeight="1">
      <c r="A39" s="121">
        <v>46114</v>
      </c>
      <c r="B39" s="123" t="s">
        <v>338</v>
      </c>
    </row>
    <row r="40" spans="1:2" ht="17.25" customHeight="1">
      <c r="A40" s="121">
        <v>46115</v>
      </c>
      <c r="B40" s="123" t="s">
        <v>339</v>
      </c>
    </row>
    <row r="41" spans="1:2" ht="17.25" customHeight="1">
      <c r="A41" s="121">
        <v>46143</v>
      </c>
      <c r="B41" s="123" t="s">
        <v>340</v>
      </c>
    </row>
    <row r="42" spans="1:2" ht="17.25" customHeight="1">
      <c r="A42" s="121">
        <v>46160</v>
      </c>
      <c r="B42" s="123" t="s">
        <v>341</v>
      </c>
    </row>
    <row r="43" spans="1:2" ht="17.25" customHeight="1">
      <c r="A43" s="121">
        <v>46181</v>
      </c>
      <c r="B43" s="123" t="s">
        <v>342</v>
      </c>
    </row>
    <row r="44" spans="1:2" ht="17.25" customHeight="1">
      <c r="A44" s="121">
        <v>46188</v>
      </c>
      <c r="B44" s="123" t="s">
        <v>352</v>
      </c>
    </row>
    <row r="45" spans="1:2" ht="17.25" customHeight="1">
      <c r="A45" s="121">
        <v>46202</v>
      </c>
      <c r="B45" s="123" t="s">
        <v>353</v>
      </c>
    </row>
    <row r="46" spans="1:2" ht="17.25" customHeight="1">
      <c r="A46" s="121">
        <v>46223</v>
      </c>
      <c r="B46" s="123" t="s">
        <v>344</v>
      </c>
    </row>
    <row r="47" spans="1:2" ht="17.25" customHeight="1">
      <c r="A47" s="121">
        <v>46241</v>
      </c>
      <c r="B47" s="123" t="s">
        <v>345</v>
      </c>
    </row>
    <row r="48" spans="1:2" ht="17.25" customHeight="1">
      <c r="A48" s="121">
        <v>46251</v>
      </c>
      <c r="B48" s="123" t="s">
        <v>346</v>
      </c>
    </row>
    <row r="49" spans="1:2" ht="17.25" customHeight="1">
      <c r="A49" s="121">
        <v>46307</v>
      </c>
      <c r="B49" s="123" t="s">
        <v>347</v>
      </c>
    </row>
    <row r="50" spans="1:2" ht="17.25" customHeight="1">
      <c r="A50" s="121">
        <v>46328</v>
      </c>
      <c r="B50" s="123" t="s">
        <v>348</v>
      </c>
    </row>
    <row r="51" spans="1:2" ht="17.25" customHeight="1">
      <c r="A51" s="121">
        <v>46342</v>
      </c>
      <c r="B51" s="123" t="s">
        <v>349</v>
      </c>
    </row>
    <row r="52" spans="1:2" ht="17.25" customHeight="1">
      <c r="A52" s="121">
        <v>46364</v>
      </c>
      <c r="B52" s="123" t="s">
        <v>350</v>
      </c>
    </row>
    <row r="53" spans="1:2" ht="17.25" customHeight="1">
      <c r="A53" s="121">
        <v>46381</v>
      </c>
      <c r="B53" s="123" t="s">
        <v>351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24" t="s">
        <v>354</v>
      </c>
      <c r="B1" s="125"/>
      <c r="C1" s="125"/>
      <c r="D1" s="125"/>
      <c r="E1" s="125"/>
      <c r="F1" s="125"/>
      <c r="G1" s="125"/>
      <c r="H1" s="125"/>
      <c r="I1" s="125"/>
      <c r="J1" s="125"/>
      <c r="K1" s="125"/>
      <c r="L1" s="125"/>
      <c r="M1" s="125"/>
      <c r="N1" s="125"/>
      <c r="O1" s="125"/>
      <c r="P1" s="125"/>
      <c r="Q1" s="125"/>
      <c r="R1" s="125"/>
      <c r="S1" s="125"/>
      <c r="T1" s="125"/>
      <c r="U1" s="125"/>
      <c r="V1" s="125"/>
      <c r="W1" s="125"/>
      <c r="X1" s="125"/>
      <c r="Y1" s="125"/>
      <c r="Z1" s="125"/>
    </row>
    <row r="2" spans="1:97">
      <c r="A2" s="125"/>
      <c r="B2" s="125"/>
      <c r="C2" s="125"/>
      <c r="D2" s="125"/>
      <c r="E2" s="125"/>
      <c r="F2" s="125"/>
      <c r="G2" s="125"/>
      <c r="H2" s="125"/>
      <c r="I2" s="125"/>
      <c r="J2" s="125"/>
      <c r="K2" s="125"/>
      <c r="L2" s="125"/>
      <c r="M2" s="125"/>
      <c r="N2" s="125"/>
      <c r="O2" s="125"/>
      <c r="P2" s="125"/>
      <c r="Q2" s="125"/>
      <c r="R2" s="125"/>
      <c r="S2" s="125"/>
      <c r="T2" s="125"/>
      <c r="U2" s="125"/>
      <c r="V2" s="125"/>
      <c r="W2" s="125"/>
      <c r="X2" s="125"/>
      <c r="Y2" s="125"/>
      <c r="Z2" s="125"/>
    </row>
    <row r="3" spans="1:97" ht="32.25" customHeight="1">
      <c r="A3" s="126" t="s">
        <v>355</v>
      </c>
      <c r="B3" s="127">
        <v>45596</v>
      </c>
      <c r="C3" s="127">
        <v>45597</v>
      </c>
      <c r="D3" s="127">
        <v>45601</v>
      </c>
      <c r="E3" s="127">
        <v>45602</v>
      </c>
      <c r="F3" s="127">
        <v>45603</v>
      </c>
      <c r="G3" s="127">
        <v>45604</v>
      </c>
      <c r="H3" s="127">
        <v>45608</v>
      </c>
      <c r="I3" s="127">
        <v>45609</v>
      </c>
      <c r="J3" s="127">
        <v>45610</v>
      </c>
      <c r="K3" s="127">
        <v>45611</v>
      </c>
      <c r="L3" s="127">
        <v>45614</v>
      </c>
      <c r="M3" s="127">
        <v>45615</v>
      </c>
      <c r="N3" s="127">
        <v>45616</v>
      </c>
      <c r="O3" s="127">
        <v>45617</v>
      </c>
      <c r="P3" s="127">
        <v>45618</v>
      </c>
      <c r="Q3" s="128">
        <v>45621</v>
      </c>
      <c r="R3" s="128">
        <v>45622</v>
      </c>
      <c r="S3" s="128">
        <v>45623</v>
      </c>
      <c r="T3" s="128">
        <v>45624</v>
      </c>
      <c r="U3" s="128">
        <v>45625</v>
      </c>
      <c r="V3" s="128">
        <v>45628</v>
      </c>
      <c r="W3" s="128">
        <v>45629</v>
      </c>
      <c r="X3" s="128">
        <v>45630</v>
      </c>
      <c r="Y3" s="128">
        <v>45631</v>
      </c>
      <c r="Z3" s="128">
        <v>45632</v>
      </c>
      <c r="AA3" s="128">
        <v>45635</v>
      </c>
      <c r="AB3" s="128">
        <v>45636</v>
      </c>
      <c r="AC3" s="128">
        <v>45637</v>
      </c>
      <c r="AD3" s="128">
        <v>45638</v>
      </c>
      <c r="AE3" s="129">
        <v>45639</v>
      </c>
      <c r="AF3" s="127">
        <v>45642</v>
      </c>
      <c r="AG3" s="127">
        <v>45643</v>
      </c>
      <c r="AH3" s="127">
        <v>45644</v>
      </c>
      <c r="AI3" s="127">
        <v>45645</v>
      </c>
      <c r="AJ3" s="127">
        <v>45646</v>
      </c>
      <c r="AK3" s="127">
        <v>45649</v>
      </c>
      <c r="AL3" s="127">
        <v>45650</v>
      </c>
      <c r="AM3" s="127">
        <v>45652</v>
      </c>
      <c r="AN3" s="127">
        <v>45653</v>
      </c>
      <c r="AO3" s="127">
        <v>45656</v>
      </c>
      <c r="AP3" s="127">
        <v>45656</v>
      </c>
      <c r="AQ3" s="127">
        <v>45664</v>
      </c>
      <c r="AR3" s="127">
        <v>45665</v>
      </c>
      <c r="AS3" s="127">
        <v>45666</v>
      </c>
      <c r="AT3" s="127">
        <v>45667</v>
      </c>
      <c r="AU3" s="127">
        <v>45670</v>
      </c>
      <c r="AV3" s="127">
        <v>45671</v>
      </c>
      <c r="AW3" s="127">
        <v>45672</v>
      </c>
      <c r="AX3" s="127">
        <v>45673</v>
      </c>
      <c r="AY3" s="127">
        <v>45674</v>
      </c>
      <c r="AZ3" s="127">
        <v>45677</v>
      </c>
      <c r="BA3" s="127">
        <v>45678</v>
      </c>
      <c r="BB3" s="127">
        <v>45679</v>
      </c>
      <c r="BC3" s="127">
        <v>45680</v>
      </c>
      <c r="BD3" s="127">
        <v>45681</v>
      </c>
      <c r="BE3" s="127">
        <v>45684</v>
      </c>
      <c r="BF3" s="127">
        <v>45685</v>
      </c>
      <c r="BG3" s="127">
        <v>45686</v>
      </c>
      <c r="BH3" s="127">
        <v>45687</v>
      </c>
      <c r="BI3" s="127">
        <v>45688</v>
      </c>
      <c r="BJ3" s="128">
        <v>45691</v>
      </c>
      <c r="BK3" s="128">
        <v>45692</v>
      </c>
      <c r="BL3" s="128">
        <v>45693</v>
      </c>
      <c r="BM3" s="128">
        <v>45694</v>
      </c>
      <c r="BN3" s="128">
        <v>45695</v>
      </c>
      <c r="BO3" s="128">
        <v>45698</v>
      </c>
      <c r="BP3" s="128">
        <v>45699</v>
      </c>
      <c r="BQ3" s="128">
        <v>45700</v>
      </c>
      <c r="BR3" s="128">
        <v>45701</v>
      </c>
      <c r="BS3" s="128">
        <v>45702</v>
      </c>
      <c r="BT3" s="128">
        <v>45705</v>
      </c>
      <c r="BU3" s="128">
        <v>45706</v>
      </c>
      <c r="BV3" s="128">
        <v>45707</v>
      </c>
      <c r="BW3" s="128">
        <v>45708</v>
      </c>
      <c r="BX3" s="128">
        <v>45709</v>
      </c>
      <c r="BY3" s="128">
        <v>45712</v>
      </c>
      <c r="BZ3" s="128">
        <v>45713</v>
      </c>
      <c r="CA3" s="128">
        <v>45714</v>
      </c>
      <c r="CB3" s="128">
        <v>45715</v>
      </c>
      <c r="CC3" s="128">
        <v>45716</v>
      </c>
      <c r="CD3" s="128">
        <v>45719</v>
      </c>
      <c r="CE3" s="128">
        <v>45720</v>
      </c>
      <c r="CF3" s="128">
        <v>45721</v>
      </c>
      <c r="CG3" s="128">
        <v>45722</v>
      </c>
      <c r="CH3" s="128">
        <v>45723</v>
      </c>
      <c r="CI3" s="128">
        <v>45726</v>
      </c>
      <c r="CJ3" s="128">
        <v>45727</v>
      </c>
      <c r="CK3" s="128">
        <v>45728</v>
      </c>
      <c r="CL3" s="128">
        <v>45729</v>
      </c>
      <c r="CM3" s="128">
        <v>45730</v>
      </c>
      <c r="CN3" s="128">
        <v>45733</v>
      </c>
      <c r="CO3" s="128">
        <v>45734</v>
      </c>
      <c r="CP3" s="128">
        <v>45735</v>
      </c>
      <c r="CQ3" s="128">
        <v>45736</v>
      </c>
      <c r="CR3" s="128">
        <v>45737</v>
      </c>
      <c r="CS3" s="128">
        <v>45741</v>
      </c>
    </row>
    <row r="4" spans="1:97" ht="30.75" customHeight="1">
      <c r="A4" s="130" t="s">
        <v>356</v>
      </c>
      <c r="B4" s="131" t="s">
        <v>357</v>
      </c>
      <c r="C4" s="132" t="s">
        <v>358</v>
      </c>
      <c r="D4" s="133" t="s">
        <v>357</v>
      </c>
      <c r="E4" s="133" t="s">
        <v>357</v>
      </c>
      <c r="F4" s="133" t="s">
        <v>357</v>
      </c>
      <c r="G4" s="133" t="s">
        <v>357</v>
      </c>
      <c r="H4" s="133" t="s">
        <v>357</v>
      </c>
      <c r="I4" s="133" t="s">
        <v>357</v>
      </c>
      <c r="J4" s="133" t="s">
        <v>357</v>
      </c>
      <c r="K4" s="133" t="s">
        <v>357</v>
      </c>
      <c r="L4" s="133" t="s">
        <v>357</v>
      </c>
      <c r="M4" s="133" t="s">
        <v>357</v>
      </c>
      <c r="N4" s="133" t="s">
        <v>357</v>
      </c>
      <c r="O4" s="133" t="s">
        <v>359</v>
      </c>
      <c r="P4" s="134" t="s">
        <v>357</v>
      </c>
      <c r="Q4" s="133" t="s">
        <v>357</v>
      </c>
      <c r="R4" s="133" t="s">
        <v>357</v>
      </c>
      <c r="S4" s="133" t="s">
        <v>357</v>
      </c>
      <c r="T4" s="133" t="s">
        <v>357</v>
      </c>
      <c r="U4" s="134" t="s">
        <v>360</v>
      </c>
      <c r="V4" s="133" t="s">
        <v>357</v>
      </c>
      <c r="W4" s="133" t="s">
        <v>357</v>
      </c>
      <c r="X4" s="133" t="s">
        <v>357</v>
      </c>
      <c r="Y4" s="133" t="s">
        <v>357</v>
      </c>
      <c r="Z4" s="133" t="s">
        <v>357</v>
      </c>
      <c r="AA4" s="133" t="s">
        <v>357</v>
      </c>
      <c r="AB4" s="133" t="s">
        <v>357</v>
      </c>
      <c r="AC4" s="133" t="s">
        <v>357</v>
      </c>
      <c r="AD4" s="133" t="s">
        <v>357</v>
      </c>
      <c r="AE4" s="159" t="s">
        <v>361</v>
      </c>
      <c r="AF4" s="133" t="s">
        <v>357</v>
      </c>
      <c r="AG4" s="133" t="s">
        <v>357</v>
      </c>
      <c r="AH4" s="133" t="s">
        <v>357</v>
      </c>
      <c r="AI4" s="133" t="s">
        <v>357</v>
      </c>
      <c r="AJ4" s="133" t="s">
        <v>357</v>
      </c>
      <c r="AK4" s="133" t="s">
        <v>357</v>
      </c>
      <c r="AL4" s="159" t="s">
        <v>362</v>
      </c>
      <c r="AM4" s="133" t="s">
        <v>360</v>
      </c>
      <c r="AN4" s="133" t="s">
        <v>360</v>
      </c>
      <c r="AO4" s="133" t="s">
        <v>357</v>
      </c>
      <c r="AP4" s="159" t="s">
        <v>363</v>
      </c>
      <c r="AQ4" s="133" t="s">
        <v>357</v>
      </c>
      <c r="AR4" s="133" t="s">
        <v>357</v>
      </c>
      <c r="AS4" s="159" t="s">
        <v>363</v>
      </c>
      <c r="AT4" s="135" t="s">
        <v>357</v>
      </c>
      <c r="AU4" s="133" t="s">
        <v>357</v>
      </c>
      <c r="AV4" s="133" t="s">
        <v>357</v>
      </c>
      <c r="AW4" s="133" t="s">
        <v>357</v>
      </c>
      <c r="AX4" s="133" t="s">
        <v>357</v>
      </c>
      <c r="AY4" s="159" t="s">
        <v>363</v>
      </c>
      <c r="AZ4" s="133" t="s">
        <v>357</v>
      </c>
      <c r="BA4" s="133" t="s">
        <v>357</v>
      </c>
      <c r="BB4" s="133" t="s">
        <v>357</v>
      </c>
      <c r="BC4" s="133" t="s">
        <v>357</v>
      </c>
      <c r="BD4" s="133" t="s">
        <v>357</v>
      </c>
      <c r="BE4" s="133" t="s">
        <v>357</v>
      </c>
      <c r="BF4" s="133" t="s">
        <v>357</v>
      </c>
      <c r="BG4" s="133" t="s">
        <v>357</v>
      </c>
      <c r="BH4" s="133" t="s">
        <v>357</v>
      </c>
      <c r="BI4" s="134" t="s">
        <v>357</v>
      </c>
      <c r="BJ4" s="159" t="s">
        <v>363</v>
      </c>
      <c r="BK4" s="134" t="s">
        <v>364</v>
      </c>
      <c r="BL4" s="134" t="s">
        <v>364</v>
      </c>
      <c r="BM4" s="134" t="s">
        <v>364</v>
      </c>
      <c r="BN4" s="134" t="s">
        <v>364</v>
      </c>
      <c r="BO4" s="134" t="s">
        <v>364</v>
      </c>
      <c r="BP4" s="134" t="s">
        <v>364</v>
      </c>
      <c r="BQ4" s="134" t="s">
        <v>364</v>
      </c>
      <c r="BR4" s="133" t="s">
        <v>357</v>
      </c>
      <c r="BS4" s="133" t="s">
        <v>357</v>
      </c>
      <c r="BT4" s="133" t="s">
        <v>357</v>
      </c>
      <c r="BU4" s="133" t="s">
        <v>357</v>
      </c>
      <c r="BV4" s="133" t="s">
        <v>357</v>
      </c>
      <c r="BW4" s="133" t="s">
        <v>357</v>
      </c>
      <c r="BX4" s="133" t="s">
        <v>357</v>
      </c>
      <c r="BY4" s="133" t="s">
        <v>357</v>
      </c>
      <c r="BZ4" s="133" t="s">
        <v>357</v>
      </c>
      <c r="CA4" s="133" t="s">
        <v>357</v>
      </c>
      <c r="CB4" s="133" t="s">
        <v>357</v>
      </c>
      <c r="CC4" s="133" t="s">
        <v>357</v>
      </c>
      <c r="CD4" s="133" t="s">
        <v>357</v>
      </c>
      <c r="CE4" s="133" t="s">
        <v>357</v>
      </c>
      <c r="CF4" s="133" t="s">
        <v>357</v>
      </c>
      <c r="CG4" s="133"/>
      <c r="CH4" s="133"/>
      <c r="CI4" s="159" t="s">
        <v>365</v>
      </c>
      <c r="CJ4" s="133"/>
      <c r="CK4" s="133"/>
      <c r="CL4" s="133"/>
      <c r="CM4" s="133"/>
      <c r="CN4" s="133"/>
      <c r="CO4" s="133"/>
      <c r="CP4" s="133"/>
      <c r="CQ4" s="133"/>
      <c r="CR4" s="133"/>
      <c r="CS4" s="133" t="s">
        <v>357</v>
      </c>
    </row>
    <row r="5" spans="1:97" ht="15.75" customHeight="1">
      <c r="A5" s="130" t="s">
        <v>366</v>
      </c>
      <c r="B5" s="131" t="s">
        <v>357</v>
      </c>
      <c r="C5" s="133" t="s">
        <v>357</v>
      </c>
      <c r="D5" s="133" t="s">
        <v>357</v>
      </c>
      <c r="E5" s="133" t="s">
        <v>357</v>
      </c>
      <c r="F5" s="133" t="s">
        <v>357</v>
      </c>
      <c r="G5" s="133" t="s">
        <v>357</v>
      </c>
      <c r="H5" s="133" t="s">
        <v>357</v>
      </c>
      <c r="I5" s="133" t="s">
        <v>357</v>
      </c>
      <c r="J5" s="133" t="s">
        <v>357</v>
      </c>
      <c r="K5" s="133" t="s">
        <v>357</v>
      </c>
      <c r="L5" s="133" t="s">
        <v>364</v>
      </c>
      <c r="M5" s="133" t="s">
        <v>364</v>
      </c>
      <c r="N5" s="133" t="s">
        <v>364</v>
      </c>
      <c r="O5" s="133" t="s">
        <v>364</v>
      </c>
      <c r="P5" s="134" t="s">
        <v>364</v>
      </c>
      <c r="Q5" s="133" t="s">
        <v>357</v>
      </c>
      <c r="R5" s="133" t="s">
        <v>357</v>
      </c>
      <c r="S5" s="133" t="s">
        <v>357</v>
      </c>
      <c r="T5" s="133" t="s">
        <v>357</v>
      </c>
      <c r="U5" s="134" t="s">
        <v>357</v>
      </c>
      <c r="V5" s="133" t="s">
        <v>357</v>
      </c>
      <c r="W5" s="133" t="s">
        <v>357</v>
      </c>
      <c r="X5" s="133" t="s">
        <v>357</v>
      </c>
      <c r="Y5" s="133" t="s">
        <v>357</v>
      </c>
      <c r="Z5" s="133" t="s">
        <v>357</v>
      </c>
      <c r="AA5" s="133" t="s">
        <v>357</v>
      </c>
      <c r="AB5" s="133" t="s">
        <v>357</v>
      </c>
      <c r="AC5" s="133" t="s">
        <v>357</v>
      </c>
      <c r="AD5" s="133" t="s">
        <v>357</v>
      </c>
      <c r="AE5" s="160"/>
      <c r="AF5" s="133" t="s">
        <v>357</v>
      </c>
      <c r="AG5" s="133" t="s">
        <v>357</v>
      </c>
      <c r="AH5" s="133" t="s">
        <v>357</v>
      </c>
      <c r="AI5" s="133" t="s">
        <v>357</v>
      </c>
      <c r="AJ5" s="133" t="s">
        <v>357</v>
      </c>
      <c r="AK5" s="133" t="s">
        <v>357</v>
      </c>
      <c r="AL5" s="160"/>
      <c r="AM5" s="133" t="s">
        <v>357</v>
      </c>
      <c r="AN5" s="133" t="s">
        <v>357</v>
      </c>
      <c r="AO5" s="133" t="s">
        <v>357</v>
      </c>
      <c r="AP5" s="160"/>
      <c r="AQ5" s="133" t="s">
        <v>364</v>
      </c>
      <c r="AR5" s="133" t="s">
        <v>364</v>
      </c>
      <c r="AS5" s="160"/>
      <c r="AT5" s="133" t="s">
        <v>364</v>
      </c>
      <c r="AU5" s="133" t="s">
        <v>364</v>
      </c>
      <c r="AV5" s="133" t="s">
        <v>364</v>
      </c>
      <c r="AW5" s="133" t="s">
        <v>364</v>
      </c>
      <c r="AX5" s="133" t="s">
        <v>364</v>
      </c>
      <c r="AY5" s="160"/>
      <c r="AZ5" s="133" t="s">
        <v>364</v>
      </c>
      <c r="BA5" s="133" t="s">
        <v>357</v>
      </c>
      <c r="BB5" s="133" t="s">
        <v>357</v>
      </c>
      <c r="BC5" s="133" t="s">
        <v>357</v>
      </c>
      <c r="BD5" s="133" t="s">
        <v>357</v>
      </c>
      <c r="BE5" s="133" t="s">
        <v>357</v>
      </c>
      <c r="BF5" s="133" t="s">
        <v>357</v>
      </c>
      <c r="BG5" s="133" t="s">
        <v>357</v>
      </c>
      <c r="BH5" s="133" t="s">
        <v>357</v>
      </c>
      <c r="BI5" s="134" t="s">
        <v>357</v>
      </c>
      <c r="BJ5" s="160"/>
      <c r="BK5" s="134" t="s">
        <v>357</v>
      </c>
      <c r="BL5" s="134" t="s">
        <v>357</v>
      </c>
      <c r="BM5" s="133" t="s">
        <v>357</v>
      </c>
      <c r="BN5" s="134" t="s">
        <v>357</v>
      </c>
      <c r="BO5" s="133" t="s">
        <v>357</v>
      </c>
      <c r="BP5" s="133" t="s">
        <v>357</v>
      </c>
      <c r="BQ5" s="133" t="s">
        <v>357</v>
      </c>
      <c r="BR5" s="133" t="s">
        <v>357</v>
      </c>
      <c r="BS5" s="133" t="s">
        <v>357</v>
      </c>
      <c r="BT5" s="133" t="s">
        <v>357</v>
      </c>
      <c r="BU5" s="133" t="s">
        <v>357</v>
      </c>
      <c r="BV5" s="133" t="s">
        <v>357</v>
      </c>
      <c r="BW5" s="133" t="s">
        <v>357</v>
      </c>
      <c r="BX5" s="133" t="s">
        <v>357</v>
      </c>
      <c r="BY5" s="133" t="s">
        <v>357</v>
      </c>
      <c r="BZ5" s="133" t="s">
        <v>357</v>
      </c>
      <c r="CA5" s="133" t="s">
        <v>357</v>
      </c>
      <c r="CB5" s="133" t="s">
        <v>357</v>
      </c>
      <c r="CC5" s="133" t="s">
        <v>357</v>
      </c>
      <c r="CD5" s="133" t="s">
        <v>357</v>
      </c>
      <c r="CE5" s="133" t="s">
        <v>357</v>
      </c>
      <c r="CF5" s="133" t="s">
        <v>357</v>
      </c>
      <c r="CG5" s="133"/>
      <c r="CH5" s="133"/>
      <c r="CI5" s="160"/>
      <c r="CJ5" s="133"/>
      <c r="CK5" s="133"/>
      <c r="CL5" s="133"/>
      <c r="CM5" s="133"/>
      <c r="CN5" s="133"/>
      <c r="CO5" s="133"/>
      <c r="CP5" s="133"/>
      <c r="CQ5" s="133"/>
      <c r="CR5" s="133"/>
      <c r="CS5" s="133" t="s">
        <v>357</v>
      </c>
    </row>
    <row r="6" spans="1:97" ht="15.75">
      <c r="A6" s="130" t="s">
        <v>367</v>
      </c>
      <c r="B6" s="131" t="s">
        <v>357</v>
      </c>
      <c r="C6" s="133" t="s">
        <v>357</v>
      </c>
      <c r="D6" s="133" t="s">
        <v>357</v>
      </c>
      <c r="E6" s="133" t="s">
        <v>357</v>
      </c>
      <c r="F6" s="133" t="s">
        <v>357</v>
      </c>
      <c r="G6" s="133" t="s">
        <v>357</v>
      </c>
      <c r="H6" s="133" t="s">
        <v>357</v>
      </c>
      <c r="I6" s="133" t="s">
        <v>357</v>
      </c>
      <c r="J6" s="133" t="s">
        <v>357</v>
      </c>
      <c r="K6" s="136" t="s">
        <v>368</v>
      </c>
      <c r="L6" s="133" t="s">
        <v>357</v>
      </c>
      <c r="M6" s="133" t="s">
        <v>357</v>
      </c>
      <c r="N6" s="133" t="s">
        <v>357</v>
      </c>
      <c r="O6" s="133" t="s">
        <v>359</v>
      </c>
      <c r="P6" s="134" t="s">
        <v>357</v>
      </c>
      <c r="Q6" s="133" t="s">
        <v>357</v>
      </c>
      <c r="R6" s="133" t="s">
        <v>357</v>
      </c>
      <c r="S6" s="133" t="s">
        <v>357</v>
      </c>
      <c r="T6" s="133" t="s">
        <v>357</v>
      </c>
      <c r="U6" s="134" t="s">
        <v>357</v>
      </c>
      <c r="V6" s="133" t="s">
        <v>357</v>
      </c>
      <c r="W6" s="133" t="s">
        <v>357</v>
      </c>
      <c r="X6" s="133" t="s">
        <v>357</v>
      </c>
      <c r="Y6" s="133" t="s">
        <v>357</v>
      </c>
      <c r="Z6" s="133" t="s">
        <v>357</v>
      </c>
      <c r="AA6" s="133" t="s">
        <v>357</v>
      </c>
      <c r="AB6" s="133" t="s">
        <v>357</v>
      </c>
      <c r="AC6" s="133" t="s">
        <v>357</v>
      </c>
      <c r="AD6" s="133" t="s">
        <v>357</v>
      </c>
      <c r="AE6" s="160"/>
      <c r="AF6" s="133" t="s">
        <v>357</v>
      </c>
      <c r="AG6" s="133" t="s">
        <v>357</v>
      </c>
      <c r="AH6" s="133" t="s">
        <v>357</v>
      </c>
      <c r="AI6" s="133" t="s">
        <v>357</v>
      </c>
      <c r="AJ6" s="133" t="s">
        <v>357</v>
      </c>
      <c r="AK6" s="133" t="s">
        <v>357</v>
      </c>
      <c r="AL6" s="160"/>
      <c r="AM6" s="133" t="s">
        <v>357</v>
      </c>
      <c r="AN6" s="133" t="s">
        <v>357</v>
      </c>
      <c r="AO6" s="133" t="s">
        <v>357</v>
      </c>
      <c r="AP6" s="160"/>
      <c r="AQ6" s="133" t="s">
        <v>357</v>
      </c>
      <c r="AR6" s="133" t="s">
        <v>357</v>
      </c>
      <c r="AS6" s="160"/>
      <c r="AT6" s="133" t="s">
        <v>357</v>
      </c>
      <c r="AU6" s="133" t="s">
        <v>357</v>
      </c>
      <c r="AV6" s="133" t="s">
        <v>357</v>
      </c>
      <c r="AW6" s="133" t="s">
        <v>357</v>
      </c>
      <c r="AX6" s="133" t="s">
        <v>357</v>
      </c>
      <c r="AY6" s="160"/>
      <c r="AZ6" s="133" t="s">
        <v>357</v>
      </c>
      <c r="BA6" s="133" t="s">
        <v>357</v>
      </c>
      <c r="BB6" s="133" t="s">
        <v>357</v>
      </c>
      <c r="BC6" s="133" t="s">
        <v>357</v>
      </c>
      <c r="BD6" s="133" t="s">
        <v>357</v>
      </c>
      <c r="BE6" s="133" t="s">
        <v>357</v>
      </c>
      <c r="BF6" s="133" t="s">
        <v>357</v>
      </c>
      <c r="BG6" s="133" t="s">
        <v>357</v>
      </c>
      <c r="BH6" s="133" t="s">
        <v>357</v>
      </c>
      <c r="BI6" s="134" t="s">
        <v>357</v>
      </c>
      <c r="BJ6" s="160"/>
      <c r="BK6" s="134" t="s">
        <v>357</v>
      </c>
      <c r="BL6" s="134" t="s">
        <v>357</v>
      </c>
      <c r="BM6" s="133" t="s">
        <v>369</v>
      </c>
      <c r="BN6" s="134" t="s">
        <v>357</v>
      </c>
      <c r="BO6" s="133" t="s">
        <v>357</v>
      </c>
      <c r="BP6" s="133" t="s">
        <v>357</v>
      </c>
      <c r="BQ6" s="133" t="s">
        <v>357</v>
      </c>
      <c r="BR6" s="133" t="s">
        <v>357</v>
      </c>
      <c r="BS6" s="133" t="s">
        <v>357</v>
      </c>
      <c r="BT6" s="133" t="s">
        <v>357</v>
      </c>
      <c r="BU6" s="133" t="s">
        <v>357</v>
      </c>
      <c r="BV6" s="133" t="s">
        <v>357</v>
      </c>
      <c r="BW6" s="133" t="s">
        <v>357</v>
      </c>
      <c r="BX6" s="133" t="s">
        <v>357</v>
      </c>
      <c r="BY6" s="133" t="s">
        <v>357</v>
      </c>
      <c r="BZ6" s="133" t="s">
        <v>357</v>
      </c>
      <c r="CA6" s="133" t="s">
        <v>357</v>
      </c>
      <c r="CB6" s="133" t="s">
        <v>357</v>
      </c>
      <c r="CC6" s="133" t="s">
        <v>357</v>
      </c>
      <c r="CD6" s="133" t="s">
        <v>357</v>
      </c>
      <c r="CE6" s="133" t="s">
        <v>357</v>
      </c>
      <c r="CF6" s="133" t="s">
        <v>357</v>
      </c>
      <c r="CG6" s="133"/>
      <c r="CH6" s="133"/>
      <c r="CI6" s="160"/>
      <c r="CJ6" s="133"/>
      <c r="CK6" s="133"/>
      <c r="CL6" s="133"/>
      <c r="CM6" s="133"/>
      <c r="CN6" s="133"/>
      <c r="CO6" s="133"/>
      <c r="CP6" s="133"/>
      <c r="CQ6" s="133"/>
      <c r="CR6" s="133"/>
      <c r="CS6" s="133" t="s">
        <v>357</v>
      </c>
    </row>
    <row r="7" spans="1:97" ht="15.75" hidden="1" customHeight="1">
      <c r="A7" s="130" t="s">
        <v>370</v>
      </c>
      <c r="B7" s="131" t="s">
        <v>357</v>
      </c>
      <c r="C7" s="133" t="s">
        <v>357</v>
      </c>
      <c r="D7" s="133" t="s">
        <v>357</v>
      </c>
      <c r="E7" s="133" t="s">
        <v>357</v>
      </c>
      <c r="F7" s="133" t="s">
        <v>357</v>
      </c>
      <c r="G7" s="133" t="s">
        <v>357</v>
      </c>
      <c r="H7" s="133" t="s">
        <v>357</v>
      </c>
      <c r="I7" s="133" t="s">
        <v>357</v>
      </c>
      <c r="J7" s="133" t="s">
        <v>357</v>
      </c>
      <c r="K7" s="133" t="s">
        <v>357</v>
      </c>
      <c r="L7" s="136" t="s">
        <v>368</v>
      </c>
      <c r="M7" s="133" t="s">
        <v>357</v>
      </c>
      <c r="N7" s="133" t="s">
        <v>357</v>
      </c>
      <c r="O7" s="133" t="s">
        <v>359</v>
      </c>
      <c r="P7" s="134" t="s">
        <v>357</v>
      </c>
      <c r="Q7" s="133" t="s">
        <v>357</v>
      </c>
      <c r="R7" s="133" t="s">
        <v>357</v>
      </c>
      <c r="S7" s="133" t="s">
        <v>357</v>
      </c>
      <c r="T7" s="133" t="s">
        <v>357</v>
      </c>
      <c r="U7" s="134" t="s">
        <v>371</v>
      </c>
      <c r="V7" s="133" t="s">
        <v>357</v>
      </c>
      <c r="W7" s="133" t="s">
        <v>357</v>
      </c>
      <c r="X7" s="133" t="s">
        <v>357</v>
      </c>
      <c r="Y7" s="133" t="s">
        <v>357</v>
      </c>
      <c r="Z7" s="133" t="s">
        <v>360</v>
      </c>
      <c r="AA7" s="133" t="s">
        <v>357</v>
      </c>
      <c r="AB7" s="133" t="s">
        <v>357</v>
      </c>
      <c r="AC7" s="133" t="s">
        <v>357</v>
      </c>
      <c r="AD7" s="133" t="s">
        <v>357</v>
      </c>
      <c r="AE7" s="160"/>
      <c r="AF7" s="133" t="s">
        <v>357</v>
      </c>
      <c r="AG7" s="133" t="s">
        <v>357</v>
      </c>
      <c r="AH7" s="133" t="s">
        <v>357</v>
      </c>
      <c r="AI7" s="133" t="s">
        <v>357</v>
      </c>
      <c r="AJ7" s="133" t="s">
        <v>357</v>
      </c>
      <c r="AK7" s="133" t="s">
        <v>357</v>
      </c>
      <c r="AL7" s="160"/>
      <c r="AM7" s="133" t="s">
        <v>357</v>
      </c>
      <c r="AN7" s="133" t="s">
        <v>357</v>
      </c>
      <c r="AO7" s="133" t="s">
        <v>357</v>
      </c>
      <c r="AP7" s="160"/>
      <c r="AQ7" s="133" t="s">
        <v>357</v>
      </c>
      <c r="AR7" s="133" t="s">
        <v>357</v>
      </c>
      <c r="AS7" s="160"/>
      <c r="AT7" s="133" t="s">
        <v>357</v>
      </c>
      <c r="AU7" s="133" t="s">
        <v>360</v>
      </c>
      <c r="AV7" s="133" t="s">
        <v>357</v>
      </c>
      <c r="AW7" s="133" t="s">
        <v>357</v>
      </c>
      <c r="AX7" s="133" t="s">
        <v>357</v>
      </c>
      <c r="AY7" s="160"/>
      <c r="AZ7" s="133" t="s">
        <v>357</v>
      </c>
      <c r="BA7" s="133" t="s">
        <v>357</v>
      </c>
      <c r="BB7" s="133" t="s">
        <v>357</v>
      </c>
      <c r="BC7" s="133" t="s">
        <v>357</v>
      </c>
      <c r="BD7" s="133" t="s">
        <v>357</v>
      </c>
      <c r="BE7" s="133" t="s">
        <v>357</v>
      </c>
      <c r="BF7" s="133" t="s">
        <v>357</v>
      </c>
      <c r="BG7" s="133" t="s">
        <v>357</v>
      </c>
      <c r="BH7" s="133" t="s">
        <v>357</v>
      </c>
      <c r="BI7" s="134" t="s">
        <v>357</v>
      </c>
      <c r="BJ7" s="160"/>
      <c r="BK7" s="134" t="s">
        <v>357</v>
      </c>
      <c r="BL7" s="134" t="s">
        <v>357</v>
      </c>
      <c r="BM7" s="133" t="s">
        <v>357</v>
      </c>
      <c r="BN7" s="134" t="s">
        <v>357</v>
      </c>
      <c r="BO7" s="133" t="s">
        <v>360</v>
      </c>
      <c r="BP7" s="133"/>
      <c r="BQ7" s="133"/>
      <c r="BR7" s="133"/>
      <c r="BS7" s="133"/>
      <c r="BT7" s="133"/>
      <c r="BU7" s="133" t="s">
        <v>357</v>
      </c>
      <c r="BV7" s="133" t="s">
        <v>357</v>
      </c>
      <c r="BW7" s="133" t="s">
        <v>357</v>
      </c>
      <c r="BX7" s="133" t="s">
        <v>357</v>
      </c>
      <c r="BY7" s="133"/>
      <c r="BZ7" s="133"/>
      <c r="CA7" s="133"/>
      <c r="CB7" s="133"/>
      <c r="CC7" s="133"/>
      <c r="CD7" s="133"/>
      <c r="CE7" s="133"/>
      <c r="CF7" s="133"/>
      <c r="CG7" s="133"/>
      <c r="CH7" s="133"/>
      <c r="CI7" s="160"/>
      <c r="CJ7" s="133"/>
      <c r="CK7" s="133"/>
      <c r="CL7" s="133"/>
      <c r="CM7" s="133"/>
      <c r="CN7" s="133"/>
      <c r="CO7" s="133"/>
      <c r="CP7" s="133"/>
      <c r="CQ7" s="133"/>
      <c r="CR7" s="133"/>
      <c r="CS7" s="133"/>
    </row>
    <row r="8" spans="1:97" ht="15.75" hidden="1" customHeight="1">
      <c r="A8" s="130" t="s">
        <v>372</v>
      </c>
      <c r="B8" s="131" t="s">
        <v>357</v>
      </c>
      <c r="C8" s="133" t="s">
        <v>357</v>
      </c>
      <c r="D8" s="133" t="s">
        <v>357</v>
      </c>
      <c r="E8" s="133" t="s">
        <v>357</v>
      </c>
      <c r="F8" s="133" t="s">
        <v>357</v>
      </c>
      <c r="G8" s="133" t="s">
        <v>357</v>
      </c>
      <c r="H8" s="133" t="s">
        <v>357</v>
      </c>
      <c r="I8" s="133" t="s">
        <v>357</v>
      </c>
      <c r="J8" s="133" t="s">
        <v>357</v>
      </c>
      <c r="K8" s="133" t="s">
        <v>357</v>
      </c>
      <c r="L8" s="133" t="s">
        <v>360</v>
      </c>
      <c r="M8" s="133" t="s">
        <v>357</v>
      </c>
      <c r="N8" s="133" t="s">
        <v>357</v>
      </c>
      <c r="O8" s="133" t="s">
        <v>359</v>
      </c>
      <c r="P8" s="134" t="s">
        <v>357</v>
      </c>
      <c r="Q8" s="133" t="s">
        <v>357</v>
      </c>
      <c r="R8" s="133" t="s">
        <v>357</v>
      </c>
      <c r="S8" s="133" t="s">
        <v>357</v>
      </c>
      <c r="T8" s="133" t="s">
        <v>357</v>
      </c>
      <c r="U8" s="134" t="s">
        <v>357</v>
      </c>
      <c r="V8" s="133" t="s">
        <v>357</v>
      </c>
      <c r="W8" s="133" t="s">
        <v>373</v>
      </c>
      <c r="X8" s="133" t="s">
        <v>357</v>
      </c>
      <c r="Y8" s="133" t="s">
        <v>357</v>
      </c>
      <c r="Z8" s="133" t="s">
        <v>357</v>
      </c>
      <c r="AA8" s="133" t="s">
        <v>357</v>
      </c>
      <c r="AB8" s="133" t="s">
        <v>360</v>
      </c>
      <c r="AC8" s="133" t="s">
        <v>357</v>
      </c>
      <c r="AD8" s="133" t="s">
        <v>357</v>
      </c>
      <c r="AE8" s="160"/>
      <c r="AF8" s="133" t="s">
        <v>357</v>
      </c>
      <c r="AG8" s="133" t="s">
        <v>357</v>
      </c>
      <c r="AH8" s="133" t="s">
        <v>357</v>
      </c>
      <c r="AI8" s="133" t="s">
        <v>357</v>
      </c>
      <c r="AJ8" s="133" t="s">
        <v>357</v>
      </c>
      <c r="AK8" s="133" t="s">
        <v>357</v>
      </c>
      <c r="AL8" s="160"/>
      <c r="AM8" s="133" t="s">
        <v>357</v>
      </c>
      <c r="AN8" s="133" t="s">
        <v>360</v>
      </c>
      <c r="AO8" s="133" t="s">
        <v>357</v>
      </c>
      <c r="AP8" s="160"/>
      <c r="AQ8" s="133" t="s">
        <v>357</v>
      </c>
      <c r="AR8" s="133" t="s">
        <v>357</v>
      </c>
      <c r="AS8" s="160"/>
      <c r="AT8" s="133" t="s">
        <v>357</v>
      </c>
      <c r="AU8" s="133" t="s">
        <v>357</v>
      </c>
      <c r="AV8" s="133" t="s">
        <v>357</v>
      </c>
      <c r="AW8" s="133" t="s">
        <v>357</v>
      </c>
      <c r="AX8" s="133" t="s">
        <v>357</v>
      </c>
      <c r="AY8" s="160"/>
      <c r="AZ8" s="133" t="s">
        <v>357</v>
      </c>
      <c r="BA8" s="133" t="s">
        <v>357</v>
      </c>
      <c r="BB8" s="133" t="s">
        <v>357</v>
      </c>
      <c r="BC8" s="133" t="s">
        <v>357</v>
      </c>
      <c r="BD8" s="133" t="s">
        <v>357</v>
      </c>
      <c r="BE8" s="133" t="s">
        <v>357</v>
      </c>
      <c r="BF8" s="133" t="s">
        <v>357</v>
      </c>
      <c r="BG8" s="133" t="s">
        <v>374</v>
      </c>
      <c r="BH8" s="133" t="s">
        <v>357</v>
      </c>
      <c r="BI8" s="134" t="s">
        <v>357</v>
      </c>
      <c r="BJ8" s="160"/>
      <c r="BK8" s="134" t="s">
        <v>357</v>
      </c>
      <c r="BL8" s="134" t="s">
        <v>357</v>
      </c>
      <c r="BM8" s="133" t="s">
        <v>357</v>
      </c>
      <c r="BN8" s="134" t="s">
        <v>357</v>
      </c>
      <c r="BO8" s="133" t="s">
        <v>357</v>
      </c>
      <c r="BP8" s="133" t="s">
        <v>357</v>
      </c>
      <c r="BQ8" s="133" t="s">
        <v>357</v>
      </c>
      <c r="BR8" s="133" t="s">
        <v>357</v>
      </c>
      <c r="BS8" s="133" t="s">
        <v>357</v>
      </c>
      <c r="BT8" s="133" t="s">
        <v>357</v>
      </c>
      <c r="BU8" s="133" t="s">
        <v>357</v>
      </c>
      <c r="BV8" s="133" t="s">
        <v>357</v>
      </c>
      <c r="BW8" s="133" t="s">
        <v>357</v>
      </c>
      <c r="BX8" s="133" t="s">
        <v>375</v>
      </c>
      <c r="BY8" s="133"/>
      <c r="BZ8" s="133"/>
      <c r="CA8" s="133"/>
      <c r="CB8" s="133"/>
      <c r="CC8" s="133"/>
      <c r="CD8" s="133"/>
      <c r="CE8" s="133"/>
      <c r="CF8" s="133"/>
      <c r="CG8" s="133"/>
      <c r="CH8" s="133"/>
      <c r="CI8" s="160"/>
      <c r="CJ8" s="133"/>
      <c r="CK8" s="133"/>
      <c r="CL8" s="133"/>
      <c r="CM8" s="133"/>
      <c r="CN8" s="133"/>
      <c r="CO8" s="133"/>
      <c r="CP8" s="133"/>
      <c r="CQ8" s="133"/>
      <c r="CR8" s="133"/>
      <c r="CS8" s="133"/>
    </row>
    <row r="9" spans="1:97" ht="15.75">
      <c r="A9" s="130" t="s">
        <v>376</v>
      </c>
      <c r="B9" s="131" t="s">
        <v>357</v>
      </c>
      <c r="C9" s="133" t="s">
        <v>357</v>
      </c>
      <c r="D9" s="133" t="s">
        <v>357</v>
      </c>
      <c r="E9" s="133" t="s">
        <v>357</v>
      </c>
      <c r="F9" s="133" t="s">
        <v>357</v>
      </c>
      <c r="G9" s="133" t="s">
        <v>357</v>
      </c>
      <c r="H9" s="133" t="s">
        <v>357</v>
      </c>
      <c r="I9" s="133" t="s">
        <v>357</v>
      </c>
      <c r="J9" s="133" t="s">
        <v>357</v>
      </c>
      <c r="K9" s="133" t="s">
        <v>357</v>
      </c>
      <c r="L9" s="133" t="s">
        <v>357</v>
      </c>
      <c r="M9" s="133" t="s">
        <v>357</v>
      </c>
      <c r="N9" s="133" t="s">
        <v>357</v>
      </c>
      <c r="O9" s="136" t="s">
        <v>368</v>
      </c>
      <c r="P9" s="134" t="s">
        <v>357</v>
      </c>
      <c r="Q9" s="133" t="s">
        <v>357</v>
      </c>
      <c r="R9" s="133" t="s">
        <v>357</v>
      </c>
      <c r="S9" s="133" t="s">
        <v>357</v>
      </c>
      <c r="T9" s="133" t="s">
        <v>357</v>
      </c>
      <c r="U9" s="134" t="s">
        <v>357</v>
      </c>
      <c r="V9" s="133" t="s">
        <v>357</v>
      </c>
      <c r="W9" s="133" t="s">
        <v>357</v>
      </c>
      <c r="X9" s="133" t="s">
        <v>357</v>
      </c>
      <c r="Y9" s="133" t="s">
        <v>357</v>
      </c>
      <c r="Z9" s="133" t="s">
        <v>357</v>
      </c>
      <c r="AA9" s="133" t="s">
        <v>357</v>
      </c>
      <c r="AB9" s="133" t="s">
        <v>357</v>
      </c>
      <c r="AC9" s="133" t="s">
        <v>357</v>
      </c>
      <c r="AD9" s="133" t="s">
        <v>357</v>
      </c>
      <c r="AE9" s="160"/>
      <c r="AF9" s="133" t="s">
        <v>357</v>
      </c>
      <c r="AG9" s="133" t="s">
        <v>357</v>
      </c>
      <c r="AH9" s="133" t="s">
        <v>357</v>
      </c>
      <c r="AI9" s="133" t="s">
        <v>357</v>
      </c>
      <c r="AJ9" s="133" t="s">
        <v>357</v>
      </c>
      <c r="AK9" s="133" t="s">
        <v>357</v>
      </c>
      <c r="AL9" s="160"/>
      <c r="AM9" s="133" t="s">
        <v>357</v>
      </c>
      <c r="AN9" s="133" t="s">
        <v>357</v>
      </c>
      <c r="AO9" s="133" t="s">
        <v>357</v>
      </c>
      <c r="AP9" s="160"/>
      <c r="AQ9" s="133" t="s">
        <v>357</v>
      </c>
      <c r="AR9" s="133" t="s">
        <v>357</v>
      </c>
      <c r="AS9" s="160"/>
      <c r="AT9" s="133" t="s">
        <v>357</v>
      </c>
      <c r="AU9" s="133" t="s">
        <v>357</v>
      </c>
      <c r="AV9" s="133" t="s">
        <v>357</v>
      </c>
      <c r="AW9" s="133" t="s">
        <v>357</v>
      </c>
      <c r="AX9" s="133" t="s">
        <v>357</v>
      </c>
      <c r="AY9" s="160"/>
      <c r="AZ9" s="133" t="s">
        <v>357</v>
      </c>
      <c r="BA9" s="133" t="s">
        <v>357</v>
      </c>
      <c r="BB9" s="133" t="s">
        <v>357</v>
      </c>
      <c r="BC9" s="133" t="s">
        <v>357</v>
      </c>
      <c r="BD9" s="133" t="s">
        <v>357</v>
      </c>
      <c r="BE9" s="133" t="s">
        <v>357</v>
      </c>
      <c r="BF9" s="133" t="s">
        <v>357</v>
      </c>
      <c r="BG9" s="133" t="s">
        <v>357</v>
      </c>
      <c r="BH9" s="133" t="s">
        <v>357</v>
      </c>
      <c r="BI9" s="134" t="s">
        <v>357</v>
      </c>
      <c r="BJ9" s="160"/>
      <c r="BK9" s="134" t="s">
        <v>357</v>
      </c>
      <c r="BL9" s="134" t="s">
        <v>357</v>
      </c>
      <c r="BM9" s="133" t="s">
        <v>357</v>
      </c>
      <c r="BN9" s="134" t="s">
        <v>357</v>
      </c>
      <c r="BO9" s="133" t="s">
        <v>357</v>
      </c>
      <c r="BP9" s="133" t="s">
        <v>357</v>
      </c>
      <c r="BQ9" s="133" t="s">
        <v>357</v>
      </c>
      <c r="BR9" s="133" t="s">
        <v>357</v>
      </c>
      <c r="BS9" s="133" t="s">
        <v>357</v>
      </c>
      <c r="BT9" s="133" t="s">
        <v>357</v>
      </c>
      <c r="BU9" s="133" t="s">
        <v>357</v>
      </c>
      <c r="BV9" s="133" t="s">
        <v>357</v>
      </c>
      <c r="BW9" s="133" t="s">
        <v>357</v>
      </c>
      <c r="BX9" s="133" t="s">
        <v>357</v>
      </c>
      <c r="BY9" s="133" t="s">
        <v>357</v>
      </c>
      <c r="BZ9" s="133" t="s">
        <v>357</v>
      </c>
      <c r="CA9" s="133" t="s">
        <v>357</v>
      </c>
      <c r="CB9" s="133" t="s">
        <v>357</v>
      </c>
      <c r="CC9" s="133" t="s">
        <v>357</v>
      </c>
      <c r="CD9" s="133" t="s">
        <v>357</v>
      </c>
      <c r="CE9" s="133" t="s">
        <v>357</v>
      </c>
      <c r="CF9" s="133" t="s">
        <v>357</v>
      </c>
      <c r="CG9" s="133"/>
      <c r="CH9" s="133"/>
      <c r="CI9" s="160"/>
      <c r="CJ9" s="133"/>
      <c r="CK9" s="133"/>
      <c r="CL9" s="133"/>
      <c r="CM9" s="133"/>
      <c r="CN9" s="133"/>
      <c r="CO9" s="133"/>
      <c r="CP9" s="133"/>
      <c r="CQ9" s="133"/>
      <c r="CR9" s="133"/>
      <c r="CS9" s="133" t="s">
        <v>357</v>
      </c>
    </row>
    <row r="10" spans="1:97" ht="15.75">
      <c r="A10" s="130" t="s">
        <v>377</v>
      </c>
      <c r="B10" s="131" t="s">
        <v>357</v>
      </c>
      <c r="C10" s="133" t="s">
        <v>357</v>
      </c>
      <c r="D10" s="133" t="s">
        <v>357</v>
      </c>
      <c r="E10" s="133" t="s">
        <v>357</v>
      </c>
      <c r="F10" s="133" t="s">
        <v>357</v>
      </c>
      <c r="G10" s="133" t="s">
        <v>357</v>
      </c>
      <c r="H10" s="133" t="s">
        <v>357</v>
      </c>
      <c r="I10" s="133" t="s">
        <v>360</v>
      </c>
      <c r="J10" s="133" t="s">
        <v>357</v>
      </c>
      <c r="K10" s="133" t="s">
        <v>360</v>
      </c>
      <c r="L10" s="133" t="s">
        <v>357</v>
      </c>
      <c r="M10" s="133" t="s">
        <v>357</v>
      </c>
      <c r="N10" s="133" t="s">
        <v>360</v>
      </c>
      <c r="O10" s="133" t="s">
        <v>359</v>
      </c>
      <c r="P10" s="134" t="s">
        <v>360</v>
      </c>
      <c r="Q10" s="133" t="s">
        <v>360</v>
      </c>
      <c r="R10" s="133" t="s">
        <v>357</v>
      </c>
      <c r="S10" s="133" t="s">
        <v>357</v>
      </c>
      <c r="T10" s="133" t="s">
        <v>357</v>
      </c>
      <c r="U10" s="134" t="s">
        <v>360</v>
      </c>
      <c r="V10" s="133" t="s">
        <v>357</v>
      </c>
      <c r="W10" s="133" t="s">
        <v>357</v>
      </c>
      <c r="X10" s="133" t="s">
        <v>357</v>
      </c>
      <c r="Y10" s="133" t="s">
        <v>357</v>
      </c>
      <c r="Z10" s="133" t="s">
        <v>357</v>
      </c>
      <c r="AA10" s="133" t="s">
        <v>357</v>
      </c>
      <c r="AB10" s="133" t="s">
        <v>357</v>
      </c>
      <c r="AC10" s="133" t="s">
        <v>357</v>
      </c>
      <c r="AD10" s="133" t="s">
        <v>357</v>
      </c>
      <c r="AE10" s="160"/>
      <c r="AF10" s="133" t="s">
        <v>357</v>
      </c>
      <c r="AG10" s="133" t="s">
        <v>357</v>
      </c>
      <c r="AH10" s="133" t="s">
        <v>357</v>
      </c>
      <c r="AI10" s="133" t="s">
        <v>357</v>
      </c>
      <c r="AJ10" s="133" t="s">
        <v>357</v>
      </c>
      <c r="AK10" s="133" t="s">
        <v>360</v>
      </c>
      <c r="AL10" s="160"/>
      <c r="AM10" s="133" t="s">
        <v>360</v>
      </c>
      <c r="AN10" s="133" t="s">
        <v>357</v>
      </c>
      <c r="AO10" s="133" t="s">
        <v>357</v>
      </c>
      <c r="AP10" s="160"/>
      <c r="AQ10" s="133" t="s">
        <v>357</v>
      </c>
      <c r="AR10" s="133" t="s">
        <v>357</v>
      </c>
      <c r="AS10" s="160"/>
      <c r="AT10" s="133" t="s">
        <v>357</v>
      </c>
      <c r="AU10" s="133" t="s">
        <v>357</v>
      </c>
      <c r="AV10" s="133" t="s">
        <v>357</v>
      </c>
      <c r="AW10" s="133" t="s">
        <v>357</v>
      </c>
      <c r="AX10" s="133" t="s">
        <v>357</v>
      </c>
      <c r="AY10" s="160"/>
      <c r="AZ10" s="133" t="s">
        <v>357</v>
      </c>
      <c r="BA10" s="133" t="s">
        <v>360</v>
      </c>
      <c r="BB10" s="133" t="s">
        <v>360</v>
      </c>
      <c r="BC10" s="133" t="s">
        <v>360</v>
      </c>
      <c r="BD10" s="133" t="s">
        <v>360</v>
      </c>
      <c r="BE10" s="133" t="s">
        <v>360</v>
      </c>
      <c r="BF10" s="133" t="s">
        <v>357</v>
      </c>
      <c r="BG10" s="133" t="s">
        <v>357</v>
      </c>
      <c r="BH10" s="133" t="s">
        <v>357</v>
      </c>
      <c r="BI10" s="134" t="s">
        <v>357</v>
      </c>
      <c r="BJ10" s="160"/>
      <c r="BK10" s="134" t="s">
        <v>357</v>
      </c>
      <c r="BL10" s="134" t="s">
        <v>357</v>
      </c>
      <c r="BM10" s="133" t="s">
        <v>357</v>
      </c>
      <c r="BN10" s="134" t="s">
        <v>357</v>
      </c>
      <c r="BO10" s="133" t="s">
        <v>357</v>
      </c>
      <c r="BP10" s="133" t="s">
        <v>357</v>
      </c>
      <c r="BQ10" s="133" t="s">
        <v>357</v>
      </c>
      <c r="BR10" s="133" t="s">
        <v>357</v>
      </c>
      <c r="BS10" s="133" t="s">
        <v>357</v>
      </c>
      <c r="BT10" s="133" t="s">
        <v>357</v>
      </c>
      <c r="BU10" s="133" t="s">
        <v>357</v>
      </c>
      <c r="BV10" s="133" t="s">
        <v>357</v>
      </c>
      <c r="BW10" s="133" t="s">
        <v>360</v>
      </c>
      <c r="BX10" s="133" t="s">
        <v>357</v>
      </c>
      <c r="BY10" s="133" t="s">
        <v>357</v>
      </c>
      <c r="BZ10" s="133" t="s">
        <v>357</v>
      </c>
      <c r="CA10" s="133" t="s">
        <v>357</v>
      </c>
      <c r="CB10" s="133" t="s">
        <v>357</v>
      </c>
      <c r="CC10" s="133" t="s">
        <v>357</v>
      </c>
      <c r="CD10" s="133" t="s">
        <v>357</v>
      </c>
      <c r="CE10" s="133" t="s">
        <v>357</v>
      </c>
      <c r="CF10" s="133" t="s">
        <v>357</v>
      </c>
      <c r="CG10" s="133"/>
      <c r="CH10" s="133"/>
      <c r="CI10" s="160"/>
      <c r="CJ10" s="133"/>
      <c r="CK10" s="133"/>
      <c r="CL10" s="133"/>
      <c r="CM10" s="133"/>
      <c r="CN10" s="133"/>
      <c r="CO10" s="133"/>
      <c r="CP10" s="133"/>
      <c r="CQ10" s="133"/>
      <c r="CR10" s="133"/>
      <c r="CS10" s="133" t="s">
        <v>357</v>
      </c>
    </row>
    <row r="11" spans="1:97" ht="15.75">
      <c r="A11" s="130" t="s">
        <v>378</v>
      </c>
      <c r="B11" s="131" t="s">
        <v>357</v>
      </c>
      <c r="C11" s="133" t="s">
        <v>357</v>
      </c>
      <c r="D11" s="133" t="s">
        <v>357</v>
      </c>
      <c r="E11" s="133" t="s">
        <v>357</v>
      </c>
      <c r="F11" s="133" t="s">
        <v>357</v>
      </c>
      <c r="G11" s="133" t="s">
        <v>357</v>
      </c>
      <c r="H11" s="133" t="s">
        <v>357</v>
      </c>
      <c r="I11" s="133" t="s">
        <v>357</v>
      </c>
      <c r="J11" s="133" t="s">
        <v>379</v>
      </c>
      <c r="K11" s="133" t="s">
        <v>360</v>
      </c>
      <c r="L11" s="133" t="s">
        <v>357</v>
      </c>
      <c r="M11" s="133" t="s">
        <v>360</v>
      </c>
      <c r="N11" s="133" t="s">
        <v>357</v>
      </c>
      <c r="O11" s="133" t="s">
        <v>359</v>
      </c>
      <c r="P11" s="134" t="s">
        <v>357</v>
      </c>
      <c r="Q11" s="133" t="s">
        <v>357</v>
      </c>
      <c r="R11" s="133" t="s">
        <v>357</v>
      </c>
      <c r="S11" s="133" t="s">
        <v>360</v>
      </c>
      <c r="T11" s="133" t="s">
        <v>360</v>
      </c>
      <c r="U11" s="134" t="s">
        <v>360</v>
      </c>
      <c r="V11" s="133" t="s">
        <v>357</v>
      </c>
      <c r="W11" s="133" t="s">
        <v>357</v>
      </c>
      <c r="X11" s="133" t="s">
        <v>357</v>
      </c>
      <c r="Y11" s="133" t="s">
        <v>357</v>
      </c>
      <c r="Z11" s="133" t="s">
        <v>357</v>
      </c>
      <c r="AA11" s="133" t="s">
        <v>357</v>
      </c>
      <c r="AB11" s="133" t="s">
        <v>357</v>
      </c>
      <c r="AC11" s="133" t="s">
        <v>357</v>
      </c>
      <c r="AD11" s="133" t="s">
        <v>360</v>
      </c>
      <c r="AE11" s="160"/>
      <c r="AF11" s="133" t="s">
        <v>357</v>
      </c>
      <c r="AG11" s="133" t="s">
        <v>357</v>
      </c>
      <c r="AH11" s="133" t="s">
        <v>357</v>
      </c>
      <c r="AI11" s="133" t="s">
        <v>357</v>
      </c>
      <c r="AJ11" s="133" t="s">
        <v>357</v>
      </c>
      <c r="AK11" s="133" t="s">
        <v>357</v>
      </c>
      <c r="AL11" s="160"/>
      <c r="AM11" s="133" t="s">
        <v>357</v>
      </c>
      <c r="AN11" s="133" t="s">
        <v>357</v>
      </c>
      <c r="AO11" s="133" t="s">
        <v>357</v>
      </c>
      <c r="AP11" s="160"/>
      <c r="AQ11" s="133" t="s">
        <v>357</v>
      </c>
      <c r="AR11" s="133" t="s">
        <v>357</v>
      </c>
      <c r="AS11" s="160"/>
      <c r="AT11" s="133" t="s">
        <v>357</v>
      </c>
      <c r="AU11" s="133" t="s">
        <v>360</v>
      </c>
      <c r="AV11" s="133" t="s">
        <v>360</v>
      </c>
      <c r="AW11" s="133" t="s">
        <v>357</v>
      </c>
      <c r="AX11" s="133" t="s">
        <v>357</v>
      </c>
      <c r="AY11" s="160"/>
      <c r="AZ11" s="133" t="s">
        <v>360</v>
      </c>
      <c r="BA11" s="133" t="s">
        <v>357</v>
      </c>
      <c r="BB11" s="133" t="s">
        <v>357</v>
      </c>
      <c r="BC11" s="133" t="s">
        <v>357</v>
      </c>
      <c r="BD11" s="133" t="s">
        <v>357</v>
      </c>
      <c r="BE11" s="133" t="s">
        <v>360</v>
      </c>
      <c r="BF11" s="133" t="s">
        <v>360</v>
      </c>
      <c r="BG11" s="133" t="s">
        <v>360</v>
      </c>
      <c r="BH11" s="133" t="s">
        <v>357</v>
      </c>
      <c r="BI11" s="134" t="s">
        <v>357</v>
      </c>
      <c r="BJ11" s="160"/>
      <c r="BK11" s="134" t="s">
        <v>357</v>
      </c>
      <c r="BL11" s="134" t="s">
        <v>357</v>
      </c>
      <c r="BM11" s="133" t="s">
        <v>357</v>
      </c>
      <c r="BN11" s="134" t="s">
        <v>357</v>
      </c>
      <c r="BO11" s="133" t="s">
        <v>360</v>
      </c>
      <c r="BP11" s="133" t="s">
        <v>357</v>
      </c>
      <c r="BQ11" s="133" t="s">
        <v>357</v>
      </c>
      <c r="BR11" s="133" t="s">
        <v>380</v>
      </c>
      <c r="BS11" s="133" t="s">
        <v>357</v>
      </c>
      <c r="BT11" s="133" t="s">
        <v>357</v>
      </c>
      <c r="BU11" s="133" t="s">
        <v>357</v>
      </c>
      <c r="BV11" s="133" t="s">
        <v>357</v>
      </c>
      <c r="BW11" s="133" t="s">
        <v>357</v>
      </c>
      <c r="BX11" s="133" t="s">
        <v>357</v>
      </c>
      <c r="BY11" s="133" t="s">
        <v>357</v>
      </c>
      <c r="BZ11" s="133" t="s">
        <v>357</v>
      </c>
      <c r="CA11" s="133" t="s">
        <v>357</v>
      </c>
      <c r="CB11" s="133" t="s">
        <v>360</v>
      </c>
      <c r="CC11" s="133" t="s">
        <v>360</v>
      </c>
      <c r="CD11" s="133" t="s">
        <v>357</v>
      </c>
      <c r="CE11" s="133" t="s">
        <v>357</v>
      </c>
      <c r="CF11" s="133" t="s">
        <v>357</v>
      </c>
      <c r="CG11" s="133"/>
      <c r="CH11" s="133"/>
      <c r="CI11" s="160"/>
      <c r="CJ11" s="133"/>
      <c r="CK11" s="133"/>
      <c r="CL11" s="133"/>
      <c r="CM11" s="133"/>
      <c r="CN11" s="133"/>
      <c r="CO11" s="133"/>
      <c r="CP11" s="133"/>
      <c r="CQ11" s="133"/>
      <c r="CR11" s="133"/>
      <c r="CS11" s="133" t="s">
        <v>357</v>
      </c>
    </row>
    <row r="12" spans="1:97" ht="15.75">
      <c r="A12" s="130" t="s">
        <v>381</v>
      </c>
      <c r="B12" s="131" t="s">
        <v>357</v>
      </c>
      <c r="C12" s="133" t="s">
        <v>360</v>
      </c>
      <c r="D12" s="133" t="s">
        <v>357</v>
      </c>
      <c r="E12" s="133" t="s">
        <v>357</v>
      </c>
      <c r="F12" s="133" t="s">
        <v>360</v>
      </c>
      <c r="G12" s="133" t="s">
        <v>360</v>
      </c>
      <c r="H12" s="133" t="s">
        <v>357</v>
      </c>
      <c r="I12" s="133" t="s">
        <v>360</v>
      </c>
      <c r="J12" s="133" t="s">
        <v>357</v>
      </c>
      <c r="K12" s="133" t="s">
        <v>360</v>
      </c>
      <c r="L12" s="133" t="s">
        <v>357</v>
      </c>
      <c r="M12" s="133" t="s">
        <v>360</v>
      </c>
      <c r="N12" s="133" t="s">
        <v>360</v>
      </c>
      <c r="O12" s="133" t="s">
        <v>359</v>
      </c>
      <c r="P12" s="134" t="s">
        <v>357</v>
      </c>
      <c r="Q12" s="133" t="s">
        <v>360</v>
      </c>
      <c r="R12" s="133" t="s">
        <v>360</v>
      </c>
      <c r="S12" s="133" t="s">
        <v>360</v>
      </c>
      <c r="T12" s="133" t="s">
        <v>360</v>
      </c>
      <c r="U12" s="134" t="s">
        <v>360</v>
      </c>
      <c r="V12" s="133" t="s">
        <v>360</v>
      </c>
      <c r="W12" s="133" t="s">
        <v>357</v>
      </c>
      <c r="X12" s="133" t="s">
        <v>360</v>
      </c>
      <c r="Y12" s="133" t="s">
        <v>360</v>
      </c>
      <c r="Z12" s="133" t="s">
        <v>357</v>
      </c>
      <c r="AA12" s="133" t="s">
        <v>360</v>
      </c>
      <c r="AB12" s="133" t="s">
        <v>360</v>
      </c>
      <c r="AC12" s="133" t="s">
        <v>357</v>
      </c>
      <c r="AD12" s="133" t="s">
        <v>360</v>
      </c>
      <c r="AE12" s="160"/>
      <c r="AF12" s="133" t="s">
        <v>360</v>
      </c>
      <c r="AG12" s="133" t="s">
        <v>360</v>
      </c>
      <c r="AH12" s="133" t="s">
        <v>360</v>
      </c>
      <c r="AI12" s="133" t="s">
        <v>360</v>
      </c>
      <c r="AJ12" s="133" t="s">
        <v>357</v>
      </c>
      <c r="AK12" s="133" t="s">
        <v>357</v>
      </c>
      <c r="AL12" s="160"/>
      <c r="AM12" s="133" t="s">
        <v>360</v>
      </c>
      <c r="AN12" s="133" t="s">
        <v>360</v>
      </c>
      <c r="AO12" s="133" t="s">
        <v>360</v>
      </c>
      <c r="AP12" s="160"/>
      <c r="AQ12" s="133" t="s">
        <v>360</v>
      </c>
      <c r="AR12" s="133" t="s">
        <v>360</v>
      </c>
      <c r="AS12" s="160"/>
      <c r="AT12" s="133" t="s">
        <v>360</v>
      </c>
      <c r="AU12" s="133" t="s">
        <v>360</v>
      </c>
      <c r="AV12" s="133" t="s">
        <v>357</v>
      </c>
      <c r="AW12" s="133" t="s">
        <v>357</v>
      </c>
      <c r="AX12" s="133" t="s">
        <v>360</v>
      </c>
      <c r="AY12" s="160"/>
      <c r="AZ12" s="133" t="s">
        <v>360</v>
      </c>
      <c r="BA12" s="133" t="s">
        <v>360</v>
      </c>
      <c r="BB12" s="133" t="s">
        <v>360</v>
      </c>
      <c r="BC12" s="133" t="s">
        <v>357</v>
      </c>
      <c r="BD12" s="133" t="s">
        <v>360</v>
      </c>
      <c r="BE12" s="133" t="s">
        <v>357</v>
      </c>
      <c r="BF12" s="133" t="s">
        <v>360</v>
      </c>
      <c r="BG12" s="133" t="s">
        <v>360</v>
      </c>
      <c r="BH12" s="133" t="s">
        <v>357</v>
      </c>
      <c r="BI12" s="134" t="s">
        <v>360</v>
      </c>
      <c r="BJ12" s="160"/>
      <c r="BK12" s="134" t="s">
        <v>360</v>
      </c>
      <c r="BL12" s="134" t="s">
        <v>360</v>
      </c>
      <c r="BM12" s="133" t="s">
        <v>357</v>
      </c>
      <c r="BN12" s="134" t="s">
        <v>360</v>
      </c>
      <c r="BO12" s="133" t="s">
        <v>360</v>
      </c>
      <c r="BP12" s="133" t="s">
        <v>360</v>
      </c>
      <c r="BQ12" s="133" t="s">
        <v>360</v>
      </c>
      <c r="BR12" s="133" t="s">
        <v>357</v>
      </c>
      <c r="BS12" s="133" t="s">
        <v>360</v>
      </c>
      <c r="BT12" s="133" t="s">
        <v>360</v>
      </c>
      <c r="BU12" s="133" t="s">
        <v>357</v>
      </c>
      <c r="BV12" s="133" t="s">
        <v>357</v>
      </c>
      <c r="BW12" s="133" t="s">
        <v>360</v>
      </c>
      <c r="BX12" s="133" t="s">
        <v>360</v>
      </c>
      <c r="BY12" s="133" t="s">
        <v>357</v>
      </c>
      <c r="BZ12" s="133" t="s">
        <v>360</v>
      </c>
      <c r="CA12" s="133" t="s">
        <v>360</v>
      </c>
      <c r="CB12" s="133" t="s">
        <v>357</v>
      </c>
      <c r="CC12" s="133" t="s">
        <v>360</v>
      </c>
      <c r="CD12" s="133" t="s">
        <v>360</v>
      </c>
      <c r="CE12" s="133" t="s">
        <v>357</v>
      </c>
      <c r="CF12" s="133" t="s">
        <v>360</v>
      </c>
      <c r="CG12" s="133"/>
      <c r="CH12" s="133"/>
      <c r="CI12" s="160"/>
      <c r="CJ12" s="133"/>
      <c r="CK12" s="133"/>
      <c r="CL12" s="133"/>
      <c r="CM12" s="133"/>
      <c r="CN12" s="133"/>
      <c r="CO12" s="133"/>
      <c r="CP12" s="133"/>
      <c r="CQ12" s="133"/>
      <c r="CR12" s="133"/>
      <c r="CS12" s="133" t="s">
        <v>360</v>
      </c>
    </row>
    <row r="13" spans="1:97" ht="15.75">
      <c r="A13" s="130" t="s">
        <v>382</v>
      </c>
      <c r="B13" s="131" t="s">
        <v>357</v>
      </c>
      <c r="C13" s="133" t="s">
        <v>360</v>
      </c>
      <c r="D13" s="133" t="s">
        <v>360</v>
      </c>
      <c r="E13" s="133" t="s">
        <v>360</v>
      </c>
      <c r="F13" s="133" t="s">
        <v>360</v>
      </c>
      <c r="G13" s="133" t="s">
        <v>360</v>
      </c>
      <c r="H13" s="133" t="s">
        <v>360</v>
      </c>
      <c r="I13" s="133" t="s">
        <v>360</v>
      </c>
      <c r="J13" s="133" t="s">
        <v>357</v>
      </c>
      <c r="K13" s="133" t="s">
        <v>360</v>
      </c>
      <c r="L13" s="133" t="s">
        <v>360</v>
      </c>
      <c r="M13" s="133" t="s">
        <v>357</v>
      </c>
      <c r="N13" s="133" t="s">
        <v>360</v>
      </c>
      <c r="O13" s="133" t="s">
        <v>359</v>
      </c>
      <c r="P13" s="134" t="s">
        <v>360</v>
      </c>
      <c r="Q13" s="133" t="s">
        <v>360</v>
      </c>
      <c r="R13" s="133" t="s">
        <v>360</v>
      </c>
      <c r="S13" s="133" t="s">
        <v>360</v>
      </c>
      <c r="T13" s="133" t="s">
        <v>360</v>
      </c>
      <c r="U13" s="134" t="s">
        <v>360</v>
      </c>
      <c r="V13" s="133" t="s">
        <v>357</v>
      </c>
      <c r="W13" s="133" t="s">
        <v>360</v>
      </c>
      <c r="X13" s="133" t="s">
        <v>360</v>
      </c>
      <c r="Y13" s="133" t="s">
        <v>360</v>
      </c>
      <c r="Z13" s="133" t="s">
        <v>360</v>
      </c>
      <c r="AA13" s="133" t="s">
        <v>360</v>
      </c>
      <c r="AB13" s="133" t="s">
        <v>360</v>
      </c>
      <c r="AC13" s="133" t="s">
        <v>357</v>
      </c>
      <c r="AD13" s="133" t="s">
        <v>360</v>
      </c>
      <c r="AE13" s="161"/>
      <c r="AF13" s="133" t="s">
        <v>360</v>
      </c>
      <c r="AG13" s="133" t="s">
        <v>360</v>
      </c>
      <c r="AH13" s="133" t="s">
        <v>360</v>
      </c>
      <c r="AI13" s="133" t="s">
        <v>357</v>
      </c>
      <c r="AJ13" s="133" t="s">
        <v>360</v>
      </c>
      <c r="AK13" s="133" t="s">
        <v>360</v>
      </c>
      <c r="AL13" s="161"/>
      <c r="AM13" s="133" t="s">
        <v>360</v>
      </c>
      <c r="AN13" s="133" t="s">
        <v>360</v>
      </c>
      <c r="AO13" s="133" t="s">
        <v>360</v>
      </c>
      <c r="AP13" s="161"/>
      <c r="AQ13" s="133" t="s">
        <v>360</v>
      </c>
      <c r="AR13" s="133" t="s">
        <v>360</v>
      </c>
      <c r="AS13" s="161"/>
      <c r="AT13" s="133" t="s">
        <v>360</v>
      </c>
      <c r="AU13" s="133" t="s">
        <v>360</v>
      </c>
      <c r="AV13" s="133" t="s">
        <v>360</v>
      </c>
      <c r="AW13" s="133" t="s">
        <v>360</v>
      </c>
      <c r="AX13" s="133" t="s">
        <v>360</v>
      </c>
      <c r="AY13" s="161"/>
      <c r="AZ13" s="133" t="s">
        <v>360</v>
      </c>
      <c r="BA13" s="133" t="s">
        <v>360</v>
      </c>
      <c r="BB13" s="133" t="s">
        <v>360</v>
      </c>
      <c r="BC13" s="133" t="s">
        <v>360</v>
      </c>
      <c r="BD13" s="133" t="s">
        <v>360</v>
      </c>
      <c r="BE13" s="133" t="s">
        <v>360</v>
      </c>
      <c r="BF13" s="133" t="s">
        <v>360</v>
      </c>
      <c r="BG13" s="133" t="s">
        <v>360</v>
      </c>
      <c r="BH13" s="133" t="s">
        <v>360</v>
      </c>
      <c r="BI13" s="134" t="s">
        <v>360</v>
      </c>
      <c r="BJ13" s="161"/>
      <c r="BK13" s="134" t="s">
        <v>360</v>
      </c>
      <c r="BL13" s="134" t="s">
        <v>360</v>
      </c>
      <c r="BM13" s="133" t="s">
        <v>360</v>
      </c>
      <c r="BN13" s="134" t="s">
        <v>360</v>
      </c>
      <c r="BO13" s="133" t="s">
        <v>360</v>
      </c>
      <c r="BP13" s="133" t="s">
        <v>360</v>
      </c>
      <c r="BQ13" s="133" t="s">
        <v>360</v>
      </c>
      <c r="BR13" s="133" t="s">
        <v>380</v>
      </c>
      <c r="BS13" s="133" t="s">
        <v>360</v>
      </c>
      <c r="BT13" s="133" t="s">
        <v>360</v>
      </c>
      <c r="BU13" s="133" t="s">
        <v>360</v>
      </c>
      <c r="BV13" s="133" t="s">
        <v>360</v>
      </c>
      <c r="BW13" s="133" t="s">
        <v>360</v>
      </c>
      <c r="BX13" s="133" t="s">
        <v>360</v>
      </c>
      <c r="BY13" s="133" t="s">
        <v>360</v>
      </c>
      <c r="BZ13" s="133" t="s">
        <v>360</v>
      </c>
      <c r="CA13" s="133" t="s">
        <v>360</v>
      </c>
      <c r="CB13" s="133" t="s">
        <v>360</v>
      </c>
      <c r="CC13" s="133" t="s">
        <v>360</v>
      </c>
      <c r="CD13" s="133" t="s">
        <v>357</v>
      </c>
      <c r="CE13" s="133" t="s">
        <v>357</v>
      </c>
      <c r="CF13" s="133" t="s">
        <v>357</v>
      </c>
      <c r="CG13" s="133"/>
      <c r="CH13" s="133"/>
      <c r="CI13" s="161"/>
      <c r="CJ13" s="133"/>
      <c r="CK13" s="133"/>
      <c r="CL13" s="133"/>
      <c r="CM13" s="133"/>
      <c r="CN13" s="133"/>
      <c r="CO13" s="133"/>
      <c r="CP13" s="133"/>
      <c r="CQ13" s="133"/>
      <c r="CR13" s="133"/>
      <c r="CS13" s="133" t="s">
        <v>360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37" t="s">
        <v>383</v>
      </c>
      <c r="B1" s="137" t="s">
        <v>2</v>
      </c>
      <c r="C1" s="137" t="s">
        <v>4</v>
      </c>
      <c r="D1" s="137" t="s">
        <v>5</v>
      </c>
      <c r="E1" s="138" t="s">
        <v>8</v>
      </c>
      <c r="F1" s="138" t="s">
        <v>9</v>
      </c>
      <c r="G1" s="139" t="s">
        <v>10</v>
      </c>
      <c r="H1" s="138" t="s">
        <v>11</v>
      </c>
      <c r="I1" s="140" t="s">
        <v>295</v>
      </c>
      <c r="J1" s="141" t="s">
        <v>384</v>
      </c>
      <c r="K1" s="142" t="s">
        <v>385</v>
      </c>
      <c r="L1" s="140" t="s">
        <v>386</v>
      </c>
      <c r="M1" s="143"/>
      <c r="N1" s="143"/>
      <c r="O1" s="143"/>
      <c r="P1" s="143"/>
      <c r="Q1" s="143"/>
      <c r="R1" s="143"/>
      <c r="S1" s="143"/>
      <c r="T1" s="143"/>
      <c r="U1" s="143"/>
      <c r="V1" s="143"/>
      <c r="W1" s="143"/>
      <c r="X1" s="143"/>
      <c r="Y1" s="143"/>
      <c r="Z1" s="143"/>
    </row>
    <row r="2" spans="1:26" ht="38.25">
      <c r="A2" s="144" t="s">
        <v>387</v>
      </c>
      <c r="B2" s="145" t="s">
        <v>388</v>
      </c>
      <c r="C2" s="146"/>
      <c r="D2" s="146" t="s">
        <v>22</v>
      </c>
      <c r="E2" s="147">
        <v>45567</v>
      </c>
      <c r="F2" s="147">
        <v>45567</v>
      </c>
      <c r="G2" s="147">
        <v>45568</v>
      </c>
      <c r="H2" s="147">
        <v>45569</v>
      </c>
      <c r="I2" s="148">
        <f ca="1">IF(ISBLANK(H2), NETWORKDAYS(F2, TODAY(),Hoja2!$A$1:$A$18), NETWORKDAYS(F2, H2, Hoja2!$A$1:$A$18))</f>
        <v>3</v>
      </c>
      <c r="J2" s="147">
        <v>45572</v>
      </c>
      <c r="K2" s="149"/>
      <c r="L2" s="150" t="s">
        <v>389</v>
      </c>
      <c r="M2" s="143"/>
      <c r="N2" s="143"/>
      <c r="O2" s="143"/>
      <c r="P2" s="143"/>
      <c r="Q2" s="143"/>
      <c r="R2" s="143"/>
      <c r="S2" s="143"/>
      <c r="T2" s="143"/>
      <c r="U2" s="143"/>
      <c r="V2" s="143"/>
      <c r="W2" s="143"/>
      <c r="X2" s="143"/>
      <c r="Y2" s="143"/>
      <c r="Z2" s="143"/>
    </row>
    <row r="3" spans="1:26" ht="51">
      <c r="A3" s="144" t="s">
        <v>376</v>
      </c>
      <c r="B3" s="162" t="s">
        <v>390</v>
      </c>
      <c r="C3" s="151" t="s">
        <v>391</v>
      </c>
      <c r="D3" s="146" t="s">
        <v>392</v>
      </c>
      <c r="E3" s="147">
        <v>45575</v>
      </c>
      <c r="F3" s="147"/>
      <c r="G3" s="147"/>
      <c r="H3" s="149">
        <v>0</v>
      </c>
      <c r="I3" s="148">
        <f ca="1">IF(ISBLANK(H3), NETWORKDAYS(F3, TODAY(),Hoja2!$A$1:$A$18), NETWORKDAYS(F3, H3, Hoja2!$A$1:$A$18))</f>
        <v>0</v>
      </c>
      <c r="J3" s="147">
        <v>45569</v>
      </c>
      <c r="K3" s="147"/>
      <c r="L3" s="150" t="s">
        <v>393</v>
      </c>
      <c r="M3" s="152"/>
      <c r="N3" s="143"/>
      <c r="O3" s="143"/>
      <c r="P3" s="143"/>
      <c r="Q3" s="143"/>
      <c r="R3" s="143"/>
      <c r="S3" s="143"/>
      <c r="T3" s="143"/>
      <c r="U3" s="143"/>
      <c r="V3" s="143"/>
      <c r="W3" s="143"/>
      <c r="X3" s="143"/>
      <c r="Y3" s="143"/>
      <c r="Z3" s="143"/>
    </row>
    <row r="4" spans="1:26" ht="51">
      <c r="A4" s="144" t="s">
        <v>376</v>
      </c>
      <c r="B4" s="160"/>
      <c r="C4" s="153" t="s">
        <v>394</v>
      </c>
      <c r="D4" s="146" t="s">
        <v>392</v>
      </c>
      <c r="E4" s="147">
        <v>45575</v>
      </c>
      <c r="F4" s="154"/>
      <c r="G4" s="154"/>
      <c r="H4" s="155">
        <v>0</v>
      </c>
      <c r="I4" s="156">
        <f ca="1">IF(ISBLANK(H4), NETWORKDAYS(F4, TODAY(),Hoja2!$A$1:$A$18), NETWORKDAYS(F4, H4, Hoja2!$A$1:$A$18))</f>
        <v>0</v>
      </c>
      <c r="J4" s="154">
        <v>45569</v>
      </c>
      <c r="K4" s="154"/>
      <c r="L4" s="157" t="s">
        <v>395</v>
      </c>
      <c r="M4" s="152"/>
      <c r="N4" s="143"/>
      <c r="O4" s="143"/>
      <c r="P4" s="143"/>
      <c r="Q4" s="143"/>
      <c r="R4" s="143"/>
      <c r="S4" s="143"/>
      <c r="T4" s="143"/>
      <c r="U4" s="143"/>
      <c r="V4" s="143"/>
      <c r="W4" s="143"/>
      <c r="X4" s="143"/>
      <c r="Y4" s="143"/>
      <c r="Z4" s="143"/>
    </row>
    <row r="5" spans="1:26" ht="51">
      <c r="A5" s="144" t="s">
        <v>376</v>
      </c>
      <c r="B5" s="140" t="s">
        <v>396</v>
      </c>
      <c r="C5" s="146" t="s">
        <v>397</v>
      </c>
      <c r="D5" s="146" t="s">
        <v>392</v>
      </c>
      <c r="E5" s="147">
        <v>45575</v>
      </c>
      <c r="F5" s="147"/>
      <c r="G5" s="147"/>
      <c r="H5" s="149">
        <v>0</v>
      </c>
      <c r="I5" s="148">
        <f ca="1">IF(ISBLANK(H5), NETWORKDAYS(F5, TODAY(),Hoja2!$A$1:$A$18), NETWORKDAYS(F5, H5, Hoja2!$A$1:$A$18))</f>
        <v>0</v>
      </c>
      <c r="J5" s="147">
        <v>45569</v>
      </c>
      <c r="K5" s="147"/>
      <c r="L5" s="150" t="s">
        <v>395</v>
      </c>
      <c r="M5" s="152"/>
      <c r="N5" s="143"/>
      <c r="O5" s="143"/>
      <c r="P5" s="143"/>
      <c r="Q5" s="143"/>
      <c r="R5" s="143"/>
      <c r="S5" s="143"/>
      <c r="T5" s="143"/>
      <c r="U5" s="143"/>
      <c r="V5" s="143"/>
      <c r="W5" s="143"/>
      <c r="X5" s="143"/>
      <c r="Y5" s="143"/>
      <c r="Z5" s="143"/>
    </row>
    <row r="6" spans="1:26">
      <c r="A6" s="158"/>
      <c r="B6" s="158"/>
      <c r="C6" s="158"/>
      <c r="D6" s="158"/>
      <c r="E6" s="158"/>
      <c r="F6" s="158"/>
      <c r="G6" s="158"/>
      <c r="H6" s="158"/>
      <c r="I6" s="158"/>
      <c r="J6" s="158"/>
      <c r="K6" s="158"/>
      <c r="L6" s="158"/>
      <c r="M6" s="158"/>
      <c r="N6" s="158"/>
      <c r="O6" s="158"/>
      <c r="P6" s="158"/>
      <c r="Q6" s="158"/>
      <c r="R6" s="158"/>
      <c r="S6" s="158"/>
      <c r="T6" s="158"/>
      <c r="U6" s="158"/>
      <c r="V6" s="158"/>
      <c r="W6" s="158"/>
      <c r="X6" s="158"/>
      <c r="Y6" s="158"/>
      <c r="Z6" s="158"/>
    </row>
    <row r="7" spans="1:26">
      <c r="A7" s="158"/>
      <c r="B7" s="158"/>
      <c r="C7" s="158"/>
      <c r="D7" s="158"/>
      <c r="E7" s="158"/>
      <c r="F7" s="158"/>
      <c r="G7" s="158"/>
      <c r="H7" s="158"/>
      <c r="I7" s="158"/>
      <c r="J7" s="158"/>
      <c r="K7" s="158"/>
      <c r="L7" s="158"/>
      <c r="M7" s="158"/>
      <c r="N7" s="158"/>
      <c r="O7" s="158"/>
      <c r="P7" s="158"/>
      <c r="Q7" s="158"/>
      <c r="R7" s="158"/>
      <c r="S7" s="158"/>
      <c r="T7" s="158"/>
      <c r="U7" s="158"/>
      <c r="V7" s="158"/>
      <c r="W7" s="158"/>
      <c r="X7" s="158"/>
      <c r="Y7" s="158"/>
      <c r="Z7" s="158"/>
    </row>
    <row r="8" spans="1:26">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row>
    <row r="9" spans="1:26">
      <c r="A9" s="158"/>
      <c r="B9" s="158"/>
      <c r="C9" s="158"/>
      <c r="D9" s="158"/>
      <c r="E9" s="158"/>
      <c r="F9" s="158"/>
      <c r="G9" s="158"/>
      <c r="H9" s="158"/>
      <c r="I9" s="158"/>
      <c r="J9" s="158"/>
      <c r="K9" s="158"/>
      <c r="L9" s="158"/>
      <c r="M9" s="158"/>
      <c r="N9" s="158"/>
      <c r="O9" s="158"/>
      <c r="P9" s="158"/>
      <c r="Q9" s="158"/>
      <c r="R9" s="158"/>
      <c r="S9" s="158"/>
      <c r="T9" s="158"/>
      <c r="U9" s="158"/>
      <c r="V9" s="158"/>
      <c r="W9" s="158"/>
      <c r="X9" s="158"/>
      <c r="Y9" s="158"/>
      <c r="Z9" s="158"/>
    </row>
    <row r="10" spans="1:26">
      <c r="A10" s="158"/>
      <c r="B10" s="158"/>
      <c r="C10" s="158"/>
      <c r="D10" s="158"/>
      <c r="E10" s="158"/>
      <c r="F10" s="158"/>
      <c r="G10" s="158"/>
      <c r="H10" s="158"/>
      <c r="I10" s="158"/>
      <c r="J10" s="158"/>
      <c r="K10" s="158"/>
      <c r="L10" s="158"/>
      <c r="M10" s="158"/>
      <c r="N10" s="158"/>
      <c r="O10" s="158"/>
      <c r="P10" s="158"/>
      <c r="Q10" s="158"/>
      <c r="R10" s="158"/>
      <c r="S10" s="158"/>
      <c r="T10" s="158"/>
      <c r="U10" s="158"/>
      <c r="V10" s="158"/>
      <c r="W10" s="158"/>
      <c r="X10" s="158"/>
      <c r="Y10" s="158"/>
      <c r="Z10" s="158"/>
    </row>
    <row r="11" spans="1:26">
      <c r="A11" s="158"/>
      <c r="B11" s="158"/>
      <c r="C11" s="158"/>
      <c r="D11" s="158"/>
      <c r="E11" s="158"/>
      <c r="F11" s="158"/>
      <c r="G11" s="158"/>
      <c r="H11" s="158"/>
      <c r="I11" s="158"/>
      <c r="J11" s="158"/>
      <c r="K11" s="158"/>
      <c r="L11" s="158"/>
      <c r="M11" s="158"/>
      <c r="N11" s="158"/>
      <c r="O11" s="158"/>
      <c r="P11" s="158"/>
      <c r="Q11" s="158"/>
      <c r="R11" s="158"/>
      <c r="S11" s="158"/>
      <c r="T11" s="158"/>
      <c r="U11" s="158"/>
      <c r="V11" s="158"/>
      <c r="W11" s="158"/>
      <c r="X11" s="158"/>
      <c r="Y11" s="158"/>
      <c r="Z11" s="158"/>
    </row>
    <row r="12" spans="1:26">
      <c r="A12" s="158"/>
      <c r="B12" s="158"/>
      <c r="C12" s="158"/>
      <c r="D12" s="158"/>
      <c r="E12" s="158"/>
      <c r="F12" s="158"/>
      <c r="G12" s="158"/>
      <c r="H12" s="158"/>
      <c r="I12" s="158"/>
      <c r="J12" s="158"/>
      <c r="K12" s="158"/>
      <c r="L12" s="158"/>
      <c r="M12" s="158"/>
      <c r="N12" s="158"/>
      <c r="O12" s="158"/>
      <c r="P12" s="158"/>
      <c r="Q12" s="158"/>
      <c r="R12" s="158"/>
      <c r="S12" s="158"/>
      <c r="T12" s="158"/>
      <c r="U12" s="158"/>
      <c r="V12" s="158"/>
      <c r="W12" s="158"/>
      <c r="X12" s="158"/>
      <c r="Y12" s="158"/>
      <c r="Z12" s="158"/>
    </row>
    <row r="13" spans="1:26">
      <c r="A13" s="158"/>
      <c r="B13" s="158"/>
      <c r="C13" s="158"/>
      <c r="D13" s="158"/>
      <c r="E13" s="158"/>
      <c r="F13" s="158"/>
      <c r="G13" s="158"/>
      <c r="H13" s="158"/>
      <c r="I13" s="158"/>
      <c r="J13" s="158"/>
      <c r="K13" s="158"/>
      <c r="L13" s="158"/>
      <c r="M13" s="158"/>
      <c r="N13" s="158"/>
      <c r="O13" s="158"/>
      <c r="P13" s="158"/>
      <c r="Q13" s="158"/>
      <c r="R13" s="158"/>
      <c r="S13" s="158"/>
      <c r="T13" s="158"/>
      <c r="U13" s="158"/>
      <c r="V13" s="158"/>
      <c r="W13" s="158"/>
      <c r="X13" s="158"/>
      <c r="Y13" s="158"/>
      <c r="Z13" s="158"/>
    </row>
    <row r="14" spans="1:26">
      <c r="A14" s="158"/>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row>
    <row r="15" spans="1:26">
      <c r="A15" s="158"/>
      <c r="B15" s="158"/>
      <c r="C15" s="158"/>
      <c r="D15" s="158"/>
      <c r="E15" s="158"/>
      <c r="F15" s="158"/>
      <c r="G15" s="158"/>
      <c r="H15" s="158"/>
      <c r="I15" s="158"/>
      <c r="J15" s="158"/>
      <c r="K15" s="158"/>
      <c r="L15" s="158"/>
      <c r="M15" s="158"/>
      <c r="N15" s="158"/>
      <c r="O15" s="158"/>
      <c r="P15" s="158"/>
      <c r="Q15" s="158"/>
      <c r="R15" s="158"/>
      <c r="S15" s="158"/>
      <c r="T15" s="158"/>
      <c r="U15" s="158"/>
      <c r="V15" s="158"/>
      <c r="W15" s="158"/>
      <c r="X15" s="158"/>
      <c r="Y15" s="158"/>
      <c r="Z15" s="158"/>
    </row>
    <row r="16" spans="1:26">
      <c r="A16" s="158"/>
      <c r="B16" s="158"/>
      <c r="C16" s="158"/>
      <c r="D16" s="158"/>
      <c r="E16" s="158"/>
      <c r="F16" s="158"/>
      <c r="G16" s="158"/>
      <c r="H16" s="158"/>
      <c r="I16" s="158"/>
      <c r="J16" s="158"/>
      <c r="K16" s="158"/>
      <c r="L16" s="158"/>
      <c r="M16" s="158"/>
      <c r="N16" s="158"/>
      <c r="O16" s="158"/>
      <c r="P16" s="158"/>
      <c r="Q16" s="158"/>
      <c r="R16" s="158"/>
      <c r="S16" s="158"/>
      <c r="T16" s="158"/>
      <c r="U16" s="158"/>
      <c r="V16" s="158"/>
      <c r="W16" s="158"/>
      <c r="X16" s="158"/>
      <c r="Y16" s="158"/>
      <c r="Z16" s="158"/>
    </row>
    <row r="17" spans="1:26">
      <c r="A17" s="158"/>
      <c r="B17" s="158"/>
      <c r="C17" s="158"/>
      <c r="D17" s="158"/>
      <c r="E17" s="158"/>
      <c r="F17" s="158"/>
      <c r="G17" s="158"/>
      <c r="H17" s="158"/>
      <c r="I17" s="158"/>
      <c r="J17" s="158"/>
      <c r="K17" s="158"/>
      <c r="L17" s="158"/>
      <c r="M17" s="158"/>
      <c r="N17" s="158"/>
      <c r="O17" s="158"/>
      <c r="P17" s="158"/>
      <c r="Q17" s="158"/>
      <c r="R17" s="158"/>
      <c r="S17" s="158"/>
      <c r="T17" s="158"/>
      <c r="U17" s="158"/>
      <c r="V17" s="158"/>
      <c r="W17" s="158"/>
      <c r="X17" s="158"/>
      <c r="Y17" s="158"/>
      <c r="Z17" s="158"/>
    </row>
    <row r="18" spans="1:26">
      <c r="A18" s="158"/>
      <c r="B18" s="158"/>
      <c r="C18" s="158"/>
      <c r="D18" s="158"/>
      <c r="E18" s="158"/>
      <c r="F18" s="158"/>
      <c r="G18" s="158"/>
      <c r="H18" s="158"/>
      <c r="I18" s="158"/>
      <c r="J18" s="158"/>
      <c r="K18" s="158"/>
      <c r="L18" s="158"/>
      <c r="M18" s="158"/>
      <c r="N18" s="158"/>
      <c r="O18" s="158"/>
      <c r="P18" s="158"/>
      <c r="Q18" s="158"/>
      <c r="R18" s="158"/>
      <c r="S18" s="158"/>
      <c r="T18" s="158"/>
      <c r="U18" s="158"/>
      <c r="V18" s="158"/>
      <c r="W18" s="158"/>
      <c r="X18" s="158"/>
      <c r="Y18" s="158"/>
      <c r="Z18" s="158"/>
    </row>
    <row r="19" spans="1:26">
      <c r="A19" s="158"/>
      <c r="B19" s="158"/>
      <c r="C19" s="158"/>
      <c r="D19" s="158"/>
      <c r="E19" s="158"/>
      <c r="F19" s="158"/>
      <c r="G19" s="158"/>
      <c r="H19" s="158"/>
      <c r="I19" s="158"/>
      <c r="J19" s="158"/>
      <c r="K19" s="158"/>
      <c r="L19" s="158"/>
      <c r="M19" s="158"/>
      <c r="N19" s="158"/>
      <c r="O19" s="158"/>
      <c r="P19" s="158"/>
      <c r="Q19" s="158"/>
      <c r="R19" s="158"/>
      <c r="S19" s="158"/>
      <c r="T19" s="158"/>
      <c r="U19" s="158"/>
      <c r="V19" s="158"/>
      <c r="W19" s="158"/>
      <c r="X19" s="158"/>
      <c r="Y19" s="158"/>
      <c r="Z19" s="158"/>
    </row>
    <row r="20" spans="1:26">
      <c r="A20" s="158"/>
      <c r="B20" s="158"/>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row>
    <row r="21" spans="1:26" ht="15.75" customHeight="1">
      <c r="A21" s="158"/>
      <c r="B21" s="158"/>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row>
    <row r="22" spans="1:26" ht="15.75" customHeight="1">
      <c r="A22" s="158"/>
      <c r="B22" s="158"/>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row>
    <row r="23" spans="1:26" ht="15.75" customHeight="1">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row>
    <row r="24" spans="1:26" ht="15.75" customHeight="1">
      <c r="A24" s="158"/>
      <c r="B24" s="158"/>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row>
    <row r="25" spans="1:26" ht="15.75" customHeight="1">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row>
    <row r="26" spans="1:26" ht="15.75" customHeight="1">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row>
    <row r="27" spans="1:26" ht="15.75" customHeight="1">
      <c r="A27" s="158"/>
      <c r="B27" s="158"/>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row>
    <row r="28" spans="1:26" ht="15.75" customHeight="1">
      <c r="A28" s="158"/>
      <c r="B28" s="158"/>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row>
    <row r="29" spans="1:26" ht="15.75" customHeight="1">
      <c r="A29" s="158"/>
      <c r="B29" s="158"/>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row>
    <row r="30" spans="1:26" ht="15.75" customHeight="1">
      <c r="A30" s="158"/>
      <c r="B30" s="158"/>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row>
    <row r="31" spans="1:26" ht="15.75" customHeight="1">
      <c r="A31" s="158"/>
      <c r="B31" s="158"/>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row>
    <row r="32" spans="1:26" ht="15.75" customHeight="1">
      <c r="A32" s="158"/>
      <c r="B32" s="158"/>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row>
    <row r="33" spans="1:26" ht="15.75" customHeight="1">
      <c r="A33" s="158"/>
      <c r="B33" s="158"/>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row>
    <row r="34" spans="1:26" ht="15.75" customHeight="1">
      <c r="A34" s="158"/>
      <c r="B34" s="158"/>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row>
    <row r="35" spans="1:26" ht="15.75" customHeight="1">
      <c r="A35" s="158"/>
      <c r="B35" s="158"/>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row>
    <row r="36" spans="1:26" ht="15.75" customHeight="1">
      <c r="A36" s="158"/>
      <c r="B36" s="158"/>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row>
    <row r="37" spans="1:26" ht="15.75" customHeight="1">
      <c r="A37" s="158"/>
      <c r="B37" s="158"/>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row>
    <row r="38" spans="1:26" ht="15.75" customHeight="1">
      <c r="A38" s="158"/>
      <c r="B38" s="158"/>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row>
    <row r="39" spans="1:26" ht="15.75" customHeight="1">
      <c r="A39" s="158"/>
      <c r="B39" s="158"/>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row>
    <row r="40" spans="1:26" ht="15.75" customHeight="1">
      <c r="A40" s="158"/>
      <c r="B40" s="158"/>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row>
    <row r="41" spans="1:26" ht="15.75" customHeight="1">
      <c r="A41" s="158"/>
      <c r="B41" s="158"/>
      <c r="C41" s="158"/>
      <c r="D41" s="158"/>
      <c r="E41" s="158"/>
      <c r="F41" s="158"/>
      <c r="G41" s="158"/>
      <c r="H41" s="158"/>
      <c r="I41" s="158"/>
      <c r="J41" s="158"/>
      <c r="K41" s="158"/>
      <c r="L41" s="158"/>
      <c r="M41" s="158"/>
      <c r="N41" s="158"/>
      <c r="O41" s="158"/>
      <c r="P41" s="158"/>
      <c r="Q41" s="158"/>
      <c r="R41" s="158"/>
      <c r="S41" s="158"/>
      <c r="T41" s="158"/>
      <c r="U41" s="158"/>
      <c r="V41" s="158"/>
      <c r="W41" s="158"/>
      <c r="X41" s="158"/>
      <c r="Y41" s="158"/>
      <c r="Z41" s="158"/>
    </row>
    <row r="42" spans="1:26" ht="15.75" customHeight="1">
      <c r="A42" s="158"/>
      <c r="B42" s="158"/>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row>
    <row r="43" spans="1:26" ht="15.75" customHeight="1">
      <c r="A43" s="158"/>
      <c r="B43" s="158"/>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row>
    <row r="44" spans="1:26" ht="15.75" customHeight="1">
      <c r="A44" s="158"/>
      <c r="B44" s="158"/>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row>
    <row r="45" spans="1:26" ht="15.75" customHeight="1">
      <c r="A45" s="158"/>
      <c r="B45" s="158"/>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row>
    <row r="46" spans="1:26" ht="15.75" customHeight="1">
      <c r="A46" s="158"/>
      <c r="B46" s="158"/>
      <c r="C46" s="158"/>
      <c r="D46" s="158"/>
      <c r="E46" s="158"/>
      <c r="F46" s="158"/>
      <c r="G46" s="158"/>
      <c r="H46" s="158"/>
      <c r="I46" s="158"/>
      <c r="J46" s="158"/>
      <c r="K46" s="158"/>
      <c r="L46" s="158"/>
      <c r="M46" s="158"/>
      <c r="N46" s="158"/>
      <c r="O46" s="158"/>
      <c r="P46" s="158"/>
      <c r="Q46" s="158"/>
      <c r="R46" s="158"/>
      <c r="S46" s="158"/>
      <c r="T46" s="158"/>
      <c r="U46" s="158"/>
      <c r="V46" s="158"/>
      <c r="W46" s="158"/>
      <c r="X46" s="158"/>
      <c r="Y46" s="158"/>
      <c r="Z46" s="158"/>
    </row>
    <row r="47" spans="1:26" ht="15.75" customHeight="1">
      <c r="A47" s="158"/>
      <c r="B47" s="158"/>
      <c r="C47" s="158"/>
      <c r="D47" s="158"/>
      <c r="E47" s="158"/>
      <c r="F47" s="158"/>
      <c r="G47" s="158"/>
      <c r="H47" s="158"/>
      <c r="I47" s="158"/>
      <c r="J47" s="158"/>
      <c r="K47" s="158"/>
      <c r="L47" s="158"/>
      <c r="M47" s="158"/>
      <c r="N47" s="158"/>
      <c r="O47" s="158"/>
      <c r="P47" s="158"/>
      <c r="Q47" s="158"/>
      <c r="R47" s="158"/>
      <c r="S47" s="158"/>
      <c r="T47" s="158"/>
      <c r="U47" s="158"/>
      <c r="V47" s="158"/>
      <c r="W47" s="158"/>
      <c r="X47" s="158"/>
      <c r="Y47" s="158"/>
      <c r="Z47" s="158"/>
    </row>
    <row r="48" spans="1:26" ht="15.75" customHeight="1">
      <c r="A48" s="158"/>
      <c r="B48" s="158"/>
      <c r="C48" s="158"/>
      <c r="D48" s="158"/>
      <c r="E48" s="158"/>
      <c r="F48" s="158"/>
      <c r="G48" s="158"/>
      <c r="H48" s="158"/>
      <c r="I48" s="158"/>
      <c r="J48" s="158"/>
      <c r="K48" s="158"/>
      <c r="L48" s="158"/>
      <c r="M48" s="158"/>
      <c r="N48" s="158"/>
      <c r="O48" s="158"/>
      <c r="P48" s="158"/>
      <c r="Q48" s="158"/>
      <c r="R48" s="158"/>
      <c r="S48" s="158"/>
      <c r="T48" s="158"/>
      <c r="U48" s="158"/>
      <c r="V48" s="158"/>
      <c r="W48" s="158"/>
      <c r="X48" s="158"/>
      <c r="Y48" s="158"/>
      <c r="Z48" s="158"/>
    </row>
    <row r="49" spans="1:26" ht="15.75" customHeight="1">
      <c r="A49" s="158"/>
      <c r="B49" s="158"/>
      <c r="C49" s="158"/>
      <c r="D49" s="158"/>
      <c r="E49" s="158"/>
      <c r="F49" s="158"/>
      <c r="G49" s="158"/>
      <c r="H49" s="158"/>
      <c r="I49" s="158"/>
      <c r="J49" s="158"/>
      <c r="K49" s="158"/>
      <c r="L49" s="158"/>
      <c r="M49" s="158"/>
      <c r="N49" s="158"/>
      <c r="O49" s="158"/>
      <c r="P49" s="158"/>
      <c r="Q49" s="158"/>
      <c r="R49" s="158"/>
      <c r="S49" s="158"/>
      <c r="T49" s="158"/>
      <c r="U49" s="158"/>
      <c r="V49" s="158"/>
      <c r="W49" s="158"/>
      <c r="X49" s="158"/>
      <c r="Y49" s="158"/>
      <c r="Z49" s="158"/>
    </row>
    <row r="50" spans="1:26" ht="15.75" customHeight="1">
      <c r="A50" s="158"/>
      <c r="B50" s="158"/>
      <c r="C50" s="158"/>
      <c r="D50" s="158"/>
      <c r="E50" s="158"/>
      <c r="F50" s="158"/>
      <c r="G50" s="158"/>
      <c r="H50" s="158"/>
      <c r="I50" s="158"/>
      <c r="J50" s="158"/>
      <c r="K50" s="158"/>
      <c r="L50" s="158"/>
      <c r="M50" s="158"/>
      <c r="N50" s="158"/>
      <c r="O50" s="158"/>
      <c r="P50" s="158"/>
      <c r="Q50" s="158"/>
      <c r="R50" s="158"/>
      <c r="S50" s="158"/>
      <c r="T50" s="158"/>
      <c r="U50" s="158"/>
      <c r="V50" s="158"/>
      <c r="W50" s="158"/>
      <c r="X50" s="158"/>
      <c r="Y50" s="158"/>
      <c r="Z50" s="158"/>
    </row>
    <row r="51" spans="1:26" ht="15.75" customHeight="1">
      <c r="A51" s="158"/>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row>
    <row r="52" spans="1:26" ht="15.75" customHeight="1">
      <c r="A52" s="158"/>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row>
    <row r="53" spans="1:26" ht="15.75" customHeight="1">
      <c r="A53" s="158"/>
      <c r="B53" s="158"/>
      <c r="C53" s="158"/>
      <c r="D53" s="158"/>
      <c r="E53" s="158"/>
      <c r="F53" s="158"/>
      <c r="G53" s="158"/>
      <c r="H53" s="158"/>
      <c r="I53" s="158"/>
      <c r="J53" s="158"/>
      <c r="K53" s="158"/>
      <c r="L53" s="158"/>
      <c r="M53" s="158"/>
      <c r="N53" s="158"/>
      <c r="O53" s="158"/>
      <c r="P53" s="158"/>
      <c r="Q53" s="158"/>
      <c r="R53" s="158"/>
      <c r="S53" s="158"/>
      <c r="T53" s="158"/>
      <c r="U53" s="158"/>
      <c r="V53" s="158"/>
      <c r="W53" s="158"/>
      <c r="X53" s="158"/>
      <c r="Y53" s="158"/>
      <c r="Z53" s="158"/>
    </row>
    <row r="54" spans="1:26" ht="15.75" customHeight="1">
      <c r="A54" s="158"/>
      <c r="B54" s="158"/>
      <c r="C54" s="158"/>
      <c r="D54" s="158"/>
      <c r="E54" s="158"/>
      <c r="F54" s="158"/>
      <c r="G54" s="158"/>
      <c r="H54" s="158"/>
      <c r="I54" s="158"/>
      <c r="J54" s="158"/>
      <c r="K54" s="158"/>
      <c r="L54" s="158"/>
      <c r="M54" s="158"/>
      <c r="N54" s="158"/>
      <c r="O54" s="158"/>
      <c r="P54" s="158"/>
      <c r="Q54" s="158"/>
      <c r="R54" s="158"/>
      <c r="S54" s="158"/>
      <c r="T54" s="158"/>
      <c r="U54" s="158"/>
      <c r="V54" s="158"/>
      <c r="W54" s="158"/>
      <c r="X54" s="158"/>
      <c r="Y54" s="158"/>
      <c r="Z54" s="158"/>
    </row>
    <row r="55" spans="1:26" ht="15.75" customHeight="1">
      <c r="A55" s="158"/>
      <c r="B55" s="158"/>
      <c r="C55" s="158"/>
      <c r="D55" s="158"/>
      <c r="E55" s="158"/>
      <c r="F55" s="158"/>
      <c r="G55" s="158"/>
      <c r="H55" s="158"/>
      <c r="I55" s="158"/>
      <c r="J55" s="158"/>
      <c r="K55" s="158"/>
      <c r="L55" s="158"/>
      <c r="M55" s="158"/>
      <c r="N55" s="158"/>
      <c r="O55" s="158"/>
      <c r="P55" s="158"/>
      <c r="Q55" s="158"/>
      <c r="R55" s="158"/>
      <c r="S55" s="158"/>
      <c r="T55" s="158"/>
      <c r="U55" s="158"/>
      <c r="V55" s="158"/>
      <c r="W55" s="158"/>
      <c r="X55" s="158"/>
      <c r="Y55" s="158"/>
      <c r="Z55" s="158"/>
    </row>
    <row r="56" spans="1:26" ht="15.75" customHeight="1">
      <c r="A56" s="158"/>
      <c r="B56" s="158"/>
      <c r="C56" s="158"/>
      <c r="D56" s="158"/>
      <c r="E56" s="158"/>
      <c r="F56" s="158"/>
      <c r="G56" s="158"/>
      <c r="H56" s="158"/>
      <c r="I56" s="158"/>
      <c r="J56" s="158"/>
      <c r="K56" s="158"/>
      <c r="L56" s="158"/>
      <c r="M56" s="158"/>
      <c r="N56" s="158"/>
      <c r="O56" s="158"/>
      <c r="P56" s="158"/>
      <c r="Q56" s="158"/>
      <c r="R56" s="158"/>
      <c r="S56" s="158"/>
      <c r="T56" s="158"/>
      <c r="U56" s="158"/>
      <c r="V56" s="158"/>
      <c r="W56" s="158"/>
      <c r="X56" s="158"/>
      <c r="Y56" s="158"/>
      <c r="Z56" s="158"/>
    </row>
    <row r="57" spans="1:26" ht="15.75" customHeight="1">
      <c r="A57" s="158"/>
      <c r="B57" s="158"/>
      <c r="C57" s="158"/>
      <c r="D57" s="158"/>
      <c r="E57" s="158"/>
      <c r="F57" s="158"/>
      <c r="G57" s="158"/>
      <c r="H57" s="158"/>
      <c r="I57" s="158"/>
      <c r="J57" s="158"/>
      <c r="K57" s="158"/>
      <c r="L57" s="158"/>
      <c r="M57" s="158"/>
      <c r="N57" s="158"/>
      <c r="O57" s="158"/>
      <c r="P57" s="158"/>
      <c r="Q57" s="158"/>
      <c r="R57" s="158"/>
      <c r="S57" s="158"/>
      <c r="T57" s="158"/>
      <c r="U57" s="158"/>
      <c r="V57" s="158"/>
      <c r="W57" s="158"/>
      <c r="X57" s="158"/>
      <c r="Y57" s="158"/>
      <c r="Z57" s="158"/>
    </row>
    <row r="58" spans="1:26" ht="15.75" customHeight="1">
      <c r="A58" s="158"/>
      <c r="B58" s="158"/>
      <c r="C58" s="158"/>
      <c r="D58" s="158"/>
      <c r="E58" s="158"/>
      <c r="F58" s="158"/>
      <c r="G58" s="158"/>
      <c r="H58" s="158"/>
      <c r="I58" s="158"/>
      <c r="J58" s="158"/>
      <c r="K58" s="158"/>
      <c r="L58" s="158"/>
      <c r="M58" s="158"/>
      <c r="N58" s="158"/>
      <c r="O58" s="158"/>
      <c r="P58" s="158"/>
      <c r="Q58" s="158"/>
      <c r="R58" s="158"/>
      <c r="S58" s="158"/>
      <c r="T58" s="158"/>
      <c r="U58" s="158"/>
      <c r="V58" s="158"/>
      <c r="W58" s="158"/>
      <c r="X58" s="158"/>
      <c r="Y58" s="158"/>
      <c r="Z58" s="158"/>
    </row>
    <row r="59" spans="1:26" ht="15.75" customHeight="1">
      <c r="A59" s="158"/>
      <c r="B59" s="158"/>
      <c r="C59" s="158"/>
      <c r="D59" s="158"/>
      <c r="E59" s="158"/>
      <c r="F59" s="158"/>
      <c r="G59" s="158"/>
      <c r="H59" s="158"/>
      <c r="I59" s="158"/>
      <c r="J59" s="158"/>
      <c r="K59" s="158"/>
      <c r="L59" s="158"/>
      <c r="M59" s="158"/>
      <c r="N59" s="158"/>
      <c r="O59" s="158"/>
      <c r="P59" s="158"/>
      <c r="Q59" s="158"/>
      <c r="R59" s="158"/>
      <c r="S59" s="158"/>
      <c r="T59" s="158"/>
      <c r="U59" s="158"/>
      <c r="V59" s="158"/>
      <c r="W59" s="158"/>
      <c r="X59" s="158"/>
      <c r="Y59" s="158"/>
      <c r="Z59" s="158"/>
    </row>
    <row r="60" spans="1:26" ht="15.75" customHeight="1">
      <c r="A60" s="158"/>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row>
    <row r="61" spans="1:26" ht="15.75" customHeight="1">
      <c r="A61" s="158"/>
      <c r="B61" s="158"/>
      <c r="C61" s="158"/>
      <c r="D61" s="158"/>
      <c r="E61" s="158"/>
      <c r="F61" s="158"/>
      <c r="G61" s="158"/>
      <c r="H61" s="158"/>
      <c r="I61" s="158"/>
      <c r="J61" s="158"/>
      <c r="K61" s="158"/>
      <c r="L61" s="158"/>
      <c r="M61" s="158"/>
      <c r="N61" s="158"/>
      <c r="O61" s="158"/>
      <c r="P61" s="158"/>
      <c r="Q61" s="158"/>
      <c r="R61" s="158"/>
      <c r="S61" s="158"/>
      <c r="T61" s="158"/>
      <c r="U61" s="158"/>
      <c r="V61" s="158"/>
      <c r="W61" s="158"/>
      <c r="X61" s="158"/>
      <c r="Y61" s="158"/>
      <c r="Z61" s="158"/>
    </row>
    <row r="62" spans="1:26" ht="15.75" customHeight="1">
      <c r="A62" s="158"/>
      <c r="B62" s="158"/>
      <c r="C62" s="158"/>
      <c r="D62" s="158"/>
      <c r="E62" s="158"/>
      <c r="F62" s="158"/>
      <c r="G62" s="158"/>
      <c r="H62" s="158"/>
      <c r="I62" s="158"/>
      <c r="J62" s="158"/>
      <c r="K62" s="158"/>
      <c r="L62" s="158"/>
      <c r="M62" s="158"/>
      <c r="N62" s="158"/>
      <c r="O62" s="158"/>
      <c r="P62" s="158"/>
      <c r="Q62" s="158"/>
      <c r="R62" s="158"/>
      <c r="S62" s="158"/>
      <c r="T62" s="158"/>
      <c r="U62" s="158"/>
      <c r="V62" s="158"/>
      <c r="W62" s="158"/>
      <c r="X62" s="158"/>
      <c r="Y62" s="158"/>
      <c r="Z62" s="158"/>
    </row>
    <row r="63" spans="1:26" ht="15.75" customHeight="1">
      <c r="A63" s="158"/>
      <c r="B63" s="158"/>
      <c r="C63" s="158"/>
      <c r="D63" s="158"/>
      <c r="E63" s="158"/>
      <c r="F63" s="158"/>
      <c r="G63" s="158"/>
      <c r="H63" s="158"/>
      <c r="I63" s="158"/>
      <c r="J63" s="158"/>
      <c r="K63" s="158"/>
      <c r="L63" s="158"/>
      <c r="M63" s="158"/>
      <c r="N63" s="158"/>
      <c r="O63" s="158"/>
      <c r="P63" s="158"/>
      <c r="Q63" s="158"/>
      <c r="R63" s="158"/>
      <c r="S63" s="158"/>
      <c r="T63" s="158"/>
      <c r="U63" s="158"/>
      <c r="V63" s="158"/>
      <c r="W63" s="158"/>
      <c r="X63" s="158"/>
      <c r="Y63" s="158"/>
      <c r="Z63" s="158"/>
    </row>
    <row r="64" spans="1:26" ht="15.75" customHeight="1">
      <c r="A64" s="158"/>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row>
    <row r="65" spans="1:26" ht="15.75" customHeight="1">
      <c r="A65" s="158"/>
      <c r="B65" s="158"/>
      <c r="C65" s="158"/>
      <c r="D65" s="158"/>
      <c r="E65" s="158"/>
      <c r="F65" s="158"/>
      <c r="G65" s="158"/>
      <c r="H65" s="158"/>
      <c r="I65" s="158"/>
      <c r="J65" s="158"/>
      <c r="K65" s="158"/>
      <c r="L65" s="158"/>
      <c r="M65" s="158"/>
      <c r="N65" s="158"/>
      <c r="O65" s="158"/>
      <c r="P65" s="158"/>
      <c r="Q65" s="158"/>
      <c r="R65" s="158"/>
      <c r="S65" s="158"/>
      <c r="T65" s="158"/>
      <c r="U65" s="158"/>
      <c r="V65" s="158"/>
      <c r="W65" s="158"/>
      <c r="X65" s="158"/>
      <c r="Y65" s="158"/>
      <c r="Z65" s="158"/>
    </row>
    <row r="66" spans="1:26" ht="15.75" customHeight="1">
      <c r="A66" s="158"/>
      <c r="B66" s="158"/>
      <c r="C66" s="158"/>
      <c r="D66" s="158"/>
      <c r="E66" s="158"/>
      <c r="F66" s="158"/>
      <c r="G66" s="158"/>
      <c r="H66" s="158"/>
      <c r="I66" s="158"/>
      <c r="J66" s="158"/>
      <c r="K66" s="158"/>
      <c r="L66" s="158"/>
      <c r="M66" s="158"/>
      <c r="N66" s="158"/>
      <c r="O66" s="158"/>
      <c r="P66" s="158"/>
      <c r="Q66" s="158"/>
      <c r="R66" s="158"/>
      <c r="S66" s="158"/>
      <c r="T66" s="158"/>
      <c r="U66" s="158"/>
      <c r="V66" s="158"/>
      <c r="W66" s="158"/>
      <c r="X66" s="158"/>
      <c r="Y66" s="158"/>
      <c r="Z66" s="158"/>
    </row>
    <row r="67" spans="1:26" ht="15.75" customHeight="1">
      <c r="A67" s="158"/>
      <c r="B67" s="158"/>
      <c r="C67" s="158"/>
      <c r="D67" s="158"/>
      <c r="E67" s="158"/>
      <c r="F67" s="158"/>
      <c r="G67" s="158"/>
      <c r="H67" s="158"/>
      <c r="I67" s="158"/>
      <c r="J67" s="158"/>
      <c r="K67" s="158"/>
      <c r="L67" s="158"/>
      <c r="M67" s="158"/>
      <c r="N67" s="158"/>
      <c r="O67" s="158"/>
      <c r="P67" s="158"/>
      <c r="Q67" s="158"/>
      <c r="R67" s="158"/>
      <c r="S67" s="158"/>
      <c r="T67" s="158"/>
      <c r="U67" s="158"/>
      <c r="V67" s="158"/>
      <c r="W67" s="158"/>
      <c r="X67" s="158"/>
      <c r="Y67" s="158"/>
      <c r="Z67" s="158"/>
    </row>
    <row r="68" spans="1:26" ht="15.75" customHeight="1">
      <c r="A68" s="158"/>
      <c r="B68" s="158"/>
      <c r="C68" s="158"/>
      <c r="D68" s="158"/>
      <c r="E68" s="158"/>
      <c r="F68" s="158"/>
      <c r="G68" s="158"/>
      <c r="H68" s="158"/>
      <c r="I68" s="158"/>
      <c r="J68" s="158"/>
      <c r="K68" s="158"/>
      <c r="L68" s="158"/>
      <c r="M68" s="158"/>
      <c r="N68" s="158"/>
      <c r="O68" s="158"/>
      <c r="P68" s="158"/>
      <c r="Q68" s="158"/>
      <c r="R68" s="158"/>
      <c r="S68" s="158"/>
      <c r="T68" s="158"/>
      <c r="U68" s="158"/>
      <c r="V68" s="158"/>
      <c r="W68" s="158"/>
      <c r="X68" s="158"/>
      <c r="Y68" s="158"/>
      <c r="Z68" s="158"/>
    </row>
    <row r="69" spans="1:26" ht="15.75" customHeight="1">
      <c r="A69" s="158"/>
      <c r="B69" s="158"/>
      <c r="C69" s="158"/>
      <c r="D69" s="158"/>
      <c r="E69" s="158"/>
      <c r="F69" s="158"/>
      <c r="G69" s="158"/>
      <c r="H69" s="158"/>
      <c r="I69" s="158"/>
      <c r="J69" s="158"/>
      <c r="K69" s="158"/>
      <c r="L69" s="158"/>
      <c r="M69" s="158"/>
      <c r="N69" s="158"/>
      <c r="O69" s="158"/>
      <c r="P69" s="158"/>
      <c r="Q69" s="158"/>
      <c r="R69" s="158"/>
      <c r="S69" s="158"/>
      <c r="T69" s="158"/>
      <c r="U69" s="158"/>
      <c r="V69" s="158"/>
      <c r="W69" s="158"/>
      <c r="X69" s="158"/>
      <c r="Y69" s="158"/>
      <c r="Z69" s="158"/>
    </row>
    <row r="70" spans="1:26" ht="15.75" customHeight="1">
      <c r="A70" s="158"/>
      <c r="B70" s="158"/>
      <c r="C70" s="158"/>
      <c r="D70" s="158"/>
      <c r="E70" s="158"/>
      <c r="F70" s="158"/>
      <c r="G70" s="158"/>
      <c r="H70" s="158"/>
      <c r="I70" s="158"/>
      <c r="J70" s="158"/>
      <c r="K70" s="158"/>
      <c r="L70" s="158"/>
      <c r="M70" s="158"/>
      <c r="N70" s="158"/>
      <c r="O70" s="158"/>
      <c r="P70" s="158"/>
      <c r="Q70" s="158"/>
      <c r="R70" s="158"/>
      <c r="S70" s="158"/>
      <c r="T70" s="158"/>
      <c r="U70" s="158"/>
      <c r="V70" s="158"/>
      <c r="W70" s="158"/>
      <c r="X70" s="158"/>
      <c r="Y70" s="158"/>
      <c r="Z70" s="158"/>
    </row>
    <row r="71" spans="1:26" ht="15.75" customHeight="1">
      <c r="A71" s="158"/>
      <c r="B71" s="158"/>
      <c r="C71" s="158"/>
      <c r="D71" s="158"/>
      <c r="E71" s="158"/>
      <c r="F71" s="158"/>
      <c r="G71" s="158"/>
      <c r="H71" s="158"/>
      <c r="I71" s="158"/>
      <c r="J71" s="158"/>
      <c r="K71" s="158"/>
      <c r="L71" s="158"/>
      <c r="M71" s="158"/>
      <c r="N71" s="158"/>
      <c r="O71" s="158"/>
      <c r="P71" s="158"/>
      <c r="Q71" s="158"/>
      <c r="R71" s="158"/>
      <c r="S71" s="158"/>
      <c r="T71" s="158"/>
      <c r="U71" s="158"/>
      <c r="V71" s="158"/>
      <c r="W71" s="158"/>
      <c r="X71" s="158"/>
      <c r="Y71" s="158"/>
      <c r="Z71" s="158"/>
    </row>
    <row r="72" spans="1:26" ht="15.75" customHeight="1">
      <c r="A72" s="158"/>
      <c r="B72" s="158"/>
      <c r="C72" s="158"/>
      <c r="D72" s="158"/>
      <c r="E72" s="158"/>
      <c r="F72" s="158"/>
      <c r="G72" s="158"/>
      <c r="H72" s="158"/>
      <c r="I72" s="158"/>
      <c r="J72" s="158"/>
      <c r="K72" s="158"/>
      <c r="L72" s="158"/>
      <c r="M72" s="158"/>
      <c r="N72" s="158"/>
      <c r="O72" s="158"/>
      <c r="P72" s="158"/>
      <c r="Q72" s="158"/>
      <c r="R72" s="158"/>
      <c r="S72" s="158"/>
      <c r="T72" s="158"/>
      <c r="U72" s="158"/>
      <c r="V72" s="158"/>
      <c r="W72" s="158"/>
      <c r="X72" s="158"/>
      <c r="Y72" s="158"/>
      <c r="Z72" s="158"/>
    </row>
    <row r="73" spans="1:26" ht="15.75" customHeight="1">
      <c r="A73" s="158"/>
      <c r="B73" s="158"/>
      <c r="C73" s="158"/>
      <c r="D73" s="158"/>
      <c r="E73" s="158"/>
      <c r="F73" s="158"/>
      <c r="G73" s="158"/>
      <c r="H73" s="158"/>
      <c r="I73" s="158"/>
      <c r="J73" s="158"/>
      <c r="K73" s="158"/>
      <c r="L73" s="158"/>
      <c r="M73" s="158"/>
      <c r="N73" s="158"/>
      <c r="O73" s="158"/>
      <c r="P73" s="158"/>
      <c r="Q73" s="158"/>
      <c r="R73" s="158"/>
      <c r="S73" s="158"/>
      <c r="T73" s="158"/>
      <c r="U73" s="158"/>
      <c r="V73" s="158"/>
      <c r="W73" s="158"/>
      <c r="X73" s="158"/>
      <c r="Y73" s="158"/>
      <c r="Z73" s="158"/>
    </row>
    <row r="74" spans="1:26" ht="15.75" customHeight="1">
      <c r="A74" s="158"/>
      <c r="B74" s="158"/>
      <c r="C74" s="158"/>
      <c r="D74" s="158"/>
      <c r="E74" s="158"/>
      <c r="F74" s="158"/>
      <c r="G74" s="158"/>
      <c r="H74" s="158"/>
      <c r="I74" s="158"/>
      <c r="J74" s="158"/>
      <c r="K74" s="158"/>
      <c r="L74" s="158"/>
      <c r="M74" s="158"/>
      <c r="N74" s="158"/>
      <c r="O74" s="158"/>
      <c r="P74" s="158"/>
      <c r="Q74" s="158"/>
      <c r="R74" s="158"/>
      <c r="S74" s="158"/>
      <c r="T74" s="158"/>
      <c r="U74" s="158"/>
      <c r="V74" s="158"/>
      <c r="W74" s="158"/>
      <c r="X74" s="158"/>
      <c r="Y74" s="158"/>
      <c r="Z74" s="158"/>
    </row>
    <row r="75" spans="1:26" ht="15.75" customHeight="1">
      <c r="A75" s="158"/>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row>
    <row r="76" spans="1:26" ht="15.75" customHeight="1">
      <c r="A76" s="158"/>
      <c r="B76" s="158"/>
      <c r="C76" s="158"/>
      <c r="D76" s="158"/>
      <c r="E76" s="158"/>
      <c r="F76" s="158"/>
      <c r="G76" s="158"/>
      <c r="H76" s="158"/>
      <c r="I76" s="158"/>
      <c r="J76" s="158"/>
      <c r="K76" s="158"/>
      <c r="L76" s="158"/>
      <c r="M76" s="158"/>
      <c r="N76" s="158"/>
      <c r="O76" s="158"/>
      <c r="P76" s="158"/>
      <c r="Q76" s="158"/>
      <c r="R76" s="158"/>
      <c r="S76" s="158"/>
      <c r="T76" s="158"/>
      <c r="U76" s="158"/>
      <c r="V76" s="158"/>
      <c r="W76" s="158"/>
      <c r="X76" s="158"/>
      <c r="Y76" s="158"/>
      <c r="Z76" s="158"/>
    </row>
    <row r="77" spans="1:26" ht="15.75" customHeight="1">
      <c r="A77" s="158"/>
      <c r="B77" s="158"/>
      <c r="C77" s="158"/>
      <c r="D77" s="158"/>
      <c r="E77" s="158"/>
      <c r="F77" s="158"/>
      <c r="G77" s="158"/>
      <c r="H77" s="158"/>
      <c r="I77" s="158"/>
      <c r="J77" s="158"/>
      <c r="K77" s="158"/>
      <c r="L77" s="158"/>
      <c r="M77" s="158"/>
      <c r="N77" s="158"/>
      <c r="O77" s="158"/>
      <c r="P77" s="158"/>
      <c r="Q77" s="158"/>
      <c r="R77" s="158"/>
      <c r="S77" s="158"/>
      <c r="T77" s="158"/>
      <c r="U77" s="158"/>
      <c r="V77" s="158"/>
      <c r="W77" s="158"/>
      <c r="X77" s="158"/>
      <c r="Y77" s="158"/>
      <c r="Z77" s="158"/>
    </row>
    <row r="78" spans="1:26" ht="15.75" customHeight="1">
      <c r="A78" s="158"/>
      <c r="B78" s="158"/>
      <c r="C78" s="158"/>
      <c r="D78" s="158"/>
      <c r="E78" s="158"/>
      <c r="F78" s="158"/>
      <c r="G78" s="158"/>
      <c r="H78" s="158"/>
      <c r="I78" s="158"/>
      <c r="J78" s="158"/>
      <c r="K78" s="158"/>
      <c r="L78" s="158"/>
      <c r="M78" s="158"/>
      <c r="N78" s="158"/>
      <c r="O78" s="158"/>
      <c r="P78" s="158"/>
      <c r="Q78" s="158"/>
      <c r="R78" s="158"/>
      <c r="S78" s="158"/>
      <c r="T78" s="158"/>
      <c r="U78" s="158"/>
      <c r="V78" s="158"/>
      <c r="W78" s="158"/>
      <c r="X78" s="158"/>
      <c r="Y78" s="158"/>
      <c r="Z78" s="158"/>
    </row>
    <row r="79" spans="1:26" ht="15.75" customHeight="1">
      <c r="A79" s="158"/>
      <c r="B79" s="158"/>
      <c r="C79" s="158"/>
      <c r="D79" s="158"/>
      <c r="E79" s="158"/>
      <c r="F79" s="158"/>
      <c r="G79" s="158"/>
      <c r="H79" s="158"/>
      <c r="I79" s="158"/>
      <c r="J79" s="158"/>
      <c r="K79" s="158"/>
      <c r="L79" s="158"/>
      <c r="M79" s="158"/>
      <c r="N79" s="158"/>
      <c r="O79" s="158"/>
      <c r="P79" s="158"/>
      <c r="Q79" s="158"/>
      <c r="R79" s="158"/>
      <c r="S79" s="158"/>
      <c r="T79" s="158"/>
      <c r="U79" s="158"/>
      <c r="V79" s="158"/>
      <c r="W79" s="158"/>
      <c r="X79" s="158"/>
      <c r="Y79" s="158"/>
      <c r="Z79" s="158"/>
    </row>
    <row r="80" spans="1:26" ht="15.75" customHeight="1">
      <c r="A80" s="158"/>
      <c r="B80" s="158"/>
      <c r="C80" s="158"/>
      <c r="D80" s="158"/>
      <c r="E80" s="158"/>
      <c r="F80" s="158"/>
      <c r="G80" s="158"/>
      <c r="H80" s="158"/>
      <c r="I80" s="158"/>
      <c r="J80" s="158"/>
      <c r="K80" s="158"/>
      <c r="L80" s="158"/>
      <c r="M80" s="158"/>
      <c r="N80" s="158"/>
      <c r="O80" s="158"/>
      <c r="P80" s="158"/>
      <c r="Q80" s="158"/>
      <c r="R80" s="158"/>
      <c r="S80" s="158"/>
      <c r="T80" s="158"/>
      <c r="U80" s="158"/>
      <c r="V80" s="158"/>
      <c r="W80" s="158"/>
      <c r="X80" s="158"/>
      <c r="Y80" s="158"/>
      <c r="Z80" s="158"/>
    </row>
    <row r="81" spans="1:26" ht="15.75" customHeight="1">
      <c r="A81" s="158"/>
      <c r="B81" s="158"/>
      <c r="C81" s="158"/>
      <c r="D81" s="158"/>
      <c r="E81" s="158"/>
      <c r="F81" s="158"/>
      <c r="G81" s="158"/>
      <c r="H81" s="158"/>
      <c r="I81" s="158"/>
      <c r="J81" s="158"/>
      <c r="K81" s="158"/>
      <c r="L81" s="158"/>
      <c r="M81" s="158"/>
      <c r="N81" s="158"/>
      <c r="O81" s="158"/>
      <c r="P81" s="158"/>
      <c r="Q81" s="158"/>
      <c r="R81" s="158"/>
      <c r="S81" s="158"/>
      <c r="T81" s="158"/>
      <c r="U81" s="158"/>
      <c r="V81" s="158"/>
      <c r="W81" s="158"/>
      <c r="X81" s="158"/>
      <c r="Y81" s="158"/>
      <c r="Z81" s="158"/>
    </row>
    <row r="82" spans="1:26" ht="15.75" customHeight="1">
      <c r="A82" s="158"/>
      <c r="B82" s="158"/>
      <c r="C82" s="158"/>
      <c r="D82" s="158"/>
      <c r="E82" s="158"/>
      <c r="F82" s="158"/>
      <c r="G82" s="158"/>
      <c r="H82" s="158"/>
      <c r="I82" s="158"/>
      <c r="J82" s="158"/>
      <c r="K82" s="158"/>
      <c r="L82" s="158"/>
      <c r="M82" s="158"/>
      <c r="N82" s="158"/>
      <c r="O82" s="158"/>
      <c r="P82" s="158"/>
      <c r="Q82" s="158"/>
      <c r="R82" s="158"/>
      <c r="S82" s="158"/>
      <c r="T82" s="158"/>
      <c r="U82" s="158"/>
      <c r="V82" s="158"/>
      <c r="W82" s="158"/>
      <c r="X82" s="158"/>
      <c r="Y82" s="158"/>
      <c r="Z82" s="158"/>
    </row>
    <row r="83" spans="1:26" ht="15.75" customHeight="1">
      <c r="A83" s="158"/>
      <c r="B83" s="158"/>
      <c r="C83" s="158"/>
      <c r="D83" s="158"/>
      <c r="E83" s="158"/>
      <c r="F83" s="158"/>
      <c r="G83" s="158"/>
      <c r="H83" s="158"/>
      <c r="I83" s="158"/>
      <c r="J83" s="158"/>
      <c r="K83" s="158"/>
      <c r="L83" s="158"/>
      <c r="M83" s="158"/>
      <c r="N83" s="158"/>
      <c r="O83" s="158"/>
      <c r="P83" s="158"/>
      <c r="Q83" s="158"/>
      <c r="R83" s="158"/>
      <c r="S83" s="158"/>
      <c r="T83" s="158"/>
      <c r="U83" s="158"/>
      <c r="V83" s="158"/>
      <c r="W83" s="158"/>
      <c r="X83" s="158"/>
      <c r="Y83" s="158"/>
      <c r="Z83" s="158"/>
    </row>
    <row r="84" spans="1:26" ht="15.75" customHeight="1">
      <c r="A84" s="158"/>
      <c r="B84" s="158"/>
      <c r="C84" s="158"/>
      <c r="D84" s="158"/>
      <c r="E84" s="158"/>
      <c r="F84" s="158"/>
      <c r="G84" s="158"/>
      <c r="H84" s="158"/>
      <c r="I84" s="158"/>
      <c r="J84" s="158"/>
      <c r="K84" s="158"/>
      <c r="L84" s="158"/>
      <c r="M84" s="158"/>
      <c r="N84" s="158"/>
      <c r="O84" s="158"/>
      <c r="P84" s="158"/>
      <c r="Q84" s="158"/>
      <c r="R84" s="158"/>
      <c r="S84" s="158"/>
      <c r="T84" s="158"/>
      <c r="U84" s="158"/>
      <c r="V84" s="158"/>
      <c r="W84" s="158"/>
      <c r="X84" s="158"/>
      <c r="Y84" s="158"/>
      <c r="Z84" s="158"/>
    </row>
    <row r="85" spans="1:26" ht="15.75" customHeight="1">
      <c r="A85" s="158"/>
      <c r="B85" s="158"/>
      <c r="C85" s="158"/>
      <c r="D85" s="158"/>
      <c r="E85" s="158"/>
      <c r="F85" s="158"/>
      <c r="G85" s="158"/>
      <c r="H85" s="158"/>
      <c r="I85" s="158"/>
      <c r="J85" s="158"/>
      <c r="K85" s="158"/>
      <c r="L85" s="158"/>
      <c r="M85" s="158"/>
      <c r="N85" s="158"/>
      <c r="O85" s="158"/>
      <c r="P85" s="158"/>
      <c r="Q85" s="158"/>
      <c r="R85" s="158"/>
      <c r="S85" s="158"/>
      <c r="T85" s="158"/>
      <c r="U85" s="158"/>
      <c r="V85" s="158"/>
      <c r="W85" s="158"/>
      <c r="X85" s="158"/>
      <c r="Y85" s="158"/>
      <c r="Z85" s="158"/>
    </row>
    <row r="86" spans="1:26" ht="15.75" customHeight="1">
      <c r="A86" s="158"/>
      <c r="B86" s="158"/>
      <c r="C86" s="158"/>
      <c r="D86" s="158"/>
      <c r="E86" s="158"/>
      <c r="F86" s="158"/>
      <c r="G86" s="158"/>
      <c r="H86" s="158"/>
      <c r="I86" s="158"/>
      <c r="J86" s="158"/>
      <c r="K86" s="158"/>
      <c r="L86" s="158"/>
      <c r="M86" s="158"/>
      <c r="N86" s="158"/>
      <c r="O86" s="158"/>
      <c r="P86" s="158"/>
      <c r="Q86" s="158"/>
      <c r="R86" s="158"/>
      <c r="S86" s="158"/>
      <c r="T86" s="158"/>
      <c r="U86" s="158"/>
      <c r="V86" s="158"/>
      <c r="W86" s="158"/>
      <c r="X86" s="158"/>
      <c r="Y86" s="158"/>
      <c r="Z86" s="158"/>
    </row>
    <row r="87" spans="1:26" ht="15.75" customHeight="1">
      <c r="A87" s="158"/>
      <c r="B87" s="158"/>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row>
    <row r="88" spans="1:26" ht="15.75" customHeight="1">
      <c r="A88" s="158"/>
      <c r="B88" s="158"/>
      <c r="C88" s="158"/>
      <c r="D88" s="158"/>
      <c r="E88" s="158"/>
      <c r="F88" s="158"/>
      <c r="G88" s="158"/>
      <c r="H88" s="158"/>
      <c r="I88" s="158"/>
      <c r="J88" s="158"/>
      <c r="K88" s="158"/>
      <c r="L88" s="158"/>
      <c r="M88" s="158"/>
      <c r="N88" s="158"/>
      <c r="O88" s="158"/>
      <c r="P88" s="158"/>
      <c r="Q88" s="158"/>
      <c r="R88" s="158"/>
      <c r="S88" s="158"/>
      <c r="T88" s="158"/>
      <c r="U88" s="158"/>
      <c r="V88" s="158"/>
      <c r="W88" s="158"/>
      <c r="X88" s="158"/>
      <c r="Y88" s="158"/>
      <c r="Z88" s="158"/>
    </row>
    <row r="89" spans="1:26" ht="15.75" customHeight="1">
      <c r="A89" s="158"/>
      <c r="B89" s="158"/>
      <c r="C89" s="158"/>
      <c r="D89" s="158"/>
      <c r="E89" s="158"/>
      <c r="F89" s="158"/>
      <c r="G89" s="158"/>
      <c r="H89" s="158"/>
      <c r="I89" s="158"/>
      <c r="J89" s="158"/>
      <c r="K89" s="158"/>
      <c r="L89" s="158"/>
      <c r="M89" s="158"/>
      <c r="N89" s="158"/>
      <c r="O89" s="158"/>
      <c r="P89" s="158"/>
      <c r="Q89" s="158"/>
      <c r="R89" s="158"/>
      <c r="S89" s="158"/>
      <c r="T89" s="158"/>
      <c r="U89" s="158"/>
      <c r="V89" s="158"/>
      <c r="W89" s="158"/>
      <c r="X89" s="158"/>
      <c r="Y89" s="158"/>
      <c r="Z89" s="158"/>
    </row>
    <row r="90" spans="1:26" ht="15.75" customHeight="1">
      <c r="A90" s="158"/>
      <c r="B90" s="158"/>
      <c r="C90" s="158"/>
      <c r="D90" s="158"/>
      <c r="E90" s="158"/>
      <c r="F90" s="158"/>
      <c r="G90" s="158"/>
      <c r="H90" s="158"/>
      <c r="I90" s="158"/>
      <c r="J90" s="158"/>
      <c r="K90" s="158"/>
      <c r="L90" s="158"/>
      <c r="M90" s="158"/>
      <c r="N90" s="158"/>
      <c r="O90" s="158"/>
      <c r="P90" s="158"/>
      <c r="Q90" s="158"/>
      <c r="R90" s="158"/>
      <c r="S90" s="158"/>
      <c r="T90" s="158"/>
      <c r="U90" s="158"/>
      <c r="V90" s="158"/>
      <c r="W90" s="158"/>
      <c r="X90" s="158"/>
      <c r="Y90" s="158"/>
      <c r="Z90" s="158"/>
    </row>
    <row r="91" spans="1:26" ht="15.75" customHeight="1">
      <c r="A91" s="158"/>
      <c r="B91" s="158"/>
      <c r="C91" s="158"/>
      <c r="D91" s="158"/>
      <c r="E91" s="158"/>
      <c r="F91" s="158"/>
      <c r="G91" s="158"/>
      <c r="H91" s="158"/>
      <c r="I91" s="158"/>
      <c r="J91" s="158"/>
      <c r="K91" s="158"/>
      <c r="L91" s="158"/>
      <c r="M91" s="158"/>
      <c r="N91" s="158"/>
      <c r="O91" s="158"/>
      <c r="P91" s="158"/>
      <c r="Q91" s="158"/>
      <c r="R91" s="158"/>
      <c r="S91" s="158"/>
      <c r="T91" s="158"/>
      <c r="U91" s="158"/>
      <c r="V91" s="158"/>
      <c r="W91" s="158"/>
      <c r="X91" s="158"/>
      <c r="Y91" s="158"/>
      <c r="Z91" s="158"/>
    </row>
    <row r="92" spans="1:26" ht="15.75" customHeight="1">
      <c r="A92" s="158"/>
      <c r="B92" s="158"/>
      <c r="C92" s="158"/>
      <c r="D92" s="158"/>
      <c r="E92" s="158"/>
      <c r="F92" s="158"/>
      <c r="G92" s="158"/>
      <c r="H92" s="158"/>
      <c r="I92" s="158"/>
      <c r="J92" s="158"/>
      <c r="K92" s="158"/>
      <c r="L92" s="158"/>
      <c r="M92" s="158"/>
      <c r="N92" s="158"/>
      <c r="O92" s="158"/>
      <c r="P92" s="158"/>
      <c r="Q92" s="158"/>
      <c r="R92" s="158"/>
      <c r="S92" s="158"/>
      <c r="T92" s="158"/>
      <c r="U92" s="158"/>
      <c r="V92" s="158"/>
      <c r="W92" s="158"/>
      <c r="X92" s="158"/>
      <c r="Y92" s="158"/>
      <c r="Z92" s="158"/>
    </row>
    <row r="93" spans="1:26" ht="15.75" customHeight="1">
      <c r="A93" s="158"/>
      <c r="B93" s="158"/>
      <c r="C93" s="158"/>
      <c r="D93" s="158"/>
      <c r="E93" s="158"/>
      <c r="F93" s="158"/>
      <c r="G93" s="158"/>
      <c r="H93" s="158"/>
      <c r="I93" s="158"/>
      <c r="J93" s="158"/>
      <c r="K93" s="158"/>
      <c r="L93" s="158"/>
      <c r="M93" s="158"/>
      <c r="N93" s="158"/>
      <c r="O93" s="158"/>
      <c r="P93" s="158"/>
      <c r="Q93" s="158"/>
      <c r="R93" s="158"/>
      <c r="S93" s="158"/>
      <c r="T93" s="158"/>
      <c r="U93" s="158"/>
      <c r="V93" s="158"/>
      <c r="W93" s="158"/>
      <c r="X93" s="158"/>
      <c r="Y93" s="158"/>
      <c r="Z93" s="158"/>
    </row>
    <row r="94" spans="1:26" ht="15.75" customHeight="1">
      <c r="A94" s="158"/>
      <c r="B94" s="158"/>
      <c r="C94" s="158"/>
      <c r="D94" s="158"/>
      <c r="E94" s="158"/>
      <c r="F94" s="158"/>
      <c r="G94" s="158"/>
      <c r="H94" s="158"/>
      <c r="I94" s="158"/>
      <c r="J94" s="158"/>
      <c r="K94" s="158"/>
      <c r="L94" s="158"/>
      <c r="M94" s="158"/>
      <c r="N94" s="158"/>
      <c r="O94" s="158"/>
      <c r="P94" s="158"/>
      <c r="Q94" s="158"/>
      <c r="R94" s="158"/>
      <c r="S94" s="158"/>
      <c r="T94" s="158"/>
      <c r="U94" s="158"/>
      <c r="V94" s="158"/>
      <c r="W94" s="158"/>
      <c r="X94" s="158"/>
      <c r="Y94" s="158"/>
      <c r="Z94" s="158"/>
    </row>
    <row r="95" spans="1:26" ht="15.75" customHeight="1">
      <c r="A95" s="158"/>
      <c r="B95" s="158"/>
      <c r="C95" s="158"/>
      <c r="D95" s="158"/>
      <c r="E95" s="158"/>
      <c r="F95" s="158"/>
      <c r="G95" s="158"/>
      <c r="H95" s="158"/>
      <c r="I95" s="158"/>
      <c r="J95" s="158"/>
      <c r="K95" s="158"/>
      <c r="L95" s="158"/>
      <c r="M95" s="158"/>
      <c r="N95" s="158"/>
      <c r="O95" s="158"/>
      <c r="P95" s="158"/>
      <c r="Q95" s="158"/>
      <c r="R95" s="158"/>
      <c r="S95" s="158"/>
      <c r="T95" s="158"/>
      <c r="U95" s="158"/>
      <c r="V95" s="158"/>
      <c r="W95" s="158"/>
      <c r="X95" s="158"/>
      <c r="Y95" s="158"/>
      <c r="Z95" s="158"/>
    </row>
    <row r="96" spans="1:26" ht="15.75" customHeight="1">
      <c r="A96" s="158"/>
      <c r="B96" s="158"/>
      <c r="C96" s="158"/>
      <c r="D96" s="158"/>
      <c r="E96" s="158"/>
      <c r="F96" s="158"/>
      <c r="G96" s="158"/>
      <c r="H96" s="158"/>
      <c r="I96" s="158"/>
      <c r="J96" s="158"/>
      <c r="K96" s="158"/>
      <c r="L96" s="158"/>
      <c r="M96" s="158"/>
      <c r="N96" s="158"/>
      <c r="O96" s="158"/>
      <c r="P96" s="158"/>
      <c r="Q96" s="158"/>
      <c r="R96" s="158"/>
      <c r="S96" s="158"/>
      <c r="T96" s="158"/>
      <c r="U96" s="158"/>
      <c r="V96" s="158"/>
      <c r="W96" s="158"/>
      <c r="X96" s="158"/>
      <c r="Y96" s="158"/>
      <c r="Z96" s="158"/>
    </row>
    <row r="97" spans="1:26" ht="15.75" customHeight="1">
      <c r="A97" s="158"/>
      <c r="B97" s="158"/>
      <c r="C97" s="158"/>
      <c r="D97" s="158"/>
      <c r="E97" s="158"/>
      <c r="F97" s="158"/>
      <c r="G97" s="158"/>
      <c r="H97" s="158"/>
      <c r="I97" s="158"/>
      <c r="J97" s="158"/>
      <c r="K97" s="158"/>
      <c r="L97" s="158"/>
      <c r="M97" s="158"/>
      <c r="N97" s="158"/>
      <c r="O97" s="158"/>
      <c r="P97" s="158"/>
      <c r="Q97" s="158"/>
      <c r="R97" s="158"/>
      <c r="S97" s="158"/>
      <c r="T97" s="158"/>
      <c r="U97" s="158"/>
      <c r="V97" s="158"/>
      <c r="W97" s="158"/>
      <c r="X97" s="158"/>
      <c r="Y97" s="158"/>
      <c r="Z97" s="158"/>
    </row>
    <row r="98" spans="1:26" ht="15.75" customHeight="1">
      <c r="A98" s="158"/>
      <c r="B98" s="158"/>
      <c r="C98" s="158"/>
      <c r="D98" s="158"/>
      <c r="E98" s="158"/>
      <c r="F98" s="158"/>
      <c r="G98" s="158"/>
      <c r="H98" s="158"/>
      <c r="I98" s="158"/>
      <c r="J98" s="158"/>
      <c r="K98" s="158"/>
      <c r="L98" s="158"/>
      <c r="M98" s="158"/>
      <c r="N98" s="158"/>
      <c r="O98" s="158"/>
      <c r="P98" s="158"/>
      <c r="Q98" s="158"/>
      <c r="R98" s="158"/>
      <c r="S98" s="158"/>
      <c r="T98" s="158"/>
      <c r="U98" s="158"/>
      <c r="V98" s="158"/>
      <c r="W98" s="158"/>
      <c r="X98" s="158"/>
      <c r="Y98" s="158"/>
      <c r="Z98" s="158"/>
    </row>
    <row r="99" spans="1:26" ht="15.75" customHeight="1">
      <c r="A99" s="158"/>
      <c r="B99" s="158"/>
      <c r="C99" s="158"/>
      <c r="D99" s="158"/>
      <c r="E99" s="158"/>
      <c r="F99" s="158"/>
      <c r="G99" s="158"/>
      <c r="H99" s="158"/>
      <c r="I99" s="158"/>
      <c r="J99" s="158"/>
      <c r="K99" s="158"/>
      <c r="L99" s="158"/>
      <c r="M99" s="158"/>
      <c r="N99" s="158"/>
      <c r="O99" s="158"/>
      <c r="P99" s="158"/>
      <c r="Q99" s="158"/>
      <c r="R99" s="158"/>
      <c r="S99" s="158"/>
      <c r="T99" s="158"/>
      <c r="U99" s="158"/>
      <c r="V99" s="158"/>
      <c r="W99" s="158"/>
      <c r="X99" s="158"/>
      <c r="Y99" s="158"/>
      <c r="Z99" s="158"/>
    </row>
    <row r="100" spans="1:26" ht="15.75" customHeight="1">
      <c r="A100" s="158"/>
      <c r="B100" s="158"/>
      <c r="C100" s="158"/>
      <c r="D100" s="158"/>
      <c r="E100" s="158"/>
      <c r="F100" s="158"/>
      <c r="G100" s="158"/>
      <c r="H100" s="158"/>
      <c r="I100" s="158"/>
      <c r="J100" s="158"/>
      <c r="K100" s="158"/>
      <c r="L100" s="158"/>
      <c r="M100" s="158"/>
      <c r="N100" s="158"/>
      <c r="O100" s="158"/>
      <c r="P100" s="158"/>
      <c r="Q100" s="158"/>
      <c r="R100" s="158"/>
      <c r="S100" s="158"/>
      <c r="T100" s="158"/>
      <c r="U100" s="158"/>
      <c r="V100" s="158"/>
      <c r="W100" s="158"/>
      <c r="X100" s="158"/>
      <c r="Y100" s="158"/>
      <c r="Z100" s="158"/>
    </row>
    <row r="101" spans="1:26" ht="15.75" customHeight="1">
      <c r="A101" s="158"/>
      <c r="B101" s="158"/>
      <c r="C101" s="158"/>
      <c r="D101" s="158"/>
      <c r="E101" s="158"/>
      <c r="F101" s="158"/>
      <c r="G101" s="158"/>
      <c r="H101" s="158"/>
      <c r="I101" s="158"/>
      <c r="J101" s="158"/>
      <c r="K101" s="158"/>
      <c r="L101" s="158"/>
      <c r="M101" s="158"/>
      <c r="N101" s="158"/>
      <c r="O101" s="158"/>
      <c r="P101" s="158"/>
      <c r="Q101" s="158"/>
      <c r="R101" s="158"/>
      <c r="S101" s="158"/>
      <c r="T101" s="158"/>
      <c r="U101" s="158"/>
      <c r="V101" s="158"/>
      <c r="W101" s="158"/>
      <c r="X101" s="158"/>
      <c r="Y101" s="158"/>
      <c r="Z101" s="158"/>
    </row>
    <row r="102" spans="1:26" ht="15.75" customHeight="1">
      <c r="A102" s="158"/>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row>
    <row r="103" spans="1:26" ht="15.75" customHeight="1">
      <c r="A103" s="158"/>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row>
    <row r="104" spans="1:26" ht="15.75" customHeight="1">
      <c r="A104" s="158"/>
      <c r="B104" s="158"/>
      <c r="C104" s="158"/>
      <c r="D104" s="158"/>
      <c r="E104" s="158"/>
      <c r="F104" s="158"/>
      <c r="G104" s="158"/>
      <c r="H104" s="158"/>
      <c r="I104" s="158"/>
      <c r="J104" s="158"/>
      <c r="K104" s="158"/>
      <c r="L104" s="158"/>
      <c r="M104" s="158"/>
      <c r="N104" s="158"/>
      <c r="O104" s="158"/>
      <c r="P104" s="158"/>
      <c r="Q104" s="158"/>
      <c r="R104" s="158"/>
      <c r="S104" s="158"/>
      <c r="T104" s="158"/>
      <c r="U104" s="158"/>
      <c r="V104" s="158"/>
      <c r="W104" s="158"/>
      <c r="X104" s="158"/>
      <c r="Y104" s="158"/>
      <c r="Z104" s="158"/>
    </row>
    <row r="105" spans="1:26" ht="15.75" customHeight="1">
      <c r="A105" s="158"/>
      <c r="B105" s="158"/>
      <c r="C105" s="158"/>
      <c r="D105" s="158"/>
      <c r="E105" s="158"/>
      <c r="F105" s="158"/>
      <c r="G105" s="158"/>
      <c r="H105" s="158"/>
      <c r="I105" s="158"/>
      <c r="J105" s="158"/>
      <c r="K105" s="158"/>
      <c r="L105" s="158"/>
      <c r="M105" s="158"/>
      <c r="N105" s="158"/>
      <c r="O105" s="158"/>
      <c r="P105" s="158"/>
      <c r="Q105" s="158"/>
      <c r="R105" s="158"/>
      <c r="S105" s="158"/>
      <c r="T105" s="158"/>
      <c r="U105" s="158"/>
      <c r="V105" s="158"/>
      <c r="W105" s="158"/>
      <c r="X105" s="158"/>
      <c r="Y105" s="158"/>
      <c r="Z105" s="158"/>
    </row>
    <row r="106" spans="1:26" ht="15.75" customHeight="1">
      <c r="A106" s="158"/>
      <c r="B106" s="158"/>
      <c r="C106" s="158"/>
      <c r="D106" s="158"/>
      <c r="E106" s="158"/>
      <c r="F106" s="158"/>
      <c r="G106" s="158"/>
      <c r="H106" s="158"/>
      <c r="I106" s="158"/>
      <c r="J106" s="158"/>
      <c r="K106" s="158"/>
      <c r="L106" s="158"/>
      <c r="M106" s="158"/>
      <c r="N106" s="158"/>
      <c r="O106" s="158"/>
      <c r="P106" s="158"/>
      <c r="Q106" s="158"/>
      <c r="R106" s="158"/>
      <c r="S106" s="158"/>
      <c r="T106" s="158"/>
      <c r="U106" s="158"/>
      <c r="V106" s="158"/>
      <c r="W106" s="158"/>
      <c r="X106" s="158"/>
      <c r="Y106" s="158"/>
      <c r="Z106" s="158"/>
    </row>
    <row r="107" spans="1:26" ht="15.75" customHeight="1">
      <c r="A107" s="158"/>
      <c r="B107" s="158"/>
      <c r="C107" s="158"/>
      <c r="D107" s="158"/>
      <c r="E107" s="158"/>
      <c r="F107" s="158"/>
      <c r="G107" s="158"/>
      <c r="H107" s="158"/>
      <c r="I107" s="158"/>
      <c r="J107" s="158"/>
      <c r="K107" s="158"/>
      <c r="L107" s="158"/>
      <c r="M107" s="158"/>
      <c r="N107" s="158"/>
      <c r="O107" s="158"/>
      <c r="P107" s="158"/>
      <c r="Q107" s="158"/>
      <c r="R107" s="158"/>
      <c r="S107" s="158"/>
      <c r="T107" s="158"/>
      <c r="U107" s="158"/>
      <c r="V107" s="158"/>
      <c r="W107" s="158"/>
      <c r="X107" s="158"/>
      <c r="Y107" s="158"/>
      <c r="Z107" s="158"/>
    </row>
    <row r="108" spans="1:26" ht="15.75" customHeight="1">
      <c r="A108" s="158"/>
      <c r="B108" s="158"/>
      <c r="C108" s="158"/>
      <c r="D108" s="158"/>
      <c r="E108" s="158"/>
      <c r="F108" s="158"/>
      <c r="G108" s="158"/>
      <c r="H108" s="158"/>
      <c r="I108" s="158"/>
      <c r="J108" s="158"/>
      <c r="K108" s="158"/>
      <c r="L108" s="158"/>
      <c r="M108" s="158"/>
      <c r="N108" s="158"/>
      <c r="O108" s="158"/>
      <c r="P108" s="158"/>
      <c r="Q108" s="158"/>
      <c r="R108" s="158"/>
      <c r="S108" s="158"/>
      <c r="T108" s="158"/>
      <c r="U108" s="158"/>
      <c r="V108" s="158"/>
      <c r="W108" s="158"/>
      <c r="X108" s="158"/>
      <c r="Y108" s="158"/>
      <c r="Z108" s="158"/>
    </row>
    <row r="109" spans="1:26" ht="15.75" customHeight="1">
      <c r="A109" s="158"/>
      <c r="B109" s="158"/>
      <c r="C109" s="158"/>
      <c r="D109" s="158"/>
      <c r="E109" s="158"/>
      <c r="F109" s="158"/>
      <c r="G109" s="158"/>
      <c r="H109" s="158"/>
      <c r="I109" s="158"/>
      <c r="J109" s="158"/>
      <c r="K109" s="158"/>
      <c r="L109" s="158"/>
      <c r="M109" s="158"/>
      <c r="N109" s="158"/>
      <c r="O109" s="158"/>
      <c r="P109" s="158"/>
      <c r="Q109" s="158"/>
      <c r="R109" s="158"/>
      <c r="S109" s="158"/>
      <c r="T109" s="158"/>
      <c r="U109" s="158"/>
      <c r="V109" s="158"/>
      <c r="W109" s="158"/>
      <c r="X109" s="158"/>
      <c r="Y109" s="158"/>
      <c r="Z109" s="158"/>
    </row>
    <row r="110" spans="1:26" ht="15.75" customHeight="1">
      <c r="A110" s="158"/>
      <c r="B110" s="158"/>
      <c r="C110" s="158"/>
      <c r="D110" s="158"/>
      <c r="E110" s="158"/>
      <c r="F110" s="158"/>
      <c r="G110" s="158"/>
      <c r="H110" s="158"/>
      <c r="I110" s="158"/>
      <c r="J110" s="158"/>
      <c r="K110" s="158"/>
      <c r="L110" s="158"/>
      <c r="M110" s="158"/>
      <c r="N110" s="158"/>
      <c r="O110" s="158"/>
      <c r="P110" s="158"/>
      <c r="Q110" s="158"/>
      <c r="R110" s="158"/>
      <c r="S110" s="158"/>
      <c r="T110" s="158"/>
      <c r="U110" s="158"/>
      <c r="V110" s="158"/>
      <c r="W110" s="158"/>
      <c r="X110" s="158"/>
      <c r="Y110" s="158"/>
      <c r="Z110" s="158"/>
    </row>
    <row r="111" spans="1:26" ht="15.75" customHeight="1">
      <c r="A111" s="158"/>
      <c r="B111" s="158"/>
      <c r="C111" s="158"/>
      <c r="D111" s="158"/>
      <c r="E111" s="158"/>
      <c r="F111" s="158"/>
      <c r="G111" s="158"/>
      <c r="H111" s="158"/>
      <c r="I111" s="158"/>
      <c r="J111" s="158"/>
      <c r="K111" s="158"/>
      <c r="L111" s="158"/>
      <c r="M111" s="158"/>
      <c r="N111" s="158"/>
      <c r="O111" s="158"/>
      <c r="P111" s="158"/>
      <c r="Q111" s="158"/>
      <c r="R111" s="158"/>
      <c r="S111" s="158"/>
      <c r="T111" s="158"/>
      <c r="U111" s="158"/>
      <c r="V111" s="158"/>
      <c r="W111" s="158"/>
      <c r="X111" s="158"/>
      <c r="Y111" s="158"/>
      <c r="Z111" s="158"/>
    </row>
    <row r="112" spans="1:26" ht="15.75" customHeight="1">
      <c r="A112" s="158"/>
      <c r="B112" s="158"/>
      <c r="C112" s="158"/>
      <c r="D112" s="158"/>
      <c r="E112" s="158"/>
      <c r="F112" s="158"/>
      <c r="G112" s="158"/>
      <c r="H112" s="158"/>
      <c r="I112" s="158"/>
      <c r="J112" s="158"/>
      <c r="K112" s="158"/>
      <c r="L112" s="158"/>
      <c r="M112" s="158"/>
      <c r="N112" s="158"/>
      <c r="O112" s="158"/>
      <c r="P112" s="158"/>
      <c r="Q112" s="158"/>
      <c r="R112" s="158"/>
      <c r="S112" s="158"/>
      <c r="T112" s="158"/>
      <c r="U112" s="158"/>
      <c r="V112" s="158"/>
      <c r="W112" s="158"/>
      <c r="X112" s="158"/>
      <c r="Y112" s="158"/>
      <c r="Z112" s="158"/>
    </row>
    <row r="113" spans="1:26" ht="15.75" customHeight="1">
      <c r="A113" s="158"/>
      <c r="B113" s="158"/>
      <c r="C113" s="158"/>
      <c r="D113" s="158"/>
      <c r="E113" s="158"/>
      <c r="F113" s="158"/>
      <c r="G113" s="158"/>
      <c r="H113" s="158"/>
      <c r="I113" s="158"/>
      <c r="J113" s="158"/>
      <c r="K113" s="158"/>
      <c r="L113" s="158"/>
      <c r="M113" s="158"/>
      <c r="N113" s="158"/>
      <c r="O113" s="158"/>
      <c r="P113" s="158"/>
      <c r="Q113" s="158"/>
      <c r="R113" s="158"/>
      <c r="S113" s="158"/>
      <c r="T113" s="158"/>
      <c r="U113" s="158"/>
      <c r="V113" s="158"/>
      <c r="W113" s="158"/>
      <c r="X113" s="158"/>
      <c r="Y113" s="158"/>
      <c r="Z113" s="158"/>
    </row>
    <row r="114" spans="1:26" ht="15.75" customHeight="1">
      <c r="A114" s="158"/>
      <c r="B114" s="158"/>
      <c r="C114" s="158"/>
      <c r="D114" s="158"/>
      <c r="E114" s="158"/>
      <c r="F114" s="158"/>
      <c r="G114" s="158"/>
      <c r="H114" s="158"/>
      <c r="I114" s="158"/>
      <c r="J114" s="158"/>
      <c r="K114" s="158"/>
      <c r="L114" s="158"/>
      <c r="M114" s="158"/>
      <c r="N114" s="158"/>
      <c r="O114" s="158"/>
      <c r="P114" s="158"/>
      <c r="Q114" s="158"/>
      <c r="R114" s="158"/>
      <c r="S114" s="158"/>
      <c r="T114" s="158"/>
      <c r="U114" s="158"/>
      <c r="V114" s="158"/>
      <c r="W114" s="158"/>
      <c r="X114" s="158"/>
      <c r="Y114" s="158"/>
      <c r="Z114" s="158"/>
    </row>
    <row r="115" spans="1:26" ht="15.75" customHeight="1">
      <c r="A115" s="158"/>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158"/>
      <c r="X115" s="158"/>
      <c r="Y115" s="158"/>
      <c r="Z115" s="158"/>
    </row>
    <row r="116" spans="1:26" ht="15.75" customHeight="1">
      <c r="A116" s="158"/>
      <c r="B116" s="158"/>
      <c r="C116" s="158"/>
      <c r="D116" s="158"/>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row>
    <row r="117" spans="1:26" ht="15.75" customHeight="1">
      <c r="A117" s="158"/>
      <c r="B117" s="158"/>
      <c r="C117" s="158"/>
      <c r="D117" s="158"/>
      <c r="E117" s="158"/>
      <c r="F117" s="158"/>
      <c r="G117" s="158"/>
      <c r="H117" s="158"/>
      <c r="I117" s="158"/>
      <c r="J117" s="158"/>
      <c r="K117" s="158"/>
      <c r="L117" s="158"/>
      <c r="M117" s="158"/>
      <c r="N117" s="158"/>
      <c r="O117" s="158"/>
      <c r="P117" s="158"/>
      <c r="Q117" s="158"/>
      <c r="R117" s="158"/>
      <c r="S117" s="158"/>
      <c r="T117" s="158"/>
      <c r="U117" s="158"/>
      <c r="V117" s="158"/>
      <c r="W117" s="158"/>
      <c r="X117" s="158"/>
      <c r="Y117" s="158"/>
      <c r="Z117" s="158"/>
    </row>
    <row r="118" spans="1:26" ht="15.75" customHeight="1">
      <c r="A118" s="158"/>
      <c r="B118" s="158"/>
      <c r="C118" s="158"/>
      <c r="D118" s="158"/>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row>
    <row r="119" spans="1:26" ht="15.75" customHeight="1">
      <c r="A119" s="158"/>
      <c r="B119" s="158"/>
      <c r="C119" s="158"/>
      <c r="D119" s="158"/>
      <c r="E119" s="158"/>
      <c r="F119" s="158"/>
      <c r="G119" s="158"/>
      <c r="H119" s="158"/>
      <c r="I119" s="158"/>
      <c r="J119" s="158"/>
      <c r="K119" s="158"/>
      <c r="L119" s="158"/>
      <c r="M119" s="158"/>
      <c r="N119" s="158"/>
      <c r="O119" s="158"/>
      <c r="P119" s="158"/>
      <c r="Q119" s="158"/>
      <c r="R119" s="158"/>
      <c r="S119" s="158"/>
      <c r="T119" s="158"/>
      <c r="U119" s="158"/>
      <c r="V119" s="158"/>
      <c r="W119" s="158"/>
      <c r="X119" s="158"/>
      <c r="Y119" s="158"/>
      <c r="Z119" s="158"/>
    </row>
    <row r="120" spans="1:26" ht="15.75" customHeight="1">
      <c r="A120" s="158"/>
      <c r="B120" s="158"/>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row>
    <row r="121" spans="1:26" ht="15.75" customHeight="1">
      <c r="A121" s="158"/>
      <c r="B121" s="158"/>
      <c r="C121" s="158"/>
      <c r="D121" s="158"/>
      <c r="E121" s="158"/>
      <c r="F121" s="158"/>
      <c r="G121" s="158"/>
      <c r="H121" s="158"/>
      <c r="I121" s="158"/>
      <c r="J121" s="158"/>
      <c r="K121" s="158"/>
      <c r="L121" s="158"/>
      <c r="M121" s="158"/>
      <c r="N121" s="158"/>
      <c r="O121" s="158"/>
      <c r="P121" s="158"/>
      <c r="Q121" s="158"/>
      <c r="R121" s="158"/>
      <c r="S121" s="158"/>
      <c r="T121" s="158"/>
      <c r="U121" s="158"/>
      <c r="V121" s="158"/>
      <c r="W121" s="158"/>
      <c r="X121" s="158"/>
      <c r="Y121" s="158"/>
      <c r="Z121" s="158"/>
    </row>
    <row r="122" spans="1:26" ht="15.75" customHeight="1">
      <c r="A122" s="158"/>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row>
    <row r="123" spans="1:26" ht="15.75" customHeight="1">
      <c r="A123" s="158"/>
      <c r="B123" s="158"/>
      <c r="C123" s="158"/>
      <c r="D123" s="158"/>
      <c r="E123" s="158"/>
      <c r="F123" s="158"/>
      <c r="G123" s="158"/>
      <c r="H123" s="158"/>
      <c r="I123" s="158"/>
      <c r="J123" s="158"/>
      <c r="K123" s="158"/>
      <c r="L123" s="158"/>
      <c r="M123" s="158"/>
      <c r="N123" s="158"/>
      <c r="O123" s="158"/>
      <c r="P123" s="158"/>
      <c r="Q123" s="158"/>
      <c r="R123" s="158"/>
      <c r="S123" s="158"/>
      <c r="T123" s="158"/>
      <c r="U123" s="158"/>
      <c r="V123" s="158"/>
      <c r="W123" s="158"/>
      <c r="X123" s="158"/>
      <c r="Y123" s="158"/>
      <c r="Z123" s="158"/>
    </row>
    <row r="124" spans="1:26" ht="15.75" customHeight="1">
      <c r="A124" s="158"/>
      <c r="B124" s="158"/>
      <c r="C124" s="158"/>
      <c r="D124" s="158"/>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row>
    <row r="125" spans="1:26" ht="15.75" customHeight="1">
      <c r="A125" s="158"/>
      <c r="B125" s="158"/>
      <c r="C125" s="158"/>
      <c r="D125" s="158"/>
      <c r="E125" s="158"/>
      <c r="F125" s="158"/>
      <c r="G125" s="158"/>
      <c r="H125" s="158"/>
      <c r="I125" s="158"/>
      <c r="J125" s="158"/>
      <c r="K125" s="158"/>
      <c r="L125" s="158"/>
      <c r="M125" s="158"/>
      <c r="N125" s="158"/>
      <c r="O125" s="158"/>
      <c r="P125" s="158"/>
      <c r="Q125" s="158"/>
      <c r="R125" s="158"/>
      <c r="S125" s="158"/>
      <c r="T125" s="158"/>
      <c r="U125" s="158"/>
      <c r="V125" s="158"/>
      <c r="W125" s="158"/>
      <c r="X125" s="158"/>
      <c r="Y125" s="158"/>
      <c r="Z125" s="158"/>
    </row>
    <row r="126" spans="1:26" ht="15.75" customHeight="1">
      <c r="A126" s="158"/>
      <c r="B126" s="158"/>
      <c r="C126" s="158"/>
      <c r="D126" s="158"/>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row>
    <row r="127" spans="1:26" ht="15.75" customHeight="1">
      <c r="A127" s="158"/>
      <c r="B127" s="158"/>
      <c r="C127" s="158"/>
      <c r="D127" s="158"/>
      <c r="E127" s="158"/>
      <c r="F127" s="158"/>
      <c r="G127" s="158"/>
      <c r="H127" s="158"/>
      <c r="I127" s="158"/>
      <c r="J127" s="158"/>
      <c r="K127" s="158"/>
      <c r="L127" s="158"/>
      <c r="M127" s="158"/>
      <c r="N127" s="158"/>
      <c r="O127" s="158"/>
      <c r="P127" s="158"/>
      <c r="Q127" s="158"/>
      <c r="R127" s="158"/>
      <c r="S127" s="158"/>
      <c r="T127" s="158"/>
      <c r="U127" s="158"/>
      <c r="V127" s="158"/>
      <c r="W127" s="158"/>
      <c r="X127" s="158"/>
      <c r="Y127" s="158"/>
      <c r="Z127" s="158"/>
    </row>
    <row r="128" spans="1:26" ht="15.75" customHeight="1">
      <c r="A128" s="158"/>
      <c r="B128" s="158"/>
      <c r="C128" s="158"/>
      <c r="D128" s="158"/>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row>
    <row r="129" spans="1:26" ht="15.75" customHeight="1">
      <c r="A129" s="158"/>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row>
    <row r="130" spans="1:26" ht="15.75" customHeight="1">
      <c r="A130" s="158"/>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row>
    <row r="131" spans="1:26" ht="15.75" customHeight="1">
      <c r="A131" s="158"/>
      <c r="B131" s="158"/>
      <c r="C131" s="158"/>
      <c r="D131" s="158"/>
      <c r="E131" s="158"/>
      <c r="F131" s="158"/>
      <c r="G131" s="158"/>
      <c r="H131" s="158"/>
      <c r="I131" s="158"/>
      <c r="J131" s="158"/>
      <c r="K131" s="158"/>
      <c r="L131" s="158"/>
      <c r="M131" s="158"/>
      <c r="N131" s="158"/>
      <c r="O131" s="158"/>
      <c r="P131" s="158"/>
      <c r="Q131" s="158"/>
      <c r="R131" s="158"/>
      <c r="S131" s="158"/>
      <c r="T131" s="158"/>
      <c r="U131" s="158"/>
      <c r="V131" s="158"/>
      <c r="W131" s="158"/>
      <c r="X131" s="158"/>
      <c r="Y131" s="158"/>
      <c r="Z131" s="158"/>
    </row>
    <row r="132" spans="1:26" ht="15.75" customHeight="1">
      <c r="A132" s="158"/>
      <c r="B132" s="158"/>
      <c r="C132" s="158"/>
      <c r="D132" s="158"/>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row>
    <row r="133" spans="1:26" ht="15.75" customHeight="1">
      <c r="A133" s="158"/>
      <c r="B133" s="158"/>
      <c r="C133" s="158"/>
      <c r="D133" s="158"/>
      <c r="E133" s="158"/>
      <c r="F133" s="158"/>
      <c r="G133" s="158"/>
      <c r="H133" s="158"/>
      <c r="I133" s="158"/>
      <c r="J133" s="158"/>
      <c r="K133" s="158"/>
      <c r="L133" s="158"/>
      <c r="M133" s="158"/>
      <c r="N133" s="158"/>
      <c r="O133" s="158"/>
      <c r="P133" s="158"/>
      <c r="Q133" s="158"/>
      <c r="R133" s="158"/>
      <c r="S133" s="158"/>
      <c r="T133" s="158"/>
      <c r="U133" s="158"/>
      <c r="V133" s="158"/>
      <c r="W133" s="158"/>
      <c r="X133" s="158"/>
      <c r="Y133" s="158"/>
      <c r="Z133" s="158"/>
    </row>
    <row r="134" spans="1:26" ht="15.75" customHeight="1">
      <c r="A134" s="158"/>
      <c r="B134" s="158"/>
      <c r="C134" s="158"/>
      <c r="D134" s="158"/>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row>
    <row r="135" spans="1:26" ht="15.75" customHeight="1">
      <c r="A135" s="158"/>
      <c r="B135" s="158"/>
      <c r="C135" s="158"/>
      <c r="D135" s="158"/>
      <c r="E135" s="158"/>
      <c r="F135" s="158"/>
      <c r="G135" s="158"/>
      <c r="H135" s="158"/>
      <c r="I135" s="158"/>
      <c r="J135" s="158"/>
      <c r="K135" s="158"/>
      <c r="L135" s="158"/>
      <c r="M135" s="158"/>
      <c r="N135" s="158"/>
      <c r="O135" s="158"/>
      <c r="P135" s="158"/>
      <c r="Q135" s="158"/>
      <c r="R135" s="158"/>
      <c r="S135" s="158"/>
      <c r="T135" s="158"/>
      <c r="U135" s="158"/>
      <c r="V135" s="158"/>
      <c r="W135" s="158"/>
      <c r="X135" s="158"/>
      <c r="Y135" s="158"/>
      <c r="Z135" s="158"/>
    </row>
    <row r="136" spans="1:26" ht="15.75" customHeight="1">
      <c r="A136" s="158"/>
      <c r="B136" s="158"/>
      <c r="C136" s="158"/>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row>
    <row r="137" spans="1:26" ht="15.75" customHeight="1">
      <c r="A137" s="158"/>
      <c r="B137" s="158"/>
      <c r="C137" s="158"/>
      <c r="D137" s="158"/>
      <c r="E137" s="158"/>
      <c r="F137" s="158"/>
      <c r="G137" s="158"/>
      <c r="H137" s="158"/>
      <c r="I137" s="158"/>
      <c r="J137" s="158"/>
      <c r="K137" s="158"/>
      <c r="L137" s="158"/>
      <c r="M137" s="158"/>
      <c r="N137" s="158"/>
      <c r="O137" s="158"/>
      <c r="P137" s="158"/>
      <c r="Q137" s="158"/>
      <c r="R137" s="158"/>
      <c r="S137" s="158"/>
      <c r="T137" s="158"/>
      <c r="U137" s="158"/>
      <c r="V137" s="158"/>
      <c r="W137" s="158"/>
      <c r="X137" s="158"/>
      <c r="Y137" s="158"/>
      <c r="Z137" s="158"/>
    </row>
    <row r="138" spans="1:26" ht="15.75" customHeight="1">
      <c r="A138" s="158"/>
      <c r="B138" s="158"/>
      <c r="C138" s="158"/>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row>
    <row r="139" spans="1:26" ht="15.75" customHeight="1">
      <c r="A139" s="158"/>
      <c r="B139" s="158"/>
      <c r="C139" s="158"/>
      <c r="D139" s="158"/>
      <c r="E139" s="158"/>
      <c r="F139" s="158"/>
      <c r="G139" s="158"/>
      <c r="H139" s="158"/>
      <c r="I139" s="158"/>
      <c r="J139" s="158"/>
      <c r="K139" s="158"/>
      <c r="L139" s="158"/>
      <c r="M139" s="158"/>
      <c r="N139" s="158"/>
      <c r="O139" s="158"/>
      <c r="P139" s="158"/>
      <c r="Q139" s="158"/>
      <c r="R139" s="158"/>
      <c r="S139" s="158"/>
      <c r="T139" s="158"/>
      <c r="U139" s="158"/>
      <c r="V139" s="158"/>
      <c r="W139" s="158"/>
      <c r="X139" s="158"/>
      <c r="Y139" s="158"/>
      <c r="Z139" s="158"/>
    </row>
    <row r="140" spans="1:26" ht="15.75" customHeight="1">
      <c r="A140" s="158"/>
      <c r="B140" s="158"/>
      <c r="C140" s="158"/>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row>
    <row r="141" spans="1:26" ht="15.75" customHeight="1">
      <c r="A141" s="158"/>
      <c r="B141" s="158"/>
      <c r="C141" s="158"/>
      <c r="D141" s="158"/>
      <c r="E141" s="158"/>
      <c r="F141" s="158"/>
      <c r="G141" s="158"/>
      <c r="H141" s="158"/>
      <c r="I141" s="158"/>
      <c r="J141" s="158"/>
      <c r="K141" s="158"/>
      <c r="L141" s="158"/>
      <c r="M141" s="158"/>
      <c r="N141" s="158"/>
      <c r="O141" s="158"/>
      <c r="P141" s="158"/>
      <c r="Q141" s="158"/>
      <c r="R141" s="158"/>
      <c r="S141" s="158"/>
      <c r="T141" s="158"/>
      <c r="U141" s="158"/>
      <c r="V141" s="158"/>
      <c r="W141" s="158"/>
      <c r="X141" s="158"/>
      <c r="Y141" s="158"/>
      <c r="Z141" s="158"/>
    </row>
    <row r="142" spans="1:26" ht="15.75" customHeight="1">
      <c r="A142" s="158"/>
      <c r="B142" s="158"/>
      <c r="C142" s="158"/>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row>
    <row r="143" spans="1:26" ht="15.75" customHeight="1">
      <c r="A143" s="158"/>
      <c r="B143" s="158"/>
      <c r="C143" s="158"/>
      <c r="D143" s="158"/>
      <c r="E143" s="158"/>
      <c r="F143" s="158"/>
      <c r="G143" s="158"/>
      <c r="H143" s="158"/>
      <c r="I143" s="158"/>
      <c r="J143" s="158"/>
      <c r="K143" s="158"/>
      <c r="L143" s="158"/>
      <c r="M143" s="158"/>
      <c r="N143" s="158"/>
      <c r="O143" s="158"/>
      <c r="P143" s="158"/>
      <c r="Q143" s="158"/>
      <c r="R143" s="158"/>
      <c r="S143" s="158"/>
      <c r="T143" s="158"/>
      <c r="U143" s="158"/>
      <c r="V143" s="158"/>
      <c r="W143" s="158"/>
      <c r="X143" s="158"/>
      <c r="Y143" s="158"/>
      <c r="Z143" s="158"/>
    </row>
    <row r="144" spans="1:26" ht="15.75" customHeight="1">
      <c r="A144" s="158"/>
      <c r="B144" s="158"/>
      <c r="C144" s="158"/>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row>
    <row r="145" spans="1:26" ht="15.75" customHeight="1">
      <c r="A145" s="158"/>
      <c r="B145" s="158"/>
      <c r="C145" s="158"/>
      <c r="D145" s="158"/>
      <c r="E145" s="158"/>
      <c r="F145" s="158"/>
      <c r="G145" s="158"/>
      <c r="H145" s="158"/>
      <c r="I145" s="158"/>
      <c r="J145" s="158"/>
      <c r="K145" s="158"/>
      <c r="L145" s="158"/>
      <c r="M145" s="158"/>
      <c r="N145" s="158"/>
      <c r="O145" s="158"/>
      <c r="P145" s="158"/>
      <c r="Q145" s="158"/>
      <c r="R145" s="158"/>
      <c r="S145" s="158"/>
      <c r="T145" s="158"/>
      <c r="U145" s="158"/>
      <c r="V145" s="158"/>
      <c r="W145" s="158"/>
      <c r="X145" s="158"/>
      <c r="Y145" s="158"/>
      <c r="Z145" s="158"/>
    </row>
    <row r="146" spans="1:26" ht="15.75" customHeight="1">
      <c r="A146" s="158"/>
      <c r="B146" s="158"/>
      <c r="C146" s="158"/>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row>
    <row r="147" spans="1:26" ht="15.75" customHeight="1">
      <c r="A147" s="158"/>
      <c r="B147" s="158"/>
      <c r="C147" s="158"/>
      <c r="D147" s="158"/>
      <c r="E147" s="158"/>
      <c r="F147" s="158"/>
      <c r="G147" s="158"/>
      <c r="H147" s="158"/>
      <c r="I147" s="158"/>
      <c r="J147" s="158"/>
      <c r="K147" s="158"/>
      <c r="L147" s="158"/>
      <c r="M147" s="158"/>
      <c r="N147" s="158"/>
      <c r="O147" s="158"/>
      <c r="P147" s="158"/>
      <c r="Q147" s="158"/>
      <c r="R147" s="158"/>
      <c r="S147" s="158"/>
      <c r="T147" s="158"/>
      <c r="U147" s="158"/>
      <c r="V147" s="158"/>
      <c r="W147" s="158"/>
      <c r="X147" s="158"/>
      <c r="Y147" s="158"/>
      <c r="Z147" s="158"/>
    </row>
    <row r="148" spans="1:26" ht="15.75" customHeight="1">
      <c r="A148" s="158"/>
      <c r="B148" s="158"/>
      <c r="C148" s="158"/>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row>
    <row r="149" spans="1:26" ht="15.75" customHeight="1">
      <c r="A149" s="158"/>
      <c r="B149" s="158"/>
      <c r="C149" s="158"/>
      <c r="D149" s="158"/>
      <c r="E149" s="158"/>
      <c r="F149" s="158"/>
      <c r="G149" s="158"/>
      <c r="H149" s="158"/>
      <c r="I149" s="158"/>
      <c r="J149" s="158"/>
      <c r="K149" s="158"/>
      <c r="L149" s="158"/>
      <c r="M149" s="158"/>
      <c r="N149" s="158"/>
      <c r="O149" s="158"/>
      <c r="P149" s="158"/>
      <c r="Q149" s="158"/>
      <c r="R149" s="158"/>
      <c r="S149" s="158"/>
      <c r="T149" s="158"/>
      <c r="U149" s="158"/>
      <c r="V149" s="158"/>
      <c r="W149" s="158"/>
      <c r="X149" s="158"/>
      <c r="Y149" s="158"/>
      <c r="Z149" s="158"/>
    </row>
    <row r="150" spans="1:26" ht="15.75" customHeight="1">
      <c r="A150" s="158"/>
      <c r="B150" s="158"/>
      <c r="C150" s="158"/>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row>
    <row r="151" spans="1:26" ht="15.75" customHeight="1">
      <c r="A151" s="158"/>
      <c r="B151" s="158"/>
      <c r="C151" s="158"/>
      <c r="D151" s="158"/>
      <c r="E151" s="158"/>
      <c r="F151" s="158"/>
      <c r="G151" s="158"/>
      <c r="H151" s="158"/>
      <c r="I151" s="158"/>
      <c r="J151" s="158"/>
      <c r="K151" s="158"/>
      <c r="L151" s="158"/>
      <c r="M151" s="158"/>
      <c r="N151" s="158"/>
      <c r="O151" s="158"/>
      <c r="P151" s="158"/>
      <c r="Q151" s="158"/>
      <c r="R151" s="158"/>
      <c r="S151" s="158"/>
      <c r="T151" s="158"/>
      <c r="U151" s="158"/>
      <c r="V151" s="158"/>
      <c r="W151" s="158"/>
      <c r="X151" s="158"/>
      <c r="Y151" s="158"/>
      <c r="Z151" s="158"/>
    </row>
    <row r="152" spans="1:26" ht="15.75" customHeight="1">
      <c r="A152" s="158"/>
      <c r="B152" s="158"/>
      <c r="C152" s="158"/>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row>
    <row r="153" spans="1:26" ht="15.75" customHeight="1">
      <c r="A153" s="158"/>
      <c r="B153" s="158"/>
      <c r="C153" s="158"/>
      <c r="D153" s="158"/>
      <c r="E153" s="158"/>
      <c r="F153" s="158"/>
      <c r="G153" s="158"/>
      <c r="H153" s="158"/>
      <c r="I153" s="158"/>
      <c r="J153" s="158"/>
      <c r="K153" s="158"/>
      <c r="L153" s="158"/>
      <c r="M153" s="158"/>
      <c r="N153" s="158"/>
      <c r="O153" s="158"/>
      <c r="P153" s="158"/>
      <c r="Q153" s="158"/>
      <c r="R153" s="158"/>
      <c r="S153" s="158"/>
      <c r="T153" s="158"/>
      <c r="U153" s="158"/>
      <c r="V153" s="158"/>
      <c r="W153" s="158"/>
      <c r="X153" s="158"/>
      <c r="Y153" s="158"/>
      <c r="Z153" s="158"/>
    </row>
    <row r="154" spans="1:26" ht="15.75" customHeight="1">
      <c r="A154" s="158"/>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row>
    <row r="155" spans="1:26" ht="15.75" customHeight="1">
      <c r="A155" s="158"/>
      <c r="B155" s="158"/>
      <c r="C155" s="158"/>
      <c r="D155" s="158"/>
      <c r="E155" s="158"/>
      <c r="F155" s="158"/>
      <c r="G155" s="158"/>
      <c r="H155" s="158"/>
      <c r="I155" s="158"/>
      <c r="J155" s="158"/>
      <c r="K155" s="158"/>
      <c r="L155" s="158"/>
      <c r="M155" s="158"/>
      <c r="N155" s="158"/>
      <c r="O155" s="158"/>
      <c r="P155" s="158"/>
      <c r="Q155" s="158"/>
      <c r="R155" s="158"/>
      <c r="S155" s="158"/>
      <c r="T155" s="158"/>
      <c r="U155" s="158"/>
      <c r="V155" s="158"/>
      <c r="W155" s="158"/>
      <c r="X155" s="158"/>
      <c r="Y155" s="158"/>
      <c r="Z155" s="158"/>
    </row>
    <row r="156" spans="1:26" ht="15.75" customHeight="1">
      <c r="A156" s="158"/>
      <c r="B156" s="158"/>
      <c r="C156" s="158"/>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row>
    <row r="157" spans="1:26" ht="15.75" customHeight="1">
      <c r="A157" s="158"/>
      <c r="B157" s="158"/>
      <c r="C157" s="158"/>
      <c r="D157" s="158"/>
      <c r="E157" s="158"/>
      <c r="F157" s="158"/>
      <c r="G157" s="158"/>
      <c r="H157" s="158"/>
      <c r="I157" s="158"/>
      <c r="J157" s="158"/>
      <c r="K157" s="158"/>
      <c r="L157" s="158"/>
      <c r="M157" s="158"/>
      <c r="N157" s="158"/>
      <c r="O157" s="158"/>
      <c r="P157" s="158"/>
      <c r="Q157" s="158"/>
      <c r="R157" s="158"/>
      <c r="S157" s="158"/>
      <c r="T157" s="158"/>
      <c r="U157" s="158"/>
      <c r="V157" s="158"/>
      <c r="W157" s="158"/>
      <c r="X157" s="158"/>
      <c r="Y157" s="158"/>
      <c r="Z157" s="158"/>
    </row>
    <row r="158" spans="1:26" ht="15.75" customHeight="1">
      <c r="A158" s="158"/>
      <c r="B158" s="158"/>
      <c r="C158" s="158"/>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row>
    <row r="159" spans="1:26" ht="15.75" customHeight="1">
      <c r="A159" s="158"/>
      <c r="B159" s="158"/>
      <c r="C159" s="158"/>
      <c r="D159" s="158"/>
      <c r="E159" s="158"/>
      <c r="F159" s="158"/>
      <c r="G159" s="158"/>
      <c r="H159" s="158"/>
      <c r="I159" s="158"/>
      <c r="J159" s="158"/>
      <c r="K159" s="158"/>
      <c r="L159" s="158"/>
      <c r="M159" s="158"/>
      <c r="N159" s="158"/>
      <c r="O159" s="158"/>
      <c r="P159" s="158"/>
      <c r="Q159" s="158"/>
      <c r="R159" s="158"/>
      <c r="S159" s="158"/>
      <c r="T159" s="158"/>
      <c r="U159" s="158"/>
      <c r="V159" s="158"/>
      <c r="W159" s="158"/>
      <c r="X159" s="158"/>
      <c r="Y159" s="158"/>
      <c r="Z159" s="158"/>
    </row>
    <row r="160" spans="1:26" ht="15.75" customHeight="1">
      <c r="A160" s="158"/>
      <c r="B160" s="158"/>
      <c r="C160" s="158"/>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row>
    <row r="161" spans="1:26" ht="15.75" customHeight="1">
      <c r="A161" s="158"/>
      <c r="B161" s="158"/>
      <c r="C161" s="158"/>
      <c r="D161" s="158"/>
      <c r="E161" s="158"/>
      <c r="F161" s="158"/>
      <c r="G161" s="158"/>
      <c r="H161" s="158"/>
      <c r="I161" s="158"/>
      <c r="J161" s="158"/>
      <c r="K161" s="158"/>
      <c r="L161" s="158"/>
      <c r="M161" s="158"/>
      <c r="N161" s="158"/>
      <c r="O161" s="158"/>
      <c r="P161" s="158"/>
      <c r="Q161" s="158"/>
      <c r="R161" s="158"/>
      <c r="S161" s="158"/>
      <c r="T161" s="158"/>
      <c r="U161" s="158"/>
      <c r="V161" s="158"/>
      <c r="W161" s="158"/>
      <c r="X161" s="158"/>
      <c r="Y161" s="158"/>
      <c r="Z161" s="158"/>
    </row>
    <row r="162" spans="1:26" ht="15.75" customHeight="1">
      <c r="A162" s="158"/>
      <c r="B162" s="158"/>
      <c r="C162" s="158"/>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row>
    <row r="163" spans="1:26" ht="15.75" customHeight="1">
      <c r="A163" s="158"/>
      <c r="B163" s="158"/>
      <c r="C163" s="158"/>
      <c r="D163" s="158"/>
      <c r="E163" s="158"/>
      <c r="F163" s="158"/>
      <c r="G163" s="158"/>
      <c r="H163" s="158"/>
      <c r="I163" s="158"/>
      <c r="J163" s="158"/>
      <c r="K163" s="158"/>
      <c r="L163" s="158"/>
      <c r="M163" s="158"/>
      <c r="N163" s="158"/>
      <c r="O163" s="158"/>
      <c r="P163" s="158"/>
      <c r="Q163" s="158"/>
      <c r="R163" s="158"/>
      <c r="S163" s="158"/>
      <c r="T163" s="158"/>
      <c r="U163" s="158"/>
      <c r="V163" s="158"/>
      <c r="W163" s="158"/>
      <c r="X163" s="158"/>
      <c r="Y163" s="158"/>
      <c r="Z163" s="158"/>
    </row>
    <row r="164" spans="1:26" ht="15.75" customHeight="1">
      <c r="A164" s="158"/>
      <c r="B164" s="158"/>
      <c r="C164" s="158"/>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row>
    <row r="165" spans="1:26" ht="15.75" customHeight="1">
      <c r="A165" s="158"/>
      <c r="B165" s="158"/>
      <c r="C165" s="158"/>
      <c r="D165" s="158"/>
      <c r="E165" s="158"/>
      <c r="F165" s="158"/>
      <c r="G165" s="158"/>
      <c r="H165" s="158"/>
      <c r="I165" s="158"/>
      <c r="J165" s="158"/>
      <c r="K165" s="158"/>
      <c r="L165" s="158"/>
      <c r="M165" s="158"/>
      <c r="N165" s="158"/>
      <c r="O165" s="158"/>
      <c r="P165" s="158"/>
      <c r="Q165" s="158"/>
      <c r="R165" s="158"/>
      <c r="S165" s="158"/>
      <c r="T165" s="158"/>
      <c r="U165" s="158"/>
      <c r="V165" s="158"/>
      <c r="W165" s="158"/>
      <c r="X165" s="158"/>
      <c r="Y165" s="158"/>
      <c r="Z165" s="158"/>
    </row>
    <row r="166" spans="1:26" ht="15.75" customHeight="1">
      <c r="A166" s="158"/>
      <c r="B166" s="158"/>
      <c r="C166" s="158"/>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row>
    <row r="167" spans="1:26" ht="15.75" customHeight="1">
      <c r="A167" s="158"/>
      <c r="B167" s="158"/>
      <c r="C167" s="158"/>
      <c r="D167" s="158"/>
      <c r="E167" s="158"/>
      <c r="F167" s="158"/>
      <c r="G167" s="158"/>
      <c r="H167" s="158"/>
      <c r="I167" s="158"/>
      <c r="J167" s="158"/>
      <c r="K167" s="158"/>
      <c r="L167" s="158"/>
      <c r="M167" s="158"/>
      <c r="N167" s="158"/>
      <c r="O167" s="158"/>
      <c r="P167" s="158"/>
      <c r="Q167" s="158"/>
      <c r="R167" s="158"/>
      <c r="S167" s="158"/>
      <c r="T167" s="158"/>
      <c r="U167" s="158"/>
      <c r="V167" s="158"/>
      <c r="W167" s="158"/>
      <c r="X167" s="158"/>
      <c r="Y167" s="158"/>
      <c r="Z167" s="158"/>
    </row>
    <row r="168" spans="1:26" ht="15.75" customHeight="1">
      <c r="A168" s="158"/>
      <c r="B168" s="158"/>
      <c r="C168" s="158"/>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row>
    <row r="169" spans="1:26" ht="15.75" customHeight="1">
      <c r="A169" s="158"/>
      <c r="B169" s="158"/>
      <c r="C169" s="158"/>
      <c r="D169" s="158"/>
      <c r="E169" s="158"/>
      <c r="F169" s="158"/>
      <c r="G169" s="158"/>
      <c r="H169" s="158"/>
      <c r="I169" s="158"/>
      <c r="J169" s="158"/>
      <c r="K169" s="158"/>
      <c r="L169" s="158"/>
      <c r="M169" s="158"/>
      <c r="N169" s="158"/>
      <c r="O169" s="158"/>
      <c r="P169" s="158"/>
      <c r="Q169" s="158"/>
      <c r="R169" s="158"/>
      <c r="S169" s="158"/>
      <c r="T169" s="158"/>
      <c r="U169" s="158"/>
      <c r="V169" s="158"/>
      <c r="W169" s="158"/>
      <c r="X169" s="158"/>
      <c r="Y169" s="158"/>
      <c r="Z169" s="158"/>
    </row>
    <row r="170" spans="1:26" ht="15.75" customHeight="1">
      <c r="A170" s="158"/>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row>
    <row r="171" spans="1:26" ht="15.75" customHeight="1">
      <c r="A171" s="158"/>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row>
    <row r="172" spans="1:26" ht="15.75" customHeight="1">
      <c r="A172" s="158"/>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row>
    <row r="173" spans="1:26" ht="15.75" customHeight="1">
      <c r="A173" s="158"/>
      <c r="B173" s="158"/>
      <c r="C173" s="158"/>
      <c r="D173" s="158"/>
      <c r="E173" s="158"/>
      <c r="F173" s="158"/>
      <c r="G173" s="158"/>
      <c r="H173" s="158"/>
      <c r="I173" s="158"/>
      <c r="J173" s="158"/>
      <c r="K173" s="158"/>
      <c r="L173" s="158"/>
      <c r="M173" s="158"/>
      <c r="N173" s="158"/>
      <c r="O173" s="158"/>
      <c r="P173" s="158"/>
      <c r="Q173" s="158"/>
      <c r="R173" s="158"/>
      <c r="S173" s="158"/>
      <c r="T173" s="158"/>
      <c r="U173" s="158"/>
      <c r="V173" s="158"/>
      <c r="W173" s="158"/>
      <c r="X173" s="158"/>
      <c r="Y173" s="158"/>
      <c r="Z173" s="158"/>
    </row>
    <row r="174" spans="1:26" ht="15.75" customHeight="1">
      <c r="A174" s="158"/>
      <c r="B174" s="158"/>
      <c r="C174" s="158"/>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row>
    <row r="175" spans="1:26" ht="15.75" customHeight="1">
      <c r="A175" s="158"/>
      <c r="B175" s="158"/>
      <c r="C175" s="158"/>
      <c r="D175" s="158"/>
      <c r="E175" s="158"/>
      <c r="F175" s="158"/>
      <c r="G175" s="158"/>
      <c r="H175" s="158"/>
      <c r="I175" s="158"/>
      <c r="J175" s="158"/>
      <c r="K175" s="158"/>
      <c r="L175" s="158"/>
      <c r="M175" s="158"/>
      <c r="N175" s="158"/>
      <c r="O175" s="158"/>
      <c r="P175" s="158"/>
      <c r="Q175" s="158"/>
      <c r="R175" s="158"/>
      <c r="S175" s="158"/>
      <c r="T175" s="158"/>
      <c r="U175" s="158"/>
      <c r="V175" s="158"/>
      <c r="W175" s="158"/>
      <c r="X175" s="158"/>
      <c r="Y175" s="158"/>
      <c r="Z175" s="158"/>
    </row>
    <row r="176" spans="1:26" ht="15.75" customHeight="1">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row>
    <row r="177" spans="1:26" ht="15.75" customHeight="1">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row>
    <row r="178" spans="1:26" ht="15.75" customHeight="1">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row>
    <row r="179" spans="1:26" ht="15.75" customHeight="1">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row>
    <row r="180" spans="1:26" ht="15.75" customHeight="1">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row>
    <row r="181" spans="1:26" ht="15.75" customHeight="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row>
    <row r="182" spans="1:26" ht="15.75" customHeight="1">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row>
    <row r="183" spans="1:26" ht="15.75" customHeight="1">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row>
    <row r="184" spans="1:26" ht="15.75" customHeight="1">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row>
    <row r="185" spans="1:26" ht="15.75" customHeight="1">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row>
    <row r="186" spans="1:26" ht="15.75" customHeight="1">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row>
    <row r="187" spans="1:26" ht="15.75" customHeight="1">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row>
    <row r="188" spans="1:26" ht="15.75" customHeight="1">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row>
    <row r="189" spans="1:26" ht="15.75" customHeight="1">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row>
    <row r="190" spans="1:26" ht="15.75" customHeight="1">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row>
    <row r="191" spans="1:26" ht="15.75" customHeight="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row>
    <row r="192" spans="1:26" ht="15.75" customHeight="1">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row>
    <row r="193" spans="1:26" ht="15.75" customHeight="1">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row>
    <row r="194" spans="1:26" ht="15.75" customHeight="1">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row>
    <row r="195" spans="1:26" ht="15.75" customHeight="1">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row>
    <row r="196" spans="1:26" ht="15.75" customHeight="1">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row>
    <row r="197" spans="1:26" ht="15.75" customHeight="1">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row>
    <row r="198" spans="1:26" ht="15.75" customHeight="1">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row>
    <row r="199" spans="1:26" ht="15.75" customHeight="1">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row>
    <row r="200" spans="1:26" ht="15.75" customHeight="1">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row>
    <row r="201" spans="1:26" ht="15.75" customHeight="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row>
    <row r="202" spans="1:26" ht="15.75" customHeight="1">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row>
    <row r="203" spans="1:26" ht="15.75" customHeight="1">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row>
    <row r="204" spans="1:26" ht="15.75" customHeight="1">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row>
    <row r="205" spans="1:26" ht="15.75" customHeight="1">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row>
    <row r="206" spans="1:26" ht="15.75" customHeight="1">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row>
    <row r="207" spans="1:26" ht="15.75" customHeight="1">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row>
    <row r="208" spans="1:26" ht="15.75" customHeight="1">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row>
    <row r="209" spans="1:26" ht="15.75" customHeight="1">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row>
    <row r="210" spans="1:26" ht="15.75" customHeight="1">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row>
    <row r="211" spans="1:26" ht="15.75" customHeight="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row>
    <row r="212" spans="1:26" ht="15.75" customHeight="1">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row>
    <row r="213" spans="1:26" ht="15.75" customHeight="1">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row>
    <row r="214" spans="1:26" ht="15.75" customHeight="1">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row>
    <row r="215" spans="1:26" ht="15.75" customHeight="1">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row>
    <row r="216" spans="1:26" ht="15.75" customHeight="1">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row>
    <row r="217" spans="1:26" ht="15.75" customHeight="1">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row>
    <row r="218" spans="1:26" ht="15.75" customHeight="1">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row>
    <row r="219" spans="1:26" ht="15.75" customHeight="1">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row>
    <row r="220" spans="1:26" ht="15.75" customHeight="1">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(Proteccíon)</vt:lpstr>
      <vt:lpstr>FINALIZADOS  despues de actu, i</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2026-03-06T21:43:00Z</dcterms:modified>
</cp:coreProperties>
</file>
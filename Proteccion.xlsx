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79220621\Documents\REPORTEDIARIO\REPORTEDIARIO\"/>
    </mc:Choice>
  </mc:AlternateContent>
  <bookViews>
    <workbookView xWindow="0" yWindow="0" windowWidth="28800" windowHeight="12135"/>
  </bookViews>
  <sheets>
    <sheet name="EN PROCESO (Proteccíon)" sheetId="1" r:id="rId1"/>
    <sheet name="FINALIZADOS  despues de actu, i" sheetId="2" state="hidden" r:id="rId2"/>
    <sheet name="Hoja2" sheetId="3" state="hidden" r:id="rId3"/>
    <sheet name="ASISTENCIA" sheetId="4" state="hidden" r:id="rId4"/>
    <sheet name="pruebas i" sheetId="5" state="hidden" r:id="rId5"/>
  </sheets>
  <definedNames>
    <definedName name="_xlnm._FilterDatabase" localSheetId="0" hidden="1">'EN PROCESO (Proteccíon)'!$A$1:$AN$115</definedName>
  </definedNames>
  <calcPr calcId="162913"/>
  <extLst>
    <ext uri="GoogleSheetsCustomDataVersion2">
      <go:sheetsCustomData xmlns:go="http://customooxmlschemas.google.com/" r:id="rId9" roundtripDataChecksum="WUy2KbASr3IRYYj5c1pCLjYJ039V3p1ROdCGuSaZ/fA="/>
    </ext>
  </extLst>
</workbook>
</file>

<file path=xl/calcChain.xml><?xml version="1.0" encoding="utf-8"?>
<calcChain xmlns="http://schemas.openxmlformats.org/spreadsheetml/2006/main">
  <c r="I5" i="5" l="1"/>
  <c r="I4" i="5"/>
  <c r="I3" i="5"/>
  <c r="I2" i="5"/>
  <c r="M14" i="2"/>
  <c r="M13" i="2"/>
  <c r="M12" i="2"/>
  <c r="M11" i="2"/>
  <c r="M10" i="2"/>
  <c r="M9" i="2"/>
  <c r="M8" i="2"/>
  <c r="M7" i="2"/>
  <c r="M6" i="2"/>
  <c r="M5" i="2"/>
  <c r="M4" i="2"/>
  <c r="M3" i="2"/>
  <c r="M2" i="2"/>
  <c r="M115" i="1"/>
  <c r="H115" i="1"/>
  <c r="M114" i="1"/>
  <c r="H114" i="1"/>
  <c r="M113" i="1"/>
  <c r="H113" i="1"/>
  <c r="M112" i="1"/>
  <c r="H112" i="1"/>
  <c r="M111" i="1"/>
  <c r="H111" i="1"/>
  <c r="M110" i="1"/>
  <c r="H110" i="1"/>
  <c r="M109" i="1"/>
  <c r="H109" i="1"/>
  <c r="M108" i="1"/>
  <c r="H108" i="1"/>
  <c r="M107" i="1"/>
  <c r="H107" i="1"/>
  <c r="M106" i="1"/>
  <c r="H106" i="1"/>
  <c r="M105" i="1"/>
  <c r="H105" i="1"/>
  <c r="M104" i="1"/>
  <c r="H104" i="1"/>
  <c r="M103" i="1"/>
  <c r="H103" i="1"/>
  <c r="M102" i="1"/>
  <c r="H102" i="1"/>
  <c r="M101" i="1"/>
  <c r="H101" i="1"/>
  <c r="M100" i="1"/>
  <c r="H100" i="1"/>
  <c r="M99" i="1"/>
  <c r="H99" i="1"/>
  <c r="M98" i="1"/>
  <c r="H98" i="1"/>
  <c r="M97" i="1"/>
  <c r="H97" i="1"/>
  <c r="M96" i="1"/>
  <c r="H96" i="1"/>
  <c r="M95" i="1"/>
  <c r="H95" i="1"/>
  <c r="M94" i="1"/>
  <c r="H94" i="1"/>
  <c r="M93" i="1"/>
  <c r="H93" i="1"/>
  <c r="M92" i="1"/>
  <c r="H92" i="1"/>
  <c r="M91" i="1"/>
  <c r="H91" i="1"/>
  <c r="M90" i="1"/>
  <c r="H90" i="1"/>
  <c r="M89" i="1"/>
  <c r="H89" i="1"/>
  <c r="M88" i="1"/>
  <c r="H88" i="1"/>
  <c r="M87" i="1"/>
  <c r="H87" i="1"/>
  <c r="M86" i="1"/>
  <c r="H86" i="1"/>
  <c r="M85" i="1"/>
  <c r="H85" i="1"/>
  <c r="M84" i="1"/>
  <c r="H84" i="1"/>
  <c r="M83" i="1"/>
  <c r="H83" i="1"/>
  <c r="M82" i="1"/>
  <c r="H82" i="1"/>
  <c r="M81" i="1"/>
  <c r="H81" i="1"/>
  <c r="M80" i="1"/>
  <c r="H80" i="1"/>
  <c r="M79" i="1"/>
  <c r="H79" i="1"/>
  <c r="M78" i="1"/>
  <c r="H78" i="1"/>
  <c r="M77" i="1"/>
  <c r="H77" i="1"/>
  <c r="M76" i="1"/>
  <c r="H76" i="1"/>
  <c r="M75" i="1"/>
  <c r="H75" i="1"/>
  <c r="M74" i="1"/>
  <c r="H74" i="1"/>
  <c r="M73" i="1"/>
  <c r="H73" i="1"/>
  <c r="M72" i="1"/>
  <c r="H72" i="1"/>
  <c r="M71" i="1"/>
  <c r="M70" i="1"/>
  <c r="H70" i="1"/>
  <c r="M69" i="1"/>
  <c r="M68" i="1"/>
  <c r="H68" i="1"/>
  <c r="M67" i="1"/>
  <c r="H67" i="1"/>
  <c r="M66" i="1"/>
  <c r="H66" i="1"/>
  <c r="M65" i="1"/>
  <c r="H65" i="1"/>
  <c r="M64" i="1"/>
  <c r="H64" i="1"/>
  <c r="M63" i="1"/>
  <c r="H63" i="1"/>
  <c r="M62" i="1"/>
  <c r="H62" i="1"/>
  <c r="M61" i="1"/>
  <c r="H61" i="1"/>
  <c r="M60" i="1"/>
  <c r="H60" i="1"/>
  <c r="M59" i="1"/>
  <c r="H59" i="1"/>
  <c r="M58" i="1"/>
  <c r="H58" i="1"/>
  <c r="M57" i="1"/>
  <c r="H57" i="1"/>
  <c r="M56" i="1"/>
  <c r="H56" i="1"/>
  <c r="M55" i="1"/>
  <c r="H55" i="1"/>
  <c r="M54" i="1"/>
  <c r="H54" i="1"/>
  <c r="M53" i="1"/>
  <c r="H53" i="1"/>
  <c r="M52" i="1"/>
  <c r="H52" i="1"/>
  <c r="M51" i="1"/>
  <c r="H51" i="1"/>
  <c r="M50" i="1"/>
  <c r="H50" i="1"/>
  <c r="M49" i="1"/>
  <c r="H49" i="1"/>
  <c r="M48" i="1"/>
  <c r="H48" i="1"/>
  <c r="M47" i="1"/>
  <c r="H47" i="1"/>
  <c r="M46" i="1"/>
  <c r="H46" i="1"/>
  <c r="M45" i="1"/>
  <c r="H45" i="1"/>
  <c r="M44" i="1"/>
  <c r="H44" i="1"/>
  <c r="M43" i="1"/>
  <c r="H43" i="1"/>
  <c r="M42" i="1"/>
  <c r="H42" i="1"/>
  <c r="M41" i="1"/>
  <c r="H41" i="1"/>
  <c r="M40" i="1"/>
  <c r="H40" i="1"/>
  <c r="M39" i="1"/>
  <c r="H39" i="1"/>
  <c r="M38" i="1"/>
  <c r="H38" i="1"/>
  <c r="M37" i="1"/>
  <c r="H37" i="1"/>
  <c r="M36" i="1"/>
  <c r="H36" i="1"/>
  <c r="M35" i="1"/>
  <c r="H35" i="1"/>
  <c r="M34" i="1"/>
  <c r="H34" i="1"/>
  <c r="M33" i="1"/>
  <c r="H33" i="1"/>
  <c r="M32" i="1"/>
  <c r="H32" i="1"/>
  <c r="M31" i="1"/>
  <c r="H31" i="1"/>
  <c r="M30" i="1"/>
  <c r="H30" i="1"/>
  <c r="M29" i="1"/>
  <c r="H29" i="1"/>
  <c r="M28" i="1"/>
  <c r="H28" i="1"/>
  <c r="M27" i="1"/>
  <c r="H27" i="1"/>
  <c r="M26" i="1"/>
  <c r="H26" i="1"/>
  <c r="M25" i="1"/>
  <c r="H25" i="1"/>
  <c r="M24" i="1"/>
  <c r="H24" i="1"/>
  <c r="M23" i="1"/>
  <c r="H23" i="1"/>
  <c r="M22" i="1"/>
  <c r="H22" i="1"/>
  <c r="M21" i="1"/>
  <c r="H21" i="1"/>
  <c r="M20" i="1"/>
  <c r="H20" i="1"/>
  <c r="M19" i="1"/>
  <c r="H19" i="1"/>
  <c r="M18" i="1"/>
  <c r="H18" i="1"/>
  <c r="M17" i="1"/>
  <c r="H17" i="1"/>
  <c r="M16" i="1"/>
  <c r="H16" i="1"/>
  <c r="M15" i="1"/>
  <c r="H15" i="1"/>
  <c r="M14" i="1"/>
  <c r="H14" i="1"/>
  <c r="M13" i="1"/>
  <c r="H13" i="1"/>
  <c r="M12" i="1"/>
  <c r="H12" i="1"/>
  <c r="M11" i="1"/>
  <c r="H11" i="1"/>
  <c r="M10" i="1"/>
  <c r="H10" i="1"/>
  <c r="M9" i="1"/>
  <c r="H9" i="1"/>
  <c r="M8" i="1"/>
  <c r="H8" i="1"/>
  <c r="M7" i="1"/>
  <c r="H7" i="1"/>
  <c r="M6" i="1"/>
  <c r="H6" i="1"/>
  <c r="M5" i="1"/>
  <c r="H5" i="1"/>
  <c r="M4" i="1"/>
  <c r="H4" i="1"/>
  <c r="M3" i="1"/>
  <c r="H3" i="1"/>
  <c r="M2" i="1"/>
  <c r="H2" i="1"/>
</calcChain>
</file>

<file path=xl/sharedStrings.xml><?xml version="1.0" encoding="utf-8"?>
<sst xmlns="http://schemas.openxmlformats.org/spreadsheetml/2006/main" count="1759" uniqueCount="519">
  <si>
    <t>Asignado a</t>
  </si>
  <si>
    <t>ID REQ</t>
  </si>
  <si>
    <t xml:space="preserve">Requerimiento </t>
  </si>
  <si>
    <t xml:space="preserve">Descripcion req </t>
  </si>
  <si>
    <t>Actividad</t>
  </si>
  <si>
    <t>ESTADO</t>
  </si>
  <si>
    <t>% AVANCE</t>
  </si>
  <si>
    <t>Dias estimados de desarrollo</t>
  </si>
  <si>
    <t>F.Asignado</t>
  </si>
  <si>
    <t>Fecha inicio</t>
  </si>
  <si>
    <t>F. estimada de entrega</t>
  </si>
  <si>
    <t>Finalizado</t>
  </si>
  <si>
    <t>Dias total desarrollo</t>
  </si>
  <si>
    <t>Fecha compromiso cliente</t>
  </si>
  <si>
    <t>FECHA PASO A TEST</t>
  </si>
  <si>
    <t>FECHA PASO A PRODUCCION</t>
  </si>
  <si>
    <t>OBSERVACIONES</t>
  </si>
  <si>
    <t>Visible</t>
  </si>
  <si>
    <t>Alejandro</t>
  </si>
  <si>
    <t>REQ-1-1</t>
  </si>
  <si>
    <t>Tratamiento especial al radicar trámites de vejez (Revision de flujo y código)</t>
  </si>
  <si>
    <t>Se está a la espera de la solicitud formal por parte del cliente</t>
  </si>
  <si>
    <t>FINALIZADO</t>
  </si>
  <si>
    <t>19/06/2025 Se identifico el código a intervenir y con el que trabajar en el requerimiento</t>
  </si>
  <si>
    <t>REQ-1-2</t>
  </si>
  <si>
    <t>Tratamiento especial al radicar trámites de vejez (Reunión con las partes interesadas para identificar los inputs de trabajo)</t>
  </si>
  <si>
    <t>24/06/2025: Se reune con las partes interesadas, se identifican los requisitos, necesidades y material de trabajo, pero se suspende el requerimiento hasta nuevo aviso</t>
  </si>
  <si>
    <t>REQ-2-1</t>
  </si>
  <si>
    <t>Creación de reporte de AUF para identificación de pagos, creación de opción de cargue masivo para cambio de bandejas y creación de opción de consulta de pagos (Creación de script para generar reporte de pagos de auxilios funerarios y la vista para su consumo)</t>
  </si>
  <si>
    <t>Creación de Herramientas adicionales para el tratamiento de información y flujo en el módulo de auxilios funerarios</t>
  </si>
  <si>
    <t>24/06/2025: Se realiza reunión para la identificación de nuevos requisitos
01/07/2025: Se realiza vista para el consumo y parte de la lóigica para la creación del reporte
01/07/2025: Se está a la espera de validar la información del reporte debido a que se nos envía 2 reportes con estructuras distintas
09/07/2025: Se realiza reunión con las partes interesadas y se acuerda en agregar información obtenida de distintas fuentes al formulario
15/07/2025: Se realizaron aún más cambios propuestos por el usuario y correcciones de fallas en el funcionamiento
15/07/2025: Se pasa a producción</t>
  </si>
  <si>
    <t>REQ-2-2</t>
  </si>
  <si>
    <t>Creación de reporte de AUF para identificación de pagos, creación de opción de cargue masivo para cambio de bandejas y creación de opción de consulta de pagos (Creación de script para generar opción de consulta de pagos)</t>
  </si>
  <si>
    <t>09/07/2025: Se Había pospuesto la creación del código y se retoma el día 8
10/07/2025: Se termina el desarrollo y las pruebas e 10 con las modificaciones indicadas en la reunión
15/07/2025: Se realizaron aún más cambios propuestos por el usuario y correcciones de fallas en el funcionamiento
15/07/2025: Se pasa a producción</t>
  </si>
  <si>
    <t>REQ-2-3</t>
  </si>
  <si>
    <t>Creación de reporte de AUF para identificación de pagos, creación de opción de cargue masivo para cambio de bandejas y creación de opción de consulta de pagos (Creación de script para generar opción en el de cargue y procesado de datos )</t>
  </si>
  <si>
    <t>01/07/2025: Se realiza reunión para la identificación de nuevos requisitos
02/07/2025: Se Crea vista y lógica para el cargue de documentos y procesamiento de datos
02/07/2025: Se realizan pruebas de funcionamiento y se esta a la espera de que el cliente realice pruebas
15/07/2025: Se realizaron aún más cambios propuestos por el usuario y correcciones de fallas en el funcionamiento
15/07/2025: Se pasa a producción</t>
  </si>
  <si>
    <t>REQ-2-4</t>
  </si>
  <si>
    <t>Creación de reporte de AUF para identificación de pagos, creación de opción de cargue masivo para cambio de bandejas y creación de opción de consulta de pagos (Modificación de script para generar reporte de pagos de auxilios funerarios agregando distinta información y lógica para su construcción)</t>
  </si>
  <si>
    <t>10/07/2025: Se termina el desarrollo y las pruebas. Se está en espera del visto bueno para pasar a producción
14/07/2025: Se identifican a través de las pruebas de usuarios modificaciones y añadidos por hacer. Se realizan los debidos cambios y se entrega al cliente resultados para su validación
15/07/2025: Se realizaron aún más cambios propuestos por el usuario y correcciones de fallas en el funcionamiento
15/07/2025: Se pasa a producción</t>
  </si>
  <si>
    <t>REQ-3-1</t>
  </si>
  <si>
    <t>Cambios técnicos en aplicativo imagine para proceso de mesa de control documental solicitud de pensión (Reunión con las partes interesadas para identificación de requerimientos)</t>
  </si>
  <si>
    <t>desarrollo de la mesa de validación documental con inteligencia artificial en Filenet que implica las siguientees actividades:
Se debe retirar la bandeja de imagine Validación Mesa de Control Unificada ya que la validación de documentos se realizará a través de filenet.
Dado que se requiere conservar otras funciones adicionales a la bandeja de validación en el software de imagine que depende de la validación documental, se les notificara a través del siguiente web service cada vez que una solicitud documental (Paquete de documentos relacionado a los diferentes riesgos) haya finalizado el proceso de validación:</t>
  </si>
  <si>
    <t>24/06/2025: Se realiza reunión para realización de pruebas e identificación de requerimientos</t>
  </si>
  <si>
    <t>REQ-4-1</t>
  </si>
  <si>
    <t>Migración de registros para tipos documentales gabinete 2 (Identificación y failitación al cliente de los tipos documnetales)</t>
  </si>
  <si>
    <t xml:space="preserve">09/07/2025: Se indica al cliente los distintos tipos de documentación del gabinete 2
</t>
  </si>
  <si>
    <t>REQ-5-1</t>
  </si>
  <si>
    <t>Proyecto relacionado con las inconsistencias norma 2381 (Identificación de método de consumo y generación de informe de resultados)</t>
  </si>
  <si>
    <t xml:space="preserve">09/07/2025: Se identifica los métodos de consumo posibles, su funcionamiento y se plasma junto con las respuestas a las dudas del cliente en un informe
</t>
  </si>
  <si>
    <t>REQ-3-3</t>
  </si>
  <si>
    <t>Cambios técnicos en aplicativo imagine para proceso de mesa de control documental solicitud de pensión (Creación de otro método para consumo necesario para tratamiento de trámites de pruebas de protección)</t>
  </si>
  <si>
    <t>16/07/2025 Se realiza nuevo método de consumo para cerrar trámites con procesos documentales abiertos y asi, protección pueda ser pruebas de cierre de mesa unificada documental sin necesidad de tener procesos abiertos y con documentos</t>
  </si>
  <si>
    <t>REQ-6-1</t>
  </si>
  <si>
    <t>Análisis y corrección de procesos de cargue e identificación de pagos de tipo de riesgo AUX (Análisis de la situación en Imagine)</t>
  </si>
  <si>
    <t>Se identificaron errores de procesos de cargue que no están identificando correctamente el estado de un trámite en la bandeja de AUX.</t>
  </si>
  <si>
    <t>17/07/2025 Se realiza reunión para identificar las inconsistencias. Se está a la espera de datos de prueba y de análisis de los procesos para la verificación de los mismos
21/07/2025 Se Identificaron lógicas erroneas en el código que se corrigieron y otras lógicas de negocio que no, debido a que primero se deben de socializar los resultados antes de poder pensar en una solución 
23/07/2025 Se genera informe de la situación, recomendaciones y procesos a seguir para brindar solución
23/07/2025 Se pasa los cambios que corregian errores a producción</t>
  </si>
  <si>
    <t>REQ-7-1</t>
  </si>
  <si>
    <t>Mejoras en los modulos de Imagine (Reunión con las partes interesadas e identificación de requerimientos)</t>
  </si>
  <si>
    <t>Solicitud de protección para mejoras IMAGINE en el módulo de Auxilios funerarios</t>
  </si>
  <si>
    <t>22/07/2025 Se realiza reunión para la identificación de requerimientos y necesidades del cliente
23/07/2025 Se comparte archivo de la solicitud</t>
  </si>
  <si>
    <t>Interno-H8</t>
  </si>
  <si>
    <t>Automatización y migración de lógica a python ( Ejecuci[on y correcci[on de script y descarga de recursos necesarios para el entrenamiento del modelo de clasificaci[on)</t>
  </si>
  <si>
    <t>25/07/2025 Se realiza la descarga de 80000 archivos no sin antes reestructurar el script y acoplarlo para no sobrecargar los procesos y que funcionara
25/07/2025 Se empieza proceso de carga en local, todo esto debido a que no se puede generar el modelo de entrenamiento en el servidor por capacidad
25/07/2025 Se termina el proceso de carga en local</t>
  </si>
  <si>
    <t>Interno-H1</t>
  </si>
  <si>
    <t>Automatización y migración de lógica a python (Migración de código en donde se importa el lote tanto física como en bases de datos)</t>
  </si>
  <si>
    <t>19/06/2025 Se produjeron ciertos errores en la fase de pruebas y se realizaron todas las correcciones para que el nuevo funcionamiento responda y se acople bien</t>
  </si>
  <si>
    <t>Interno-H2</t>
  </si>
  <si>
    <t>Automatización y migración de lógica a python (Migración de código en donde se trata toda la lógica y activación de tareas de la indexación del lote)</t>
  </si>
  <si>
    <t xml:space="preserve">20/06/2025: Identificación y paso del flujo para la funcionalidad de indexación de lotes de PHP a python
24/06/2025: Se tiene identificado el código necesario para la migración y se avanza en ella. Se han tenido muchos requerimientos adicionales actualmente por lo que se retrasa un poco en su construcción
25/06/2025: Se termina la migracion a python para el flujo de la funcionalidad de indexar lote y se realizaron pruebas de funcionalidad </t>
  </si>
  <si>
    <t>Interno-H3</t>
  </si>
  <si>
    <t>Automatización y migración de lógica a python (Acoplar lógica faltante en la migración de código)</t>
  </si>
  <si>
    <t>31/07/2025 Se inicializa el trabajo de acoplamiento de la lógica del módulo con el proceso de clasificación después de tener un modelo entrenado para la tarea</t>
  </si>
  <si>
    <t>Interno-H4</t>
  </si>
  <si>
    <t>Automatización y migración de lógica a python (Migración de código para la funcionalidad en donde se consume un web service para la asignación de casos a HRUA)</t>
  </si>
  <si>
    <t>03/07/2025: Se construye los modelos relacionados, el agente y se le asigna el trabajo que corresponde a la funcionalidad en PHP, faltan migrar características y realizar modificaciones
07/07/2025: Se migra la lógica faltante y se realiza una prueba básica de flujo debido a que se conecta y consume un servicio web que en el ambiente local no se puede probar, por lo que esta a la espera de pasarlo al ambiente de QA(Pruebas) para probar definitivamente todas las características</t>
  </si>
  <si>
    <t>Interno-H5</t>
  </si>
  <si>
    <t>Automatización y migración de lógica a python (Migración de lógica para el cruce de datos existentes ya en las distintas tablas de pre radicación)</t>
  </si>
  <si>
    <t>07/07/2025: Se migra toda la lógica de la funcionalidad y se realizan pruebas</t>
  </si>
  <si>
    <t>Interno-H6</t>
  </si>
  <si>
    <t>Automatización y migración de lógica a python</t>
  </si>
  <si>
    <t>16/07/2025 Se identifican los docuemntos a clasificar. Se empieza con la actividad de elección y la forma en que se le dará tratamiento a los documentos
17/07/2025 Se crean queries y scripts necesarios para la descarga y conversión a pdf desde el repositorio S3 de los archivos necesarios para el entrenamiento del modelo</t>
  </si>
  <si>
    <t>REQ-1-3</t>
  </si>
  <si>
    <t>Tratamiento especial al radicar trámites de vejez (Fase de desarrollo para la creacion de código para la implementación del requerimiento)</t>
  </si>
  <si>
    <t>CANCELADO</t>
  </si>
  <si>
    <t>24/06/2025: El requerimiento esta en pauisa hasta que se identifique la viabilidad de la reforma pensional
06/03/2026 Hasta el momento no se ha obtenido respuesta del parte del cliente</t>
  </si>
  <si>
    <t>REQ-3-2</t>
  </si>
  <si>
    <t>Cambios técnicos en aplicativo imagine para proceso de mesa de control documental solicitud de pensión  (Creación de método para el cpnsumo como servicio e identificación de código a modificar y procesos que clausurar)</t>
  </si>
  <si>
    <t>26/06/2025: Se construye nuevo método de consumo y la lógica para tratamiento de trámites para cerrar mesa unificada
26/06/2025: Se cierra bandeja de mesa unificada
26/06/2025: Se realizan preubas de consumo al nuevo método del servicio
02/07/2025: Se añade código para realizar tratamientos de envío de eventos de normalización si el trámite lo permite
02/07/2025: Se inicia la fase de pruebas con una aún no satisfactoria
03/07/2025: Se realiza correcciones en el flujo y se realiza prueba con resultado satisfactorio, Se está a la espera de realizar pruebas junto con el cliente
29/07/2025 El requerimiento había estado parado debido a la falta de pruebas por parte de protección. Se encuentra la neesidad de realizar ciertas modificaciones
30/07/2025 Se realizan las modificaciones identificadas yse informa nuevamente para la realización de pruebas
31/07/2025 Se crea y comparte documentación técnica del proceso
01/08/2025 Se realizan pruebas satisfactorias y se esta a la espera del cliente para pasar a producción</t>
  </si>
  <si>
    <t>REQ-4-2</t>
  </si>
  <si>
    <t>Migracion de servidor y actualizaciones de tecnologías (Acompañamiento de pruebas y validaciones con el cliente)</t>
  </si>
  <si>
    <t>Migración de servicios y tecnologías para cumplir con requerimientos de seguridad y calidad</t>
  </si>
  <si>
    <t>25/06/2025: Se realizan validaciones para pruebas de servicios generados desde protección
26/06/2025: Se realizan validaciones para pruebas de servicios generados desde protección
01/07/2025: Se realizan validaciones para pruebas de servicios generados desde protección
09/07/2025: Se realizan validaciones para pruebas de servicios generados desde protección
01/09/2025: Setermianron las pruebas por parte del cliente y se gestiona nueva tarea en el que IMAGINE es el encargado</t>
  </si>
  <si>
    <t>Interno-H7</t>
  </si>
  <si>
    <t>Automatización y migración de lógica a python ( Creación de script para entrenamiento del modelo de clasificación)</t>
  </si>
  <si>
    <t>17/07/2025 Se realiza reunión con Danilo para identificar enfoque de manejo de dependencias y entre otros temas
18/07/2025 Se construye con ayuda de la IA varios scripts que se usaran como modelo e inferencia del proyecto. No se han probado ni tampoco se han acoplado al sistema de agentes
28/07/2025 Se había detenido la actividad hasta tener todos los recursos al menos en el sistema local para trabajar el modelo de entrenamiento, en este caso faltaba los archivos
28/07/2025 Se realizan correcciones, pruebas y generación de los primeros 5 recorridos completos por todo el dataset de entrenamiento y se obtiene un modelo con 84% de fiabilidad. Cada recorrido tarda alrededor de 2 horas y genera un esfuerzo moderado al PC, por lo que las demás actividades se ven un poco afectadas, se espera conseguir un modelo de mas de 90% de fiabilidad y por lo que serán necesario más entrenamiento, análisis y recorridos por toda la data
29/07/2025 Se siguen ejecutando el entrenamiento para la búsqueda de un modelo más fiable
01/08/2025 Se modifica el script de entrenamiento añadiendo fine-tune y transformaciones con la esperanza de construír un modelo más fiable, pero después de 48 horas de entrenamiento, el modelo se estanca en validación y con los archivos actuales no puede aumentar su aprendizaje, esto es debido a que en algunos tipos documentales no existen suficientes muestras</t>
  </si>
  <si>
    <t>Interno-2-1</t>
  </si>
  <si>
    <t>Requerimiento de infraestructura para habilitar monitoreo y encapsulamiento a través de contenedores de aplicaciones ( Informe de requerimientos al área encargada, instalación y prueba de funcionamiento de librerías de monitoreo y de contenedores)</t>
  </si>
  <si>
    <t>Instalación de dependencias, scripts y demas  para dos procesos, uno de auditoria de accesos y otro de encapsulación de aplicaciones a través de contenedores docker</t>
  </si>
  <si>
    <t>24/07/2025 Se genera informe para la instalación de dependencias al área encargada, incluyendo información técnica y necesidades en las siguientes solicitudes de protección:
SR1267449        
SR1267909
SR1267937
25/08/2025 Se habia detenido el proceso debido a la falta de instalación por parte del cliente de las librerias. Se trabajo en la configuración de los dos ambientes el 22 y 25 de agosto, día en el que se completo el requerimiento</t>
  </si>
  <si>
    <t>REQ-8-1</t>
  </si>
  <si>
    <t>Definición y cambio de flujo en la activación agente - investigación (Análisis de requerimientos, código y modificación de módulo para cumplirnecesidades)</t>
  </si>
  <si>
    <t>Modificación del flujo, cargue y almacenamiento de datos de la fase de investigación. Además, de envió de esa información a filenet</t>
  </si>
  <si>
    <t>30/07/2025 Se inicia el proceso de análisis para la parte de modificación de cargue y se informa de lo encontrado
01/08/2025 Se realiza el análisis del proceso y de los posibles cambios. Se comparte la situación y se está a la espera de una respuesta por parte del cliente para empezar a cambiar el proceso</t>
  </si>
  <si>
    <t>REQ-8-2</t>
  </si>
  <si>
    <t>Definición y cambio de flujo en la activación agente - investigación  (Cambio del proceso y desarrollo del requerimiento)</t>
  </si>
  <si>
    <t>Cambio del proceso y desarrollo del requerimiento</t>
  </si>
  <si>
    <t>06/03/2026 Hasta el momento no se ha obtenido respuesta del parte del cliente</t>
  </si>
  <si>
    <t>Interno-H8_1</t>
  </si>
  <si>
    <t>Creación de un sistema distribuido registro - puerta de enlace - aplicacion, todo dockerizado que sirva como estructura base a las aplicaciones por venir y la que se esta trabajando actualmente de sistema de agentes inteligentes</t>
  </si>
  <si>
    <t>01/08/2025 Se habían tenido muchas dificultades debido a las configuraciones del servidor y del mismo docker, pero ya se tiene la plataforma base y se realizarán pruebas con otros contenedores para identificar no solo su funcionamiento, sino también la forma correcta de identificar volumenes de memoria ajenos a la máquina dockerizada, ta les como el local del servidor y los repositorios externos</t>
  </si>
  <si>
    <t>REQ-9-1</t>
  </si>
  <si>
    <t xml:space="preserve">AJUSTES EN CAMPOS DE GESTION DE CASOS
INGESTA MANUAL DE FECHA CORRESPONDIENTE AL PAGO DEL PREVISIONAL DE AUXILIOS FUNERARIOS
VISUALIZACION DE LA FECHA PAGO PREVISIONAL EN LA PESTAÑA FLUJOS PREVISIONALES
ALERTA TRAMITE INVALIDEZ
</t>
  </si>
  <si>
    <t xml:space="preserve">SOLICITUD MEJORAS IMAGINE PORCESO AUXILIOS FUNERARIOS
</t>
  </si>
  <si>
    <t>Interno-H9</t>
  </si>
  <si>
    <t>Interno-H10</t>
  </si>
  <si>
    <t>Desacople de agente de clasificación y su lógica y acople del mismo dento del sistema distribuido. Adicionalmente, acople de la plataforma de agentes y todas las otras aplicaciones del sistema</t>
  </si>
  <si>
    <t>Interno-H12</t>
  </si>
  <si>
    <t>Generación de ambiente local a través de lo generado en el ambiente de pruebas, para facilitar la construcción de otros servicios</t>
  </si>
  <si>
    <t>Interno-H11</t>
  </si>
  <si>
    <t>Generación de servicio para el tratamiento de datos usando agentes</t>
  </si>
  <si>
    <t>12/09/2025 Desde el día Mierrcoles 10 de sep no se avanza debido a que se debía de trabajar en requerimientos de mayor impórtancia para el cliente
19/09/2025 Se volvio a retomar el días 15 en la tarde, cuando se termina los pendientes de mayor importancia, terminando sus pruebas el 18</t>
  </si>
  <si>
    <t>Interno2-1</t>
  </si>
  <si>
    <t xml:space="preserve">Se identificaron, a través de un informe recién creado que había un hueco en la información. </t>
  </si>
  <si>
    <t>Corrección de datos guardados en BD</t>
  </si>
  <si>
    <t>12/09/2025 Se identifica los datos, se correlacionan entre sí y se completa 3000 datos de 4000</t>
  </si>
  <si>
    <t>Interno2-2</t>
  </si>
  <si>
    <t xml:space="preserve">Se identificaron, a través de un informe recién creado que había un hueco en la información que debe ser corregido. </t>
  </si>
  <si>
    <t>REQ-10-1</t>
  </si>
  <si>
    <t>Se necesita la descarga de imagenes según varios filtros y necesidades del usuario</t>
  </si>
  <si>
    <t>Descarga de archivos relacionados a un cargue de datos, que identifican tipo de documento, año y a quien pertenece</t>
  </si>
  <si>
    <t>12/09/2025 Se realiza la descarga y se esta en la espera de habilitación del punto de carga. Además, se indica que se debe de hacer un proceso de descarga adicional
19/09/2025 Se han realizado reuniones a lo largo de la semana para la habilitación de un punto de cargue por parte del cliente</t>
  </si>
  <si>
    <t>Interno-H13</t>
  </si>
  <si>
    <t>Generación de servicio para el procesamiento de documentos y generación de un documento general</t>
  </si>
  <si>
    <t>Automatización de tarea para el proceso de cambios de fondos de cesantías</t>
  </si>
  <si>
    <t xml:space="preserve">22/09/2025 Este día solo se trabajo en la migración
23/09/2025 Se retomo el trabajo nuevamente
28/10/2025 Se entrega todo el proyeecto incluyendo este modulo de generación de archivo
</t>
  </si>
  <si>
    <t>REQ-11-1</t>
  </si>
  <si>
    <t>Se necesita organizar una instancia de AWS, de tal modo que su ambiente quedé diospuesto para funcionar en producción</t>
  </si>
  <si>
    <t>Ambientación de instancia AWS para migración</t>
  </si>
  <si>
    <t>21/09/2025 Se habilitan todos los accesos para el trabajo en el servidor
23/09/2025 Se paro la ejecución debido a tareas con mayor prioridad
07/10/2025 Se empieza de nuevo con la ejecucción de la migración
10/10/2025 Se encuentra problemas con la comunicación a la base de datos
15/10/2025 Se genera una nueva instancia de bases de datos que sirva de pruebas para el nuevo ambiente
05/11/2025 Debido a nueva directiva se instancia una copia del ambiente de pruebas para confugurarla y ambientarla para producción
06/03/2026 Se estaba ambientando una instancia completamente nueva para la migración, pero el proceso se cancelo y se reformulo, esto debido a que se requerían realizar la menor cantidad de pruebas posibles, por lo que se clonó el servidor de pruebas QA  que serviría de base para la migración</t>
  </si>
  <si>
    <t>Interno-H14</t>
  </si>
  <si>
    <t>Creación de lógica y vista para la aprobación y rechazos de documentos cargados</t>
  </si>
  <si>
    <t xml:space="preserve">30/09/2025 Este día solo se decdico la mitad del tiempo debido a camnio de prioridades. Se trabajará en el proyecto a medida que se vaya avanzando con las demás tareas
03/10/2025 Debido a la migración, el trabajo se ve reducido a menos de 2 horas diarias para la terminación de este protyecto
03/10/2025 Se entrega avance y se identifia procesos de mejoras y de añadir operativas para guardar información para cosos de rechazo y de análisis de datos
14/10/2025 Se entrega avance enfocado en las mejoras de procesos indicadas en la entrega anterior
28/10/2025 Se entrega todo el proyeecto incluyendo este modulo y mejoras continuas para incrementarla satisfacción y la operatividad
</t>
  </si>
  <si>
    <t>REQ-11-2</t>
  </si>
  <si>
    <t>Se necesita la asociación de registros relacionados con pagos de AUF</t>
  </si>
  <si>
    <t>Relacionar pagos de auxilios no cargados en IMAGINE</t>
  </si>
  <si>
    <t>2/10/2025 Se genera informe de las actividades y de gestión con los casos que se necesitaban actualizar</t>
  </si>
  <si>
    <t>REQ-12-1</t>
  </si>
  <si>
    <t>Se necesita actualizar el consumo para ingreso de nuevos datos usados en distintas tareas</t>
  </si>
  <si>
    <t xml:space="preserve">Actualización de consumo de mesa unificada para acoplar el flujo nuevo </t>
  </si>
  <si>
    <t>PRUEBAS CLIENTE</t>
  </si>
  <si>
    <t>2/10/2025 Se habilita punto de consumo con las nuevas actualizaciones
3/10/2025 Se le comunica al cliente para la realización de pruebas</t>
  </si>
  <si>
    <t>REQ-9-2</t>
  </si>
  <si>
    <t xml:space="preserve">Se identifica con ayuda de las pruebas realizadas por el cliente, nuevos procesos para añadir y corregir
</t>
  </si>
  <si>
    <t>16/10/2025 Se entrega al cliente
17/10/2025 A la espera de reunión junto con el cliente para finiquitar desarrollo 
30/10/2025 Se entrga todo el proyecto con todos los errores identificados y corregidos</t>
  </si>
  <si>
    <t>REQ-13-1</t>
  </si>
  <si>
    <t>Se encontraron irregularidaes en validaciones y en el código que deben ser parchadas</t>
  </si>
  <si>
    <t xml:space="preserve">Actualización de consumos para la creación de la solicitud de pensión y para el envío de evento de activación de investigación </t>
  </si>
  <si>
    <t>14/10/2025 Se informa desde operación de un caso con bloqueo desde agosto y cuya gestión era prioritaria. Se identifica la problemática y se avanza el caso.
15/10/2025 Se identifica, por medio de operación, otros problemas que junto con los del día anterior deben ser revisados y parchados
06/11/2025 Se realizaron reuniones con Integración, dueños del consumo y cuyas respuestas al servicio no eran indicadas, se corrigio varios puntos pero los que no se pudieron se modificaron en IMAGINE</t>
  </si>
  <si>
    <t>REQ-14-1</t>
  </si>
  <si>
    <t>Creación de scripts para gestión de casos en AS400 para CATE y NO CATE</t>
  </si>
  <si>
    <t>Gestión de casos de A400 que no han podido ejecutarse debido a fallas en integración</t>
  </si>
  <si>
    <t>06/11/2025 Se realiza los scripts y se actulizan estados de casos</t>
  </si>
  <si>
    <t>REQ-15-1</t>
  </si>
  <si>
    <t>Creación de script para gestión de casos en pagos</t>
  </si>
  <si>
    <t>Gestión de pagos que no han podido actualizarse debido a fallas en integración</t>
  </si>
  <si>
    <t>06/11/2025 Se realiza el script y se actulizan estados de casos</t>
  </si>
  <si>
    <t>Interno-H15</t>
  </si>
  <si>
    <t>Identificación de conexiones y validación de proyecto</t>
  </si>
  <si>
    <t>Migración de lógica de FILENET para gestionar validaciones en IMAGINE</t>
  </si>
  <si>
    <t>06/11/2025 Seidentifica la viabilidad mas se debe probar todas las opciones manejadas en FILENET para verificar que todo puede ser migrado
12/11/2025 Seidentificó la forma que realiza la conexión fileNet con el proceso de interés a cada uno de sus recursos y en principio se puede replicar</t>
  </si>
  <si>
    <t>Interno-H15-2</t>
  </si>
  <si>
    <t>Creación de la base del proyecto y de la lógica para la extracción de datos para la bandeja de validación</t>
  </si>
  <si>
    <t>19/11/2025 Se construye la base para la identificación de los datos para la validación. Se encontraron muchas barreras en las que fallaba la comunicación debido al contexto de ejecución y el teimpo de sesión</t>
  </si>
  <si>
    <t>Interno-H15-3</t>
  </si>
  <si>
    <t>Creación del servicio que ejecuta la extracción de los datos diariamente y creación del plan de trabajo</t>
  </si>
  <si>
    <t>24/11/2025 Se integra el servicio a la malla de sistema distribuido</t>
  </si>
  <si>
    <t>Interno-H15-4</t>
  </si>
  <si>
    <t>Creación de la bandeja y front del proyecto de validación</t>
  </si>
  <si>
    <t>24/11/2025 Se crea la estructura para la validación desde Imagine y se muestra al equipo para la retroalimentación</t>
  </si>
  <si>
    <t>Interno-H15-5</t>
  </si>
  <si>
    <t>Organización y asociación del front con el back, identificación de los consumos y extracción de los documentos. Además, de migración del proyectyo de un ambiente local al de producción</t>
  </si>
  <si>
    <t>24/11/2025 Se tiene la base del proyecto funcial en producción, falta la ejecución de las validaciones</t>
  </si>
  <si>
    <t>Interno-H15-6</t>
  </si>
  <si>
    <t>Ejecución de validaciones, afinamiento del proyecto y entrega</t>
  </si>
  <si>
    <t xml:space="preserve">24/11/2025 Se entrega todo el proyecto y se esta a la espera de retroalimentación para modificación </t>
  </si>
  <si>
    <t>Interno-H15-7</t>
  </si>
  <si>
    <t>Proceso de validación, estabilidad y modificación del proyecto</t>
  </si>
  <si>
    <t>16/12/2025 Se actualiza el proyecto adicionandole mejoras de visualización de documento. Una opción para abrir el visor en produccion
16/12/2025 Se realizan pruebas de funcionamiento y a excepción de una modificación todo funciona bien
19/12/2025 Se identifica viabilidad y se construye plan de requerimientos y de elementos a realizar durante el proyecto</t>
  </si>
  <si>
    <t>Interno-H16</t>
  </si>
  <si>
    <t>Identificación de procesos y validación del proyecto</t>
  </si>
  <si>
    <t>Proyecto de validación automática de documentación de fileNet con integración en BPO e historia laboral</t>
  </si>
  <si>
    <t>16/11/2025 Se Realizó reunión con Carina para identificar procesos
18/11/2025 Se Realizó reunión con Carina para aclarar pasos en las actividades realizadas en el proceso de la tarea
19/11/2025 Se identifia la viabilidad del proyecto y se cres plan de ejecución</t>
  </si>
  <si>
    <t>REQ-16</t>
  </si>
  <si>
    <t>Se están identificando muchos casos en varios frentes de soporte caausados para malas prácticas , por ahora se esta identificando las causales y corrigiendo casos manualmente</t>
  </si>
  <si>
    <t>Identificación y corrección de servicios de consumo en Imagine</t>
  </si>
  <si>
    <t>16/11/2025 Se corrigienron un gran número de casos de AUF
17/11/2025 Se analizaron manualmente una gran cantidad de casos solicitados
18/11/2025 Se realizó reunió para el analisis de casos que no abrieron notificación
22/11/2025 Se identifia razón de fallo para algunos casos de AUF
29/12/2025 Por ahora se ha identificado y corregido los casos, hasta que se identifique alguna causa que este afectando globalmente</t>
  </si>
  <si>
    <t>Interno-H16-2</t>
  </si>
  <si>
    <t>Creación de la base del proyecto para la extrrasión de datos de filenet</t>
  </si>
  <si>
    <t>29/12/2025 Se habia aplazado en muchos momentos durante diciembre y debido a permisos en la bandeja se dificultó el acceso
06/03/2026 Hace parte de un grupo de funcionalidades que ya están probadas y son funcionales, pero el módulo aún le hace falta y todavía nada se ha pasado a producción. Esto último se debe a que se han priorizado otras tareas incluyendo el tema de migración el cual debía realizarse antes de pasar todo el proyecto y pedir los permisos de conexión al portal de BPO
11/03/2026 Se migra la lógica y los servicios del local a producción</t>
  </si>
  <si>
    <t>Interno-H16-3</t>
  </si>
  <si>
    <t>Creacion de servicio para la captura y trabajo dentro de la plataforma de bonos</t>
  </si>
  <si>
    <t>05/01/2026 Se crea servicio que se comunica con la extracción de filente y que además captura el inicio de sesión de la plataforma para empezar a trabajar automatizadamente con esta 
13/01/2026 se completa el servicio, se se divide la lógica en tareas ejecutables y se desarrolla la persistencia 
06/03/2026 Hace parte de un grupo de funcionalidades que ya están probadas y son funcionales, pero el módulo aún le hace falta y todavía nada se ha pasado a producción. Esto último se debe a que se han priorizado otras tareas incluyendo el tema de migración el cual debía realizarse antes de pasar todo el proyecto y pedir los permisos de conexión al portal de BPO
11/03/2026 Se migra la lógica y los servicios del local a producción</t>
  </si>
  <si>
    <t>REQ-21</t>
  </si>
  <si>
    <t>Identificación de documentos y modificación de necesidad</t>
  </si>
  <si>
    <t>Modificación de documentos abligatorios para cesantías</t>
  </si>
  <si>
    <t>07/01/2026 Se termina la identificación y se modifica el proceso</t>
  </si>
  <si>
    <t>Interno-H16-4</t>
  </si>
  <si>
    <t>Creacion de servicio place holder con agentes para la identificación de información capturada y análisis OCR</t>
  </si>
  <si>
    <t>14/01/2026 Se crea lógica de persistencia para activar servicio
16/01/2026 Se completa la llógica del servicio, se construye la base y se da respuesta constante para luego poder realizar implementación
06/03/2026 Hace parte de un grupo de funcionalidades que ya están probadas y son funcionales, pero el módulo aún le hace falta y todavía nada se ha pasado a producción. Esto último se debe a que se han priorizado otras tareas incluyendo el tema de migración el cual debía realizarse antes de pasar todo el proyecto y pedir los permisos de conexión al portal de BPO
11/03/2026 Se migra la lógica y los servicios del local a producción</t>
  </si>
  <si>
    <t>REQ-17</t>
  </si>
  <si>
    <t>Radicados con fallos en la trazabilidad se deben analizar y de corregir</t>
  </si>
  <si>
    <t>Modificación de trazabilidad radicados prestaciones</t>
  </si>
  <si>
    <t>14/01/2026 Se analiza y se corrige la trazabilidad para mas de 100 radicados con situación de falla</t>
  </si>
  <si>
    <t>Interno-H16-5</t>
  </si>
  <si>
    <t>Construcción y conexiónd del Front con la lógica generada hasta el momento</t>
  </si>
  <si>
    <t>26/01/2026 Se retoma el trabajo después de identificar las correcciones y nuevos elementos por analizar en el back. Sin embargo, hace falta un escenario por parametrizar que no se pudo encontrar un ejemplo
06/03/2026 Hace parte de un grupo de funcionalidades que ya están probadas y son funcionales, pero el módulo aún le hace falta y todavía nada se ha pasado a producción. Esto último se debe a que se han priorizado otras tareas incluyendo el tema de migración el cual debía realizarse antes de pasar todo el proyecto y pedir los permisos de conexión al portal de BPO
11/03/2026 Se migra la lógica y los servicios del local a producción</t>
  </si>
  <si>
    <t>Interno-H16-6</t>
  </si>
  <si>
    <t>Reunion con Carina para identificar el flujo del proceso de principio a fin para los 3 tipos documentales para rechazos y confirmaciones</t>
  </si>
  <si>
    <t>20/01/2026 Se dispone de un tiempo para la validación e identificación de cada uno de los casos posibles y re modelar el trabajo hecho acoplado a las necesidades</t>
  </si>
  <si>
    <t>REQ-18</t>
  </si>
  <si>
    <t>Corrección de casos que no avanzan</t>
  </si>
  <si>
    <t>20/01/2026 Se analiza y se corrige la trazabilidad para trámites varios</t>
  </si>
  <si>
    <t>Interno-H16-7</t>
  </si>
  <si>
    <t>Corrección de datos para acoplar a las necesidades y todos los casos posibles del proceso</t>
  </si>
  <si>
    <t>06/03/2026 Hace parte de un grupo de funcionalidades que ya están probadas y son funcionales, pero el módulo aún le hace falta y todavía nada se ha pasado a producción. Esto último se debe a que se han priorizado otras tareas incluyendo el tema de migración el cual debía realizarse antes de pasar todo el proyecto y pedir los permisos de conexión al portal de BPO
11/03/2026 Se migra la lógica y los servicios del local a producción</t>
  </si>
  <si>
    <t>REQ-20</t>
  </si>
  <si>
    <t>Existen trámites a los que les llegan actualizaciones de estados de terceros, estas actualizaciones se analizaron y parecen que en algunos casos son enviadas una de trás de otra presentando problemas a la hora del procesamiento. Se debe de construir un sistema que ponga en encolamiento las tareas y procese el primero según el momento de llegada y añadir un log para la identificación de ese momento</t>
  </si>
  <si>
    <t>Creación de lóigica para el control de casos de notificación</t>
  </si>
  <si>
    <t>22/01/2026 Se analiza y se cnstruye la solución
23/01/2026 Se realizan pruebas para distintos casos, se realizan correciciones y se sube a producción</t>
  </si>
  <si>
    <t>REQ-19</t>
  </si>
  <si>
    <t>Añadir información procedente de tercceros para los distintos casos</t>
  </si>
  <si>
    <t>Modificación de módulo de validación filenet</t>
  </si>
  <si>
    <t>22/01/2026 Se identifica con Carina la necesidad, se analiza y se cnstruye la solución</t>
  </si>
  <si>
    <t>Interno-H16-8</t>
  </si>
  <si>
    <t>Conexión front - servicio - filenet para la visualización de archivos y gestionar aprovaciones y rechazos</t>
  </si>
  <si>
    <t>28/01/2026 Se encontraron dificultades en el acomplamiento de los servicios sobre todo hacia filenet, pero se puedo implementar todo el flujo
06/03/2026 Hace parte de un grupo de funcionalidades que ya están probadas y son funcionales, pero el módulo aún le hace falta y todavía nada se ha pasado a producción. Esto último se debe a que se han priorizado otras tareas incluyendo el tema de migración el cual debía realizarse antes de pasar todo el proyecto y pedir los permisos de conexión al portal de BPO
11/03/2026 Se migra la lógica y los servicios del local a producción</t>
  </si>
  <si>
    <t>Interno-H16-9</t>
  </si>
  <si>
    <t>Acople de resultados con procesos ya existentes en Imagine</t>
  </si>
  <si>
    <t>29/01/2026 Se termina la implementación y me encuentro en pruebas de funcionamiento
03/02/2026 Se pudo lograr realizar una prueba depunto a punto exitosa
06/03/2026 Hace parte de un grupo de funcionalidades que ya están probadas y son funcionales, pero el módulo aún le hace falta y todavía nada se ha pasado a producción. Esto último se debe a que se han priorizado otras tareas incluyendo el tema de migración el cual debía realizarse antes de pasar todo el proyecto y pedir los permisos de conexión al portal de BPO
11/03/2026 Se migra la lógica y los servicios del local a producción</t>
  </si>
  <si>
    <t>Interno-H16-10</t>
  </si>
  <si>
    <t>Creación de pestaña de consultas de radicados y cédulas tanto para procesos históricos y procesos gestionados con la herramienta</t>
  </si>
  <si>
    <t>REQ-22</t>
  </si>
  <si>
    <t>Se incluye lógica para la verificación de tiempo de ejecución en los procesos de creación de trámites</t>
  </si>
  <si>
    <t>Creación de lóigica para el control de casos de creación de trámite</t>
  </si>
  <si>
    <t>26/01/2026 Se procesa prueba exitosa y se pasa a producción</t>
  </si>
  <si>
    <t>Interno-H16-11</t>
  </si>
  <si>
    <t>Modificación de obtención de motivos y causas de rechazo. Se necesita crear lógica asincrona para mejorar tiempos de procedimiento</t>
  </si>
  <si>
    <t>04/02/2026 Se cambia la lógica actual que estaba presentando lentitud en la gestión del operador por una asyncrona que se renueva todos los días
06/03/2026 Hace parte de un grupo de funcionalidades que ya están probadas y son funcionales, pero el módulo aún le hace falta y todavía nada se ha pasado a producción. Esto último se debe a que se han priorizado otras tareas incluyendo el tema de migración el cual debía realizarse antes de pasar todo el proyecto y pedir los permisos de conexión al portal de BPO
11/03/2026 Se migra la lógica y los servicios del local a producción</t>
  </si>
  <si>
    <t>Interno-H16-12</t>
  </si>
  <si>
    <t>Procesos de mejora de rendimiento de tiempo al aprovar y rechazar un documento. Trasladando el proceso síncrono a uno asíncrono</t>
  </si>
  <si>
    <t>05/02/2026 Se agrega termina de cambiar la lógica y de agregar el script que ejecute asíncronamente el envió 
06/02/2026 Se esta en proceso de pruebas y cambiosdebido a que se han presentado situaciones que deben de darse mantenimiento
17/02/2026 Se habían generado pruebas pero el sistema no se estaba usando hasta hoy debido a que los problemas de la plataforma todavía se trasladaba a nuestro sistema con la carga de documentos sincrónica. Esto se cambio y ya desde el momento en que se trae la información también se trae el documento asociado</t>
  </si>
  <si>
    <t>Interno-H16-13</t>
  </si>
  <si>
    <t>Adición de modulos para la asignación y filtro de información</t>
  </si>
  <si>
    <t>05/02/2026 Se agrega los nuevos módulos, se prueban y se pasan a producción</t>
  </si>
  <si>
    <t>Interno-H16-14</t>
  </si>
  <si>
    <t>Identificación de problemas con el servidor al momento de hacer cargues pesados</t>
  </si>
  <si>
    <t>06/02/2026 Se identifica lentitud y se empieza un proceso de migración de servicios a producción que originalmente estaban en pruebas
09/02/2026 Se monta la solución en producción y se espera confirmación de funcionamiento</t>
  </si>
  <si>
    <t>Interno-H16-15</t>
  </si>
  <si>
    <t>Creación de servicio que accedera a FileNet y descargará los archivos asociados a la documentación por validar y acoplamiento a los dos proyectos de fileNet</t>
  </si>
  <si>
    <t>Modificación para los módulo de validación filenet y creación de servicio para el acceso a archivos</t>
  </si>
  <si>
    <t>05/02/2026 Se agrega los nuevos módulos, se prueban y se pasan a producción
17/02/2026 Se acopla el servicio de descarga de documentación con el sistema de validación en mesa unificada</t>
  </si>
  <si>
    <t>Interno-H16-14-2</t>
  </si>
  <si>
    <t>corrección en irregularidades en el servicio de cesantías y el de PHP</t>
  </si>
  <si>
    <t>10/02/2026 Se indican problemas de cargue y al realizar validaciones se encontraron inconsistencias en las configuraciones y versiones del servicio
16/02/2026 Se sube a producción las correcciones y se está en espera de las pruebas
06/03/2026 Al realizarse pruebas con lotes grandes se encontraron fallos que luego fueron arreglados aumentando la capacidad de carga del servicio</t>
  </si>
  <si>
    <t>REQ-23</t>
  </si>
  <si>
    <t>Se debe de corregir lógica que identifica el sub estado de un trámite a la hora de rechazar documentación</t>
  </si>
  <si>
    <t>Creación de lóigica para la visualización de sub estados de trámites</t>
  </si>
  <si>
    <t>17/02/2026 Se realiza un análisis de la lógica que genera los estados de las solicitudes
18/02/2026 Se desarrolla posible soluci+on a la necesidad
19/02/2026 Se realiza pruebas, modificaciones y se sube a producción</t>
  </si>
  <si>
    <t>Interno-H16-13-2</t>
  </si>
  <si>
    <t>Adición de modulos que faciliten el proceso de la validación</t>
  </si>
  <si>
    <t>19/02/2026 Se habla con Harol para la identificación de cambios que faciliten el trabajo del módulo
20/02/2026 Se cargan cambios para la visualización del visor en distintas ventanas, además de el formateo de información para el tipo documental
21/02/2026 Se está a la espera de las retroalimentaciones
24/02/2026 Se realizaron algunos cambios para extraer más datos pero el servicio solo carga hasta cierto punto y se debe revisar si es por alguna sobrecarga. De resto todo parece funcionar correctamente</t>
  </si>
  <si>
    <t>REQ-24</t>
  </si>
  <si>
    <t>Se deben de dar respuesta a la cola de casos abiertos en la plataforma del cliente</t>
  </si>
  <si>
    <t>Atención al soporte en plataforma del cliente</t>
  </si>
  <si>
    <t>23/02/2026 Se identifica que hay una cola de casos para soporte que se deben de gestionar. Se recibe documnetación para la atención en la plataforma
25/02/2026 Hasta el momento se han gestionado alrededor de 40 - 50 casos
27/02/2026 solo quedá a lo mucho 3 casos, pero es una tarea que será necesario trabajarle al mismo ritmo que llegan casos</t>
  </si>
  <si>
    <t>REQ-25</t>
  </si>
  <si>
    <t>Resultado de una falla lógica se debe de reenviar 1800 casos para finalizar etapa de documentación. Para ello se debe de crear un script que facilite la manualidad</t>
  </si>
  <si>
    <t>Casos con eventos de finalización de documentación no ingresados a IMAGINE</t>
  </si>
  <si>
    <t>25/02/2026 Se realiza la gestión para todos los casos asociados</t>
  </si>
  <si>
    <t>REQ-26</t>
  </si>
  <si>
    <t>Se debe de cargar servicios y actualizar aplicativo para el servidor de migraciones</t>
  </si>
  <si>
    <t>Cargue de servicios y afinación de servidor para migración</t>
  </si>
  <si>
    <t>26/02/2026 Se necesita poner en punta de nuevo el servidor que dejó de estar actualizada desde diciembre, por lo que es necesario cargar los servicios de validación fileNet
02/03/2026 Con los servicios ya cargados se cambia un proceso que no se había actualizado. Además se actualiza el repositorio para tener los datos tal cuál en producción
03/03/2026 Se termina de configurar, actualizar y cargar el repositorio. Además, se pasa el servidor de migraci´n a producción de 7 a 9 de la noche</t>
  </si>
  <si>
    <t>REQ-27</t>
  </si>
  <si>
    <t>Se debe de agregar una función que permita que si se valida mesa, se debe de identificar si se marco bonos para abrir dicha tarea</t>
  </si>
  <si>
    <t>Corrección lógica de mesa unificada</t>
  </si>
  <si>
    <t>03/03/2026 Se termina de construir la lógica para que el evento de mesa unificada ok pueda evaluar e identificar si el trámite necesita abrir bonos</t>
  </si>
  <si>
    <t>REQ-28</t>
  </si>
  <si>
    <t>Identificación y mantenimiento a cada una de las dificultades presentadas en el servidor nuevo</t>
  </si>
  <si>
    <t>Soporte a inconsistencias en la migración</t>
  </si>
  <si>
    <t>06/03/2026 Se han hecho trabajos de soporte para distintos m[odulos que incurrieron en errores en el momento de la migraci[on. IOnluyendo reporter[ia, consumos, formularios, visores, etc&gt; no Se ha terminado el proceso de normalizaci[on del sistema y se siguen realizando correcciones</t>
  </si>
  <si>
    <t>Interno-H16-16</t>
  </si>
  <si>
    <t>Pruebas y acople del desarrollo al ambiente nuevo en producción</t>
  </si>
  <si>
    <t>16/03/2026 El paso a producción de todos los modulos del proyecto son exitosos y se gestiona la salida al portal OBP desde el servidor</t>
  </si>
  <si>
    <t>Interno-H16-17</t>
  </si>
  <si>
    <t>Identificación y validación del código proporcionado por Don Hernan</t>
  </si>
  <si>
    <t>Migración de módulo de auxilios a tecnologías más modernas</t>
  </si>
  <si>
    <t>12/03/2026 Se termina de realizar la validacion del código y su funcionamiento. Se encuentra que el código fuie prepadrado para otra unidada y se le indica a Don Hernan</t>
  </si>
  <si>
    <t>REQ-28-2</t>
  </si>
  <si>
    <t>13/03/2026 Se encontraron errores en el proceso que estaba presentando problemas problemas delicacdos en el flujo, tanto para las trámites abiertos en investigación como los trámites gestionados en glosas. Se realizan todas las validaciones, cambios y verificaciones y se consigue solventar los problemas
16/03/2026 Se terminan de validar unos casos asociados al problema y se corrigen</t>
  </si>
  <si>
    <t>Interno-H16-18</t>
  </si>
  <si>
    <t>Moódulo para identificación a modo de bandeja para los documentos de identidad que deben gestrionarse en el portal de historia laboral</t>
  </si>
  <si>
    <t>19/03/2026 Se realiza pruebas para identificar que todo el flujo sea correcto
20/03/2026 Se pasa a producción con la lógica de cargue</t>
  </si>
  <si>
    <t>Interno-H16-19</t>
  </si>
  <si>
    <t>Moódulo para cargar los mas de 1 millon de registros generados del módulo que se ha trabajado de manera manual</t>
  </si>
  <si>
    <t>19/03/2026 Se esta teniendo dificultades en la ejecución del módulo debido a la cantidad de información y se estima una espera de hasta 50 horas para la carga. Se esperaba traabajar en .csv pero el archivo es tan grande que no permite la conversión, por lo que se va a esperar hasta el viernes o el sabado para ejecutar de nuevo y que se cargue durante todo el fin de semana
24/03/2026 El fin de semana se paso la mayor parte de información, pero existía en el dopcumento datos no normalizados que fueron entonces individualizados y cargados según correspondía
25/03/2026 Se realiza el cargue para los datos de la última semana</t>
  </si>
  <si>
    <t>REQ-28-3</t>
  </si>
  <si>
    <t>Corrección en trámites y reporteria</t>
  </si>
  <si>
    <t>19/03/2026 Problemas resueltos en el flujo de trámites para mesa unificada. Se corrige todas las ionconsitencias generadas en el cambio de tecnología para el reporte de trazabilidad</t>
  </si>
  <si>
    <t>REQ-29</t>
  </si>
  <si>
    <t>Creación de lógica en el consumo para registro de errores de código, corrección e identificación de lógica que puede estar causando las inconsistencias</t>
  </si>
  <si>
    <t>Identificación y corrección de servicios de consumo de bonos complejos en imagine</t>
  </si>
  <si>
    <t>24/03/2026 Se identifican posibles probelmas para uno de lasopciones del cargue, se realizan correcciones y se le indica al usuario que hay eventos que se están consumiendo con fallas en los datos y que según la necesidad puede que se deba realizar un cambio en el código</t>
  </si>
  <si>
    <t>REQ-30</t>
  </si>
  <si>
    <t>Se necesita añadir lógica a respuesta de servicio con información complementaria</t>
  </si>
  <si>
    <t>Complementación de respuesta de servicio con distinta información de tracking</t>
  </si>
  <si>
    <t>30/03/2026 Se realizan distintas pruebas internas y se crea manual de consumo
30/03/2026 Se indica al usuario la necesidad de ejecutar pruebas
10/04/2026 El usuario había estado realizando pruebas pero no se estaba reflejando la nueva estructura en la respuesta que ellos obtienen, se hizo verificación, conversación y se llegó a la conclusión de que el servicio que ellos tienen desplegado no está capturando bien la información
14/04/2026 Se realiza reunión para verificar pruebas nuevamente, se comunica que la necesidad ya es totalmente distinta de la que necesitaban y se procede con el análisis y cambios necesarios</t>
  </si>
  <si>
    <t>REQ-31</t>
  </si>
  <si>
    <t>Debido a que en integración no existe forma de reenvío se debe de efectuar el cargue manual de cambioi de tareas.</t>
  </si>
  <si>
    <t>corrección de trámites que fallaron al realizar el consumo de mesa unificada OK</t>
  </si>
  <si>
    <t>30/03/2026 Se realiza el cargue manual y se conversa sobre la necesidad de creación de un módulo que le permita al cliente realizar esas ejecuciones manuales</t>
  </si>
  <si>
    <t>REQ-29-2</t>
  </si>
  <si>
    <t>Se han evidenciado que la necesidad del cliente corresponde a una ejecución distinta dentro de IMAGINE. Se necesita validar los distintos casos de actualización de estado y si es necesario modificar la lógica actual</t>
  </si>
  <si>
    <t>07/04/2026 Se realiza un acercamiento y se comparte lo que se ha realizado y trabajado correspondiente al tema. Se identifica que se debe de analizar otros casos y la ejecucipon de una propiedad que no se esta efectuando</t>
  </si>
  <si>
    <t>Interno-H16-20</t>
  </si>
  <si>
    <t>actualización de módulo para la extracción de todos los registros de fileNEt</t>
  </si>
  <si>
    <t>31/03/2026 Se identifica la necesidad de traer todos los registros y se desarrolla la funcionalidad para recrear la paginación de filenet y traer todos kis registros</t>
  </si>
  <si>
    <t>REQ-32</t>
  </si>
  <si>
    <t>Realizar corrección del sistema para permitir la carga de documentos en el módulo</t>
  </si>
  <si>
    <t xml:space="preserve">Corrección de opción de cargue edictos </t>
  </si>
  <si>
    <t>REQ-33</t>
  </si>
  <si>
    <t>Identificar la situación y si es posible crear una solución desde IMAGINE, para controlar los errores en ADVANCE. Además corregir más de los 700 casos con error</t>
  </si>
  <si>
    <t>Casos cuyos eventos generados desde IMAGINE no replican en ADVANCE</t>
  </si>
  <si>
    <t>13/04/2026 Se realizan cambios para que el sistema reintente hasta 3 veces y que guarde en memoria los archivos que son necesarios para la construcción de la petición del endPoint
14/04/2026 Se realizan las actualizaciones de estado para los 700 casos aúin con errores. Se identifica que no se esta guardando los archivos en cache porque hay errores en el momento de la descarga, se deshabilita la opción para evitar retrasos en las peticiones. Se indica que existe todavía errores
15/04/2026 Se identifican errores en otros métodos que usan el mismo consumo y se indica la novedad, anunciando un problema de intermitencia posiblemente causado por un bloqueo
16/04/2026 Se realiza una reunión con todos los equipos implicados y se levanta el bloqueo, además s ecomparten los archivos para que desde IMAGINE se pueda construir la petición, algo que en este momento está pendiente por hacer</t>
  </si>
  <si>
    <t>REQ-34</t>
  </si>
  <si>
    <t>Corrección del reporte de análisis que está construyendo registros con cantidad de campos inconsistentes</t>
  </si>
  <si>
    <t>Corrección de reporte</t>
  </si>
  <si>
    <t>REQ-30-2</t>
  </si>
  <si>
    <t>17/04/2026 Se realiza el cambio y con diferencia a lo que se había logrado, es que la información ya no se captura de un punto sino que se debe de modificar cada uno de los llamados a la operación en distintos archivos de distintos módulos. Se indica la necesidad de realizar bastantes pruebas porque fueron muchos los cambios
19/05/2026 Termino pruebas junto con el cliente y se está a la espera de que ellos terminen su desarrollo para pasar a producción</t>
  </si>
  <si>
    <t>REQ-35</t>
  </si>
  <si>
    <t xml:space="preserve">Se está bloqueando el flujo normal en la gestión de un trámite luego de cerrar una bandeja, se necesita el análisis y su corrección </t>
  </si>
  <si>
    <t>Análisis y corrección al momento de realziar gestión en una bandeja</t>
  </si>
  <si>
    <t>15/04/2026 Se realiza reunión con personal encargado de la gestión de la bandeja para identificar el flujo. Se analiza el código y se empieza a trabajar en su corrección
16/04/2026 Se entrega la corrección y se analiza para 3 casos si el flujo volvío con normalidad
17/04/2026 Se corrigen los casos que presentaron el error</t>
  </si>
  <si>
    <t>REQ-36</t>
  </si>
  <si>
    <t>Análisis y modificación  de servicio para adiccionar aperturas de distintas tareas</t>
  </si>
  <si>
    <t>Modificación de servicio para agregar la apertura de distintas tareas</t>
  </si>
  <si>
    <t xml:space="preserve">22/04/2026 Se trabajo con la información suministrada asociada al servicio, pero no se encontró lógica para la apertura de las tareas necesitadas. Se requirio nueva información asociada
27/04/2026 Se había estado parado el desarrollo pero ya se facilitó el evento para su análisis 
28/04/2026 El evento que se facilitó no cuadra con la necesidad. Se debe de verificar si es otro proceso el que se hace cargo
29/04/2026 Se verifica con el usuario, quien indica más epecificamente el funcionamiento y se modifica el ambiente de pruebas para que hagan pruebas con el añadido
15/05/2026 Se recibe mensaje para el paso a producción,y se ejecuta esa tarea </t>
  </si>
  <si>
    <t>REQ-30-3</t>
  </si>
  <si>
    <t>Se requiere la realización de un script que permita la creación de un archivo que cargue disntinta información necesitada por el cliente</t>
  </si>
  <si>
    <t>22/04/2026 Se suministra la información requerida para la evaluación del desarrollo. Inofrmación asociada a los trámites y su estado, a manera de reporte base del final requerido
23/04/2026 Se me facilita todos los campos que requieren y se empieza el desarrollo
27/04/2026 Se termina el desarrollo. Se espera hasta que se terminen de hacer las primeras pruebas para la primer parte del desarrollo para seguir con estas
19/05/2026 Termino pruebas junto con el cliente y se está a la espera de que ellos terminen su desarrollo para pasar a producción</t>
  </si>
  <si>
    <t>REQ-37</t>
  </si>
  <si>
    <t>Análisis de casos de envío de evento de normalización y solución general para quienes generan inconsistencias</t>
  </si>
  <si>
    <t>Solución de casos y creación de script para envío automático de evento</t>
  </si>
  <si>
    <t xml:space="preserve">27/04/2026 Se analiza y corrigen los casos
28/04/2026 Se construye solución apartir del análisi previo para envío autoático
</t>
  </si>
  <si>
    <t>REQ-38</t>
  </si>
  <si>
    <t>La instancia actual parecía haber tenido problemas y decidieron realizar un duplicado. Se debe estabilizar nuevamente las situaciones que se presenten</t>
  </si>
  <si>
    <t>Cambio de instancia del servicio en AWS</t>
  </si>
  <si>
    <t xml:space="preserve">08/05/2026 Se pone en producción el servicio en el nuevo sistema
11/05/2026 Se piden y configuran el acceso
15/05/2026 A lo largo de la sema se tucvieron que aplicar tareas de saneamiento en la comunicación con servicios externos, para evitar el bloqueo debido al cambio de IP 
</t>
  </si>
  <si>
    <t>REQ-39</t>
  </si>
  <si>
    <t>Las soluciones que conectan a fileNet no funcionan y debe ser corregido</t>
  </si>
  <si>
    <t>Corrección de cargue registros FileNet</t>
  </si>
  <si>
    <t xml:space="preserve">11/05/2026 Se identifica que las soluciones no conectan en ningún momneto. En primera instancia se cree que fue debido al cambio de segmento de red
12/05/2026 Se identifica los posibles errores y se trabaja en la solución
13/05/2026 Se soluciona todos los problemas que fueron derivados de un cambio que realizaron internamente en fileNEt cambiando el flujo y la manera de autenticación 
</t>
  </si>
  <si>
    <t>REQ-40</t>
  </si>
  <si>
    <t>Servicios bloqueados en la comunicación desde IMAGINE</t>
  </si>
  <si>
    <t>Corrección conexión servicios externos</t>
  </si>
  <si>
    <t xml:space="preserve">13/05/2026 Se identifica bloqueos en la comunicación en el momento de consumir servicios en AS400 y ADVANCE
13/05/2026 Se encuentra el problema y se plantea hasta cierto punto la solución
14/05/2026 Se genera la solución y se realizan pruebas exitosas en el momento del consumo
</t>
  </si>
  <si>
    <t>REQ-41</t>
  </si>
  <si>
    <t>Se identificaron inconsistencias cuando se marca un trámite para calificación y no se aperturaba la tarea luego de cierre de documentación. Es necesario la corrección del flujo.</t>
  </si>
  <si>
    <t>Activación de bandeja de Calificación después de cierre de mesa</t>
  </si>
  <si>
    <t xml:space="preserve">20/05/2026 Se realiza el análisis y la modificación del sistema para corregir el flujo
</t>
  </si>
  <si>
    <t>REQ-42</t>
  </si>
  <si>
    <t>Automatización del llamado para la ejecución de extracción de registros en fileNet. Se debe tomar en cuenta la capacidad del equipo y la generación de bloqueos del llamado para evitar sobre cargue</t>
  </si>
  <si>
    <t>Opción para la ejecución del cargue en fileNet</t>
  </si>
  <si>
    <t xml:space="preserve">22/05/2026 Se ejecuta prueba y el funcionamiento es correcto
</t>
  </si>
  <si>
    <t>REQ-43</t>
  </si>
  <si>
    <t>Se presenta la necesidad de migrar información del servidor local por lo que es necesario la identificación del gabinete a migrar y normalizar la información para procedera pasar los archivos</t>
  </si>
  <si>
    <t>Migracion de documentación de repositorio local a fileNet</t>
  </si>
  <si>
    <t>EN PROCESO</t>
  </si>
  <si>
    <t>26/05/2026 Identificación de recursos en donde se definen la mayor parte de gabinetes a migrar
09/06/2026 Se comparte información relacionadaa los documentos que se esperan migrar. Se facilita 3 ejemplos para cada uno de los tipos documentales y la infromación relacionada a los gabinetes</t>
  </si>
  <si>
    <t>REQ-44</t>
  </si>
  <si>
    <t>Existen bandejas en el tracking para algunos procesos que no habían sido considerados y deben de identificarse y adicionar el método en la lágica correspondiente</t>
  </si>
  <si>
    <t>Completación de evento de tracking para bandejas con procesos no considerados</t>
  </si>
  <si>
    <t>27/05/2026 Se identifican las bandejas pero no los procesos en la aplicación para realizar el añadido en el código. Se comenta al proceso para poder identificarlos
03/06/2026 Se recibió información para la gestión de la mitad de las bandejas y poder modificar el código añadiendo el étodo de tracking
05/06/2026 Se completa el envío de eventros para todas las bandejas que se indicaron</t>
  </si>
  <si>
    <t>REQ-45</t>
  </si>
  <si>
    <t>Se necesita actualizar en el proceso un sistema de apertura de tareas por medio de marcación para 200 tipos nuevos</t>
  </si>
  <si>
    <t>Actualización de glosas y configuración para la apertura de tareas</t>
  </si>
  <si>
    <t>PAUSADO</t>
  </si>
  <si>
    <t>02/06/2026 Se analiza el código y la lógica del negocio y se encontró que para la maypria de casos solo es necesario una actualización en bases de datos, pero para otros si se necesitaría cambio en el cóidigo
03/06/2026 Se indica que es necesario primero una reunión para medir los cambios, debido a que la actualización es para muchos tipos</t>
  </si>
  <si>
    <t>REQ-46</t>
  </si>
  <si>
    <t>Se presentaron problemas de configuración y acceso a la plataforma fileNEt desde IMAGINE y se necesita su corrección. Además, se crea funacionalidades para la verificación del cargue, el estado de documentos y envío de peticiones de reintentos de descargue documental</t>
  </si>
  <si>
    <t>Creación de funcionalidades y corrección en las configuraciones de autenticación para el módulo de validaciones de fileNet</t>
  </si>
  <si>
    <t>10/06/2026 Se entrega servicios re configurados y funcionalidades nuevas</t>
  </si>
  <si>
    <t>REQ-47</t>
  </si>
  <si>
    <t>Existe un problema al realizar cierre de una bandeja en donde esta coratndo la lógica e impidiendo el cierre y avance normal de la gestión, por lo que es necesario la revisión y la corrección tanto del código como de los casos</t>
  </si>
  <si>
    <t>Correccion cierre Accion Legal</t>
  </si>
  <si>
    <t>10/06/2026 Se nos indica los problemas y las situaciones generadas. Se realiza el primer sondeo y análisis pero no se encuentra la raíz del problema
11/06/2026 Se construye en el código una herramienta para guardar la información de las gestiones y poder identificar mejor la situación
17/06/2026 Se realiza una reunión en donde se identifica que las opciones problemáticas no es donde en princiío se había indicado, se realizan las correcciones y se está trabajando en los trámites con problemas</t>
  </si>
  <si>
    <t>REQ-48</t>
  </si>
  <si>
    <t>Aunque existe un desarrollo relativamente nuevo para tratar los casos que no envían eventos en esta etapa, solo se hace para casos actuales de este año por lo que cuando un caso viejo se actualiza y es necesario de dicho evento no es enviado automaticamente por lo que es necesario su procesamiento</t>
  </si>
  <si>
    <t>Correccion trámites en normalización</t>
  </si>
  <si>
    <t>17/06/2026 Se construye una solucion para tratar estos casos de una manera más rápida y automatizada</t>
  </si>
  <si>
    <t>REQ-49</t>
  </si>
  <si>
    <t>Existe un problema en el módulo de reconstrucción OBP automático que se creo junto con el consumo de fileNet y no esta cerrando gestiones, por lo que es necesario revisión y corrección</t>
  </si>
  <si>
    <t>Correccion trámites en reconstrucción</t>
  </si>
  <si>
    <t>EN TEST</t>
  </si>
  <si>
    <t>19/06/2026 Se construye una solucion que identifique que trámites son los que se deben de gestionar, debido a que con cédula como filtro la función podía tomar un trámite indebido. Se soluciona para los casos pendientes de cerrar gestion y se esta pendiente la confirmación de si la solución aplica para todos los casos.</t>
  </si>
  <si>
    <t>REQ-50</t>
  </si>
  <si>
    <t>Actualización de servicio para deshabilitar la apertura de tareas en el proceso de fusión</t>
  </si>
  <si>
    <t>Es necesario la modificación de la lógica al fusionar trámites para impedir la apertura de tareas</t>
  </si>
  <si>
    <t>23/06/2026 Se construye una solucion que identifique el momento de la fusión y poder deshabilitar la apertura de tareas</t>
  </si>
  <si>
    <t>REQ-51</t>
  </si>
  <si>
    <t>Es necesario la corrección en el flujo para ciertos trámites  y la deshabilitación de un servicio que esta generando dicho problema de flujo. Dicho servicio no estará disponible hasta que un servicio externo pueda disponer la información que necesitamos para su funcionamiento</t>
  </si>
  <si>
    <t>Deshabilitación de servicio</t>
  </si>
  <si>
    <t>dias estimados</t>
  </si>
  <si>
    <t>Dias</t>
  </si>
  <si>
    <t>Alejandro Cardona Ocampo</t>
  </si>
  <si>
    <t>Tratamiento especial al radicar trámites de vejez</t>
  </si>
  <si>
    <t>Revision de flujo y código</t>
  </si>
  <si>
    <t>Reunión con las partes interesadas para identificar los inputs de trabajo</t>
  </si>
  <si>
    <t>Creación de reporte de AUF para identificación de pagos, creación de opción de cargue masivo para cambio de bandejas y creación de opción de consulta de pagos</t>
  </si>
  <si>
    <t>Creación de script para generar reporte de pagos de auxilios funerarios y la vista para su consumo</t>
  </si>
  <si>
    <t>Creación de script para generar opción de consulta de pagos</t>
  </si>
  <si>
    <t xml:space="preserve">Creación de script para generar opción en el de cargue y procesado de datos </t>
  </si>
  <si>
    <t>Modificación de script para generar reporte de pagos de auxilios funerarios agregando distinta información y lógica para su construcción</t>
  </si>
  <si>
    <t>Cambios técnicos en aplicativo imagine para proceso de mesa de control documental solicitud de pensión</t>
  </si>
  <si>
    <t>Reunión con las partes interesadas para identificación de requerimientos</t>
  </si>
  <si>
    <t>Migración de registros para tipos documentales gabinete 2</t>
  </si>
  <si>
    <t>Identificación y failitación al cliente de los tipos documnetales</t>
  </si>
  <si>
    <t>Proyecto relacionado con las inconsistencias norma 2381</t>
  </si>
  <si>
    <t>Identificación de método de consumo y generación de informe de resultados</t>
  </si>
  <si>
    <t>Creación de otro método para consumo necesario para tratamiento de trámites de pruebas de protección</t>
  </si>
  <si>
    <t>Análisis y corrección de procesos de cargue e identificación de pagos de tipo de riesgo AUX</t>
  </si>
  <si>
    <t>Análisis de la situación en Imagine</t>
  </si>
  <si>
    <t>Mejoras en los modulos de Imagine</t>
  </si>
  <si>
    <t>Reunión con las partes interesadas e identificación de requerimientos</t>
  </si>
  <si>
    <t>Ejecuci[on y correcci[on de script y descarga de recursos necesarios para el entrenamiento del modelo de clasificaci[on</t>
  </si>
  <si>
    <t xml:space="preserve"> Año Nuevo</t>
  </si>
  <si>
    <t xml:space="preserve"> Día de los Reyes Magos</t>
  </si>
  <si>
    <t xml:space="preserve"> Día de San José</t>
  </si>
  <si>
    <t xml:space="preserve"> Jueves Santo (Semana Santa)</t>
  </si>
  <si>
    <t xml:space="preserve"> Viernes Santo (Semana Santa)</t>
  </si>
  <si>
    <t xml:space="preserve"> Día del Trabajo</t>
  </si>
  <si>
    <t xml:space="preserve"> Día de la Ascensión</t>
  </si>
  <si>
    <t xml:space="preserve"> Corpus Christi</t>
  </si>
  <si>
    <t xml:space="preserve"> Sagrado Corazón</t>
  </si>
  <si>
    <t xml:space="preserve"> San Pedro y San Pablo</t>
  </si>
  <si>
    <t xml:space="preserve"> Día de la Independencia</t>
  </si>
  <si>
    <t xml:space="preserve"> Batalla de Boyacá</t>
  </si>
  <si>
    <t xml:space="preserve"> La Asunción de la Virgen</t>
  </si>
  <si>
    <t xml:space="preserve"> Día de la Raza</t>
  </si>
  <si>
    <t xml:space="preserve"> Día de Todos los Santos</t>
  </si>
  <si>
    <t xml:space="preserve"> Independencia de Cartagena</t>
  </si>
  <si>
    <t xml:space="preserve"> Día de la Inmaculada Concepción</t>
  </si>
  <si>
    <t xml:space="preserve"> Navidad</t>
  </si>
  <si>
    <t>Año Nuevo</t>
  </si>
  <si>
    <t>Día de los Reyes Magos</t>
  </si>
  <si>
    <t>Día de San José</t>
  </si>
  <si>
    <t>Jueves Santo</t>
  </si>
  <si>
    <t>Viernes Santo</t>
  </si>
  <si>
    <t>Día del Trabajo</t>
  </si>
  <si>
    <t>Ascensión de Jesús</t>
  </si>
  <si>
    <t>Corpus Christi</t>
  </si>
  <si>
    <t>Sagrado Corazón de Jesús / San Pedro y San Pablo</t>
  </si>
  <si>
    <t>Independencia de Colombia</t>
  </si>
  <si>
    <t>Batalla de Boyacá</t>
  </si>
  <si>
    <t>Asunción de la Virgen</t>
  </si>
  <si>
    <t>Día de la Raza</t>
  </si>
  <si>
    <t>Día de Todos los Santos</t>
  </si>
  <si>
    <t>Independencia de Cartagena</t>
  </si>
  <si>
    <t>Inmaculada Concepción</t>
  </si>
  <si>
    <t>Navidad</t>
  </si>
  <si>
    <t>Sagrado Corazón de Jesús</t>
  </si>
  <si>
    <t>San Pedro y San Pablo</t>
  </si>
  <si>
    <t xml:space="preserve">ASISTENCIA DAYLI </t>
  </si>
  <si>
    <t>INTEGRANTE</t>
  </si>
  <si>
    <t>DANILO RAMIREZ</t>
  </si>
  <si>
    <t>SI</t>
  </si>
  <si>
    <t>no (Dia de la familia)</t>
  </si>
  <si>
    <t>No hubo sesion</t>
  </si>
  <si>
    <t>NO</t>
  </si>
  <si>
    <t xml:space="preserve">No hubo sesión </t>
  </si>
  <si>
    <t>NO HUBO SESION</t>
  </si>
  <si>
    <t>NO HAY SESION</t>
  </si>
  <si>
    <t>Vacaciones</t>
  </si>
  <si>
    <t>No hobo sesion por caida de los sitios.</t>
  </si>
  <si>
    <t>JAIRO NIÑO</t>
  </si>
  <si>
    <t>JESUS PEÑA</t>
  </si>
  <si>
    <t>Dia de la familia</t>
  </si>
  <si>
    <t>Falla electrica</t>
  </si>
  <si>
    <t>LUIS BEDOYA</t>
  </si>
  <si>
    <t>SIN INTERNET</t>
  </si>
  <si>
    <t>JOHAN QUICENO</t>
  </si>
  <si>
    <t>Permiso</t>
  </si>
  <si>
    <t>sin internet</t>
  </si>
  <si>
    <t>TRABAJO HASTA HOY</t>
  </si>
  <si>
    <t>FABIO FORERO</t>
  </si>
  <si>
    <t>JENRY HENAO</t>
  </si>
  <si>
    <t>LIYIBET PEREZ</t>
  </si>
  <si>
    <t>nomina</t>
  </si>
  <si>
    <t>NOMINA</t>
  </si>
  <si>
    <t>WILSON APONTE</t>
  </si>
  <si>
    <t>JOHN ROLON</t>
  </si>
  <si>
    <t>Asignado</t>
  </si>
  <si>
    <t>TEST</t>
  </si>
  <si>
    <t>PRODUCCION</t>
  </si>
  <si>
    <t>Observacion</t>
  </si>
  <si>
    <t>LUIS BAYONA</t>
  </si>
  <si>
    <t>Encolar informe de efectividad de salud</t>
  </si>
  <si>
    <t xml:space="preserve">*02/10/2024 inicia  gestion.
*03/10/2024 Finalizar la consulta y realizar pruebas
* 07/10/2024 desarrollo en test  para  pruebas </t>
  </si>
  <si>
    <t>VULNERABILIDADES BAJAS</t>
  </si>
  <si>
    <t>Web Server Allows Password Auto-Completion</t>
  </si>
  <si>
    <t>PENDIENTE</t>
  </si>
  <si>
    <r>
      <rPr>
        <sz val="10"/>
        <color theme="1"/>
        <rFont val="Quattrocento Sans"/>
      </rPr>
      <t>*04/10/2024 pruebas
*</t>
    </r>
    <r>
      <rPr>
        <b/>
        <sz val="10"/>
        <color theme="1"/>
        <rFont val="Quattrocento Sans"/>
      </rPr>
      <t xml:space="preserve"> 07/10/2024 se entrega a Danilo para  pruebas y posterior despliegue a producción
* 09/10/2024 Confirmar entrega de rama a Danilo
* 10/10/2024 Etregadas a Danilo 9 de octubre, </t>
    </r>
  </si>
  <si>
    <t>Autocomplete Enabled (15 Y 18)</t>
  </si>
  <si>
    <t xml:space="preserve">*04/10/2024 pruebas
* 07/10/2024 se entrega a Danilo para  pruebas y posterior despliegue a producción
* 09/10/2024 Confirmar entrega de rama a Danilo
* 10/10/2024 Etregadas a Danilo 9 de octubre </t>
  </si>
  <si>
    <t>VULNERABILIDADES MEDIAS</t>
  </si>
  <si>
    <t>Internal Server Error</t>
  </si>
  <si>
    <t>False</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</si>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</sst>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quot;/&quot;mm&quot;/&quot;yyyy"/>
    <numFmt numFmtId="165" formatCode="dd&quot;-&quot;mm&quot;-&quot;yyyy"/>
  </numFmts>
  <fonts count="57">
    <font>
      <sz val="12"/>
      <color theme="1"/>
      <name val="Quattrocento Sans"/>
      <scheme val="minor"/>
    </font>
    <font>
      <b/>
      <u/>
      <sz val="9"/>
      <color theme="1"/>
      <name val="Quattrocento Sans"/>
    </font>
    <font>
      <b/>
      <u/>
      <sz val="10"/>
      <color theme="1"/>
      <name val="Quattrocento Sans"/>
    </font>
    <font>
      <u/>
      <sz val="11"/>
      <color theme="1"/>
      <name val="Quattrocento Sans"/>
    </font>
    <font>
      <sz val="12"/>
      <color theme="1"/>
      <name val="Quattrocento Sans"/>
      <scheme val="minor"/>
    </font>
    <font>
      <b/>
      <u/>
      <sz val="10"/>
      <color theme="1"/>
      <name val="Quattrocento Sans"/>
    </font>
    <font>
      <u/>
      <sz val="10"/>
      <color theme="1"/>
      <name val="Quattrocento Sans"/>
    </font>
    <font>
      <b/>
      <sz val="10"/>
      <color theme="1"/>
      <name val="Quattrocento Sans"/>
    </font>
    <font>
      <b/>
      <sz val="8"/>
      <color theme="1"/>
      <name val="Quattrocento Sans"/>
    </font>
    <font>
      <b/>
      <sz val="10"/>
      <color rgb="FF000000"/>
      <name val="Quattrocento Sans"/>
    </font>
    <font>
      <sz val="9"/>
      <color rgb="FFFFFFFF"/>
      <name val="Quattrocento Sans"/>
      <scheme val="minor"/>
    </font>
    <font>
      <b/>
      <u/>
      <sz val="9"/>
      <color theme="1"/>
      <name val="Quattrocento Sans"/>
    </font>
    <font>
      <b/>
      <u/>
      <sz val="10"/>
      <color theme="1"/>
      <name val="Quattrocento Sans"/>
    </font>
    <font>
      <u/>
      <sz val="11"/>
      <color theme="1"/>
      <name val="Quattrocento Sans"/>
    </font>
    <font>
      <b/>
      <u/>
      <sz val="10"/>
      <color theme="1"/>
      <name val="Quattrocento Sans"/>
    </font>
    <font>
      <u/>
      <sz val="10"/>
      <color theme="1"/>
      <name val="Quattrocento Sans"/>
    </font>
    <font>
      <sz val="10"/>
      <color theme="1"/>
      <name val="Quattrocento Sans"/>
    </font>
    <font>
      <b/>
      <u/>
      <sz val="9"/>
      <color theme="1"/>
      <name val="Quattrocento Sans"/>
    </font>
    <font>
      <b/>
      <u/>
      <sz val="10"/>
      <color theme="1"/>
      <name val="Quattrocento Sans"/>
    </font>
    <font>
      <u/>
      <sz val="11"/>
      <color theme="1"/>
      <name val="Quattrocento Sans"/>
    </font>
    <font>
      <b/>
      <u/>
      <sz val="10"/>
      <color theme="1"/>
      <name val="Quattrocento Sans"/>
    </font>
    <font>
      <u/>
      <sz val="10"/>
      <color theme="1"/>
      <name val="Quattrocento Sans"/>
    </font>
    <font>
      <b/>
      <u/>
      <sz val="10"/>
      <color theme="1"/>
      <name val="Quattrocento Sans"/>
    </font>
    <font>
      <b/>
      <u/>
      <sz val="10"/>
      <color rgb="FF000000"/>
      <name val="Quattrocento Sans"/>
    </font>
    <font>
      <u/>
      <sz val="12"/>
      <color rgb="FF000000"/>
      <name val="Quattrocento Sans"/>
    </font>
    <font>
      <u/>
      <sz val="10"/>
      <color theme="1"/>
      <name val="Quattrocento Sans"/>
    </font>
    <font>
      <b/>
      <u/>
      <sz val="10"/>
      <color theme="1"/>
      <name val="Quattrocento Sans"/>
    </font>
    <font>
      <u/>
      <sz val="10"/>
      <color theme="1"/>
      <name val="Quattrocento Sans"/>
    </font>
    <font>
      <u/>
      <sz val="10"/>
      <color theme="1"/>
      <name val="Quattrocento Sans"/>
    </font>
    <font>
      <u/>
      <sz val="10"/>
      <color theme="1"/>
      <name val="Quattrocento Sans"/>
    </font>
    <font>
      <b/>
      <u/>
      <sz val="10"/>
      <color theme="1"/>
      <name val="Quattrocento Sans"/>
    </font>
    <font>
      <u/>
      <sz val="10"/>
      <color theme="1"/>
      <name val="Quattrocento Sans"/>
    </font>
    <font>
      <u/>
      <sz val="12"/>
      <color rgb="FF000000"/>
      <name val="Quattrocento Sans"/>
    </font>
    <font>
      <u/>
      <sz val="12"/>
      <color rgb="FF000000"/>
      <name val="Quattrocento Sans"/>
    </font>
    <font>
      <sz val="12"/>
      <color rgb="FF000000"/>
      <name val="Quattrocento Sans"/>
    </font>
    <font>
      <b/>
      <u/>
      <sz val="10"/>
      <color theme="1"/>
      <name val="Quattrocento Sans"/>
    </font>
    <font>
      <b/>
      <u/>
      <sz val="10"/>
      <color theme="1"/>
      <name val="Quattrocento Sans"/>
    </font>
    <font>
      <b/>
      <u/>
      <sz val="9"/>
      <color theme="1"/>
      <name val="Quattrocento Sans"/>
    </font>
    <font>
      <b/>
      <u/>
      <sz val="9"/>
      <color theme="1"/>
      <name val="Quattrocento Sans"/>
    </font>
    <font>
      <b/>
      <u/>
      <sz val="10"/>
      <color theme="1"/>
      <name val="Quattrocento Sans"/>
    </font>
    <font>
      <u/>
      <sz val="11"/>
      <color theme="1"/>
      <name val="Quattrocento Sans"/>
    </font>
    <font>
      <u/>
      <sz val="10"/>
      <color theme="1"/>
      <name val="Quattrocento Sans"/>
    </font>
    <font>
      <b/>
      <u/>
      <sz val="10"/>
      <color theme="1"/>
      <name val="Quattrocento Sans"/>
    </font>
    <font>
      <b/>
      <u/>
      <sz val="10"/>
      <color rgb="FF000000"/>
      <name val="Quattrocento Sans"/>
    </font>
    <font>
      <u/>
      <sz val="12"/>
      <color rgb="FF000000"/>
      <name val="Quattrocento Sans"/>
    </font>
    <font>
      <sz val="12"/>
      <color theme="1"/>
      <name val="Quattrocento Sans"/>
    </font>
    <font>
      <u/>
      <sz val="10"/>
      <color theme="1"/>
      <name val="Quattrocento Sans"/>
    </font>
    <font>
      <b/>
      <u/>
      <sz val="10"/>
      <color theme="1"/>
      <name val="Quattrocento Sans"/>
    </font>
    <font>
      <u/>
      <sz val="11"/>
      <color theme="1"/>
      <name val="Quattrocento Sans"/>
    </font>
    <font>
      <u/>
      <sz val="10"/>
      <color theme="1"/>
      <name val="Quattrocento Sans"/>
    </font>
    <font>
      <b/>
      <u/>
      <sz val="10"/>
      <color theme="1"/>
      <name val="Quattrocento Sans"/>
    </font>
    <font>
      <u/>
      <sz val="11"/>
      <color theme="1"/>
      <name val="Quattrocento Sans"/>
    </font>
    <font>
      <sz val="12"/>
      <color theme="1"/>
      <name val="Quattrocento Sans"/>
    </font>
    <font>
      <b/>
      <sz val="12"/>
      <color theme="1"/>
      <name val="Quattrocento Sans"/>
    </font>
    <font>
      <sz val="12"/>
      <color rgb="FFFF0000"/>
      <name val="Quattrocento Sans"/>
    </font>
    <font>
      <sz val="12"/>
      <name val="Quattrocento Sans"/>
    </font>
    <font>
      <b/>
      <sz val="12"/>
      <color rgb="FFFF0000"/>
      <name val="Quattrocento Sans"/>
    </font>
  </fonts>
  <fills count="15">
    <fill>
      <patternFill patternType="none"/>
    </fill>
    <fill>
      <patternFill patternType="gray125"/>
    </fill>
    <fill>
      <patternFill patternType="solid">
        <fgColor rgb="FF356854"/>
        <bgColor rgb="FF356854"/>
      </patternFill>
    </fill>
    <fill>
      <patternFill patternType="solid">
        <fgColor rgb="FFCFE2F3"/>
        <bgColor rgb="FFCFE2F3"/>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rgb="FFDEEAF6"/>
        <bgColor rgb="FFDEEAF6"/>
      </patternFill>
    </fill>
    <fill>
      <patternFill patternType="solid">
        <fgColor rgb="FFF2F2F2"/>
        <bgColor rgb="FFF2F2F2"/>
      </patternFill>
    </fill>
    <fill>
      <patternFill patternType="solid">
        <fgColor rgb="FFB4C6E7"/>
        <bgColor rgb="FFB4C6E7"/>
      </patternFill>
    </fill>
    <fill>
      <patternFill patternType="solid">
        <fgColor rgb="FFDADADA"/>
        <bgColor rgb="FFDADADA"/>
      </patternFill>
    </fill>
    <fill>
      <patternFill patternType="solid">
        <fgColor rgb="FFF7CAAC"/>
        <bgColor rgb="FFF7CAAC"/>
      </patternFill>
    </fill>
    <fill>
      <patternFill patternType="solid">
        <fgColor rgb="FFC5E0B3"/>
        <bgColor rgb="FFC5E0B3"/>
      </patternFill>
    </fill>
  </fills>
  <borders count="1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61">
    <xf numFmtId="0" fontId="0" fillId="0" borderId="0" xfId="0" applyFont="1" applyAlignment="1"/>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3" fillId="3" borderId="2" xfId="0" applyFont="1" applyFill="1" applyBorder="1" applyAlignment="1">
      <alignment horizontal="left" vertical="center"/>
    </xf>
    <xf numFmtId="0" fontId="4" fillId="4" borderId="0" xfId="0" applyFont="1" applyFill="1" applyAlignment="1"/>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3" fontId="7" fillId="3" borderId="2"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164" fontId="7" fillId="3" borderId="2" xfId="0" applyNumberFormat="1" applyFont="1" applyFill="1" applyBorder="1" applyAlignment="1">
      <alignment horizontal="center" vertical="center"/>
    </xf>
    <xf numFmtId="164" fontId="7" fillId="3" borderId="2" xfId="0" applyNumberFormat="1" applyFont="1" applyFill="1" applyBorder="1" applyAlignment="1">
      <alignment horizontal="center" vertical="center" wrapText="1"/>
    </xf>
    <xf numFmtId="164" fontId="9" fillId="5" borderId="0" xfId="0" applyNumberFormat="1" applyFont="1" applyFill="1" applyAlignment="1">
      <alignment horizontal="center" vertical="center" wrapText="1"/>
    </xf>
    <xf numFmtId="164" fontId="7" fillId="3" borderId="2" xfId="0" applyNumberFormat="1" applyFont="1" applyFill="1" applyBorder="1" applyAlignment="1">
      <alignment horizontal="center" vertical="center" wrapText="1"/>
    </xf>
    <xf numFmtId="14" fontId="7" fillId="3" borderId="2" xfId="0" applyNumberFormat="1" applyFont="1" applyFill="1" applyBorder="1" applyAlignment="1">
      <alignment horizontal="center" vertical="top"/>
    </xf>
    <xf numFmtId="0" fontId="10" fillId="2" borderId="0" xfId="0" applyFont="1" applyFill="1" applyAlignment="1">
      <alignment horizontal="center"/>
    </xf>
    <xf numFmtId="0" fontId="4" fillId="6" borderId="0" xfId="0" applyFont="1" applyFill="1"/>
    <xf numFmtId="0" fontId="11" fillId="6" borderId="3" xfId="0" applyFont="1" applyFill="1" applyBorder="1" applyAlignment="1">
      <alignment horizontal="center" vertical="center" wrapText="1"/>
    </xf>
    <xf numFmtId="49" fontId="12" fillId="6" borderId="3" xfId="0" applyNumberFormat="1" applyFont="1" applyFill="1" applyBorder="1" applyAlignment="1">
      <alignment horizontal="center" vertical="center" wrapText="1"/>
    </xf>
    <xf numFmtId="0" fontId="13" fillId="6" borderId="3" xfId="0" applyFont="1" applyFill="1" applyBorder="1" applyAlignment="1">
      <alignment horizontal="left" vertical="center" wrapText="1"/>
    </xf>
    <xf numFmtId="0" fontId="14" fillId="6" borderId="3" xfId="0" applyFont="1" applyFill="1" applyBorder="1" applyAlignment="1">
      <alignment horizontal="center" vertical="center" wrapText="1"/>
    </xf>
    <xf numFmtId="0" fontId="15" fillId="6" borderId="3" xfId="0" applyFont="1" applyFill="1" applyBorder="1" applyAlignment="1">
      <alignment vertical="center" wrapText="1"/>
    </xf>
    <xf numFmtId="3" fontId="16" fillId="6" borderId="3" xfId="0" applyNumberFormat="1" applyFont="1" applyFill="1" applyBorder="1" applyAlignment="1">
      <alignment horizontal="center" vertical="center" wrapText="1"/>
    </xf>
    <xf numFmtId="3" fontId="7" fillId="6" borderId="3" xfId="0" applyNumberFormat="1" applyFont="1" applyFill="1" applyBorder="1" applyAlignment="1">
      <alignment horizontal="center" vertical="center"/>
    </xf>
    <xf numFmtId="164" fontId="16" fillId="6" borderId="3" xfId="0" applyNumberFormat="1" applyFont="1" applyFill="1" applyBorder="1" applyAlignment="1">
      <alignment vertical="center" wrapText="1"/>
    </xf>
    <xf numFmtId="164" fontId="7" fillId="6" borderId="3" xfId="0" applyNumberFormat="1" applyFont="1" applyFill="1" applyBorder="1" applyAlignment="1">
      <alignment vertical="center"/>
    </xf>
    <xf numFmtId="3" fontId="16" fillId="6" borderId="3" xfId="0" applyNumberFormat="1" applyFont="1" applyFill="1" applyBorder="1" applyAlignment="1">
      <alignment horizontal="center" vertical="center" wrapText="1"/>
    </xf>
    <xf numFmtId="164" fontId="16" fillId="6" borderId="3" xfId="0" applyNumberFormat="1" applyFont="1" applyFill="1" applyBorder="1" applyAlignment="1">
      <alignment vertical="center" wrapText="1"/>
    </xf>
    <xf numFmtId="164" fontId="7" fillId="6" borderId="3" xfId="0" applyNumberFormat="1" applyFont="1" applyFill="1" applyBorder="1" applyAlignment="1">
      <alignment vertical="center"/>
    </xf>
    <xf numFmtId="0" fontId="16" fillId="6" borderId="3" xfId="0" applyFont="1" applyFill="1" applyBorder="1" applyAlignment="1">
      <alignment horizontal="left" vertical="top"/>
    </xf>
    <xf numFmtId="0" fontId="17" fillId="7" borderId="3" xfId="0" applyFont="1" applyFill="1" applyBorder="1" applyAlignment="1">
      <alignment horizontal="center" vertical="center" wrapText="1"/>
    </xf>
    <xf numFmtId="49" fontId="18" fillId="7" borderId="3" xfId="0" applyNumberFormat="1" applyFont="1" applyFill="1" applyBorder="1" applyAlignment="1">
      <alignment horizontal="center" vertical="center" wrapText="1"/>
    </xf>
    <xf numFmtId="0" fontId="19" fillId="7" borderId="3" xfId="0" applyFont="1" applyFill="1" applyBorder="1" applyAlignment="1">
      <alignment horizontal="left" vertical="center" wrapText="1"/>
    </xf>
    <xf numFmtId="0" fontId="20" fillId="7" borderId="3" xfId="0" applyFont="1" applyFill="1" applyBorder="1" applyAlignment="1">
      <alignment horizontal="center" vertical="center" wrapText="1"/>
    </xf>
    <xf numFmtId="0" fontId="21" fillId="7" borderId="3" xfId="0" applyFont="1" applyFill="1" applyBorder="1" applyAlignment="1">
      <alignment vertical="center" wrapText="1"/>
    </xf>
    <xf numFmtId="3" fontId="16" fillId="7" borderId="3" xfId="0" applyNumberFormat="1" applyFont="1" applyFill="1" applyBorder="1" applyAlignment="1">
      <alignment horizontal="center" vertical="center" wrapText="1"/>
    </xf>
    <xf numFmtId="3" fontId="7" fillId="7" borderId="3" xfId="0" applyNumberFormat="1" applyFont="1" applyFill="1" applyBorder="1" applyAlignment="1">
      <alignment horizontal="center" vertical="center"/>
    </xf>
    <xf numFmtId="164" fontId="16" fillId="7" borderId="3" xfId="0" applyNumberFormat="1" applyFont="1" applyFill="1" applyBorder="1" applyAlignment="1">
      <alignment vertical="center" wrapText="1"/>
    </xf>
    <xf numFmtId="164" fontId="16" fillId="7" borderId="3" xfId="0" applyNumberFormat="1" applyFont="1" applyFill="1" applyBorder="1" applyAlignment="1">
      <alignment vertical="center"/>
    </xf>
    <xf numFmtId="164" fontId="7" fillId="7" borderId="3" xfId="0" applyNumberFormat="1" applyFont="1" applyFill="1" applyBorder="1" applyAlignment="1">
      <alignment vertical="center"/>
    </xf>
    <xf numFmtId="3" fontId="16" fillId="7" borderId="3" xfId="0" applyNumberFormat="1" applyFont="1" applyFill="1" applyBorder="1" applyAlignment="1">
      <alignment horizontal="center" vertical="center" wrapText="1"/>
    </xf>
    <xf numFmtId="164" fontId="16" fillId="7" borderId="3" xfId="0" applyNumberFormat="1" applyFont="1" applyFill="1" applyBorder="1" applyAlignment="1">
      <alignment vertical="center" wrapText="1"/>
    </xf>
    <xf numFmtId="164" fontId="7" fillId="7" borderId="3" xfId="0" applyNumberFormat="1" applyFont="1" applyFill="1" applyBorder="1" applyAlignment="1">
      <alignment vertical="center"/>
    </xf>
    <xf numFmtId="0" fontId="16" fillId="7" borderId="3" xfId="0" applyFont="1" applyFill="1" applyBorder="1" applyAlignment="1">
      <alignment horizontal="left" vertical="top"/>
    </xf>
    <xf numFmtId="164" fontId="16" fillId="6" borderId="3" xfId="0" applyNumberFormat="1" applyFont="1" applyFill="1" applyBorder="1" applyAlignment="1">
      <alignment vertical="center"/>
    </xf>
    <xf numFmtId="0" fontId="16" fillId="6" borderId="3" xfId="0" applyFont="1" applyFill="1" applyBorder="1" applyAlignment="1">
      <alignment vertical="top"/>
    </xf>
    <xf numFmtId="0" fontId="22" fillId="7" borderId="3" xfId="0" applyFont="1" applyFill="1" applyBorder="1" applyAlignment="1">
      <alignment horizontal="left" vertical="center" wrapText="1"/>
    </xf>
    <xf numFmtId="0" fontId="23" fillId="6" borderId="4" xfId="0" applyFont="1" applyFill="1" applyBorder="1" applyAlignment="1">
      <alignment vertical="center" wrapText="1"/>
    </xf>
    <xf numFmtId="0" fontId="24" fillId="6" borderId="4" xfId="0" applyFont="1" applyFill="1" applyBorder="1" applyAlignment="1">
      <alignment vertical="center"/>
    </xf>
    <xf numFmtId="0" fontId="16" fillId="6" borderId="3" xfId="0" applyFont="1" applyFill="1" applyBorder="1" applyAlignment="1">
      <alignment horizontal="left" vertical="top"/>
    </xf>
    <xf numFmtId="0" fontId="25" fillId="7" borderId="3" xfId="0" applyFont="1" applyFill="1" applyBorder="1" applyAlignment="1">
      <alignment vertical="center"/>
    </xf>
    <xf numFmtId="0" fontId="26" fillId="6" borderId="3" xfId="0" applyFont="1" applyFill="1" applyBorder="1" applyAlignment="1">
      <alignment vertical="center"/>
    </xf>
    <xf numFmtId="164" fontId="16" fillId="6" borderId="3" xfId="0" applyNumberFormat="1" applyFont="1" applyFill="1" applyBorder="1" applyAlignment="1">
      <alignment vertical="center"/>
    </xf>
    <xf numFmtId="0" fontId="16" fillId="6" borderId="3" xfId="0" applyFont="1" applyFill="1" applyBorder="1" applyAlignment="1">
      <alignment vertical="center"/>
    </xf>
    <xf numFmtId="0" fontId="27" fillId="7" borderId="3" xfId="0" applyFont="1" applyFill="1" applyBorder="1" applyAlignment="1">
      <alignment horizontal="left" vertical="center"/>
    </xf>
    <xf numFmtId="164" fontId="16" fillId="7" borderId="3" xfId="0" applyNumberFormat="1" applyFont="1" applyFill="1" applyBorder="1" applyAlignment="1">
      <alignment vertical="center"/>
    </xf>
    <xf numFmtId="0" fontId="16" fillId="7" borderId="5" xfId="0" applyFont="1" applyFill="1" applyBorder="1" applyAlignment="1">
      <alignment horizontal="left" vertical="top"/>
    </xf>
    <xf numFmtId="0" fontId="16" fillId="7" borderId="6" xfId="0" applyFont="1" applyFill="1" applyBorder="1" applyAlignment="1">
      <alignment horizontal="left" vertical="top"/>
    </xf>
    <xf numFmtId="0" fontId="28" fillId="6" borderId="3" xfId="0" applyFont="1" applyFill="1" applyBorder="1" applyAlignment="1">
      <alignment horizontal="left" vertical="center"/>
    </xf>
    <xf numFmtId="0" fontId="29" fillId="6" borderId="3" xfId="0" applyFont="1" applyFill="1" applyBorder="1" applyAlignment="1">
      <alignment vertical="center"/>
    </xf>
    <xf numFmtId="0" fontId="16" fillId="6" borderId="7" xfId="0" applyFont="1" applyFill="1" applyBorder="1" applyAlignment="1">
      <alignment horizontal="left" vertical="top"/>
    </xf>
    <xf numFmtId="0" fontId="16" fillId="6" borderId="8" xfId="0" applyFont="1" applyFill="1" applyBorder="1" applyAlignment="1">
      <alignment horizontal="left" vertical="top"/>
    </xf>
    <xf numFmtId="0" fontId="30" fillId="7" borderId="3" xfId="0" applyFont="1" applyFill="1" applyBorder="1" applyAlignment="1">
      <alignment vertical="center" wrapText="1"/>
    </xf>
    <xf numFmtId="0" fontId="16" fillId="6" borderId="3" xfId="0" applyFont="1" applyFill="1" applyBorder="1" applyAlignment="1">
      <alignment horizontal="left" vertical="center"/>
    </xf>
    <xf numFmtId="0" fontId="31" fillId="6" borderId="3" xfId="0" applyFont="1" applyFill="1" applyBorder="1" applyAlignment="1">
      <alignment horizontal="left" vertical="center" wrapText="1"/>
    </xf>
    <xf numFmtId="3" fontId="16" fillId="6" borderId="3" xfId="0" applyNumberFormat="1" applyFont="1" applyFill="1" applyBorder="1" applyAlignment="1">
      <alignment horizontal="center" vertical="center"/>
    </xf>
    <xf numFmtId="0" fontId="32" fillId="7" borderId="4" xfId="0" applyFont="1" applyFill="1" applyBorder="1" applyAlignment="1">
      <alignment vertical="center"/>
    </xf>
    <xf numFmtId="0" fontId="33" fillId="7" borderId="4" xfId="0" applyFont="1" applyFill="1" applyBorder="1" applyAlignment="1">
      <alignment vertical="center"/>
    </xf>
    <xf numFmtId="3" fontId="34" fillId="7" borderId="3" xfId="0" applyNumberFormat="1" applyFont="1" applyFill="1" applyBorder="1" applyAlignment="1">
      <alignment horizontal="center" vertical="center"/>
    </xf>
    <xf numFmtId="3" fontId="16" fillId="7" borderId="3" xfId="0" applyNumberFormat="1" applyFont="1" applyFill="1" applyBorder="1" applyAlignment="1">
      <alignment horizontal="center" vertical="center"/>
    </xf>
    <xf numFmtId="164" fontId="4" fillId="7" borderId="0" xfId="0" applyNumberFormat="1" applyFont="1" applyFill="1"/>
    <xf numFmtId="0" fontId="16" fillId="7" borderId="3" xfId="0" applyFont="1" applyFill="1" applyBorder="1" applyAlignment="1">
      <alignment vertical="center"/>
    </xf>
    <xf numFmtId="0" fontId="35" fillId="6" borderId="3" xfId="0" applyFont="1" applyFill="1" applyBorder="1" applyAlignment="1">
      <alignment vertical="center" wrapText="1"/>
    </xf>
    <xf numFmtId="0" fontId="16" fillId="6" borderId="3" xfId="0" applyFont="1" applyFill="1" applyBorder="1" applyAlignment="1">
      <alignment vertical="center" wrapText="1"/>
    </xf>
    <xf numFmtId="0" fontId="36" fillId="7" borderId="3" xfId="0" applyFont="1" applyFill="1" applyBorder="1" applyAlignment="1">
      <alignment vertical="center"/>
    </xf>
    <xf numFmtId="3" fontId="16" fillId="7" borderId="3" xfId="0" applyNumberFormat="1" applyFont="1" applyFill="1" applyBorder="1" applyAlignment="1">
      <alignment horizontal="center" vertical="center"/>
    </xf>
    <xf numFmtId="0" fontId="16" fillId="6" borderId="3" xfId="0" applyFont="1" applyFill="1" applyBorder="1" applyAlignment="1">
      <alignment horizontal="left" vertical="top" wrapText="1"/>
    </xf>
    <xf numFmtId="0" fontId="16" fillId="7" borderId="3" xfId="0" applyFont="1" applyFill="1" applyBorder="1" applyAlignment="1">
      <alignment horizontal="left" vertical="top" wrapText="1"/>
    </xf>
    <xf numFmtId="0" fontId="37" fillId="3" borderId="1" xfId="0" applyFont="1" applyFill="1" applyBorder="1" applyAlignment="1">
      <alignment horizontal="center" vertical="center"/>
    </xf>
    <xf numFmtId="49" fontId="7" fillId="3" borderId="2" xfId="0" applyNumberFormat="1" applyFont="1" applyFill="1" applyBorder="1" applyAlignment="1">
      <alignment horizontal="center" vertical="center" wrapText="1"/>
    </xf>
    <xf numFmtId="49" fontId="8" fillId="3" borderId="2" xfId="0" applyNumberFormat="1"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38" fillId="8" borderId="3" xfId="0" applyFont="1" applyFill="1" applyBorder="1" applyAlignment="1">
      <alignment horizontal="center" vertical="center" wrapText="1"/>
    </xf>
    <xf numFmtId="0" fontId="39" fillId="6" borderId="3" xfId="0" applyFont="1" applyFill="1" applyBorder="1" applyAlignment="1">
      <alignment horizontal="center" vertical="center" wrapText="1"/>
    </xf>
    <xf numFmtId="0" fontId="40" fillId="0" borderId="3" xfId="0" applyFont="1" applyBorder="1" applyAlignment="1">
      <alignment horizontal="left" vertical="center" wrapText="1"/>
    </xf>
    <xf numFmtId="0" fontId="41" fillId="6" borderId="3" xfId="0" applyFont="1" applyFill="1" applyBorder="1" applyAlignment="1">
      <alignment vertical="center" wrapText="1"/>
    </xf>
    <xf numFmtId="9" fontId="16" fillId="6" borderId="3" xfId="0" applyNumberFormat="1" applyFont="1" applyFill="1" applyBorder="1" applyAlignment="1">
      <alignment horizontal="center" vertical="center" wrapText="1"/>
    </xf>
    <xf numFmtId="0" fontId="7" fillId="6" borderId="3" xfId="0" applyFont="1" applyFill="1" applyBorder="1" applyAlignment="1">
      <alignment horizontal="center" vertical="center"/>
    </xf>
    <xf numFmtId="164" fontId="16" fillId="6" borderId="3" xfId="0" applyNumberFormat="1" applyFont="1" applyFill="1" applyBorder="1" applyAlignment="1">
      <alignment vertical="center" wrapText="1"/>
    </xf>
    <xf numFmtId="164" fontId="7" fillId="6" borderId="3" xfId="0" applyNumberFormat="1" applyFont="1" applyFill="1" applyBorder="1" applyAlignment="1">
      <alignment vertical="center"/>
    </xf>
    <xf numFmtId="1" fontId="16" fillId="6" borderId="3" xfId="0" applyNumberFormat="1" applyFont="1" applyFill="1" applyBorder="1" applyAlignment="1">
      <alignment horizontal="center" vertical="center" wrapText="1"/>
    </xf>
    <xf numFmtId="165" fontId="16" fillId="6" borderId="3" xfId="0" applyNumberFormat="1" applyFont="1" applyFill="1" applyBorder="1" applyAlignment="1">
      <alignment vertical="center" wrapText="1"/>
    </xf>
    <xf numFmtId="14" fontId="7" fillId="6" borderId="3" xfId="0" applyNumberFormat="1" applyFont="1" applyFill="1" applyBorder="1" applyAlignment="1">
      <alignment vertical="center"/>
    </xf>
    <xf numFmtId="0" fontId="16" fillId="6" borderId="3" xfId="0" applyFont="1" applyFill="1" applyBorder="1" applyAlignment="1">
      <alignment horizontal="left" vertical="top"/>
    </xf>
    <xf numFmtId="164" fontId="16" fillId="6" borderId="3" xfId="0" applyNumberFormat="1" applyFont="1" applyFill="1" applyBorder="1" applyAlignment="1">
      <alignment vertical="center"/>
    </xf>
    <xf numFmtId="0" fontId="16" fillId="6" borderId="3" xfId="0" applyFont="1" applyFill="1" applyBorder="1" applyAlignment="1">
      <alignment horizontal="left" vertical="top"/>
    </xf>
    <xf numFmtId="9" fontId="16" fillId="6" borderId="3" xfId="0" applyNumberFormat="1" applyFont="1" applyFill="1" applyBorder="1" applyAlignment="1">
      <alignment horizontal="center" vertical="center"/>
    </xf>
    <xf numFmtId="0" fontId="16" fillId="6" borderId="3" xfId="0" applyFont="1" applyFill="1" applyBorder="1" applyAlignment="1">
      <alignment horizontal="center" vertical="center" wrapText="1"/>
    </xf>
    <xf numFmtId="0" fontId="16" fillId="6" borderId="3" xfId="0" applyFont="1" applyFill="1" applyBorder="1" applyAlignment="1">
      <alignment vertical="top"/>
    </xf>
    <xf numFmtId="0" fontId="42" fillId="6"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43" fillId="6" borderId="4" xfId="0" applyFont="1" applyFill="1" applyBorder="1" applyAlignment="1">
      <alignment vertical="center" wrapText="1"/>
    </xf>
    <xf numFmtId="0" fontId="44" fillId="6" borderId="4" xfId="0" applyFont="1" applyFill="1" applyBorder="1" applyAlignment="1">
      <alignment vertical="center"/>
    </xf>
    <xf numFmtId="0" fontId="45" fillId="0" borderId="3" xfId="0" applyFont="1" applyBorder="1" applyAlignment="1">
      <alignment horizontal="center" vertical="center"/>
    </xf>
    <xf numFmtId="0" fontId="46" fillId="6" borderId="3" xfId="0" applyFont="1" applyFill="1" applyBorder="1" applyAlignment="1">
      <alignment vertical="center"/>
    </xf>
    <xf numFmtId="165" fontId="16" fillId="6" borderId="3" xfId="0" applyNumberFormat="1" applyFont="1" applyFill="1" applyBorder="1" applyAlignment="1">
      <alignment vertical="center"/>
    </xf>
    <xf numFmtId="0" fontId="47" fillId="6" borderId="3" xfId="0" applyFont="1" applyFill="1" applyBorder="1" applyAlignment="1">
      <alignment vertical="center"/>
    </xf>
    <xf numFmtId="165" fontId="16" fillId="6" borderId="3" xfId="0" applyNumberFormat="1" applyFont="1" applyFill="1" applyBorder="1" applyAlignment="1">
      <alignment vertical="center"/>
    </xf>
    <xf numFmtId="14" fontId="16" fillId="6" borderId="3" xfId="0" applyNumberFormat="1" applyFont="1" applyFill="1" applyBorder="1" applyAlignment="1">
      <alignment vertical="center"/>
    </xf>
    <xf numFmtId="0" fontId="16" fillId="6" borderId="3" xfId="0" applyFont="1" applyFill="1" applyBorder="1" applyAlignment="1">
      <alignment vertical="center"/>
    </xf>
    <xf numFmtId="0" fontId="48" fillId="6" borderId="3" xfId="0" applyFont="1" applyFill="1" applyBorder="1" applyAlignment="1">
      <alignment horizontal="left" vertical="center" wrapText="1"/>
    </xf>
    <xf numFmtId="0" fontId="49" fillId="6" borderId="3" xfId="0" applyFont="1" applyFill="1" applyBorder="1" applyAlignment="1">
      <alignment horizontal="left" vertical="center"/>
    </xf>
    <xf numFmtId="165" fontId="7" fillId="6" borderId="3" xfId="0" applyNumberFormat="1" applyFont="1" applyFill="1" applyBorder="1" applyAlignment="1">
      <alignment vertical="center"/>
    </xf>
    <xf numFmtId="0" fontId="50" fillId="6" borderId="3" xfId="0" applyFont="1" applyFill="1" applyBorder="1" applyAlignment="1">
      <alignment vertical="center" wrapText="1"/>
    </xf>
    <xf numFmtId="0" fontId="51" fillId="0" borderId="3" xfId="0" applyFont="1" applyBorder="1" applyAlignment="1">
      <alignment horizontal="left" vertical="center" wrapText="1"/>
    </xf>
    <xf numFmtId="0" fontId="16" fillId="6" borderId="3" xfId="0" applyFont="1" applyFill="1" applyBorder="1" applyAlignment="1">
      <alignment horizontal="left" vertical="center"/>
    </xf>
    <xf numFmtId="14" fontId="52" fillId="0" borderId="0" xfId="0" applyNumberFormat="1" applyFont="1" applyAlignment="1">
      <alignment horizontal="right"/>
    </xf>
    <xf numFmtId="0" fontId="52" fillId="0" borderId="0" xfId="0" applyFont="1" applyAlignment="1"/>
    <xf numFmtId="0" fontId="52" fillId="0" borderId="0" xfId="0" applyFont="1" applyAlignment="1"/>
    <xf numFmtId="0" fontId="53" fillId="0" borderId="0" xfId="0" applyFont="1"/>
    <xf numFmtId="0" fontId="52" fillId="0" borderId="0" xfId="0" applyFont="1"/>
    <xf numFmtId="0" fontId="53" fillId="9" borderId="3" xfId="0" applyFont="1" applyFill="1" applyBorder="1" applyAlignment="1">
      <alignment vertical="center"/>
    </xf>
    <xf numFmtId="14" fontId="53" fillId="9" borderId="3" xfId="0" applyNumberFormat="1" applyFont="1" applyFill="1" applyBorder="1" applyAlignment="1">
      <alignment horizontal="center" vertical="center" wrapText="1"/>
    </xf>
    <xf numFmtId="14" fontId="53" fillId="9" borderId="9" xfId="0" applyNumberFormat="1" applyFont="1" applyFill="1" applyBorder="1" applyAlignment="1">
      <alignment horizontal="center" vertical="center" wrapText="1"/>
    </xf>
    <xf numFmtId="14" fontId="53" fillId="9" borderId="10" xfId="0" applyNumberFormat="1" applyFont="1" applyFill="1" applyBorder="1" applyAlignment="1">
      <alignment horizontal="center" vertical="center" wrapText="1"/>
    </xf>
    <xf numFmtId="0" fontId="53" fillId="10" borderId="3" xfId="0" applyFont="1" applyFill="1" applyBorder="1"/>
    <xf numFmtId="0" fontId="52" fillId="0" borderId="3" xfId="0" applyFont="1" applyBorder="1" applyAlignment="1">
      <alignment horizontal="center"/>
    </xf>
    <xf numFmtId="0" fontId="54" fillId="0" borderId="3" xfId="0" applyFont="1" applyBorder="1"/>
    <xf numFmtId="0" fontId="52" fillId="0" borderId="3" xfId="0" applyFont="1" applyBorder="1"/>
    <xf numFmtId="0" fontId="52" fillId="0" borderId="11" xfId="0" applyFont="1" applyBorder="1"/>
    <xf numFmtId="0" fontId="52" fillId="0" borderId="3" xfId="0" applyFont="1" applyBorder="1" applyAlignment="1">
      <alignment horizontal="center" vertical="center"/>
    </xf>
    <xf numFmtId="0" fontId="56" fillId="0" borderId="3" xfId="0" applyFont="1" applyBorder="1"/>
    <xf numFmtId="0" fontId="7" fillId="11" borderId="3" xfId="0" applyFont="1" applyFill="1" applyBorder="1" applyAlignment="1">
      <alignment horizontal="center" vertical="center"/>
    </xf>
    <xf numFmtId="0" fontId="7" fillId="12" borderId="3" xfId="0" applyFont="1" applyFill="1" applyBorder="1" applyAlignment="1">
      <alignment horizontal="center" vertical="center"/>
    </xf>
    <xf numFmtId="0" fontId="7" fillId="12" borderId="3" xfId="0" applyFont="1" applyFill="1" applyBorder="1" applyAlignment="1">
      <alignment horizontal="center" vertical="center" wrapText="1"/>
    </xf>
    <xf numFmtId="0" fontId="7" fillId="0" borderId="3" xfId="0" applyFont="1" applyBorder="1" applyAlignment="1">
      <alignment horizontal="center" vertical="center"/>
    </xf>
    <xf numFmtId="0" fontId="7" fillId="13" borderId="3" xfId="0" applyFont="1" applyFill="1" applyBorder="1" applyAlignment="1">
      <alignment horizontal="center" vertical="center"/>
    </xf>
    <xf numFmtId="0" fontId="7" fillId="14" borderId="3" xfId="0" applyFont="1" applyFill="1" applyBorder="1" applyAlignment="1">
      <alignment horizontal="center" vertical="center"/>
    </xf>
    <xf numFmtId="0" fontId="16" fillId="0" borderId="0" xfId="0" applyFont="1" applyAlignment="1">
      <alignment horizontal="center" vertical="center"/>
    </xf>
    <xf numFmtId="0" fontId="7" fillId="8" borderId="3" xfId="0" applyFont="1" applyFill="1" applyBorder="1" applyAlignment="1">
      <alignment horizontal="center" vertical="center"/>
    </xf>
    <xf numFmtId="0" fontId="7" fillId="0" borderId="3" xfId="0" applyFont="1" applyBorder="1" applyAlignment="1">
      <alignment horizontal="left" vertical="center"/>
    </xf>
    <xf numFmtId="0" fontId="16" fillId="0" borderId="3" xfId="0" applyFont="1" applyBorder="1" applyAlignment="1">
      <alignment horizontal="left" vertical="center"/>
    </xf>
    <xf numFmtId="14" fontId="16" fillId="0" borderId="3" xfId="0" applyNumberFormat="1" applyFont="1" applyBorder="1" applyAlignment="1">
      <alignment horizontal="center" vertical="center"/>
    </xf>
    <xf numFmtId="1" fontId="16" fillId="0" borderId="3" xfId="0" applyNumberFormat="1" applyFont="1" applyBorder="1" applyAlignment="1">
      <alignment horizontal="center" vertical="center" wrapText="1"/>
    </xf>
    <xf numFmtId="0" fontId="16" fillId="0" borderId="3" xfId="0" applyFont="1" applyBorder="1" applyAlignment="1">
      <alignment horizontal="center" vertical="center"/>
    </xf>
    <xf numFmtId="0" fontId="16" fillId="0" borderId="3" xfId="0" applyFont="1" applyBorder="1" applyAlignment="1">
      <alignment horizontal="left" vertical="top" wrapText="1"/>
    </xf>
    <xf numFmtId="0" fontId="16" fillId="0" borderId="3" xfId="0" applyFont="1" applyBorder="1" applyAlignment="1">
      <alignment horizontal="left" vertical="center" wrapText="1"/>
    </xf>
    <xf numFmtId="0" fontId="16" fillId="0" borderId="0" xfId="0" applyFont="1" applyAlignment="1">
      <alignment horizontal="left" vertical="center"/>
    </xf>
    <xf numFmtId="0" fontId="16" fillId="0" borderId="12" xfId="0" applyFont="1" applyBorder="1" applyAlignment="1">
      <alignment horizontal="left" vertical="center" wrapText="1"/>
    </xf>
    <xf numFmtId="14" fontId="16" fillId="0" borderId="12" xfId="0" applyNumberFormat="1" applyFont="1" applyBorder="1" applyAlignment="1">
      <alignment horizontal="center" vertical="center"/>
    </xf>
    <xf numFmtId="0" fontId="16" fillId="0" borderId="12" xfId="0" applyFont="1" applyBorder="1" applyAlignment="1">
      <alignment horizontal="center" vertical="center"/>
    </xf>
    <xf numFmtId="1" fontId="16" fillId="0" borderId="12" xfId="0" applyNumberFormat="1" applyFont="1" applyBorder="1" applyAlignment="1">
      <alignment horizontal="center" vertical="center" wrapText="1"/>
    </xf>
    <xf numFmtId="0" fontId="16" fillId="0" borderId="12" xfId="0" applyFont="1" applyBorder="1" applyAlignment="1">
      <alignment horizontal="left" vertical="top" wrapText="1"/>
    </xf>
    <xf numFmtId="0" fontId="16" fillId="0" borderId="0" xfId="0" applyFont="1"/>
    <xf numFmtId="0" fontId="52" fillId="0" borderId="12" xfId="0" applyFont="1" applyBorder="1" applyAlignment="1">
      <alignment horizontal="center" vertical="center" wrapText="1"/>
    </xf>
    <xf numFmtId="0" fontId="55" fillId="0" borderId="13" xfId="0" applyFont="1" applyBorder="1"/>
    <xf numFmtId="0" fontId="55" fillId="0" borderId="14" xfId="0" applyFont="1" applyBorder="1"/>
    <xf numFmtId="0" fontId="7" fillId="0" borderId="12" xfId="0" applyFont="1" applyBorder="1" applyAlignment="1">
      <alignment horizontal="center" vertical="center"/>
    </xf>
    <xf numFmtId="0" fontId="0" fillId="7" borderId="0" xfId="0" applyFont="1" applyFill="1" applyAlignment="1"/>
    <xf numFmtId="0" fontId="0" fillId="6" borderId="0" xfId="0" applyFont="1" applyFill="1"/>
  </cellXfs>
  <cellStyles count="1">
    <cellStyle name="Normal" xfId="0" builtinId="0"/>
  </cellStyles>
  <dxfs count="6">
    <dxf>
      <fill>
        <patternFill patternType="solid">
          <fgColor rgb="FFF4CCCC"/>
          <bgColor rgb="FFF4CCCC"/>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FINALIZADOS  despues de actu, i-style" pivot="0" count="3">
      <tableStyleElement type="headerRow" dxfId="5"/>
      <tableStyleElement type="firstRowStripe" dxfId="4"/>
      <tableStyleElement type="secondRowStripe" dxfId="3"/>
    </tableStyle>
    <tableStyle name="FINALIZADOS  despues de actu, i-style 2" pivot="0" count="2">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ables/table1.xml><?xml version="1.0" encoding="utf-8"?>
<table xmlns="http://schemas.openxmlformats.org/spreadsheetml/2006/main" id="1" name="Table_1" displayName="Table_1" ref="A1:AM1" headerRowCount="0">
  <tableColumns count="3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s>
  <tableStyleInfo name="FINALIZADOS  despues de actu, i-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id="2" name="Table_2" displayName="Table_2" ref="A2:AM14" headerRowCount="0">
  <tableColumns count="3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s>
  <tableStyleInfo name="FINALIZADOS  despues de actu, i-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47D"/>
  </sheetPr>
  <dimension ref="A1:AN115"/>
  <sheetViews>
    <sheetView tabSelected="1" workbookViewId="0">
      <pane ySplit="1" topLeftCell="A2" activePane="bottomLeft" state="frozen"/>
      <selection pane="bottomLeft" activeCell="F6" sqref="F6"/>
    </sheetView>
  </sheetViews>
  <sheetFormatPr baseColWidth="10" defaultColWidth="11.21875" defaultRowHeight="15" customHeight="1"/>
  <cols>
    <col min="1" max="1" width="16" customWidth="1"/>
    <col min="2" max="2" width="10.6640625" customWidth="1"/>
    <col min="3" max="3" width="34.88671875" customWidth="1"/>
    <col min="4" max="4" width="19.5546875" customWidth="1"/>
    <col min="5" max="5" width="19.5546875" hidden="1" customWidth="1"/>
    <col min="6" max="6" width="21.77734375" customWidth="1"/>
    <col min="7" max="7" width="6.77734375" customWidth="1"/>
    <col min="8" max="8" width="10.88671875" customWidth="1"/>
    <col min="9" max="9" width="12.88671875" customWidth="1"/>
    <col min="10" max="10" width="12.21875" customWidth="1"/>
    <col min="11" max="11" width="12" customWidth="1"/>
    <col min="12" max="12" width="11.77734375" customWidth="1"/>
    <col min="13" max="13" width="9.6640625" customWidth="1"/>
    <col min="14" max="14" width="14" customWidth="1"/>
    <col min="15" max="15" width="11" customWidth="1"/>
    <col min="16" max="16" width="17.21875" customWidth="1"/>
    <col min="17" max="17" width="33.44140625" customWidth="1"/>
    <col min="18" max="18" width="7" customWidth="1"/>
    <col min="19" max="40" width="10.5546875" customWidth="1"/>
  </cols>
  <sheetData>
    <row r="1" spans="1:40" ht="36.75" customHeight="1">
      <c r="A1" s="1" t="s">
        <v>0</v>
      </c>
      <c r="B1" s="2" t="s">
        <v>1</v>
      </c>
      <c r="C1" s="3" t="s">
        <v>2</v>
      </c>
      <c r="D1" s="4" t="s">
        <v>3</v>
      </c>
      <c r="E1" s="5" t="s">
        <v>4</v>
      </c>
      <c r="F1" s="6" t="s">
        <v>5</v>
      </c>
      <c r="G1" s="7" t="s">
        <v>6</v>
      </c>
      <c r="H1" s="8" t="s">
        <v>7</v>
      </c>
      <c r="I1" s="9" t="s">
        <v>8</v>
      </c>
      <c r="J1" s="9" t="s">
        <v>9</v>
      </c>
      <c r="K1" s="10" t="s">
        <v>10</v>
      </c>
      <c r="L1" s="10" t="s">
        <v>11</v>
      </c>
      <c r="M1" s="7" t="s">
        <v>12</v>
      </c>
      <c r="N1" s="11" t="s">
        <v>13</v>
      </c>
      <c r="O1" s="12" t="s">
        <v>14</v>
      </c>
      <c r="P1" s="12" t="s">
        <v>15</v>
      </c>
      <c r="Q1" s="13" t="s">
        <v>16</v>
      </c>
      <c r="R1" s="14" t="s">
        <v>17</v>
      </c>
      <c r="S1" s="15"/>
      <c r="T1" s="15"/>
      <c r="U1" s="15"/>
      <c r="V1" s="15"/>
      <c r="W1" s="15"/>
      <c r="X1" s="15"/>
      <c r="Y1" s="15"/>
      <c r="Z1" s="15"/>
      <c r="AA1" s="15"/>
      <c r="AB1" s="15"/>
      <c r="AC1" s="15"/>
      <c r="AD1" s="15"/>
      <c r="AE1" s="15"/>
      <c r="AF1" s="15"/>
      <c r="AG1" s="15"/>
      <c r="AH1" s="15"/>
      <c r="AI1" s="15"/>
      <c r="AJ1" s="15"/>
      <c r="AK1" s="15"/>
      <c r="AL1" s="15"/>
      <c r="AM1" s="15"/>
      <c r="AN1" s="15"/>
    </row>
    <row r="2" spans="1:40" ht="29.25" customHeight="1">
      <c r="A2" s="16" t="s">
        <v>18</v>
      </c>
      <c r="B2" s="17" t="s">
        <v>19</v>
      </c>
      <c r="C2" s="18" t="s">
        <v>20</v>
      </c>
      <c r="D2" s="19" t="s">
        <v>21</v>
      </c>
      <c r="E2" s="19"/>
      <c r="F2" s="20" t="s">
        <v>22</v>
      </c>
      <c r="G2" s="21">
        <v>100</v>
      </c>
      <c r="H2" s="22">
        <f>IF(OR(J2="",K2="",K2&lt;J2),0,NETWORKDAYS(J2,K2,Hoja2!$A$2:$A$53))</f>
        <v>1</v>
      </c>
      <c r="I2" s="23">
        <v>45826</v>
      </c>
      <c r="J2" s="23">
        <v>45827</v>
      </c>
      <c r="K2" s="24">
        <v>45827</v>
      </c>
      <c r="L2" s="24">
        <v>45827</v>
      </c>
      <c r="M2" s="25">
        <f ca="1">IF(OR(J2="",AND(L2="",TODAY()&lt;J2),AND(L2&lt;&gt;"",L2&lt;J2)),0,
   IF(L2="",
      NETWORKDAYS(J2,TODAY(),Hoja2!$A$2:$A$53),
      NETWORKDAYS(J2,L2,Hoja2!$A$2:$A$53)
   )
)</f>
        <v>1</v>
      </c>
      <c r="N2" s="26"/>
      <c r="O2" s="26"/>
      <c r="P2" s="27"/>
      <c r="Q2" s="28" t="s">
        <v>23</v>
      </c>
      <c r="R2" s="160" t="s">
        <v>518</v>
      </c>
    </row>
    <row r="3" spans="1:40" ht="29.25" customHeight="1">
      <c r="A3" s="29" t="s">
        <v>18</v>
      </c>
      <c r="B3" s="30" t="s">
        <v>24</v>
      </c>
      <c r="C3" s="31" t="s">
        <v>25</v>
      </c>
      <c r="D3" s="32" t="s">
        <v>21</v>
      </c>
      <c r="E3" s="32"/>
      <c r="F3" s="33" t="s">
        <v>22</v>
      </c>
      <c r="G3" s="34">
        <v>100</v>
      </c>
      <c r="H3" s="35">
        <f>IF(OR(J3="",K3="",K3&lt;J3),0,NETWORKDAYS(J3,K3,Hoja2!$A$2:$A$53))</f>
        <v>1</v>
      </c>
      <c r="I3" s="36">
        <v>45827</v>
      </c>
      <c r="J3" s="37">
        <v>45832</v>
      </c>
      <c r="K3" s="38">
        <v>45832</v>
      </c>
      <c r="L3" s="38">
        <v>45832</v>
      </c>
      <c r="M3" s="39">
        <f ca="1">IF(OR(J3="",AND(L3="",TODAY()&lt;J3),AND(L3&lt;&gt;"",L3&lt;J3)),0,
   IF(L3="",
      NETWORKDAYS(J3,TODAY(),Hoja2!$A$2:$A$53),
      NETWORKDAYS(J3,L3,Hoja2!$A$2:$A$53)
   )
)</f>
        <v>1</v>
      </c>
      <c r="N3" s="40"/>
      <c r="O3" s="40"/>
      <c r="P3" s="41"/>
      <c r="Q3" s="42" t="s">
        <v>26</v>
      </c>
      <c r="R3" s="160" t="s">
        <v>518</v>
      </c>
    </row>
    <row r="4" spans="1:40" ht="29.25" customHeight="1">
      <c r="A4" s="16" t="s">
        <v>18</v>
      </c>
      <c r="B4" s="17" t="s">
        <v>27</v>
      </c>
      <c r="C4" s="18" t="s">
        <v>28</v>
      </c>
      <c r="D4" s="19" t="s">
        <v>29</v>
      </c>
      <c r="E4" s="19"/>
      <c r="F4" s="20" t="s">
        <v>22</v>
      </c>
      <c r="G4" s="21">
        <v>100</v>
      </c>
      <c r="H4" s="22">
        <f>IF(OR(J4="",K4="",K4&lt;J4),0,NETWORKDAYS(J4,K4,Hoja2!$A$2:$A$53))</f>
        <v>0</v>
      </c>
      <c r="I4" s="43">
        <v>45832</v>
      </c>
      <c r="J4" s="43">
        <v>45839</v>
      </c>
      <c r="K4" s="24">
        <v>45833</v>
      </c>
      <c r="L4" s="24">
        <v>45839</v>
      </c>
      <c r="M4" s="25">
        <f ca="1">IF(OR(J4="",AND(L4="",TODAY()&lt;J4),AND(L4&lt;&gt;"",L4&lt;J4)),0,
   IF(L4="",
      NETWORKDAYS(J4,TODAY(),Hoja2!$A$2:$A$53),
      NETWORKDAYS(J4,L4,Hoja2!$A$2:$A$53)
   )
)</f>
        <v>1</v>
      </c>
      <c r="N4" s="24"/>
      <c r="O4" s="24">
        <v>45839</v>
      </c>
      <c r="P4" s="24">
        <v>45853</v>
      </c>
      <c r="Q4" s="44" t="s">
        <v>30</v>
      </c>
      <c r="R4" s="160" t="s">
        <v>518</v>
      </c>
    </row>
    <row r="5" spans="1:40" ht="29.25" customHeight="1">
      <c r="A5" s="29" t="s">
        <v>18</v>
      </c>
      <c r="B5" s="30" t="s">
        <v>31</v>
      </c>
      <c r="C5" s="31" t="s">
        <v>32</v>
      </c>
      <c r="D5" s="32" t="s">
        <v>29</v>
      </c>
      <c r="E5" s="45"/>
      <c r="F5" s="33" t="s">
        <v>22</v>
      </c>
      <c r="G5" s="34">
        <v>100</v>
      </c>
      <c r="H5" s="35">
        <f>IF(OR(J5="",K5="",K5&lt;J5),0,NETWORKDAYS(J5,K5,Hoja2!$A$2:$A$53))</f>
        <v>2</v>
      </c>
      <c r="I5" s="37">
        <v>45839</v>
      </c>
      <c r="J5" s="37">
        <v>45839</v>
      </c>
      <c r="K5" s="38">
        <v>45840</v>
      </c>
      <c r="L5" s="38">
        <v>45848</v>
      </c>
      <c r="M5" s="39">
        <f ca="1">IF(OR(J5="",AND(L5="",TODAY()&lt;J5),AND(L5&lt;&gt;"",L5&lt;J5)),0,
   IF(L5="",
      NETWORKDAYS(J5,TODAY(),Hoja2!$A$2:$A$53),
      NETWORKDAYS(J5,L5,Hoja2!$A$2:$A$53)
   )
)</f>
        <v>8</v>
      </c>
      <c r="N5" s="38"/>
      <c r="O5" s="38">
        <v>45848</v>
      </c>
      <c r="P5" s="38">
        <v>45853</v>
      </c>
      <c r="Q5" s="42" t="s">
        <v>33</v>
      </c>
      <c r="R5" s="160" t="s">
        <v>518</v>
      </c>
    </row>
    <row r="6" spans="1:40" ht="29.25" customHeight="1">
      <c r="A6" s="16" t="s">
        <v>18</v>
      </c>
      <c r="B6" s="17" t="s">
        <v>34</v>
      </c>
      <c r="C6" s="18" t="s">
        <v>35</v>
      </c>
      <c r="D6" s="19" t="s">
        <v>29</v>
      </c>
      <c r="E6" s="46"/>
      <c r="F6" s="47" t="s">
        <v>22</v>
      </c>
      <c r="G6" s="21">
        <v>100</v>
      </c>
      <c r="H6" s="22">
        <f>IF(OR(J6="",K6="",K6&lt;J6),0,NETWORKDAYS(J6,K6,Hoja2!$A$2:$A$53))</f>
        <v>1</v>
      </c>
      <c r="I6" s="43">
        <v>45839</v>
      </c>
      <c r="J6" s="43">
        <v>45840</v>
      </c>
      <c r="K6" s="24">
        <v>45840</v>
      </c>
      <c r="L6" s="24">
        <v>45840</v>
      </c>
      <c r="M6" s="25">
        <f ca="1">IF(OR(J6="",AND(L6="",TODAY()&lt;J6),AND(L6&lt;&gt;"",L6&lt;J6)),0,
   IF(L6="",
      NETWORKDAYS(J6,TODAY(),Hoja2!$A$2:$A$53),
      NETWORKDAYS(J6,L6,Hoja2!$A$2:$A$53)
   )
)</f>
        <v>1</v>
      </c>
      <c r="N6" s="24"/>
      <c r="O6" s="24">
        <v>45840</v>
      </c>
      <c r="P6" s="24">
        <v>45853</v>
      </c>
      <c r="Q6" s="48" t="s">
        <v>36</v>
      </c>
      <c r="R6" s="160" t="s">
        <v>518</v>
      </c>
    </row>
    <row r="7" spans="1:40" ht="29.25" customHeight="1">
      <c r="A7" s="29" t="s">
        <v>18</v>
      </c>
      <c r="B7" s="30" t="s">
        <v>37</v>
      </c>
      <c r="C7" s="31" t="s">
        <v>38</v>
      </c>
      <c r="D7" s="32" t="s">
        <v>29</v>
      </c>
      <c r="E7" s="32"/>
      <c r="F7" s="49" t="s">
        <v>22</v>
      </c>
      <c r="G7" s="34">
        <v>100</v>
      </c>
      <c r="H7" s="35">
        <f>IF(OR(J7="",K7="",K7&lt;J7),0,NETWORKDAYS(J7,K7,Hoja2!$A$2:$A$53))</f>
        <v>2</v>
      </c>
      <c r="I7" s="37">
        <v>45847</v>
      </c>
      <c r="J7" s="37">
        <v>45847</v>
      </c>
      <c r="K7" s="38">
        <v>45848</v>
      </c>
      <c r="L7" s="38">
        <v>45848</v>
      </c>
      <c r="M7" s="39">
        <f ca="1">IF(OR(J7="",AND(L7="",TODAY()&lt;J7),AND(L7&lt;&gt;"",L7&lt;J7)),0,
   IF(L7="",
      NETWORKDAYS(J7,TODAY(),Hoja2!$A$2:$A$53),
      NETWORKDAYS(J7,L7,Hoja2!$A$2:$A$53)
   )
)</f>
        <v>2</v>
      </c>
      <c r="N7" s="38"/>
      <c r="O7" s="38">
        <v>45848</v>
      </c>
      <c r="P7" s="38">
        <v>45853</v>
      </c>
      <c r="Q7" s="42" t="s">
        <v>39</v>
      </c>
      <c r="R7" s="160" t="s">
        <v>518</v>
      </c>
    </row>
    <row r="8" spans="1:40" ht="29.25" customHeight="1">
      <c r="A8" s="16" t="s">
        <v>18</v>
      </c>
      <c r="B8" s="17" t="s">
        <v>40</v>
      </c>
      <c r="C8" s="18" t="s">
        <v>41</v>
      </c>
      <c r="D8" s="19" t="s">
        <v>42</v>
      </c>
      <c r="E8" s="50"/>
      <c r="F8" s="20" t="s">
        <v>22</v>
      </c>
      <c r="G8" s="21">
        <v>100</v>
      </c>
      <c r="H8" s="22">
        <f>IF(OR(J8="",K8="",K8&lt;J8),0,NETWORKDAYS(J8,K8,Hoja2!$A$2:$A$53))</f>
        <v>1</v>
      </c>
      <c r="I8" s="43">
        <v>45832</v>
      </c>
      <c r="J8" s="43">
        <v>45832</v>
      </c>
      <c r="K8" s="24">
        <v>45832</v>
      </c>
      <c r="L8" s="24">
        <v>45832</v>
      </c>
      <c r="M8" s="25">
        <f ca="1">IF(OR(J8="",AND(L8="",TODAY()&lt;J8),AND(L8&lt;&gt;"",L8&lt;J8)),0,
   IF(L8="",
      NETWORKDAYS(J8,TODAY(),Hoja2!$A$2:$A$53),
      NETWORKDAYS(J8,L8,Hoja2!$A$2:$A$53)
   )
)</f>
        <v>1</v>
      </c>
      <c r="N8" s="51"/>
      <c r="O8" s="51"/>
      <c r="P8" s="51"/>
      <c r="Q8" s="52" t="s">
        <v>43</v>
      </c>
      <c r="R8" s="160" t="s">
        <v>518</v>
      </c>
    </row>
    <row r="9" spans="1:40" ht="29.25" customHeight="1">
      <c r="A9" s="29" t="s">
        <v>18</v>
      </c>
      <c r="B9" s="30" t="s">
        <v>44</v>
      </c>
      <c r="C9" s="31" t="s">
        <v>45</v>
      </c>
      <c r="D9" s="53"/>
      <c r="E9" s="32"/>
      <c r="F9" s="49" t="s">
        <v>22</v>
      </c>
      <c r="G9" s="34">
        <v>100</v>
      </c>
      <c r="H9" s="35">
        <f>IF(OR(J9="",K9="",K9&lt;J9),0,NETWORKDAYS(J9,K9,Hoja2!$A$2:$A$53))</f>
        <v>1</v>
      </c>
      <c r="I9" s="37">
        <v>45847</v>
      </c>
      <c r="J9" s="37">
        <v>45847</v>
      </c>
      <c r="K9" s="38">
        <v>45847</v>
      </c>
      <c r="L9" s="38">
        <v>45847</v>
      </c>
      <c r="M9" s="39">
        <f ca="1">IF(OR(J9="",AND(L9="",TODAY()&lt;J9),AND(L9&lt;&gt;"",L9&lt;J9)),0,
   IF(L9="",
      NETWORKDAYS(J9,TODAY(),Hoja2!$A$2:$A$53),
      NETWORKDAYS(J9,L9,Hoja2!$A$2:$A$53)
   )
)</f>
        <v>1</v>
      </c>
      <c r="N9" s="38"/>
      <c r="O9" s="38">
        <v>45847</v>
      </c>
      <c r="P9" s="54"/>
      <c r="Q9" s="42" t="s">
        <v>46</v>
      </c>
      <c r="R9" s="160" t="s">
        <v>518</v>
      </c>
      <c r="S9" s="55"/>
      <c r="T9" s="55"/>
      <c r="U9" s="55"/>
      <c r="V9" s="55"/>
      <c r="W9" s="55"/>
      <c r="X9" s="55"/>
      <c r="Y9" s="55"/>
      <c r="Z9" s="55"/>
      <c r="AA9" s="55"/>
      <c r="AB9" s="55"/>
      <c r="AC9" s="55"/>
      <c r="AD9" s="55"/>
      <c r="AE9" s="55"/>
      <c r="AF9" s="55"/>
      <c r="AG9" s="55"/>
      <c r="AH9" s="55"/>
      <c r="AI9" s="55"/>
      <c r="AJ9" s="55"/>
      <c r="AK9" s="55"/>
      <c r="AL9" s="55"/>
      <c r="AM9" s="55"/>
      <c r="AN9" s="56"/>
    </row>
    <row r="10" spans="1:40" ht="29.25" customHeight="1">
      <c r="A10" s="16" t="s">
        <v>18</v>
      </c>
      <c r="B10" s="17" t="s">
        <v>47</v>
      </c>
      <c r="C10" s="18" t="s">
        <v>48</v>
      </c>
      <c r="D10" s="57"/>
      <c r="E10" s="19"/>
      <c r="F10" s="58" t="s">
        <v>22</v>
      </c>
      <c r="G10" s="21">
        <v>100</v>
      </c>
      <c r="H10" s="22">
        <f>IF(OR(J10="",K10="",K10&lt;J10),0,NETWORKDAYS(J10,K10,Hoja2!$A$2:$A$53))</f>
        <v>1</v>
      </c>
      <c r="I10" s="43">
        <v>45849</v>
      </c>
      <c r="J10" s="43">
        <v>45849</v>
      </c>
      <c r="K10" s="24">
        <v>45849</v>
      </c>
      <c r="L10" s="24">
        <v>45849</v>
      </c>
      <c r="M10" s="25">
        <f ca="1">IF(OR(J10="",AND(L10="",TODAY()&lt;J10),AND(L10&lt;&gt;"",L10&lt;J10)),0,
   IF(L10="",
      NETWORKDAYS(J10,TODAY(),Hoja2!$A$2:$A$53),
      NETWORKDAYS(J10,L10,Hoja2!$A$2:$A$53)
   )
)</f>
        <v>1</v>
      </c>
      <c r="N10" s="24"/>
      <c r="O10" s="24"/>
      <c r="P10" s="51"/>
      <c r="Q10" s="48" t="s">
        <v>49</v>
      </c>
      <c r="R10" s="160" t="s">
        <v>518</v>
      </c>
      <c r="S10" s="59"/>
      <c r="T10" s="59"/>
      <c r="U10" s="59"/>
      <c r="V10" s="59"/>
      <c r="W10" s="59"/>
      <c r="X10" s="59"/>
      <c r="Y10" s="59"/>
      <c r="Z10" s="59"/>
      <c r="AA10" s="59"/>
      <c r="AB10" s="59"/>
      <c r="AC10" s="59"/>
      <c r="AD10" s="59"/>
      <c r="AE10" s="59"/>
      <c r="AF10" s="59"/>
      <c r="AG10" s="59"/>
      <c r="AH10" s="59"/>
      <c r="AI10" s="59"/>
      <c r="AJ10" s="59"/>
      <c r="AK10" s="59"/>
      <c r="AL10" s="59"/>
      <c r="AM10" s="59"/>
      <c r="AN10" s="60"/>
    </row>
    <row r="11" spans="1:40" ht="29.25" customHeight="1">
      <c r="A11" s="29" t="s">
        <v>18</v>
      </c>
      <c r="B11" s="30" t="s">
        <v>50</v>
      </c>
      <c r="C11" s="31" t="s">
        <v>51</v>
      </c>
      <c r="D11" s="32" t="s">
        <v>42</v>
      </c>
      <c r="E11" s="61"/>
      <c r="F11" s="49" t="s">
        <v>22</v>
      </c>
      <c r="G11" s="34">
        <v>100</v>
      </c>
      <c r="H11" s="35">
        <f>IF(OR(J11="",K11="",K11&lt;J11),0,NETWORKDAYS(J11,K11,Hoja2!$A$2:$A$53))</f>
        <v>1</v>
      </c>
      <c r="I11" s="37">
        <v>45854</v>
      </c>
      <c r="J11" s="37">
        <v>45854</v>
      </c>
      <c r="K11" s="38">
        <v>45854</v>
      </c>
      <c r="L11" s="38">
        <v>45854</v>
      </c>
      <c r="M11" s="39">
        <f ca="1">IF(OR(J11="",AND(L11="",TODAY()&lt;J11),AND(L11&lt;&gt;"",L11&lt;J11)),0,
   IF(L11="",
      NETWORKDAYS(J11,TODAY(),Hoja2!$A$2:$A$53),
      NETWORKDAYS(J11,L11,Hoja2!$A$2:$A$53)
   )
)</f>
        <v>1</v>
      </c>
      <c r="N11" s="38"/>
      <c r="O11" s="38">
        <v>45854</v>
      </c>
      <c r="P11" s="54"/>
      <c r="Q11" s="42" t="s">
        <v>52</v>
      </c>
      <c r="R11" s="160" t="s">
        <v>518</v>
      </c>
      <c r="S11" s="55"/>
      <c r="T11" s="55"/>
      <c r="U11" s="55"/>
      <c r="V11" s="55"/>
      <c r="W11" s="55"/>
      <c r="X11" s="55"/>
      <c r="Y11" s="55"/>
      <c r="Z11" s="55"/>
      <c r="AA11" s="55"/>
      <c r="AB11" s="55"/>
      <c r="AC11" s="55"/>
      <c r="AD11" s="55"/>
      <c r="AE11" s="55"/>
      <c r="AF11" s="55"/>
      <c r="AG11" s="55"/>
      <c r="AH11" s="55"/>
      <c r="AI11" s="55"/>
      <c r="AJ11" s="55"/>
      <c r="AK11" s="55"/>
      <c r="AL11" s="55"/>
      <c r="AM11" s="55"/>
      <c r="AN11" s="56"/>
    </row>
    <row r="12" spans="1:40" ht="29.25" customHeight="1">
      <c r="A12" s="16" t="s">
        <v>18</v>
      </c>
      <c r="B12" s="17" t="s">
        <v>53</v>
      </c>
      <c r="C12" s="18" t="s">
        <v>54</v>
      </c>
      <c r="D12" s="19" t="s">
        <v>55</v>
      </c>
      <c r="E12" s="19"/>
      <c r="F12" s="58" t="s">
        <v>22</v>
      </c>
      <c r="G12" s="21">
        <v>100</v>
      </c>
      <c r="H12" s="22">
        <f>IF(OR(J12="",K12="",K12&lt;J12),0,NETWORKDAYS(J12,K12,Hoja2!$A$2:$A$53))</f>
        <v>5</v>
      </c>
      <c r="I12" s="43">
        <v>45855</v>
      </c>
      <c r="J12" s="43">
        <v>45856</v>
      </c>
      <c r="K12" s="24">
        <v>45862</v>
      </c>
      <c r="L12" s="24">
        <v>45861</v>
      </c>
      <c r="M12" s="25">
        <f ca="1">IF(OR(J12="",AND(L12="",TODAY()&lt;J12),AND(L12&lt;&gt;"",L12&lt;J12)),0,
   IF(L12="",
      NETWORKDAYS(J12,TODAY(),Hoja2!$A$2:$A$53),
      NETWORKDAYS(J12,L12,Hoja2!$A$2:$A$53)
   )
)</f>
        <v>4</v>
      </c>
      <c r="N12" s="24"/>
      <c r="O12" s="24">
        <v>45861</v>
      </c>
      <c r="P12" s="51"/>
      <c r="Q12" s="48" t="s">
        <v>56</v>
      </c>
      <c r="R12" s="160" t="s">
        <v>518</v>
      </c>
      <c r="S12" s="59"/>
      <c r="T12" s="59"/>
      <c r="U12" s="59"/>
      <c r="V12" s="59"/>
      <c r="W12" s="59"/>
      <c r="X12" s="59"/>
      <c r="Y12" s="59"/>
      <c r="Z12" s="59"/>
      <c r="AA12" s="59"/>
      <c r="AB12" s="59"/>
      <c r="AC12" s="59"/>
      <c r="AD12" s="59"/>
      <c r="AE12" s="59"/>
      <c r="AF12" s="59"/>
      <c r="AG12" s="59"/>
      <c r="AH12" s="59"/>
      <c r="AI12" s="59"/>
      <c r="AJ12" s="59"/>
      <c r="AK12" s="59"/>
      <c r="AL12" s="59"/>
      <c r="AM12" s="59"/>
      <c r="AN12" s="60"/>
    </row>
    <row r="13" spans="1:40" ht="29.25" customHeight="1">
      <c r="A13" s="29" t="s">
        <v>18</v>
      </c>
      <c r="B13" s="30" t="s">
        <v>57</v>
      </c>
      <c r="C13" s="31" t="s">
        <v>58</v>
      </c>
      <c r="D13" s="32" t="s">
        <v>59</v>
      </c>
      <c r="E13" s="32"/>
      <c r="F13" s="49" t="s">
        <v>22</v>
      </c>
      <c r="G13" s="34">
        <v>100</v>
      </c>
      <c r="H13" s="35">
        <f>IF(OR(J13="",K13="",K13&lt;J13),0,NETWORKDAYS(J13,K13,Hoja2!$A$2:$A$53))</f>
        <v>1</v>
      </c>
      <c r="I13" s="37">
        <v>45860</v>
      </c>
      <c r="J13" s="37">
        <v>45860</v>
      </c>
      <c r="K13" s="38">
        <v>45860</v>
      </c>
      <c r="L13" s="38">
        <v>45860</v>
      </c>
      <c r="M13" s="39">
        <f ca="1">IF(OR(J13="",AND(L13="",TODAY()&lt;J13),AND(L13&lt;&gt;"",L13&lt;J13)),0,
   IF(L13="",
      NETWORKDAYS(J13,TODAY(),Hoja2!$A$2:$A$53),
      NETWORKDAYS(J13,L13,Hoja2!$A$2:$A$53)
   )
)</f>
        <v>1</v>
      </c>
      <c r="N13" s="54"/>
      <c r="O13" s="54"/>
      <c r="P13" s="54"/>
      <c r="Q13" s="42" t="s">
        <v>60</v>
      </c>
      <c r="R13" s="160" t="s">
        <v>518</v>
      </c>
      <c r="S13" s="55"/>
      <c r="T13" s="55"/>
      <c r="U13" s="55"/>
      <c r="V13" s="55"/>
      <c r="W13" s="55"/>
      <c r="X13" s="55"/>
      <c r="Y13" s="55"/>
      <c r="Z13" s="55"/>
      <c r="AA13" s="55"/>
      <c r="AB13" s="55"/>
      <c r="AC13" s="55"/>
      <c r="AD13" s="55"/>
      <c r="AE13" s="55"/>
      <c r="AF13" s="55"/>
      <c r="AG13" s="55"/>
      <c r="AH13" s="55"/>
      <c r="AI13" s="55"/>
      <c r="AJ13" s="55"/>
      <c r="AK13" s="55"/>
      <c r="AL13" s="55"/>
      <c r="AM13" s="55"/>
      <c r="AN13" s="56"/>
    </row>
    <row r="14" spans="1:40" ht="29.25" customHeight="1">
      <c r="A14" s="16" t="s">
        <v>18</v>
      </c>
      <c r="B14" s="17" t="s">
        <v>61</v>
      </c>
      <c r="C14" s="18" t="s">
        <v>62</v>
      </c>
      <c r="D14" s="62"/>
      <c r="E14" s="46"/>
      <c r="F14" s="52" t="s">
        <v>22</v>
      </c>
      <c r="G14" s="21">
        <v>100</v>
      </c>
      <c r="H14" s="22">
        <f>IF(OR(J14="",K14="",K14&lt;J14),0,NETWORKDAYS(J14,K14,Hoja2!$A$2:$A$53))</f>
        <v>2</v>
      </c>
      <c r="I14" s="43">
        <v>45863</v>
      </c>
      <c r="J14" s="43">
        <v>45863</v>
      </c>
      <c r="K14" s="24">
        <v>45866</v>
      </c>
      <c r="L14" s="24">
        <v>45866</v>
      </c>
      <c r="M14" s="25">
        <f ca="1">IF(OR(J14="",AND(L14="",TODAY()&lt;J14),AND(L14&lt;&gt;"",L14&lt;J14)),0,
   IF(L14="",
      NETWORKDAYS(J14,TODAY(),Hoja2!$A$2:$A$53),
      NETWORKDAYS(J14,L14,Hoja2!$A$2:$A$53)
   )
)</f>
        <v>2</v>
      </c>
      <c r="N14" s="51"/>
      <c r="O14" s="51"/>
      <c r="P14" s="51"/>
      <c r="Q14" s="48" t="s">
        <v>63</v>
      </c>
      <c r="R14" s="160" t="s">
        <v>518</v>
      </c>
      <c r="S14" s="59"/>
      <c r="T14" s="59"/>
      <c r="U14" s="59"/>
      <c r="V14" s="59"/>
      <c r="W14" s="59"/>
      <c r="X14" s="59"/>
      <c r="Y14" s="59"/>
      <c r="Z14" s="59"/>
      <c r="AA14" s="59"/>
      <c r="AB14" s="59"/>
      <c r="AC14" s="59"/>
      <c r="AD14" s="59"/>
      <c r="AE14" s="59"/>
      <c r="AF14" s="59"/>
      <c r="AG14" s="59"/>
      <c r="AH14" s="59"/>
      <c r="AI14" s="59"/>
      <c r="AJ14" s="59"/>
      <c r="AK14" s="59"/>
      <c r="AL14" s="59"/>
      <c r="AM14" s="59"/>
      <c r="AN14" s="60"/>
    </row>
    <row r="15" spans="1:40" ht="29.25" customHeight="1">
      <c r="A15" s="29" t="s">
        <v>18</v>
      </c>
      <c r="B15" s="30" t="s">
        <v>64</v>
      </c>
      <c r="C15" s="31" t="s">
        <v>65</v>
      </c>
      <c r="D15" s="32"/>
      <c r="E15" s="32"/>
      <c r="F15" s="33" t="s">
        <v>22</v>
      </c>
      <c r="G15" s="34">
        <v>100</v>
      </c>
      <c r="H15" s="35">
        <f>IF(OR(J15="",K15="",K15&lt;J15),0,NETWORKDAYS(J15,K15,Hoja2!$A$2:$A$53))</f>
        <v>2</v>
      </c>
      <c r="I15" s="36">
        <v>45824</v>
      </c>
      <c r="J15" s="36">
        <v>45825</v>
      </c>
      <c r="K15" s="38">
        <v>45826</v>
      </c>
      <c r="L15" s="38">
        <v>45827</v>
      </c>
      <c r="M15" s="39">
        <f ca="1">IF(OR(J15="",AND(L15="",TODAY()&lt;J15),AND(L15&lt;&gt;"",L15&lt;J15)),0,
   IF(L15="",
      NETWORKDAYS(J15,TODAY(),Hoja2!$A$2:$A$53),
      NETWORKDAYS(J15,L15,Hoja2!$A$2:$A$53)
   )
)</f>
        <v>3</v>
      </c>
      <c r="N15" s="36"/>
      <c r="O15" s="36">
        <v>45826</v>
      </c>
      <c r="P15" s="41"/>
      <c r="Q15" s="42" t="s">
        <v>66</v>
      </c>
      <c r="R15" s="160" t="s">
        <v>518</v>
      </c>
    </row>
    <row r="16" spans="1:40" ht="40.5" customHeight="1">
      <c r="A16" s="16" t="s">
        <v>18</v>
      </c>
      <c r="B16" s="17" t="s">
        <v>67</v>
      </c>
      <c r="C16" s="18" t="s">
        <v>68</v>
      </c>
      <c r="D16" s="19"/>
      <c r="E16" s="19"/>
      <c r="F16" s="20" t="s">
        <v>22</v>
      </c>
      <c r="G16" s="21">
        <v>100</v>
      </c>
      <c r="H16" s="22">
        <f>IF(OR(J16="",K16="",K16&lt;J16),0,NETWORKDAYS(J16,K16,Hoja2!$A$2:$A$53))</f>
        <v>2</v>
      </c>
      <c r="I16" s="23">
        <v>45826</v>
      </c>
      <c r="J16" s="23">
        <v>45828</v>
      </c>
      <c r="K16" s="24">
        <v>45832</v>
      </c>
      <c r="L16" s="24">
        <v>45833</v>
      </c>
      <c r="M16" s="25">
        <f ca="1">IF(OR(J16="",AND(L16="",TODAY()&lt;J16),AND(L16&lt;&gt;"",L16&lt;J16)),0,
   IF(L16="",
      NETWORKDAYS(J16,TODAY(),Hoja2!$A$2:$A$53),
      NETWORKDAYS(J16,L16,Hoja2!$A$2:$A$53)
   )
)</f>
        <v>3</v>
      </c>
      <c r="N16" s="24"/>
      <c r="O16" s="24">
        <v>45833</v>
      </c>
      <c r="P16" s="27"/>
      <c r="Q16" s="48" t="s">
        <v>69</v>
      </c>
      <c r="R16" s="160" t="s">
        <v>518</v>
      </c>
    </row>
    <row r="17" spans="1:18" ht="48" customHeight="1">
      <c r="A17" s="29" t="s">
        <v>18</v>
      </c>
      <c r="B17" s="30" t="s">
        <v>70</v>
      </c>
      <c r="C17" s="31" t="s">
        <v>71</v>
      </c>
      <c r="D17" s="32"/>
      <c r="E17" s="32"/>
      <c r="F17" s="33" t="s">
        <v>22</v>
      </c>
      <c r="G17" s="34">
        <v>100</v>
      </c>
      <c r="H17" s="35">
        <f>IF(OR(J17="",K17="",K17&lt;J17),0,NETWORKDAYS(J17,K17,Hoja2!$A$2:$A$53))</f>
        <v>0</v>
      </c>
      <c r="I17" s="36">
        <v>45826</v>
      </c>
      <c r="J17" s="37">
        <v>45869</v>
      </c>
      <c r="K17" s="38">
        <v>45834</v>
      </c>
      <c r="L17" s="38">
        <v>45870</v>
      </c>
      <c r="M17" s="39">
        <f ca="1">IF(OR(J17="",AND(L17="",TODAY()&lt;J17),AND(L17&lt;&gt;"",L17&lt;J17)),0,
   IF(L17="",
      NETWORKDAYS(J17,TODAY(),Hoja2!$A$2:$A$53),
      NETWORKDAYS(J17,L17,Hoja2!$A$2:$A$53)
   )
)</f>
        <v>2</v>
      </c>
      <c r="N17" s="38"/>
      <c r="O17" s="38">
        <v>45870</v>
      </c>
      <c r="P17" s="41"/>
      <c r="Q17" s="42" t="s">
        <v>72</v>
      </c>
      <c r="R17" s="160" t="s">
        <v>518</v>
      </c>
    </row>
    <row r="18" spans="1:18" ht="42" customHeight="1">
      <c r="A18" s="16" t="s">
        <v>18</v>
      </c>
      <c r="B18" s="17" t="s">
        <v>73</v>
      </c>
      <c r="C18" s="18" t="s">
        <v>74</v>
      </c>
      <c r="D18" s="63"/>
      <c r="E18" s="19"/>
      <c r="F18" s="58" t="s">
        <v>22</v>
      </c>
      <c r="G18" s="64">
        <v>100</v>
      </c>
      <c r="H18" s="22">
        <f>IF(OR(J18="",K18="",K18&lt;J18),0,NETWORKDAYS(J18,K18,Hoja2!$A$2:$A$53))</f>
        <v>0</v>
      </c>
      <c r="I18" s="43">
        <v>45833</v>
      </c>
      <c r="J18" s="24">
        <v>45841</v>
      </c>
      <c r="K18" s="24">
        <v>45839</v>
      </c>
      <c r="L18" s="24">
        <v>45845</v>
      </c>
      <c r="M18" s="25">
        <f ca="1">IF(OR(J18="",AND(L18="",TODAY()&lt;J18),AND(L18&lt;&gt;"",L18&lt;J18)),0,
   IF(L18="",
      NETWORKDAYS(J18,TODAY(),Hoja2!$A$2:$A$53),
      NETWORKDAYS(J18,L18,Hoja2!$A$2:$A$53)
   )
)</f>
        <v>3</v>
      </c>
      <c r="N18" s="24"/>
      <c r="O18" s="24">
        <v>45845</v>
      </c>
      <c r="P18" s="51"/>
      <c r="Q18" s="48" t="s">
        <v>75</v>
      </c>
      <c r="R18" s="160" t="s">
        <v>518</v>
      </c>
    </row>
    <row r="19" spans="1:18" ht="29.25" customHeight="1">
      <c r="A19" s="29" t="s">
        <v>18</v>
      </c>
      <c r="B19" s="30" t="s">
        <v>76</v>
      </c>
      <c r="C19" s="31" t="s">
        <v>77</v>
      </c>
      <c r="D19" s="65"/>
      <c r="E19" s="32"/>
      <c r="F19" s="66" t="s">
        <v>22</v>
      </c>
      <c r="G19" s="67">
        <v>100</v>
      </c>
      <c r="H19" s="35">
        <f>IF(OR(J19="",K19="",K19&lt;J19),0,NETWORKDAYS(J19,K19,Hoja2!$A$2:$A$53))</f>
        <v>1</v>
      </c>
      <c r="I19" s="37">
        <v>45845</v>
      </c>
      <c r="J19" s="37">
        <v>45845</v>
      </c>
      <c r="K19" s="38">
        <v>45845</v>
      </c>
      <c r="L19" s="38">
        <v>45845</v>
      </c>
      <c r="M19" s="39">
        <f ca="1">IF(OR(J19="",AND(L19="",TODAY()&lt;J19),AND(L19&lt;&gt;"",L19&lt;J19)),0,
   IF(L19="",
      NETWORKDAYS(J19,TODAY(),Hoja2!$A$2:$A$53),
      NETWORKDAYS(J19,L19,Hoja2!$A$2:$A$53)
   )
)</f>
        <v>1</v>
      </c>
      <c r="N19" s="38"/>
      <c r="O19" s="38">
        <v>45845</v>
      </c>
      <c r="P19" s="54"/>
      <c r="Q19" s="42" t="s">
        <v>78</v>
      </c>
      <c r="R19" s="160" t="s">
        <v>518</v>
      </c>
    </row>
    <row r="20" spans="1:18" ht="52.5" customHeight="1">
      <c r="A20" s="16" t="s">
        <v>18</v>
      </c>
      <c r="B20" s="17" t="s">
        <v>79</v>
      </c>
      <c r="C20" s="18" t="s">
        <v>80</v>
      </c>
      <c r="D20" s="57"/>
      <c r="E20" s="19"/>
      <c r="F20" s="58" t="s">
        <v>22</v>
      </c>
      <c r="G20" s="64">
        <v>100</v>
      </c>
      <c r="H20" s="22">
        <f>IF(OR(J20="",K20="",K20&lt;J20),0,NETWORKDAYS(J20,K20,Hoja2!$A$2:$A$53))</f>
        <v>3</v>
      </c>
      <c r="I20" s="43">
        <v>45854</v>
      </c>
      <c r="J20" s="43">
        <v>45854</v>
      </c>
      <c r="K20" s="24">
        <v>45858</v>
      </c>
      <c r="L20" s="51"/>
      <c r="M20" s="25">
        <f ca="1">IF(OR(J20="",AND(L20="",TODAY()&lt;J20),AND(L20&lt;&gt;"",L20&lt;J20)),0,
   IF(L20="",
      NETWORKDAYS(J20,TODAY(),Hoja2!$A$2:$A$53),
      NETWORKDAYS(J20,L20,Hoja2!$A$2:$A$53)
   )
)</f>
        <v>230</v>
      </c>
      <c r="N20" s="51"/>
      <c r="O20" s="51"/>
      <c r="P20" s="51"/>
      <c r="Q20" s="48" t="s">
        <v>81</v>
      </c>
      <c r="R20" s="160" t="s">
        <v>518</v>
      </c>
    </row>
    <row r="21" spans="1:18" ht="67.5" customHeight="1">
      <c r="A21" s="29" t="s">
        <v>18</v>
      </c>
      <c r="B21" s="30" t="s">
        <v>82</v>
      </c>
      <c r="C21" s="31" t="s">
        <v>83</v>
      </c>
      <c r="D21" s="32" t="s">
        <v>21</v>
      </c>
      <c r="E21" s="32"/>
      <c r="F21" s="33" t="s">
        <v>84</v>
      </c>
      <c r="G21" s="68"/>
      <c r="H21" s="35">
        <f>IF(OR(J21="",K21="",K21&lt;J21),0,NETWORKDAYS(J21,K21,Hoja2!$A$2:$A$53))</f>
        <v>0</v>
      </c>
      <c r="I21" s="37"/>
      <c r="J21" s="69"/>
      <c r="K21" s="54"/>
      <c r="L21" s="54"/>
      <c r="M21" s="39">
        <f ca="1">IF(OR(J21="",AND(L21="",TODAY()&lt;J21),AND(L21&lt;&gt;"",L21&lt;J21)),0,
   IF(L21="",
      NETWORKDAYS(J21,TODAY(),Hoja2!$A$2:$A$53),
      NETWORKDAYS(J21,L21,Hoja2!$A$2:$A$53)
   )
)</f>
        <v>0</v>
      </c>
      <c r="N21" s="54"/>
      <c r="O21" s="54"/>
      <c r="P21" s="54"/>
      <c r="Q21" s="70" t="s">
        <v>85</v>
      </c>
      <c r="R21" s="159" t="s">
        <v>517</v>
      </c>
    </row>
    <row r="22" spans="1:18" ht="129.75" customHeight="1">
      <c r="A22" s="16" t="s">
        <v>18</v>
      </c>
      <c r="B22" s="17" t="s">
        <v>86</v>
      </c>
      <c r="C22" s="18" t="s">
        <v>87</v>
      </c>
      <c r="D22" s="19" t="s">
        <v>42</v>
      </c>
      <c r="E22" s="71"/>
      <c r="F22" s="72" t="s">
        <v>22</v>
      </c>
      <c r="G22" s="64">
        <v>100</v>
      </c>
      <c r="H22" s="22">
        <f>IF(OR(J22="",K22="",K22&lt;J22),0,NETWORKDAYS(J22,K22,Hoja2!$A$2:$A$53))</f>
        <v>3</v>
      </c>
      <c r="I22" s="43">
        <v>45834</v>
      </c>
      <c r="J22" s="43">
        <v>45834</v>
      </c>
      <c r="K22" s="24">
        <v>45839</v>
      </c>
      <c r="L22" s="24">
        <v>45840</v>
      </c>
      <c r="M22" s="25">
        <f ca="1">IF(OR(J22="",AND(L22="",TODAY()&lt;J22),AND(L22&lt;&gt;"",L22&lt;J22)),0,
   IF(L22="",
      NETWORKDAYS(J22,TODAY(),Hoja2!$A$2:$A$53),
      NETWORKDAYS(J22,L22,Hoja2!$A$2:$A$53)
   )
)</f>
        <v>4</v>
      </c>
      <c r="N22" s="24"/>
      <c r="O22" s="24">
        <v>45840</v>
      </c>
      <c r="P22" s="51"/>
      <c r="Q22" s="52" t="s">
        <v>88</v>
      </c>
      <c r="R22" s="160" t="s">
        <v>518</v>
      </c>
    </row>
    <row r="23" spans="1:18" ht="69" customHeight="1">
      <c r="A23" s="29" t="s">
        <v>18</v>
      </c>
      <c r="B23" s="30" t="s">
        <v>89</v>
      </c>
      <c r="C23" s="31" t="s">
        <v>90</v>
      </c>
      <c r="D23" s="32" t="s">
        <v>91</v>
      </c>
      <c r="E23" s="73"/>
      <c r="F23" s="33" t="s">
        <v>22</v>
      </c>
      <c r="G23" s="74">
        <v>100</v>
      </c>
      <c r="H23" s="35">
        <f>IF(OR(J23="",K23="",K23&lt;J23),0,NETWORKDAYS(J23,K23,Hoja2!$A$2:$A$53))</f>
        <v>46</v>
      </c>
      <c r="I23" s="37">
        <v>45833</v>
      </c>
      <c r="J23" s="37">
        <v>45833</v>
      </c>
      <c r="K23" s="38">
        <v>45901</v>
      </c>
      <c r="L23" s="38">
        <v>45901</v>
      </c>
      <c r="M23" s="39">
        <f ca="1">IF(OR(J23="",AND(L23="",TODAY()&lt;J23),AND(L23&lt;&gt;"",L23&lt;J23)),0,
   IF(L23="",
      NETWORKDAYS(J23,TODAY(),Hoja2!$A$2:$A$53),
      NETWORKDAYS(J23,L23,Hoja2!$A$2:$A$53)
   )
)</f>
        <v>46</v>
      </c>
      <c r="N23" s="38"/>
      <c r="O23" s="38">
        <v>45901</v>
      </c>
      <c r="P23" s="54"/>
      <c r="Q23" s="70" t="s">
        <v>92</v>
      </c>
      <c r="R23" s="160" t="s">
        <v>518</v>
      </c>
    </row>
    <row r="24" spans="1:18" ht="78.75" customHeight="1">
      <c r="A24" s="16" t="s">
        <v>18</v>
      </c>
      <c r="B24" s="17" t="s">
        <v>93</v>
      </c>
      <c r="C24" s="18" t="s">
        <v>94</v>
      </c>
      <c r="D24" s="57"/>
      <c r="E24" s="46"/>
      <c r="F24" s="58" t="s">
        <v>22</v>
      </c>
      <c r="G24" s="64">
        <v>100</v>
      </c>
      <c r="H24" s="22">
        <f>IF(OR(J24="",K24="",K24&lt;J24),0,NETWORKDAYS(J24,K24,Hoja2!$A$2:$A$53))</f>
        <v>5</v>
      </c>
      <c r="I24" s="43">
        <v>45855</v>
      </c>
      <c r="J24" s="43">
        <v>45855</v>
      </c>
      <c r="K24" s="24">
        <v>45861</v>
      </c>
      <c r="L24" s="24">
        <v>45870</v>
      </c>
      <c r="M24" s="25">
        <f ca="1">IF(OR(J24="",AND(L24="",TODAY()&lt;J24),AND(L24&lt;&gt;"",L24&lt;J24)),0,
   IF(L24="",
      NETWORKDAYS(J24,TODAY(),Hoja2!$A$2:$A$53),
      NETWORKDAYS(J24,L24,Hoja2!$A$2:$A$53)
   )
)</f>
        <v>12</v>
      </c>
      <c r="N24" s="24"/>
      <c r="O24" s="24">
        <v>45870</v>
      </c>
      <c r="P24" s="51"/>
      <c r="Q24" s="48" t="s">
        <v>95</v>
      </c>
      <c r="R24" s="160" t="s">
        <v>518</v>
      </c>
    </row>
    <row r="25" spans="1:18" ht="63" customHeight="1">
      <c r="A25" s="29" t="s">
        <v>18</v>
      </c>
      <c r="B25" s="30" t="s">
        <v>96</v>
      </c>
      <c r="C25" s="31" t="s">
        <v>97</v>
      </c>
      <c r="D25" s="32" t="s">
        <v>98</v>
      </c>
      <c r="E25" s="32"/>
      <c r="F25" s="70" t="s">
        <v>22</v>
      </c>
      <c r="G25" s="74">
        <v>100</v>
      </c>
      <c r="H25" s="35">
        <f>IF(OR(J25="",K25="",K25&lt;J25),0,NETWORKDAYS(J25,K25,Hoja2!$A$2:$A$53))</f>
        <v>5</v>
      </c>
      <c r="I25" s="37">
        <v>45862</v>
      </c>
      <c r="J25" s="37">
        <v>45862</v>
      </c>
      <c r="K25" s="38">
        <v>45868</v>
      </c>
      <c r="L25" s="38">
        <v>45894</v>
      </c>
      <c r="M25" s="39">
        <f ca="1">IF(OR(J25="",AND(L25="",TODAY()&lt;J25),AND(L25&lt;&gt;"",L25&lt;J25)),0,
   IF(L25="",
      NETWORKDAYS(J25,TODAY(),Hoja2!$A$2:$A$53),
      NETWORKDAYS(J25,L25,Hoja2!$A$2:$A$53)
   )
)</f>
        <v>21</v>
      </c>
      <c r="N25" s="38"/>
      <c r="O25" s="38">
        <v>45894</v>
      </c>
      <c r="P25" s="38">
        <v>45894</v>
      </c>
      <c r="Q25" s="42" t="s">
        <v>99</v>
      </c>
      <c r="R25" s="160" t="s">
        <v>518</v>
      </c>
    </row>
    <row r="26" spans="1:18" ht="67.5" customHeight="1">
      <c r="A26" s="16" t="s">
        <v>18</v>
      </c>
      <c r="B26" s="17" t="s">
        <v>100</v>
      </c>
      <c r="C26" s="18" t="s">
        <v>101</v>
      </c>
      <c r="D26" s="19" t="s">
        <v>102</v>
      </c>
      <c r="E26" s="19"/>
      <c r="F26" s="52" t="s">
        <v>22</v>
      </c>
      <c r="G26" s="64">
        <v>100</v>
      </c>
      <c r="H26" s="22">
        <f>IF(OR(J26="",K26="",K26&lt;J26),0,NETWORKDAYS(J26,K26,Hoja2!$A$2:$A$53))</f>
        <v>4</v>
      </c>
      <c r="I26" s="43">
        <v>45868</v>
      </c>
      <c r="J26" s="43">
        <v>45868</v>
      </c>
      <c r="K26" s="24">
        <v>45873</v>
      </c>
      <c r="L26" s="24">
        <v>45870</v>
      </c>
      <c r="M26" s="25">
        <f ca="1">IF(OR(J26="",AND(L26="",TODAY()&lt;J26),AND(L26&lt;&gt;"",L26&lt;J26)),0,
   IF(L26="",
      NETWORKDAYS(J26,TODAY(),Hoja2!$A$2:$A$53),
      NETWORKDAYS(J26,L26,Hoja2!$A$2:$A$53)
   )
)</f>
        <v>3</v>
      </c>
      <c r="N26" s="51"/>
      <c r="O26" s="51"/>
      <c r="P26" s="51"/>
      <c r="Q26" s="48" t="s">
        <v>103</v>
      </c>
      <c r="R26" s="160" t="s">
        <v>518</v>
      </c>
    </row>
    <row r="27" spans="1:18" ht="55.5" customHeight="1">
      <c r="A27" s="29" t="s">
        <v>18</v>
      </c>
      <c r="B27" s="30" t="s">
        <v>104</v>
      </c>
      <c r="C27" s="31" t="s">
        <v>105</v>
      </c>
      <c r="D27" s="32" t="s">
        <v>102</v>
      </c>
      <c r="E27" s="32" t="s">
        <v>106</v>
      </c>
      <c r="F27" s="70" t="s">
        <v>84</v>
      </c>
      <c r="G27" s="68"/>
      <c r="H27" s="35">
        <f>IF(OR(J27="",K27="",K27&lt;J27),0,NETWORKDAYS(J27,K27,Hoja2!$A$2:$A$53))</f>
        <v>0</v>
      </c>
      <c r="I27" s="54"/>
      <c r="J27" s="54"/>
      <c r="K27" s="54"/>
      <c r="L27" s="54"/>
      <c r="M27" s="39">
        <f ca="1">IF(OR(J27="",AND(L27="",TODAY()&lt;J27),AND(L27&lt;&gt;"",L27&lt;J27)),0,
   IF(L27="",
      NETWORKDAYS(J27,TODAY(),Hoja2!$A$2:$A$53),
      NETWORKDAYS(J27,L27,Hoja2!$A$2:$A$53)
   )
)</f>
        <v>0</v>
      </c>
      <c r="N27" s="54"/>
      <c r="O27" s="54"/>
      <c r="P27" s="54"/>
      <c r="Q27" s="42" t="s">
        <v>107</v>
      </c>
      <c r="R27" s="159" t="s">
        <v>517</v>
      </c>
    </row>
    <row r="28" spans="1:18" ht="138" customHeight="1">
      <c r="A28" s="16" t="s">
        <v>18</v>
      </c>
      <c r="B28" s="17" t="s">
        <v>108</v>
      </c>
      <c r="C28" s="18" t="s">
        <v>109</v>
      </c>
      <c r="D28" s="19"/>
      <c r="E28" s="19"/>
      <c r="F28" s="52" t="s">
        <v>22</v>
      </c>
      <c r="G28" s="21">
        <v>100</v>
      </c>
      <c r="H28" s="22">
        <f>IF(OR(J28="",K28="",K28&lt;J28),0,NETWORKDAYS(J28,K28,Hoja2!$A$2:$A$53))</f>
        <v>3</v>
      </c>
      <c r="I28" s="43">
        <v>45894</v>
      </c>
      <c r="J28" s="43">
        <v>45894</v>
      </c>
      <c r="K28" s="24">
        <v>45896</v>
      </c>
      <c r="L28" s="24">
        <v>45896</v>
      </c>
      <c r="M28" s="25">
        <f ca="1">IF(OR(J28="",AND(L28="",TODAY()&lt;J28),AND(L28&lt;&gt;"",L28&lt;J28)),0,
   IF(L28="",
      NETWORKDAYS(J28,TODAY(),Hoja2!$A$2:$A$53),
      NETWORKDAYS(J28,L28,Hoja2!$A$2:$A$53)
   )
)</f>
        <v>3</v>
      </c>
      <c r="N28" s="24"/>
      <c r="O28" s="24">
        <v>45896</v>
      </c>
      <c r="P28" s="51"/>
      <c r="Q28" s="75" t="s">
        <v>110</v>
      </c>
      <c r="R28" s="160" t="s">
        <v>518</v>
      </c>
    </row>
    <row r="29" spans="1:18" ht="67.5" customHeight="1">
      <c r="A29" s="29" t="s">
        <v>18</v>
      </c>
      <c r="B29" s="30" t="s">
        <v>111</v>
      </c>
      <c r="C29" s="31" t="s">
        <v>112</v>
      </c>
      <c r="D29" s="32" t="s">
        <v>113</v>
      </c>
      <c r="E29" s="32"/>
      <c r="F29" s="70" t="s">
        <v>22</v>
      </c>
      <c r="G29" s="74">
        <v>100</v>
      </c>
      <c r="H29" s="35">
        <f>IF(OR(J29="",K29="",K29&lt;J29),0,NETWORKDAYS(J29,K29,Hoja2!$A$2:$A$53))</f>
        <v>5</v>
      </c>
      <c r="I29" s="37">
        <v>45866</v>
      </c>
      <c r="J29" s="37">
        <v>45866</v>
      </c>
      <c r="K29" s="38">
        <v>45870</v>
      </c>
      <c r="L29" s="38">
        <v>45870</v>
      </c>
      <c r="M29" s="39">
        <f ca="1">IF(OR(J29="",AND(L29="",TODAY()&lt;J29),AND(L29&lt;&gt;"",L29&lt;J29)),0,
   IF(L29="",
      NETWORKDAYS(J29,TODAY(),Hoja2!$A$2:$A$53),
      NETWORKDAYS(J29,L29,Hoja2!$A$2:$A$53)
   )
)</f>
        <v>5</v>
      </c>
      <c r="N29" s="38"/>
      <c r="O29" s="38">
        <v>45870</v>
      </c>
      <c r="P29" s="54"/>
      <c r="Q29" s="42"/>
      <c r="R29" s="160" t="s">
        <v>518</v>
      </c>
    </row>
    <row r="30" spans="1:18" ht="85.5">
      <c r="A30" s="16" t="s">
        <v>18</v>
      </c>
      <c r="B30" s="17" t="s">
        <v>114</v>
      </c>
      <c r="C30" s="18" t="s">
        <v>109</v>
      </c>
      <c r="D30" s="19"/>
      <c r="E30" s="19"/>
      <c r="F30" s="52" t="s">
        <v>22</v>
      </c>
      <c r="G30" s="64">
        <v>100</v>
      </c>
      <c r="H30" s="22">
        <f>IF(OR(J30="",K30="",K30&lt;J30),0,NETWORKDAYS(J30,K30,Hoja2!$A$2:$A$53))</f>
        <v>5</v>
      </c>
      <c r="I30" s="43">
        <v>45896</v>
      </c>
      <c r="J30" s="43">
        <v>45896</v>
      </c>
      <c r="K30" s="24">
        <v>45902</v>
      </c>
      <c r="L30" s="24">
        <v>45902</v>
      </c>
      <c r="M30" s="25">
        <f ca="1">IF(OR(J30="",AND(L30="",TODAY()&lt;J30),AND(L30&lt;&gt;"",L30&lt;J30)),0,
   IF(L30="",
      NETWORKDAYS(J30,TODAY(),Hoja2!$A$2:$A$53),
      NETWORKDAYS(J30,L30,Hoja2!$A$2:$A$53)
   )
)</f>
        <v>5</v>
      </c>
      <c r="N30" s="24"/>
      <c r="O30" s="24">
        <v>45902</v>
      </c>
      <c r="P30" s="51"/>
      <c r="Q30" s="75"/>
      <c r="R30" s="160" t="s">
        <v>518</v>
      </c>
    </row>
    <row r="31" spans="1:18" ht="71.25">
      <c r="A31" s="29" t="s">
        <v>18</v>
      </c>
      <c r="B31" s="30" t="s">
        <v>115</v>
      </c>
      <c r="C31" s="31" t="s">
        <v>116</v>
      </c>
      <c r="D31" s="32"/>
      <c r="E31" s="32"/>
      <c r="F31" s="70" t="s">
        <v>22</v>
      </c>
      <c r="G31" s="34">
        <v>100</v>
      </c>
      <c r="H31" s="35">
        <f>IF(OR(J31="",K31="",K31&lt;J31),0,NETWORKDAYS(J31,K31,Hoja2!$A$2:$A$53))</f>
        <v>3</v>
      </c>
      <c r="I31" s="37">
        <v>45902</v>
      </c>
      <c r="J31" s="37">
        <v>45902</v>
      </c>
      <c r="K31" s="38">
        <v>45904</v>
      </c>
      <c r="L31" s="38">
        <v>45903</v>
      </c>
      <c r="M31" s="39">
        <f ca="1">IF(OR(J31="",AND(L31="",TODAY()&lt;J31),AND(L31&lt;&gt;"",L31&lt;J31)),0,
   IF(L31="",
      NETWORKDAYS(J31,TODAY(),Hoja2!$A$2:$A$53),
      NETWORKDAYS(J31,L31,Hoja2!$A$2:$A$53)
   )
)</f>
        <v>2</v>
      </c>
      <c r="N31" s="38"/>
      <c r="O31" s="38">
        <v>45903</v>
      </c>
      <c r="P31" s="54"/>
      <c r="Q31" s="76"/>
      <c r="R31" s="160" t="s">
        <v>518</v>
      </c>
    </row>
    <row r="32" spans="1:18" ht="42.75">
      <c r="A32" s="16" t="s">
        <v>18</v>
      </c>
      <c r="B32" s="17" t="s">
        <v>117</v>
      </c>
      <c r="C32" s="18" t="s">
        <v>118</v>
      </c>
      <c r="D32" s="19"/>
      <c r="E32" s="19"/>
      <c r="F32" s="52" t="s">
        <v>22</v>
      </c>
      <c r="G32" s="64">
        <v>100</v>
      </c>
      <c r="H32" s="22">
        <f>IF(OR(J32="",K32="",K32&lt;J32),0,NETWORKDAYS(J32,K32,Hoja2!$A$2:$A$53))</f>
        <v>2</v>
      </c>
      <c r="I32" s="43">
        <v>45904</v>
      </c>
      <c r="J32" s="43">
        <v>45908</v>
      </c>
      <c r="K32" s="24">
        <v>45909</v>
      </c>
      <c r="L32" s="24">
        <v>45908</v>
      </c>
      <c r="M32" s="25">
        <f ca="1">IF(OR(J32="",AND(L32="",TODAY()&lt;J32),AND(L32&lt;&gt;"",L32&lt;J32)),0,
   IF(L32="",
      NETWORKDAYS(J32,TODAY(),Hoja2!$A$2:$A$53),
      NETWORKDAYS(J32,L32,Hoja2!$A$2:$A$53)
   )
)</f>
        <v>1</v>
      </c>
      <c r="N32" s="24"/>
      <c r="O32" s="24"/>
      <c r="P32" s="51"/>
      <c r="Q32" s="75"/>
      <c r="R32" s="160" t="s">
        <v>518</v>
      </c>
    </row>
    <row r="33" spans="1:18" ht="76.5" customHeight="1">
      <c r="A33" s="29" t="s">
        <v>18</v>
      </c>
      <c r="B33" s="30" t="s">
        <v>119</v>
      </c>
      <c r="C33" s="31" t="s">
        <v>120</v>
      </c>
      <c r="D33" s="32"/>
      <c r="E33" s="32"/>
      <c r="F33" s="70" t="s">
        <v>22</v>
      </c>
      <c r="G33" s="34">
        <v>100</v>
      </c>
      <c r="H33" s="35">
        <f>IF(OR(J33="",K33="",K33&lt;J33),0,NETWORKDAYS(J33,K33,Hoja2!$A$2:$A$53))</f>
        <v>4</v>
      </c>
      <c r="I33" s="37">
        <v>45904</v>
      </c>
      <c r="J33" s="37">
        <v>45909</v>
      </c>
      <c r="K33" s="38">
        <v>45912</v>
      </c>
      <c r="L33" s="38">
        <v>45918</v>
      </c>
      <c r="M33" s="39">
        <f ca="1">IF(OR(J33="",AND(L33="",TODAY()&lt;J33),AND(L33&lt;&gt;"",L33&lt;J33)),0,
   IF(L33="",
      NETWORKDAYS(J33,TODAY(),Hoja2!$A$2:$A$53),
      NETWORKDAYS(J33,L33,Hoja2!$A$2:$A$53)
   )
)</f>
        <v>8</v>
      </c>
      <c r="N33" s="38"/>
      <c r="O33" s="38">
        <v>45918</v>
      </c>
      <c r="P33" s="54"/>
      <c r="Q33" s="76" t="s">
        <v>121</v>
      </c>
      <c r="R33" s="160" t="s">
        <v>518</v>
      </c>
    </row>
    <row r="34" spans="1:18" ht="38.25">
      <c r="A34" s="16" t="s">
        <v>18</v>
      </c>
      <c r="B34" s="17" t="s">
        <v>122</v>
      </c>
      <c r="C34" s="18" t="s">
        <v>123</v>
      </c>
      <c r="D34" s="19" t="s">
        <v>124</v>
      </c>
      <c r="E34" s="19"/>
      <c r="F34" s="52" t="s">
        <v>22</v>
      </c>
      <c r="G34" s="64">
        <v>100</v>
      </c>
      <c r="H34" s="22">
        <f>IF(OR(J34="",K34="",K34&lt;J34),0,NETWORKDAYS(J34,K34,Hoja2!$A$2:$A$53))</f>
        <v>2</v>
      </c>
      <c r="I34" s="43">
        <v>45909</v>
      </c>
      <c r="J34" s="43">
        <v>45910</v>
      </c>
      <c r="K34" s="24">
        <v>45911</v>
      </c>
      <c r="L34" s="24">
        <v>45911</v>
      </c>
      <c r="M34" s="25">
        <f ca="1">IF(OR(J34="",AND(L34="",TODAY()&lt;J34),AND(L34&lt;&gt;"",L34&lt;J34)),0,
   IF(L34="",
      NETWORKDAYS(J34,TODAY(),Hoja2!$A$2:$A$53),
      NETWORKDAYS(J34,L34,Hoja2!$A$2:$A$53)
   )
)</f>
        <v>2</v>
      </c>
      <c r="N34" s="24"/>
      <c r="O34" s="24">
        <v>45911</v>
      </c>
      <c r="P34" s="51"/>
      <c r="Q34" s="75" t="s">
        <v>125</v>
      </c>
      <c r="R34" s="160" t="s">
        <v>518</v>
      </c>
    </row>
    <row r="35" spans="1:18" ht="42.75">
      <c r="A35" s="29" t="s">
        <v>18</v>
      </c>
      <c r="B35" s="30" t="s">
        <v>126</v>
      </c>
      <c r="C35" s="31" t="s">
        <v>127</v>
      </c>
      <c r="D35" s="32" t="s">
        <v>124</v>
      </c>
      <c r="E35" s="32"/>
      <c r="F35" s="70" t="s">
        <v>22</v>
      </c>
      <c r="G35" s="74">
        <v>100</v>
      </c>
      <c r="H35" s="35">
        <f>IF(OR(J35="",K35="",K35&lt;J35),0,NETWORKDAYS(J35,K35,Hoja2!$A$2:$A$53))</f>
        <v>2</v>
      </c>
      <c r="I35" s="37">
        <v>45909</v>
      </c>
      <c r="J35" s="37">
        <v>45910</v>
      </c>
      <c r="K35" s="38">
        <v>45911</v>
      </c>
      <c r="L35" s="38">
        <v>45911</v>
      </c>
      <c r="M35" s="39">
        <f ca="1">IF(OR(J35="",AND(L35="",TODAY()&lt;J35),AND(L35&lt;&gt;"",L35&lt;J35)),0,
   IF(L35="",
      NETWORKDAYS(J35,TODAY(),Hoja2!$A$2:$A$53),
      NETWORKDAYS(J35,L35,Hoja2!$A$2:$A$53)
   )
)</f>
        <v>2</v>
      </c>
      <c r="N35" s="38"/>
      <c r="O35" s="38">
        <v>45911</v>
      </c>
      <c r="P35" s="54"/>
      <c r="Q35" s="76" t="s">
        <v>125</v>
      </c>
      <c r="R35" s="160" t="s">
        <v>518</v>
      </c>
    </row>
    <row r="36" spans="1:18" ht="93" customHeight="1">
      <c r="A36" s="16" t="s">
        <v>18</v>
      </c>
      <c r="B36" s="17" t="s">
        <v>128</v>
      </c>
      <c r="C36" s="18" t="s">
        <v>129</v>
      </c>
      <c r="D36" s="19" t="s">
        <v>130</v>
      </c>
      <c r="E36" s="19"/>
      <c r="F36" s="52" t="s">
        <v>22</v>
      </c>
      <c r="G36" s="64">
        <v>100</v>
      </c>
      <c r="H36" s="22">
        <f>IF(OR(J36="",K36="",K36&lt;J36),0,NETWORKDAYS(J36,K36,Hoja2!$A$2:$A$53))</f>
        <v>4</v>
      </c>
      <c r="I36" s="43">
        <v>45909</v>
      </c>
      <c r="J36" s="43">
        <v>45910</v>
      </c>
      <c r="K36" s="24">
        <v>45915</v>
      </c>
      <c r="L36" s="24">
        <v>45915</v>
      </c>
      <c r="M36" s="25">
        <f ca="1">IF(OR(J36="",AND(L36="",TODAY()&lt;J36),AND(L36&lt;&gt;"",L36&lt;J36)),0,
   IF(L36="",
      NETWORKDAYS(J36,TODAY(),Hoja2!$A$2:$A$53),
      NETWORKDAYS(J36,L36,Hoja2!$A$2:$A$53)
   )
)</f>
        <v>4</v>
      </c>
      <c r="N36" s="24"/>
      <c r="O36" s="24">
        <v>45915</v>
      </c>
      <c r="P36" s="51"/>
      <c r="Q36" s="75" t="s">
        <v>131</v>
      </c>
      <c r="R36" s="160" t="s">
        <v>518</v>
      </c>
    </row>
    <row r="37" spans="1:18" ht="76.5" customHeight="1">
      <c r="A37" s="29" t="s">
        <v>18</v>
      </c>
      <c r="B37" s="30" t="s">
        <v>132</v>
      </c>
      <c r="C37" s="31" t="s">
        <v>133</v>
      </c>
      <c r="D37" s="32" t="s">
        <v>134</v>
      </c>
      <c r="E37" s="32"/>
      <c r="F37" s="70" t="s">
        <v>22</v>
      </c>
      <c r="G37" s="34">
        <v>100</v>
      </c>
      <c r="H37" s="35">
        <f>IF(OR(J37="",K37="",K37&lt;J37),0,NETWORKDAYS(J37,K37,Hoja2!$A$2:$A$53))</f>
        <v>6</v>
      </c>
      <c r="I37" s="37">
        <v>45918</v>
      </c>
      <c r="J37" s="37">
        <v>45919</v>
      </c>
      <c r="K37" s="38">
        <v>45926</v>
      </c>
      <c r="L37" s="38">
        <v>45926</v>
      </c>
      <c r="M37" s="39">
        <f ca="1">IF(OR(J37="",AND(L37="",TODAY()&lt;J37),AND(L37&lt;&gt;"",L37&lt;J37)),0,
   IF(L37="",
      NETWORKDAYS(J37,TODAY(),Hoja2!$A$2:$A$53),
      NETWORKDAYS(J37,L37,Hoja2!$A$2:$A$53)
   )
)</f>
        <v>6</v>
      </c>
      <c r="N37" s="38"/>
      <c r="O37" s="38">
        <v>45926</v>
      </c>
      <c r="P37" s="38"/>
      <c r="Q37" s="76" t="s">
        <v>135</v>
      </c>
      <c r="R37" s="160" t="s">
        <v>518</v>
      </c>
    </row>
    <row r="38" spans="1:18" ht="235.5" customHeight="1">
      <c r="A38" s="16" t="s">
        <v>18</v>
      </c>
      <c r="B38" s="17" t="s">
        <v>136</v>
      </c>
      <c r="C38" s="18" t="s">
        <v>137</v>
      </c>
      <c r="D38" s="19" t="s">
        <v>138</v>
      </c>
      <c r="E38" s="19"/>
      <c r="F38" s="52" t="s">
        <v>84</v>
      </c>
      <c r="G38" s="64">
        <v>85</v>
      </c>
      <c r="H38" s="22">
        <f>IF(OR(J38="",K38="",K38&lt;J38),0,NETWORKDAYS(J38,K38,Hoja2!$A$2:$A$53))</f>
        <v>8</v>
      </c>
      <c r="I38" s="43">
        <v>45910</v>
      </c>
      <c r="J38" s="43">
        <v>45922</v>
      </c>
      <c r="K38" s="24">
        <v>45931</v>
      </c>
      <c r="L38" s="24"/>
      <c r="M38" s="25">
        <f ca="1">IF(OR(J38="",AND(L38="",TODAY()&lt;J38),AND(L38&lt;&gt;"",L38&lt;J38)),0,
   IF(L38="",
      NETWORKDAYS(J38,TODAY(),Hoja2!$A$2:$A$53),
      NETWORKDAYS(J38,L38,Hoja2!$A$2:$A$53)
   )
)</f>
        <v>184</v>
      </c>
      <c r="N38" s="24"/>
      <c r="O38" s="24"/>
      <c r="P38" s="51"/>
      <c r="Q38" s="75" t="s">
        <v>139</v>
      </c>
      <c r="R38" s="159" t="s">
        <v>517</v>
      </c>
    </row>
    <row r="39" spans="1:18" ht="162" customHeight="1">
      <c r="A39" s="29" t="s">
        <v>18</v>
      </c>
      <c r="B39" s="30" t="s">
        <v>140</v>
      </c>
      <c r="C39" s="31" t="s">
        <v>141</v>
      </c>
      <c r="D39" s="32" t="s">
        <v>134</v>
      </c>
      <c r="E39" s="32"/>
      <c r="F39" s="70" t="s">
        <v>22</v>
      </c>
      <c r="G39" s="34">
        <v>100</v>
      </c>
      <c r="H39" s="35">
        <f>IF(OR(J39="",K39="",K39&lt;J39),0,NETWORKDAYS(J39,K39,Hoja2!$A$2:$A$53))</f>
        <v>7</v>
      </c>
      <c r="I39" s="37">
        <v>45929</v>
      </c>
      <c r="J39" s="37">
        <v>45929</v>
      </c>
      <c r="K39" s="38">
        <v>45937</v>
      </c>
      <c r="L39" s="38">
        <v>45958</v>
      </c>
      <c r="M39" s="39">
        <f ca="1">IF(OR(J39="",AND(L39="",TODAY()&lt;J39),AND(L39&lt;&gt;"",L39&lt;J39)),0,
   IF(L39="",
      NETWORKDAYS(J39,TODAY(),Hoja2!$A$2:$A$53),
      NETWORKDAYS(J39,L39,Hoja2!$A$2:$A$53)
   )
)</f>
        <v>21</v>
      </c>
      <c r="N39" s="38"/>
      <c r="O39" s="38">
        <v>45958</v>
      </c>
      <c r="P39" s="54"/>
      <c r="Q39" s="76" t="s">
        <v>142</v>
      </c>
      <c r="R39" s="160" t="s">
        <v>518</v>
      </c>
    </row>
    <row r="40" spans="1:18" ht="93" customHeight="1">
      <c r="A40" s="16" t="s">
        <v>18</v>
      </c>
      <c r="B40" s="17" t="s">
        <v>143</v>
      </c>
      <c r="C40" s="18" t="s">
        <v>144</v>
      </c>
      <c r="D40" s="19" t="s">
        <v>145</v>
      </c>
      <c r="E40" s="19"/>
      <c r="F40" s="52" t="s">
        <v>22</v>
      </c>
      <c r="G40" s="64">
        <v>100</v>
      </c>
      <c r="H40" s="22">
        <f>IF(OR(J40="",K40="",K40&lt;J40),0,NETWORKDAYS(J40,K40,Hoja2!$A$2:$A$53))</f>
        <v>3</v>
      </c>
      <c r="I40" s="43">
        <v>45930</v>
      </c>
      <c r="J40" s="43">
        <v>45930</v>
      </c>
      <c r="K40" s="24">
        <v>45932</v>
      </c>
      <c r="L40" s="24">
        <v>45932</v>
      </c>
      <c r="M40" s="25">
        <f ca="1">IF(OR(J40="",AND(L40="",TODAY()&lt;J40),AND(L40&lt;&gt;"",L40&lt;J40)),0,
   IF(L40="",
      NETWORKDAYS(J40,TODAY(),Hoja2!$A$2:$A$53),
      NETWORKDAYS(J40,L40,Hoja2!$A$2:$A$53)
   )
)</f>
        <v>3</v>
      </c>
      <c r="N40" s="24"/>
      <c r="O40" s="24">
        <v>45932</v>
      </c>
      <c r="P40" s="43">
        <v>45932</v>
      </c>
      <c r="Q40" s="75" t="s">
        <v>146</v>
      </c>
      <c r="R40" s="160" t="s">
        <v>518</v>
      </c>
    </row>
    <row r="41" spans="1:18" ht="93" customHeight="1">
      <c r="A41" s="29" t="s">
        <v>18</v>
      </c>
      <c r="B41" s="30" t="s">
        <v>147</v>
      </c>
      <c r="C41" s="31" t="s">
        <v>148</v>
      </c>
      <c r="D41" s="32" t="s">
        <v>149</v>
      </c>
      <c r="E41" s="32"/>
      <c r="F41" s="70" t="s">
        <v>150</v>
      </c>
      <c r="G41" s="74">
        <v>90</v>
      </c>
      <c r="H41" s="35">
        <f>IF(OR(J41="",K41="",K41&lt;J41),0,NETWORKDAYS(J41,K41,Hoja2!$A$2:$A$53))</f>
        <v>2</v>
      </c>
      <c r="I41" s="37">
        <v>45932</v>
      </c>
      <c r="J41" s="37">
        <v>45932</v>
      </c>
      <c r="K41" s="38">
        <v>45933</v>
      </c>
      <c r="L41" s="38">
        <v>45933</v>
      </c>
      <c r="M41" s="39">
        <f ca="1">IF(OR(J41="",AND(L41="",TODAY()&lt;J41),AND(L41&lt;&gt;"",L41&lt;J41)),0,
   IF(L41="",
      NETWORKDAYS(J41,TODAY(),Hoja2!$A$2:$A$53),
      NETWORKDAYS(J41,L41,Hoja2!$A$2:$A$53)
   )
)</f>
        <v>2</v>
      </c>
      <c r="N41" s="37"/>
      <c r="O41" s="37">
        <v>45932</v>
      </c>
      <c r="P41" s="37"/>
      <c r="Q41" s="76" t="s">
        <v>151</v>
      </c>
      <c r="R41" s="160" t="s">
        <v>518</v>
      </c>
    </row>
    <row r="42" spans="1:18" ht="67.5" customHeight="1">
      <c r="A42" s="16" t="s">
        <v>18</v>
      </c>
      <c r="B42" s="17" t="s">
        <v>152</v>
      </c>
      <c r="C42" s="18" t="s">
        <v>153</v>
      </c>
      <c r="D42" s="19" t="s">
        <v>113</v>
      </c>
      <c r="E42" s="19"/>
      <c r="F42" s="52" t="s">
        <v>22</v>
      </c>
      <c r="G42" s="64">
        <v>100</v>
      </c>
      <c r="H42" s="22">
        <f>IF(OR(J42="",K42="",K42&lt;J42),0,NETWORKDAYS(J42,K42,Hoja2!$A$2:$A$53))</f>
        <v>2</v>
      </c>
      <c r="I42" s="43">
        <v>45945</v>
      </c>
      <c r="J42" s="43">
        <v>45945</v>
      </c>
      <c r="K42" s="24">
        <v>45946</v>
      </c>
      <c r="L42" s="24">
        <v>45946</v>
      </c>
      <c r="M42" s="25">
        <f ca="1">IF(OR(J42="",AND(L42="",TODAY()&lt;J42),AND(L42&lt;&gt;"",L42&lt;J42)),0,
   IF(L42="",
      NETWORKDAYS(J42,TODAY(),Hoja2!$A$2:$A$53),
      NETWORKDAYS(J42,L42,Hoja2!$A$2:$A$53)
   )
)</f>
        <v>2</v>
      </c>
      <c r="N42" s="24"/>
      <c r="O42" s="24">
        <v>45946</v>
      </c>
      <c r="P42" s="24">
        <v>45960</v>
      </c>
      <c r="Q42" s="48" t="s">
        <v>154</v>
      </c>
      <c r="R42" s="160" t="s">
        <v>518</v>
      </c>
    </row>
    <row r="43" spans="1:18" ht="93" customHeight="1">
      <c r="A43" s="29" t="s">
        <v>18</v>
      </c>
      <c r="B43" s="30" t="s">
        <v>155</v>
      </c>
      <c r="C43" s="31" t="s">
        <v>156</v>
      </c>
      <c r="D43" s="32" t="s">
        <v>157</v>
      </c>
      <c r="E43" s="32"/>
      <c r="F43" s="70" t="s">
        <v>22</v>
      </c>
      <c r="G43" s="74">
        <v>100</v>
      </c>
      <c r="H43" s="35">
        <f>IF(OR(J43="",K43="",K43&lt;J43),0,NETWORKDAYS(J43,K43,Hoja2!$A$2:$A$53))</f>
        <v>2</v>
      </c>
      <c r="I43" s="37">
        <v>45944</v>
      </c>
      <c r="J43" s="37">
        <v>45947</v>
      </c>
      <c r="K43" s="38">
        <v>45950</v>
      </c>
      <c r="L43" s="38">
        <v>45967</v>
      </c>
      <c r="M43" s="39">
        <f ca="1">IF(OR(J43="",AND(L43="",TODAY()&lt;J43),AND(L43&lt;&gt;"",L43&lt;J43)),0,
   IF(L43="",
      NETWORKDAYS(J43,TODAY(),Hoja2!$A$2:$A$53),
      NETWORKDAYS(J43,L43,Hoja2!$A$2:$A$53)
   )
)</f>
        <v>14</v>
      </c>
      <c r="N43" s="38"/>
      <c r="O43" s="38">
        <v>45967</v>
      </c>
      <c r="P43" s="38">
        <v>45967</v>
      </c>
      <c r="Q43" s="76" t="s">
        <v>158</v>
      </c>
      <c r="R43" s="160" t="s">
        <v>518</v>
      </c>
    </row>
    <row r="44" spans="1:18" ht="93" customHeight="1">
      <c r="A44" s="16" t="s">
        <v>18</v>
      </c>
      <c r="B44" s="17" t="s">
        <v>159</v>
      </c>
      <c r="C44" s="18" t="s">
        <v>160</v>
      </c>
      <c r="D44" s="19" t="s">
        <v>161</v>
      </c>
      <c r="E44" s="19"/>
      <c r="F44" s="52" t="s">
        <v>22</v>
      </c>
      <c r="G44" s="64">
        <v>100</v>
      </c>
      <c r="H44" s="22">
        <f>IF(OR(J44="",K44="",K44&lt;J44),0,NETWORKDAYS(J44,K44,Hoja2!$A$2:$A$53))</f>
        <v>2</v>
      </c>
      <c r="I44" s="43">
        <v>45966</v>
      </c>
      <c r="J44" s="43">
        <v>45966</v>
      </c>
      <c r="K44" s="24">
        <v>45967</v>
      </c>
      <c r="L44" s="24">
        <v>45967</v>
      </c>
      <c r="M44" s="25">
        <f ca="1">IF(OR(J44="",AND(L44="",TODAY()&lt;J44),AND(L44&lt;&gt;"",L44&lt;J44)),0,
   IF(L44="",
      NETWORKDAYS(J44,TODAY(),Hoja2!$A$2:$A$53),
      NETWORKDAYS(J44,L44,Hoja2!$A$2:$A$53)
   )
)</f>
        <v>2</v>
      </c>
      <c r="N44" s="24"/>
      <c r="O44" s="24">
        <v>45967</v>
      </c>
      <c r="P44" s="24">
        <v>45967</v>
      </c>
      <c r="Q44" s="75" t="s">
        <v>162</v>
      </c>
      <c r="R44" s="160" t="s">
        <v>518</v>
      </c>
    </row>
    <row r="45" spans="1:18" ht="93" customHeight="1">
      <c r="A45" s="29" t="s">
        <v>18</v>
      </c>
      <c r="B45" s="30" t="s">
        <v>163</v>
      </c>
      <c r="C45" s="31" t="s">
        <v>164</v>
      </c>
      <c r="D45" s="32" t="s">
        <v>165</v>
      </c>
      <c r="E45" s="32"/>
      <c r="F45" s="70" t="s">
        <v>22</v>
      </c>
      <c r="G45" s="74">
        <v>100</v>
      </c>
      <c r="H45" s="35">
        <f>IF(OR(J45="",K45="",K45&lt;J45),0,NETWORKDAYS(J45,K45,Hoja2!$A$2:$A$53))</f>
        <v>1</v>
      </c>
      <c r="I45" s="37">
        <v>45967</v>
      </c>
      <c r="J45" s="37">
        <v>45967</v>
      </c>
      <c r="K45" s="38">
        <v>45967</v>
      </c>
      <c r="L45" s="38">
        <v>45967</v>
      </c>
      <c r="M45" s="39">
        <f ca="1">IF(OR(J45="",AND(L45="",TODAY()&lt;J45),AND(L45&lt;&gt;"",L45&lt;J45)),0,
   IF(L45="",
      NETWORKDAYS(J45,TODAY(),Hoja2!$A$2:$A$53),
      NETWORKDAYS(J45,L45,Hoja2!$A$2:$A$53)
   )
)</f>
        <v>1</v>
      </c>
      <c r="N45" s="38"/>
      <c r="O45" s="38">
        <v>45967</v>
      </c>
      <c r="P45" s="38">
        <v>45967</v>
      </c>
      <c r="Q45" s="76" t="s">
        <v>166</v>
      </c>
      <c r="R45" s="160" t="s">
        <v>518</v>
      </c>
    </row>
    <row r="46" spans="1:18" ht="162" customHeight="1">
      <c r="A46" s="16" t="s">
        <v>18</v>
      </c>
      <c r="B46" s="17" t="s">
        <v>167</v>
      </c>
      <c r="C46" s="18" t="s">
        <v>168</v>
      </c>
      <c r="D46" s="19" t="s">
        <v>169</v>
      </c>
      <c r="E46" s="19"/>
      <c r="F46" s="52" t="s">
        <v>22</v>
      </c>
      <c r="G46" s="21">
        <v>100</v>
      </c>
      <c r="H46" s="22">
        <f>IF(OR(J46="",K46="",K46&lt;J46),0,NETWORKDAYS(J46,K46,Hoja2!$A$2:$A$53))</f>
        <v>5</v>
      </c>
      <c r="I46" s="43">
        <v>45965</v>
      </c>
      <c r="J46" s="43">
        <v>45965</v>
      </c>
      <c r="K46" s="24">
        <v>45971</v>
      </c>
      <c r="L46" s="24">
        <v>45971</v>
      </c>
      <c r="M46" s="25">
        <f ca="1">IF(OR(J46="",AND(L46="",TODAY()&lt;J46),AND(L46&lt;&gt;"",L46&lt;J46)),0,
   IF(L46="",
      NETWORKDAYS(J46,TODAY(),Hoja2!$A$2:$A$53),
      NETWORKDAYS(J46,L46,Hoja2!$A$2:$A$53)
   )
)</f>
        <v>5</v>
      </c>
      <c r="N46" s="24"/>
      <c r="O46" s="24">
        <v>45971</v>
      </c>
      <c r="P46" s="24">
        <v>45992</v>
      </c>
      <c r="Q46" s="75" t="s">
        <v>170</v>
      </c>
      <c r="R46" s="160" t="s">
        <v>518</v>
      </c>
    </row>
    <row r="47" spans="1:18" ht="162" customHeight="1">
      <c r="A47" s="29" t="s">
        <v>18</v>
      </c>
      <c r="B47" s="30" t="s">
        <v>171</v>
      </c>
      <c r="C47" s="31" t="s">
        <v>172</v>
      </c>
      <c r="D47" s="32" t="s">
        <v>169</v>
      </c>
      <c r="E47" s="32"/>
      <c r="F47" s="70" t="s">
        <v>22</v>
      </c>
      <c r="G47" s="34">
        <v>100</v>
      </c>
      <c r="H47" s="35">
        <f>IF(OR(J47="",K47="",K47&lt;J47),0,NETWORKDAYS(J47,K47,Hoja2!$A$2:$A$53))</f>
        <v>10</v>
      </c>
      <c r="I47" s="37">
        <v>45971</v>
      </c>
      <c r="J47" s="37">
        <v>45971</v>
      </c>
      <c r="K47" s="38">
        <v>45985</v>
      </c>
      <c r="L47" s="38">
        <v>45980</v>
      </c>
      <c r="M47" s="39">
        <f ca="1">IF(OR(J47="",AND(L47="",TODAY()&lt;J47),AND(L47&lt;&gt;"",L47&lt;J47)),0,
   IF(L47="",
      NETWORKDAYS(J47,TODAY(),Hoja2!$A$2:$A$53),
      NETWORKDAYS(J47,L47,Hoja2!$A$2:$A$53)
   )
)</f>
        <v>7</v>
      </c>
      <c r="N47" s="38"/>
      <c r="O47" s="38">
        <v>45980</v>
      </c>
      <c r="P47" s="38">
        <v>45992</v>
      </c>
      <c r="Q47" s="76" t="s">
        <v>173</v>
      </c>
      <c r="R47" s="160" t="s">
        <v>518</v>
      </c>
    </row>
    <row r="48" spans="1:18" ht="162" customHeight="1">
      <c r="A48" s="16" t="s">
        <v>18</v>
      </c>
      <c r="B48" s="17" t="s">
        <v>174</v>
      </c>
      <c r="C48" s="18" t="s">
        <v>175</v>
      </c>
      <c r="D48" s="19" t="s">
        <v>169</v>
      </c>
      <c r="E48" s="19"/>
      <c r="F48" s="52" t="s">
        <v>22</v>
      </c>
      <c r="G48" s="21">
        <v>100</v>
      </c>
      <c r="H48" s="22">
        <f>IF(OR(J48="",K48="",K48&lt;J48),0,NETWORKDAYS(J48,K48,Hoja2!$A$2:$A$53))</f>
        <v>3</v>
      </c>
      <c r="I48" s="43">
        <v>45981</v>
      </c>
      <c r="J48" s="43">
        <v>45981</v>
      </c>
      <c r="K48" s="24">
        <v>45985</v>
      </c>
      <c r="L48" s="24">
        <v>45985</v>
      </c>
      <c r="M48" s="25">
        <f ca="1">IF(OR(J48="",AND(L48="",TODAY()&lt;J48),AND(L48&lt;&gt;"",L48&lt;J48)),0,
   IF(L48="",
      NETWORKDAYS(J48,TODAY(),Hoja2!$A$2:$A$53),
      NETWORKDAYS(J48,L48,Hoja2!$A$2:$A$53)
   )
)</f>
        <v>3</v>
      </c>
      <c r="N48" s="24"/>
      <c r="O48" s="24">
        <v>45985</v>
      </c>
      <c r="P48" s="24">
        <v>45992</v>
      </c>
      <c r="Q48" s="75" t="s">
        <v>176</v>
      </c>
      <c r="R48" s="160" t="s">
        <v>518</v>
      </c>
    </row>
    <row r="49" spans="1:18" ht="162" customHeight="1">
      <c r="A49" s="29" t="s">
        <v>18</v>
      </c>
      <c r="B49" s="30" t="s">
        <v>177</v>
      </c>
      <c r="C49" s="31" t="s">
        <v>178</v>
      </c>
      <c r="D49" s="32" t="s">
        <v>169</v>
      </c>
      <c r="E49" s="32"/>
      <c r="F49" s="70" t="s">
        <v>22</v>
      </c>
      <c r="G49" s="34">
        <v>100</v>
      </c>
      <c r="H49" s="35">
        <f>IF(OR(J49="",K49="",K49&lt;J49),0,NETWORKDAYS(J49,K49,Hoja2!$A$2:$A$53))</f>
        <v>3</v>
      </c>
      <c r="I49" s="37">
        <v>45985</v>
      </c>
      <c r="J49" s="37">
        <v>45985</v>
      </c>
      <c r="K49" s="38">
        <v>45987</v>
      </c>
      <c r="L49" s="38">
        <v>45987</v>
      </c>
      <c r="M49" s="39">
        <f ca="1">IF(OR(J49="",AND(L49="",TODAY()&lt;J49),AND(L49&lt;&gt;"",L49&lt;J49)),0,
   IF(L49="",
      NETWORKDAYS(J49,TODAY(),Hoja2!$A$2:$A$53),
      NETWORKDAYS(J49,L49,Hoja2!$A$2:$A$53)
   )
)</f>
        <v>3</v>
      </c>
      <c r="N49" s="38"/>
      <c r="O49" s="38">
        <v>45987</v>
      </c>
      <c r="P49" s="38">
        <v>45992</v>
      </c>
      <c r="Q49" s="76" t="s">
        <v>179</v>
      </c>
      <c r="R49" s="160" t="s">
        <v>518</v>
      </c>
    </row>
    <row r="50" spans="1:18" ht="162" customHeight="1">
      <c r="A50" s="16" t="s">
        <v>18</v>
      </c>
      <c r="B50" s="17" t="s">
        <v>180</v>
      </c>
      <c r="C50" s="18" t="s">
        <v>181</v>
      </c>
      <c r="D50" s="19" t="s">
        <v>169</v>
      </c>
      <c r="E50" s="19"/>
      <c r="F50" s="52" t="s">
        <v>22</v>
      </c>
      <c r="G50" s="21">
        <v>100</v>
      </c>
      <c r="H50" s="22">
        <f>IF(OR(J50="",K50="",K50&lt;J50),0,NETWORKDAYS(J50,K50,Hoja2!$A$2:$A$53))</f>
        <v>4</v>
      </c>
      <c r="I50" s="43">
        <v>45987</v>
      </c>
      <c r="J50" s="43">
        <v>45987</v>
      </c>
      <c r="K50" s="24">
        <v>45992</v>
      </c>
      <c r="L50" s="24">
        <v>45992</v>
      </c>
      <c r="M50" s="25">
        <f ca="1">IF(OR(J50="",AND(L50="",TODAY()&lt;J50),AND(L50&lt;&gt;"",L50&lt;J50)),0,
   IF(L50="",
      NETWORKDAYS(J50,TODAY(),Hoja2!$A$2:$A$53),
      NETWORKDAYS(J50,L50,Hoja2!$A$2:$A$53)
   )
)</f>
        <v>4</v>
      </c>
      <c r="N50" s="24"/>
      <c r="O50" s="24">
        <v>45992</v>
      </c>
      <c r="P50" s="24">
        <v>45992</v>
      </c>
      <c r="Q50" s="75" t="s">
        <v>182</v>
      </c>
      <c r="R50" s="160" t="s">
        <v>518</v>
      </c>
    </row>
    <row r="51" spans="1:18" ht="162" customHeight="1">
      <c r="A51" s="29" t="s">
        <v>18</v>
      </c>
      <c r="B51" s="30" t="s">
        <v>183</v>
      </c>
      <c r="C51" s="31" t="s">
        <v>184</v>
      </c>
      <c r="D51" s="32" t="s">
        <v>169</v>
      </c>
      <c r="E51" s="32"/>
      <c r="F51" s="70" t="s">
        <v>22</v>
      </c>
      <c r="G51" s="34">
        <v>100</v>
      </c>
      <c r="H51" s="35">
        <f>IF(OR(J51="",K51="",K51&lt;J51),0,NETWORKDAYS(J51,K51,Hoja2!$A$2:$A$53))</f>
        <v>7</v>
      </c>
      <c r="I51" s="37">
        <v>45992</v>
      </c>
      <c r="J51" s="37">
        <v>45992</v>
      </c>
      <c r="K51" s="38">
        <v>46001</v>
      </c>
      <c r="L51" s="38">
        <v>46001</v>
      </c>
      <c r="M51" s="39">
        <f ca="1">IF(OR(J51="",AND(L51="",TODAY()&lt;J51),AND(L51&lt;&gt;"",L51&lt;J51)),0,
   IF(L51="",
      NETWORKDAYS(J51,TODAY(),Hoja2!$A$2:$A$53),
      NETWORKDAYS(J51,L51,Hoja2!$A$2:$A$53)
   )
)</f>
        <v>7</v>
      </c>
      <c r="N51" s="38"/>
      <c r="O51" s="38">
        <v>46000</v>
      </c>
      <c r="P51" s="38">
        <v>46000</v>
      </c>
      <c r="Q51" s="76" t="s">
        <v>185</v>
      </c>
      <c r="R51" s="160" t="s">
        <v>518</v>
      </c>
    </row>
    <row r="52" spans="1:18" ht="162" customHeight="1">
      <c r="A52" s="16" t="s">
        <v>18</v>
      </c>
      <c r="B52" s="17" t="s">
        <v>186</v>
      </c>
      <c r="C52" s="18" t="s">
        <v>187</v>
      </c>
      <c r="D52" s="19" t="s">
        <v>169</v>
      </c>
      <c r="E52" s="19"/>
      <c r="F52" s="52" t="s">
        <v>22</v>
      </c>
      <c r="G52" s="21">
        <v>100</v>
      </c>
      <c r="H52" s="22">
        <f>IF(OR(J52="",K52="",K52&lt;J52),0,NETWORKDAYS(J52,K52,Hoja2!$A$2:$A$53))</f>
        <v>10</v>
      </c>
      <c r="I52" s="43">
        <v>46000</v>
      </c>
      <c r="J52" s="43">
        <v>46000</v>
      </c>
      <c r="K52" s="24">
        <v>46013</v>
      </c>
      <c r="L52" s="24">
        <v>46010</v>
      </c>
      <c r="M52" s="25">
        <f ca="1">IF(OR(J52="",AND(L52="",TODAY()&lt;J52),AND(L52&lt;&gt;"",L52&lt;J52)),0,
   IF(L52="",
      NETWORKDAYS(J52,TODAY(),Hoja2!$A$2:$A$53),
      NETWORKDAYS(J52,L52,Hoja2!$A$2:$A$53)
   )
)</f>
        <v>9</v>
      </c>
      <c r="N52" s="24"/>
      <c r="O52" s="24">
        <v>46010</v>
      </c>
      <c r="P52" s="24"/>
      <c r="Q52" s="75" t="s">
        <v>188</v>
      </c>
      <c r="R52" s="160" t="s">
        <v>518</v>
      </c>
    </row>
    <row r="53" spans="1:18" ht="101.25" customHeight="1">
      <c r="A53" s="29" t="s">
        <v>18</v>
      </c>
      <c r="B53" s="30" t="s">
        <v>189</v>
      </c>
      <c r="C53" s="31" t="s">
        <v>190</v>
      </c>
      <c r="D53" s="32" t="s">
        <v>191</v>
      </c>
      <c r="E53" s="32"/>
      <c r="F53" s="70" t="s">
        <v>22</v>
      </c>
      <c r="G53" s="34">
        <v>100</v>
      </c>
      <c r="H53" s="35">
        <f>IF(OR(J53="",K53="",K53&lt;J53),0,NETWORKDAYS(J53,K53,Hoja2!$A$2:$A$53))</f>
        <v>5</v>
      </c>
      <c r="I53" s="37">
        <v>46006</v>
      </c>
      <c r="J53" s="37">
        <v>46006</v>
      </c>
      <c r="K53" s="38">
        <v>46010</v>
      </c>
      <c r="L53" s="38">
        <v>46010</v>
      </c>
      <c r="M53" s="39">
        <f ca="1">IF(OR(J53="",AND(L53="",TODAY()&lt;J53),AND(L53&lt;&gt;"",L53&lt;J53)),0,
   IF(L53="",
      NETWORKDAYS(J53,TODAY(),Hoja2!$A$2:$A$53),
      NETWORKDAYS(J53,L53,Hoja2!$A$2:$A$53)
   )
)</f>
        <v>5</v>
      </c>
      <c r="N53" s="38"/>
      <c r="O53" s="38">
        <v>46010</v>
      </c>
      <c r="P53" s="38"/>
      <c r="Q53" s="76" t="s">
        <v>192</v>
      </c>
      <c r="R53" s="160" t="s">
        <v>518</v>
      </c>
    </row>
    <row r="54" spans="1:18" ht="110.25" customHeight="1">
      <c r="A54" s="16" t="s">
        <v>18</v>
      </c>
      <c r="B54" s="17" t="s">
        <v>193</v>
      </c>
      <c r="C54" s="18" t="s">
        <v>194</v>
      </c>
      <c r="D54" s="19" t="s">
        <v>195</v>
      </c>
      <c r="E54" s="19"/>
      <c r="F54" s="52" t="s">
        <v>22</v>
      </c>
      <c r="G54" s="64">
        <v>100</v>
      </c>
      <c r="H54" s="22">
        <f>IF(OR(J54="",K54="",K54&lt;J54),0,NETWORKDAYS(J54,K54,Hoja2!$A$2:$A$53))</f>
        <v>11</v>
      </c>
      <c r="I54" s="43">
        <v>46002</v>
      </c>
      <c r="J54" s="43">
        <v>46002</v>
      </c>
      <c r="K54" s="24">
        <v>46017</v>
      </c>
      <c r="L54" s="24">
        <v>46020</v>
      </c>
      <c r="M54" s="25">
        <f ca="1">IF(OR(J54="",AND(L54="",TODAY()&lt;J54),AND(L54&lt;&gt;"",L54&lt;J54)),0,
   IF(L54="",
      NETWORKDAYS(J54,TODAY(),Hoja2!$A$2:$A$53),
      NETWORKDAYS(J54,L54,Hoja2!$A$2:$A$53)
   )
)</f>
        <v>12</v>
      </c>
      <c r="N54" s="24"/>
      <c r="O54" s="24">
        <v>46020</v>
      </c>
      <c r="P54" s="24"/>
      <c r="Q54" s="75" t="s">
        <v>196</v>
      </c>
      <c r="R54" s="160" t="s">
        <v>518</v>
      </c>
    </row>
    <row r="55" spans="1:18" ht="162" customHeight="1">
      <c r="A55" s="29" t="s">
        <v>18</v>
      </c>
      <c r="B55" s="30" t="s">
        <v>197</v>
      </c>
      <c r="C55" s="31" t="s">
        <v>198</v>
      </c>
      <c r="D55" s="32" t="s">
        <v>191</v>
      </c>
      <c r="E55" s="32"/>
      <c r="F55" s="70" t="s">
        <v>22</v>
      </c>
      <c r="G55" s="34">
        <v>100</v>
      </c>
      <c r="H55" s="35">
        <f>IF(OR(J55="",K55="",K55&lt;J55),0,NETWORKDAYS(J55,K55,Hoja2!$A$2:$A$53))</f>
        <v>5</v>
      </c>
      <c r="I55" s="37">
        <v>46010</v>
      </c>
      <c r="J55" s="37">
        <v>46010</v>
      </c>
      <c r="K55" s="38">
        <v>46017</v>
      </c>
      <c r="L55" s="38">
        <v>46020</v>
      </c>
      <c r="M55" s="39">
        <f ca="1">IF(OR(J55="",AND(L55="",TODAY()&lt;J55),AND(L55&lt;&gt;"",L55&lt;J55)),0,
   IF(L55="",
      NETWORKDAYS(J55,TODAY(),Hoja2!$A$2:$A$53),
      NETWORKDAYS(J55,L55,Hoja2!$A$2:$A$53)
   )
)</f>
        <v>6</v>
      </c>
      <c r="N55" s="38"/>
      <c r="O55" s="38">
        <v>46020</v>
      </c>
      <c r="P55" s="38">
        <v>46092</v>
      </c>
      <c r="Q55" s="76" t="s">
        <v>199</v>
      </c>
      <c r="R55" s="160" t="s">
        <v>518</v>
      </c>
    </row>
    <row r="56" spans="1:18" ht="162" customHeight="1">
      <c r="A56" s="16" t="s">
        <v>18</v>
      </c>
      <c r="B56" s="17" t="s">
        <v>200</v>
      </c>
      <c r="C56" s="18" t="s">
        <v>201</v>
      </c>
      <c r="D56" s="19" t="s">
        <v>191</v>
      </c>
      <c r="E56" s="19"/>
      <c r="F56" s="52" t="s">
        <v>22</v>
      </c>
      <c r="G56" s="21">
        <v>100</v>
      </c>
      <c r="H56" s="22">
        <f>IF(OR(J56="",K56="",K56&lt;J56),0,NETWORKDAYS(J56,K56,Hoja2!$A$2:$A$53))</f>
        <v>8</v>
      </c>
      <c r="I56" s="43">
        <v>46021</v>
      </c>
      <c r="J56" s="43">
        <v>46021</v>
      </c>
      <c r="K56" s="24">
        <v>46031</v>
      </c>
      <c r="L56" s="24">
        <v>46035</v>
      </c>
      <c r="M56" s="25">
        <f ca="1">IF(OR(J56="",AND(L56="",TODAY()&lt;J56),AND(L56&lt;&gt;"",L56&lt;J56)),0,
   IF(L56="",
      NETWORKDAYS(J56,TODAY(),Hoja2!$A$2:$A$53),
      NETWORKDAYS(J56,L56,Hoja2!$A$2:$A$53)
   )
)</f>
        <v>9</v>
      </c>
      <c r="N56" s="24"/>
      <c r="O56" s="24">
        <v>46035</v>
      </c>
      <c r="P56" s="24">
        <v>46092</v>
      </c>
      <c r="Q56" s="75" t="s">
        <v>202</v>
      </c>
      <c r="R56" s="160" t="s">
        <v>518</v>
      </c>
    </row>
    <row r="57" spans="1:18" ht="110.25" customHeight="1">
      <c r="A57" s="29" t="s">
        <v>18</v>
      </c>
      <c r="B57" s="30" t="s">
        <v>203</v>
      </c>
      <c r="C57" s="31" t="s">
        <v>204</v>
      </c>
      <c r="D57" s="32" t="s">
        <v>205</v>
      </c>
      <c r="E57" s="32"/>
      <c r="F57" s="70" t="s">
        <v>22</v>
      </c>
      <c r="G57" s="74">
        <v>100</v>
      </c>
      <c r="H57" s="35">
        <f>IF(OR(J57="",K57="",K57&lt;J57),0,NETWORKDAYS(J57,K57,Hoja2!$A$2:$A$53))</f>
        <v>2</v>
      </c>
      <c r="I57" s="37">
        <v>46028</v>
      </c>
      <c r="J57" s="37">
        <v>46028</v>
      </c>
      <c r="K57" s="38">
        <v>46029</v>
      </c>
      <c r="L57" s="38">
        <v>46029</v>
      </c>
      <c r="M57" s="39">
        <f ca="1">IF(OR(J57="",AND(L57="",TODAY()&lt;J57),AND(L57&lt;&gt;"",L57&lt;J57)),0,
   IF(L57="",
      NETWORKDAYS(J57,TODAY(),Hoja2!$A$2:$A$53),
      NETWORKDAYS(J57,L57,Hoja2!$A$2:$A$53)
   )
)</f>
        <v>2</v>
      </c>
      <c r="N57" s="38"/>
      <c r="O57" s="38">
        <v>46029</v>
      </c>
      <c r="P57" s="38">
        <v>46029</v>
      </c>
      <c r="Q57" s="76" t="s">
        <v>206</v>
      </c>
      <c r="R57" s="160" t="s">
        <v>518</v>
      </c>
    </row>
    <row r="58" spans="1:18" ht="162" customHeight="1">
      <c r="A58" s="16" t="s">
        <v>18</v>
      </c>
      <c r="B58" s="17" t="s">
        <v>207</v>
      </c>
      <c r="C58" s="18" t="s">
        <v>208</v>
      </c>
      <c r="D58" s="19" t="s">
        <v>191</v>
      </c>
      <c r="E58" s="19"/>
      <c r="F58" s="52" t="s">
        <v>22</v>
      </c>
      <c r="G58" s="21">
        <v>100</v>
      </c>
      <c r="H58" s="22">
        <f>IF(OR(J58="",K58="",K58&lt;J58),0,NETWORKDAYS(J58,K58,Hoja2!$A$2:$A$53))</f>
        <v>4</v>
      </c>
      <c r="I58" s="43">
        <v>46036</v>
      </c>
      <c r="J58" s="43">
        <v>46036</v>
      </c>
      <c r="K58" s="24">
        <v>46041</v>
      </c>
      <c r="L58" s="24">
        <v>46038</v>
      </c>
      <c r="M58" s="25">
        <f ca="1">IF(OR(J58="",AND(L58="",TODAY()&lt;J58),AND(L58&lt;&gt;"",L58&lt;J58)),0,
   IF(L58="",
      NETWORKDAYS(J58,TODAY(),Hoja2!$A$2:$A$53),
      NETWORKDAYS(J58,L58,Hoja2!$A$2:$A$53)
   )
)</f>
        <v>3</v>
      </c>
      <c r="N58" s="24"/>
      <c r="O58" s="24">
        <v>46038</v>
      </c>
      <c r="P58" s="24">
        <v>46092</v>
      </c>
      <c r="Q58" s="75" t="s">
        <v>209</v>
      </c>
      <c r="R58" s="160" t="s">
        <v>518</v>
      </c>
    </row>
    <row r="59" spans="1:18" ht="110.25" customHeight="1">
      <c r="A59" s="29" t="s">
        <v>18</v>
      </c>
      <c r="B59" s="30" t="s">
        <v>210</v>
      </c>
      <c r="C59" s="31" t="s">
        <v>211</v>
      </c>
      <c r="D59" s="32" t="s">
        <v>212</v>
      </c>
      <c r="E59" s="32"/>
      <c r="F59" s="70" t="s">
        <v>22</v>
      </c>
      <c r="G59" s="74">
        <v>100</v>
      </c>
      <c r="H59" s="35">
        <f>IF(OR(J59="",K59="",K59&lt;J59),0,NETWORKDAYS(J59,K59,Hoja2!$A$2:$A$53))</f>
        <v>1</v>
      </c>
      <c r="I59" s="37">
        <v>46035</v>
      </c>
      <c r="J59" s="37">
        <v>46036</v>
      </c>
      <c r="K59" s="38">
        <v>46036</v>
      </c>
      <c r="L59" s="38">
        <v>46036</v>
      </c>
      <c r="M59" s="39">
        <f ca="1">IF(OR(J59="",AND(L59="",TODAY()&lt;J59),AND(L59&lt;&gt;"",L59&lt;J59)),0,
   IF(L59="",
      NETWORKDAYS(J59,TODAY(),Hoja2!$A$2:$A$53),
      NETWORKDAYS(J59,L59,Hoja2!$A$2:$A$53)
   )
)</f>
        <v>1</v>
      </c>
      <c r="N59" s="38"/>
      <c r="O59" s="38">
        <v>46036</v>
      </c>
      <c r="P59" s="38">
        <v>46036</v>
      </c>
      <c r="Q59" s="76" t="s">
        <v>213</v>
      </c>
      <c r="R59" s="160" t="s">
        <v>518</v>
      </c>
    </row>
    <row r="60" spans="1:18" ht="162" customHeight="1">
      <c r="A60" s="16" t="s">
        <v>18</v>
      </c>
      <c r="B60" s="17" t="s">
        <v>214</v>
      </c>
      <c r="C60" s="18" t="s">
        <v>215</v>
      </c>
      <c r="D60" s="19" t="s">
        <v>191</v>
      </c>
      <c r="E60" s="19"/>
      <c r="F60" s="52" t="s">
        <v>22</v>
      </c>
      <c r="G60" s="21">
        <v>100</v>
      </c>
      <c r="H60" s="22">
        <f>IF(OR(J60="",K60="",K60&lt;J60),0,NETWORKDAYS(J60,K60,Hoja2!$A$2:$A$53))</f>
        <v>4</v>
      </c>
      <c r="I60" s="43">
        <v>46041</v>
      </c>
      <c r="J60" s="43">
        <v>46041</v>
      </c>
      <c r="K60" s="24">
        <v>46044</v>
      </c>
      <c r="L60" s="24">
        <v>46050</v>
      </c>
      <c r="M60" s="25">
        <f ca="1">IF(OR(J60="",AND(L60="",TODAY()&lt;J60),AND(L60&lt;&gt;"",L60&lt;J60)),0,
   IF(L60="",
      NETWORKDAYS(J60,TODAY(),Hoja2!$A$2:$A$53),
      NETWORKDAYS(J60,L60,Hoja2!$A$2:$A$53)
   )
)</f>
        <v>8</v>
      </c>
      <c r="N60" s="24"/>
      <c r="O60" s="24">
        <v>46050</v>
      </c>
      <c r="P60" s="24">
        <v>46092</v>
      </c>
      <c r="Q60" s="75" t="s">
        <v>216</v>
      </c>
      <c r="R60" s="160" t="s">
        <v>518</v>
      </c>
    </row>
    <row r="61" spans="1:18" ht="162" customHeight="1">
      <c r="A61" s="29" t="s">
        <v>18</v>
      </c>
      <c r="B61" s="30" t="s">
        <v>217</v>
      </c>
      <c r="C61" s="31" t="s">
        <v>218</v>
      </c>
      <c r="D61" s="32" t="s">
        <v>191</v>
      </c>
      <c r="E61" s="32"/>
      <c r="F61" s="70" t="s">
        <v>22</v>
      </c>
      <c r="G61" s="34">
        <v>100</v>
      </c>
      <c r="H61" s="35">
        <f>IF(OR(J61="",K61="",K61&lt;J61),0,NETWORKDAYS(J61,K61,Hoja2!$A$2:$A$53))</f>
        <v>1</v>
      </c>
      <c r="I61" s="37">
        <v>46042</v>
      </c>
      <c r="J61" s="37">
        <v>46042</v>
      </c>
      <c r="K61" s="38">
        <v>46042</v>
      </c>
      <c r="L61" s="38">
        <v>46042</v>
      </c>
      <c r="M61" s="39">
        <f ca="1">IF(OR(J61="",AND(L61="",TODAY()&lt;J61),AND(L61&lt;&gt;"",L61&lt;J61)),0,
   IF(L61="",
      NETWORKDAYS(J61,TODAY(),Hoja2!$A$2:$A$53),
      NETWORKDAYS(J61,L61,Hoja2!$A$2:$A$53)
   )
)</f>
        <v>1</v>
      </c>
      <c r="N61" s="38"/>
      <c r="O61" s="38">
        <v>46042</v>
      </c>
      <c r="P61" s="38">
        <v>46042</v>
      </c>
      <c r="Q61" s="76" t="s">
        <v>219</v>
      </c>
      <c r="R61" s="160" t="s">
        <v>518</v>
      </c>
    </row>
    <row r="62" spans="1:18" ht="110.25" customHeight="1">
      <c r="A62" s="16" t="s">
        <v>18</v>
      </c>
      <c r="B62" s="17" t="s">
        <v>220</v>
      </c>
      <c r="C62" s="18" t="s">
        <v>211</v>
      </c>
      <c r="D62" s="19" t="s">
        <v>221</v>
      </c>
      <c r="E62" s="19"/>
      <c r="F62" s="52" t="s">
        <v>22</v>
      </c>
      <c r="G62" s="64">
        <v>100</v>
      </c>
      <c r="H62" s="22">
        <f>IF(OR(J62="",K62="",K62&lt;J62),0,NETWORKDAYS(J62,K62,Hoja2!$A$2:$A$53))</f>
        <v>1</v>
      </c>
      <c r="I62" s="43">
        <v>46042</v>
      </c>
      <c r="J62" s="43">
        <v>46042</v>
      </c>
      <c r="K62" s="24">
        <v>46042</v>
      </c>
      <c r="L62" s="24">
        <v>46042</v>
      </c>
      <c r="M62" s="25">
        <f ca="1">IF(OR(J62="",AND(L62="",TODAY()&lt;J62),AND(L62&lt;&gt;"",L62&lt;J62)),0,
   IF(L62="",
      NETWORKDAYS(J62,TODAY(),Hoja2!$A$2:$A$53),
      NETWORKDAYS(J62,L62,Hoja2!$A$2:$A$53)
   )
)</f>
        <v>1</v>
      </c>
      <c r="N62" s="24"/>
      <c r="O62" s="24">
        <v>46042</v>
      </c>
      <c r="P62" s="24">
        <v>46042</v>
      </c>
      <c r="Q62" s="75" t="s">
        <v>222</v>
      </c>
      <c r="R62" s="160" t="s">
        <v>518</v>
      </c>
    </row>
    <row r="63" spans="1:18" ht="162" customHeight="1">
      <c r="A63" s="29" t="s">
        <v>18</v>
      </c>
      <c r="B63" s="30" t="s">
        <v>223</v>
      </c>
      <c r="C63" s="31" t="s">
        <v>224</v>
      </c>
      <c r="D63" s="32" t="s">
        <v>191</v>
      </c>
      <c r="E63" s="32"/>
      <c r="F63" s="70" t="s">
        <v>22</v>
      </c>
      <c r="G63" s="34">
        <v>100</v>
      </c>
      <c r="H63" s="35">
        <f>IF(OR(J63="",K63="",K63&lt;J63),0,NETWORKDAYS(J63,K63,Hoja2!$A$2:$A$53))</f>
        <v>3</v>
      </c>
      <c r="I63" s="37">
        <v>46043</v>
      </c>
      <c r="J63" s="37">
        <v>46043</v>
      </c>
      <c r="K63" s="38">
        <v>46045</v>
      </c>
      <c r="L63" s="38">
        <v>46050</v>
      </c>
      <c r="M63" s="39">
        <f ca="1">IF(OR(J63="",AND(L63="",TODAY()&lt;J63),AND(L63&lt;&gt;"",L63&lt;J63)),0,
   IF(L63="",
      NETWORKDAYS(J63,TODAY(),Hoja2!$A$2:$A$53),
      NETWORKDAYS(J63,L63,Hoja2!$A$2:$A$53)
   )
)</f>
        <v>6</v>
      </c>
      <c r="N63" s="38"/>
      <c r="O63" s="38">
        <v>46050</v>
      </c>
      <c r="P63" s="38">
        <v>46092</v>
      </c>
      <c r="Q63" s="76" t="s">
        <v>225</v>
      </c>
      <c r="R63" s="160" t="s">
        <v>518</v>
      </c>
    </row>
    <row r="64" spans="1:18" ht="132.75" customHeight="1">
      <c r="A64" s="16" t="s">
        <v>18</v>
      </c>
      <c r="B64" s="17" t="s">
        <v>226</v>
      </c>
      <c r="C64" s="18" t="s">
        <v>227</v>
      </c>
      <c r="D64" s="19" t="s">
        <v>228</v>
      </c>
      <c r="E64" s="19"/>
      <c r="F64" s="52" t="s">
        <v>22</v>
      </c>
      <c r="G64" s="64">
        <v>100</v>
      </c>
      <c r="H64" s="22">
        <f>IF(OR(J64="",K64="",K64&lt;J64),0,NETWORKDAYS(J64,K64,Hoja2!$A$2:$A$53))</f>
        <v>2</v>
      </c>
      <c r="I64" s="43">
        <v>46044</v>
      </c>
      <c r="J64" s="43">
        <v>46044</v>
      </c>
      <c r="K64" s="24">
        <v>46045</v>
      </c>
      <c r="L64" s="24">
        <v>46045</v>
      </c>
      <c r="M64" s="25">
        <f ca="1">IF(OR(J64="",AND(L64="",TODAY()&lt;J64),AND(L64&lt;&gt;"",L64&lt;J64)),0,
   IF(L64="",
      NETWORKDAYS(J64,TODAY(),Hoja2!$A$2:$A$53),
      NETWORKDAYS(J64,L64,Hoja2!$A$2:$A$53)
   )
)</f>
        <v>2</v>
      </c>
      <c r="N64" s="24"/>
      <c r="O64" s="24">
        <v>46045</v>
      </c>
      <c r="P64" s="24">
        <v>46045</v>
      </c>
      <c r="Q64" s="75" t="s">
        <v>229</v>
      </c>
      <c r="R64" s="160" t="s">
        <v>518</v>
      </c>
    </row>
    <row r="65" spans="1:18" ht="132.75" customHeight="1">
      <c r="A65" s="29" t="s">
        <v>18</v>
      </c>
      <c r="B65" s="30" t="s">
        <v>230</v>
      </c>
      <c r="C65" s="31" t="s">
        <v>231</v>
      </c>
      <c r="D65" s="32" t="s">
        <v>232</v>
      </c>
      <c r="E65" s="32"/>
      <c r="F65" s="70" t="s">
        <v>22</v>
      </c>
      <c r="G65" s="74">
        <v>100</v>
      </c>
      <c r="H65" s="35">
        <f>IF(OR(J65="",K65="",K65&lt;J65),0,NETWORKDAYS(J65,K65,Hoja2!$A$2:$A$53))</f>
        <v>1</v>
      </c>
      <c r="I65" s="37">
        <v>46044</v>
      </c>
      <c r="J65" s="37">
        <v>46044</v>
      </c>
      <c r="K65" s="38">
        <v>46044</v>
      </c>
      <c r="L65" s="38">
        <v>46044</v>
      </c>
      <c r="M65" s="39">
        <f ca="1">IF(OR(J65="",AND(L65="",TODAY()&lt;J65),AND(L65&lt;&gt;"",L65&lt;J65)),0,
   IF(L65="",
      NETWORKDAYS(J65,TODAY(),Hoja2!$A$2:$A$53),
      NETWORKDAYS(J65,L65,Hoja2!$A$2:$A$53)
   )
)</f>
        <v>1</v>
      </c>
      <c r="N65" s="38"/>
      <c r="O65" s="38">
        <v>46044</v>
      </c>
      <c r="P65" s="38">
        <v>46044</v>
      </c>
      <c r="Q65" s="76" t="s">
        <v>233</v>
      </c>
      <c r="R65" s="160" t="s">
        <v>518</v>
      </c>
    </row>
    <row r="66" spans="1:18" ht="162" customHeight="1">
      <c r="A66" s="16" t="s">
        <v>18</v>
      </c>
      <c r="B66" s="17" t="s">
        <v>234</v>
      </c>
      <c r="C66" s="18" t="s">
        <v>235</v>
      </c>
      <c r="D66" s="19" t="s">
        <v>191</v>
      </c>
      <c r="E66" s="19"/>
      <c r="F66" s="52" t="s">
        <v>22</v>
      </c>
      <c r="G66" s="21">
        <v>100</v>
      </c>
      <c r="H66" s="22">
        <f>IF(OR(J66="",K66="",K66&lt;J66),0,NETWORKDAYS(J66,K66,Hoja2!$A$2:$A$53))</f>
        <v>6</v>
      </c>
      <c r="I66" s="43">
        <v>46045</v>
      </c>
      <c r="J66" s="43">
        <v>46045</v>
      </c>
      <c r="K66" s="24">
        <v>46052</v>
      </c>
      <c r="L66" s="24">
        <v>46050</v>
      </c>
      <c r="M66" s="25">
        <f ca="1">IF(OR(J66="",AND(L66="",TODAY()&lt;J66),AND(L66&lt;&gt;"",L66&lt;J66)),0,
   IF(L66="",
      NETWORKDAYS(J66,TODAY(),Hoja2!$A$2:$A$53),
      NETWORKDAYS(J66,L66,Hoja2!$A$2:$A$53)
   )
)</f>
        <v>4</v>
      </c>
      <c r="N66" s="24"/>
      <c r="O66" s="24">
        <v>46050</v>
      </c>
      <c r="P66" s="24">
        <v>46092</v>
      </c>
      <c r="Q66" s="75" t="s">
        <v>236</v>
      </c>
      <c r="R66" s="160" t="s">
        <v>518</v>
      </c>
    </row>
    <row r="67" spans="1:18" ht="162" customHeight="1">
      <c r="A67" s="29" t="s">
        <v>18</v>
      </c>
      <c r="B67" s="30" t="s">
        <v>237</v>
      </c>
      <c r="C67" s="31" t="s">
        <v>238</v>
      </c>
      <c r="D67" s="32" t="s">
        <v>191</v>
      </c>
      <c r="E67" s="32"/>
      <c r="F67" s="70" t="s">
        <v>22</v>
      </c>
      <c r="G67" s="34">
        <v>100</v>
      </c>
      <c r="H67" s="35">
        <f>IF(OR(J67="",K67="",K67&lt;J67),0,NETWORKDAYS(J67,K67,Hoja2!$A$2:$A$53))</f>
        <v>2</v>
      </c>
      <c r="I67" s="37">
        <v>46050</v>
      </c>
      <c r="J67" s="37">
        <v>46050</v>
      </c>
      <c r="K67" s="38">
        <v>46051</v>
      </c>
      <c r="L67" s="38">
        <v>46056</v>
      </c>
      <c r="M67" s="39">
        <f ca="1">IF(OR(J67="",AND(L67="",TODAY()&lt;J67),AND(L67&lt;&gt;"",L67&lt;J67)),0,
   IF(L67="",
      NETWORKDAYS(J67,TODAY(),Hoja2!$A$2:$A$53),
      NETWORKDAYS(J67,L67,Hoja2!$A$2:$A$53)
   )
)</f>
        <v>5</v>
      </c>
      <c r="N67" s="38"/>
      <c r="O67" s="38">
        <v>46051</v>
      </c>
      <c r="P67" s="38">
        <v>46092</v>
      </c>
      <c r="Q67" s="76" t="s">
        <v>239</v>
      </c>
      <c r="R67" s="160" t="s">
        <v>518</v>
      </c>
    </row>
    <row r="68" spans="1:18" ht="162" customHeight="1">
      <c r="A68" s="16" t="s">
        <v>18</v>
      </c>
      <c r="B68" s="17" t="s">
        <v>240</v>
      </c>
      <c r="C68" s="18" t="s">
        <v>241</v>
      </c>
      <c r="D68" s="19" t="s">
        <v>191</v>
      </c>
      <c r="E68" s="19"/>
      <c r="F68" s="52" t="s">
        <v>22</v>
      </c>
      <c r="G68" s="21">
        <v>100</v>
      </c>
      <c r="H68" s="22">
        <f>IF(OR(J68="",K68="",K68&lt;J68),0,NETWORKDAYS(J68,K68,Hoja2!$A$2:$A$53))</f>
        <v>2</v>
      </c>
      <c r="I68" s="43">
        <v>46051</v>
      </c>
      <c r="J68" s="43">
        <v>46051</v>
      </c>
      <c r="K68" s="24">
        <v>46052</v>
      </c>
      <c r="L68" s="24">
        <v>46056</v>
      </c>
      <c r="M68" s="25">
        <f ca="1">IF(OR(J68="",AND(L68="",TODAY()&lt;J68),AND(L68&lt;&gt;"",L68&lt;J68)),0,
   IF(L68="",
      NETWORKDAYS(J68,TODAY(),Hoja2!$A$2:$A$53),
      NETWORKDAYS(J68,L68,Hoja2!$A$2:$A$53)
   )
)</f>
        <v>4</v>
      </c>
      <c r="N68" s="24"/>
      <c r="O68" s="24">
        <v>46051</v>
      </c>
      <c r="P68" s="24">
        <v>46092</v>
      </c>
      <c r="Q68" s="75" t="s">
        <v>239</v>
      </c>
      <c r="R68" s="160" t="s">
        <v>518</v>
      </c>
    </row>
    <row r="69" spans="1:18" ht="132.75" customHeight="1">
      <c r="A69" s="29" t="s">
        <v>18</v>
      </c>
      <c r="B69" s="30" t="s">
        <v>242</v>
      </c>
      <c r="C69" s="31" t="s">
        <v>243</v>
      </c>
      <c r="D69" s="32" t="s">
        <v>244</v>
      </c>
      <c r="E69" s="32"/>
      <c r="F69" s="70" t="s">
        <v>22</v>
      </c>
      <c r="G69" s="74">
        <v>100</v>
      </c>
      <c r="H69" s="35">
        <v>1</v>
      </c>
      <c r="I69" s="37">
        <v>46045</v>
      </c>
      <c r="J69" s="37">
        <v>46048</v>
      </c>
      <c r="K69" s="38">
        <v>46048</v>
      </c>
      <c r="L69" s="38">
        <v>46048</v>
      </c>
      <c r="M69" s="39">
        <f ca="1">IF(OR(J69="",AND(L69="",TODAY()&lt;J69),AND(L69&lt;&gt;"",L69&lt;J69)),0,
   IF(L69="",
      NETWORKDAYS(J69,TODAY(),Hoja2!$A$2:$A$53),
      NETWORKDAYS(J69,L69,Hoja2!$A$2:$A$53)
   )
)</f>
        <v>1</v>
      </c>
      <c r="N69" s="38"/>
      <c r="O69" s="38">
        <v>46048</v>
      </c>
      <c r="P69" s="38">
        <v>46048</v>
      </c>
      <c r="Q69" s="76" t="s">
        <v>245</v>
      </c>
      <c r="R69" s="160" t="s">
        <v>518</v>
      </c>
    </row>
    <row r="70" spans="1:18" ht="162" customHeight="1">
      <c r="A70" s="16" t="s">
        <v>18</v>
      </c>
      <c r="B70" s="17" t="s">
        <v>246</v>
      </c>
      <c r="C70" s="18" t="s">
        <v>247</v>
      </c>
      <c r="D70" s="19" t="s">
        <v>191</v>
      </c>
      <c r="E70" s="19"/>
      <c r="F70" s="52" t="s">
        <v>22</v>
      </c>
      <c r="G70" s="21">
        <v>100</v>
      </c>
      <c r="H70" s="22">
        <f>IF(OR(J70="",K70="",K70&lt;J70),0,NETWORKDAYS(J70,K70,Hoja2!$A$2:$A$53))</f>
        <v>2</v>
      </c>
      <c r="I70" s="43">
        <v>46056</v>
      </c>
      <c r="J70" s="43">
        <v>46056</v>
      </c>
      <c r="K70" s="24">
        <v>46057</v>
      </c>
      <c r="L70" s="24">
        <v>46057</v>
      </c>
      <c r="M70" s="25">
        <f ca="1">IF(OR(J70="",AND(L70="",TODAY()&lt;J70),AND(L70&lt;&gt;"",L70&lt;J70)),0,
   IF(L70="",
      NETWORKDAYS(J70,TODAY(),Hoja2!$A$2:$A$53),
      NETWORKDAYS(J70,L70,Hoja2!$A$2:$A$53)
   )
)</f>
        <v>2</v>
      </c>
      <c r="N70" s="24"/>
      <c r="O70" s="24">
        <v>46057</v>
      </c>
      <c r="P70" s="24">
        <v>46092</v>
      </c>
      <c r="Q70" s="75" t="s">
        <v>248</v>
      </c>
      <c r="R70" s="160" t="s">
        <v>518</v>
      </c>
    </row>
    <row r="71" spans="1:18" ht="162" customHeight="1">
      <c r="A71" s="29" t="s">
        <v>18</v>
      </c>
      <c r="B71" s="30" t="s">
        <v>249</v>
      </c>
      <c r="C71" s="31" t="s">
        <v>250</v>
      </c>
      <c r="D71" s="32" t="s">
        <v>232</v>
      </c>
      <c r="E71" s="32"/>
      <c r="F71" s="70" t="s">
        <v>22</v>
      </c>
      <c r="G71" s="34">
        <v>100</v>
      </c>
      <c r="H71" s="35">
        <v>2</v>
      </c>
      <c r="I71" s="37">
        <v>46057</v>
      </c>
      <c r="J71" s="37">
        <v>46057</v>
      </c>
      <c r="K71" s="38">
        <v>46057</v>
      </c>
      <c r="L71" s="38">
        <v>46059</v>
      </c>
      <c r="M71" s="39">
        <f ca="1">IF(OR(J71="",AND(L71="",TODAY()&lt;J71),AND(L71&lt;&gt;"",L71&lt;J71)),0,
   IF(L71="",
      NETWORKDAYS(J71,TODAY(),Hoja2!$A$2:$A$53),
      NETWORKDAYS(J71,L71,Hoja2!$A$2:$A$53)
   )
)</f>
        <v>3</v>
      </c>
      <c r="N71" s="38"/>
      <c r="O71" s="38">
        <v>46057</v>
      </c>
      <c r="P71" s="38">
        <v>46070</v>
      </c>
      <c r="Q71" s="76" t="s">
        <v>251</v>
      </c>
      <c r="R71" s="160" t="s">
        <v>518</v>
      </c>
    </row>
    <row r="72" spans="1:18" ht="162" customHeight="1">
      <c r="A72" s="16" t="s">
        <v>18</v>
      </c>
      <c r="B72" s="17" t="s">
        <v>252</v>
      </c>
      <c r="C72" s="18" t="s">
        <v>253</v>
      </c>
      <c r="D72" s="19" t="s">
        <v>232</v>
      </c>
      <c r="E72" s="19"/>
      <c r="F72" s="52" t="s">
        <v>22</v>
      </c>
      <c r="G72" s="21">
        <v>100</v>
      </c>
      <c r="H72" s="22">
        <f>IF(OR(J72="",K72="",K72&lt;J72),0,NETWORKDAYS(J72,K72,Hoja2!$A$2:$A$53))</f>
        <v>1</v>
      </c>
      <c r="I72" s="43">
        <v>46057</v>
      </c>
      <c r="J72" s="43">
        <v>46057</v>
      </c>
      <c r="K72" s="24">
        <v>46057</v>
      </c>
      <c r="L72" s="24">
        <v>46058</v>
      </c>
      <c r="M72" s="25">
        <f ca="1">IF(OR(J72="",AND(L72="",TODAY()&lt;J72),AND(L72&lt;&gt;"",L72&lt;J72)),0,
   IF(L72="",
      NETWORKDAYS(J72,TODAY(),Hoja2!$A$2:$A$53),
      NETWORKDAYS(J72,L72,Hoja2!$A$2:$A$53)
   )
)</f>
        <v>2</v>
      </c>
      <c r="N72" s="24"/>
      <c r="O72" s="24">
        <v>46058</v>
      </c>
      <c r="P72" s="24">
        <v>46058</v>
      </c>
      <c r="Q72" s="75" t="s">
        <v>254</v>
      </c>
      <c r="R72" s="160" t="s">
        <v>518</v>
      </c>
    </row>
    <row r="73" spans="1:18" ht="162" customHeight="1">
      <c r="A73" s="29" t="s">
        <v>18</v>
      </c>
      <c r="B73" s="30" t="s">
        <v>255</v>
      </c>
      <c r="C73" s="31" t="s">
        <v>256</v>
      </c>
      <c r="D73" s="32" t="s">
        <v>134</v>
      </c>
      <c r="E73" s="32"/>
      <c r="F73" s="70" t="s">
        <v>22</v>
      </c>
      <c r="G73" s="34">
        <v>100</v>
      </c>
      <c r="H73" s="35">
        <f>IF(OR(J73="",K73="",K73&lt;J73),0,NETWORKDAYS(J73,K73,Hoja2!$A$2:$A$53))</f>
        <v>2</v>
      </c>
      <c r="I73" s="37">
        <v>46059</v>
      </c>
      <c r="J73" s="37">
        <v>46059</v>
      </c>
      <c r="K73" s="38">
        <v>46062</v>
      </c>
      <c r="L73" s="38">
        <v>46062</v>
      </c>
      <c r="M73" s="39">
        <f ca="1">IF(OR(J73="",AND(L73="",TODAY()&lt;J73),AND(L73&lt;&gt;"",L73&lt;J73)),0,
   IF(L73="",
      NETWORKDAYS(J73,TODAY(),Hoja2!$A$2:$A$53),
      NETWORKDAYS(J73,L73,Hoja2!$A$2:$A$53)
   )
)</f>
        <v>2</v>
      </c>
      <c r="N73" s="38"/>
      <c r="O73" s="38">
        <v>46062</v>
      </c>
      <c r="P73" s="38">
        <v>46062</v>
      </c>
      <c r="Q73" s="76" t="s">
        <v>257</v>
      </c>
      <c r="R73" s="160" t="s">
        <v>518</v>
      </c>
    </row>
    <row r="74" spans="1:18" ht="144" customHeight="1">
      <c r="A74" s="16" t="s">
        <v>18</v>
      </c>
      <c r="B74" s="17" t="s">
        <v>258</v>
      </c>
      <c r="C74" s="18" t="s">
        <v>259</v>
      </c>
      <c r="D74" s="19" t="s">
        <v>260</v>
      </c>
      <c r="E74" s="19"/>
      <c r="F74" s="52" t="s">
        <v>22</v>
      </c>
      <c r="G74" s="21">
        <v>100</v>
      </c>
      <c r="H74" s="22">
        <f>IF(OR(J74="",K74="",K74&lt;J74),0,NETWORKDAYS(J74,K74,Hoja2!$A$2:$A$53))</f>
        <v>3</v>
      </c>
      <c r="I74" s="43">
        <v>46062</v>
      </c>
      <c r="J74" s="43">
        <v>46063</v>
      </c>
      <c r="K74" s="24">
        <v>46065</v>
      </c>
      <c r="L74" s="24">
        <v>46070</v>
      </c>
      <c r="M74" s="25">
        <f ca="1">IF(OR(J74="",AND(L74="",TODAY()&lt;J74),AND(L74&lt;&gt;"",L74&lt;J74)),0,
   IF(L74="",
      NETWORKDAYS(J74,TODAY(),Hoja2!$A$2:$A$53),
      NETWORKDAYS(J74,L74,Hoja2!$A$2:$A$53)
   )
)</f>
        <v>6</v>
      </c>
      <c r="N74" s="24"/>
      <c r="O74" s="24">
        <v>46070</v>
      </c>
      <c r="P74" s="24">
        <v>46070</v>
      </c>
      <c r="Q74" s="75" t="s">
        <v>261</v>
      </c>
      <c r="R74" s="160" t="s">
        <v>518</v>
      </c>
    </row>
    <row r="75" spans="1:18" ht="162" customHeight="1">
      <c r="A75" s="29" t="s">
        <v>18</v>
      </c>
      <c r="B75" s="30" t="s">
        <v>262</v>
      </c>
      <c r="C75" s="31" t="s">
        <v>263</v>
      </c>
      <c r="D75" s="32" t="s">
        <v>134</v>
      </c>
      <c r="E75" s="32"/>
      <c r="F75" s="70" t="s">
        <v>22</v>
      </c>
      <c r="G75" s="34">
        <v>100</v>
      </c>
      <c r="H75" s="35">
        <f>IF(OR(J75="",K75="",K75&lt;J75),0,NETWORKDAYS(J75,K75,Hoja2!$A$2:$A$53))</f>
        <v>2</v>
      </c>
      <c r="I75" s="37">
        <v>46063</v>
      </c>
      <c r="J75" s="37">
        <v>46065</v>
      </c>
      <c r="K75" s="38">
        <v>46066</v>
      </c>
      <c r="L75" s="38">
        <v>46069</v>
      </c>
      <c r="M75" s="39">
        <f ca="1">IF(OR(J75="",AND(L75="",TODAY()&lt;J75),AND(L75&lt;&gt;"",L75&lt;J75)),0,
   IF(L75="",
      NETWORKDAYS(J75,TODAY(),Hoja2!$A$2:$A$53),
      NETWORKDAYS(J75,L75,Hoja2!$A$2:$A$53)
   )
)</f>
        <v>3</v>
      </c>
      <c r="N75" s="38"/>
      <c r="O75" s="38">
        <v>46069</v>
      </c>
      <c r="P75" s="38">
        <v>46069</v>
      </c>
      <c r="Q75" s="76" t="s">
        <v>264</v>
      </c>
      <c r="R75" s="160" t="s">
        <v>518</v>
      </c>
    </row>
    <row r="76" spans="1:18" ht="132.75" customHeight="1">
      <c r="A76" s="16" t="s">
        <v>18</v>
      </c>
      <c r="B76" s="17" t="s">
        <v>265</v>
      </c>
      <c r="C76" s="18" t="s">
        <v>266</v>
      </c>
      <c r="D76" s="19" t="s">
        <v>267</v>
      </c>
      <c r="E76" s="19"/>
      <c r="F76" s="52" t="s">
        <v>22</v>
      </c>
      <c r="G76" s="64">
        <v>100</v>
      </c>
      <c r="H76" s="22">
        <f>IF(OR(J76="",K76="",K76&lt;J76),0,NETWORKDAYS(J76,K76,Hoja2!$A$2:$A$53))</f>
        <v>2</v>
      </c>
      <c r="I76" s="43">
        <v>46070</v>
      </c>
      <c r="J76" s="43">
        <v>46070</v>
      </c>
      <c r="K76" s="24">
        <v>46071</v>
      </c>
      <c r="L76" s="24">
        <v>46072</v>
      </c>
      <c r="M76" s="25">
        <f ca="1">IF(OR(J76="",AND(L76="",TODAY()&lt;J76),AND(L76&lt;&gt;"",L76&lt;J76)),0,
   IF(L76="",
      NETWORKDAYS(J76,TODAY(),Hoja2!$A$2:$A$53),
      NETWORKDAYS(J76,L76,Hoja2!$A$2:$A$53)
   )
)</f>
        <v>3</v>
      </c>
      <c r="N76" s="24"/>
      <c r="O76" s="24">
        <v>46072</v>
      </c>
      <c r="P76" s="24">
        <v>46072</v>
      </c>
      <c r="Q76" s="75" t="s">
        <v>268</v>
      </c>
      <c r="R76" s="160" t="s">
        <v>518</v>
      </c>
    </row>
    <row r="77" spans="1:18" ht="176.25" customHeight="1">
      <c r="A77" s="29" t="s">
        <v>18</v>
      </c>
      <c r="B77" s="30" t="s">
        <v>269</v>
      </c>
      <c r="C77" s="31" t="s">
        <v>270</v>
      </c>
      <c r="D77" s="32" t="s">
        <v>232</v>
      </c>
      <c r="E77" s="32"/>
      <c r="F77" s="70" t="s">
        <v>22</v>
      </c>
      <c r="G77" s="34">
        <v>100</v>
      </c>
      <c r="H77" s="35">
        <f>IF(OR(J77="",K77="",K77&lt;J77),0,NETWORKDAYS(J77,K77,Hoja2!$A$2:$A$53))</f>
        <v>3</v>
      </c>
      <c r="I77" s="37">
        <v>46072</v>
      </c>
      <c r="J77" s="37">
        <v>46072</v>
      </c>
      <c r="K77" s="38">
        <v>46076</v>
      </c>
      <c r="L77" s="38">
        <v>46073</v>
      </c>
      <c r="M77" s="39">
        <f ca="1">IF(OR(J77="",AND(L77="",TODAY()&lt;J77),AND(L77&lt;&gt;"",L77&lt;J77)),0,
   IF(L77="",
      NETWORKDAYS(J77,TODAY(),Hoja2!$A$2:$A$53),
      NETWORKDAYS(J77,L77,Hoja2!$A$2:$A$53)
   )
)</f>
        <v>2</v>
      </c>
      <c r="N77" s="38"/>
      <c r="O77" s="38">
        <v>46073</v>
      </c>
      <c r="P77" s="38">
        <v>46073</v>
      </c>
      <c r="Q77" s="76" t="s">
        <v>271</v>
      </c>
      <c r="R77" s="160" t="s">
        <v>518</v>
      </c>
    </row>
    <row r="78" spans="1:18" ht="132.75" customHeight="1">
      <c r="A78" s="16" t="s">
        <v>18</v>
      </c>
      <c r="B78" s="17" t="s">
        <v>272</v>
      </c>
      <c r="C78" s="18" t="s">
        <v>273</v>
      </c>
      <c r="D78" s="19" t="s">
        <v>274</v>
      </c>
      <c r="E78" s="19"/>
      <c r="F78" s="52" t="s">
        <v>22</v>
      </c>
      <c r="G78" s="64">
        <v>100</v>
      </c>
      <c r="H78" s="22">
        <f>IF(OR(J78="",K78="",K78&lt;J78),0,NETWORKDAYS(J78,K78,Hoja2!$A$2:$A$53))</f>
        <v>4</v>
      </c>
      <c r="I78" s="43">
        <v>46076</v>
      </c>
      <c r="J78" s="43">
        <v>46076</v>
      </c>
      <c r="K78" s="24">
        <v>46079</v>
      </c>
      <c r="L78" s="24">
        <v>46080</v>
      </c>
      <c r="M78" s="25">
        <f ca="1">IF(OR(J78="",AND(L78="",TODAY()&lt;J78),AND(L78&lt;&gt;"",L78&lt;J78)),0,
   IF(L78="",
      NETWORKDAYS(J78,TODAY(),Hoja2!$A$2:$A$53),
      NETWORKDAYS(J78,L78,Hoja2!$A$2:$A$53)
   )
)</f>
        <v>5</v>
      </c>
      <c r="N78" s="24"/>
      <c r="O78" s="24">
        <v>46080</v>
      </c>
      <c r="P78" s="24">
        <v>46080</v>
      </c>
      <c r="Q78" s="75" t="s">
        <v>275</v>
      </c>
      <c r="R78" s="160" t="s">
        <v>518</v>
      </c>
    </row>
    <row r="79" spans="1:18" ht="132.75" customHeight="1">
      <c r="A79" s="29" t="s">
        <v>18</v>
      </c>
      <c r="B79" s="30" t="s">
        <v>276</v>
      </c>
      <c r="C79" s="31" t="s">
        <v>277</v>
      </c>
      <c r="D79" s="32" t="s">
        <v>278</v>
      </c>
      <c r="E79" s="32"/>
      <c r="F79" s="70" t="s">
        <v>22</v>
      </c>
      <c r="G79" s="74">
        <v>100</v>
      </c>
      <c r="H79" s="35">
        <f>IF(OR(J79="",K79="",K79&lt;J79),0,NETWORKDAYS(J79,K79,Hoja2!$A$2:$A$53))</f>
        <v>2</v>
      </c>
      <c r="I79" s="37">
        <v>46076</v>
      </c>
      <c r="J79" s="37">
        <v>46076</v>
      </c>
      <c r="K79" s="38">
        <v>46077</v>
      </c>
      <c r="L79" s="38">
        <v>46077</v>
      </c>
      <c r="M79" s="39">
        <f ca="1">IF(OR(J79="",AND(L79="",TODAY()&lt;J79),AND(L79&lt;&gt;"",L79&lt;J79)),0,
   IF(L79="",
      NETWORKDAYS(J79,TODAY(),Hoja2!$A$2:$A$53),
      NETWORKDAYS(J79,L79,Hoja2!$A$2:$A$53)
   )
)</f>
        <v>2</v>
      </c>
      <c r="N79" s="38"/>
      <c r="O79" s="38">
        <v>46077</v>
      </c>
      <c r="P79" s="38">
        <v>46077</v>
      </c>
      <c r="Q79" s="76" t="s">
        <v>279</v>
      </c>
      <c r="R79" s="160" t="s">
        <v>518</v>
      </c>
    </row>
    <row r="80" spans="1:18" ht="153" customHeight="1">
      <c r="A80" s="16" t="s">
        <v>18</v>
      </c>
      <c r="B80" s="17" t="s">
        <v>280</v>
      </c>
      <c r="C80" s="18" t="s">
        <v>281</v>
      </c>
      <c r="D80" s="19" t="s">
        <v>282</v>
      </c>
      <c r="E80" s="19"/>
      <c r="F80" s="52" t="s">
        <v>22</v>
      </c>
      <c r="G80" s="64">
        <v>100</v>
      </c>
      <c r="H80" s="22">
        <f>IF(OR(J80="",K80="",K80&lt;J80),0,NETWORKDAYS(J80,K80,Hoja2!$A$2:$A$53))</f>
        <v>4</v>
      </c>
      <c r="I80" s="43">
        <v>46078</v>
      </c>
      <c r="J80" s="43">
        <v>46079</v>
      </c>
      <c r="K80" s="24">
        <v>46084</v>
      </c>
      <c r="L80" s="24">
        <v>46084</v>
      </c>
      <c r="M80" s="25">
        <f ca="1">IF(OR(J80="",AND(L80="",TODAY()&lt;J80),AND(L80&lt;&gt;"",L80&lt;J80)),0,
   IF(L80="",
      NETWORKDAYS(J80,TODAY(),Hoja2!$A$2:$A$53),
      NETWORKDAYS(J80,L80,Hoja2!$A$2:$A$53)
   )
)</f>
        <v>4</v>
      </c>
      <c r="N80" s="24">
        <v>46084</v>
      </c>
      <c r="O80" s="24">
        <v>46084</v>
      </c>
      <c r="P80" s="24">
        <v>46084</v>
      </c>
      <c r="Q80" s="75" t="s">
        <v>283</v>
      </c>
      <c r="R80" s="160" t="s">
        <v>518</v>
      </c>
    </row>
    <row r="81" spans="1:18" ht="132.75" customHeight="1">
      <c r="A81" s="29" t="s">
        <v>18</v>
      </c>
      <c r="B81" s="30" t="s">
        <v>284</v>
      </c>
      <c r="C81" s="31" t="s">
        <v>285</v>
      </c>
      <c r="D81" s="32" t="s">
        <v>286</v>
      </c>
      <c r="E81" s="32"/>
      <c r="F81" s="70" t="s">
        <v>22</v>
      </c>
      <c r="G81" s="74">
        <v>100</v>
      </c>
      <c r="H81" s="35">
        <f>IF(OR(J81="",K81="",K81&lt;J81),0,NETWORKDAYS(J81,K81,Hoja2!$A$2:$A$53))</f>
        <v>3</v>
      </c>
      <c r="I81" s="37">
        <v>46083</v>
      </c>
      <c r="J81" s="37">
        <v>46083</v>
      </c>
      <c r="K81" s="38">
        <v>46085</v>
      </c>
      <c r="L81" s="38">
        <v>46090</v>
      </c>
      <c r="M81" s="39">
        <f ca="1">IF(OR(J81="",AND(L81="",TODAY()&lt;J81),AND(L81&lt;&gt;"",L81&lt;J81)),0,
   IF(L81="",
      NETWORKDAYS(J81,TODAY(),Hoja2!$A$2:$A$53),
      NETWORKDAYS(J81,L81,Hoja2!$A$2:$A$53)
   )
)</f>
        <v>6</v>
      </c>
      <c r="N81" s="38"/>
      <c r="O81" s="38">
        <v>46084</v>
      </c>
      <c r="P81" s="38">
        <v>46090</v>
      </c>
      <c r="Q81" s="76" t="s">
        <v>287</v>
      </c>
      <c r="R81" s="160" t="s">
        <v>518</v>
      </c>
    </row>
    <row r="82" spans="1:18" ht="153" customHeight="1">
      <c r="A82" s="16" t="s">
        <v>18</v>
      </c>
      <c r="B82" s="17" t="s">
        <v>288</v>
      </c>
      <c r="C82" s="18" t="s">
        <v>289</v>
      </c>
      <c r="D82" s="19" t="s">
        <v>290</v>
      </c>
      <c r="E82" s="19"/>
      <c r="F82" s="52" t="s">
        <v>22</v>
      </c>
      <c r="G82" s="64">
        <v>100</v>
      </c>
      <c r="H82" s="22">
        <f>IF(OR(J82="",K82="",K82&lt;J82),0,NETWORKDAYS(J82,K82,Hoja2!$A$2:$A$53))</f>
        <v>3</v>
      </c>
      <c r="I82" s="43">
        <v>46085</v>
      </c>
      <c r="J82" s="43">
        <v>46085</v>
      </c>
      <c r="K82" s="24">
        <v>46087</v>
      </c>
      <c r="L82" s="24">
        <v>46091</v>
      </c>
      <c r="M82" s="25">
        <f ca="1">IF(OR(J82="",AND(L82="",TODAY()&lt;J82),AND(L82&lt;&gt;"",L82&lt;J82)),0,
   IF(L82="",
      NETWORKDAYS(J82,TODAY(),Hoja2!$A$2:$A$53),
      NETWORKDAYS(J82,L82,Hoja2!$A$2:$A$53)
   )
)</f>
        <v>5</v>
      </c>
      <c r="N82" s="24"/>
      <c r="O82" s="24">
        <v>46090</v>
      </c>
      <c r="P82" s="24">
        <v>46091</v>
      </c>
      <c r="Q82" s="75" t="s">
        <v>291</v>
      </c>
      <c r="R82" s="160" t="s">
        <v>518</v>
      </c>
    </row>
    <row r="83" spans="1:18" ht="162" customHeight="1">
      <c r="A83" s="29" t="s">
        <v>18</v>
      </c>
      <c r="B83" s="30" t="s">
        <v>292</v>
      </c>
      <c r="C83" s="31" t="s">
        <v>293</v>
      </c>
      <c r="D83" s="32" t="s">
        <v>191</v>
      </c>
      <c r="E83" s="32"/>
      <c r="F83" s="70" t="s">
        <v>22</v>
      </c>
      <c r="G83" s="34">
        <v>100</v>
      </c>
      <c r="H83" s="35">
        <f>IF(OR(J83="",K83="",K83&lt;J83),0,NETWORKDAYS(J83,K83,Hoja2!$A$2:$A$53))</f>
        <v>3</v>
      </c>
      <c r="I83" s="37">
        <v>46091</v>
      </c>
      <c r="J83" s="37">
        <v>46092</v>
      </c>
      <c r="K83" s="38">
        <v>46094</v>
      </c>
      <c r="L83" s="38">
        <v>46097</v>
      </c>
      <c r="M83" s="39">
        <f ca="1">IF(OR(J83="",AND(L83="",TODAY()&lt;J83),AND(L83&lt;&gt;"",L83&lt;J83)),0,
   IF(L83="",
      NETWORKDAYS(J83,TODAY(),Hoja2!$A$2:$A$53),
      NETWORKDAYS(J83,L83,Hoja2!$A$2:$A$53)
   )
)</f>
        <v>4</v>
      </c>
      <c r="N83" s="38"/>
      <c r="O83" s="38">
        <v>46094</v>
      </c>
      <c r="P83" s="38">
        <v>46097</v>
      </c>
      <c r="Q83" s="76" t="s">
        <v>294</v>
      </c>
      <c r="R83" s="160" t="s">
        <v>518</v>
      </c>
    </row>
    <row r="84" spans="1:18" ht="162" customHeight="1">
      <c r="A84" s="16" t="s">
        <v>18</v>
      </c>
      <c r="B84" s="17" t="s">
        <v>295</v>
      </c>
      <c r="C84" s="18" t="s">
        <v>296</v>
      </c>
      <c r="D84" s="19" t="s">
        <v>297</v>
      </c>
      <c r="E84" s="19"/>
      <c r="F84" s="52" t="s">
        <v>22</v>
      </c>
      <c r="G84" s="21">
        <v>100</v>
      </c>
      <c r="H84" s="22">
        <f>IF(OR(J84="",K84="",K84&lt;J84),0,NETWORKDAYS(J84,K84,Hoja2!$A$2:$A$53))</f>
        <v>3</v>
      </c>
      <c r="I84" s="43">
        <v>46091</v>
      </c>
      <c r="J84" s="43">
        <v>46091</v>
      </c>
      <c r="K84" s="24">
        <v>46093</v>
      </c>
      <c r="L84" s="24">
        <v>46093</v>
      </c>
      <c r="M84" s="25">
        <f ca="1">IF(OR(J84="",AND(L84="",TODAY()&lt;J84),AND(L84&lt;&gt;"",L84&lt;J84)),0,
   IF(L84="",
      NETWORKDAYS(J84,TODAY(),Hoja2!$A$2:$A$53),
      NETWORKDAYS(J84,L84,Hoja2!$A$2:$A$53)
   )
)</f>
        <v>3</v>
      </c>
      <c r="N84" s="24"/>
      <c r="O84" s="24"/>
      <c r="P84" s="24"/>
      <c r="Q84" s="75" t="s">
        <v>298</v>
      </c>
      <c r="R84" s="160" t="s">
        <v>518</v>
      </c>
    </row>
    <row r="85" spans="1:18" ht="153" customHeight="1">
      <c r="A85" s="29" t="s">
        <v>18</v>
      </c>
      <c r="B85" s="30" t="s">
        <v>299</v>
      </c>
      <c r="C85" s="31" t="s">
        <v>289</v>
      </c>
      <c r="D85" s="32" t="s">
        <v>290</v>
      </c>
      <c r="E85" s="32"/>
      <c r="F85" s="70" t="s">
        <v>22</v>
      </c>
      <c r="G85" s="74">
        <v>100</v>
      </c>
      <c r="H85" s="35">
        <f>IF(OR(J85="",K85="",K85&lt;J85),0,NETWORKDAYS(J85,K85,Hoja2!$A$2:$A$53))</f>
        <v>1</v>
      </c>
      <c r="I85" s="37">
        <v>46094</v>
      </c>
      <c r="J85" s="37">
        <v>46094</v>
      </c>
      <c r="K85" s="38">
        <v>46094</v>
      </c>
      <c r="L85" s="38">
        <v>46097</v>
      </c>
      <c r="M85" s="39">
        <f ca="1">IF(OR(J85="",AND(L85="",TODAY()&lt;J85),AND(L85&lt;&gt;"",L85&lt;J85)),0,
   IF(L85="",
      NETWORKDAYS(J85,TODAY(),Hoja2!$A$2:$A$53),
      NETWORKDAYS(J85,L85,Hoja2!$A$2:$A$53)
   )
)</f>
        <v>2</v>
      </c>
      <c r="N85" s="38"/>
      <c r="O85" s="38">
        <v>46094</v>
      </c>
      <c r="P85" s="38">
        <v>46094</v>
      </c>
      <c r="Q85" s="76" t="s">
        <v>300</v>
      </c>
      <c r="R85" s="160" t="s">
        <v>518</v>
      </c>
    </row>
    <row r="86" spans="1:18" ht="162" customHeight="1">
      <c r="A86" s="16" t="s">
        <v>18</v>
      </c>
      <c r="B86" s="17" t="s">
        <v>301</v>
      </c>
      <c r="C86" s="18" t="s">
        <v>302</v>
      </c>
      <c r="D86" s="19" t="s">
        <v>191</v>
      </c>
      <c r="E86" s="19"/>
      <c r="F86" s="52" t="s">
        <v>22</v>
      </c>
      <c r="G86" s="21">
        <v>100</v>
      </c>
      <c r="H86" s="22">
        <f>IF(OR(J86="",K86="",K86&lt;J86),0,NETWORKDAYS(J86,K86,Hoja2!$A$2:$A$53))</f>
        <v>2</v>
      </c>
      <c r="I86" s="43">
        <v>46097</v>
      </c>
      <c r="J86" s="43">
        <v>46098</v>
      </c>
      <c r="K86" s="24">
        <v>46099</v>
      </c>
      <c r="L86" s="24">
        <v>46099</v>
      </c>
      <c r="M86" s="25">
        <f ca="1">IF(OR(J86="",AND(L86="",TODAY()&lt;J86),AND(L86&lt;&gt;"",L86&lt;J86)),0,
   IF(L86="",
      NETWORKDAYS(J86,TODAY(),Hoja2!$A$2:$A$53),
      NETWORKDAYS(J86,L86,Hoja2!$A$2:$A$53)
   )
)</f>
        <v>2</v>
      </c>
      <c r="N86" s="24"/>
      <c r="O86" s="24">
        <v>46099</v>
      </c>
      <c r="P86" s="24">
        <v>46101</v>
      </c>
      <c r="Q86" s="75" t="s">
        <v>303</v>
      </c>
      <c r="R86" s="160" t="s">
        <v>518</v>
      </c>
    </row>
    <row r="87" spans="1:18" ht="162" customHeight="1">
      <c r="A87" s="29" t="s">
        <v>18</v>
      </c>
      <c r="B87" s="30" t="s">
        <v>304</v>
      </c>
      <c r="C87" s="31" t="s">
        <v>305</v>
      </c>
      <c r="D87" s="32" t="s">
        <v>191</v>
      </c>
      <c r="E87" s="32"/>
      <c r="F87" s="70" t="s">
        <v>22</v>
      </c>
      <c r="G87" s="34">
        <v>100</v>
      </c>
      <c r="H87" s="35">
        <f>IF(OR(J87="",K87="",K87&lt;J87),0,NETWORKDAYS(J87,K87,Hoja2!$A$2:$A$53))</f>
        <v>2</v>
      </c>
      <c r="I87" s="37">
        <v>46097</v>
      </c>
      <c r="J87" s="37">
        <v>46099</v>
      </c>
      <c r="K87" s="38">
        <v>46100</v>
      </c>
      <c r="L87" s="38">
        <v>46106</v>
      </c>
      <c r="M87" s="39">
        <f ca="1">IF(OR(J87="",AND(L87="",TODAY()&lt;J87),AND(L87&lt;&gt;"",L87&lt;J87)),0,
   IF(L87="",
      NETWORKDAYS(J87,TODAY(),Hoja2!$A$2:$A$53),
      NETWORKDAYS(J87,L87,Hoja2!$A$2:$A$53)
   )
)</f>
        <v>5</v>
      </c>
      <c r="N87" s="38"/>
      <c r="O87" s="38">
        <v>46100</v>
      </c>
      <c r="P87" s="38">
        <v>46101</v>
      </c>
      <c r="Q87" s="76" t="s">
        <v>306</v>
      </c>
      <c r="R87" s="160" t="s">
        <v>518</v>
      </c>
    </row>
    <row r="88" spans="1:18" ht="153" customHeight="1">
      <c r="A88" s="16" t="s">
        <v>18</v>
      </c>
      <c r="B88" s="17" t="s">
        <v>307</v>
      </c>
      <c r="C88" s="18" t="s">
        <v>308</v>
      </c>
      <c r="D88" s="19" t="s">
        <v>290</v>
      </c>
      <c r="E88" s="19"/>
      <c r="F88" s="52" t="s">
        <v>22</v>
      </c>
      <c r="G88" s="64">
        <v>100</v>
      </c>
      <c r="H88" s="22">
        <f>IF(OR(J88="",K88="",K88&lt;J88),0,NETWORKDAYS(J88,K88,Hoja2!$A$2:$A$53))</f>
        <v>3</v>
      </c>
      <c r="I88" s="43">
        <v>46097</v>
      </c>
      <c r="J88" s="43">
        <v>46098</v>
      </c>
      <c r="K88" s="24">
        <v>46100</v>
      </c>
      <c r="L88" s="24">
        <v>46100</v>
      </c>
      <c r="M88" s="25">
        <f ca="1">IF(OR(J88="",AND(L88="",TODAY()&lt;J88),AND(L88&lt;&gt;"",L88&lt;J88)),0,
   IF(L88="",
      NETWORKDAYS(J88,TODAY(),Hoja2!$A$2:$A$53),
      NETWORKDAYS(J88,L88,Hoja2!$A$2:$A$53)
   )
)</f>
        <v>3</v>
      </c>
      <c r="N88" s="24"/>
      <c r="O88" s="24">
        <v>46100</v>
      </c>
      <c r="P88" s="24">
        <v>46100</v>
      </c>
      <c r="Q88" s="75" t="s">
        <v>309</v>
      </c>
      <c r="R88" s="160" t="s">
        <v>518</v>
      </c>
    </row>
    <row r="89" spans="1:18" ht="153" customHeight="1">
      <c r="A89" s="29" t="s">
        <v>18</v>
      </c>
      <c r="B89" s="30" t="s">
        <v>310</v>
      </c>
      <c r="C89" s="31" t="s">
        <v>311</v>
      </c>
      <c r="D89" s="32" t="s">
        <v>312</v>
      </c>
      <c r="E89" s="32"/>
      <c r="F89" s="70" t="s">
        <v>22</v>
      </c>
      <c r="G89" s="74">
        <v>100</v>
      </c>
      <c r="H89" s="35">
        <f>IF(OR(J89="",K89="",K89&lt;J89),0,NETWORKDAYS(J89,K89,Hoja2!$A$2:$A$53))</f>
        <v>1</v>
      </c>
      <c r="I89" s="37">
        <v>46104</v>
      </c>
      <c r="J89" s="37">
        <v>46105</v>
      </c>
      <c r="K89" s="38">
        <v>46105</v>
      </c>
      <c r="L89" s="38">
        <v>46105</v>
      </c>
      <c r="M89" s="39">
        <f ca="1">IF(OR(J89="",AND(L89="",TODAY()&lt;J89),AND(L89&lt;&gt;"",L89&lt;J89)),0,
   IF(L89="",
      NETWORKDAYS(J89,TODAY(),Hoja2!$A$2:$A$53),
      NETWORKDAYS(J89,L89,Hoja2!$A$2:$A$53)
   )
)</f>
        <v>1</v>
      </c>
      <c r="N89" s="38"/>
      <c r="O89" s="38">
        <v>46105</v>
      </c>
      <c r="P89" s="38">
        <v>46105</v>
      </c>
      <c r="Q89" s="76" t="s">
        <v>313</v>
      </c>
      <c r="R89" s="160" t="s">
        <v>518</v>
      </c>
    </row>
    <row r="90" spans="1:18" ht="204">
      <c r="A90" s="16" t="s">
        <v>18</v>
      </c>
      <c r="B90" s="17" t="s">
        <v>314</v>
      </c>
      <c r="C90" s="18" t="s">
        <v>315</v>
      </c>
      <c r="D90" s="19" t="s">
        <v>316</v>
      </c>
      <c r="E90" s="19"/>
      <c r="F90" s="52" t="s">
        <v>22</v>
      </c>
      <c r="G90" s="64">
        <v>100</v>
      </c>
      <c r="H90" s="22">
        <f>IF(OR(J90="",K90="",K90&lt;J90),0,NETWORKDAYS(J90,K90,Hoja2!$A$2:$A$53))</f>
        <v>4</v>
      </c>
      <c r="I90" s="43">
        <v>46107</v>
      </c>
      <c r="J90" s="43">
        <v>46107</v>
      </c>
      <c r="K90" s="24">
        <v>46112</v>
      </c>
      <c r="L90" s="24">
        <v>46111</v>
      </c>
      <c r="M90" s="25">
        <f ca="1">IF(OR(J90="",AND(L90="",TODAY()&lt;J90),AND(L90&lt;&gt;"",L90&lt;J90)),0,
   IF(L90="",
      NETWORKDAYS(J90,TODAY(),Hoja2!$A$2:$A$53),
      NETWORKDAYS(J90,L90,Hoja2!$A$2:$A$53)
   )
)</f>
        <v>3</v>
      </c>
      <c r="N90" s="24"/>
      <c r="O90" s="24">
        <v>46111</v>
      </c>
      <c r="P90" s="24"/>
      <c r="Q90" s="75" t="s">
        <v>317</v>
      </c>
      <c r="R90" s="160" t="s">
        <v>518</v>
      </c>
    </row>
    <row r="91" spans="1:18" ht="153" customHeight="1">
      <c r="A91" s="29" t="s">
        <v>18</v>
      </c>
      <c r="B91" s="30" t="s">
        <v>318</v>
      </c>
      <c r="C91" s="31" t="s">
        <v>319</v>
      </c>
      <c r="D91" s="32" t="s">
        <v>320</v>
      </c>
      <c r="E91" s="32"/>
      <c r="F91" s="70" t="s">
        <v>22</v>
      </c>
      <c r="G91" s="74">
        <v>100</v>
      </c>
      <c r="H91" s="35">
        <f>IF(OR(J91="",K91="",K91&lt;J91),0,NETWORKDAYS(J91,K91,Hoja2!$A$2:$A$53))</f>
        <v>1</v>
      </c>
      <c r="I91" s="37">
        <v>46111</v>
      </c>
      <c r="J91" s="37">
        <v>46111</v>
      </c>
      <c r="K91" s="38">
        <v>46111</v>
      </c>
      <c r="L91" s="38">
        <v>46111</v>
      </c>
      <c r="M91" s="39">
        <f ca="1">IF(OR(J91="",AND(L91="",TODAY()&lt;J91),AND(L91&lt;&gt;"",L91&lt;J91)),0,
   IF(L91="",
      NETWORKDAYS(J91,TODAY(),Hoja2!$A$2:$A$53),
      NETWORKDAYS(J91,L91,Hoja2!$A$2:$A$53)
   )
)</f>
        <v>1</v>
      </c>
      <c r="N91" s="38"/>
      <c r="O91" s="38">
        <v>46111</v>
      </c>
      <c r="P91" s="38">
        <v>46111</v>
      </c>
      <c r="Q91" s="76" t="s">
        <v>321</v>
      </c>
      <c r="R91" s="160" t="s">
        <v>518</v>
      </c>
    </row>
    <row r="92" spans="1:18" ht="153" customHeight="1">
      <c r="A92" s="16" t="s">
        <v>18</v>
      </c>
      <c r="B92" s="17" t="s">
        <v>322</v>
      </c>
      <c r="C92" s="18" t="s">
        <v>323</v>
      </c>
      <c r="D92" s="19" t="s">
        <v>312</v>
      </c>
      <c r="E92" s="19"/>
      <c r="F92" s="52" t="s">
        <v>22</v>
      </c>
      <c r="G92" s="64">
        <v>100</v>
      </c>
      <c r="H92" s="22">
        <f>IF(OR(J92="",K92="",K92&lt;J92),0,NETWORKDAYS(J92,K92,Hoja2!$A$2:$A$53))</f>
        <v>3</v>
      </c>
      <c r="I92" s="43">
        <v>46119</v>
      </c>
      <c r="J92" s="43">
        <v>46119</v>
      </c>
      <c r="K92" s="24">
        <v>46121</v>
      </c>
      <c r="L92" s="24">
        <v>46121</v>
      </c>
      <c r="M92" s="25">
        <f ca="1">IF(OR(J92="",AND(L92="",TODAY()&lt;J92),AND(L92&lt;&gt;"",L92&lt;J92)),0,
   IF(L92="",
      NETWORKDAYS(J92,TODAY(),Hoja2!$A$2:$A$53),
      NETWORKDAYS(J92,L92,Hoja2!$A$2:$A$53)
   )
)</f>
        <v>3</v>
      </c>
      <c r="N92" s="24"/>
      <c r="O92" s="24">
        <v>46121</v>
      </c>
      <c r="P92" s="24">
        <v>46121</v>
      </c>
      <c r="Q92" s="75" t="s">
        <v>324</v>
      </c>
      <c r="R92" s="160" t="s">
        <v>518</v>
      </c>
    </row>
    <row r="93" spans="1:18" ht="162" customHeight="1">
      <c r="A93" s="29" t="s">
        <v>18</v>
      </c>
      <c r="B93" s="30" t="s">
        <v>325</v>
      </c>
      <c r="C93" s="31" t="s">
        <v>326</v>
      </c>
      <c r="D93" s="32" t="s">
        <v>191</v>
      </c>
      <c r="E93" s="32"/>
      <c r="F93" s="70" t="s">
        <v>22</v>
      </c>
      <c r="G93" s="34">
        <v>100</v>
      </c>
      <c r="H93" s="35">
        <f>IF(OR(J93="",K93="",K93&lt;J93),0,NETWORKDAYS(J93,K93,Hoja2!$A$2:$A$53))</f>
        <v>2</v>
      </c>
      <c r="I93" s="37">
        <v>46112</v>
      </c>
      <c r="J93" s="37">
        <v>46112</v>
      </c>
      <c r="K93" s="38">
        <v>46113</v>
      </c>
      <c r="L93" s="38">
        <v>46113</v>
      </c>
      <c r="M93" s="39">
        <f ca="1">IF(OR(J93="",AND(L93="",TODAY()&lt;J93),AND(L93&lt;&gt;"",L93&lt;J93)),0,
   IF(L93="",
      NETWORKDAYS(J93,TODAY(),Hoja2!$A$2:$A$53),
      NETWORKDAYS(J93,L93,Hoja2!$A$2:$A$53)
   )
)</f>
        <v>2</v>
      </c>
      <c r="N93" s="38"/>
      <c r="O93" s="38">
        <v>46113</v>
      </c>
      <c r="P93" s="38">
        <v>46113</v>
      </c>
      <c r="Q93" s="76" t="s">
        <v>327</v>
      </c>
      <c r="R93" s="160" t="s">
        <v>518</v>
      </c>
    </row>
    <row r="94" spans="1:18" ht="153" customHeight="1">
      <c r="A94" s="16" t="s">
        <v>18</v>
      </c>
      <c r="B94" s="17" t="s">
        <v>328</v>
      </c>
      <c r="C94" s="18" t="s">
        <v>329</v>
      </c>
      <c r="D94" s="19" t="s">
        <v>330</v>
      </c>
      <c r="E94" s="19"/>
      <c r="F94" s="52" t="s">
        <v>22</v>
      </c>
      <c r="G94" s="64">
        <v>100</v>
      </c>
      <c r="H94" s="22">
        <f>IF(OR(J94="",K94="",K94&lt;J94),0,NETWORKDAYS(J94,K94,Hoja2!$A$2:$A$53))</f>
        <v>1</v>
      </c>
      <c r="I94" s="43">
        <v>46119</v>
      </c>
      <c r="J94" s="43">
        <v>46119</v>
      </c>
      <c r="K94" s="24">
        <v>46119</v>
      </c>
      <c r="L94" s="24">
        <v>46119</v>
      </c>
      <c r="M94" s="25">
        <f ca="1">IF(OR(J94="",AND(L94="",TODAY()&lt;J94),AND(L94&lt;&gt;"",L94&lt;J94)),0,
   IF(L94="",
      NETWORKDAYS(J94,TODAY(),Hoja2!$A$2:$A$53),
      NETWORKDAYS(J94,L94,Hoja2!$A$2:$A$53)
   )
)</f>
        <v>1</v>
      </c>
      <c r="N94" s="24"/>
      <c r="O94" s="24">
        <v>46119</v>
      </c>
      <c r="P94" s="24">
        <v>46119</v>
      </c>
      <c r="Q94" s="75" t="s">
        <v>324</v>
      </c>
      <c r="R94" s="160" t="s">
        <v>518</v>
      </c>
    </row>
    <row r="95" spans="1:18" ht="258" customHeight="1">
      <c r="A95" s="29" t="s">
        <v>18</v>
      </c>
      <c r="B95" s="30" t="s">
        <v>331</v>
      </c>
      <c r="C95" s="31" t="s">
        <v>332</v>
      </c>
      <c r="D95" s="32" t="s">
        <v>333</v>
      </c>
      <c r="E95" s="32"/>
      <c r="F95" s="70" t="s">
        <v>22</v>
      </c>
      <c r="G95" s="74">
        <v>100</v>
      </c>
      <c r="H95" s="35">
        <f>IF(OR(J95="",K95="",K95&lt;J95),0,NETWORKDAYS(J95,K95,Hoja2!$A$2:$A$53))</f>
        <v>1</v>
      </c>
      <c r="I95" s="37">
        <v>46125</v>
      </c>
      <c r="J95" s="37">
        <v>46125</v>
      </c>
      <c r="K95" s="38">
        <v>46125</v>
      </c>
      <c r="L95" s="38">
        <v>46128</v>
      </c>
      <c r="M95" s="39">
        <f ca="1">IF(OR(J95="",AND(L95="",TODAY()&lt;J95),AND(L95&lt;&gt;"",L95&lt;J95)),0,
   IF(L95="",
      NETWORKDAYS(J95,TODAY(),Hoja2!$A$2:$A$53),
      NETWORKDAYS(J95,L95,Hoja2!$A$2:$A$53)
   )
)</f>
        <v>4</v>
      </c>
      <c r="N95" s="38"/>
      <c r="O95" s="38">
        <v>46125</v>
      </c>
      <c r="P95" s="38">
        <v>46125</v>
      </c>
      <c r="Q95" s="76" t="s">
        <v>334</v>
      </c>
      <c r="R95" s="160" t="s">
        <v>518</v>
      </c>
    </row>
    <row r="96" spans="1:18" ht="168.75" customHeight="1">
      <c r="A96" s="16" t="s">
        <v>18</v>
      </c>
      <c r="B96" s="17" t="s">
        <v>335</v>
      </c>
      <c r="C96" s="18" t="s">
        <v>336</v>
      </c>
      <c r="D96" s="19" t="s">
        <v>337</v>
      </c>
      <c r="E96" s="19"/>
      <c r="F96" s="52" t="s">
        <v>22</v>
      </c>
      <c r="G96" s="64">
        <v>100</v>
      </c>
      <c r="H96" s="22">
        <f>IF(OR(J96="",K96="",K96&lt;J96),0,NETWORKDAYS(J96,K96,Hoja2!$A$2:$A$53))</f>
        <v>1</v>
      </c>
      <c r="I96" s="43">
        <v>46129</v>
      </c>
      <c r="J96" s="43">
        <v>46129</v>
      </c>
      <c r="K96" s="24">
        <v>46129</v>
      </c>
      <c r="L96" s="24">
        <v>46129</v>
      </c>
      <c r="M96" s="25">
        <f ca="1">IF(OR(J96="",AND(L96="",TODAY()&lt;J96),AND(L96&lt;&gt;"",L96&lt;J96)),0,
   IF(L96="",
      NETWORKDAYS(J96,TODAY(),Hoja2!$A$2:$A$53),
      NETWORKDAYS(J96,L96,Hoja2!$A$2:$A$53)
   )
)</f>
        <v>1</v>
      </c>
      <c r="N96" s="24"/>
      <c r="O96" s="24">
        <v>46129</v>
      </c>
      <c r="P96" s="24">
        <v>46129</v>
      </c>
      <c r="Q96" s="75"/>
      <c r="R96" s="160" t="s">
        <v>518</v>
      </c>
    </row>
    <row r="97" spans="1:18" ht="129.75" customHeight="1">
      <c r="A97" s="29" t="s">
        <v>18</v>
      </c>
      <c r="B97" s="30" t="s">
        <v>338</v>
      </c>
      <c r="C97" s="31" t="s">
        <v>315</v>
      </c>
      <c r="D97" s="32" t="s">
        <v>316</v>
      </c>
      <c r="E97" s="32"/>
      <c r="F97" s="70" t="s">
        <v>22</v>
      </c>
      <c r="G97" s="74">
        <v>100</v>
      </c>
      <c r="H97" s="35">
        <f>IF(OR(J97="",K97="",K97&lt;J97),0,NETWORKDAYS(J97,K97,Hoja2!$A$2:$A$53))</f>
        <v>2</v>
      </c>
      <c r="I97" s="37">
        <v>46126</v>
      </c>
      <c r="J97" s="37">
        <v>46128</v>
      </c>
      <c r="K97" s="38">
        <v>46129</v>
      </c>
      <c r="L97" s="38">
        <v>46129</v>
      </c>
      <c r="M97" s="39">
        <f ca="1">IF(OR(J97="",AND(L97="",TODAY()&lt;J97),AND(L97&lt;&gt;"",L97&lt;J97)),0,
   IF(L97="",
      NETWORKDAYS(J97,TODAY(),Hoja2!$A$2:$A$53),
      NETWORKDAYS(J97,L97,Hoja2!$A$2:$A$53)
   )
)</f>
        <v>2</v>
      </c>
      <c r="N97" s="38"/>
      <c r="O97" s="38">
        <v>46129</v>
      </c>
      <c r="P97" s="38"/>
      <c r="Q97" s="76" t="s">
        <v>339</v>
      </c>
      <c r="R97" s="160" t="s">
        <v>518</v>
      </c>
    </row>
    <row r="98" spans="1:18" ht="140.25" customHeight="1">
      <c r="A98" s="16" t="s">
        <v>18</v>
      </c>
      <c r="B98" s="17" t="s">
        <v>340</v>
      </c>
      <c r="C98" s="18" t="s">
        <v>341</v>
      </c>
      <c r="D98" s="19" t="s">
        <v>342</v>
      </c>
      <c r="E98" s="19"/>
      <c r="F98" s="52" t="s">
        <v>22</v>
      </c>
      <c r="G98" s="64">
        <v>100</v>
      </c>
      <c r="H98" s="22">
        <f>IF(OR(J98="",K98="",K98&lt;J98),0,NETWORKDAYS(J98,K98,Hoja2!$A$2:$A$53))</f>
        <v>2</v>
      </c>
      <c r="I98" s="43">
        <v>46125</v>
      </c>
      <c r="J98" s="43">
        <v>46127</v>
      </c>
      <c r="K98" s="24">
        <v>46128</v>
      </c>
      <c r="L98" s="24">
        <v>46128</v>
      </c>
      <c r="M98" s="25">
        <f ca="1">IF(OR(J98="",AND(L98="",TODAY()&lt;J98),AND(L98&lt;&gt;"",L98&lt;J98)),0,
   IF(L98="",
      NETWORKDAYS(J98,TODAY(),Hoja2!$A$2:$A$53),
      NETWORKDAYS(J98,L98,Hoja2!$A$2:$A$53)
   )
)</f>
        <v>2</v>
      </c>
      <c r="N98" s="24"/>
      <c r="O98" s="24">
        <v>46128</v>
      </c>
      <c r="P98" s="24">
        <v>46128</v>
      </c>
      <c r="Q98" s="75" t="s">
        <v>343</v>
      </c>
      <c r="R98" s="160" t="s">
        <v>518</v>
      </c>
    </row>
    <row r="99" spans="1:18" ht="184.5" customHeight="1">
      <c r="A99" s="29" t="s">
        <v>18</v>
      </c>
      <c r="B99" s="30" t="s">
        <v>344</v>
      </c>
      <c r="C99" s="31" t="s">
        <v>345</v>
      </c>
      <c r="D99" s="32" t="s">
        <v>346</v>
      </c>
      <c r="E99" s="32"/>
      <c r="F99" s="70" t="s">
        <v>22</v>
      </c>
      <c r="G99" s="74">
        <v>100</v>
      </c>
      <c r="H99" s="35">
        <f>IF(OR(J99="",K99="",K99&lt;J99),0,NETWORKDAYS(J99,K99,Hoja2!$A$2:$A$53))</f>
        <v>2</v>
      </c>
      <c r="I99" s="37">
        <v>46133</v>
      </c>
      <c r="J99" s="37">
        <v>46134</v>
      </c>
      <c r="K99" s="38">
        <v>46135</v>
      </c>
      <c r="L99" s="38">
        <v>46157</v>
      </c>
      <c r="M99" s="39">
        <f ca="1">IF(OR(J99="",AND(L99="",TODAY()&lt;J99),AND(L99&lt;&gt;"",L99&lt;J99)),0,
   IF(L99="",
      NETWORKDAYS(J99,TODAY(),Hoja2!$A$2:$A$53),
      NETWORKDAYS(J99,L99,Hoja2!$A$2:$A$53)
   )
)</f>
        <v>17</v>
      </c>
      <c r="N99" s="38"/>
      <c r="O99" s="38">
        <v>46141</v>
      </c>
      <c r="P99" s="38">
        <v>46157</v>
      </c>
      <c r="Q99" s="76" t="s">
        <v>347</v>
      </c>
      <c r="R99" s="160" t="s">
        <v>518</v>
      </c>
    </row>
    <row r="100" spans="1:18" ht="177" customHeight="1">
      <c r="A100" s="16" t="s">
        <v>18</v>
      </c>
      <c r="B100" s="17" t="s">
        <v>348</v>
      </c>
      <c r="C100" s="18" t="s">
        <v>349</v>
      </c>
      <c r="D100" s="19" t="s">
        <v>316</v>
      </c>
      <c r="E100" s="19"/>
      <c r="F100" s="52" t="s">
        <v>22</v>
      </c>
      <c r="G100" s="64">
        <v>100</v>
      </c>
      <c r="H100" s="22">
        <f>IF(OR(J100="",K100="",K100&lt;J100),0,NETWORKDAYS(J100,K100,Hoja2!$A$2:$A$53))</f>
        <v>3</v>
      </c>
      <c r="I100" s="43">
        <v>46133</v>
      </c>
      <c r="J100" s="43">
        <v>46134</v>
      </c>
      <c r="K100" s="24">
        <v>46136</v>
      </c>
      <c r="L100" s="24">
        <v>46139</v>
      </c>
      <c r="M100" s="25">
        <f ca="1">IF(OR(J100="",AND(L100="",TODAY()&lt;J100),AND(L100&lt;&gt;"",L100&lt;J100)),0,
   IF(L100="",
      NETWORKDAYS(J100,TODAY(),Hoja2!$A$2:$A$53),
      NETWORKDAYS(J100,L100,Hoja2!$A$2:$A$53)
   )
)</f>
        <v>4</v>
      </c>
      <c r="N100" s="24"/>
      <c r="O100" s="24">
        <v>46139</v>
      </c>
      <c r="P100" s="24"/>
      <c r="Q100" s="75" t="s">
        <v>350</v>
      </c>
      <c r="R100" s="160" t="s">
        <v>518</v>
      </c>
    </row>
    <row r="101" spans="1:18" ht="140.25" customHeight="1">
      <c r="A101" s="29" t="s">
        <v>18</v>
      </c>
      <c r="B101" s="30" t="s">
        <v>351</v>
      </c>
      <c r="C101" s="31" t="s">
        <v>352</v>
      </c>
      <c r="D101" s="32" t="s">
        <v>353</v>
      </c>
      <c r="E101" s="32"/>
      <c r="F101" s="70" t="s">
        <v>22</v>
      </c>
      <c r="G101" s="74">
        <v>100</v>
      </c>
      <c r="H101" s="35">
        <f>IF(OR(J101="",K101="",K101&lt;J101),0,NETWORKDAYS(J101,K101,Hoja2!$A$2:$A$53))</f>
        <v>2</v>
      </c>
      <c r="I101" s="37">
        <v>46139</v>
      </c>
      <c r="J101" s="37">
        <v>46139</v>
      </c>
      <c r="K101" s="38">
        <v>46140</v>
      </c>
      <c r="L101" s="38">
        <v>46140</v>
      </c>
      <c r="M101" s="39">
        <f ca="1">IF(OR(J101="",AND(L101="",TODAY()&lt;J101),AND(L101&lt;&gt;"",L101&lt;J101)),0,
   IF(L101="",
      NETWORKDAYS(J101,TODAY(),Hoja2!$A$2:$A$53),
      NETWORKDAYS(J101,L101,Hoja2!$A$2:$A$53)
   )
)</f>
        <v>2</v>
      </c>
      <c r="N101" s="38"/>
      <c r="O101" s="38">
        <v>46140</v>
      </c>
      <c r="P101" s="38">
        <v>46140</v>
      </c>
      <c r="Q101" s="76" t="s">
        <v>354</v>
      </c>
      <c r="R101" s="160" t="s">
        <v>518</v>
      </c>
    </row>
    <row r="102" spans="1:18" ht="140.25" customHeight="1">
      <c r="A102" s="16" t="s">
        <v>18</v>
      </c>
      <c r="B102" s="17" t="s">
        <v>355</v>
      </c>
      <c r="C102" s="18" t="s">
        <v>356</v>
      </c>
      <c r="D102" s="19" t="s">
        <v>357</v>
      </c>
      <c r="E102" s="19"/>
      <c r="F102" s="52" t="s">
        <v>22</v>
      </c>
      <c r="G102" s="64">
        <v>100</v>
      </c>
      <c r="H102" s="22">
        <f>IF(OR(J102="",K102="",K102&lt;J102),0,NETWORKDAYS(J102,K102,Hoja2!$A$2:$A$53))</f>
        <v>6</v>
      </c>
      <c r="I102" s="43">
        <v>46150</v>
      </c>
      <c r="J102" s="43">
        <v>46150</v>
      </c>
      <c r="K102" s="24">
        <v>46157</v>
      </c>
      <c r="L102" s="24">
        <v>46157</v>
      </c>
      <c r="M102" s="25">
        <f ca="1">IF(OR(J102="",AND(L102="",TODAY()&lt;J102),AND(L102&lt;&gt;"",L102&lt;J102)),0,
   IF(L102="",
      NETWORKDAYS(J102,TODAY(),Hoja2!$A$2:$A$53),
      NETWORKDAYS(J102,L102,Hoja2!$A$2:$A$53)
   )
)</f>
        <v>6</v>
      </c>
      <c r="N102" s="24"/>
      <c r="O102" s="24">
        <v>46157</v>
      </c>
      <c r="P102" s="24">
        <v>46157</v>
      </c>
      <c r="Q102" s="75" t="s">
        <v>358</v>
      </c>
      <c r="R102" s="160" t="s">
        <v>518</v>
      </c>
    </row>
    <row r="103" spans="1:18" ht="140.25" customHeight="1">
      <c r="A103" s="29" t="s">
        <v>18</v>
      </c>
      <c r="B103" s="30" t="s">
        <v>359</v>
      </c>
      <c r="C103" s="31" t="s">
        <v>360</v>
      </c>
      <c r="D103" s="32" t="s">
        <v>361</v>
      </c>
      <c r="E103" s="32"/>
      <c r="F103" s="70" t="s">
        <v>22</v>
      </c>
      <c r="G103" s="74">
        <v>100</v>
      </c>
      <c r="H103" s="35">
        <f>IF(OR(J103="",K103="",K103&lt;J103),0,NETWORKDAYS(J103,K103,Hoja2!$A$2:$A$53))</f>
        <v>5</v>
      </c>
      <c r="I103" s="37">
        <v>46153</v>
      </c>
      <c r="J103" s="37">
        <v>46153</v>
      </c>
      <c r="K103" s="38">
        <v>46157</v>
      </c>
      <c r="L103" s="38">
        <v>46155</v>
      </c>
      <c r="M103" s="39">
        <f ca="1">IF(OR(J103="",AND(L103="",TODAY()&lt;J103),AND(L103&lt;&gt;"",L103&lt;J103)),0,
   IF(L103="",
      NETWORKDAYS(J103,TODAY(),Hoja2!$A$2:$A$53),
      NETWORKDAYS(J103,L103,Hoja2!$A$2:$A$53)
   )
)</f>
        <v>3</v>
      </c>
      <c r="N103" s="38"/>
      <c r="O103" s="38">
        <v>46155</v>
      </c>
      <c r="P103" s="38">
        <v>46155</v>
      </c>
      <c r="Q103" s="76" t="s">
        <v>362</v>
      </c>
      <c r="R103" s="160" t="s">
        <v>518</v>
      </c>
    </row>
    <row r="104" spans="1:18" ht="140.25" customHeight="1">
      <c r="A104" s="16" t="s">
        <v>18</v>
      </c>
      <c r="B104" s="17" t="s">
        <v>363</v>
      </c>
      <c r="C104" s="18" t="s">
        <v>364</v>
      </c>
      <c r="D104" s="19" t="s">
        <v>365</v>
      </c>
      <c r="E104" s="19"/>
      <c r="F104" s="52" t="s">
        <v>22</v>
      </c>
      <c r="G104" s="64">
        <v>100</v>
      </c>
      <c r="H104" s="22">
        <f>IF(OR(J104="",K104="",K104&lt;J104),0,NETWORKDAYS(J104,K104,Hoja2!$A$2:$A$53))</f>
        <v>2</v>
      </c>
      <c r="I104" s="43">
        <v>46155</v>
      </c>
      <c r="J104" s="43">
        <v>46155</v>
      </c>
      <c r="K104" s="24">
        <v>46156</v>
      </c>
      <c r="L104" s="24">
        <v>46156</v>
      </c>
      <c r="M104" s="25">
        <f ca="1">IF(OR(J104="",AND(L104="",TODAY()&lt;J104),AND(L104&lt;&gt;"",L104&lt;J104)),0,
   IF(L104="",
      NETWORKDAYS(J104,TODAY(),Hoja2!$A$2:$A$53),
      NETWORKDAYS(J104,L104,Hoja2!$A$2:$A$53)
   )
)</f>
        <v>2</v>
      </c>
      <c r="N104" s="24"/>
      <c r="O104" s="24">
        <v>46156</v>
      </c>
      <c r="P104" s="24">
        <v>46156</v>
      </c>
      <c r="Q104" s="75" t="s">
        <v>366</v>
      </c>
      <c r="R104" s="160" t="s">
        <v>518</v>
      </c>
    </row>
    <row r="105" spans="1:18" ht="140.25" customHeight="1">
      <c r="A105" s="29" t="s">
        <v>18</v>
      </c>
      <c r="B105" s="30" t="s">
        <v>367</v>
      </c>
      <c r="C105" s="31" t="s">
        <v>368</v>
      </c>
      <c r="D105" s="32" t="s">
        <v>369</v>
      </c>
      <c r="E105" s="32"/>
      <c r="F105" s="70" t="s">
        <v>22</v>
      </c>
      <c r="G105" s="74">
        <v>100</v>
      </c>
      <c r="H105" s="35">
        <f>IF(OR(J105="",K105="",K105&lt;J105),0,NETWORKDAYS(J105,K105,Hoja2!$A$2:$A$53))</f>
        <v>1</v>
      </c>
      <c r="I105" s="37">
        <v>46157</v>
      </c>
      <c r="J105" s="37">
        <v>46162</v>
      </c>
      <c r="K105" s="38">
        <v>46162</v>
      </c>
      <c r="L105" s="38">
        <v>46162</v>
      </c>
      <c r="M105" s="39">
        <f ca="1">IF(OR(J105="",AND(L105="",TODAY()&lt;J105),AND(L105&lt;&gt;"",L105&lt;J105)),0,
   IF(L105="",
      NETWORKDAYS(J105,TODAY(),Hoja2!$A$2:$A$53),
      NETWORKDAYS(J105,L105,Hoja2!$A$2:$A$53)
   )
)</f>
        <v>1</v>
      </c>
      <c r="N105" s="38"/>
      <c r="O105" s="38">
        <v>46162</v>
      </c>
      <c r="P105" s="38">
        <v>46162</v>
      </c>
      <c r="Q105" s="76" t="s">
        <v>370</v>
      </c>
      <c r="R105" s="160" t="s">
        <v>518</v>
      </c>
    </row>
    <row r="106" spans="1:18" ht="140.25" customHeight="1">
      <c r="A106" s="16" t="s">
        <v>18</v>
      </c>
      <c r="B106" s="17" t="s">
        <v>371</v>
      </c>
      <c r="C106" s="18" t="s">
        <v>372</v>
      </c>
      <c r="D106" s="19" t="s">
        <v>373</v>
      </c>
      <c r="E106" s="19"/>
      <c r="F106" s="52" t="s">
        <v>22</v>
      </c>
      <c r="G106" s="64">
        <v>100</v>
      </c>
      <c r="H106" s="22">
        <f>IF(OR(J106="",K106="",K106&lt;J106),0,NETWORKDAYS(J106,K106,Hoja2!$A$2:$A$53))</f>
        <v>1</v>
      </c>
      <c r="I106" s="43">
        <v>46161</v>
      </c>
      <c r="J106" s="43">
        <v>46163</v>
      </c>
      <c r="K106" s="24">
        <v>46163</v>
      </c>
      <c r="L106" s="24">
        <v>46163</v>
      </c>
      <c r="M106" s="25">
        <f ca="1">IF(OR(J106="",AND(L106="",TODAY()&lt;J106),AND(L106&lt;&gt;"",L106&lt;J106)),0,
   IF(L106="",
      NETWORKDAYS(J106,TODAY(),Hoja2!$A$2:$A$53),
      NETWORKDAYS(J106,L106,Hoja2!$A$2:$A$53)
   )
)</f>
        <v>1</v>
      </c>
      <c r="N106" s="24"/>
      <c r="O106" s="24">
        <v>46163</v>
      </c>
      <c r="P106" s="24">
        <v>46163</v>
      </c>
      <c r="Q106" s="75" t="s">
        <v>374</v>
      </c>
      <c r="R106" s="160" t="s">
        <v>518</v>
      </c>
    </row>
    <row r="107" spans="1:18" ht="140.25" customHeight="1">
      <c r="A107" s="29" t="s">
        <v>18</v>
      </c>
      <c r="B107" s="30" t="s">
        <v>375</v>
      </c>
      <c r="C107" s="31" t="s">
        <v>376</v>
      </c>
      <c r="D107" s="32" t="s">
        <v>377</v>
      </c>
      <c r="E107" s="32"/>
      <c r="F107" s="70" t="s">
        <v>378</v>
      </c>
      <c r="G107" s="74">
        <v>30</v>
      </c>
      <c r="H107" s="35">
        <f>IF(OR(J107="",K107="",K107&lt;J107),0,NETWORKDAYS(J107,K107,Hoja2!$A$2:$A$53))</f>
        <v>13</v>
      </c>
      <c r="I107" s="37">
        <v>46167</v>
      </c>
      <c r="J107" s="37">
        <v>46168</v>
      </c>
      <c r="K107" s="38">
        <v>46188</v>
      </c>
      <c r="L107" s="38"/>
      <c r="M107" s="39">
        <f ca="1">IF(OR(J107="",AND(L107="",TODAY()&lt;J107),AND(L107&lt;&gt;"",L107&lt;J107)),0,
   IF(L107="",
      NETWORKDAYS(J107,TODAY(),Hoja2!$A$2:$A$53),
      NETWORKDAYS(J107,L107,Hoja2!$A$2:$A$53)
   )
)</f>
        <v>20</v>
      </c>
      <c r="N107" s="38"/>
      <c r="O107" s="38"/>
      <c r="P107" s="38"/>
      <c r="Q107" s="76" t="s">
        <v>379</v>
      </c>
      <c r="R107" s="160" t="s">
        <v>518</v>
      </c>
    </row>
    <row r="108" spans="1:18" ht="140.25" customHeight="1">
      <c r="A108" s="16" t="s">
        <v>18</v>
      </c>
      <c r="B108" s="17" t="s">
        <v>380</v>
      </c>
      <c r="C108" s="18" t="s">
        <v>381</v>
      </c>
      <c r="D108" s="19" t="s">
        <v>382</v>
      </c>
      <c r="E108" s="19"/>
      <c r="F108" s="52" t="s">
        <v>150</v>
      </c>
      <c r="G108" s="64">
        <v>100</v>
      </c>
      <c r="H108" s="22">
        <f>IF(OR(J108="",K108="",K108&lt;J108),0,NETWORKDAYS(J108,K108,Hoja2!$A$2:$A$53))</f>
        <v>4</v>
      </c>
      <c r="I108" s="43">
        <v>46169</v>
      </c>
      <c r="J108" s="43">
        <v>46169</v>
      </c>
      <c r="K108" s="24">
        <v>46174</v>
      </c>
      <c r="L108" s="24">
        <v>46178</v>
      </c>
      <c r="M108" s="25">
        <f ca="1">IF(OR(J108="",AND(L108="",TODAY()&lt;J108),AND(L108&lt;&gt;"",L108&lt;J108)),0,
   IF(L108="",
      NETWORKDAYS(J108,TODAY(),Hoja2!$A$2:$A$53),
      NETWORKDAYS(J108,L108,Hoja2!$A$2:$A$53)
   )
)</f>
        <v>8</v>
      </c>
      <c r="N108" s="24"/>
      <c r="O108" s="24">
        <v>46178</v>
      </c>
      <c r="P108" s="24"/>
      <c r="Q108" s="75" t="s">
        <v>383</v>
      </c>
      <c r="R108" s="160" t="s">
        <v>518</v>
      </c>
    </row>
    <row r="109" spans="1:18" ht="140.25" customHeight="1">
      <c r="A109" s="29" t="s">
        <v>18</v>
      </c>
      <c r="B109" s="30" t="s">
        <v>384</v>
      </c>
      <c r="C109" s="31" t="s">
        <v>385</v>
      </c>
      <c r="D109" s="32" t="s">
        <v>386</v>
      </c>
      <c r="E109" s="32"/>
      <c r="F109" s="70" t="s">
        <v>387</v>
      </c>
      <c r="G109" s="74">
        <v>5</v>
      </c>
      <c r="H109" s="35">
        <f>IF(OR(J109="",K109="",K109&lt;J109),0,NETWORKDAYS(J109,K109,Hoja2!$A$2:$A$53))</f>
        <v>6</v>
      </c>
      <c r="I109" s="37">
        <v>46174</v>
      </c>
      <c r="J109" s="37">
        <v>46175</v>
      </c>
      <c r="K109" s="38">
        <v>46183</v>
      </c>
      <c r="L109" s="38"/>
      <c r="M109" s="39">
        <f ca="1">IF(OR(J109="",AND(L109="",TODAY()&lt;J109),AND(L109&lt;&gt;"",L109&lt;J109)),0,
   IF(L109="",
      NETWORKDAYS(J109,TODAY(),Hoja2!$A$2:$A$53),
      NETWORKDAYS(J109,L109,Hoja2!$A$2:$A$53)
   )
)</f>
        <v>15</v>
      </c>
      <c r="N109" s="38"/>
      <c r="O109" s="38"/>
      <c r="P109" s="38"/>
      <c r="Q109" s="76" t="s">
        <v>388</v>
      </c>
      <c r="R109" s="160" t="s">
        <v>518</v>
      </c>
    </row>
    <row r="110" spans="1:18" ht="140.25" customHeight="1">
      <c r="A110" s="16" t="s">
        <v>18</v>
      </c>
      <c r="B110" s="17" t="s">
        <v>389</v>
      </c>
      <c r="C110" s="18" t="s">
        <v>390</v>
      </c>
      <c r="D110" s="19" t="s">
        <v>391</v>
      </c>
      <c r="E110" s="19"/>
      <c r="F110" s="52" t="s">
        <v>22</v>
      </c>
      <c r="G110" s="64">
        <v>100</v>
      </c>
      <c r="H110" s="22">
        <f>IF(OR(J110="",K110="",K110&lt;J110),0,NETWORKDAYS(J110,K110,Hoja2!$A$2:$A$53))</f>
        <v>2</v>
      </c>
      <c r="I110" s="43">
        <v>46182</v>
      </c>
      <c r="J110" s="43">
        <v>46182</v>
      </c>
      <c r="K110" s="24">
        <v>46183</v>
      </c>
      <c r="L110" s="24">
        <v>46183</v>
      </c>
      <c r="M110" s="25">
        <f ca="1">IF(OR(J110="",AND(L110="",TODAY()&lt;J110),AND(L110&lt;&gt;"",L110&lt;J110)),0,
   IF(L110="",
      NETWORKDAYS(J110,TODAY(),Hoja2!$A$2:$A$53),
      NETWORKDAYS(J110,L110,Hoja2!$A$2:$A$53)
   )
)</f>
        <v>2</v>
      </c>
      <c r="N110" s="24"/>
      <c r="O110" s="24">
        <v>46183</v>
      </c>
      <c r="P110" s="24">
        <v>46183</v>
      </c>
      <c r="Q110" s="75" t="s">
        <v>392</v>
      </c>
      <c r="R110" s="160" t="s">
        <v>518</v>
      </c>
    </row>
    <row r="111" spans="1:18" ht="169.5" customHeight="1">
      <c r="A111" s="29" t="s">
        <v>18</v>
      </c>
      <c r="B111" s="30" t="s">
        <v>393</v>
      </c>
      <c r="C111" s="31" t="s">
        <v>394</v>
      </c>
      <c r="D111" s="32" t="s">
        <v>395</v>
      </c>
      <c r="E111" s="32"/>
      <c r="F111" s="70" t="s">
        <v>22</v>
      </c>
      <c r="G111" s="74">
        <v>100</v>
      </c>
      <c r="H111" s="35">
        <f>IF(OR(J111="",K111="",K111&lt;J111),0,NETWORKDAYS(J111,K111,Hoja2!$A$2:$A$53))</f>
        <v>3</v>
      </c>
      <c r="I111" s="37">
        <v>46184</v>
      </c>
      <c r="J111" s="37">
        <v>46185</v>
      </c>
      <c r="K111" s="38">
        <v>46190</v>
      </c>
      <c r="L111" s="38">
        <v>46191</v>
      </c>
      <c r="M111" s="39">
        <f ca="1">IF(OR(J111="",AND(L111="",TODAY()&lt;J111),AND(L111&lt;&gt;"",L111&lt;J111)),0,
   IF(L111="",
      NETWORKDAYS(J111,TODAY(),Hoja2!$A$2:$A$53),
      NETWORKDAYS(J111,L111,Hoja2!$A$2:$A$53)
   )
)</f>
        <v>4</v>
      </c>
      <c r="N111" s="38"/>
      <c r="O111" s="38">
        <v>46190</v>
      </c>
      <c r="P111" s="38">
        <v>46191</v>
      </c>
      <c r="Q111" s="76" t="s">
        <v>396</v>
      </c>
      <c r="R111" s="160" t="s">
        <v>518</v>
      </c>
    </row>
    <row r="112" spans="1:18" ht="140.25" customHeight="1">
      <c r="A112" s="16" t="s">
        <v>18</v>
      </c>
      <c r="B112" s="17" t="s">
        <v>397</v>
      </c>
      <c r="C112" s="18" t="s">
        <v>398</v>
      </c>
      <c r="D112" s="19" t="s">
        <v>399</v>
      </c>
      <c r="E112" s="19"/>
      <c r="F112" s="52" t="s">
        <v>22</v>
      </c>
      <c r="G112" s="64">
        <v>100</v>
      </c>
      <c r="H112" s="22">
        <f>IF(OR(J112="",K112="",K112&lt;J112),0,NETWORKDAYS(J112,K112,Hoja2!$A$2:$A$53))</f>
        <v>2</v>
      </c>
      <c r="I112" s="43">
        <v>46189</v>
      </c>
      <c r="J112" s="43">
        <v>46189</v>
      </c>
      <c r="K112" s="24">
        <v>46190</v>
      </c>
      <c r="L112" s="24">
        <v>46190</v>
      </c>
      <c r="M112" s="25">
        <f ca="1">IF(OR(J112="",AND(L112="",TODAY()&lt;J112),AND(L112&lt;&gt;"",L112&lt;J112)),0,
   IF(L112="",
      NETWORKDAYS(J112,TODAY(),Hoja2!$A$2:$A$53),
      NETWORKDAYS(J112,L112,Hoja2!$A$2:$A$53)
   )
)</f>
        <v>2</v>
      </c>
      <c r="N112" s="24"/>
      <c r="O112" s="24">
        <v>46190</v>
      </c>
      <c r="P112" s="24">
        <v>46190</v>
      </c>
      <c r="Q112" s="75" t="s">
        <v>400</v>
      </c>
      <c r="R112" s="160" t="s">
        <v>518</v>
      </c>
    </row>
    <row r="113" spans="1:18" ht="140.25" customHeight="1">
      <c r="A113" s="29" t="s">
        <v>18</v>
      </c>
      <c r="B113" s="30" t="s">
        <v>401</v>
      </c>
      <c r="C113" s="31" t="s">
        <v>402</v>
      </c>
      <c r="D113" s="32" t="s">
        <v>403</v>
      </c>
      <c r="E113" s="32"/>
      <c r="F113" s="70" t="s">
        <v>404</v>
      </c>
      <c r="G113" s="74">
        <v>100</v>
      </c>
      <c r="H113" s="35">
        <f>IF(OR(J113="",K113="",K113&lt;J113),0,NETWORKDAYS(J113,K113,Hoja2!$A$2:$A$53))</f>
        <v>1</v>
      </c>
      <c r="I113" s="37">
        <v>46192</v>
      </c>
      <c r="J113" s="37">
        <v>46192</v>
      </c>
      <c r="K113" s="38">
        <v>46192</v>
      </c>
      <c r="L113" s="38"/>
      <c r="M113" s="39">
        <f ca="1">IF(OR(J113="",AND(L113="",TODAY()&lt;J113),AND(L113&lt;&gt;"",L113&lt;J113)),0,
   IF(L113="",
      NETWORKDAYS(J113,TODAY(),Hoja2!$A$2:$A$53),
      NETWORKDAYS(J113,L113,Hoja2!$A$2:$A$53)
   )
)</f>
        <v>4</v>
      </c>
      <c r="N113" s="38"/>
      <c r="O113" s="38">
        <v>46192</v>
      </c>
      <c r="P113" s="38">
        <v>46192</v>
      </c>
      <c r="Q113" s="76" t="s">
        <v>405</v>
      </c>
      <c r="R113" s="160" t="s">
        <v>518</v>
      </c>
    </row>
    <row r="114" spans="1:18" ht="140.25" customHeight="1">
      <c r="A114" s="16" t="s">
        <v>18</v>
      </c>
      <c r="B114" s="17" t="s">
        <v>406</v>
      </c>
      <c r="C114" s="18" t="s">
        <v>407</v>
      </c>
      <c r="D114" s="19" t="s">
        <v>408</v>
      </c>
      <c r="E114" s="19"/>
      <c r="F114" s="52" t="s">
        <v>22</v>
      </c>
      <c r="G114" s="64">
        <v>100</v>
      </c>
      <c r="H114" s="22">
        <f>IF(OR(J114="",K114="",K114&lt;J114),0,NETWORKDAYS(J114,K114,Hoja2!$A$2:$A$53))</f>
        <v>1</v>
      </c>
      <c r="I114" s="43">
        <v>46196</v>
      </c>
      <c r="J114" s="43">
        <v>46196</v>
      </c>
      <c r="K114" s="24">
        <v>46196</v>
      </c>
      <c r="L114" s="24">
        <v>46196</v>
      </c>
      <c r="M114" s="25">
        <f ca="1">IF(OR(J114="",AND(L114="",TODAY()&lt;J114),AND(L114&lt;&gt;"",L114&lt;J114)),0,
   IF(L114="",
      NETWORKDAYS(J114,TODAY(),Hoja2!$A$2:$A$53),
      NETWORKDAYS(J114,L114,Hoja2!$A$2:$A$53)
   )
)</f>
        <v>1</v>
      </c>
      <c r="N114" s="24"/>
      <c r="O114" s="24">
        <v>46196</v>
      </c>
      <c r="P114" s="24">
        <v>46196</v>
      </c>
      <c r="Q114" s="75" t="s">
        <v>409</v>
      </c>
      <c r="R114" s="160" t="s">
        <v>518</v>
      </c>
    </row>
    <row r="115" spans="1:18" ht="140.25" customHeight="1">
      <c r="A115" s="29" t="s">
        <v>18</v>
      </c>
      <c r="B115" s="30" t="s">
        <v>410</v>
      </c>
      <c r="C115" s="31" t="s">
        <v>411</v>
      </c>
      <c r="D115" s="32" t="s">
        <v>412</v>
      </c>
      <c r="E115" s="32"/>
      <c r="F115" s="70" t="s">
        <v>22</v>
      </c>
      <c r="G115" s="74">
        <v>100</v>
      </c>
      <c r="H115" s="35">
        <f>IF(OR(J115="",K115="",K115&lt;J115),0,NETWORKDAYS(J115,K115,Hoja2!$A$2:$A$53))</f>
        <v>1</v>
      </c>
      <c r="I115" s="37">
        <v>46192</v>
      </c>
      <c r="J115" s="37">
        <v>46195</v>
      </c>
      <c r="K115" s="38">
        <v>46195</v>
      </c>
      <c r="L115" s="38">
        <v>46195</v>
      </c>
      <c r="M115" s="39">
        <f ca="1">IF(OR(J115="",AND(L115="",TODAY()&lt;J115),AND(L115&lt;&gt;"",L115&lt;J115)),0,
   IF(L115="",
      NETWORKDAYS(J115,TODAY(),Hoja2!$A$2:$A$53),
      NETWORKDAYS(J115,L115,Hoja2!$A$2:$A$53)
   )
)</f>
        <v>1</v>
      </c>
      <c r="N115" s="38"/>
      <c r="O115" s="38">
        <v>46195</v>
      </c>
      <c r="P115" s="38">
        <v>46195</v>
      </c>
      <c r="Q115" s="76"/>
      <c r="R115" s="160" t="s">
        <v>518</v>
      </c>
    </row>
  </sheetData>
  <autoFilter ref="A1:AN115"/>
  <conditionalFormatting sqref="B1:B115">
    <cfRule type="expression" dxfId="0" priority="2">
      <formula>COUNTIF(B$1:B$115, B1)&gt;1</formula>
    </cfRule>
  </conditionalFormatting>
  <dataValidations count="2">
    <dataValidation type="custom" allowBlank="1" showDropDown="1" sqref="I2:L20 I21 K21:L21 I22:L115 N2:P115">
      <formula1>OR(NOT(ISERROR(DATEVALUE(I2))), AND(ISNUMBER(I2), LEFT(CELL("format", I2))="D"))</formula1>
    </dataValidation>
    <dataValidation type="list" allowBlank="1" sqref="F2:F115">
      <formula1>"FINALIZADO,EN PROCESO,PAUSADO,EN TEST,PENDIENTE,PRUEBAS CLIENTE,PRUEBAS IMAGINE,CANCELADO"</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M14"/>
  <sheetViews>
    <sheetView workbookViewId="0"/>
  </sheetViews>
  <sheetFormatPr baseColWidth="10" defaultColWidth="11.21875" defaultRowHeight="15" customHeight="1"/>
  <cols>
    <col min="3" max="3" width="53.109375" customWidth="1"/>
  </cols>
  <sheetData>
    <row r="1" spans="1:39" ht="29.25" customHeight="1">
      <c r="A1" s="77" t="s">
        <v>0</v>
      </c>
      <c r="B1" s="2" t="s">
        <v>1</v>
      </c>
      <c r="C1" s="3" t="s">
        <v>2</v>
      </c>
      <c r="D1" s="4" t="s">
        <v>3</v>
      </c>
      <c r="E1" s="5" t="s">
        <v>4</v>
      </c>
      <c r="F1" s="6" t="s">
        <v>5</v>
      </c>
      <c r="G1" s="78" t="s">
        <v>6</v>
      </c>
      <c r="H1" s="79" t="s">
        <v>413</v>
      </c>
      <c r="I1" s="80" t="s">
        <v>8</v>
      </c>
      <c r="J1" s="80" t="s">
        <v>9</v>
      </c>
      <c r="K1" s="81" t="s">
        <v>10</v>
      </c>
      <c r="L1" s="81" t="s">
        <v>11</v>
      </c>
      <c r="M1" s="80" t="s">
        <v>414</v>
      </c>
      <c r="N1" s="82" t="s">
        <v>14</v>
      </c>
      <c r="O1" s="82" t="s">
        <v>15</v>
      </c>
      <c r="P1" s="13" t="s">
        <v>16</v>
      </c>
      <c r="R1" s="15"/>
      <c r="S1" s="15"/>
      <c r="T1" s="15"/>
      <c r="U1" s="15"/>
      <c r="V1" s="15"/>
      <c r="W1" s="15"/>
      <c r="X1" s="15"/>
      <c r="Y1" s="15"/>
      <c r="Z1" s="15"/>
      <c r="AA1" s="15"/>
      <c r="AB1" s="15"/>
      <c r="AC1" s="15"/>
      <c r="AD1" s="15"/>
      <c r="AE1" s="15"/>
      <c r="AF1" s="15"/>
      <c r="AG1" s="15"/>
      <c r="AH1" s="15"/>
      <c r="AI1" s="15"/>
      <c r="AJ1" s="15"/>
      <c r="AK1" s="15"/>
      <c r="AL1" s="15"/>
      <c r="AM1" s="15"/>
    </row>
    <row r="2" spans="1:39" ht="29.25" customHeight="1">
      <c r="A2" s="83" t="s">
        <v>415</v>
      </c>
      <c r="B2" s="84" t="s">
        <v>19</v>
      </c>
      <c r="C2" s="85" t="s">
        <v>416</v>
      </c>
      <c r="D2" s="84" t="s">
        <v>21</v>
      </c>
      <c r="E2" s="84" t="s">
        <v>417</v>
      </c>
      <c r="F2" s="86" t="s">
        <v>22</v>
      </c>
      <c r="G2" s="87">
        <v>1</v>
      </c>
      <c r="H2" s="88">
        <v>1</v>
      </c>
      <c r="I2" s="89">
        <v>45826</v>
      </c>
      <c r="J2" s="89">
        <v>45827</v>
      </c>
      <c r="K2" s="90">
        <v>45827</v>
      </c>
      <c r="L2" s="90">
        <v>45827</v>
      </c>
      <c r="M2" s="91">
        <f ca="1">IF(ISBLANK(L2), NETWORKDAYS(J2, TODAY(),Hoja2!$A$1:$A$18), NETWORKDAYS(J2, L2, Hoja2!$A$1:$A$18))</f>
        <v>1</v>
      </c>
      <c r="N2" s="92"/>
      <c r="O2" s="93"/>
      <c r="P2" s="94" t="s">
        <v>23</v>
      </c>
    </row>
    <row r="3" spans="1:39" ht="29.25" customHeight="1">
      <c r="A3" s="83" t="s">
        <v>415</v>
      </c>
      <c r="B3" s="84" t="s">
        <v>24</v>
      </c>
      <c r="C3" s="85" t="s">
        <v>416</v>
      </c>
      <c r="D3" s="84" t="s">
        <v>21</v>
      </c>
      <c r="E3" s="84" t="s">
        <v>418</v>
      </c>
      <c r="F3" s="86" t="s">
        <v>22</v>
      </c>
      <c r="G3" s="87">
        <v>1</v>
      </c>
      <c r="H3" s="88">
        <v>1</v>
      </c>
      <c r="I3" s="89">
        <v>45827</v>
      </c>
      <c r="J3" s="95">
        <v>45832</v>
      </c>
      <c r="K3" s="90">
        <v>45832</v>
      </c>
      <c r="L3" s="90">
        <v>45832</v>
      </c>
      <c r="M3" s="91">
        <f ca="1">IF(ISBLANK(L3), NETWORKDAYS(J3, TODAY(),Hoja2!$A$1:$A$18), NETWORKDAYS(J3, L3, Hoja2!$A$1:$A$18))</f>
        <v>1</v>
      </c>
      <c r="N3" s="92"/>
      <c r="O3" s="93"/>
      <c r="P3" s="96" t="s">
        <v>26</v>
      </c>
    </row>
    <row r="4" spans="1:39" ht="39" customHeight="1">
      <c r="A4" s="83" t="s">
        <v>415</v>
      </c>
      <c r="B4" s="84" t="s">
        <v>27</v>
      </c>
      <c r="C4" s="85" t="s">
        <v>419</v>
      </c>
      <c r="D4" s="84" t="s">
        <v>29</v>
      </c>
      <c r="E4" s="84" t="s">
        <v>420</v>
      </c>
      <c r="F4" s="86" t="s">
        <v>22</v>
      </c>
      <c r="G4" s="97">
        <v>1</v>
      </c>
      <c r="H4" s="98">
        <v>1</v>
      </c>
      <c r="I4" s="95">
        <v>45832</v>
      </c>
      <c r="J4" s="95">
        <v>45839</v>
      </c>
      <c r="K4" s="90">
        <v>45833</v>
      </c>
      <c r="L4" s="90">
        <v>45839</v>
      </c>
      <c r="M4" s="91">
        <f ca="1">IF(ISBLANK(L4), NETWORKDAYS(J4, TODAY(),Hoja2!$A$1:$A$18), NETWORKDAYS(J4, L4, Hoja2!$A$1:$A$18))</f>
        <v>1</v>
      </c>
      <c r="N4" s="90">
        <v>45839</v>
      </c>
      <c r="O4" s="90">
        <v>45853</v>
      </c>
      <c r="P4" s="99" t="s">
        <v>30</v>
      </c>
    </row>
    <row r="5" spans="1:39" ht="127.5">
      <c r="A5" s="83" t="s">
        <v>415</v>
      </c>
      <c r="B5" s="84" t="s">
        <v>31</v>
      </c>
      <c r="C5" s="85" t="s">
        <v>419</v>
      </c>
      <c r="D5" s="84" t="s">
        <v>29</v>
      </c>
      <c r="E5" s="100" t="s">
        <v>421</v>
      </c>
      <c r="F5" s="86" t="s">
        <v>22</v>
      </c>
      <c r="G5" s="97">
        <v>1</v>
      </c>
      <c r="H5" s="101">
        <v>2</v>
      </c>
      <c r="I5" s="95">
        <v>45839</v>
      </c>
      <c r="J5" s="95">
        <v>45839</v>
      </c>
      <c r="K5" s="90">
        <v>45840</v>
      </c>
      <c r="L5" s="90">
        <v>45848</v>
      </c>
      <c r="M5" s="91">
        <f ca="1">IF(ISBLANK(L5), NETWORKDAYS(J5, TODAY(),Hoja2!$A$1:$A$18), NETWORKDAYS(J5, L5, Hoja2!$A$1:$A$18))</f>
        <v>8</v>
      </c>
      <c r="N5" s="90">
        <v>45848</v>
      </c>
      <c r="O5" s="90">
        <v>45853</v>
      </c>
      <c r="P5" s="96" t="s">
        <v>33</v>
      </c>
    </row>
    <row r="6" spans="1:39" ht="29.25" customHeight="1">
      <c r="A6" s="83" t="s">
        <v>415</v>
      </c>
      <c r="B6" s="84" t="s">
        <v>34</v>
      </c>
      <c r="C6" s="85" t="s">
        <v>419</v>
      </c>
      <c r="D6" s="84" t="s">
        <v>29</v>
      </c>
      <c r="E6" s="102" t="s">
        <v>422</v>
      </c>
      <c r="F6" s="103" t="s">
        <v>22</v>
      </c>
      <c r="G6" s="97">
        <v>1</v>
      </c>
      <c r="H6" s="104">
        <v>1</v>
      </c>
      <c r="I6" s="95">
        <v>45839</v>
      </c>
      <c r="J6" s="95">
        <v>45840</v>
      </c>
      <c r="K6" s="90">
        <v>45840</v>
      </c>
      <c r="L6" s="90">
        <v>45840</v>
      </c>
      <c r="M6" s="91">
        <f ca="1">IF(ISBLANK(L6), NETWORKDAYS(J6, TODAY(),Hoja2!$A$1:$A$18), NETWORKDAYS(J6, L6, Hoja2!$A$1:$A$18))</f>
        <v>1</v>
      </c>
      <c r="N6" s="90">
        <v>45840</v>
      </c>
      <c r="O6" s="90">
        <v>45853</v>
      </c>
      <c r="P6" s="96" t="s">
        <v>36</v>
      </c>
    </row>
    <row r="7" spans="1:39" ht="29.25" customHeight="1">
      <c r="A7" s="83" t="s">
        <v>415</v>
      </c>
      <c r="B7" s="84" t="s">
        <v>37</v>
      </c>
      <c r="C7" s="85" t="s">
        <v>419</v>
      </c>
      <c r="D7" s="84" t="s">
        <v>29</v>
      </c>
      <c r="E7" s="84" t="s">
        <v>423</v>
      </c>
      <c r="F7" s="105" t="s">
        <v>22</v>
      </c>
      <c r="G7" s="97">
        <v>1</v>
      </c>
      <c r="H7" s="101">
        <v>1</v>
      </c>
      <c r="I7" s="106">
        <v>45847</v>
      </c>
      <c r="J7" s="106">
        <v>45847</v>
      </c>
      <c r="K7" s="90">
        <v>45848</v>
      </c>
      <c r="L7" s="90">
        <v>45848</v>
      </c>
      <c r="M7" s="91">
        <f ca="1">IF(ISBLANK(L7), NETWORKDAYS(J7, TODAY(),Hoja2!$A$1:$A$18), NETWORKDAYS(J7, L7, Hoja2!$A$1:$A$18))</f>
        <v>2</v>
      </c>
      <c r="N7" s="90">
        <v>45848</v>
      </c>
      <c r="O7" s="90">
        <v>45853</v>
      </c>
      <c r="P7" s="96" t="s">
        <v>39</v>
      </c>
    </row>
    <row r="8" spans="1:39" ht="29.25" customHeight="1">
      <c r="A8" s="83" t="s">
        <v>415</v>
      </c>
      <c r="B8" s="84" t="s">
        <v>40</v>
      </c>
      <c r="C8" s="85" t="s">
        <v>424</v>
      </c>
      <c r="D8" s="84" t="s">
        <v>42</v>
      </c>
      <c r="E8" s="107" t="s">
        <v>425</v>
      </c>
      <c r="F8" s="86" t="s">
        <v>22</v>
      </c>
      <c r="G8" s="97">
        <v>1</v>
      </c>
      <c r="H8" s="98">
        <v>1</v>
      </c>
      <c r="I8" s="95">
        <v>45832</v>
      </c>
      <c r="J8" s="95">
        <v>45832</v>
      </c>
      <c r="K8" s="90">
        <v>45832</v>
      </c>
      <c r="L8" s="90">
        <v>45832</v>
      </c>
      <c r="M8" s="91">
        <f ca="1">IF(ISBLANK(L8), NETWORKDAYS(J8, TODAY(),Hoja2!$A$1:$A$18), NETWORKDAYS(J8, L8, Hoja2!$A$1:$A$18))</f>
        <v>1</v>
      </c>
      <c r="N8" s="108"/>
      <c r="O8" s="109"/>
      <c r="P8" s="110" t="s">
        <v>43</v>
      </c>
    </row>
    <row r="9" spans="1:39" ht="29.25" customHeight="1">
      <c r="A9" s="83" t="s">
        <v>415</v>
      </c>
      <c r="B9" s="84" t="s">
        <v>44</v>
      </c>
      <c r="C9" s="111" t="s">
        <v>426</v>
      </c>
      <c r="D9" s="112"/>
      <c r="E9" s="84" t="s">
        <v>427</v>
      </c>
      <c r="F9" s="105" t="s">
        <v>22</v>
      </c>
      <c r="G9" s="97">
        <v>1</v>
      </c>
      <c r="H9" s="101">
        <v>1</v>
      </c>
      <c r="I9" s="106">
        <v>45847</v>
      </c>
      <c r="J9" s="106">
        <v>45847</v>
      </c>
      <c r="K9" s="90">
        <v>45847</v>
      </c>
      <c r="L9" s="90">
        <v>45847</v>
      </c>
      <c r="M9" s="91">
        <f ca="1">IF(ISBLANK(L9), NETWORKDAYS(J9, TODAY(),Hoja2!$A$1:$A$18), NETWORKDAYS(J9, L9, Hoja2!$A$1:$A$18))</f>
        <v>1</v>
      </c>
      <c r="N9" s="90">
        <v>45847</v>
      </c>
      <c r="O9" s="109"/>
      <c r="P9" s="96" t="s">
        <v>46</v>
      </c>
    </row>
    <row r="10" spans="1:39" ht="93" customHeight="1">
      <c r="A10" s="83" t="s">
        <v>415</v>
      </c>
      <c r="B10" s="84" t="s">
        <v>47</v>
      </c>
      <c r="C10" s="111" t="s">
        <v>428</v>
      </c>
      <c r="D10" s="112"/>
      <c r="E10" s="84" t="s">
        <v>429</v>
      </c>
      <c r="F10" s="105" t="s">
        <v>22</v>
      </c>
      <c r="G10" s="97">
        <v>1</v>
      </c>
      <c r="H10" s="101">
        <v>1</v>
      </c>
      <c r="I10" s="106">
        <v>45849</v>
      </c>
      <c r="J10" s="106">
        <v>45849</v>
      </c>
      <c r="K10" s="113">
        <v>45849</v>
      </c>
      <c r="L10" s="113">
        <v>45849</v>
      </c>
      <c r="M10" s="91">
        <f ca="1">IF(ISBLANK(L10), NETWORKDAYS(J10, TODAY(),Hoja2!$A$1:$A$18), NETWORKDAYS(J10, L10, Hoja2!$A$1:$A$18))</f>
        <v>1</v>
      </c>
      <c r="N10" s="113"/>
      <c r="O10" s="109"/>
      <c r="P10" s="96" t="s">
        <v>49</v>
      </c>
    </row>
    <row r="11" spans="1:39" ht="409.5">
      <c r="A11" s="83" t="s">
        <v>415</v>
      </c>
      <c r="B11" s="84" t="s">
        <v>50</v>
      </c>
      <c r="C11" s="85" t="s">
        <v>424</v>
      </c>
      <c r="D11" s="84" t="s">
        <v>42</v>
      </c>
      <c r="E11" s="114" t="s">
        <v>430</v>
      </c>
      <c r="F11" s="105" t="s">
        <v>22</v>
      </c>
      <c r="G11" s="97">
        <v>1</v>
      </c>
      <c r="H11" s="101">
        <v>1</v>
      </c>
      <c r="I11" s="106">
        <v>45854</v>
      </c>
      <c r="J11" s="106">
        <v>45854</v>
      </c>
      <c r="K11" s="113">
        <v>45854</v>
      </c>
      <c r="L11" s="113">
        <v>45854</v>
      </c>
      <c r="M11" s="91">
        <f ca="1">IF(ISBLANK(L11), NETWORKDAYS(J11, TODAY(),Hoja2!$A$1:$A$18), NETWORKDAYS(J11, L11, Hoja2!$A$1:$A$18))</f>
        <v>1</v>
      </c>
      <c r="N11" s="113">
        <v>45854</v>
      </c>
      <c r="O11" s="109"/>
      <c r="P11" s="96" t="s">
        <v>52</v>
      </c>
    </row>
    <row r="12" spans="1:39" ht="29.25" customHeight="1">
      <c r="A12" s="83" t="s">
        <v>415</v>
      </c>
      <c r="B12" s="84" t="s">
        <v>53</v>
      </c>
      <c r="C12" s="115" t="s">
        <v>431</v>
      </c>
      <c r="D12" s="84" t="s">
        <v>55</v>
      </c>
      <c r="E12" s="84" t="s">
        <v>432</v>
      </c>
      <c r="F12" s="105" t="s">
        <v>22</v>
      </c>
      <c r="G12" s="97">
        <v>1</v>
      </c>
      <c r="H12" s="101">
        <v>5</v>
      </c>
      <c r="I12" s="106">
        <v>45855</v>
      </c>
      <c r="J12" s="106">
        <v>45856</v>
      </c>
      <c r="K12" s="113">
        <v>45862</v>
      </c>
      <c r="L12" s="113">
        <v>45861</v>
      </c>
      <c r="M12" s="91">
        <f ca="1">IF(ISBLANK(K12), NETWORKDAYS(J12, TODAY(),Hoja2!$A$1:$A$18), NETWORKDAYS(J12, K12, Hoja2!$A$1:$A$18))</f>
        <v>5</v>
      </c>
      <c r="N12" s="113">
        <v>45861</v>
      </c>
      <c r="O12" s="109"/>
      <c r="P12" s="96" t="s">
        <v>56</v>
      </c>
    </row>
    <row r="13" spans="1:39" ht="29.25" customHeight="1">
      <c r="A13" s="83" t="s">
        <v>415</v>
      </c>
      <c r="B13" s="84" t="s">
        <v>57</v>
      </c>
      <c r="C13" s="111" t="s">
        <v>433</v>
      </c>
      <c r="D13" s="84" t="s">
        <v>59</v>
      </c>
      <c r="E13" s="84" t="s">
        <v>434</v>
      </c>
      <c r="F13" s="105" t="s">
        <v>22</v>
      </c>
      <c r="G13" s="97">
        <v>1</v>
      </c>
      <c r="H13" s="101">
        <v>1</v>
      </c>
      <c r="I13" s="106">
        <v>45860</v>
      </c>
      <c r="J13" s="106">
        <v>45860</v>
      </c>
      <c r="K13" s="113">
        <v>45860</v>
      </c>
      <c r="L13" s="113">
        <v>45860</v>
      </c>
      <c r="M13" s="91">
        <f ca="1">IF(ISBLANK(L13), NETWORKDAYS(J13, TODAY(),Hoja2!$A$1:$A$18), NETWORKDAYS(J13, L13, Hoja2!$A$1:$A$18))</f>
        <v>1</v>
      </c>
      <c r="N13" s="108"/>
      <c r="O13" s="109"/>
      <c r="P13" s="96" t="s">
        <v>60</v>
      </c>
    </row>
    <row r="14" spans="1:39" ht="29.25" customHeight="1">
      <c r="A14" s="83" t="s">
        <v>415</v>
      </c>
      <c r="B14" s="84" t="s">
        <v>61</v>
      </c>
      <c r="C14" s="115" t="s">
        <v>80</v>
      </c>
      <c r="D14" s="116"/>
      <c r="E14" s="102" t="s">
        <v>435</v>
      </c>
      <c r="F14" s="110" t="s">
        <v>22</v>
      </c>
      <c r="G14" s="97">
        <v>1</v>
      </c>
      <c r="H14" s="101">
        <v>2</v>
      </c>
      <c r="I14" s="106">
        <v>45863</v>
      </c>
      <c r="J14" s="106">
        <v>45863</v>
      </c>
      <c r="K14" s="113">
        <v>45866</v>
      </c>
      <c r="L14" s="113">
        <v>45866</v>
      </c>
      <c r="M14" s="91">
        <f ca="1">IF(ISBLANK(L14), NETWORKDAYS(J14, TODAY(),Hoja2!$A$1:$A$18), NETWORKDAYS(J14, L14, Hoja2!$A$1:$A$18))</f>
        <v>2</v>
      </c>
      <c r="N14" s="108"/>
      <c r="O14" s="109"/>
      <c r="P14" s="96" t="s">
        <v>63</v>
      </c>
    </row>
  </sheetData>
  <dataValidations count="2">
    <dataValidation type="custom" allowBlank="1" showDropDown="1" sqref="I2:L14 N2:O14">
      <formula1>OR(NOT(ISERROR(DATEVALUE(I2))), AND(ISNUMBER(I2), LEFT(CELL("format", I2))="D"))</formula1>
    </dataValidation>
    <dataValidation type="list" allowBlank="1" sqref="F2:F14">
      <formula1>"FINALIZADO,EN PROCESO,PAUSADO,EN TEST,PENDIENTE,PRUEBAS PROTECCION,PRUEBAS IMAGINE"</formula1>
    </dataValidation>
  </dataValidation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1.21875" defaultRowHeight="15" customHeight="1"/>
  <cols>
    <col min="1" max="6" width="10.5546875" customWidth="1"/>
  </cols>
  <sheetData>
    <row r="1" spans="1:2" ht="17.25" customHeight="1">
      <c r="A1" s="117">
        <v>45292</v>
      </c>
      <c r="B1" s="118" t="s">
        <v>436</v>
      </c>
    </row>
    <row r="2" spans="1:2" ht="17.25" customHeight="1">
      <c r="A2" s="117">
        <v>45299</v>
      </c>
      <c r="B2" s="118" t="s">
        <v>437</v>
      </c>
    </row>
    <row r="3" spans="1:2" ht="17.25" customHeight="1">
      <c r="A3" s="117">
        <v>45376</v>
      </c>
      <c r="B3" s="118" t="s">
        <v>438</v>
      </c>
    </row>
    <row r="4" spans="1:2" ht="17.25" customHeight="1">
      <c r="A4" s="117">
        <v>45379</v>
      </c>
      <c r="B4" s="118" t="s">
        <v>439</v>
      </c>
    </row>
    <row r="5" spans="1:2" ht="17.25" customHeight="1">
      <c r="A5" s="117">
        <v>45380</v>
      </c>
      <c r="B5" s="118" t="s">
        <v>440</v>
      </c>
    </row>
    <row r="6" spans="1:2" ht="17.25" customHeight="1">
      <c r="A6" s="117">
        <v>45413</v>
      </c>
      <c r="B6" s="118" t="s">
        <v>441</v>
      </c>
    </row>
    <row r="7" spans="1:2" ht="17.25" customHeight="1">
      <c r="A7" s="117">
        <v>45425</v>
      </c>
      <c r="B7" s="118" t="s">
        <v>442</v>
      </c>
    </row>
    <row r="8" spans="1:2" ht="17.25" customHeight="1">
      <c r="A8" s="117">
        <v>45446</v>
      </c>
      <c r="B8" s="118" t="s">
        <v>443</v>
      </c>
    </row>
    <row r="9" spans="1:2" ht="17.25" customHeight="1">
      <c r="A9" s="117">
        <v>45453</v>
      </c>
      <c r="B9" s="118" t="s">
        <v>444</v>
      </c>
    </row>
    <row r="10" spans="1:2" ht="17.25" customHeight="1">
      <c r="A10" s="117">
        <v>45474</v>
      </c>
      <c r="B10" s="118" t="s">
        <v>445</v>
      </c>
    </row>
    <row r="11" spans="1:2" ht="17.25" customHeight="1">
      <c r="A11" s="117">
        <v>45493</v>
      </c>
      <c r="B11" s="118" t="s">
        <v>446</v>
      </c>
    </row>
    <row r="12" spans="1:2" ht="17.25" customHeight="1">
      <c r="A12" s="117">
        <v>45511</v>
      </c>
      <c r="B12" s="118" t="s">
        <v>447</v>
      </c>
    </row>
    <row r="13" spans="1:2" ht="17.25" customHeight="1">
      <c r="A13" s="117">
        <v>45523</v>
      </c>
      <c r="B13" s="118" t="s">
        <v>448</v>
      </c>
    </row>
    <row r="14" spans="1:2" ht="17.25" customHeight="1">
      <c r="A14" s="117">
        <v>45579</v>
      </c>
      <c r="B14" s="118" t="s">
        <v>449</v>
      </c>
    </row>
    <row r="15" spans="1:2" ht="17.25" customHeight="1">
      <c r="A15" s="117">
        <v>45600</v>
      </c>
      <c r="B15" s="118" t="s">
        <v>450</v>
      </c>
    </row>
    <row r="16" spans="1:2" ht="17.25" customHeight="1">
      <c r="A16" s="117">
        <v>45607</v>
      </c>
      <c r="B16" s="118" t="s">
        <v>451</v>
      </c>
    </row>
    <row r="17" spans="1:2" ht="17.25" customHeight="1">
      <c r="A17" s="117">
        <v>45634</v>
      </c>
      <c r="B17" s="118" t="s">
        <v>452</v>
      </c>
    </row>
    <row r="18" spans="1:2" ht="17.25" customHeight="1">
      <c r="A18" s="117">
        <v>45651</v>
      </c>
      <c r="B18" s="118" t="s">
        <v>453</v>
      </c>
    </row>
    <row r="19" spans="1:2" ht="17.25" customHeight="1">
      <c r="A19" s="117">
        <v>45658</v>
      </c>
      <c r="B19" s="119" t="s">
        <v>454</v>
      </c>
    </row>
    <row r="20" spans="1:2" ht="17.25" customHeight="1">
      <c r="A20" s="117">
        <v>45663</v>
      </c>
      <c r="B20" s="119" t="s">
        <v>455</v>
      </c>
    </row>
    <row r="21" spans="1:2" ht="17.25" customHeight="1">
      <c r="A21" s="117">
        <v>45740</v>
      </c>
      <c r="B21" s="119" t="s">
        <v>456</v>
      </c>
    </row>
    <row r="22" spans="1:2" ht="17.25" customHeight="1">
      <c r="A22" s="117">
        <v>45764</v>
      </c>
      <c r="B22" s="119" t="s">
        <v>457</v>
      </c>
    </row>
    <row r="23" spans="1:2" ht="17.25" customHeight="1">
      <c r="A23" s="117">
        <v>45765</v>
      </c>
      <c r="B23" s="119" t="s">
        <v>458</v>
      </c>
    </row>
    <row r="24" spans="1:2" ht="17.25" customHeight="1">
      <c r="A24" s="117">
        <v>45778</v>
      </c>
      <c r="B24" s="119" t="s">
        <v>459</v>
      </c>
    </row>
    <row r="25" spans="1:2" ht="17.25" customHeight="1">
      <c r="A25" s="117">
        <v>45810</v>
      </c>
      <c r="B25" s="119" t="s">
        <v>460</v>
      </c>
    </row>
    <row r="26" spans="1:2" ht="17.25" customHeight="1">
      <c r="A26" s="117">
        <v>45831</v>
      </c>
      <c r="B26" s="119" t="s">
        <v>461</v>
      </c>
    </row>
    <row r="27" spans="1:2" ht="17.25" customHeight="1">
      <c r="A27" s="117">
        <v>45838</v>
      </c>
      <c r="B27" s="119" t="s">
        <v>462</v>
      </c>
    </row>
    <row r="28" spans="1:2" ht="17.25" customHeight="1">
      <c r="A28" s="117">
        <v>45858</v>
      </c>
      <c r="B28" s="119" t="s">
        <v>463</v>
      </c>
    </row>
    <row r="29" spans="1:2" ht="17.25" customHeight="1">
      <c r="A29" s="117">
        <v>45876</v>
      </c>
      <c r="B29" s="119" t="s">
        <v>464</v>
      </c>
    </row>
    <row r="30" spans="1:2" ht="17.25" customHeight="1">
      <c r="A30" s="117">
        <v>45887</v>
      </c>
      <c r="B30" s="119" t="s">
        <v>465</v>
      </c>
    </row>
    <row r="31" spans="1:2" ht="17.25" customHeight="1">
      <c r="A31" s="117">
        <v>45943</v>
      </c>
      <c r="B31" s="119" t="s">
        <v>466</v>
      </c>
    </row>
    <row r="32" spans="1:2" ht="17.25" customHeight="1">
      <c r="A32" s="117">
        <v>45964</v>
      </c>
      <c r="B32" s="119" t="s">
        <v>467</v>
      </c>
    </row>
    <row r="33" spans="1:2" ht="17.25" customHeight="1">
      <c r="A33" s="117">
        <v>45978</v>
      </c>
      <c r="B33" s="119" t="s">
        <v>468</v>
      </c>
    </row>
    <row r="34" spans="1:2" ht="17.25" customHeight="1">
      <c r="A34" s="117">
        <v>45999</v>
      </c>
      <c r="B34" s="119" t="s">
        <v>469</v>
      </c>
    </row>
    <row r="35" spans="1:2" ht="17.25" customHeight="1">
      <c r="A35" s="117">
        <v>46016</v>
      </c>
      <c r="B35" s="119" t="s">
        <v>470</v>
      </c>
    </row>
    <row r="36" spans="1:2" ht="17.25" customHeight="1">
      <c r="A36" s="117">
        <v>46023</v>
      </c>
      <c r="B36" s="119" t="s">
        <v>454</v>
      </c>
    </row>
    <row r="37" spans="1:2" ht="17.25" customHeight="1">
      <c r="A37" s="117">
        <v>46034</v>
      </c>
      <c r="B37" s="119" t="s">
        <v>455</v>
      </c>
    </row>
    <row r="38" spans="1:2" ht="17.25" customHeight="1">
      <c r="A38" s="117">
        <v>46104</v>
      </c>
      <c r="B38" s="119" t="s">
        <v>456</v>
      </c>
    </row>
    <row r="39" spans="1:2" ht="17.25" customHeight="1">
      <c r="A39" s="117">
        <v>46114</v>
      </c>
      <c r="B39" s="119" t="s">
        <v>457</v>
      </c>
    </row>
    <row r="40" spans="1:2" ht="17.25" customHeight="1">
      <c r="A40" s="117">
        <v>46115</v>
      </c>
      <c r="B40" s="119" t="s">
        <v>458</v>
      </c>
    </row>
    <row r="41" spans="1:2" ht="17.25" customHeight="1">
      <c r="A41" s="117">
        <v>46143</v>
      </c>
      <c r="B41" s="119" t="s">
        <v>459</v>
      </c>
    </row>
    <row r="42" spans="1:2" ht="17.25" customHeight="1">
      <c r="A42" s="117">
        <v>46160</v>
      </c>
      <c r="B42" s="119" t="s">
        <v>460</v>
      </c>
    </row>
    <row r="43" spans="1:2" ht="17.25" customHeight="1">
      <c r="A43" s="117">
        <v>46181</v>
      </c>
      <c r="B43" s="119" t="s">
        <v>461</v>
      </c>
    </row>
    <row r="44" spans="1:2" ht="17.25" customHeight="1">
      <c r="A44" s="117">
        <v>46188</v>
      </c>
      <c r="B44" s="119" t="s">
        <v>471</v>
      </c>
    </row>
    <row r="45" spans="1:2" ht="17.25" customHeight="1">
      <c r="A45" s="117">
        <v>46202</v>
      </c>
      <c r="B45" s="119" t="s">
        <v>472</v>
      </c>
    </row>
    <row r="46" spans="1:2" ht="17.25" customHeight="1">
      <c r="A46" s="117">
        <v>46223</v>
      </c>
      <c r="B46" s="119" t="s">
        <v>463</v>
      </c>
    </row>
    <row r="47" spans="1:2" ht="17.25" customHeight="1">
      <c r="A47" s="117">
        <v>46241</v>
      </c>
      <c r="B47" s="119" t="s">
        <v>464</v>
      </c>
    </row>
    <row r="48" spans="1:2" ht="17.25" customHeight="1">
      <c r="A48" s="117">
        <v>46251</v>
      </c>
      <c r="B48" s="119" t="s">
        <v>465</v>
      </c>
    </row>
    <row r="49" spans="1:2" ht="17.25" customHeight="1">
      <c r="A49" s="117">
        <v>46307</v>
      </c>
      <c r="B49" s="119" t="s">
        <v>466</v>
      </c>
    </row>
    <row r="50" spans="1:2" ht="17.25" customHeight="1">
      <c r="A50" s="117">
        <v>46328</v>
      </c>
      <c r="B50" s="119" t="s">
        <v>467</v>
      </c>
    </row>
    <row r="51" spans="1:2" ht="17.25" customHeight="1">
      <c r="A51" s="117">
        <v>46342</v>
      </c>
      <c r="B51" s="119" t="s">
        <v>468</v>
      </c>
    </row>
    <row r="52" spans="1:2" ht="17.25" customHeight="1">
      <c r="A52" s="117">
        <v>46364</v>
      </c>
      <c r="B52" s="119" t="s">
        <v>469</v>
      </c>
    </row>
    <row r="53" spans="1:2" ht="17.25" customHeight="1">
      <c r="A53" s="117">
        <v>46381</v>
      </c>
      <c r="B53" s="119" t="s">
        <v>470</v>
      </c>
    </row>
    <row r="54" spans="1:2" ht="17.25" customHeight="1"/>
    <row r="55" spans="1:2" ht="17.25" customHeight="1"/>
    <row r="56" spans="1:2" ht="17.25" customHeight="1"/>
    <row r="57" spans="1:2" ht="17.25" customHeight="1"/>
    <row r="58" spans="1:2" ht="17.25" customHeight="1"/>
    <row r="59" spans="1:2" ht="17.25" customHeight="1"/>
    <row r="60" spans="1:2" ht="17.25" customHeight="1"/>
    <row r="61" spans="1:2" ht="17.25" customHeight="1"/>
    <row r="62" spans="1:2" ht="17.25" customHeight="1"/>
    <row r="63" spans="1:2" ht="17.25" customHeight="1"/>
    <row r="64" spans="1:2"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1.21875" defaultRowHeight="15" customHeight="1"/>
  <cols>
    <col min="1" max="1" width="18" customWidth="1"/>
    <col min="2" max="10" width="10.5546875" customWidth="1"/>
    <col min="11" max="12" width="13.5546875" customWidth="1"/>
    <col min="13" max="26" width="10.5546875" customWidth="1"/>
  </cols>
  <sheetData>
    <row r="1" spans="1:97" ht="15.75">
      <c r="A1" s="120" t="s">
        <v>473</v>
      </c>
      <c r="B1" s="121"/>
      <c r="C1" s="121"/>
      <c r="D1" s="121"/>
      <c r="E1" s="121"/>
      <c r="F1" s="121"/>
      <c r="G1" s="121"/>
      <c r="H1" s="121"/>
      <c r="I1" s="121"/>
      <c r="J1" s="121"/>
      <c r="K1" s="121"/>
      <c r="L1" s="121"/>
      <c r="M1" s="121"/>
      <c r="N1" s="121"/>
      <c r="O1" s="121"/>
      <c r="P1" s="121"/>
      <c r="Q1" s="121"/>
      <c r="R1" s="121"/>
      <c r="S1" s="121"/>
      <c r="T1" s="121"/>
      <c r="U1" s="121"/>
      <c r="V1" s="121"/>
      <c r="W1" s="121"/>
      <c r="X1" s="121"/>
      <c r="Y1" s="121"/>
      <c r="Z1" s="121"/>
    </row>
    <row r="2" spans="1:97">
      <c r="A2" s="121"/>
      <c r="B2" s="121"/>
      <c r="C2" s="121"/>
      <c r="D2" s="121"/>
      <c r="E2" s="121"/>
      <c r="F2" s="121"/>
      <c r="G2" s="121"/>
      <c r="H2" s="121"/>
      <c r="I2" s="121"/>
      <c r="J2" s="121"/>
      <c r="K2" s="121"/>
      <c r="L2" s="121"/>
      <c r="M2" s="121"/>
      <c r="N2" s="121"/>
      <c r="O2" s="121"/>
      <c r="P2" s="121"/>
      <c r="Q2" s="121"/>
      <c r="R2" s="121"/>
      <c r="S2" s="121"/>
      <c r="T2" s="121"/>
      <c r="U2" s="121"/>
      <c r="V2" s="121"/>
      <c r="W2" s="121"/>
      <c r="X2" s="121"/>
      <c r="Y2" s="121"/>
      <c r="Z2" s="121"/>
    </row>
    <row r="3" spans="1:97" ht="32.25" customHeight="1">
      <c r="A3" s="122" t="s">
        <v>474</v>
      </c>
      <c r="B3" s="123">
        <v>45596</v>
      </c>
      <c r="C3" s="123">
        <v>45597</v>
      </c>
      <c r="D3" s="123">
        <v>45601</v>
      </c>
      <c r="E3" s="123">
        <v>45602</v>
      </c>
      <c r="F3" s="123">
        <v>45603</v>
      </c>
      <c r="G3" s="123">
        <v>45604</v>
      </c>
      <c r="H3" s="123">
        <v>45608</v>
      </c>
      <c r="I3" s="123">
        <v>45609</v>
      </c>
      <c r="J3" s="123">
        <v>45610</v>
      </c>
      <c r="K3" s="123">
        <v>45611</v>
      </c>
      <c r="L3" s="123">
        <v>45614</v>
      </c>
      <c r="M3" s="123">
        <v>45615</v>
      </c>
      <c r="N3" s="123">
        <v>45616</v>
      </c>
      <c r="O3" s="123">
        <v>45617</v>
      </c>
      <c r="P3" s="123">
        <v>45618</v>
      </c>
      <c r="Q3" s="124">
        <v>45621</v>
      </c>
      <c r="R3" s="124">
        <v>45622</v>
      </c>
      <c r="S3" s="124">
        <v>45623</v>
      </c>
      <c r="T3" s="124">
        <v>45624</v>
      </c>
      <c r="U3" s="124">
        <v>45625</v>
      </c>
      <c r="V3" s="124">
        <v>45628</v>
      </c>
      <c r="W3" s="124">
        <v>45629</v>
      </c>
      <c r="X3" s="124">
        <v>45630</v>
      </c>
      <c r="Y3" s="124">
        <v>45631</v>
      </c>
      <c r="Z3" s="124">
        <v>45632</v>
      </c>
      <c r="AA3" s="124">
        <v>45635</v>
      </c>
      <c r="AB3" s="124">
        <v>45636</v>
      </c>
      <c r="AC3" s="124">
        <v>45637</v>
      </c>
      <c r="AD3" s="124">
        <v>45638</v>
      </c>
      <c r="AE3" s="125">
        <v>45639</v>
      </c>
      <c r="AF3" s="123">
        <v>45642</v>
      </c>
      <c r="AG3" s="123">
        <v>45643</v>
      </c>
      <c r="AH3" s="123">
        <v>45644</v>
      </c>
      <c r="AI3" s="123">
        <v>45645</v>
      </c>
      <c r="AJ3" s="123">
        <v>45646</v>
      </c>
      <c r="AK3" s="123">
        <v>45649</v>
      </c>
      <c r="AL3" s="123">
        <v>45650</v>
      </c>
      <c r="AM3" s="123">
        <v>45652</v>
      </c>
      <c r="AN3" s="123">
        <v>45653</v>
      </c>
      <c r="AO3" s="123">
        <v>45656</v>
      </c>
      <c r="AP3" s="123">
        <v>45656</v>
      </c>
      <c r="AQ3" s="123">
        <v>45664</v>
      </c>
      <c r="AR3" s="123">
        <v>45665</v>
      </c>
      <c r="AS3" s="123">
        <v>45666</v>
      </c>
      <c r="AT3" s="123">
        <v>45667</v>
      </c>
      <c r="AU3" s="123">
        <v>45670</v>
      </c>
      <c r="AV3" s="123">
        <v>45671</v>
      </c>
      <c r="AW3" s="123">
        <v>45672</v>
      </c>
      <c r="AX3" s="123">
        <v>45673</v>
      </c>
      <c r="AY3" s="123">
        <v>45674</v>
      </c>
      <c r="AZ3" s="123">
        <v>45677</v>
      </c>
      <c r="BA3" s="123">
        <v>45678</v>
      </c>
      <c r="BB3" s="123">
        <v>45679</v>
      </c>
      <c r="BC3" s="123">
        <v>45680</v>
      </c>
      <c r="BD3" s="123">
        <v>45681</v>
      </c>
      <c r="BE3" s="123">
        <v>45684</v>
      </c>
      <c r="BF3" s="123">
        <v>45685</v>
      </c>
      <c r="BG3" s="123">
        <v>45686</v>
      </c>
      <c r="BH3" s="123">
        <v>45687</v>
      </c>
      <c r="BI3" s="123">
        <v>45688</v>
      </c>
      <c r="BJ3" s="124">
        <v>45691</v>
      </c>
      <c r="BK3" s="124">
        <v>45692</v>
      </c>
      <c r="BL3" s="124">
        <v>45693</v>
      </c>
      <c r="BM3" s="124">
        <v>45694</v>
      </c>
      <c r="BN3" s="124">
        <v>45695</v>
      </c>
      <c r="BO3" s="124">
        <v>45698</v>
      </c>
      <c r="BP3" s="124">
        <v>45699</v>
      </c>
      <c r="BQ3" s="124">
        <v>45700</v>
      </c>
      <c r="BR3" s="124">
        <v>45701</v>
      </c>
      <c r="BS3" s="124">
        <v>45702</v>
      </c>
      <c r="BT3" s="124">
        <v>45705</v>
      </c>
      <c r="BU3" s="124">
        <v>45706</v>
      </c>
      <c r="BV3" s="124">
        <v>45707</v>
      </c>
      <c r="BW3" s="124">
        <v>45708</v>
      </c>
      <c r="BX3" s="124">
        <v>45709</v>
      </c>
      <c r="BY3" s="124">
        <v>45712</v>
      </c>
      <c r="BZ3" s="124">
        <v>45713</v>
      </c>
      <c r="CA3" s="124">
        <v>45714</v>
      </c>
      <c r="CB3" s="124">
        <v>45715</v>
      </c>
      <c r="CC3" s="124">
        <v>45716</v>
      </c>
      <c r="CD3" s="124">
        <v>45719</v>
      </c>
      <c r="CE3" s="124">
        <v>45720</v>
      </c>
      <c r="CF3" s="124">
        <v>45721</v>
      </c>
      <c r="CG3" s="124">
        <v>45722</v>
      </c>
      <c r="CH3" s="124">
        <v>45723</v>
      </c>
      <c r="CI3" s="124">
        <v>45726</v>
      </c>
      <c r="CJ3" s="124">
        <v>45727</v>
      </c>
      <c r="CK3" s="124">
        <v>45728</v>
      </c>
      <c r="CL3" s="124">
        <v>45729</v>
      </c>
      <c r="CM3" s="124">
        <v>45730</v>
      </c>
      <c r="CN3" s="124">
        <v>45733</v>
      </c>
      <c r="CO3" s="124">
        <v>45734</v>
      </c>
      <c r="CP3" s="124">
        <v>45735</v>
      </c>
      <c r="CQ3" s="124">
        <v>45736</v>
      </c>
      <c r="CR3" s="124">
        <v>45737</v>
      </c>
      <c r="CS3" s="124">
        <v>45741</v>
      </c>
    </row>
    <row r="4" spans="1:97" ht="30.75" customHeight="1">
      <c r="A4" s="126" t="s">
        <v>475</v>
      </c>
      <c r="B4" s="127" t="s">
        <v>476</v>
      </c>
      <c r="C4" s="128" t="s">
        <v>477</v>
      </c>
      <c r="D4" s="129" t="s">
        <v>476</v>
      </c>
      <c r="E4" s="129" t="s">
        <v>476</v>
      </c>
      <c r="F4" s="129" t="s">
        <v>476</v>
      </c>
      <c r="G4" s="129" t="s">
        <v>476</v>
      </c>
      <c r="H4" s="129" t="s">
        <v>476</v>
      </c>
      <c r="I4" s="129" t="s">
        <v>476</v>
      </c>
      <c r="J4" s="129" t="s">
        <v>476</v>
      </c>
      <c r="K4" s="129" t="s">
        <v>476</v>
      </c>
      <c r="L4" s="129" t="s">
        <v>476</v>
      </c>
      <c r="M4" s="129" t="s">
        <v>476</v>
      </c>
      <c r="N4" s="129" t="s">
        <v>476</v>
      </c>
      <c r="O4" s="129" t="s">
        <v>478</v>
      </c>
      <c r="P4" s="130" t="s">
        <v>476</v>
      </c>
      <c r="Q4" s="129" t="s">
        <v>476</v>
      </c>
      <c r="R4" s="129" t="s">
        <v>476</v>
      </c>
      <c r="S4" s="129" t="s">
        <v>476</v>
      </c>
      <c r="T4" s="129" t="s">
        <v>476</v>
      </c>
      <c r="U4" s="130" t="s">
        <v>479</v>
      </c>
      <c r="V4" s="129" t="s">
        <v>476</v>
      </c>
      <c r="W4" s="129" t="s">
        <v>476</v>
      </c>
      <c r="X4" s="129" t="s">
        <v>476</v>
      </c>
      <c r="Y4" s="129" t="s">
        <v>476</v>
      </c>
      <c r="Z4" s="129" t="s">
        <v>476</v>
      </c>
      <c r="AA4" s="129" t="s">
        <v>476</v>
      </c>
      <c r="AB4" s="129" t="s">
        <v>476</v>
      </c>
      <c r="AC4" s="129" t="s">
        <v>476</v>
      </c>
      <c r="AD4" s="129" t="s">
        <v>476</v>
      </c>
      <c r="AE4" s="155" t="s">
        <v>480</v>
      </c>
      <c r="AF4" s="129" t="s">
        <v>476</v>
      </c>
      <c r="AG4" s="129" t="s">
        <v>476</v>
      </c>
      <c r="AH4" s="129" t="s">
        <v>476</v>
      </c>
      <c r="AI4" s="129" t="s">
        <v>476</v>
      </c>
      <c r="AJ4" s="129" t="s">
        <v>476</v>
      </c>
      <c r="AK4" s="129" t="s">
        <v>476</v>
      </c>
      <c r="AL4" s="155" t="s">
        <v>481</v>
      </c>
      <c r="AM4" s="129" t="s">
        <v>479</v>
      </c>
      <c r="AN4" s="129" t="s">
        <v>479</v>
      </c>
      <c r="AO4" s="129" t="s">
        <v>476</v>
      </c>
      <c r="AP4" s="155" t="s">
        <v>482</v>
      </c>
      <c r="AQ4" s="129" t="s">
        <v>476</v>
      </c>
      <c r="AR4" s="129" t="s">
        <v>476</v>
      </c>
      <c r="AS4" s="155" t="s">
        <v>482</v>
      </c>
      <c r="AT4" s="131" t="s">
        <v>476</v>
      </c>
      <c r="AU4" s="129" t="s">
        <v>476</v>
      </c>
      <c r="AV4" s="129" t="s">
        <v>476</v>
      </c>
      <c r="AW4" s="129" t="s">
        <v>476</v>
      </c>
      <c r="AX4" s="129" t="s">
        <v>476</v>
      </c>
      <c r="AY4" s="155" t="s">
        <v>482</v>
      </c>
      <c r="AZ4" s="129" t="s">
        <v>476</v>
      </c>
      <c r="BA4" s="129" t="s">
        <v>476</v>
      </c>
      <c r="BB4" s="129" t="s">
        <v>476</v>
      </c>
      <c r="BC4" s="129" t="s">
        <v>476</v>
      </c>
      <c r="BD4" s="129" t="s">
        <v>476</v>
      </c>
      <c r="BE4" s="129" t="s">
        <v>476</v>
      </c>
      <c r="BF4" s="129" t="s">
        <v>476</v>
      </c>
      <c r="BG4" s="129" t="s">
        <v>476</v>
      </c>
      <c r="BH4" s="129" t="s">
        <v>476</v>
      </c>
      <c r="BI4" s="130" t="s">
        <v>476</v>
      </c>
      <c r="BJ4" s="155" t="s">
        <v>482</v>
      </c>
      <c r="BK4" s="130" t="s">
        <v>483</v>
      </c>
      <c r="BL4" s="130" t="s">
        <v>483</v>
      </c>
      <c r="BM4" s="130" t="s">
        <v>483</v>
      </c>
      <c r="BN4" s="130" t="s">
        <v>483</v>
      </c>
      <c r="BO4" s="130" t="s">
        <v>483</v>
      </c>
      <c r="BP4" s="130" t="s">
        <v>483</v>
      </c>
      <c r="BQ4" s="130" t="s">
        <v>483</v>
      </c>
      <c r="BR4" s="129" t="s">
        <v>476</v>
      </c>
      <c r="BS4" s="129" t="s">
        <v>476</v>
      </c>
      <c r="BT4" s="129" t="s">
        <v>476</v>
      </c>
      <c r="BU4" s="129" t="s">
        <v>476</v>
      </c>
      <c r="BV4" s="129" t="s">
        <v>476</v>
      </c>
      <c r="BW4" s="129" t="s">
        <v>476</v>
      </c>
      <c r="BX4" s="129" t="s">
        <v>476</v>
      </c>
      <c r="BY4" s="129" t="s">
        <v>476</v>
      </c>
      <c r="BZ4" s="129" t="s">
        <v>476</v>
      </c>
      <c r="CA4" s="129" t="s">
        <v>476</v>
      </c>
      <c r="CB4" s="129" t="s">
        <v>476</v>
      </c>
      <c r="CC4" s="129" t="s">
        <v>476</v>
      </c>
      <c r="CD4" s="129" t="s">
        <v>476</v>
      </c>
      <c r="CE4" s="129" t="s">
        <v>476</v>
      </c>
      <c r="CF4" s="129" t="s">
        <v>476</v>
      </c>
      <c r="CG4" s="129"/>
      <c r="CH4" s="129"/>
      <c r="CI4" s="155" t="s">
        <v>484</v>
      </c>
      <c r="CJ4" s="129"/>
      <c r="CK4" s="129"/>
      <c r="CL4" s="129"/>
      <c r="CM4" s="129"/>
      <c r="CN4" s="129"/>
      <c r="CO4" s="129"/>
      <c r="CP4" s="129"/>
      <c r="CQ4" s="129"/>
      <c r="CR4" s="129"/>
      <c r="CS4" s="129" t="s">
        <v>476</v>
      </c>
    </row>
    <row r="5" spans="1:97" ht="15.75" customHeight="1">
      <c r="A5" s="126" t="s">
        <v>485</v>
      </c>
      <c r="B5" s="127" t="s">
        <v>476</v>
      </c>
      <c r="C5" s="129" t="s">
        <v>476</v>
      </c>
      <c r="D5" s="129" t="s">
        <v>476</v>
      </c>
      <c r="E5" s="129" t="s">
        <v>476</v>
      </c>
      <c r="F5" s="129" t="s">
        <v>476</v>
      </c>
      <c r="G5" s="129" t="s">
        <v>476</v>
      </c>
      <c r="H5" s="129" t="s">
        <v>476</v>
      </c>
      <c r="I5" s="129" t="s">
        <v>476</v>
      </c>
      <c r="J5" s="129" t="s">
        <v>476</v>
      </c>
      <c r="K5" s="129" t="s">
        <v>476</v>
      </c>
      <c r="L5" s="129" t="s">
        <v>483</v>
      </c>
      <c r="M5" s="129" t="s">
        <v>483</v>
      </c>
      <c r="N5" s="129" t="s">
        <v>483</v>
      </c>
      <c r="O5" s="129" t="s">
        <v>483</v>
      </c>
      <c r="P5" s="130" t="s">
        <v>483</v>
      </c>
      <c r="Q5" s="129" t="s">
        <v>476</v>
      </c>
      <c r="R5" s="129" t="s">
        <v>476</v>
      </c>
      <c r="S5" s="129" t="s">
        <v>476</v>
      </c>
      <c r="T5" s="129" t="s">
        <v>476</v>
      </c>
      <c r="U5" s="130" t="s">
        <v>476</v>
      </c>
      <c r="V5" s="129" t="s">
        <v>476</v>
      </c>
      <c r="W5" s="129" t="s">
        <v>476</v>
      </c>
      <c r="X5" s="129" t="s">
        <v>476</v>
      </c>
      <c r="Y5" s="129" t="s">
        <v>476</v>
      </c>
      <c r="Z5" s="129" t="s">
        <v>476</v>
      </c>
      <c r="AA5" s="129" t="s">
        <v>476</v>
      </c>
      <c r="AB5" s="129" t="s">
        <v>476</v>
      </c>
      <c r="AC5" s="129" t="s">
        <v>476</v>
      </c>
      <c r="AD5" s="129" t="s">
        <v>476</v>
      </c>
      <c r="AE5" s="156"/>
      <c r="AF5" s="129" t="s">
        <v>476</v>
      </c>
      <c r="AG5" s="129" t="s">
        <v>476</v>
      </c>
      <c r="AH5" s="129" t="s">
        <v>476</v>
      </c>
      <c r="AI5" s="129" t="s">
        <v>476</v>
      </c>
      <c r="AJ5" s="129" t="s">
        <v>476</v>
      </c>
      <c r="AK5" s="129" t="s">
        <v>476</v>
      </c>
      <c r="AL5" s="156"/>
      <c r="AM5" s="129" t="s">
        <v>476</v>
      </c>
      <c r="AN5" s="129" t="s">
        <v>476</v>
      </c>
      <c r="AO5" s="129" t="s">
        <v>476</v>
      </c>
      <c r="AP5" s="156"/>
      <c r="AQ5" s="129" t="s">
        <v>483</v>
      </c>
      <c r="AR5" s="129" t="s">
        <v>483</v>
      </c>
      <c r="AS5" s="156"/>
      <c r="AT5" s="129" t="s">
        <v>483</v>
      </c>
      <c r="AU5" s="129" t="s">
        <v>483</v>
      </c>
      <c r="AV5" s="129" t="s">
        <v>483</v>
      </c>
      <c r="AW5" s="129" t="s">
        <v>483</v>
      </c>
      <c r="AX5" s="129" t="s">
        <v>483</v>
      </c>
      <c r="AY5" s="156"/>
      <c r="AZ5" s="129" t="s">
        <v>483</v>
      </c>
      <c r="BA5" s="129" t="s">
        <v>476</v>
      </c>
      <c r="BB5" s="129" t="s">
        <v>476</v>
      </c>
      <c r="BC5" s="129" t="s">
        <v>476</v>
      </c>
      <c r="BD5" s="129" t="s">
        <v>476</v>
      </c>
      <c r="BE5" s="129" t="s">
        <v>476</v>
      </c>
      <c r="BF5" s="129" t="s">
        <v>476</v>
      </c>
      <c r="BG5" s="129" t="s">
        <v>476</v>
      </c>
      <c r="BH5" s="129" t="s">
        <v>476</v>
      </c>
      <c r="BI5" s="130" t="s">
        <v>476</v>
      </c>
      <c r="BJ5" s="156"/>
      <c r="BK5" s="130" t="s">
        <v>476</v>
      </c>
      <c r="BL5" s="130" t="s">
        <v>476</v>
      </c>
      <c r="BM5" s="129" t="s">
        <v>476</v>
      </c>
      <c r="BN5" s="130" t="s">
        <v>476</v>
      </c>
      <c r="BO5" s="129" t="s">
        <v>476</v>
      </c>
      <c r="BP5" s="129" t="s">
        <v>476</v>
      </c>
      <c r="BQ5" s="129" t="s">
        <v>476</v>
      </c>
      <c r="BR5" s="129" t="s">
        <v>476</v>
      </c>
      <c r="BS5" s="129" t="s">
        <v>476</v>
      </c>
      <c r="BT5" s="129" t="s">
        <v>476</v>
      </c>
      <c r="BU5" s="129" t="s">
        <v>476</v>
      </c>
      <c r="BV5" s="129" t="s">
        <v>476</v>
      </c>
      <c r="BW5" s="129" t="s">
        <v>476</v>
      </c>
      <c r="BX5" s="129" t="s">
        <v>476</v>
      </c>
      <c r="BY5" s="129" t="s">
        <v>476</v>
      </c>
      <c r="BZ5" s="129" t="s">
        <v>476</v>
      </c>
      <c r="CA5" s="129" t="s">
        <v>476</v>
      </c>
      <c r="CB5" s="129" t="s">
        <v>476</v>
      </c>
      <c r="CC5" s="129" t="s">
        <v>476</v>
      </c>
      <c r="CD5" s="129" t="s">
        <v>476</v>
      </c>
      <c r="CE5" s="129" t="s">
        <v>476</v>
      </c>
      <c r="CF5" s="129" t="s">
        <v>476</v>
      </c>
      <c r="CG5" s="129"/>
      <c r="CH5" s="129"/>
      <c r="CI5" s="156"/>
      <c r="CJ5" s="129"/>
      <c r="CK5" s="129"/>
      <c r="CL5" s="129"/>
      <c r="CM5" s="129"/>
      <c r="CN5" s="129"/>
      <c r="CO5" s="129"/>
      <c r="CP5" s="129"/>
      <c r="CQ5" s="129"/>
      <c r="CR5" s="129"/>
      <c r="CS5" s="129" t="s">
        <v>476</v>
      </c>
    </row>
    <row r="6" spans="1:97" ht="15.75">
      <c r="A6" s="126" t="s">
        <v>486</v>
      </c>
      <c r="B6" s="127" t="s">
        <v>476</v>
      </c>
      <c r="C6" s="129" t="s">
        <v>476</v>
      </c>
      <c r="D6" s="129" t="s">
        <v>476</v>
      </c>
      <c r="E6" s="129" t="s">
        <v>476</v>
      </c>
      <c r="F6" s="129" t="s">
        <v>476</v>
      </c>
      <c r="G6" s="129" t="s">
        <v>476</v>
      </c>
      <c r="H6" s="129" t="s">
        <v>476</v>
      </c>
      <c r="I6" s="129" t="s">
        <v>476</v>
      </c>
      <c r="J6" s="129" t="s">
        <v>476</v>
      </c>
      <c r="K6" s="132" t="s">
        <v>487</v>
      </c>
      <c r="L6" s="129" t="s">
        <v>476</v>
      </c>
      <c r="M6" s="129" t="s">
        <v>476</v>
      </c>
      <c r="N6" s="129" t="s">
        <v>476</v>
      </c>
      <c r="O6" s="129" t="s">
        <v>478</v>
      </c>
      <c r="P6" s="130" t="s">
        <v>476</v>
      </c>
      <c r="Q6" s="129" t="s">
        <v>476</v>
      </c>
      <c r="R6" s="129" t="s">
        <v>476</v>
      </c>
      <c r="S6" s="129" t="s">
        <v>476</v>
      </c>
      <c r="T6" s="129" t="s">
        <v>476</v>
      </c>
      <c r="U6" s="130" t="s">
        <v>476</v>
      </c>
      <c r="V6" s="129" t="s">
        <v>476</v>
      </c>
      <c r="W6" s="129" t="s">
        <v>476</v>
      </c>
      <c r="X6" s="129" t="s">
        <v>476</v>
      </c>
      <c r="Y6" s="129" t="s">
        <v>476</v>
      </c>
      <c r="Z6" s="129" t="s">
        <v>476</v>
      </c>
      <c r="AA6" s="129" t="s">
        <v>476</v>
      </c>
      <c r="AB6" s="129" t="s">
        <v>476</v>
      </c>
      <c r="AC6" s="129" t="s">
        <v>476</v>
      </c>
      <c r="AD6" s="129" t="s">
        <v>476</v>
      </c>
      <c r="AE6" s="156"/>
      <c r="AF6" s="129" t="s">
        <v>476</v>
      </c>
      <c r="AG6" s="129" t="s">
        <v>476</v>
      </c>
      <c r="AH6" s="129" t="s">
        <v>476</v>
      </c>
      <c r="AI6" s="129" t="s">
        <v>476</v>
      </c>
      <c r="AJ6" s="129" t="s">
        <v>476</v>
      </c>
      <c r="AK6" s="129" t="s">
        <v>476</v>
      </c>
      <c r="AL6" s="156"/>
      <c r="AM6" s="129" t="s">
        <v>476</v>
      </c>
      <c r="AN6" s="129" t="s">
        <v>476</v>
      </c>
      <c r="AO6" s="129" t="s">
        <v>476</v>
      </c>
      <c r="AP6" s="156"/>
      <c r="AQ6" s="129" t="s">
        <v>476</v>
      </c>
      <c r="AR6" s="129" t="s">
        <v>476</v>
      </c>
      <c r="AS6" s="156"/>
      <c r="AT6" s="129" t="s">
        <v>476</v>
      </c>
      <c r="AU6" s="129" t="s">
        <v>476</v>
      </c>
      <c r="AV6" s="129" t="s">
        <v>476</v>
      </c>
      <c r="AW6" s="129" t="s">
        <v>476</v>
      </c>
      <c r="AX6" s="129" t="s">
        <v>476</v>
      </c>
      <c r="AY6" s="156"/>
      <c r="AZ6" s="129" t="s">
        <v>476</v>
      </c>
      <c r="BA6" s="129" t="s">
        <v>476</v>
      </c>
      <c r="BB6" s="129" t="s">
        <v>476</v>
      </c>
      <c r="BC6" s="129" t="s">
        <v>476</v>
      </c>
      <c r="BD6" s="129" t="s">
        <v>476</v>
      </c>
      <c r="BE6" s="129" t="s">
        <v>476</v>
      </c>
      <c r="BF6" s="129" t="s">
        <v>476</v>
      </c>
      <c r="BG6" s="129" t="s">
        <v>476</v>
      </c>
      <c r="BH6" s="129" t="s">
        <v>476</v>
      </c>
      <c r="BI6" s="130" t="s">
        <v>476</v>
      </c>
      <c r="BJ6" s="156"/>
      <c r="BK6" s="130" t="s">
        <v>476</v>
      </c>
      <c r="BL6" s="130" t="s">
        <v>476</v>
      </c>
      <c r="BM6" s="129" t="s">
        <v>488</v>
      </c>
      <c r="BN6" s="130" t="s">
        <v>476</v>
      </c>
      <c r="BO6" s="129" t="s">
        <v>476</v>
      </c>
      <c r="BP6" s="129" t="s">
        <v>476</v>
      </c>
      <c r="BQ6" s="129" t="s">
        <v>476</v>
      </c>
      <c r="BR6" s="129" t="s">
        <v>476</v>
      </c>
      <c r="BS6" s="129" t="s">
        <v>476</v>
      </c>
      <c r="BT6" s="129" t="s">
        <v>476</v>
      </c>
      <c r="BU6" s="129" t="s">
        <v>476</v>
      </c>
      <c r="BV6" s="129" t="s">
        <v>476</v>
      </c>
      <c r="BW6" s="129" t="s">
        <v>476</v>
      </c>
      <c r="BX6" s="129" t="s">
        <v>476</v>
      </c>
      <c r="BY6" s="129" t="s">
        <v>476</v>
      </c>
      <c r="BZ6" s="129" t="s">
        <v>476</v>
      </c>
      <c r="CA6" s="129" t="s">
        <v>476</v>
      </c>
      <c r="CB6" s="129" t="s">
        <v>476</v>
      </c>
      <c r="CC6" s="129" t="s">
        <v>476</v>
      </c>
      <c r="CD6" s="129" t="s">
        <v>476</v>
      </c>
      <c r="CE6" s="129" t="s">
        <v>476</v>
      </c>
      <c r="CF6" s="129" t="s">
        <v>476</v>
      </c>
      <c r="CG6" s="129"/>
      <c r="CH6" s="129"/>
      <c r="CI6" s="156"/>
      <c r="CJ6" s="129"/>
      <c r="CK6" s="129"/>
      <c r="CL6" s="129"/>
      <c r="CM6" s="129"/>
      <c r="CN6" s="129"/>
      <c r="CO6" s="129"/>
      <c r="CP6" s="129"/>
      <c r="CQ6" s="129"/>
      <c r="CR6" s="129"/>
      <c r="CS6" s="129" t="s">
        <v>476</v>
      </c>
    </row>
    <row r="7" spans="1:97" ht="15.75" hidden="1" customHeight="1">
      <c r="A7" s="126" t="s">
        <v>489</v>
      </c>
      <c r="B7" s="127" t="s">
        <v>476</v>
      </c>
      <c r="C7" s="129" t="s">
        <v>476</v>
      </c>
      <c r="D7" s="129" t="s">
        <v>476</v>
      </c>
      <c r="E7" s="129" t="s">
        <v>476</v>
      </c>
      <c r="F7" s="129" t="s">
        <v>476</v>
      </c>
      <c r="G7" s="129" t="s">
        <v>476</v>
      </c>
      <c r="H7" s="129" t="s">
        <v>476</v>
      </c>
      <c r="I7" s="129" t="s">
        <v>476</v>
      </c>
      <c r="J7" s="129" t="s">
        <v>476</v>
      </c>
      <c r="K7" s="129" t="s">
        <v>476</v>
      </c>
      <c r="L7" s="132" t="s">
        <v>487</v>
      </c>
      <c r="M7" s="129" t="s">
        <v>476</v>
      </c>
      <c r="N7" s="129" t="s">
        <v>476</v>
      </c>
      <c r="O7" s="129" t="s">
        <v>478</v>
      </c>
      <c r="P7" s="130" t="s">
        <v>476</v>
      </c>
      <c r="Q7" s="129" t="s">
        <v>476</v>
      </c>
      <c r="R7" s="129" t="s">
        <v>476</v>
      </c>
      <c r="S7" s="129" t="s">
        <v>476</v>
      </c>
      <c r="T7" s="129" t="s">
        <v>476</v>
      </c>
      <c r="U7" s="130" t="s">
        <v>490</v>
      </c>
      <c r="V7" s="129" t="s">
        <v>476</v>
      </c>
      <c r="W7" s="129" t="s">
        <v>476</v>
      </c>
      <c r="X7" s="129" t="s">
        <v>476</v>
      </c>
      <c r="Y7" s="129" t="s">
        <v>476</v>
      </c>
      <c r="Z7" s="129" t="s">
        <v>479</v>
      </c>
      <c r="AA7" s="129" t="s">
        <v>476</v>
      </c>
      <c r="AB7" s="129" t="s">
        <v>476</v>
      </c>
      <c r="AC7" s="129" t="s">
        <v>476</v>
      </c>
      <c r="AD7" s="129" t="s">
        <v>476</v>
      </c>
      <c r="AE7" s="156"/>
      <c r="AF7" s="129" t="s">
        <v>476</v>
      </c>
      <c r="AG7" s="129" t="s">
        <v>476</v>
      </c>
      <c r="AH7" s="129" t="s">
        <v>476</v>
      </c>
      <c r="AI7" s="129" t="s">
        <v>476</v>
      </c>
      <c r="AJ7" s="129" t="s">
        <v>476</v>
      </c>
      <c r="AK7" s="129" t="s">
        <v>476</v>
      </c>
      <c r="AL7" s="156"/>
      <c r="AM7" s="129" t="s">
        <v>476</v>
      </c>
      <c r="AN7" s="129" t="s">
        <v>476</v>
      </c>
      <c r="AO7" s="129" t="s">
        <v>476</v>
      </c>
      <c r="AP7" s="156"/>
      <c r="AQ7" s="129" t="s">
        <v>476</v>
      </c>
      <c r="AR7" s="129" t="s">
        <v>476</v>
      </c>
      <c r="AS7" s="156"/>
      <c r="AT7" s="129" t="s">
        <v>476</v>
      </c>
      <c r="AU7" s="129" t="s">
        <v>479</v>
      </c>
      <c r="AV7" s="129" t="s">
        <v>476</v>
      </c>
      <c r="AW7" s="129" t="s">
        <v>476</v>
      </c>
      <c r="AX7" s="129" t="s">
        <v>476</v>
      </c>
      <c r="AY7" s="156"/>
      <c r="AZ7" s="129" t="s">
        <v>476</v>
      </c>
      <c r="BA7" s="129" t="s">
        <v>476</v>
      </c>
      <c r="BB7" s="129" t="s">
        <v>476</v>
      </c>
      <c r="BC7" s="129" t="s">
        <v>476</v>
      </c>
      <c r="BD7" s="129" t="s">
        <v>476</v>
      </c>
      <c r="BE7" s="129" t="s">
        <v>476</v>
      </c>
      <c r="BF7" s="129" t="s">
        <v>476</v>
      </c>
      <c r="BG7" s="129" t="s">
        <v>476</v>
      </c>
      <c r="BH7" s="129" t="s">
        <v>476</v>
      </c>
      <c r="BI7" s="130" t="s">
        <v>476</v>
      </c>
      <c r="BJ7" s="156"/>
      <c r="BK7" s="130" t="s">
        <v>476</v>
      </c>
      <c r="BL7" s="130" t="s">
        <v>476</v>
      </c>
      <c r="BM7" s="129" t="s">
        <v>476</v>
      </c>
      <c r="BN7" s="130" t="s">
        <v>476</v>
      </c>
      <c r="BO7" s="129" t="s">
        <v>479</v>
      </c>
      <c r="BP7" s="129"/>
      <c r="BQ7" s="129"/>
      <c r="BR7" s="129"/>
      <c r="BS7" s="129"/>
      <c r="BT7" s="129"/>
      <c r="BU7" s="129" t="s">
        <v>476</v>
      </c>
      <c r="BV7" s="129" t="s">
        <v>476</v>
      </c>
      <c r="BW7" s="129" t="s">
        <v>476</v>
      </c>
      <c r="BX7" s="129" t="s">
        <v>476</v>
      </c>
      <c r="BY7" s="129"/>
      <c r="BZ7" s="129"/>
      <c r="CA7" s="129"/>
      <c r="CB7" s="129"/>
      <c r="CC7" s="129"/>
      <c r="CD7" s="129"/>
      <c r="CE7" s="129"/>
      <c r="CF7" s="129"/>
      <c r="CG7" s="129"/>
      <c r="CH7" s="129"/>
      <c r="CI7" s="156"/>
      <c r="CJ7" s="129"/>
      <c r="CK7" s="129"/>
      <c r="CL7" s="129"/>
      <c r="CM7" s="129"/>
      <c r="CN7" s="129"/>
      <c r="CO7" s="129"/>
      <c r="CP7" s="129"/>
      <c r="CQ7" s="129"/>
      <c r="CR7" s="129"/>
      <c r="CS7" s="129"/>
    </row>
    <row r="8" spans="1:97" ht="15.75" hidden="1" customHeight="1">
      <c r="A8" s="126" t="s">
        <v>491</v>
      </c>
      <c r="B8" s="127" t="s">
        <v>476</v>
      </c>
      <c r="C8" s="129" t="s">
        <v>476</v>
      </c>
      <c r="D8" s="129" t="s">
        <v>476</v>
      </c>
      <c r="E8" s="129" t="s">
        <v>476</v>
      </c>
      <c r="F8" s="129" t="s">
        <v>476</v>
      </c>
      <c r="G8" s="129" t="s">
        <v>476</v>
      </c>
      <c r="H8" s="129" t="s">
        <v>476</v>
      </c>
      <c r="I8" s="129" t="s">
        <v>476</v>
      </c>
      <c r="J8" s="129" t="s">
        <v>476</v>
      </c>
      <c r="K8" s="129" t="s">
        <v>476</v>
      </c>
      <c r="L8" s="129" t="s">
        <v>479</v>
      </c>
      <c r="M8" s="129" t="s">
        <v>476</v>
      </c>
      <c r="N8" s="129" t="s">
        <v>476</v>
      </c>
      <c r="O8" s="129" t="s">
        <v>478</v>
      </c>
      <c r="P8" s="130" t="s">
        <v>476</v>
      </c>
      <c r="Q8" s="129" t="s">
        <v>476</v>
      </c>
      <c r="R8" s="129" t="s">
        <v>476</v>
      </c>
      <c r="S8" s="129" t="s">
        <v>476</v>
      </c>
      <c r="T8" s="129" t="s">
        <v>476</v>
      </c>
      <c r="U8" s="130" t="s">
        <v>476</v>
      </c>
      <c r="V8" s="129" t="s">
        <v>476</v>
      </c>
      <c r="W8" s="129" t="s">
        <v>492</v>
      </c>
      <c r="X8" s="129" t="s">
        <v>476</v>
      </c>
      <c r="Y8" s="129" t="s">
        <v>476</v>
      </c>
      <c r="Z8" s="129" t="s">
        <v>476</v>
      </c>
      <c r="AA8" s="129" t="s">
        <v>476</v>
      </c>
      <c r="AB8" s="129" t="s">
        <v>479</v>
      </c>
      <c r="AC8" s="129" t="s">
        <v>476</v>
      </c>
      <c r="AD8" s="129" t="s">
        <v>476</v>
      </c>
      <c r="AE8" s="156"/>
      <c r="AF8" s="129" t="s">
        <v>476</v>
      </c>
      <c r="AG8" s="129" t="s">
        <v>476</v>
      </c>
      <c r="AH8" s="129" t="s">
        <v>476</v>
      </c>
      <c r="AI8" s="129" t="s">
        <v>476</v>
      </c>
      <c r="AJ8" s="129" t="s">
        <v>476</v>
      </c>
      <c r="AK8" s="129" t="s">
        <v>476</v>
      </c>
      <c r="AL8" s="156"/>
      <c r="AM8" s="129" t="s">
        <v>476</v>
      </c>
      <c r="AN8" s="129" t="s">
        <v>479</v>
      </c>
      <c r="AO8" s="129" t="s">
        <v>476</v>
      </c>
      <c r="AP8" s="156"/>
      <c r="AQ8" s="129" t="s">
        <v>476</v>
      </c>
      <c r="AR8" s="129" t="s">
        <v>476</v>
      </c>
      <c r="AS8" s="156"/>
      <c r="AT8" s="129" t="s">
        <v>476</v>
      </c>
      <c r="AU8" s="129" t="s">
        <v>476</v>
      </c>
      <c r="AV8" s="129" t="s">
        <v>476</v>
      </c>
      <c r="AW8" s="129" t="s">
        <v>476</v>
      </c>
      <c r="AX8" s="129" t="s">
        <v>476</v>
      </c>
      <c r="AY8" s="156"/>
      <c r="AZ8" s="129" t="s">
        <v>476</v>
      </c>
      <c r="BA8" s="129" t="s">
        <v>476</v>
      </c>
      <c r="BB8" s="129" t="s">
        <v>476</v>
      </c>
      <c r="BC8" s="129" t="s">
        <v>476</v>
      </c>
      <c r="BD8" s="129" t="s">
        <v>476</v>
      </c>
      <c r="BE8" s="129" t="s">
        <v>476</v>
      </c>
      <c r="BF8" s="129" t="s">
        <v>476</v>
      </c>
      <c r="BG8" s="129" t="s">
        <v>493</v>
      </c>
      <c r="BH8" s="129" t="s">
        <v>476</v>
      </c>
      <c r="BI8" s="130" t="s">
        <v>476</v>
      </c>
      <c r="BJ8" s="156"/>
      <c r="BK8" s="130" t="s">
        <v>476</v>
      </c>
      <c r="BL8" s="130" t="s">
        <v>476</v>
      </c>
      <c r="BM8" s="129" t="s">
        <v>476</v>
      </c>
      <c r="BN8" s="130" t="s">
        <v>476</v>
      </c>
      <c r="BO8" s="129" t="s">
        <v>476</v>
      </c>
      <c r="BP8" s="129" t="s">
        <v>476</v>
      </c>
      <c r="BQ8" s="129" t="s">
        <v>476</v>
      </c>
      <c r="BR8" s="129" t="s">
        <v>476</v>
      </c>
      <c r="BS8" s="129" t="s">
        <v>476</v>
      </c>
      <c r="BT8" s="129" t="s">
        <v>476</v>
      </c>
      <c r="BU8" s="129" t="s">
        <v>476</v>
      </c>
      <c r="BV8" s="129" t="s">
        <v>476</v>
      </c>
      <c r="BW8" s="129" t="s">
        <v>476</v>
      </c>
      <c r="BX8" s="129" t="s">
        <v>494</v>
      </c>
      <c r="BY8" s="129"/>
      <c r="BZ8" s="129"/>
      <c r="CA8" s="129"/>
      <c r="CB8" s="129"/>
      <c r="CC8" s="129"/>
      <c r="CD8" s="129"/>
      <c r="CE8" s="129"/>
      <c r="CF8" s="129"/>
      <c r="CG8" s="129"/>
      <c r="CH8" s="129"/>
      <c r="CI8" s="156"/>
      <c r="CJ8" s="129"/>
      <c r="CK8" s="129"/>
      <c r="CL8" s="129"/>
      <c r="CM8" s="129"/>
      <c r="CN8" s="129"/>
      <c r="CO8" s="129"/>
      <c r="CP8" s="129"/>
      <c r="CQ8" s="129"/>
      <c r="CR8" s="129"/>
      <c r="CS8" s="129"/>
    </row>
    <row r="9" spans="1:97" ht="15.75">
      <c r="A9" s="126" t="s">
        <v>495</v>
      </c>
      <c r="B9" s="127" t="s">
        <v>476</v>
      </c>
      <c r="C9" s="129" t="s">
        <v>476</v>
      </c>
      <c r="D9" s="129" t="s">
        <v>476</v>
      </c>
      <c r="E9" s="129" t="s">
        <v>476</v>
      </c>
      <c r="F9" s="129" t="s">
        <v>476</v>
      </c>
      <c r="G9" s="129" t="s">
        <v>476</v>
      </c>
      <c r="H9" s="129" t="s">
        <v>476</v>
      </c>
      <c r="I9" s="129" t="s">
        <v>476</v>
      </c>
      <c r="J9" s="129" t="s">
        <v>476</v>
      </c>
      <c r="K9" s="129" t="s">
        <v>476</v>
      </c>
      <c r="L9" s="129" t="s">
        <v>476</v>
      </c>
      <c r="M9" s="129" t="s">
        <v>476</v>
      </c>
      <c r="N9" s="129" t="s">
        <v>476</v>
      </c>
      <c r="O9" s="132" t="s">
        <v>487</v>
      </c>
      <c r="P9" s="130" t="s">
        <v>476</v>
      </c>
      <c r="Q9" s="129" t="s">
        <v>476</v>
      </c>
      <c r="R9" s="129" t="s">
        <v>476</v>
      </c>
      <c r="S9" s="129" t="s">
        <v>476</v>
      </c>
      <c r="T9" s="129" t="s">
        <v>476</v>
      </c>
      <c r="U9" s="130" t="s">
        <v>476</v>
      </c>
      <c r="V9" s="129" t="s">
        <v>476</v>
      </c>
      <c r="W9" s="129" t="s">
        <v>476</v>
      </c>
      <c r="X9" s="129" t="s">
        <v>476</v>
      </c>
      <c r="Y9" s="129" t="s">
        <v>476</v>
      </c>
      <c r="Z9" s="129" t="s">
        <v>476</v>
      </c>
      <c r="AA9" s="129" t="s">
        <v>476</v>
      </c>
      <c r="AB9" s="129" t="s">
        <v>476</v>
      </c>
      <c r="AC9" s="129" t="s">
        <v>476</v>
      </c>
      <c r="AD9" s="129" t="s">
        <v>476</v>
      </c>
      <c r="AE9" s="156"/>
      <c r="AF9" s="129" t="s">
        <v>476</v>
      </c>
      <c r="AG9" s="129" t="s">
        <v>476</v>
      </c>
      <c r="AH9" s="129" t="s">
        <v>476</v>
      </c>
      <c r="AI9" s="129" t="s">
        <v>476</v>
      </c>
      <c r="AJ9" s="129" t="s">
        <v>476</v>
      </c>
      <c r="AK9" s="129" t="s">
        <v>476</v>
      </c>
      <c r="AL9" s="156"/>
      <c r="AM9" s="129" t="s">
        <v>476</v>
      </c>
      <c r="AN9" s="129" t="s">
        <v>476</v>
      </c>
      <c r="AO9" s="129" t="s">
        <v>476</v>
      </c>
      <c r="AP9" s="156"/>
      <c r="AQ9" s="129" t="s">
        <v>476</v>
      </c>
      <c r="AR9" s="129" t="s">
        <v>476</v>
      </c>
      <c r="AS9" s="156"/>
      <c r="AT9" s="129" t="s">
        <v>476</v>
      </c>
      <c r="AU9" s="129" t="s">
        <v>476</v>
      </c>
      <c r="AV9" s="129" t="s">
        <v>476</v>
      </c>
      <c r="AW9" s="129" t="s">
        <v>476</v>
      </c>
      <c r="AX9" s="129" t="s">
        <v>476</v>
      </c>
      <c r="AY9" s="156"/>
      <c r="AZ9" s="129" t="s">
        <v>476</v>
      </c>
      <c r="BA9" s="129" t="s">
        <v>476</v>
      </c>
      <c r="BB9" s="129" t="s">
        <v>476</v>
      </c>
      <c r="BC9" s="129" t="s">
        <v>476</v>
      </c>
      <c r="BD9" s="129" t="s">
        <v>476</v>
      </c>
      <c r="BE9" s="129" t="s">
        <v>476</v>
      </c>
      <c r="BF9" s="129" t="s">
        <v>476</v>
      </c>
      <c r="BG9" s="129" t="s">
        <v>476</v>
      </c>
      <c r="BH9" s="129" t="s">
        <v>476</v>
      </c>
      <c r="BI9" s="130" t="s">
        <v>476</v>
      </c>
      <c r="BJ9" s="156"/>
      <c r="BK9" s="130" t="s">
        <v>476</v>
      </c>
      <c r="BL9" s="130" t="s">
        <v>476</v>
      </c>
      <c r="BM9" s="129" t="s">
        <v>476</v>
      </c>
      <c r="BN9" s="130" t="s">
        <v>476</v>
      </c>
      <c r="BO9" s="129" t="s">
        <v>476</v>
      </c>
      <c r="BP9" s="129" t="s">
        <v>476</v>
      </c>
      <c r="BQ9" s="129" t="s">
        <v>476</v>
      </c>
      <c r="BR9" s="129" t="s">
        <v>476</v>
      </c>
      <c r="BS9" s="129" t="s">
        <v>476</v>
      </c>
      <c r="BT9" s="129" t="s">
        <v>476</v>
      </c>
      <c r="BU9" s="129" t="s">
        <v>476</v>
      </c>
      <c r="BV9" s="129" t="s">
        <v>476</v>
      </c>
      <c r="BW9" s="129" t="s">
        <v>476</v>
      </c>
      <c r="BX9" s="129" t="s">
        <v>476</v>
      </c>
      <c r="BY9" s="129" t="s">
        <v>476</v>
      </c>
      <c r="BZ9" s="129" t="s">
        <v>476</v>
      </c>
      <c r="CA9" s="129" t="s">
        <v>476</v>
      </c>
      <c r="CB9" s="129" t="s">
        <v>476</v>
      </c>
      <c r="CC9" s="129" t="s">
        <v>476</v>
      </c>
      <c r="CD9" s="129" t="s">
        <v>476</v>
      </c>
      <c r="CE9" s="129" t="s">
        <v>476</v>
      </c>
      <c r="CF9" s="129" t="s">
        <v>476</v>
      </c>
      <c r="CG9" s="129"/>
      <c r="CH9" s="129"/>
      <c r="CI9" s="156"/>
      <c r="CJ9" s="129"/>
      <c r="CK9" s="129"/>
      <c r="CL9" s="129"/>
      <c r="CM9" s="129"/>
      <c r="CN9" s="129"/>
      <c r="CO9" s="129"/>
      <c r="CP9" s="129"/>
      <c r="CQ9" s="129"/>
      <c r="CR9" s="129"/>
      <c r="CS9" s="129" t="s">
        <v>476</v>
      </c>
    </row>
    <row r="10" spans="1:97" ht="15.75">
      <c r="A10" s="126" t="s">
        <v>496</v>
      </c>
      <c r="B10" s="127" t="s">
        <v>476</v>
      </c>
      <c r="C10" s="129" t="s">
        <v>476</v>
      </c>
      <c r="D10" s="129" t="s">
        <v>476</v>
      </c>
      <c r="E10" s="129" t="s">
        <v>476</v>
      </c>
      <c r="F10" s="129" t="s">
        <v>476</v>
      </c>
      <c r="G10" s="129" t="s">
        <v>476</v>
      </c>
      <c r="H10" s="129" t="s">
        <v>476</v>
      </c>
      <c r="I10" s="129" t="s">
        <v>479</v>
      </c>
      <c r="J10" s="129" t="s">
        <v>476</v>
      </c>
      <c r="K10" s="129" t="s">
        <v>479</v>
      </c>
      <c r="L10" s="129" t="s">
        <v>476</v>
      </c>
      <c r="M10" s="129" t="s">
        <v>476</v>
      </c>
      <c r="N10" s="129" t="s">
        <v>479</v>
      </c>
      <c r="O10" s="129" t="s">
        <v>478</v>
      </c>
      <c r="P10" s="130" t="s">
        <v>479</v>
      </c>
      <c r="Q10" s="129" t="s">
        <v>479</v>
      </c>
      <c r="R10" s="129" t="s">
        <v>476</v>
      </c>
      <c r="S10" s="129" t="s">
        <v>476</v>
      </c>
      <c r="T10" s="129" t="s">
        <v>476</v>
      </c>
      <c r="U10" s="130" t="s">
        <v>479</v>
      </c>
      <c r="V10" s="129" t="s">
        <v>476</v>
      </c>
      <c r="W10" s="129" t="s">
        <v>476</v>
      </c>
      <c r="X10" s="129" t="s">
        <v>476</v>
      </c>
      <c r="Y10" s="129" t="s">
        <v>476</v>
      </c>
      <c r="Z10" s="129" t="s">
        <v>476</v>
      </c>
      <c r="AA10" s="129" t="s">
        <v>476</v>
      </c>
      <c r="AB10" s="129" t="s">
        <v>476</v>
      </c>
      <c r="AC10" s="129" t="s">
        <v>476</v>
      </c>
      <c r="AD10" s="129" t="s">
        <v>476</v>
      </c>
      <c r="AE10" s="156"/>
      <c r="AF10" s="129" t="s">
        <v>476</v>
      </c>
      <c r="AG10" s="129" t="s">
        <v>476</v>
      </c>
      <c r="AH10" s="129" t="s">
        <v>476</v>
      </c>
      <c r="AI10" s="129" t="s">
        <v>476</v>
      </c>
      <c r="AJ10" s="129" t="s">
        <v>476</v>
      </c>
      <c r="AK10" s="129" t="s">
        <v>479</v>
      </c>
      <c r="AL10" s="156"/>
      <c r="AM10" s="129" t="s">
        <v>479</v>
      </c>
      <c r="AN10" s="129" t="s">
        <v>476</v>
      </c>
      <c r="AO10" s="129" t="s">
        <v>476</v>
      </c>
      <c r="AP10" s="156"/>
      <c r="AQ10" s="129" t="s">
        <v>476</v>
      </c>
      <c r="AR10" s="129" t="s">
        <v>476</v>
      </c>
      <c r="AS10" s="156"/>
      <c r="AT10" s="129" t="s">
        <v>476</v>
      </c>
      <c r="AU10" s="129" t="s">
        <v>476</v>
      </c>
      <c r="AV10" s="129" t="s">
        <v>476</v>
      </c>
      <c r="AW10" s="129" t="s">
        <v>476</v>
      </c>
      <c r="AX10" s="129" t="s">
        <v>476</v>
      </c>
      <c r="AY10" s="156"/>
      <c r="AZ10" s="129" t="s">
        <v>476</v>
      </c>
      <c r="BA10" s="129" t="s">
        <v>479</v>
      </c>
      <c r="BB10" s="129" t="s">
        <v>479</v>
      </c>
      <c r="BC10" s="129" t="s">
        <v>479</v>
      </c>
      <c r="BD10" s="129" t="s">
        <v>479</v>
      </c>
      <c r="BE10" s="129" t="s">
        <v>479</v>
      </c>
      <c r="BF10" s="129" t="s">
        <v>476</v>
      </c>
      <c r="BG10" s="129" t="s">
        <v>476</v>
      </c>
      <c r="BH10" s="129" t="s">
        <v>476</v>
      </c>
      <c r="BI10" s="130" t="s">
        <v>476</v>
      </c>
      <c r="BJ10" s="156"/>
      <c r="BK10" s="130" t="s">
        <v>476</v>
      </c>
      <c r="BL10" s="130" t="s">
        <v>476</v>
      </c>
      <c r="BM10" s="129" t="s">
        <v>476</v>
      </c>
      <c r="BN10" s="130" t="s">
        <v>476</v>
      </c>
      <c r="BO10" s="129" t="s">
        <v>476</v>
      </c>
      <c r="BP10" s="129" t="s">
        <v>476</v>
      </c>
      <c r="BQ10" s="129" t="s">
        <v>476</v>
      </c>
      <c r="BR10" s="129" t="s">
        <v>476</v>
      </c>
      <c r="BS10" s="129" t="s">
        <v>476</v>
      </c>
      <c r="BT10" s="129" t="s">
        <v>476</v>
      </c>
      <c r="BU10" s="129" t="s">
        <v>476</v>
      </c>
      <c r="BV10" s="129" t="s">
        <v>476</v>
      </c>
      <c r="BW10" s="129" t="s">
        <v>479</v>
      </c>
      <c r="BX10" s="129" t="s">
        <v>476</v>
      </c>
      <c r="BY10" s="129" t="s">
        <v>476</v>
      </c>
      <c r="BZ10" s="129" t="s">
        <v>476</v>
      </c>
      <c r="CA10" s="129" t="s">
        <v>476</v>
      </c>
      <c r="CB10" s="129" t="s">
        <v>476</v>
      </c>
      <c r="CC10" s="129" t="s">
        <v>476</v>
      </c>
      <c r="CD10" s="129" t="s">
        <v>476</v>
      </c>
      <c r="CE10" s="129" t="s">
        <v>476</v>
      </c>
      <c r="CF10" s="129" t="s">
        <v>476</v>
      </c>
      <c r="CG10" s="129"/>
      <c r="CH10" s="129"/>
      <c r="CI10" s="156"/>
      <c r="CJ10" s="129"/>
      <c r="CK10" s="129"/>
      <c r="CL10" s="129"/>
      <c r="CM10" s="129"/>
      <c r="CN10" s="129"/>
      <c r="CO10" s="129"/>
      <c r="CP10" s="129"/>
      <c r="CQ10" s="129"/>
      <c r="CR10" s="129"/>
      <c r="CS10" s="129" t="s">
        <v>476</v>
      </c>
    </row>
    <row r="11" spans="1:97" ht="15.75">
      <c r="A11" s="126" t="s">
        <v>497</v>
      </c>
      <c r="B11" s="127" t="s">
        <v>476</v>
      </c>
      <c r="C11" s="129" t="s">
        <v>476</v>
      </c>
      <c r="D11" s="129" t="s">
        <v>476</v>
      </c>
      <c r="E11" s="129" t="s">
        <v>476</v>
      </c>
      <c r="F11" s="129" t="s">
        <v>476</v>
      </c>
      <c r="G11" s="129" t="s">
        <v>476</v>
      </c>
      <c r="H11" s="129" t="s">
        <v>476</v>
      </c>
      <c r="I11" s="129" t="s">
        <v>476</v>
      </c>
      <c r="J11" s="129" t="s">
        <v>498</v>
      </c>
      <c r="K11" s="129" t="s">
        <v>479</v>
      </c>
      <c r="L11" s="129" t="s">
        <v>476</v>
      </c>
      <c r="M11" s="129" t="s">
        <v>479</v>
      </c>
      <c r="N11" s="129" t="s">
        <v>476</v>
      </c>
      <c r="O11" s="129" t="s">
        <v>478</v>
      </c>
      <c r="P11" s="130" t="s">
        <v>476</v>
      </c>
      <c r="Q11" s="129" t="s">
        <v>476</v>
      </c>
      <c r="R11" s="129" t="s">
        <v>476</v>
      </c>
      <c r="S11" s="129" t="s">
        <v>479</v>
      </c>
      <c r="T11" s="129" t="s">
        <v>479</v>
      </c>
      <c r="U11" s="130" t="s">
        <v>479</v>
      </c>
      <c r="V11" s="129" t="s">
        <v>476</v>
      </c>
      <c r="W11" s="129" t="s">
        <v>476</v>
      </c>
      <c r="X11" s="129" t="s">
        <v>476</v>
      </c>
      <c r="Y11" s="129" t="s">
        <v>476</v>
      </c>
      <c r="Z11" s="129" t="s">
        <v>476</v>
      </c>
      <c r="AA11" s="129" t="s">
        <v>476</v>
      </c>
      <c r="AB11" s="129" t="s">
        <v>476</v>
      </c>
      <c r="AC11" s="129" t="s">
        <v>476</v>
      </c>
      <c r="AD11" s="129" t="s">
        <v>479</v>
      </c>
      <c r="AE11" s="156"/>
      <c r="AF11" s="129" t="s">
        <v>476</v>
      </c>
      <c r="AG11" s="129" t="s">
        <v>476</v>
      </c>
      <c r="AH11" s="129" t="s">
        <v>476</v>
      </c>
      <c r="AI11" s="129" t="s">
        <v>476</v>
      </c>
      <c r="AJ11" s="129" t="s">
        <v>476</v>
      </c>
      <c r="AK11" s="129" t="s">
        <v>476</v>
      </c>
      <c r="AL11" s="156"/>
      <c r="AM11" s="129" t="s">
        <v>476</v>
      </c>
      <c r="AN11" s="129" t="s">
        <v>476</v>
      </c>
      <c r="AO11" s="129" t="s">
        <v>476</v>
      </c>
      <c r="AP11" s="156"/>
      <c r="AQ11" s="129" t="s">
        <v>476</v>
      </c>
      <c r="AR11" s="129" t="s">
        <v>476</v>
      </c>
      <c r="AS11" s="156"/>
      <c r="AT11" s="129" t="s">
        <v>476</v>
      </c>
      <c r="AU11" s="129" t="s">
        <v>479</v>
      </c>
      <c r="AV11" s="129" t="s">
        <v>479</v>
      </c>
      <c r="AW11" s="129" t="s">
        <v>476</v>
      </c>
      <c r="AX11" s="129" t="s">
        <v>476</v>
      </c>
      <c r="AY11" s="156"/>
      <c r="AZ11" s="129" t="s">
        <v>479</v>
      </c>
      <c r="BA11" s="129" t="s">
        <v>476</v>
      </c>
      <c r="BB11" s="129" t="s">
        <v>476</v>
      </c>
      <c r="BC11" s="129" t="s">
        <v>476</v>
      </c>
      <c r="BD11" s="129" t="s">
        <v>476</v>
      </c>
      <c r="BE11" s="129" t="s">
        <v>479</v>
      </c>
      <c r="BF11" s="129" t="s">
        <v>479</v>
      </c>
      <c r="BG11" s="129" t="s">
        <v>479</v>
      </c>
      <c r="BH11" s="129" t="s">
        <v>476</v>
      </c>
      <c r="BI11" s="130" t="s">
        <v>476</v>
      </c>
      <c r="BJ11" s="156"/>
      <c r="BK11" s="130" t="s">
        <v>476</v>
      </c>
      <c r="BL11" s="130" t="s">
        <v>476</v>
      </c>
      <c r="BM11" s="129" t="s">
        <v>476</v>
      </c>
      <c r="BN11" s="130" t="s">
        <v>476</v>
      </c>
      <c r="BO11" s="129" t="s">
        <v>479</v>
      </c>
      <c r="BP11" s="129" t="s">
        <v>476</v>
      </c>
      <c r="BQ11" s="129" t="s">
        <v>476</v>
      </c>
      <c r="BR11" s="129" t="s">
        <v>499</v>
      </c>
      <c r="BS11" s="129" t="s">
        <v>476</v>
      </c>
      <c r="BT11" s="129" t="s">
        <v>476</v>
      </c>
      <c r="BU11" s="129" t="s">
        <v>476</v>
      </c>
      <c r="BV11" s="129" t="s">
        <v>476</v>
      </c>
      <c r="BW11" s="129" t="s">
        <v>476</v>
      </c>
      <c r="BX11" s="129" t="s">
        <v>476</v>
      </c>
      <c r="BY11" s="129" t="s">
        <v>476</v>
      </c>
      <c r="BZ11" s="129" t="s">
        <v>476</v>
      </c>
      <c r="CA11" s="129" t="s">
        <v>476</v>
      </c>
      <c r="CB11" s="129" t="s">
        <v>479</v>
      </c>
      <c r="CC11" s="129" t="s">
        <v>479</v>
      </c>
      <c r="CD11" s="129" t="s">
        <v>476</v>
      </c>
      <c r="CE11" s="129" t="s">
        <v>476</v>
      </c>
      <c r="CF11" s="129" t="s">
        <v>476</v>
      </c>
      <c r="CG11" s="129"/>
      <c r="CH11" s="129"/>
      <c r="CI11" s="156"/>
      <c r="CJ11" s="129"/>
      <c r="CK11" s="129"/>
      <c r="CL11" s="129"/>
      <c r="CM11" s="129"/>
      <c r="CN11" s="129"/>
      <c r="CO11" s="129"/>
      <c r="CP11" s="129"/>
      <c r="CQ11" s="129"/>
      <c r="CR11" s="129"/>
      <c r="CS11" s="129" t="s">
        <v>476</v>
      </c>
    </row>
    <row r="12" spans="1:97" ht="15.75">
      <c r="A12" s="126" t="s">
        <v>500</v>
      </c>
      <c r="B12" s="127" t="s">
        <v>476</v>
      </c>
      <c r="C12" s="129" t="s">
        <v>479</v>
      </c>
      <c r="D12" s="129" t="s">
        <v>476</v>
      </c>
      <c r="E12" s="129" t="s">
        <v>476</v>
      </c>
      <c r="F12" s="129" t="s">
        <v>479</v>
      </c>
      <c r="G12" s="129" t="s">
        <v>479</v>
      </c>
      <c r="H12" s="129" t="s">
        <v>476</v>
      </c>
      <c r="I12" s="129" t="s">
        <v>479</v>
      </c>
      <c r="J12" s="129" t="s">
        <v>476</v>
      </c>
      <c r="K12" s="129" t="s">
        <v>479</v>
      </c>
      <c r="L12" s="129" t="s">
        <v>476</v>
      </c>
      <c r="M12" s="129" t="s">
        <v>479</v>
      </c>
      <c r="N12" s="129" t="s">
        <v>479</v>
      </c>
      <c r="O12" s="129" t="s">
        <v>478</v>
      </c>
      <c r="P12" s="130" t="s">
        <v>476</v>
      </c>
      <c r="Q12" s="129" t="s">
        <v>479</v>
      </c>
      <c r="R12" s="129" t="s">
        <v>479</v>
      </c>
      <c r="S12" s="129" t="s">
        <v>479</v>
      </c>
      <c r="T12" s="129" t="s">
        <v>479</v>
      </c>
      <c r="U12" s="130" t="s">
        <v>479</v>
      </c>
      <c r="V12" s="129" t="s">
        <v>479</v>
      </c>
      <c r="W12" s="129" t="s">
        <v>476</v>
      </c>
      <c r="X12" s="129" t="s">
        <v>479</v>
      </c>
      <c r="Y12" s="129" t="s">
        <v>479</v>
      </c>
      <c r="Z12" s="129" t="s">
        <v>476</v>
      </c>
      <c r="AA12" s="129" t="s">
        <v>479</v>
      </c>
      <c r="AB12" s="129" t="s">
        <v>479</v>
      </c>
      <c r="AC12" s="129" t="s">
        <v>476</v>
      </c>
      <c r="AD12" s="129" t="s">
        <v>479</v>
      </c>
      <c r="AE12" s="156"/>
      <c r="AF12" s="129" t="s">
        <v>479</v>
      </c>
      <c r="AG12" s="129" t="s">
        <v>479</v>
      </c>
      <c r="AH12" s="129" t="s">
        <v>479</v>
      </c>
      <c r="AI12" s="129" t="s">
        <v>479</v>
      </c>
      <c r="AJ12" s="129" t="s">
        <v>476</v>
      </c>
      <c r="AK12" s="129" t="s">
        <v>476</v>
      </c>
      <c r="AL12" s="156"/>
      <c r="AM12" s="129" t="s">
        <v>479</v>
      </c>
      <c r="AN12" s="129" t="s">
        <v>479</v>
      </c>
      <c r="AO12" s="129" t="s">
        <v>479</v>
      </c>
      <c r="AP12" s="156"/>
      <c r="AQ12" s="129" t="s">
        <v>479</v>
      </c>
      <c r="AR12" s="129" t="s">
        <v>479</v>
      </c>
      <c r="AS12" s="156"/>
      <c r="AT12" s="129" t="s">
        <v>479</v>
      </c>
      <c r="AU12" s="129" t="s">
        <v>479</v>
      </c>
      <c r="AV12" s="129" t="s">
        <v>476</v>
      </c>
      <c r="AW12" s="129" t="s">
        <v>476</v>
      </c>
      <c r="AX12" s="129" t="s">
        <v>479</v>
      </c>
      <c r="AY12" s="156"/>
      <c r="AZ12" s="129" t="s">
        <v>479</v>
      </c>
      <c r="BA12" s="129" t="s">
        <v>479</v>
      </c>
      <c r="BB12" s="129" t="s">
        <v>479</v>
      </c>
      <c r="BC12" s="129" t="s">
        <v>476</v>
      </c>
      <c r="BD12" s="129" t="s">
        <v>479</v>
      </c>
      <c r="BE12" s="129" t="s">
        <v>476</v>
      </c>
      <c r="BF12" s="129" t="s">
        <v>479</v>
      </c>
      <c r="BG12" s="129" t="s">
        <v>479</v>
      </c>
      <c r="BH12" s="129" t="s">
        <v>476</v>
      </c>
      <c r="BI12" s="130" t="s">
        <v>479</v>
      </c>
      <c r="BJ12" s="156"/>
      <c r="BK12" s="130" t="s">
        <v>479</v>
      </c>
      <c r="BL12" s="130" t="s">
        <v>479</v>
      </c>
      <c r="BM12" s="129" t="s">
        <v>476</v>
      </c>
      <c r="BN12" s="130" t="s">
        <v>479</v>
      </c>
      <c r="BO12" s="129" t="s">
        <v>479</v>
      </c>
      <c r="BP12" s="129" t="s">
        <v>479</v>
      </c>
      <c r="BQ12" s="129" t="s">
        <v>479</v>
      </c>
      <c r="BR12" s="129" t="s">
        <v>476</v>
      </c>
      <c r="BS12" s="129" t="s">
        <v>479</v>
      </c>
      <c r="BT12" s="129" t="s">
        <v>479</v>
      </c>
      <c r="BU12" s="129" t="s">
        <v>476</v>
      </c>
      <c r="BV12" s="129" t="s">
        <v>476</v>
      </c>
      <c r="BW12" s="129" t="s">
        <v>479</v>
      </c>
      <c r="BX12" s="129" t="s">
        <v>479</v>
      </c>
      <c r="BY12" s="129" t="s">
        <v>476</v>
      </c>
      <c r="BZ12" s="129" t="s">
        <v>479</v>
      </c>
      <c r="CA12" s="129" t="s">
        <v>479</v>
      </c>
      <c r="CB12" s="129" t="s">
        <v>476</v>
      </c>
      <c r="CC12" s="129" t="s">
        <v>479</v>
      </c>
      <c r="CD12" s="129" t="s">
        <v>479</v>
      </c>
      <c r="CE12" s="129" t="s">
        <v>476</v>
      </c>
      <c r="CF12" s="129" t="s">
        <v>479</v>
      </c>
      <c r="CG12" s="129"/>
      <c r="CH12" s="129"/>
      <c r="CI12" s="156"/>
      <c r="CJ12" s="129"/>
      <c r="CK12" s="129"/>
      <c r="CL12" s="129"/>
      <c r="CM12" s="129"/>
      <c r="CN12" s="129"/>
      <c r="CO12" s="129"/>
      <c r="CP12" s="129"/>
      <c r="CQ12" s="129"/>
      <c r="CR12" s="129"/>
      <c r="CS12" s="129" t="s">
        <v>479</v>
      </c>
    </row>
    <row r="13" spans="1:97" ht="15.75">
      <c r="A13" s="126" t="s">
        <v>501</v>
      </c>
      <c r="B13" s="127" t="s">
        <v>476</v>
      </c>
      <c r="C13" s="129" t="s">
        <v>479</v>
      </c>
      <c r="D13" s="129" t="s">
        <v>479</v>
      </c>
      <c r="E13" s="129" t="s">
        <v>479</v>
      </c>
      <c r="F13" s="129" t="s">
        <v>479</v>
      </c>
      <c r="G13" s="129" t="s">
        <v>479</v>
      </c>
      <c r="H13" s="129" t="s">
        <v>479</v>
      </c>
      <c r="I13" s="129" t="s">
        <v>479</v>
      </c>
      <c r="J13" s="129" t="s">
        <v>476</v>
      </c>
      <c r="K13" s="129" t="s">
        <v>479</v>
      </c>
      <c r="L13" s="129" t="s">
        <v>479</v>
      </c>
      <c r="M13" s="129" t="s">
        <v>476</v>
      </c>
      <c r="N13" s="129" t="s">
        <v>479</v>
      </c>
      <c r="O13" s="129" t="s">
        <v>478</v>
      </c>
      <c r="P13" s="130" t="s">
        <v>479</v>
      </c>
      <c r="Q13" s="129" t="s">
        <v>479</v>
      </c>
      <c r="R13" s="129" t="s">
        <v>479</v>
      </c>
      <c r="S13" s="129" t="s">
        <v>479</v>
      </c>
      <c r="T13" s="129" t="s">
        <v>479</v>
      </c>
      <c r="U13" s="130" t="s">
        <v>479</v>
      </c>
      <c r="V13" s="129" t="s">
        <v>476</v>
      </c>
      <c r="W13" s="129" t="s">
        <v>479</v>
      </c>
      <c r="X13" s="129" t="s">
        <v>479</v>
      </c>
      <c r="Y13" s="129" t="s">
        <v>479</v>
      </c>
      <c r="Z13" s="129" t="s">
        <v>479</v>
      </c>
      <c r="AA13" s="129" t="s">
        <v>479</v>
      </c>
      <c r="AB13" s="129" t="s">
        <v>479</v>
      </c>
      <c r="AC13" s="129" t="s">
        <v>476</v>
      </c>
      <c r="AD13" s="129" t="s">
        <v>479</v>
      </c>
      <c r="AE13" s="157"/>
      <c r="AF13" s="129" t="s">
        <v>479</v>
      </c>
      <c r="AG13" s="129" t="s">
        <v>479</v>
      </c>
      <c r="AH13" s="129" t="s">
        <v>479</v>
      </c>
      <c r="AI13" s="129" t="s">
        <v>476</v>
      </c>
      <c r="AJ13" s="129" t="s">
        <v>479</v>
      </c>
      <c r="AK13" s="129" t="s">
        <v>479</v>
      </c>
      <c r="AL13" s="157"/>
      <c r="AM13" s="129" t="s">
        <v>479</v>
      </c>
      <c r="AN13" s="129" t="s">
        <v>479</v>
      </c>
      <c r="AO13" s="129" t="s">
        <v>479</v>
      </c>
      <c r="AP13" s="157"/>
      <c r="AQ13" s="129" t="s">
        <v>479</v>
      </c>
      <c r="AR13" s="129" t="s">
        <v>479</v>
      </c>
      <c r="AS13" s="157"/>
      <c r="AT13" s="129" t="s">
        <v>479</v>
      </c>
      <c r="AU13" s="129" t="s">
        <v>479</v>
      </c>
      <c r="AV13" s="129" t="s">
        <v>479</v>
      </c>
      <c r="AW13" s="129" t="s">
        <v>479</v>
      </c>
      <c r="AX13" s="129" t="s">
        <v>479</v>
      </c>
      <c r="AY13" s="157"/>
      <c r="AZ13" s="129" t="s">
        <v>479</v>
      </c>
      <c r="BA13" s="129" t="s">
        <v>479</v>
      </c>
      <c r="BB13" s="129" t="s">
        <v>479</v>
      </c>
      <c r="BC13" s="129" t="s">
        <v>479</v>
      </c>
      <c r="BD13" s="129" t="s">
        <v>479</v>
      </c>
      <c r="BE13" s="129" t="s">
        <v>479</v>
      </c>
      <c r="BF13" s="129" t="s">
        <v>479</v>
      </c>
      <c r="BG13" s="129" t="s">
        <v>479</v>
      </c>
      <c r="BH13" s="129" t="s">
        <v>479</v>
      </c>
      <c r="BI13" s="130" t="s">
        <v>479</v>
      </c>
      <c r="BJ13" s="157"/>
      <c r="BK13" s="130" t="s">
        <v>479</v>
      </c>
      <c r="BL13" s="130" t="s">
        <v>479</v>
      </c>
      <c r="BM13" s="129" t="s">
        <v>479</v>
      </c>
      <c r="BN13" s="130" t="s">
        <v>479</v>
      </c>
      <c r="BO13" s="129" t="s">
        <v>479</v>
      </c>
      <c r="BP13" s="129" t="s">
        <v>479</v>
      </c>
      <c r="BQ13" s="129" t="s">
        <v>479</v>
      </c>
      <c r="BR13" s="129" t="s">
        <v>499</v>
      </c>
      <c r="BS13" s="129" t="s">
        <v>479</v>
      </c>
      <c r="BT13" s="129" t="s">
        <v>479</v>
      </c>
      <c r="BU13" s="129" t="s">
        <v>479</v>
      </c>
      <c r="BV13" s="129" t="s">
        <v>479</v>
      </c>
      <c r="BW13" s="129" t="s">
        <v>479</v>
      </c>
      <c r="BX13" s="129" t="s">
        <v>479</v>
      </c>
      <c r="BY13" s="129" t="s">
        <v>479</v>
      </c>
      <c r="BZ13" s="129" t="s">
        <v>479</v>
      </c>
      <c r="CA13" s="129" t="s">
        <v>479</v>
      </c>
      <c r="CB13" s="129" t="s">
        <v>479</v>
      </c>
      <c r="CC13" s="129" t="s">
        <v>479</v>
      </c>
      <c r="CD13" s="129" t="s">
        <v>476</v>
      </c>
      <c r="CE13" s="129" t="s">
        <v>476</v>
      </c>
      <c r="CF13" s="129" t="s">
        <v>476</v>
      </c>
      <c r="CG13" s="129"/>
      <c r="CH13" s="129"/>
      <c r="CI13" s="157"/>
      <c r="CJ13" s="129"/>
      <c r="CK13" s="129"/>
      <c r="CL13" s="129"/>
      <c r="CM13" s="129"/>
      <c r="CN13" s="129"/>
      <c r="CO13" s="129"/>
      <c r="CP13" s="129"/>
      <c r="CQ13" s="129"/>
      <c r="CR13" s="129"/>
      <c r="CS13" s="129" t="s">
        <v>479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J4:BJ13"/>
    <mergeCell ref="CI4:CI13"/>
    <mergeCell ref="AE4:AE13"/>
    <mergeCell ref="AL4:AL13"/>
    <mergeCell ref="AP4:AP13"/>
    <mergeCell ref="AS4:AS13"/>
    <mergeCell ref="AY4:AY1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1.21875" defaultRowHeight="15" customHeight="1"/>
  <cols>
    <col min="1" max="1" width="13.109375" customWidth="1"/>
    <col min="2" max="2" width="35.77734375" customWidth="1"/>
    <col min="3" max="3" width="17.109375" customWidth="1"/>
    <col min="4" max="4" width="11.109375" customWidth="1"/>
    <col min="5" max="5" width="10.6640625" customWidth="1"/>
    <col min="7" max="7" width="10" customWidth="1"/>
    <col min="8" max="8" width="9.88671875" customWidth="1"/>
    <col min="9" max="9" width="4.77734375" customWidth="1"/>
    <col min="10" max="10" width="9.88671875" customWidth="1"/>
    <col min="11" max="11" width="13.33203125" customWidth="1"/>
    <col min="12" max="12" width="66.6640625" customWidth="1"/>
    <col min="13" max="26" width="10.5546875" customWidth="1"/>
  </cols>
  <sheetData>
    <row r="1" spans="1:26" ht="25.5">
      <c r="A1" s="133" t="s">
        <v>502</v>
      </c>
      <c r="B1" s="133" t="s">
        <v>2</v>
      </c>
      <c r="C1" s="133" t="s">
        <v>4</v>
      </c>
      <c r="D1" s="133" t="s">
        <v>5</v>
      </c>
      <c r="E1" s="134" t="s">
        <v>8</v>
      </c>
      <c r="F1" s="134" t="s">
        <v>9</v>
      </c>
      <c r="G1" s="135" t="s">
        <v>10</v>
      </c>
      <c r="H1" s="134" t="s">
        <v>11</v>
      </c>
      <c r="I1" s="136" t="s">
        <v>414</v>
      </c>
      <c r="J1" s="137" t="s">
        <v>503</v>
      </c>
      <c r="K1" s="138" t="s">
        <v>504</v>
      </c>
      <c r="L1" s="136" t="s">
        <v>505</v>
      </c>
      <c r="M1" s="139"/>
      <c r="N1" s="139"/>
      <c r="O1" s="139"/>
      <c r="P1" s="139"/>
      <c r="Q1" s="139"/>
      <c r="R1" s="139"/>
      <c r="S1" s="139"/>
      <c r="T1" s="139"/>
      <c r="U1" s="139"/>
      <c r="V1" s="139"/>
      <c r="W1" s="139"/>
      <c r="X1" s="139"/>
      <c r="Y1" s="139"/>
      <c r="Z1" s="139"/>
    </row>
    <row r="2" spans="1:26" ht="38.25">
      <c r="A2" s="140" t="s">
        <v>506</v>
      </c>
      <c r="B2" s="141" t="s">
        <v>507</v>
      </c>
      <c r="C2" s="142"/>
      <c r="D2" s="142" t="s">
        <v>22</v>
      </c>
      <c r="E2" s="143">
        <v>45567</v>
      </c>
      <c r="F2" s="143">
        <v>45567</v>
      </c>
      <c r="G2" s="143">
        <v>45568</v>
      </c>
      <c r="H2" s="143">
        <v>45569</v>
      </c>
      <c r="I2" s="144">
        <f ca="1">IF(ISBLANK(H2), NETWORKDAYS(F2, TODAY(),Hoja2!$A$1:$A$18), NETWORKDAYS(F2, H2, Hoja2!$A$1:$A$18))</f>
        <v>3</v>
      </c>
      <c r="J2" s="143">
        <v>45572</v>
      </c>
      <c r="K2" s="145"/>
      <c r="L2" s="146" t="s">
        <v>508</v>
      </c>
      <c r="M2" s="139"/>
      <c r="N2" s="139"/>
      <c r="O2" s="139"/>
      <c r="P2" s="139"/>
      <c r="Q2" s="139"/>
      <c r="R2" s="139"/>
      <c r="S2" s="139"/>
      <c r="T2" s="139"/>
      <c r="U2" s="139"/>
      <c r="V2" s="139"/>
      <c r="W2" s="139"/>
      <c r="X2" s="139"/>
      <c r="Y2" s="139"/>
      <c r="Z2" s="139"/>
    </row>
    <row r="3" spans="1:26" ht="51">
      <c r="A3" s="140" t="s">
        <v>495</v>
      </c>
      <c r="B3" s="158" t="s">
        <v>509</v>
      </c>
      <c r="C3" s="147" t="s">
        <v>510</v>
      </c>
      <c r="D3" s="142" t="s">
        <v>511</v>
      </c>
      <c r="E3" s="143">
        <v>45575</v>
      </c>
      <c r="F3" s="143"/>
      <c r="G3" s="143"/>
      <c r="H3" s="145">
        <v>0</v>
      </c>
      <c r="I3" s="144">
        <f ca="1">IF(ISBLANK(H3), NETWORKDAYS(F3, TODAY(),Hoja2!$A$1:$A$18), NETWORKDAYS(F3, H3, Hoja2!$A$1:$A$18))</f>
        <v>0</v>
      </c>
      <c r="J3" s="143">
        <v>45569</v>
      </c>
      <c r="K3" s="143"/>
      <c r="L3" s="146" t="s">
        <v>512</v>
      </c>
      <c r="M3" s="148"/>
      <c r="N3" s="139"/>
      <c r="O3" s="139"/>
      <c r="P3" s="139"/>
      <c r="Q3" s="139"/>
      <c r="R3" s="139"/>
      <c r="S3" s="139"/>
      <c r="T3" s="139"/>
      <c r="U3" s="139"/>
      <c r="V3" s="139"/>
      <c r="W3" s="139"/>
      <c r="X3" s="139"/>
      <c r="Y3" s="139"/>
      <c r="Z3" s="139"/>
    </row>
    <row r="4" spans="1:26" ht="51">
      <c r="A4" s="140" t="s">
        <v>495</v>
      </c>
      <c r="B4" s="156"/>
      <c r="C4" s="149" t="s">
        <v>513</v>
      </c>
      <c r="D4" s="142" t="s">
        <v>511</v>
      </c>
      <c r="E4" s="143">
        <v>45575</v>
      </c>
      <c r="F4" s="150"/>
      <c r="G4" s="150"/>
      <c r="H4" s="151">
        <v>0</v>
      </c>
      <c r="I4" s="152">
        <f ca="1">IF(ISBLANK(H4), NETWORKDAYS(F4, TODAY(),Hoja2!$A$1:$A$18), NETWORKDAYS(F4, H4, Hoja2!$A$1:$A$18))</f>
        <v>0</v>
      </c>
      <c r="J4" s="150">
        <v>45569</v>
      </c>
      <c r="K4" s="150"/>
      <c r="L4" s="153" t="s">
        <v>514</v>
      </c>
      <c r="M4" s="148"/>
      <c r="N4" s="139"/>
      <c r="O4" s="139"/>
      <c r="P4" s="139"/>
      <c r="Q4" s="139"/>
      <c r="R4" s="139"/>
      <c r="S4" s="139"/>
      <c r="T4" s="139"/>
      <c r="U4" s="139"/>
      <c r="V4" s="139"/>
      <c r="W4" s="139"/>
      <c r="X4" s="139"/>
      <c r="Y4" s="139"/>
      <c r="Z4" s="139"/>
    </row>
    <row r="5" spans="1:26" ht="51">
      <c r="A5" s="140" t="s">
        <v>495</v>
      </c>
      <c r="B5" s="136" t="s">
        <v>515</v>
      </c>
      <c r="C5" s="142" t="s">
        <v>516</v>
      </c>
      <c r="D5" s="142" t="s">
        <v>511</v>
      </c>
      <c r="E5" s="143">
        <v>45575</v>
      </c>
      <c r="F5" s="143"/>
      <c r="G5" s="143"/>
      <c r="H5" s="145">
        <v>0</v>
      </c>
      <c r="I5" s="144">
        <f ca="1">IF(ISBLANK(H5), NETWORKDAYS(F5, TODAY(),Hoja2!$A$1:$A$18), NETWORKDAYS(F5, H5, Hoja2!$A$1:$A$18))</f>
        <v>0</v>
      </c>
      <c r="J5" s="143">
        <v>45569</v>
      </c>
      <c r="K5" s="143"/>
      <c r="L5" s="146" t="s">
        <v>514</v>
      </c>
      <c r="M5" s="148"/>
      <c r="N5" s="139"/>
      <c r="O5" s="139"/>
      <c r="P5" s="139"/>
      <c r="Q5" s="139"/>
      <c r="R5" s="139"/>
      <c r="S5" s="139"/>
      <c r="T5" s="139"/>
      <c r="U5" s="139"/>
      <c r="V5" s="139"/>
      <c r="W5" s="139"/>
      <c r="X5" s="139"/>
      <c r="Y5" s="139"/>
      <c r="Z5" s="139"/>
    </row>
    <row r="6" spans="1:26">
      <c r="A6" s="154"/>
      <c r="B6" s="154"/>
      <c r="C6" s="154"/>
      <c r="D6" s="154"/>
      <c r="E6" s="154"/>
      <c r="F6" s="154"/>
      <c r="G6" s="154"/>
      <c r="H6" s="154"/>
      <c r="I6" s="154"/>
      <c r="J6" s="154"/>
      <c r="K6" s="154"/>
      <c r="L6" s="154"/>
      <c r="M6" s="154"/>
      <c r="N6" s="154"/>
      <c r="O6" s="154"/>
      <c r="P6" s="154"/>
      <c r="Q6" s="154"/>
      <c r="R6" s="154"/>
      <c r="S6" s="154"/>
      <c r="T6" s="154"/>
      <c r="U6" s="154"/>
      <c r="V6" s="154"/>
      <c r="W6" s="154"/>
      <c r="X6" s="154"/>
      <c r="Y6" s="154"/>
      <c r="Z6" s="154"/>
    </row>
    <row r="7" spans="1:26">
      <c r="A7" s="154"/>
      <c r="B7" s="154"/>
      <c r="C7" s="154"/>
      <c r="D7" s="154"/>
      <c r="E7" s="154"/>
      <c r="F7" s="154"/>
      <c r="G7" s="154"/>
      <c r="H7" s="154"/>
      <c r="I7" s="154"/>
      <c r="J7" s="154"/>
      <c r="K7" s="154"/>
      <c r="L7" s="154"/>
      <c r="M7" s="154"/>
      <c r="N7" s="154"/>
      <c r="O7" s="154"/>
      <c r="P7" s="154"/>
      <c r="Q7" s="154"/>
      <c r="R7" s="154"/>
      <c r="S7" s="154"/>
      <c r="T7" s="154"/>
      <c r="U7" s="154"/>
      <c r="V7" s="154"/>
      <c r="W7" s="154"/>
      <c r="X7" s="154"/>
      <c r="Y7" s="154"/>
      <c r="Z7" s="154"/>
    </row>
    <row r="8" spans="1:26">
      <c r="A8" s="154"/>
      <c r="B8" s="154"/>
      <c r="C8" s="154"/>
      <c r="D8" s="154"/>
      <c r="E8" s="154"/>
      <c r="F8" s="154"/>
      <c r="G8" s="154"/>
      <c r="H8" s="154"/>
      <c r="I8" s="154"/>
      <c r="J8" s="154"/>
      <c r="K8" s="154"/>
      <c r="L8" s="154"/>
      <c r="M8" s="154"/>
      <c r="N8" s="154"/>
      <c r="O8" s="154"/>
      <c r="P8" s="154"/>
      <c r="Q8" s="154"/>
      <c r="R8" s="154"/>
      <c r="S8" s="154"/>
      <c r="T8" s="154"/>
      <c r="U8" s="154"/>
      <c r="V8" s="154"/>
      <c r="W8" s="154"/>
      <c r="X8" s="154"/>
      <c r="Y8" s="154"/>
      <c r="Z8" s="154"/>
    </row>
    <row r="9" spans="1:26">
      <c r="A9" s="154"/>
      <c r="B9" s="154"/>
      <c r="C9" s="154"/>
      <c r="D9" s="154"/>
      <c r="E9" s="154"/>
      <c r="F9" s="154"/>
      <c r="G9" s="154"/>
      <c r="H9" s="154"/>
      <c r="I9" s="154"/>
      <c r="J9" s="154"/>
      <c r="K9" s="154"/>
      <c r="L9" s="154"/>
      <c r="M9" s="154"/>
      <c r="N9" s="154"/>
      <c r="O9" s="154"/>
      <c r="P9" s="154"/>
      <c r="Q9" s="154"/>
      <c r="R9" s="154"/>
      <c r="S9" s="154"/>
      <c r="T9" s="154"/>
      <c r="U9" s="154"/>
      <c r="V9" s="154"/>
      <c r="W9" s="154"/>
      <c r="X9" s="154"/>
      <c r="Y9" s="154"/>
      <c r="Z9" s="154"/>
    </row>
    <row r="10" spans="1:26">
      <c r="A10" s="154"/>
      <c r="B10" s="154"/>
      <c r="C10" s="154"/>
      <c r="D10" s="154"/>
      <c r="E10" s="154"/>
      <c r="F10" s="154"/>
      <c r="G10" s="154"/>
      <c r="H10" s="154"/>
      <c r="I10" s="154"/>
      <c r="J10" s="154"/>
      <c r="K10" s="154"/>
      <c r="L10" s="154"/>
      <c r="M10" s="154"/>
      <c r="N10" s="154"/>
      <c r="O10" s="154"/>
      <c r="P10" s="154"/>
      <c r="Q10" s="154"/>
      <c r="R10" s="154"/>
      <c r="S10" s="154"/>
      <c r="T10" s="154"/>
      <c r="U10" s="154"/>
      <c r="V10" s="154"/>
      <c r="W10" s="154"/>
      <c r="X10" s="154"/>
      <c r="Y10" s="154"/>
      <c r="Z10" s="154"/>
    </row>
    <row r="11" spans="1:26">
      <c r="A11" s="154"/>
      <c r="B11" s="154"/>
      <c r="C11" s="154"/>
      <c r="D11" s="154"/>
      <c r="E11" s="154"/>
      <c r="F11" s="154"/>
      <c r="G11" s="154"/>
      <c r="H11" s="154"/>
      <c r="I11" s="154"/>
      <c r="J11" s="154"/>
      <c r="K11" s="154"/>
      <c r="L11" s="154"/>
      <c r="M11" s="154"/>
      <c r="N11" s="154"/>
      <c r="O11" s="154"/>
      <c r="P11" s="154"/>
      <c r="Q11" s="154"/>
      <c r="R11" s="154"/>
      <c r="S11" s="154"/>
      <c r="T11" s="154"/>
      <c r="U11" s="154"/>
      <c r="V11" s="154"/>
      <c r="W11" s="154"/>
      <c r="X11" s="154"/>
      <c r="Y11" s="154"/>
      <c r="Z11" s="154"/>
    </row>
    <row r="12" spans="1:26">
      <c r="A12" s="154"/>
      <c r="B12" s="154"/>
      <c r="C12" s="154"/>
      <c r="D12" s="154"/>
      <c r="E12" s="154"/>
      <c r="F12" s="154"/>
      <c r="G12" s="154"/>
      <c r="H12" s="154"/>
      <c r="I12" s="154"/>
      <c r="J12" s="154"/>
      <c r="K12" s="154"/>
      <c r="L12" s="154"/>
      <c r="M12" s="154"/>
      <c r="N12" s="154"/>
      <c r="O12" s="154"/>
      <c r="P12" s="154"/>
      <c r="Q12" s="154"/>
      <c r="R12" s="154"/>
      <c r="S12" s="154"/>
      <c r="T12" s="154"/>
      <c r="U12" s="154"/>
      <c r="V12" s="154"/>
      <c r="W12" s="154"/>
      <c r="X12" s="154"/>
      <c r="Y12" s="154"/>
      <c r="Z12" s="154"/>
    </row>
    <row r="13" spans="1:26">
      <c r="A13" s="154"/>
      <c r="B13" s="154"/>
      <c r="C13" s="154"/>
      <c r="D13" s="154"/>
      <c r="E13" s="154"/>
      <c r="F13" s="154"/>
      <c r="G13" s="154"/>
      <c r="H13" s="154"/>
      <c r="I13" s="154"/>
      <c r="J13" s="154"/>
      <c r="K13" s="154"/>
      <c r="L13" s="154"/>
      <c r="M13" s="154"/>
      <c r="N13" s="154"/>
      <c r="O13" s="154"/>
      <c r="P13" s="154"/>
      <c r="Q13" s="154"/>
      <c r="R13" s="154"/>
      <c r="S13" s="154"/>
      <c r="T13" s="154"/>
      <c r="U13" s="154"/>
      <c r="V13" s="154"/>
      <c r="W13" s="154"/>
      <c r="X13" s="154"/>
      <c r="Y13" s="154"/>
      <c r="Z13" s="154"/>
    </row>
    <row r="14" spans="1:26">
      <c r="A14" s="154"/>
      <c r="B14" s="154"/>
      <c r="C14" s="154"/>
      <c r="D14" s="154"/>
      <c r="E14" s="154"/>
      <c r="F14" s="154"/>
      <c r="G14" s="154"/>
      <c r="H14" s="154"/>
      <c r="I14" s="154"/>
      <c r="J14" s="154"/>
      <c r="K14" s="154"/>
      <c r="L14" s="154"/>
      <c r="M14" s="154"/>
      <c r="N14" s="154"/>
      <c r="O14" s="154"/>
      <c r="P14" s="154"/>
      <c r="Q14" s="154"/>
      <c r="R14" s="154"/>
      <c r="S14" s="154"/>
      <c r="T14" s="154"/>
      <c r="U14" s="154"/>
      <c r="V14" s="154"/>
      <c r="W14" s="154"/>
      <c r="X14" s="154"/>
      <c r="Y14" s="154"/>
      <c r="Z14" s="154"/>
    </row>
    <row r="15" spans="1:26">
      <c r="A15" s="154"/>
      <c r="B15" s="154"/>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row>
    <row r="16" spans="1:26">
      <c r="A16" s="154"/>
      <c r="B16" s="154"/>
      <c r="C16" s="154"/>
      <c r="D16" s="154"/>
      <c r="E16" s="154"/>
      <c r="F16" s="154"/>
      <c r="G16" s="154"/>
      <c r="H16" s="154"/>
      <c r="I16" s="154"/>
      <c r="J16" s="154"/>
      <c r="K16" s="154"/>
      <c r="L16" s="154"/>
      <c r="M16" s="154"/>
      <c r="N16" s="154"/>
      <c r="O16" s="154"/>
      <c r="P16" s="154"/>
      <c r="Q16" s="154"/>
      <c r="R16" s="154"/>
      <c r="S16" s="154"/>
      <c r="T16" s="154"/>
      <c r="U16" s="154"/>
      <c r="V16" s="154"/>
      <c r="W16" s="154"/>
      <c r="X16" s="154"/>
      <c r="Y16" s="154"/>
      <c r="Z16" s="154"/>
    </row>
    <row r="17" spans="1:26">
      <c r="A17" s="154"/>
      <c r="B17" s="154"/>
      <c r="C17" s="154"/>
      <c r="D17" s="154"/>
      <c r="E17" s="154"/>
      <c r="F17" s="154"/>
      <c r="G17" s="154"/>
      <c r="H17" s="154"/>
      <c r="I17" s="154"/>
      <c r="J17" s="154"/>
      <c r="K17" s="154"/>
      <c r="L17" s="154"/>
      <c r="M17" s="154"/>
      <c r="N17" s="154"/>
      <c r="O17" s="154"/>
      <c r="P17" s="154"/>
      <c r="Q17" s="154"/>
      <c r="R17" s="154"/>
      <c r="S17" s="154"/>
      <c r="T17" s="154"/>
      <c r="U17" s="154"/>
      <c r="V17" s="154"/>
      <c r="W17" s="154"/>
      <c r="X17" s="154"/>
      <c r="Y17" s="154"/>
      <c r="Z17" s="154"/>
    </row>
    <row r="18" spans="1:26">
      <c r="A18" s="154"/>
      <c r="B18" s="154"/>
      <c r="C18" s="154"/>
      <c r="D18" s="154"/>
      <c r="E18" s="154"/>
      <c r="F18" s="154"/>
      <c r="G18" s="154"/>
      <c r="H18" s="154"/>
      <c r="I18" s="154"/>
      <c r="J18" s="154"/>
      <c r="K18" s="154"/>
      <c r="L18" s="154"/>
      <c r="M18" s="154"/>
      <c r="N18" s="154"/>
      <c r="O18" s="154"/>
      <c r="P18" s="154"/>
      <c r="Q18" s="154"/>
      <c r="R18" s="154"/>
      <c r="S18" s="154"/>
      <c r="T18" s="154"/>
      <c r="U18" s="154"/>
      <c r="V18" s="154"/>
      <c r="W18" s="154"/>
      <c r="X18" s="154"/>
      <c r="Y18" s="154"/>
      <c r="Z18" s="154"/>
    </row>
    <row r="19" spans="1:26">
      <c r="A19" s="154"/>
      <c r="B19" s="154"/>
      <c r="C19" s="154"/>
      <c r="D19" s="154"/>
      <c r="E19" s="154"/>
      <c r="F19" s="154"/>
      <c r="G19" s="154"/>
      <c r="H19" s="154"/>
      <c r="I19" s="154"/>
      <c r="J19" s="154"/>
      <c r="K19" s="154"/>
      <c r="L19" s="154"/>
      <c r="M19" s="154"/>
      <c r="N19" s="154"/>
      <c r="O19" s="154"/>
      <c r="P19" s="154"/>
      <c r="Q19" s="154"/>
      <c r="R19" s="154"/>
      <c r="S19" s="154"/>
      <c r="T19" s="154"/>
      <c r="U19" s="154"/>
      <c r="V19" s="154"/>
      <c r="W19" s="154"/>
      <c r="X19" s="154"/>
      <c r="Y19" s="154"/>
      <c r="Z19" s="154"/>
    </row>
    <row r="20" spans="1:26">
      <c r="A20" s="154"/>
      <c r="B20" s="154"/>
      <c r="C20" s="154"/>
      <c r="D20" s="154"/>
      <c r="E20" s="154"/>
      <c r="F20" s="154"/>
      <c r="G20" s="154"/>
      <c r="H20" s="154"/>
      <c r="I20" s="154"/>
      <c r="J20" s="154"/>
      <c r="K20" s="154"/>
      <c r="L20" s="154"/>
      <c r="M20" s="154"/>
      <c r="N20" s="154"/>
      <c r="O20" s="154"/>
      <c r="P20" s="154"/>
      <c r="Q20" s="154"/>
      <c r="R20" s="154"/>
      <c r="S20" s="154"/>
      <c r="T20" s="154"/>
      <c r="U20" s="154"/>
      <c r="V20" s="154"/>
      <c r="W20" s="154"/>
      <c r="X20" s="154"/>
      <c r="Y20" s="154"/>
      <c r="Z20" s="154"/>
    </row>
    <row r="21" spans="1:26" ht="15.75" customHeight="1">
      <c r="A21" s="154"/>
      <c r="B21" s="154"/>
      <c r="C21" s="154"/>
      <c r="D21" s="154"/>
      <c r="E21" s="154"/>
      <c r="F21" s="154"/>
      <c r="G21" s="154"/>
      <c r="H21" s="154"/>
      <c r="I21" s="154"/>
      <c r="J21" s="154"/>
      <c r="K21" s="154"/>
      <c r="L21" s="154"/>
      <c r="M21" s="154"/>
      <c r="N21" s="154"/>
      <c r="O21" s="154"/>
      <c r="P21" s="154"/>
      <c r="Q21" s="154"/>
      <c r="R21" s="154"/>
      <c r="S21" s="154"/>
      <c r="T21" s="154"/>
      <c r="U21" s="154"/>
      <c r="V21" s="154"/>
      <c r="W21" s="154"/>
      <c r="X21" s="154"/>
      <c r="Y21" s="154"/>
      <c r="Z21" s="154"/>
    </row>
    <row r="22" spans="1:26" ht="15.75" customHeight="1">
      <c r="A22" s="154"/>
      <c r="B22" s="154"/>
      <c r="C22" s="154"/>
      <c r="D22" s="154"/>
      <c r="E22" s="154"/>
      <c r="F22" s="154"/>
      <c r="G22" s="154"/>
      <c r="H22" s="154"/>
      <c r="I22" s="154"/>
      <c r="J22" s="154"/>
      <c r="K22" s="154"/>
      <c r="L22" s="154"/>
      <c r="M22" s="154"/>
      <c r="N22" s="154"/>
      <c r="O22" s="154"/>
      <c r="P22" s="154"/>
      <c r="Q22" s="154"/>
      <c r="R22" s="154"/>
      <c r="S22" s="154"/>
      <c r="T22" s="154"/>
      <c r="U22" s="154"/>
      <c r="V22" s="154"/>
      <c r="W22" s="154"/>
      <c r="X22" s="154"/>
      <c r="Y22" s="154"/>
      <c r="Z22" s="154"/>
    </row>
    <row r="23" spans="1:26" ht="15.75" customHeight="1">
      <c r="A23" s="154"/>
      <c r="B23" s="154"/>
      <c r="C23" s="154"/>
      <c r="D23" s="154"/>
      <c r="E23" s="154"/>
      <c r="F23" s="154"/>
      <c r="G23" s="154"/>
      <c r="H23" s="154"/>
      <c r="I23" s="154"/>
      <c r="J23" s="154"/>
      <c r="K23" s="154"/>
      <c r="L23" s="154"/>
      <c r="M23" s="154"/>
      <c r="N23" s="154"/>
      <c r="O23" s="154"/>
      <c r="P23" s="154"/>
      <c r="Q23" s="154"/>
      <c r="R23" s="154"/>
      <c r="S23" s="154"/>
      <c r="T23" s="154"/>
      <c r="U23" s="154"/>
      <c r="V23" s="154"/>
      <c r="W23" s="154"/>
      <c r="X23" s="154"/>
      <c r="Y23" s="154"/>
      <c r="Z23" s="154"/>
    </row>
    <row r="24" spans="1:26" ht="15.75" customHeight="1">
      <c r="A24" s="154"/>
      <c r="B24" s="154"/>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row>
    <row r="25" spans="1:26" ht="15.75" customHeight="1">
      <c r="A25" s="154"/>
      <c r="B25" s="154"/>
      <c r="C25" s="154"/>
      <c r="D25" s="154"/>
      <c r="E25" s="154"/>
      <c r="F25" s="154"/>
      <c r="G25" s="154"/>
      <c r="H25" s="154"/>
      <c r="I25" s="154"/>
      <c r="J25" s="154"/>
      <c r="K25" s="154"/>
      <c r="L25" s="154"/>
      <c r="M25" s="154"/>
      <c r="N25" s="154"/>
      <c r="O25" s="154"/>
      <c r="P25" s="154"/>
      <c r="Q25" s="154"/>
      <c r="R25" s="154"/>
      <c r="S25" s="154"/>
      <c r="T25" s="154"/>
      <c r="U25" s="154"/>
      <c r="V25" s="154"/>
      <c r="W25" s="154"/>
      <c r="X25" s="154"/>
      <c r="Y25" s="154"/>
      <c r="Z25" s="154"/>
    </row>
    <row r="26" spans="1:26" ht="15.75" customHeight="1">
      <c r="A26" s="154"/>
      <c r="B26" s="154"/>
      <c r="C26" s="154"/>
      <c r="D26" s="154"/>
      <c r="E26" s="154"/>
      <c r="F26" s="154"/>
      <c r="G26" s="154"/>
      <c r="H26" s="154"/>
      <c r="I26" s="154"/>
      <c r="J26" s="154"/>
      <c r="K26" s="154"/>
      <c r="L26" s="154"/>
      <c r="M26" s="154"/>
      <c r="N26" s="154"/>
      <c r="O26" s="154"/>
      <c r="P26" s="154"/>
      <c r="Q26" s="154"/>
      <c r="R26" s="154"/>
      <c r="S26" s="154"/>
      <c r="T26" s="154"/>
      <c r="U26" s="154"/>
      <c r="V26" s="154"/>
      <c r="W26" s="154"/>
      <c r="X26" s="154"/>
      <c r="Y26" s="154"/>
      <c r="Z26" s="154"/>
    </row>
    <row r="27" spans="1:26" ht="15.75" customHeight="1">
      <c r="A27" s="154"/>
      <c r="B27" s="154"/>
      <c r="C27" s="154"/>
      <c r="D27" s="154"/>
      <c r="E27" s="154"/>
      <c r="F27" s="154"/>
      <c r="G27" s="154"/>
      <c r="H27" s="154"/>
      <c r="I27" s="154"/>
      <c r="J27" s="154"/>
      <c r="K27" s="154"/>
      <c r="L27" s="154"/>
      <c r="M27" s="154"/>
      <c r="N27" s="154"/>
      <c r="O27" s="154"/>
      <c r="P27" s="154"/>
      <c r="Q27" s="154"/>
      <c r="R27" s="154"/>
      <c r="S27" s="154"/>
      <c r="T27" s="154"/>
      <c r="U27" s="154"/>
      <c r="V27" s="154"/>
      <c r="W27" s="154"/>
      <c r="X27" s="154"/>
      <c r="Y27" s="154"/>
      <c r="Z27" s="154"/>
    </row>
    <row r="28" spans="1:26" ht="15.75" customHeight="1">
      <c r="A28" s="154"/>
      <c r="B28" s="154"/>
      <c r="C28" s="154"/>
      <c r="D28" s="154"/>
      <c r="E28" s="154"/>
      <c r="F28" s="154"/>
      <c r="G28" s="154"/>
      <c r="H28" s="154"/>
      <c r="I28" s="154"/>
      <c r="J28" s="154"/>
      <c r="K28" s="154"/>
      <c r="L28" s="154"/>
      <c r="M28" s="154"/>
      <c r="N28" s="154"/>
      <c r="O28" s="154"/>
      <c r="P28" s="154"/>
      <c r="Q28" s="154"/>
      <c r="R28" s="154"/>
      <c r="S28" s="154"/>
      <c r="T28" s="154"/>
      <c r="U28" s="154"/>
      <c r="V28" s="154"/>
      <c r="W28" s="154"/>
      <c r="X28" s="154"/>
      <c r="Y28" s="154"/>
      <c r="Z28" s="154"/>
    </row>
    <row r="29" spans="1:26" ht="15.75" customHeight="1">
      <c r="A29" s="154"/>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row>
    <row r="30" spans="1:26" ht="15.75" customHeight="1">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row>
    <row r="31" spans="1:26" ht="15.75" customHeight="1">
      <c r="A31" s="154"/>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row>
    <row r="32" spans="1:26" ht="15.75" customHeight="1">
      <c r="A32" s="154"/>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row>
    <row r="33" spans="1:26" ht="15.75" customHeight="1">
      <c r="A33" s="154"/>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row>
    <row r="34" spans="1:26" ht="15.75" customHeight="1">
      <c r="A34" s="154"/>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row>
    <row r="35" spans="1:26" ht="15.75" customHeight="1">
      <c r="A35" s="154"/>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row>
    <row r="36" spans="1:26" ht="15.75" customHeight="1">
      <c r="A36" s="154"/>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row>
    <row r="37" spans="1:26" ht="15.75" customHeight="1">
      <c r="A37" s="154"/>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row>
    <row r="38" spans="1:26" ht="15.75" customHeight="1">
      <c r="A38" s="154"/>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row>
    <row r="39" spans="1:26" ht="15.75" customHeight="1">
      <c r="A39" s="154"/>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row>
    <row r="40" spans="1:26" ht="15.75" customHeight="1">
      <c r="A40" s="154"/>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row>
    <row r="41" spans="1:26" ht="15.75" customHeight="1">
      <c r="A41" s="154"/>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row>
    <row r="42" spans="1:26" ht="15.75" customHeight="1">
      <c r="A42" s="154"/>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row>
    <row r="43" spans="1:26" ht="15.75" customHeight="1">
      <c r="A43" s="154"/>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row>
    <row r="44" spans="1:26" ht="15.75" customHeight="1">
      <c r="A44" s="154"/>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row>
    <row r="45" spans="1:26" ht="15.75" customHeight="1">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row>
    <row r="46" spans="1:26" ht="15.75" customHeight="1">
      <c r="A46" s="154"/>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row>
    <row r="47" spans="1:26" ht="15.75" customHeight="1">
      <c r="A47" s="154"/>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row>
    <row r="48" spans="1:26" ht="15.75" customHeight="1">
      <c r="A48" s="154"/>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row>
    <row r="49" spans="1:26" ht="15.75" customHeight="1">
      <c r="A49" s="154"/>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row>
    <row r="50" spans="1:26" ht="15.75" customHeight="1">
      <c r="A50" s="154"/>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row>
    <row r="51" spans="1:26" ht="15.75" customHeight="1">
      <c r="A51" s="154"/>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row>
    <row r="52" spans="1:26" ht="15.75" customHeight="1">
      <c r="A52" s="154"/>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row>
    <row r="53" spans="1:26" ht="15.75" customHeight="1">
      <c r="A53" s="154"/>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row>
    <row r="54" spans="1:26" ht="15.75" customHeight="1">
      <c r="A54" s="154"/>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row>
    <row r="55" spans="1:26" ht="15.75" customHeight="1">
      <c r="A55" s="154"/>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row>
    <row r="56" spans="1:26" ht="15.75" customHeight="1">
      <c r="A56" s="15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row>
    <row r="57" spans="1:26" ht="15.75" customHeight="1">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row>
    <row r="58" spans="1:26" ht="15.75" customHeight="1">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row>
    <row r="59" spans="1:26" ht="15.75" customHeight="1">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row>
    <row r="60" spans="1:26" ht="15.75" customHeight="1">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row>
    <row r="61" spans="1:26" ht="15.75" customHeight="1">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row>
    <row r="62" spans="1:26" ht="15.75" customHeight="1">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row>
    <row r="63" spans="1:26" ht="15.75" customHeight="1">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row>
    <row r="64" spans="1:26" ht="15.75" customHeight="1">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row>
    <row r="65" spans="1:26" ht="15.75" customHeight="1">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row>
    <row r="66" spans="1:26" ht="15.75" customHeight="1">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row>
    <row r="67" spans="1:26" ht="15.75" customHeight="1">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row>
    <row r="68" spans="1:26" ht="15.75" customHeight="1">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row>
    <row r="69" spans="1:26" ht="15.75" customHeight="1">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row>
    <row r="70" spans="1:26" ht="15.75" customHeight="1">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row>
    <row r="71" spans="1:26" ht="15.75" customHeight="1">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row>
    <row r="72" spans="1:26" ht="15.75" customHeight="1">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row>
    <row r="73" spans="1:26" ht="15.75" customHeight="1">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row>
    <row r="74" spans="1:26" ht="15.75" customHeight="1">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row>
    <row r="75" spans="1:26" ht="15.75" customHeight="1">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row>
    <row r="76" spans="1:26" ht="15.75" customHeight="1">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row>
    <row r="77" spans="1:26" ht="15.75" customHeight="1">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row>
    <row r="78" spans="1:26" ht="15.75" customHeight="1">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row>
    <row r="79" spans="1:26" ht="15.75" customHeight="1">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row>
    <row r="80" spans="1:26" ht="15.75" customHeight="1">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row>
    <row r="81" spans="1:26" ht="15.75" customHeight="1">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row>
    <row r="82" spans="1:26" ht="15.75" customHeight="1">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row>
    <row r="83" spans="1:26" ht="15.75" customHeight="1">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row r="84" spans="1:26" ht="15.75" customHeight="1">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row>
    <row r="85" spans="1:26" ht="15.75" customHeight="1">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row>
    <row r="86" spans="1:26" ht="15.75" customHeight="1">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row>
    <row r="87" spans="1:26" ht="15.75" customHeight="1">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row>
    <row r="88" spans="1:26" ht="15.75" customHeight="1">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row>
    <row r="89" spans="1:26" ht="15.75" customHeight="1">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row>
    <row r="90" spans="1:26" ht="15.75" customHeight="1">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row>
    <row r="91" spans="1:26" ht="15.75" customHeight="1">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row>
    <row r="92" spans="1:26" ht="15.75" customHeight="1">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row>
    <row r="93" spans="1:26" ht="15.75" customHeight="1">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row>
    <row r="94" spans="1:26" ht="15.75" customHeight="1">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row>
    <row r="95" spans="1:26" ht="15.75" customHeight="1">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row>
    <row r="96" spans="1:26" ht="15.75" customHeight="1">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row>
    <row r="97" spans="1:26" ht="15.75" customHeight="1">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row>
    <row r="98" spans="1:26" ht="15.75" customHeight="1">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row>
    <row r="99" spans="1:26" ht="15.75" customHeight="1">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row>
    <row r="100" spans="1:26" ht="15.75" customHeight="1">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row>
    <row r="101" spans="1:26" ht="15.75" customHeight="1">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row>
    <row r="102" spans="1:26" ht="15.75" customHeight="1">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row>
    <row r="103" spans="1:26" ht="15.75" customHeight="1">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row>
    <row r="104" spans="1:26" ht="15.75" customHeight="1">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row>
    <row r="105" spans="1:26" ht="15.75" customHeight="1">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row>
    <row r="106" spans="1:26" ht="15.75" customHeight="1">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row>
    <row r="107" spans="1:26" ht="15.75" customHeight="1">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row>
    <row r="108" spans="1:26" ht="15.75" customHeight="1">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row>
    <row r="109" spans="1:26" ht="15.75" customHeight="1">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spans="1:26" ht="15.75" customHeight="1">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row>
    <row r="111" spans="1:26" ht="15.75" customHeight="1">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row>
    <row r="112" spans="1:26" ht="15.75" customHeight="1">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row>
    <row r="113" spans="1:26" ht="15.75" customHeight="1">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row>
    <row r="114" spans="1:26" ht="15.75" customHeight="1">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row>
    <row r="115" spans="1:26" ht="15.75" customHeight="1">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row>
    <row r="116" spans="1:26" ht="15.75" customHeight="1">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spans="1:26" ht="15.75" customHeight="1">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spans="1:26" ht="15.75" customHeight="1">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row>
    <row r="119" spans="1:26" ht="15.75" customHeight="1">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row>
    <row r="120" spans="1:26" ht="15.75" customHeight="1">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row>
    <row r="121" spans="1:26" ht="15.75" customHeight="1">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row>
    <row r="122" spans="1:26" ht="15.75" customHeight="1">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row>
    <row r="123" spans="1:26" ht="15.75" customHeight="1">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row>
    <row r="124" spans="1:26" ht="15.75" customHeight="1">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row>
    <row r="125" spans="1:26" ht="15.75" customHeight="1">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row>
    <row r="126" spans="1:26" ht="15.75" customHeight="1">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row>
    <row r="127" spans="1:26" ht="15.75" customHeight="1">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row>
    <row r="128" spans="1:26" ht="15.75" customHeight="1">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row>
    <row r="129" spans="1:26" ht="15.75" customHeight="1">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row>
    <row r="130" spans="1:26" ht="15.75" customHeight="1">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row>
    <row r="131" spans="1:26" ht="15.75" customHeight="1">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row>
    <row r="132" spans="1:26" ht="15.75" customHeight="1">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row>
    <row r="133" spans="1:26" ht="15.75" customHeight="1">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row>
    <row r="134" spans="1:26" ht="15.75" customHeight="1">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row>
    <row r="135" spans="1:26" ht="15.75" customHeight="1">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row>
    <row r="136" spans="1:26" ht="15.75" customHeight="1">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row>
    <row r="137" spans="1:26" ht="15.75" customHeight="1">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row>
    <row r="138" spans="1:26" ht="15.75" customHeight="1">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row>
    <row r="139" spans="1:26" ht="15.75" customHeight="1">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row>
    <row r="140" spans="1:26" ht="15.75" customHeight="1">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row>
    <row r="141" spans="1:26" ht="15.75" customHeight="1">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row>
    <row r="142" spans="1:26" ht="15.75" customHeight="1">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row>
    <row r="143" spans="1:26" ht="15.75" customHeight="1">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row>
    <row r="144" spans="1:26" ht="15.75" customHeight="1">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row>
    <row r="145" spans="1:26" ht="15.75" customHeight="1">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row>
    <row r="146" spans="1:26" ht="15.75" customHeight="1">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row>
    <row r="147" spans="1:26" ht="15.75" customHeight="1">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row>
    <row r="148" spans="1:26" ht="15.75" customHeight="1">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row>
    <row r="149" spans="1:26" ht="15.75" customHeight="1">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row>
    <row r="150" spans="1:26" ht="15.75" customHeight="1">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row>
    <row r="151" spans="1:26" ht="15.75" customHeight="1">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row>
    <row r="152" spans="1:26" ht="15.75" customHeight="1">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row>
    <row r="153" spans="1:26" ht="15.75" customHeight="1">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row>
    <row r="154" spans="1:26" ht="15.75" customHeight="1">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row>
    <row r="155" spans="1:26" ht="15.75" customHeight="1">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row>
    <row r="156" spans="1:26" ht="15.75" customHeight="1">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row>
    <row r="157" spans="1:26" ht="15.75" customHeight="1">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row>
    <row r="158" spans="1:26" ht="15.75" customHeight="1">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row>
    <row r="159" spans="1:26" ht="15.75" customHeight="1">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row>
    <row r="160" spans="1:26" ht="15.75" customHeight="1">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row>
    <row r="161" spans="1:26" ht="15.75" customHeight="1">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row>
    <row r="162" spans="1:26" ht="15.75" customHeight="1">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row>
    <row r="163" spans="1:26" ht="15.75" customHeight="1">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row>
    <row r="164" spans="1:26" ht="15.75" customHeight="1">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row>
    <row r="165" spans="1:26" ht="15.75" customHeight="1">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row>
    <row r="166" spans="1:26" ht="15.75" customHeight="1">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row>
    <row r="167" spans="1:26" ht="15.75" customHeight="1">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row>
    <row r="168" spans="1:26" ht="15.75" customHeight="1">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row>
    <row r="169" spans="1:26" ht="15.75" customHeight="1">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row>
    <row r="170" spans="1:26" ht="15.75" customHeight="1">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row>
    <row r="171" spans="1:26" ht="15.75" customHeight="1">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row>
    <row r="172" spans="1:26" ht="15.75" customHeight="1">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row>
    <row r="173" spans="1:26" ht="15.75" customHeight="1">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row>
    <row r="174" spans="1:26" ht="15.75" customHeight="1">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row>
    <row r="175" spans="1:26" ht="15.75" customHeight="1">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row>
    <row r="176" spans="1:26" ht="15.75" customHeight="1">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row>
    <row r="177" spans="1:26" ht="15.75" customHeight="1">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row>
    <row r="178" spans="1:26" ht="15.75" customHeight="1">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row>
    <row r="179" spans="1:26" ht="15.75" customHeight="1">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row>
    <row r="180" spans="1:26" ht="15.75" customHeight="1">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row>
    <row r="181" spans="1:26" ht="15.75" customHeight="1">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row>
    <row r="182" spans="1:26" ht="15.75" customHeight="1">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row>
    <row r="183" spans="1:26" ht="15.75" customHeight="1">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row>
    <row r="184" spans="1:26" ht="15.75" customHeight="1">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row>
    <row r="185" spans="1:26" ht="15.75" customHeight="1">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row>
    <row r="186" spans="1:26" ht="15.75" customHeight="1">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row>
    <row r="187" spans="1:26" ht="15.75" customHeight="1">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row>
    <row r="188" spans="1:26" ht="15.75" customHeight="1">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row>
    <row r="189" spans="1:26" ht="15.75" customHeight="1">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row>
    <row r="190" spans="1:26" ht="15.75" customHeight="1">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row>
    <row r="191" spans="1:26" ht="15.75" customHeight="1">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row>
    <row r="192" spans="1:26" ht="15.75" customHeight="1">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row>
    <row r="193" spans="1:26" ht="15.75" customHeight="1">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row>
    <row r="194" spans="1:26" ht="15.75" customHeight="1">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row>
    <row r="195" spans="1:26" ht="15.75" customHeight="1">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row>
    <row r="196" spans="1:26" ht="15.75" customHeight="1">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row>
    <row r="197" spans="1:26" ht="15.75" customHeight="1">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row>
    <row r="198" spans="1:26" ht="15.75" customHeight="1">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row>
    <row r="199" spans="1:26" ht="15.75" customHeight="1">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row>
    <row r="200" spans="1:26" ht="15.75" customHeight="1">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row>
    <row r="201" spans="1:26" ht="15.75" customHeight="1">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row>
    <row r="202" spans="1:26" ht="15.75" customHeight="1">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row>
    <row r="203" spans="1:26" ht="15.75" customHeight="1">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row>
    <row r="204" spans="1:26" ht="15.75" customHeight="1">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row>
    <row r="205" spans="1:26" ht="15.75" customHeight="1">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row>
    <row r="206" spans="1:26" ht="15.75" customHeight="1">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row>
    <row r="207" spans="1:26" ht="15.75" customHeight="1">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row>
    <row r="208" spans="1:26" ht="15.75" customHeight="1">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row>
    <row r="209" spans="1:26" ht="15.75" customHeight="1">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row>
    <row r="210" spans="1:26" ht="15.75" customHeight="1">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row>
    <row r="211" spans="1:26" ht="15.75" customHeight="1">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row>
    <row r="212" spans="1:26" ht="15.75" customHeight="1">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row>
    <row r="213" spans="1:26" ht="15.75" customHeight="1">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row>
    <row r="214" spans="1:26" ht="15.75" customHeight="1">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row>
    <row r="215" spans="1:26" ht="15.75" customHeight="1">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row>
    <row r="216" spans="1:26" ht="15.75" customHeight="1">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row>
    <row r="217" spans="1:26" ht="15.75" customHeight="1">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row>
    <row r="218" spans="1:26" ht="15.75" customHeight="1">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row>
    <row r="219" spans="1:26" ht="15.75" customHeight="1">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row>
    <row r="220" spans="1:26" ht="15.75" customHeight="1">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B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EN PROCESO (Proteccíon)</vt:lpstr>
      <vt:lpstr>FINALIZADOS  despues de actu, i</vt:lpstr>
      <vt:lpstr>Hoja2</vt:lpstr>
      <vt:lpstr>ASISTENCIA</vt:lpstr>
      <vt:lpstr>pruebas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HERNAN FORERO GARZON</dc:creator>
  <cp:lastModifiedBy>FABIO HERNAN FORERO GARZON</cp:lastModifiedBy>
  <dcterms:created xsi:type="dcterms:W3CDTF">2024-10-01T20:42:53Z</dcterms:created>
  <dcterms:modified xsi:type="dcterms:W3CDTF">2026-06-24T14:53:10Z</dcterms:modified>
</cp:coreProperties>
</file>
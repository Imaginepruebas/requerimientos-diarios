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79220621\Documents\REPORTEDIARIO\REPORTEDIARIO\"/>
    </mc:Choice>
  </mc:AlternateContent>
  <bookViews>
    <workbookView xWindow="0" yWindow="0" windowWidth="28800" windowHeight="12135"/>
  </bookViews>
  <sheets>
    <sheet name="EN PROCESO (Alfa)" sheetId="2" r:id="rId1"/>
    <sheet name="PRUEBAS BOLIVAR" sheetId="3" state="hidden" r:id="rId2"/>
    <sheet name="FINALIZADOS 2" sheetId="4" state="hidden" r:id="rId3"/>
    <sheet name="FINALIZADOS" sheetId="5" state="hidden" r:id="rId4"/>
    <sheet name="fESTIVOS" sheetId="6" state="hidden" r:id="rId5"/>
    <sheet name="ASISTENCIA" sheetId="7" state="hidden" r:id="rId6"/>
    <sheet name="Caidas del sistema" sheetId="8" state="hidden" r:id="rId7"/>
    <sheet name="pruebas i" sheetId="9" state="hidden" r:id="rId8"/>
  </sheets>
  <definedNames>
    <definedName name="_xlnm._FilterDatabase" localSheetId="0" hidden="1">'EN PROCESO (Alfa)'!$A$1:$S$199</definedName>
    <definedName name="_xlnm._FilterDatabase" localSheetId="3" hidden="1">FINALIZADOS!$A$1:$M$219</definedName>
    <definedName name="_xlnm._FilterDatabase" localSheetId="1" hidden="1">'PRUEBAS BOLIVAR'!$A$1:$L$16</definedName>
  </definedNames>
  <calcPr calcId="162913"/>
  <extLst>
    <ext uri="GoogleSheetsCustomDataVersion2">
      <go:sheetsCustomData xmlns:go="http://customooxmlschemas.google.com/" r:id="rId13" roundtripDataChecksum="xaAfl8j3HzwGiZVcZQRhxC7rfe7fVcMCobJ0baydPrM="/>
    </ext>
  </extLst>
</workbook>
</file>

<file path=xl/calcChain.xml><?xml version="1.0" encoding="utf-8"?>
<calcChain xmlns="http://schemas.openxmlformats.org/spreadsheetml/2006/main">
  <c r="I5" i="9" l="1"/>
  <c r="I4" i="9"/>
  <c r="I3" i="9"/>
  <c r="I2" i="9"/>
  <c r="D4" i="8"/>
  <c r="D3" i="8"/>
  <c r="D2" i="8"/>
  <c r="J321" i="5"/>
  <c r="I320" i="5"/>
  <c r="I319" i="5"/>
  <c r="I318" i="5"/>
  <c r="I317" i="5"/>
  <c r="I316" i="5"/>
  <c r="I315" i="5"/>
  <c r="I314" i="5"/>
  <c r="I313" i="5"/>
  <c r="I312" i="5"/>
  <c r="I311" i="5"/>
  <c r="I310" i="5"/>
  <c r="I309" i="5"/>
  <c r="I308" i="5"/>
  <c r="I307" i="5"/>
  <c r="I306" i="5"/>
  <c r="I305" i="5"/>
  <c r="I304" i="5"/>
  <c r="I303" i="5"/>
  <c r="I302" i="5"/>
  <c r="I301" i="5"/>
  <c r="I300" i="5"/>
  <c r="I299" i="5"/>
  <c r="I298" i="5"/>
  <c r="I297" i="5"/>
  <c r="I296" i="5"/>
  <c r="I295" i="5"/>
  <c r="I294" i="5"/>
  <c r="I293" i="5"/>
  <c r="I292" i="5"/>
  <c r="I291" i="5"/>
  <c r="I290" i="5"/>
  <c r="I289" i="5"/>
  <c r="I288" i="5"/>
  <c r="I287" i="5"/>
  <c r="I286" i="5"/>
  <c r="I285" i="5"/>
  <c r="I284" i="5"/>
  <c r="I283" i="5"/>
  <c r="I282" i="5"/>
  <c r="I280" i="5"/>
  <c r="I279" i="5"/>
  <c r="I278" i="5"/>
  <c r="I277" i="5"/>
  <c r="I276" i="5"/>
  <c r="I275" i="5"/>
  <c r="I274" i="5"/>
  <c r="I273" i="5"/>
  <c r="I272" i="5"/>
  <c r="I271" i="5"/>
  <c r="I270" i="5"/>
  <c r="I269" i="5"/>
  <c r="I268" i="5"/>
  <c r="I267" i="5"/>
  <c r="I266" i="5"/>
  <c r="I265" i="5"/>
  <c r="I264" i="5"/>
  <c r="I263" i="5"/>
  <c r="I262" i="5"/>
  <c r="I261" i="5"/>
  <c r="I260" i="5"/>
  <c r="I259" i="5"/>
  <c r="I258" i="5"/>
  <c r="I257" i="5"/>
  <c r="I256" i="5"/>
  <c r="I255" i="5"/>
  <c r="I254" i="5"/>
  <c r="I253" i="5"/>
  <c r="I252" i="5"/>
  <c r="I251" i="5"/>
  <c r="I250" i="5"/>
  <c r="I249" i="5"/>
  <c r="I248" i="5"/>
  <c r="I247" i="5"/>
  <c r="I246" i="5"/>
  <c r="I245" i="5"/>
  <c r="I244" i="5"/>
  <c r="I243" i="5"/>
  <c r="I241" i="5"/>
  <c r="I240" i="5"/>
  <c r="I239" i="5"/>
  <c r="I238" i="5"/>
  <c r="I237" i="5"/>
  <c r="I236" i="5"/>
  <c r="I235" i="5"/>
  <c r="I234" i="5"/>
  <c r="I233" i="5"/>
  <c r="I232" i="5"/>
  <c r="I231" i="5"/>
  <c r="I230" i="5"/>
  <c r="I229" i="5"/>
  <c r="I228" i="5"/>
  <c r="I227" i="5"/>
  <c r="I226" i="5"/>
  <c r="I225" i="5"/>
  <c r="I224" i="5"/>
  <c r="I223" i="5"/>
  <c r="I222" i="5"/>
  <c r="I221" i="5"/>
  <c r="I219" i="5"/>
  <c r="I218" i="5"/>
  <c r="I217" i="5"/>
  <c r="I216" i="5"/>
  <c r="I215" i="5"/>
  <c r="I214" i="5"/>
  <c r="I213" i="5"/>
  <c r="I212" i="5"/>
  <c r="I211" i="5"/>
  <c r="I210" i="5"/>
  <c r="I209" i="5"/>
  <c r="I208" i="5"/>
  <c r="I207" i="5"/>
  <c r="I206" i="5"/>
  <c r="I205" i="5"/>
  <c r="I204" i="5"/>
  <c r="I203" i="5"/>
  <c r="I202" i="5"/>
  <c r="I201" i="5"/>
  <c r="I200" i="5"/>
  <c r="I199" i="5"/>
  <c r="I198" i="5"/>
  <c r="I197" i="5"/>
  <c r="I196" i="5"/>
  <c r="I195" i="5"/>
  <c r="I194" i="5"/>
  <c r="I193" i="5"/>
  <c r="I192" i="5"/>
  <c r="I191" i="5"/>
  <c r="I190" i="5"/>
  <c r="I189" i="5"/>
  <c r="I188" i="5"/>
  <c r="I187" i="5"/>
  <c r="I186" i="5"/>
  <c r="I185" i="5"/>
  <c r="I184" i="5"/>
  <c r="I183" i="5"/>
  <c r="I182" i="5"/>
  <c r="I181" i="5"/>
  <c r="I180" i="5"/>
  <c r="I179" i="5"/>
  <c r="I178" i="5"/>
  <c r="I177" i="5"/>
  <c r="I176" i="5"/>
  <c r="I175" i="5"/>
  <c r="I174" i="5"/>
  <c r="I173" i="5"/>
  <c r="I172" i="5"/>
  <c r="I171" i="5"/>
  <c r="I169" i="5"/>
  <c r="I168" i="5"/>
  <c r="I167" i="5"/>
  <c r="I166" i="5"/>
  <c r="I165" i="5"/>
  <c r="I164" i="5"/>
  <c r="I163" i="5"/>
  <c r="I162" i="5"/>
  <c r="I161" i="5"/>
  <c r="I160" i="5"/>
  <c r="I159" i="5"/>
  <c r="I158" i="5"/>
  <c r="I157" i="5"/>
  <c r="I156" i="5"/>
  <c r="I155" i="5"/>
  <c r="I154" i="5"/>
  <c r="I153" i="5"/>
  <c r="I152" i="5"/>
  <c r="I151" i="5"/>
  <c r="I150" i="5"/>
  <c r="I149" i="5"/>
  <c r="I148" i="5"/>
  <c r="I147" i="5"/>
  <c r="I146" i="5"/>
  <c r="I145"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8" i="5"/>
  <c r="I117" i="5"/>
  <c r="I116" i="5"/>
  <c r="I115" i="5"/>
  <c r="I114" i="5"/>
  <c r="I113" i="5"/>
  <c r="I112" i="5"/>
  <c r="I111" i="5"/>
  <c r="I110" i="5"/>
  <c r="I109" i="5"/>
  <c r="I108" i="5"/>
  <c r="I107" i="5"/>
  <c r="I106" i="5"/>
  <c r="I105" i="5"/>
  <c r="I104" i="5"/>
  <c r="I103" i="5"/>
  <c r="I102" i="5"/>
  <c r="I101" i="5"/>
  <c r="I100" i="5"/>
  <c r="I99" i="5"/>
  <c r="I98" i="5"/>
  <c r="I97" i="5"/>
  <c r="I96" i="5"/>
  <c r="I95" i="5"/>
  <c r="I94" i="5"/>
  <c r="I93" i="5"/>
  <c r="I92" i="5"/>
  <c r="I91" i="5"/>
  <c r="I90" i="5"/>
  <c r="I89" i="5"/>
  <c r="I88" i="5"/>
  <c r="I87" i="5"/>
  <c r="I86" i="5"/>
  <c r="I85" i="5"/>
  <c r="I84" i="5"/>
  <c r="I83" i="5"/>
  <c r="I82" i="5"/>
  <c r="I81" i="5"/>
  <c r="I80" i="5"/>
  <c r="I79"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29" i="5"/>
  <c r="I28" i="5"/>
  <c r="I27" i="5"/>
  <c r="I26" i="5"/>
  <c r="I25" i="5"/>
  <c r="I24" i="5"/>
  <c r="I23" i="5"/>
  <c r="I22" i="5"/>
  <c r="I21" i="5"/>
  <c r="I20" i="5"/>
  <c r="I19" i="5"/>
  <c r="I18" i="5"/>
  <c r="I17" i="5"/>
  <c r="I16" i="5"/>
  <c r="I15" i="5"/>
  <c r="I14" i="5"/>
  <c r="I13" i="5"/>
  <c r="I12" i="5"/>
  <c r="I11" i="5"/>
  <c r="I10" i="5"/>
  <c r="I9" i="5"/>
  <c r="I8" i="5"/>
  <c r="I7" i="5"/>
  <c r="I6" i="5"/>
  <c r="I5" i="5"/>
  <c r="I4" i="5"/>
  <c r="I3" i="5"/>
  <c r="I2" i="5"/>
  <c r="K68" i="4"/>
  <c r="K67" i="4"/>
  <c r="K66" i="4"/>
  <c r="K65" i="4"/>
  <c r="K64" i="4"/>
  <c r="K63" i="4"/>
  <c r="K62" i="4"/>
  <c r="K61" i="4"/>
  <c r="K60" i="4"/>
  <c r="K59" i="4"/>
  <c r="K58" i="4"/>
  <c r="K57" i="4"/>
  <c r="K56" i="4"/>
  <c r="K55" i="4"/>
  <c r="K52" i="4"/>
  <c r="K51" i="4"/>
  <c r="K50" i="4"/>
  <c r="K49" i="4"/>
  <c r="K48" i="4"/>
  <c r="K47" i="4"/>
  <c r="K46" i="4"/>
  <c r="K45" i="4"/>
  <c r="K44" i="4"/>
  <c r="K43" i="4"/>
  <c r="K42" i="4"/>
  <c r="K41" i="4"/>
  <c r="K40" i="4"/>
  <c r="K39" i="4"/>
  <c r="K38" i="4"/>
  <c r="K37" i="4"/>
  <c r="K36" i="4"/>
  <c r="K18" i="4"/>
  <c r="K17" i="4"/>
  <c r="K16" i="4"/>
  <c r="K15" i="4"/>
  <c r="K14" i="4"/>
  <c r="K13" i="4"/>
  <c r="K12" i="4"/>
  <c r="K10" i="4"/>
  <c r="K9" i="4"/>
  <c r="K8" i="4"/>
  <c r="K7" i="4"/>
  <c r="K6" i="4"/>
  <c r="K5" i="4"/>
  <c r="K4" i="4"/>
  <c r="K3" i="4"/>
  <c r="K2" i="4"/>
  <c r="I16" i="3"/>
  <c r="I15" i="3"/>
  <c r="I14" i="3"/>
  <c r="I13" i="3"/>
  <c r="I12" i="3"/>
  <c r="I11" i="3"/>
  <c r="I10" i="3"/>
  <c r="I9" i="3"/>
  <c r="I8" i="3"/>
  <c r="I7" i="3"/>
  <c r="I6" i="3"/>
  <c r="I5" i="3"/>
  <c r="I4" i="3"/>
  <c r="I3" i="3"/>
  <c r="M199" i="2"/>
  <c r="H199" i="2"/>
  <c r="M198" i="2"/>
  <c r="H198" i="2"/>
  <c r="M197" i="2"/>
  <c r="H197" i="2"/>
  <c r="M196" i="2"/>
  <c r="H196" i="2"/>
  <c r="M195" i="2"/>
  <c r="H195" i="2"/>
  <c r="M194" i="2"/>
  <c r="H194" i="2"/>
  <c r="M193" i="2"/>
  <c r="H193" i="2"/>
  <c r="M192" i="2"/>
  <c r="H192" i="2"/>
  <c r="M191" i="2"/>
  <c r="H191" i="2"/>
  <c r="M190" i="2"/>
  <c r="H190" i="2"/>
  <c r="M189" i="2"/>
  <c r="H189" i="2"/>
  <c r="M188" i="2"/>
  <c r="H188" i="2"/>
  <c r="M187" i="2"/>
  <c r="H187" i="2"/>
  <c r="M186" i="2"/>
  <c r="H186" i="2"/>
  <c r="M185" i="2"/>
  <c r="H185" i="2"/>
  <c r="M184" i="2"/>
  <c r="H184" i="2"/>
  <c r="M183" i="2"/>
  <c r="H183" i="2"/>
  <c r="M182" i="2"/>
  <c r="H182" i="2"/>
  <c r="M181" i="2"/>
  <c r="H181" i="2"/>
  <c r="M180" i="2"/>
  <c r="H180" i="2"/>
  <c r="M179" i="2"/>
  <c r="H179" i="2"/>
  <c r="M178" i="2"/>
  <c r="H178" i="2"/>
  <c r="M177" i="2"/>
  <c r="H177" i="2"/>
  <c r="M176" i="2"/>
  <c r="H176" i="2"/>
  <c r="M175" i="2"/>
  <c r="H175" i="2"/>
  <c r="M174" i="2"/>
  <c r="H174" i="2"/>
  <c r="M173" i="2"/>
  <c r="H173" i="2"/>
  <c r="M172" i="2"/>
  <c r="H172" i="2"/>
  <c r="M171" i="2"/>
  <c r="H171" i="2"/>
  <c r="M170" i="2"/>
  <c r="H170" i="2"/>
  <c r="M169" i="2"/>
  <c r="H169" i="2"/>
  <c r="M168" i="2"/>
  <c r="H168" i="2"/>
  <c r="M167" i="2"/>
  <c r="H167" i="2"/>
  <c r="M166" i="2"/>
  <c r="H166" i="2"/>
  <c r="M165" i="2"/>
  <c r="H165" i="2"/>
  <c r="M164" i="2"/>
  <c r="H164" i="2"/>
  <c r="M163" i="2"/>
  <c r="H163" i="2"/>
  <c r="M162" i="2"/>
  <c r="H162" i="2"/>
  <c r="M161" i="2"/>
  <c r="H161" i="2"/>
  <c r="M160" i="2"/>
  <c r="H160" i="2"/>
  <c r="M159" i="2"/>
  <c r="H159" i="2"/>
  <c r="M158" i="2"/>
  <c r="H158" i="2"/>
  <c r="M157" i="2"/>
  <c r="H157" i="2"/>
  <c r="M156" i="2"/>
  <c r="H156" i="2"/>
  <c r="M155" i="2"/>
  <c r="H155" i="2"/>
  <c r="M154" i="2"/>
  <c r="H154" i="2"/>
  <c r="M153" i="2"/>
  <c r="H153" i="2"/>
  <c r="M152" i="2"/>
  <c r="H152" i="2"/>
  <c r="M151" i="2"/>
  <c r="H151" i="2"/>
  <c r="M150" i="2"/>
  <c r="H150" i="2"/>
  <c r="M149" i="2"/>
  <c r="H149" i="2"/>
  <c r="M148" i="2"/>
  <c r="H148" i="2"/>
  <c r="M147" i="2"/>
  <c r="H147" i="2"/>
  <c r="M146" i="2"/>
  <c r="H146" i="2"/>
  <c r="M145" i="2"/>
  <c r="H145" i="2"/>
  <c r="M144" i="2"/>
  <c r="H144" i="2"/>
  <c r="M143" i="2"/>
  <c r="H143" i="2"/>
  <c r="M142" i="2"/>
  <c r="H142" i="2"/>
  <c r="M141" i="2"/>
  <c r="H141" i="2"/>
  <c r="M140" i="2"/>
  <c r="H140" i="2"/>
  <c r="M139" i="2"/>
  <c r="H139" i="2"/>
  <c r="M138" i="2"/>
  <c r="H138" i="2"/>
  <c r="M137" i="2"/>
  <c r="H137" i="2"/>
  <c r="M136" i="2"/>
  <c r="H136" i="2"/>
  <c r="M135" i="2"/>
  <c r="H135" i="2"/>
  <c r="M134" i="2"/>
  <c r="H134" i="2"/>
  <c r="M133" i="2"/>
  <c r="H133" i="2"/>
  <c r="M132" i="2"/>
  <c r="H132" i="2"/>
  <c r="M131" i="2"/>
  <c r="H131" i="2"/>
  <c r="M130" i="2"/>
  <c r="H130" i="2"/>
  <c r="M129" i="2"/>
  <c r="H129" i="2"/>
  <c r="M128" i="2"/>
  <c r="H128" i="2"/>
  <c r="M127" i="2"/>
  <c r="H127" i="2"/>
  <c r="M126" i="2"/>
  <c r="H126" i="2"/>
  <c r="M125" i="2"/>
  <c r="H125" i="2"/>
  <c r="M124" i="2"/>
  <c r="H124" i="2"/>
  <c r="M123" i="2"/>
  <c r="H123" i="2"/>
  <c r="M122" i="2"/>
  <c r="H122" i="2"/>
  <c r="M121" i="2"/>
  <c r="H121" i="2"/>
  <c r="M120" i="2"/>
  <c r="H120" i="2"/>
  <c r="M119" i="2"/>
  <c r="H119" i="2"/>
  <c r="M118" i="2"/>
  <c r="H118" i="2"/>
  <c r="M117" i="2"/>
  <c r="H117" i="2"/>
  <c r="M116" i="2"/>
  <c r="H116" i="2"/>
  <c r="M115" i="2"/>
  <c r="H115" i="2"/>
  <c r="M114" i="2"/>
  <c r="H114" i="2"/>
  <c r="M113" i="2"/>
  <c r="H113" i="2"/>
  <c r="M112" i="2"/>
  <c r="H112" i="2"/>
  <c r="M111" i="2"/>
  <c r="H111" i="2"/>
  <c r="M110" i="2"/>
  <c r="H110" i="2"/>
  <c r="M109" i="2"/>
  <c r="H109" i="2"/>
  <c r="M108" i="2"/>
  <c r="H108" i="2"/>
  <c r="M107" i="2"/>
  <c r="H107" i="2"/>
  <c r="M106" i="2"/>
  <c r="H106" i="2"/>
  <c r="M105" i="2"/>
  <c r="H105" i="2"/>
  <c r="M104" i="2"/>
  <c r="H104" i="2"/>
  <c r="M103" i="2"/>
  <c r="H103" i="2"/>
  <c r="M102" i="2"/>
  <c r="H102" i="2"/>
  <c r="M101" i="2"/>
  <c r="H101" i="2"/>
  <c r="M100" i="2"/>
  <c r="H100" i="2"/>
  <c r="M99" i="2"/>
  <c r="H99" i="2"/>
  <c r="M98" i="2"/>
  <c r="H98" i="2"/>
  <c r="M97" i="2"/>
  <c r="H97" i="2"/>
  <c r="M96" i="2"/>
  <c r="H96" i="2"/>
  <c r="M95" i="2"/>
  <c r="H95" i="2"/>
  <c r="M94" i="2"/>
  <c r="H94" i="2"/>
  <c r="M93" i="2"/>
  <c r="H93" i="2"/>
  <c r="M92" i="2"/>
  <c r="H92" i="2"/>
  <c r="M91" i="2"/>
  <c r="H91" i="2"/>
  <c r="M90" i="2"/>
  <c r="H90" i="2"/>
  <c r="M89" i="2"/>
  <c r="H89" i="2"/>
  <c r="M88" i="2"/>
  <c r="H88" i="2"/>
  <c r="M87" i="2"/>
  <c r="H87" i="2"/>
  <c r="M86" i="2"/>
  <c r="H86" i="2"/>
  <c r="M85" i="2"/>
  <c r="H85" i="2"/>
  <c r="M84" i="2"/>
  <c r="H84" i="2"/>
  <c r="M83" i="2"/>
  <c r="H83" i="2"/>
  <c r="M82" i="2"/>
  <c r="H82" i="2"/>
  <c r="M81" i="2"/>
  <c r="H81" i="2"/>
  <c r="M80" i="2"/>
  <c r="H80" i="2"/>
  <c r="M79" i="2"/>
  <c r="H79" i="2"/>
  <c r="M78" i="2"/>
  <c r="H78" i="2"/>
  <c r="M77" i="2"/>
  <c r="H77" i="2"/>
  <c r="M76" i="2"/>
  <c r="H76" i="2"/>
  <c r="M75" i="2"/>
  <c r="H75" i="2"/>
  <c r="M74" i="2"/>
  <c r="H74" i="2"/>
  <c r="M73" i="2"/>
  <c r="H73" i="2"/>
  <c r="M72" i="2"/>
  <c r="H72" i="2"/>
  <c r="M71" i="2"/>
  <c r="H71" i="2"/>
  <c r="M70" i="2"/>
  <c r="H70" i="2"/>
  <c r="M69" i="2"/>
  <c r="H69" i="2"/>
  <c r="M68" i="2"/>
  <c r="H68" i="2"/>
  <c r="M67" i="2"/>
  <c r="H67" i="2"/>
  <c r="M66" i="2"/>
  <c r="H66" i="2"/>
  <c r="M65" i="2"/>
  <c r="H65" i="2"/>
  <c r="M64" i="2"/>
  <c r="H64" i="2"/>
  <c r="M63" i="2"/>
  <c r="H63" i="2"/>
  <c r="M62" i="2"/>
  <c r="H62" i="2"/>
  <c r="M61" i="2"/>
  <c r="H61" i="2"/>
  <c r="M60" i="2"/>
  <c r="H60" i="2"/>
  <c r="M59" i="2"/>
  <c r="H59" i="2"/>
  <c r="M58" i="2"/>
  <c r="H58" i="2"/>
  <c r="M57" i="2"/>
  <c r="H57" i="2"/>
  <c r="M56" i="2"/>
  <c r="H56" i="2"/>
  <c r="M55" i="2"/>
  <c r="H55" i="2"/>
  <c r="M54" i="2"/>
  <c r="H54" i="2"/>
  <c r="M53" i="2"/>
  <c r="H53" i="2"/>
  <c r="M52" i="2"/>
  <c r="H52" i="2"/>
  <c r="M51" i="2"/>
  <c r="H51" i="2"/>
  <c r="M50" i="2"/>
  <c r="H50" i="2"/>
  <c r="M49" i="2"/>
  <c r="H49" i="2"/>
  <c r="M48" i="2"/>
  <c r="H48" i="2"/>
  <c r="M47" i="2"/>
  <c r="H47" i="2"/>
  <c r="M46" i="2"/>
  <c r="H46" i="2"/>
  <c r="M45" i="2"/>
  <c r="H45" i="2"/>
  <c r="M44" i="2"/>
  <c r="H44" i="2"/>
  <c r="M43" i="2"/>
  <c r="H43" i="2"/>
  <c r="M42" i="2"/>
  <c r="H42" i="2"/>
  <c r="M41" i="2"/>
  <c r="H41" i="2"/>
  <c r="M40" i="2"/>
  <c r="H40" i="2"/>
  <c r="M39" i="2"/>
  <c r="H39" i="2"/>
  <c r="M38" i="2"/>
  <c r="H38" i="2"/>
  <c r="M37" i="2"/>
  <c r="H37" i="2"/>
  <c r="M36" i="2"/>
  <c r="H36" i="2"/>
  <c r="M35" i="2"/>
  <c r="H35" i="2"/>
  <c r="M34" i="2"/>
  <c r="H34" i="2"/>
  <c r="M33" i="2"/>
  <c r="H33" i="2"/>
  <c r="M32" i="2"/>
  <c r="H32" i="2"/>
  <c r="M31" i="2"/>
  <c r="H31" i="2"/>
  <c r="M30" i="2"/>
  <c r="H30" i="2"/>
  <c r="M29" i="2"/>
  <c r="H29" i="2"/>
  <c r="M28" i="2"/>
  <c r="H28" i="2"/>
  <c r="M27" i="2"/>
  <c r="H27" i="2"/>
  <c r="M26" i="2"/>
  <c r="H26" i="2"/>
  <c r="M25" i="2"/>
  <c r="H25" i="2"/>
  <c r="M24" i="2"/>
  <c r="H24" i="2"/>
  <c r="M23" i="2"/>
  <c r="H23" i="2"/>
  <c r="M22" i="2"/>
  <c r="H22" i="2"/>
  <c r="M21" i="2"/>
  <c r="H21" i="2"/>
  <c r="M20" i="2"/>
  <c r="H20" i="2"/>
  <c r="M19" i="2"/>
  <c r="H19" i="2"/>
  <c r="M18" i="2"/>
  <c r="H18" i="2"/>
  <c r="M17" i="2"/>
  <c r="H17" i="2"/>
  <c r="M16" i="2"/>
  <c r="H16" i="2"/>
  <c r="M15" i="2"/>
  <c r="H15" i="2"/>
  <c r="M14" i="2"/>
  <c r="H14" i="2"/>
  <c r="M13" i="2"/>
  <c r="H13" i="2"/>
  <c r="M12" i="2"/>
  <c r="H12" i="2"/>
  <c r="M11" i="2"/>
  <c r="H11" i="2"/>
  <c r="M10" i="2"/>
  <c r="H10" i="2"/>
  <c r="M9" i="2"/>
  <c r="H9" i="2"/>
  <c r="M8" i="2"/>
  <c r="H8" i="2"/>
  <c r="M7" i="2"/>
  <c r="H7" i="2"/>
  <c r="M6" i="2"/>
  <c r="H6" i="2"/>
  <c r="M5" i="2"/>
  <c r="H5" i="2"/>
  <c r="M4" i="2"/>
  <c r="H4" i="2"/>
  <c r="M3" i="2"/>
  <c r="H3" i="2"/>
  <c r="M2" i="2"/>
  <c r="H2" i="2"/>
</calcChain>
</file>

<file path=xl/sharedStrings.xml><?xml version="1.0" encoding="utf-8"?>
<sst xmlns="http://schemas.openxmlformats.org/spreadsheetml/2006/main" count="4307" uniqueCount="1747">
  <si>
    <t>Asignado a</t>
  </si>
  <si>
    <t>Jira Caja</t>
  </si>
  <si>
    <t xml:space="preserve">Requerimiento </t>
  </si>
  <si>
    <t>Actividad</t>
  </si>
  <si>
    <t>ESTADO</t>
  </si>
  <si>
    <t>Dias estimados desarrollo</t>
  </si>
  <si>
    <t>F.Asignado</t>
  </si>
  <si>
    <t>Fecha inicio</t>
  </si>
  <si>
    <t>Fecha estimada de entrega</t>
  </si>
  <si>
    <t>Finalizado</t>
  </si>
  <si>
    <t>Dias total desarrollo</t>
  </si>
  <si>
    <t>Fecha compromiso cliente</t>
  </si>
  <si>
    <t>TEST</t>
  </si>
  <si>
    <t>PRODUCCION</t>
  </si>
  <si>
    <t>OBSERVACIONES</t>
  </si>
  <si>
    <t>Jira TEST</t>
  </si>
  <si>
    <t>jira PROD</t>
  </si>
  <si>
    <t xml:space="preserve">Seguimiento 5 mayo </t>
  </si>
  <si>
    <t xml:space="preserve">seguimiento 7 mayo </t>
  </si>
  <si>
    <t xml:space="preserve">seguimiento 9 mayo </t>
  </si>
  <si>
    <t>seguimiento 9 mayo  2</t>
  </si>
  <si>
    <t xml:space="preserve">seguimiento 12 mayo </t>
  </si>
  <si>
    <t xml:space="preserve">seguimiento 14 mayo </t>
  </si>
  <si>
    <t xml:space="preserve">seguimiento 15 mayo </t>
  </si>
  <si>
    <t xml:space="preserve">seguimiento 16 mayo </t>
  </si>
  <si>
    <t xml:space="preserve">seguimiento 19 mayo </t>
  </si>
  <si>
    <t xml:space="preserve">seguimiento 21 mayo </t>
  </si>
  <si>
    <t xml:space="preserve">seguimiento 23 mayo </t>
  </si>
  <si>
    <t xml:space="preserve">seguimiento 26 mayo </t>
  </si>
  <si>
    <t xml:space="preserve">seguimiento 28  mayo </t>
  </si>
  <si>
    <t xml:space="preserve">seguimiento  30 mayo </t>
  </si>
  <si>
    <t>seguimiento  4 Junio</t>
  </si>
  <si>
    <t>seguimiento  6 Junio</t>
  </si>
  <si>
    <t>seguimiento  9 Junio</t>
  </si>
  <si>
    <t>seguimiento  11 Junio</t>
  </si>
  <si>
    <t>seguimiento  13 Junio</t>
  </si>
  <si>
    <t>seguimiento  16 Junio</t>
  </si>
  <si>
    <t>FINALIZADO</t>
  </si>
  <si>
    <t>TRUE</t>
  </si>
  <si>
    <t>EN PROCESO</t>
  </si>
  <si>
    <t>PENDIENTE</t>
  </si>
  <si>
    <t>PAUSADO</t>
  </si>
  <si>
    <t>No se reportan avances</t>
  </si>
  <si>
    <t xml:space="preserve">Se entregó a test,  el vienres 2 de mayo </t>
  </si>
  <si>
    <t>GD772-109</t>
  </si>
  <si>
    <t>CNTI-271</t>
  </si>
  <si>
    <t>EN TEST</t>
  </si>
  <si>
    <t>GD772-73  Agregar al informe de numero de solicitu  que devuelve el servicio</t>
  </si>
  <si>
    <t>20/03/2025: Creará scripts para solicitar control de cambios en test e iniciará el desarrollo hoy.
21/03/2025:Creó un script para una nueva tabla y solicitó el control de cambios MDSB-784148 en test ayer; está terminando la vista del cargue del archivo y luego añadirá el campo para ingresar el número CUPS en el visor de imágenes en  la actividad “Atención de la solicitud”.  
25/03/2025: El viernes terminó el cargue del documento con el listado de CUPS (carga/actualiza); avanzó en la vista de imágenes con un botón y lógica condicional para la actividad específica, pero está pendiente la ejecucion del control de cambios MDSB-784148 en test. .
26/03/2025: Ayer terminó hasta el punto 3 (Regla de asignación), pero necesita más pruebas; falta el punto 4 (informe), en el que trabajará hoy.
27/03/2025: Ayer optimizó consultas para reducir costo computacional y está terminando el informe (punto 4); todo estará listo a las 10 a.m. para test.
31/03/2025: El viernes en la tarde realiza ajustes  de los hallasgos reportados en las pruebas, hoy se validaran en test..
01/04/2025: Se realizara los  ajustes  pendientes y los que sugan de las pruebas de hoy.
02/04/2025.trabajara  en la administración de tipologías, activar los flujos para su edición
03/04/2025: Finaliza  ajuste en  en la administración de tipologías, Ayer  se presento desarrollo al cliente  y aprueba  paso  a produccion, se escala control de cambios MDSB-790997.
04/04/2025: Pendiente cargue al requriemiento de las pruebas de Bolivar en test  para  continuar con el proceso del control de cambios MDSB-790997.
07/04/2025: Pruebas adjuntas al  requerimiento y control de cambios MDSB-790997 pasa a Aprobacion QA de bolivar
09/04/2025: Ayer Se realiza  paso a produccion.</t>
  </si>
  <si>
    <t xml:space="preserve">GD772-94 </t>
  </si>
  <si>
    <t>tablero de analisis de la operación de reembolsos</t>
  </si>
  <si>
    <t>07/04/2025:Iniciara tan pronto finalice las vulnerabilidades pendientes.
09/04/2025: Ayer Danilo no avanzó por vulnerabilidades; hoy inicia la implementación, coordinará con Jairo (extrae datos del informe); estiman 3-4 días (hasta el jueves o viernes)
10/04/2025: No avanzó ayer por otras prioridades; hoy dedicará tiempo y coordinará con Jairo para el contexto; estiman 3-4 días. 
11/04/2025: Ayer ajustó el API del informe de digitación (puerto 888 en producción); hoy termina ajustes finales y avanza en la implementación en Yii, coordinado con Jairo para evitar duplicidad; Se solicita control de cambios MDSB-795762 en test, quedo ejecutado con exito y se escala control de  cambios a produccion MDSB-796132.
14/04/2025: Se encentra  terminando los ajustes necesarios  para  pasar el  req a test para  pruebas.
22/04/2025: Se realiza paso a producción.</t>
  </si>
  <si>
    <t xml:space="preserve">Ajuste informe Autorizaciones salud (2) </t>
  </si>
  <si>
    <t># REQ</t>
  </si>
  <si>
    <t>Detalle del requerimiento</t>
  </si>
  <si>
    <t xml:space="preserve">Proceso </t>
  </si>
  <si>
    <t>%</t>
  </si>
  <si>
    <t>Visible</t>
  </si>
  <si>
    <t>OBSERVACIONES  ALFA</t>
  </si>
  <si>
    <t>MAURICIO</t>
  </si>
  <si>
    <t>PRV_2025_001_1</t>
  </si>
  <si>
    <t>REVISIÓN DE LIQUIDACIÓN PARA PAGO,</t>
  </si>
  <si>
    <t>Previsional</t>
  </si>
  <si>
    <r>
      <rPr>
        <sz val="10"/>
        <color theme="1"/>
        <rFont val="Quattrocento Sans"/>
      </rPr>
      <t xml:space="preserve">Se notifica por par parte del jefe de unidad inconsistencias en Vistas de las fuentes de información entregadas. Carecen de data necesaria, 
09/06/2025 :El requerimirneo fue  pausado 12 mayo de 2025
10/06/2025: Hoy se definira si se contunua con el desarrollo o continua pausado.
11/06/2025: Ya se cuenta con los permisos y el query para la vista. Se sincronizan las reclamaciones de Cifren, pero falta integrar las de Plus (montadas en AWS) y ajustar la identificación del origen de cada reclamación.
Se estima que este requerimiento adicional tomará un día de trabajo Iniciando  el 12 de Junio
13/06/2025: Se obtuvo respuesta positiva sobre permisos para acceder a la vista de Plus. Sin embargo, falta que la vista tenga datos reales para completar la sincronización. 
16/06/2025 : Se completó la primera fase de validación y hoy se trabaja en la parte de gestión de pagos, cliente  realizara pruebas hoy 
</t>
    </r>
    <r>
      <rPr>
        <b/>
        <sz val="10"/>
        <color theme="1"/>
        <rFont val="Quattrocento Sans"/>
      </rPr>
      <t>17/06/2025</t>
    </r>
    <r>
      <rPr>
        <sz val="10"/>
        <color theme="1"/>
        <rFont val="Quattrocento Sans"/>
      </rPr>
      <t>: Se realizan en ajustes en la mañana de hallasgoz reportados por el cliente tras las pruebas, y se entregaran al cliente para sus pruebas. 
18/06/2025: Se adaptó el grid y los reportes a 
los distintos roles/permisos. También se incorporaron nuevos campos a solicitud del cliente; pendiente Pruebas  por el cliente.
19/06/2025; supero pruebas del cliente  y se aprueba paso a produccion  para el dia sabado 21 de Junio..
24/06/2025; Alfa aplazó el paso a produccion para el 5 de julio, debido a que tenían actualizaciones pendientes. Además, dependemos de la disponibilidad de ciertas vistas en el ambiente de producción para continuar con el proceso. 
07/07/2025: Se realiza paso a produccion el 5 de julio.</t>
    </r>
  </si>
  <si>
    <t>PRV_2025_001_2</t>
  </si>
  <si>
    <t>VALIDACIÓN DE LOTE PARA PAGO,
NOTIFICACIÓN DE PAGO</t>
  </si>
  <si>
    <t>El 16 de junio se inicia desarrollo confecha estimada de finalizacion  18 de junio. 
18/06/2025: El 17 de junio  se desarrollan dos informes adicionales: tesorería y porvenir, con definición de estructura en curso.
19/06/2025: Entrega al cliente para pruebas 19 de junio, Cliente solicita ajuste de vistas y campos  necesarios  para el proceso.
24/06/2025; Alfa aplazó el paso a produccion para el 5 de julio, debido a que tenían actualizaciones pendientes
07/07/2025: Se realiza paso a produccion el 5 de julio.</t>
  </si>
  <si>
    <t>PRV_2025_004</t>
  </si>
  <si>
    <t>AUXILIOS FUNERARIOS
PAGO AUX. FUNERARIOS</t>
  </si>
  <si>
    <t>Cargue de formatos de formalización y consolidado 100%
Opción de edición y opción de histórico del flujo 100%
Se notifica por par parte del jefe de unidad inconsistencias en Vistas de las fuentes de información entregadas. Carecen de data necesaria
09/06/2025 :El requerimirneo fue  pausado  el 6 de junio de 2025.
16/06/2025: Se comenzarán el jueves 19 de junio. Ya se están creando las vistas necesarias para ese flujo
19/06/2025: Inicio del desarrollo.
20/06/2025:No se pudo avanzar ayer 19 de junio por ajustes requeridos por el cliente para PRV_2025_001 VALIDACIÓN DE LOTE PARA PAGO,NOTIFICACIÓN DE PAGO,  Se retomara  desarrollo 24 de junio.
24/06/2025; Se encuentra sincronizando data, se estiman 2 dias para finalizar.
25/06/2025:Se ajustó la lógica del requerimiento tras diferenciarlo claramente del flujo de pagos. Se avanzó en la creación de vistas y en la sincronización inicial de datos. Se espera tener el desarrollo listo para pruebas el jueves 26. Se planea agregar botones para sincronización (Pago,auxilio y exportar) diferenciada según permisos,crear tabla de auxilios x año, ajustar campos (encabezados)de la vista de gestion y ajustar modulo de consulta.
26/06/2025: Se avanzó satisfactoriamente en la creación de la tabla de auxilios por año, el ajuste de encabezados en la vista de gestión y la incorporación de los botones de sincronización según permisos. PENDIENTE, Está pendiente la solución del error en la sincronización masiva, lo cual impide avanzar con la exportación y cargue de información. También sigue sin ajustes el módulo de consulta para auxilios.
27/06/2025: 
pendiente: 1. asignar opcion de pendientes
2. Ver consolidado pagos. (se envia masivamente y aprueba por el flujo para pasar a pagos).
3. Generar informe radicacion pagos plus.
Se estima toda la entrega para hoy
01/07/2025: Se ha avanzado en un 75% del desarrollo, incluyendo funcionalidades principales. El cierre del tema está previsto para hoy, Faltan por implementar la generación de informes, la edición de fecha de siniestro y valor, así como la opción de marcar como pendiente.
02/07/2025:El desarrollo del módulo de auxilios funerarios presenta un avance estimado del 90%. Ya se encuentra implementada la funcionalidad principal, incluyendo la creación de vistas, funciones de sincronización y flujo de radicación hasta aprobación. Se están finalizando los ajustes a los reportes en Excel, Se programó una sesión de revisión hoy a las 2:00 p.m. para validación funcional y ajuste de pendientes.
04/07/2025: Se resolvió un error en la validación de pagos, el módulo ya está funcional. Se finalizó el desarrollo y se ajustaron validaciones necesarias para la gestión masiva y manual. Solo queda pendiente la validación del cliente, ya que la sesión programada fue cancelada.
07/07/2025: Se Pasado a producción el 5 de julio sin habilitar el menú. Faltan validaciones finales por el cliiente.
16/07/2025: Las pruebas no se han culminado por un error en el sistema del cliente al cargar unos registros. Sin estos registros no puedo ver la data que necesitamos en Imagine.
29/07/2025: Se proyecta acompañar al àrea para realizar pruebas con los recursos existentes para ya dejar cerrado el requerimiento
01/08/2025: Hoy se retoma el módulo con el cliente, para validar que se tiene hasta el momento, funcionalidad y posibles desviaciones, para dar gestion y cierre del requerimiento
04/08/2025: Se continùa validaciones y ajustes correspondientes para proyectar paso a producciòn el viernes 08 de agosto
12/08/2025: Debido a incidencia presentada en la conexión Plus + UAT , no fue posible el paso a producciòn el viernes 08 de agosto, por tanto se proyecta el despliegue para el viernes 15 de agosto
20/08/2025: Despliegue a produccion realizado en 15 de Agosto.</t>
  </si>
  <si>
    <t>15/07/2025 Ya se encuenra en produccion</t>
  </si>
  <si>
    <t>PRV_2025_009</t>
  </si>
  <si>
    <t>DESARROLLO PREVISIONALES  INCAPACIDADES</t>
  </si>
  <si>
    <t>09/06/2025: El Objetivo Automatizar el cálculo de incapacidades en el sistema Imagine, replicando el proceso manual actual utilizado por los liquidadores y presentando los resultados en un formato claro y compatible con Excel.\niniciara  con el desarrollo.
11/06/2025: Mauricio completó la función de cálculo y está terminando el formulario de consulta. Planea entregar el requerimiento completo hoy para subir a pruebas el jueves.
13/06/2025: Ya fue entregado en ambiente de pruebas para validación del cliente. Está funcionando correctamente y aplicando los cálculos según lo solicitado.
9/06/2025: Paso a produccion para el 21 de junio.
24/06/2025: Fala aplazó el paso a produccion para el 5 de julio, debido a que tenían actualizaciones pendientes.
07/07/2025: Igual que Auxilios se paso a producciòn el 5 de julio sin habilitar el menu. Se requiere validación del cliente para habilitar.
16/07/2025: Requerimiento funcional en produccion con el menu habiitado.</t>
  </si>
  <si>
    <t>PRV_2025_007</t>
  </si>
  <si>
    <t>CALCULO IBL</t>
  </si>
  <si>
    <t>11/06/2025: Continuara con el desarrollo tras finalizar  req PRV_2025_001  REVISIÓN DE LIQUIDACIÓN PARA PAGO
13/06/2025:Se programó su inicio para hoy. Mauricio confirmara la estimación del tiempo de desarrollo.
16/06/2025: Se requiere una sesion con Carlos, Jenry, Mauricio y Fabio para entender el detalle de validaciones. Aún no se tiene fecha ni estimación.
04/07/2015:Se inicia desarrollo con  un avance del 20%. Se ajustaron funciones en Postgres para cálculos correctos según las vistas generadas. El siguiente paso es crear la funcionalidad de consulta por cédula o siniestro y desplegar cálculos de acuerdo a la fecha indicada. Se estima finalizar req hoy   para  realizar paso a produccion el  5 de julio.
07/07/2025: Se realizo paso a producciòn el 5 de Julio sin habiitar el menu, Faltan pruebas formales del cliente para habilitación final.
11/07/2025: El 10 de julio se realizó un ajuste para excluir los casos con auxilios funerarios. Ahora, el sistema valida que el origen del caso sea únicamente incapacidad o supervivencia; en caso contrario, se lanza una alerta.
16/07/2025: Se realiza paso a producción el 14 de julio en la noche.</t>
  </si>
  <si>
    <t>10/07/2025 Posterior a pruebas se solicito ajuste a Mauricio para que no mostrara informacion diferentes a cod_origen 1,2
15/07/2025 Ya se encuenra en produccion</t>
  </si>
  <si>
    <t>PRV_2025_005</t>
  </si>
  <si>
    <t>HISTORIA LABORAL</t>
  </si>
  <si>
    <t xml:space="preserve">Rentas </t>
  </si>
  <si>
    <t>11/06/2025: Continuara con el desarrollo tras finalizar  req  PRV_2025_007 CALCULO IBL
07/07/2025: Inicia desarrollo 
08/07/2025: Se reporta un avance del 50 % entre analisis y desarrollo del requerimeinto. 
09/07/2025: Se Finaliza desarrollo y se entrega al cliente  para pruebas.
14/07/2025: El 10 de julio se ajustó el reporte para incluir los períodos que existen en Multifondos pero no en Alfa. Adicionalmente, se incorporó una nueva columna que muestra el salario mensualizado proveniente de Porvenir. Los cambios ya fueron implementados y se encuentran listos para validación.
16/07/2025: Se realiza paso a producción el 14 de julio en la noche.</t>
  </si>
  <si>
    <t>10/07/2025 Posterior a pruebas se solicito a Mauricio ajustes para visualizar los periodos a los cuales no se realizo analisis y tambien columna adicional para periodos falsos con calculo de el valor del los dias (Valor salario MF * 30) / Dias cotizados 
11/07/2025: El 10 de julio se ajustó el reporte para incluir periodos que existan en multifondos pero no en Alfa. Se agregó una columna adicional para mostrar el salario mensualizado proveniente de Porvenir. Cambios ya implementados y listos para validación.
15/07/2025 Ya se encuenra en produccion</t>
  </si>
  <si>
    <t>AJUST_REN_2025_001_1</t>
  </si>
  <si>
    <t>INCLUIR VALIDACION DOCUMENTAL PARA NUEVO ORIGEN SUSTITUCION PENSIONAL I</t>
  </si>
  <si>
    <t>11/07/2025: Dado que ya se crearon las tablas de referencia, se finalizó este proceso el día 10 de julio. Queda pendiente validar el impacto que estas puedan tener en los diferentes módulos y consultas del sistema para que el cliente realice las pruebas.
14/07/2025:  El viernes 11 se  valida en ambiente de pruebas los ajustes realizados, confirmando funcionamiento correcto en: cargue de cotización y contratación, gestión telefónica desde call center, exportación del informe de Presidencia y descarga de documentos. Quedan pendientes por validar: envío de correos del portafolio de servicios, envío de comprobantes de nómina y validación de consultas.\n Hoy se trabajará en los informes que deben reflejar esta nueva parametrización y se verificará si afecta portafolios o comprobantes de nómina.
15/07/2025: El lunes 14 de julio se finalizó el desarrollo del ajuste, se realizaron las pruebas correspondientes con resultados exitosos y se procedió con el paso a producción.</t>
  </si>
  <si>
    <t>26/06/2025 Se incluyen requerimientos de acuerdo  a sesiones con el cliente. Corresponde a ajustes a plataforma ya en produccion
10/07/2025 ya que crearon las tablas de referencia. pendiente validar el impacto en los diferetnes modulos y consutas.
11/07/2025 Se valida ajustes realizados por mauricio en pruebas posterior a la incluision de nuevo ORIGEN. Para esto se confirma que esta correcto: 1. Cargue cotizacion y contratacion 2. Gestion telefonica call center 3. Exportar informe Presidencia 4. Descarga de documentos con nuevo Origen.) PENDIENTES: 5. Envio correos Portafolio de servicio  6. Envio Comprobantes de nomina 7. Valdacion de consultas.
15/07/2025 Ya se encuenra en produccion</t>
  </si>
  <si>
    <t>AJUST_REN_2025_001_2</t>
  </si>
  <si>
    <t xml:space="preserve">INFORME DE PRESIDENCIA (Validación Documental Rentas) </t>
  </si>
  <si>
    <t>10/07/2025: Se realizaron los ajustes solicitados por el área y estos ya fueron entregados en el ambiente de producción. El cliente efectuó las pruebas correspondientes y confirmó que el ajuste fue aplicado correctamente.</t>
  </si>
  <si>
    <t>26/06/2025 Se incluyen requerimientos de acuerdo  a sesiones con el cliente. Corresponde a ajustes a plataforma ya en produccion
10/07/2025 Se realizan ajustes solicitados por el area. Y ya se entregaron en produccion. El cliente realizo pruebas y confirmo ajuste.</t>
  </si>
  <si>
    <t>AJUST_REN_2025_001_3</t>
  </si>
  <si>
    <t>CAMBIO DE ESTADO DE IMÁGENES PARA RENTAS NO CONTRATADAS</t>
  </si>
  <si>
    <t>15/07/2025: Se inician ajustes solicitados
18/07/2025 Se culminaron los ajustes requeridos por el área, se realiza paso a produccion el 17 de julio.</t>
  </si>
  <si>
    <t>15/07/2025 Se inicia ajustes requeridos
17/07/2025 Requerimiento probado y en produccion. Se realizo paso a produccion el dia 17/07/2025</t>
  </si>
  <si>
    <t>AJUST_REN_2025_001_4</t>
  </si>
  <si>
    <t>VALIDAR INCONSISTENCIA INFORME RENTAS RCMA – DDEP</t>
  </si>
  <si>
    <t>11/07/2025: EL 10 de julio Se realizaron pruebas por parte de Carlos Rodríguez. Actualmente, el cambio se encuentra pendiente de ser implementado en el ambiente de producción.
15/07/2025:Se realizó el paso a producción el día 14 de julio.</t>
  </si>
  <si>
    <t>26/06/2025 Se incluyen requerimientos de acuerdo  a sesiones con el cliente. Corresponde a ajustes a plataforma ya en produccion
10/07/2025 Se realizaron pruebas por parte de Carlos Rodriguez. Pendiente pasar a producicon.
15/07/2025 Ya se encuenra en produccion
15/07/2025 Se solcito por parte del usuario incluir una nueva validacion.</t>
  </si>
  <si>
    <t>AJUST_REN_2025_001_5</t>
  </si>
  <si>
    <t>INCLUIR VALIDACIÓN ADICIONAL PARA RCMA – DDEP.</t>
  </si>
  <si>
    <t>16/07/2025: Se finaliza ajuste 15 de julio y se realiza despliegue a produccion el 16 de julio en la mañana.</t>
  </si>
  <si>
    <t>PRV_2025_011</t>
  </si>
  <si>
    <t>ANS - TABLERO DE CONTROL  - dashboard</t>
  </si>
  <si>
    <t>18/07/2025: Se completó el query de base. Se trabaja en selección de librería gráfica compatible con Laravel. Se estima un 20% de avance general.
21/07/2025: Se esta trabajando en las graficas de ANS, se estima terminar el 22 de julio para paso a pruebas UAT
24/07/2025: El 22/07/2025 se continua en gestión del tablero de control ANS, sacaba error en los gráficos, se estima terminar el 23/07/2025 por compromiso con el cliente.
23/07/2025: Se terminan los gráficos del tablero de control.
24/07/2025: Se trabaja en el export de la data de las estadisticas
25/07/2025. Se entrega al área tablero de ANS finalizado, programado subir los cambios para paso a producción el 25/07/2025 a las 5:00 pm</t>
  </si>
  <si>
    <t>17/07/2025 Se solicita realizar desarrollo inicial para lo que ya se encuentra en produccion en cuanto a pagos. Este modulo tambien debe conterner lo correpondiente a Auxilio funerario que actualmente se encuentra pausado</t>
  </si>
  <si>
    <t>CARLOS</t>
  </si>
  <si>
    <t>PRV_2025_002</t>
  </si>
  <si>
    <t>REPORTE ANEXO 1 (Lentantamiento de requerimiento)</t>
  </si>
  <si>
    <t>21/07/2025: Carlos esta adelantando el levantamiento del requerimiento, para proyectar entrega
23/07/2025: Se encuentra en definición con el cliente, para establecer algunas prioridades en los requerimientos siguientes
25/08/2025: Se retoma el levantamiento del requerimiento  y se proyecta entrega a Mauricio para desarrollo el día de mañana, sin embargo, se estan priorizando informes propios de la operación de Imagine.
03/09/2025: Requerimiento en pausa debido a que Imaginex actualmente no cuenta con permisos para creación de vistas, se encuentra en validación por infraestructura para una solución.
26/09/2025: El 22 de septiembre se termino el levantamiento del requerimiento, en el transcurso de la semana se han estado elaborando vistas, sin embargo, Imagine no tiene acceso y permisos para editar o crear vistas en DLL, AUT ni producción.
03/10/2025: El 02 de octubre se obtienen los permisos y se inicia con la creación de las vistas 
14/10/2025: Se proyecta finalizar el levantamiento del requerimiento para pasar a desarrollo</t>
  </si>
  <si>
    <t>17/07/2025 Se esta culminado el query para generar reporte</t>
  </si>
  <si>
    <t>PRV_2025_002-1</t>
  </si>
  <si>
    <t>REPORTE ANEXO 1 (desarrollo )</t>
  </si>
  <si>
    <t>17/10/2025: El 15 de octubre se termino el desarrollo del requerimiento Anexo 1, posteriormente se han realizado validaciones y ajustes que se cruzan con otros requerimientos, con el fin de no presentar incindencias</t>
  </si>
  <si>
    <t>PRV_2025_001</t>
  </si>
  <si>
    <t xml:space="preserve">Ajuste flujo de  pagos </t>
  </si>
  <si>
    <t>21/07/2025: El 17/07/2025 Se envía correo por parte de Carlos a Seguros Alfa, solicitando modificar 2 vistas:
a. Sipren: Ajustes V_consolidado_reclamaciones_img
b. Plus: AjustesV_consolidado_tramites_plus
Pendiente presentarlo a comité para efectuar el cambio correspondiente en las vistas.
El 18/07/2025, Mauricio realizó un ajuste en el módulo de flujo de pagos, mediante el cual se asocia a cada estado del flujo una ruta u opción de acceso específica. Anteriormente, independientemente del permiso asignado, los usuarios podían visualizar los estados a los que contaban con permiso.
23/07/2025: El 22 de Julio se entrega al cliente  para pruebas, al pendiente de aceptacion  para paso a produccion.
24/07/2025: Se solicita a Mauricio subir los cambios de flujo de pagos modificados en las vistas que actualizò Carlos. Validar los cambios y ajustes requeridos por el cliente en requerimientos ya cerrados para paso a producción.
25/07/2025: Se finalizan los ajustes solicitados por el área (un campo llamado parentesco y mostrarlo en el export, en el Excel que exporta el cliente). Programado subir cambios para paso a producción el 25/07/2025 a las 5:00 pm
28/07/2025: El viernes 25 de julio sobre las 6:00 pm hasta las 7:30 pm se realiza el despliegue a producción.
El dìa de hoy se encuentra validando que los cambiosy ajustes en el paso a producciòn están funcionando correctamente.
Se evidencia que hubo una inconsistencia en los datos que Alfa suministra en el cambio a producción. Se encuentra en validación.
01/08/2025: Se vuelve a validar con Alfa la información reportada en el script, sin embargo, se encuentran a la espera de que el área de producción entregue el DLL que se envió en el despliegue. Por parte de Imagine no hay pendientes.
08/08/2025: El 06 de Agosto a raíz de la reunión con el área Previsionales el día 05 de agosto, surgieron ajustes solicitados por parte del vicepresidente de Alfa.
1.        Incluir el cálculo IBL dentro del flujo. Validar primero el nombre de las etiquetas.
2. Convertir en cero al exportar el Excel los valores negativos. Solicitud de Patricia Arteaga
3. Resaltar el nombre de la columna Pago Total para que se ubiquen los usuarios.
4. Validar las etiquetas dentro del editar. Falta información
5. Revisar información que sale en la parte izquierda en el editar, ya que no se sale un valor, según valido Hugo Gómez
El día de hoy 08 de agosto, se trabaja en en control de cambios en Flujo de pagos solicitado por el Vicepresidente de Alfa.
20/08/2025: Se pasa a producciòn el 16 de agosto</t>
  </si>
  <si>
    <t>Carlos y Cindy</t>
  </si>
  <si>
    <t>PRV_2025_003</t>
  </si>
  <si>
    <t>AVISO A LA RENTA (Levantamiento del requerimiento)</t>
  </si>
  <si>
    <t>25/07/2025: Carlos y Cindy estan trabajando en el levantamiento del requerimiento para pasar a Mauricio y que inicie con el desarrollo para que quede en el paso a producción programado para el 25/07/2025 a las 5:00 pm
28/07/2025: El viernes 25 de julio se hace socializaciòn del requerimiento con Mauricio y Jairo.
20/08/2025: El sabado 16 se realizo el paso a producciòn</t>
  </si>
  <si>
    <t>PRV_2025_003-1</t>
  </si>
  <si>
    <t>AVISO A LA RENTA (Desarrollo)</t>
  </si>
  <si>
    <t>28/07/2025, el viernes 25 de julio, debido a una inconsistencia en el aplicativo ALFASST del área SST con unas ordenes de servicio, se tuvo que dar prioridad y Mauricio no pudo iniciar el desarrollo de Avisos a la renta.
El día de hoy, luego de terminar validaciones de paso a producción de otros requerimientos, se inicia desarrollo de este requerimiento.
29/07/2025: Mauricio se enfocarà en terminar el requerimiento completamente.
30/07/2025: Se reporta un avance del 50% en el desarrollo del módulo de avisos de renta. Ya se visualizan los pagos correctamente y quedan pendientes las funcionalidades de notificación, descarga de Excel y eliminación de registros. Se espera finalizar hoy.
01/08/2025: A 31 de julio ya esta por entregar, Mauricio el dìa de hoy mostrara el funcionamiento y el flujo del reporte, para identificar posibles desviaciones y validar si es posible automatizarlo.
04/08/2025: El 01 de agosto quedo funcional el requerimiento, esta proyectado para paso a producción el viernes 08 de agosto
13/08/2025. Se proyecta paso a producción el sabado 16 de agosto.
20/08/2025: Paso a produccion realizado 16 de Agosto.</t>
  </si>
  <si>
    <t>Img_2025_001</t>
  </si>
  <si>
    <t>Validar servidor de contingencia</t>
  </si>
  <si>
    <t>Imagine</t>
  </si>
  <si>
    <t>01/08/2025: Se realizarà validación del servidor de contingencia el día de hoy, puesto que en meses pasado se presentaron incidencias y debemos garantizar que toda la información se encuentre sincronizada de forma correcta.
04/08/2025: Se programo sesiòn con Wilson y Mauricio para validaciòn y acompañamiento en la sincronización de la contingencia.
08/08/2025: Validación de error de la sincronización de contingencia, con Alfa y Claro - Onpremise
2. Validación cambio de llaves AWS.
12/08/2025: Se encuentra pendiente ajuste a permisos de carpetas para la sincronización y notificación por correo del error  en la sincronización o éxito en la misma.
La reunión del viernes para cambio de llaves AWS, se reprogramo para hoy a las 9:00 am hasta las 10:15 am aproximadamente.</t>
  </si>
  <si>
    <t>PRV_2025_004-1</t>
  </si>
  <si>
    <t>Ajustes modulo auxilios funerario</t>
  </si>
  <si>
    <t>08/08/2025: el 05 de Agosto, se realiza acompañamiento en la sesión del área de Previsionales con Blanca Romero, Elizabeth Guerrero y Hugo Gomez, por si surgen dudas u observaciones.
Se trabaja en informes de Pagos y Auxilios Funerarios.
11/08/2025: A raíz de la sesión del viernes surgieron ajustes adicionales:
1. Incluir el cálculo del IBL dentro del flujo
2. Convertir en cero al exportar el Excel los valores negativos. Solicitud de Patricia Arteaga
3. Resaltar el nombre de la columna Pago Total para que se ubiquen los usuarios
4. Validar las etiquetas dentro del editar. Falta información
5. Revisar información que sale en la parte izquierda en el editar, ya que no sale un valor, según valido Hugo Gomez.
Estos puntos ya quedaron gestionados el día de ayer en un 90%, falta culminar:
- Control de cambios en flujo de pagos
- Incluir el cálculo del IBL dentro del flujo. Validar nombre de las etiquetas
12/08/2025: El viernes hubo incidencia en el cargue del Excel archivo de formalización de Auxilios Funerarios, sin embargo, este ya quedo solucionado. Se continúa trabajando en los ajustes faltantes requeridos por vicepresidencia de Seguridad Social.
13/08/2025: Reunión con el área de coordinación y desarrollo para instrucciones de entrega de documentación.
- Creación de documentos técnicos requeridos por Alfa para paso a comité de cambios el día de hoy 13 de agosto y mañana 14. 
- Ajustes por pruebas de usuario en error de cargue de archivo y mejora de la consulta.
- Se proyecta paso a producción de aviso a la renta y auxilios funerarios el sabado 16 de agosto.
20/08/2025: El dìa sabado 16 se realiza paso a producciòn</t>
  </si>
  <si>
    <t>PRV_2025_004-2</t>
  </si>
  <si>
    <t>Ajustes auxilios funerarios y aviso a la renta</t>
  </si>
  <si>
    <t>14/08/2025: Ajuste a bugs reportados por el cliente para Auxilios Funerarios y Aviso a la Renta (formatos y consultas). Ya el dìa de hoy se certifico por parte del cliente el paso a producciòn, el cual se progrma realizar por parte de Mauricio el sabado 16 de agosto.
Se requiriò acompañamiento de Mauricio en las sesiones para solucionar de forma inmediata las inconsistencias, durante las horas de la mañana y tarde.
20/08/2025: EL sabado 16 se realizo paso a producciòn</t>
  </si>
  <si>
    <t>PRV_2025_004-3</t>
  </si>
  <si>
    <t xml:space="preserve">Genera  informes generales pagos y auxilios funerarios </t>
  </si>
  <si>
    <t>Generar un informe con el detalle de mostrar consulta y la trazabilidad de los casos de los procesos entregados a producciòn en semanas anteriores.</t>
  </si>
  <si>
    <t>27/08/2025: El 26 de agosto se trabajo en el desarrollo del informe general de pagos y auxilios funerarios.</t>
  </si>
  <si>
    <t>Img_2025_002</t>
  </si>
  <si>
    <t>Crear .bash para notificar  sincronización en base de datos</t>
  </si>
  <si>
    <t>15/08/2025: Se reconfiguraron los permisos y Mauricio estarà validando el tema el día de hoy, sincronizaciòn y funcionamiento
20/08/2025: Al 19 de agosto, se encuentra pendiente reporte por parte de Claro informando las actividades realizadas el dìa viernes de acuerdo al refresh de la llave.
Pendiente por parte Mauricio crear .bash para notificar cuando sincronice las bases de datos
25/08/2025: El viernes 22 de agosto se creo el .bash solicitado, sin embargo, se esta presentando una incidencia en la actualización, que no actualiza en la base de datos a diferencia del que corre a las 3 am. Mauricio estará validando otras funcionalidades y en caso de que continue la inconsistencia, se apoyará con Jairo  y Jenry
27/08/2025: El 25 de agosto se valido con tecnologìa el tema de crear una conexión SSH, el día de hoy 27 de agosto, dieron respuesta que se puede realizar sin problema.
03/09/2025: Mauricio indica que queda pendiente el sabado 06 de septiembre validar la sincronizaciòn y Carlos Rodriguez debe realizar la documentación de la sincronización para presentar a Alfa.
20/10/2025: El 17 de octubre se realizó sincronización manual de producción a contingencia, debido a que el procesos automático de las 3 am, dejo algunos archivos corruptos</t>
  </si>
  <si>
    <t>SST_2025_001</t>
  </si>
  <si>
    <t>Ajustes en servidores QA y PT de ALFASST AWS</t>
  </si>
  <si>
    <t>SST</t>
  </si>
  <si>
    <t>29/08/2025: 25/08/2025: Los desarrollos para esta aplicación se encontraban detenidos desde el año pasado. Por lo cual los ambientes no se encontraban actualizados y/o con data actualizada para pruebas.</t>
  </si>
  <si>
    <t>SST_2025_002</t>
  </si>
  <si>
    <t>29/08/2025: 25/08/2025: Se retomaron las pruebas en los entornos QA y PT para validar nuevos requerimientos y hacer seguimiento al estado de aquellos que aún se encuentran pendientes por ser desplegados en producción.</t>
  </si>
  <si>
    <t>SST_2025_003</t>
  </si>
  <si>
    <t>29/08/2025: 25/08/2025: Durante este proceso, se identificaron algunas incidencias en los servidores, por lo que fue necesario realizar ajustes y correcciones técnicas para garantizar un entorno estable que permitiera continuar con la validación de los cambios.</t>
  </si>
  <si>
    <t>SST_2025_004</t>
  </si>
  <si>
    <t>29/08/2025: 25/08/2025: Se restablecieron los cronogramas del año vigente en los entornos QA y PT para habilitar el nuevo módulo de profesionales y permitir sus respectivas pruebas.</t>
  </si>
  <si>
    <t>SST_2025_005</t>
  </si>
  <si>
    <t>Validar el modulo de profesionales para que el àrea pueda realizar pruebas</t>
  </si>
  <si>
    <t>29/08/2025: 25/08/2025: Se solucionaron errores en el módulo de profesionales y se realizaron correcciones funcionales.</t>
  </si>
  <si>
    <t>SST_2025_006</t>
  </si>
  <si>
    <t>Accesos y configuración técnica QA ALFASST AWS</t>
  </si>
  <si>
    <t>29/08/2025: 25/08/2025: Se refrescaron claves y accesos, especialmente en el servidor de pruebas, que presentaba problemas de ingreso.</t>
  </si>
  <si>
    <t>SST_2025_007</t>
  </si>
  <si>
    <t>29/08/2025: 25/08/2025: Se ajustó la configuración de pgAdmin para garantizar la conexión con las distintas bases de datos de ALFASST.</t>
  </si>
  <si>
    <t>PRV_2025_006</t>
  </si>
  <si>
    <t>Sincronización de estados de casos</t>
  </si>
  <si>
    <t>29/08/2025: 25/08/2025: Se implementó el ajuste para que, al cambiar un caso de estado CORRECCIÓN → REVISADO, se ejecute la sincronización individual del valor, considerando posibles modificaciones.</t>
  </si>
  <si>
    <t>PRV_2025_0011</t>
  </si>
  <si>
    <t>29/08/2025: 25/08/2025: Queda pendiente el desarrollo de la sincronización masiva, lo cual implica ajustes en las funciones de sincronización entre bases de datos.
03/09/2025: Requerimiento en pausa debido a que Imaginex actualmente no cuenta con permisos para creación de vistas, se encuentra en validación por infraestructura para una solución.
01/10/2025: El 30 de septiembre se obtienen permisos pendientes, lo cual permitio finalizar el desarrollo del requerimiento</t>
  </si>
  <si>
    <t>PRV_2025_008</t>
  </si>
  <si>
    <t>Flujo de Pagos Control de cambios</t>
  </si>
  <si>
    <t>29/08/2025: 25/08/2025: Permitir la modificación del campo VALOR_PAGO en casos específicos, exclusivamente dentro del primer flujo del proceso.
03/09/2025: Requerimiento en pausa debido a que Imaginex actualmente no cuenta con permisos para creación de vistas, se encuentra en validación por infraestructura para una solución.
01/10/2025: El 30 de septiembre se habilita la ediciòn del campo VALOR_PAGO ya que algunos casos lo requieren, modificaciòn restringida unicamente al primer flujo</t>
  </si>
  <si>
    <t>PRV_2025_012</t>
  </si>
  <si>
    <t>Auxilios Funerarios Control de Cambios</t>
  </si>
  <si>
    <t>29/08/2025: 25/08/2025: Sincronizar y actualizar automáticamente la fecha de siniestro según información proveniente de Porvenir.
03/09/2025: Requerimiento en pausa debido a que Imaginex actualmente no cuenta con permisos para creación de vistas, se encuentra en validación por infraestructura para una solución.
01/10/2025: El 30 de septiembre se creo opciòn para cuando se sincronicen las solicitudes permitan actualizar las fechas de siniestro</t>
  </si>
  <si>
    <t>PRV_2025_010</t>
  </si>
  <si>
    <t>Aviso a la Renta Control de Cambios</t>
  </si>
  <si>
    <t>29/08/2025: 25/08/2025: Incluir en el reporte:
* fecha_cierre
* número de solicitud
* fecha de envío de correo
03/09/2025: Requerimiento en pausa debido a que Imaginex actualmente no cuenta con permisos para creación de vistas, se encuentra en validación por infraestructura para una solución.
20/10/2025: Se incluyen campos solicitados por el área</t>
  </si>
  <si>
    <t>SST_2025_008</t>
  </si>
  <si>
    <t>Validación Modulo de Profesionales</t>
  </si>
  <si>
    <t>29/08/2025: 25/08/2025: Se solucionaron errores en el módulo de profesionales y se realizaron correcciones funcionales en ambiente Imagine.</t>
  </si>
  <si>
    <t>PRV_2025_013</t>
  </si>
  <si>
    <t>Auxilios Funerarios Control de Cambios Archivo</t>
  </si>
  <si>
    <t>29/08/2025: 25/08/2025: Al cargar el archivo de Excel, debe ejecutarse automáticamente el proceso de sincronización asociado.
03/09/2025: Requerimiento en pausa debido a que Imaginex actualmente no cuenta con permisos para creación de vistas, se encuentra en validación por infraestructura para una solución.
08/10/2025: El 30 de septiembre se creo opciòn para cuando se sincronicen las solicitudes permitan actualizar las fechas de siniestro</t>
  </si>
  <si>
    <t>PRV_2025_014</t>
  </si>
  <si>
    <t>Aviso a la Renta Control de Cambios Reporte</t>
  </si>
  <si>
    <t xml:space="preserve">29/08/2025: 25/08/2025: Automatizar el envío del informe:
Frecuencia: todos los viernes a las 6:00 a.m.
En caso de festivo, el informe debe enviarse el día hábil anterior.
03/09/2025: Requerimiento en pausa debido a que Imaginex actualmente no cuenta con permisos para creación de vistas, se encuentra en validación por infraestructura para una solución.
20/10/2025: El viernes 17 de octubre se agrego la funcionalidad para la ejecución del proceso Aviso a la Renta, mediante las tareas programadas. </t>
  </si>
  <si>
    <t>SST_2025_009</t>
  </si>
  <si>
    <t>Ajuste modulo profesionales</t>
  </si>
  <si>
    <t>Se requiere validar y realizar ajustes de errores e incidencias que se están presentando en el módulo para realizar las pruebas por parte del cliente y sea certificado el paso a producción</t>
  </si>
  <si>
    <t>01/09/2025: El 30 de agosto Mauricio realizando otras pruebas identifico un error en el modulo de profesionales en el ambiente de pruebas Alfa, por tanto se radica caso el 01 de septiembre para soporte de AWS y se contacta co Oscar Pérez para que nos ayuden con la incidencia reportada. Ya que hasta no sea solucionado no podremos realizar pruebas y el cliente tampoco.
La fecha estimada relacionada es solo si nos gestionan en soporte ALFA el día de hoy, de lo contrario se verá afectada y cambiará de acuerdo con la solución del caso radicado.
03/09/2025: El 02 de septiembre queda solucionada la incidencia y queda pendiente realizar pruebas internas antes de entregar a Nohora Carolina de SST para pruebas del área.
05/09/2025: El 04 de septiembre se iniciaron pruebas internas, sin embargo, no fue posible culminarlas debido a una incidencia presentada con el plan de trabajo en el ambiente QA. 
08/09/2025: El viernes 05 de septiembre, Mauricio trabajo en el cronograma en ambiente de pruebas, ya se libero presupuesto pero se esta validando porque no carga actividades y programas.
11/09/2025: El 10 de septiembre Mauricio continua validando, ajustando incidencias en el ambiente de QA que no han permitido realizar las pruebas correspondientes.
15/09/2025: El viernes 12 de septiembre Mauricio se enfoco en seguri revisando errores que se estan presentando en el módulo de cronogramas y edición de ordenes de servicios
18/09/2025: Durante los días del 15 al 17 Mauricio detecto errores en el desarrollo y ha trabajado en corregir y mejorar su funcionalidad, adicional de mejorar la apariencia siendo mas intuitivo para el usuario.
Se refactorizo el diseño de la gestión de profesionales a acreditar  y la gestión de proveedores.
22/09/2025: El viernes 19 de septiembre, Mauricio subió los ajustes de los modulos de profesionales y cronograma de trabajo.</t>
  </si>
  <si>
    <t>PRV_2025_015</t>
  </si>
  <si>
    <t>Creaciòn Vistas en DLL Alfa</t>
  </si>
  <si>
    <t>Creaciòn de vistas en ambiente DLL Alfa para desarrollo de requerimientos previsionales</t>
  </si>
  <si>
    <t>01/09/2025: El 29 de agosto a Mauricio se le entregaron credenciales por parte de infraestructura Alfa para permisos y creación de vistas en Desarrollo Sipren Plus, sin embargo, permitió coneción preo no la creación de las vistas.
03/09/2025: Requerimiento en pausa debido a que Imaginex actualmente no cuenta con permisos para creación de vistas, se encuentra en validación por infraestructura para una solución.
01/10/2025: Desde el 30 de septiembre se obtuvieron los permisos pendientes y se esta adelantando la creaciòn de vistas de los requerimientos que se han levantado
03/10/2025: el 02 de octubre se asignan nuevas vistas en la función de sincronización</t>
  </si>
  <si>
    <t>PRV_2025_016</t>
  </si>
  <si>
    <t>Actualización Tablero de Estadistica y Cumplimiento</t>
  </si>
  <si>
    <t>Se incluye en las graficas aux funerarios</t>
  </si>
  <si>
    <t>03/09/2025: 01/09/2025 Mauricio trabaja en la inclusión de la data de Auxilios Funerarios en el tablero de ANS.
02/09/2025: Se trabaja en los graficos de aux funerarios y en la consulta requerida para validar datos de flujo de pagos y aux funerario.
Pendientes pruebas internas para antes de entregar para pruebas por parte del área de previsionales
04/09/2025: el 03 de septiembre el desarrollo del gráfico está en fase final, restando únicamente ajustes de personalización en los tooltips. Se programó una reunión con el cliente para la socialización de avances, debido a que no alcanzo el tiempo, se reprogramo sesión para el jueves 4 de septiembre a las 9:00 am
El día de hoy 04 de septiembre, se realizan unas pruebas internas antes de entregar al cliente para sus respectivas pruebas y certificaciòn, siendo exitosas. En la sesión al momento de ingresar al aplicativo de pruebas Imagine, el cliente no pudo ya que por politicas de la compañia al parecer les quitaron permisos, se encuentran en validaciòn con el area tecnologica y sin embargo, por parte de Imagine les mostramos el módulo, los graficos, los cambios y los reportes. Se entrega para que apenas tengan acceso puedan validar y confirmar funcionalidad.
11/09/2025: Se confirma funcionalidad por parte del área de Previsionales</t>
  </si>
  <si>
    <t>Img_2025_004</t>
  </si>
  <si>
    <t>Conexiones con Ministerio -SAT</t>
  </si>
  <si>
    <t xml:space="preserve">04/09/2025: Se identificaron cambios en la configuración, por lo que se programó la reconfiguración de servicios en horas de la tarde.
</t>
  </si>
  <si>
    <t>PRV_2025_017</t>
  </si>
  <si>
    <t>Consultas y optimización de vistas (Alfa)</t>
  </si>
  <si>
    <t>Se requiere optimizar rendimiento y capacidad de las funciones del aplicativo Alfasst</t>
  </si>
  <si>
    <t>04/09/2025: El 03 de septiembre Mauricio trabaja en realizar ajustes en consultas y procesos de automatización. Continúa pendiente la optimización de querys para mejorar el rendimiento general.
18/09/2025: Durante los ultimos dìas Mauricio se ha encargado de identificar mejoras en las consultas
29/10/2025: El viernes 24 de octubre Mauricio estuvo validando mejoras en consultas y mejorar el rendimiento del aplicativo.
19/01/2026: Se realizaron ajustes técnicos en las vistas del sistema para optimizar el rendimiento y la velocidad de respuesta.</t>
  </si>
  <si>
    <t>Img_2025_005</t>
  </si>
  <si>
    <t>Conexiones con Ministerio -SAT Independientes</t>
  </si>
  <si>
    <t>08/09/2025: El viernes 05 de septiembre, Mauricio trabajo en la restructuración de BD del ambiente local ya que se encuentra desactualizada para realizar pruebas con el Ministerio.
10/09/2025: Durante los días 08 y 09 de septiembre, Mauricio ha trabajado en las conexiones SAT del Ministerio para el requerimiento de independientes.
11/09/2025: El 10 de septiembre, Mauricio finalizò la conexiòn en integraciòn con la URL del Ministerio.</t>
  </si>
  <si>
    <t>Img_2025_006</t>
  </si>
  <si>
    <t>PRV_2025_004-8</t>
  </si>
  <si>
    <t>Solicitar acceso a vistas y tablas</t>
  </si>
  <si>
    <t>15/08/2025: El dìa de hoy se tuvo incidencia debido a una restauraciòn de las bases de datos en SIPREN, en ambiente de pruebas, se borraron algunas vistas. Carlos realizó solicitud de nuevo de los permisos para lectura de tablas y vistas en ambiente de pruebas Sipren y Plus de unavez, ya que el dìa de hoy o mañana tambien realizaran restauración de bases de datos.
20/08/2025: Al 19 de agosto ya se encuentran los permisos e Imagine se encuntra en proceso de restauraciòn de las vistas y tablas borradas</t>
  </si>
  <si>
    <t>PRV_2025_004-4</t>
  </si>
  <si>
    <t>Ajuste Modulo de Pagos 1</t>
  </si>
  <si>
    <t>21/08/2025: El día 20 de agosto, luego del paso a producciòn y de las pruebas realizadas por el cliente, se identificaron incidencias en los requerimientos que se subiron en el despliegue, para el modulo de pagos, se presentaron las siguientes:
Incidencia: En el Excel de reportes se estaban duplicando los registros.
Solución: Se ajustó la consulta  incorporando la condición WHERE status = TRUE para filtrar únicamente los registros válidos.</t>
  </si>
  <si>
    <t>PRV_2025_004-5</t>
  </si>
  <si>
    <t>Ajuste Modulo de Pagos 2</t>
  </si>
  <si>
    <t>21/08/2025: El día 20 de agosto, luego del paso a producciòn y de las pruebas realizadas por el cliente, se identificaron incidencias en los requerimientos que se subiron en el despliegue, para el modulo de pagos, se presentaron las siguientes:
Incidencia: Los valores del último pago no coincidían.
Solución: Se modificó la vista ultimo_pago para incluir el cod_concepto = 2 y se corrigió el cálculo, que anteriormente sumaba pago_total en lugar de valor_concepto.</t>
  </si>
  <si>
    <t>PRV_2025_004-6</t>
  </si>
  <si>
    <t>Ajuste Aviso a la Renta</t>
  </si>
  <si>
    <t xml:space="preserve">21/08/2025: El día 20 de agosto, luego del paso a producciòn y de las pruebas realizadas por el cliente, se identificaron incidencias en los requerimientos que se subiron en el despliegue, para aviso a la renta, se presentaron las siguientes:
Incidencia: Se solicitó revisar el SELECT de la consulta utilizada para el aviso a la renta.
Solución: Se validó la formulación de la consulta y se confirmó que es correcta.
Nota: Carlos Rodríguez solicitó revisar y analizar el detalle de dicha consulta.
</t>
  </si>
  <si>
    <t>PRV_2025_004-7</t>
  </si>
  <si>
    <t>Ajuste Auxilio Funerario</t>
  </si>
  <si>
    <t>21/08/2025: El día 20 de agosto, luego del paso a producciòn y de las pruebas realizadas por el cliente, se identificaron incidencias en los requerimientos que se subieron en el despliegue, para auxilios funerarios, se presentaron las siguientes:
Incidencia: Error al cargar el formato Excel de auxilios cuando contiene varias hojas.
Solución: Se identificó que el sistema solo procesa correctamente la hoja activa. Se intentó ajustar para cargar únicamente esa hoja; sin embargo, por agilidad operativa, se solicita al usuario dejar una sola hoja en el archivo antes del cargue, mediante validación al cargar y un mensaje informativo.</t>
  </si>
  <si>
    <t>PRV_2025_004-9</t>
  </si>
  <si>
    <t xml:space="preserve">21/08/2025: El día 20 de agosto, luego del paso a producciòn y de las pruebas realizadas por el cliente, se identificaron incidencias en los requerimientos que se subiron en el despliegue, para auxilios funerarios, se presentaron las siguientes:
Incidencia: Falta de valor del auxilio funerario.
Solución: Se incluyó un ajuste final que complementa la información con la fecha esto solucionando el 70% del trabajo del analista. Se detectó que no se estaba completando el valor calculado del pago; por ello, se actualizó la condición WHERE para que también actualizara dicho valor.
</t>
  </si>
  <si>
    <t>PRV_2025_004-10</t>
  </si>
  <si>
    <t>21/08/2025: El día 20 de agosto, luego del paso a producciòn y de las pruebas realizadas por el cliente, se identificaron incidencias en los requerimientos que se subiron en el despliegue, para auxilios funerarios, se presentaron las siguientes:
Incidencia: Algunas funciones no fueron desplegadas en producción el día 16 de agosto.
Solución: Se realizó la creación e implementación de las funciones faltantes en el ambiente productivo.</t>
  </si>
  <si>
    <t>Img_2025_002-1</t>
  </si>
  <si>
    <t>Validar servidor de contingencia - Tarea 1</t>
  </si>
  <si>
    <t>22/08/2025: El día 21 de agosto Mauricio se ha encargado de atender tareas asignadas por Jenry para mejorar el tema de control y seguimiento en ambiente de contingencia:
- Parametrizar el mostrar los tiempos que demora la sincronización</t>
  </si>
  <si>
    <t>Img_2025_002-2</t>
  </si>
  <si>
    <t>Validar servidor de contingencia - Tarea 2</t>
  </si>
  <si>
    <t>Crear .bash para mostrar registros de contingencia en producción</t>
  </si>
  <si>
    <t>22/08/2025: El día 21 de agosto Mauricio se ha encargado de atender tareas asignadas por Jenry para mejorar el tema de control y seguimiento en ambiente de contingencia:
- Crear .bash que muestre los registros de contingencia con producción
25/08/2025: El viernes 22 de agosto se creo el .bash solicitado</t>
  </si>
  <si>
    <t>Img_2025_002-3</t>
  </si>
  <si>
    <t>Validar servidor de contingencia - Tarea 3</t>
  </si>
  <si>
    <t>22/08/2025: El día 21 de agosto Mauricio se ha encargado de atender tareas asignadas por Jenry para mejorar el tema de control y seguimiento en ambiente de contingencia:
- Revisar cada cuanto se sincronizan las imagenes, si cada hora de lunes a viernes</t>
  </si>
  <si>
    <t>Img_2025_003</t>
  </si>
  <si>
    <t>Restauración BD Pruebas Imagine</t>
  </si>
  <si>
    <t>Se requiere realizar la homologación y restauración de las bases de datos en el servidor de pruebas de Imagine, con el fin de garantizar la disponibilidad y consistencia de la información para las validaciones correspondientes, según la solicitud presentada por fala.</t>
  </si>
  <si>
    <t>22/08/2025: El día 21 de agosto Mauricio se ha encargado de atender tareas asignadas por Jenry para mejorar el tema de control y seguimiento en ambiente de contingencia:
- Renombrar las BD en pruebas y restaurar producción
25/08/2025: Entre el viernes 22 y sabado 23 Mauricio realizo la homologaciòn y restauraciòn de las BD</t>
  </si>
  <si>
    <t>Img_2025_007</t>
  </si>
  <si>
    <t>Servicios SAT Independientes - 1</t>
  </si>
  <si>
    <t>Crear servicio del Ministerio de Salud y Protección Social de Afiliaciones Independientes</t>
  </si>
  <si>
    <t>11/09/2025: El 10 de septiembre se realizó el despliegue del servicio de Afiliaciones de Independientes en el ambiente de pruebas OnPremise
Falta realizar pruebas iniciales en el primer servicio de 13 servicios.
18/09/2025: Se culmina el desarrollo, falta que el Ministerio certifique funcionalidad.
08/10/2025: Se terminan desarrollos del servicio SAT afiliaciones independientes</t>
  </si>
  <si>
    <t>Img_2025_008</t>
  </si>
  <si>
    <t>Servicios SAT Independientes - 2</t>
  </si>
  <si>
    <t xml:space="preserve">Crear servicio del Ministerio de Salud y Protección Social de Retractación </t>
  </si>
  <si>
    <t>15/09/2025: El viernes 12 de septiembre se realizó el despliegue del servicio de Retractación de afiliaciones de Trabajadores Independientes en el ambiente de pruebas OnPremise
Falta realizar pruebas
18/09/2025: Se culmina el desarrollo, falta que el Ministerio certifique funcionalidad.
08/10/2025: Se terminan desarrollos del servicio SAT retractacciones independientes</t>
  </si>
  <si>
    <t>Img_2025_009</t>
  </si>
  <si>
    <t>Servicios SAT Independientes - 3</t>
  </si>
  <si>
    <t>Crear servicio del Ministerio de Salud y Protección Social de Terminación de Afiliación</t>
  </si>
  <si>
    <t>15/09/2025: El viernes 12 de septiembre se realizó el despliegue del servicio de Terminaciòn de afiliaciones de la ARL de Trabajadores Independientes en el ambiente de pruebas OnPremise
Falta realizar pruebas
18/09/2025: Se culmina el desarrollo, falta que el Ministerio certifique funcionalidad.
08/10/2025: Se terminan desarrollos del servicio SAT terminacion de afiliacion independientes</t>
  </si>
  <si>
    <t>Img_2025_010</t>
  </si>
  <si>
    <t>Servicios SAT Independientes - 4</t>
  </si>
  <si>
    <t>Crear servicio del Ministerio de Salud y Protección Social de Traslado de ARL</t>
  </si>
  <si>
    <t>18/09/2025: El 17 de septiembre se creo el servicio de Traslado de ARL de Trabajadores Independientes. 
Pendiente ajuste en el maestro de empleados.
08/10/2025: Se terminan desarrollos en el servicio SAT para traslado de ARL independientes</t>
  </si>
  <si>
    <t>Img_2025_011</t>
  </si>
  <si>
    <t>Servicios SAT Independientes - 5</t>
  </si>
  <si>
    <t>Crear servicio del Ministerio de Salud y Protección Social de Cambio de Ocupación en Independientes Voluntarios</t>
  </si>
  <si>
    <t>18/09/2025: El 17 de septiembre se creo el servicio de Cambio de Ocupación en Independientes Voluntarios de Trabajadores Independientes. 
Pendiente ajuste en el maestro de empleados.
08/10/2025: Se terminan desarrollos del servicio SAT cambio de ocupacion u oficio en independientes voluntarios</t>
  </si>
  <si>
    <t>PRV_2025_018</t>
  </si>
  <si>
    <t>ANS - TABLERO DE CONTROL  - Ajuste</t>
  </si>
  <si>
    <t>Se requiere crear un nuevo grupo para incluir los estados ANULADOS, en las gráficas del tablero de estadisticas</t>
  </si>
  <si>
    <t>22/09/2025: El 19 de septiembre, Mauricio trabajo en la correcciòn del error Bad Request y se agrego un nuevo estado Anulado a flujos de pagos y auxilios funerarios.
Pendientes las pruebas por parte de Imagine para posterior entrega actualizaciones al cliente y certifiquen el ajuste.</t>
  </si>
  <si>
    <t>Img_2025_012</t>
  </si>
  <si>
    <t>Servicios SAT Independientes - Consultas</t>
  </si>
  <si>
    <t>Desarrollar consultas de los servicios creados en SAT para independientes de afiliaciones activas</t>
  </si>
  <si>
    <t>22/09/2025: Desarrollar formulario de consulta para servicios del Ministerio:
- Consulta de trabajadores independientes de afiliaciòn activa a la ARL, incluyendo traslados y retractaciones de afiliaciòn.
- Consulta de trabajadores independientes trasladables de ARL.
25/09/2025: Entre los días 22 y 23 de septiembre, Mauricio ha trabajado en la consulta de independientes activos y en mora
26/09/2025:El 25 de septiembre se trabajo en la consulta de Independiente afiliación activa ARL
Pendiente: Actualmente el servicio Consulta Trabajador Independiente  Mora ARL, no esta arrojando resultados. Ya fue notificado al área encargada para revisión.
08/10/2025: Se termina la consulta de afiliaciones activas</t>
  </si>
  <si>
    <t>Img_2025_013</t>
  </si>
  <si>
    <t>Desarrollar consultas de los servicios creados en SAT para independientes en Mora ARL</t>
  </si>
  <si>
    <t>22/09/2025: Desarrollar formulario de consulta para servicios del Ministerio:
- Consulta de trabajadores independientes de afiliaciòn activa a la ARL, incluyendo traslados y retractaciones de afiliaciòn.
- Consulta de trabajadores independientes trasladables de ARL.
25/09/2025: Entre los días 22 y 23 de septiembre, Mauricio ha trabajado en la consulta de independientes activos y en mora
26/09/2025:El 25 de septiembre se trabajo en la consulta de Independiente afiliación activa ARL
Pendiente: Actualmente el servicio Consulta Trabajador Independiente  Mora ARL, no esta arrojando resultados. Ya fue notificado al área encargada para revisión.
08/10/2025: Se termina la consulta de independiente en Mora ARL</t>
  </si>
  <si>
    <t>REN_2025_05</t>
  </si>
  <si>
    <t>Validación Documental_Ajuste</t>
  </si>
  <si>
    <t>Validar y parametrizar los documentos en validacion documental para el nuevo origen Sustitucion, sin embargo, en el parentesco Hijos no mostraba informaciòn correcta</t>
  </si>
  <si>
    <t>26/09/2025: El 25 de septiembre, se brinda soporte a Rentas, dando solución a una incidencia presentada en la parametrización de origen de archivos de Sustitucion con el parentesco Hijos.</t>
  </si>
  <si>
    <t>SST_2025_010</t>
  </si>
  <si>
    <t>Ajuste modulo profesionales-Lentitud</t>
  </si>
  <si>
    <t>Se requiere validar el modulo de profesionales ya que en pruebas no carga para realizar el test correspondiente, adicional presenta lentitud en algunas funciones</t>
  </si>
  <si>
    <t>03/10/2025: El 02 de octubre, Mauricio valida incidencia en la lentitud o no cargue al editar en modulo de profesionales en el rol Gestor en pruebas.</t>
  </si>
  <si>
    <t>PRV_2025_019</t>
  </si>
  <si>
    <t>Revisión error en URL</t>
  </si>
  <si>
    <t>Validar error de restricción de URL/Bad Request</t>
  </si>
  <si>
    <t>03/10/2025: Se recibe caso reportado por el área, sobre un error de restricción de URL/Bad Request. Se proyecta que hoy Mauricio inicie soluciòn a estas incidencias presentadas.
06/10/2025: El sabado 04 de octubre Mauricio con apoyo de Jairo Niño, resuelve la incidencia presentada</t>
  </si>
  <si>
    <t>PRV_2025_020</t>
  </si>
  <si>
    <t>Revisión generación de correo doble</t>
  </si>
  <si>
    <t>Validar error de generación de doble correo en flujo de pagos</t>
  </si>
  <si>
    <t>03/10/2025: Se recibe caso reportado por el área, sobre notificación de correos dobles en el flujo de pagos. Se proyecta que hoy Mauricio inicie soluciòn a estas incidencias presentadas.
06/10/2025: El sabado 04 de octubre Mauricio con apoyo de Jairo Niño, resuelve la incidencia presentada</t>
  </si>
  <si>
    <t>Img_2025_014</t>
  </si>
  <si>
    <t>Se requiere realizar la homologación y restauración de las bases de datos en el servidor de pruebas de Imagine, con el fin de garantizar la disponibilidad y consistencia de la información para las validaciones correspondientes, según la solicitud presentada por Alfa</t>
  </si>
  <si>
    <t>03/10/2025: Hoy se creará el plan de trabajo para restaurar las bases de datos de producción en el ambiente de pruebas., Esto incluyendo la revisión de tablas, funciones, procedimientos y disparadores (triggers).
06/10/2025: El 04 de octubre se procedió con la restauración de la base de datos de pruebas. Se realizó la homologación de tablas, funciones, procedimientos y demás elementos.
Queda pendiente realizar pruebas funcionales de las aplicaciones</t>
  </si>
  <si>
    <t>PRV_2025_021</t>
  </si>
  <si>
    <t>Modulo Objeciones y Devoluciones</t>
  </si>
  <si>
    <t>08/10/2025: Entre 06 y 07 de octubre, se crea modulo para el requerimiento de notificaciòn Objeciones y Devoluciones, asociado a casos sincronizados con la vista de inventario.
Pendiente: Crear tarea programada para que se ejecute a diario de lunes a viernes a las 4 pm.</t>
  </si>
  <si>
    <t>PRV_2025_022</t>
  </si>
  <si>
    <t>Aviso a la Renta - Ajuste</t>
  </si>
  <si>
    <t>Se requiere agregar campos solicitados por el cliente</t>
  </si>
  <si>
    <t>08/10/2025: El 07 de octubre se agregan los campos de fecha cierre y fecha de notificaciòn, solicitados por el área.
Pendientes: Automatizar envio de informe y correr sincronizacion al cargar el Excel</t>
  </si>
  <si>
    <t>Img_2025_015</t>
  </si>
  <si>
    <t>Servicios SAT Independientes - 6</t>
  </si>
  <si>
    <t>Crear servicio del Ministerio de Salud y Protección Social de Reporte en Mora</t>
  </si>
  <si>
    <t>08/10/2025: Entre 06 y 07 de octubre, se realizó el despliegue del servicio de Reporte de mora, acuerdos de pago e incumplimiento de Independientes en el ambiente de pruebas OnPremise</t>
  </si>
  <si>
    <t>Img_2025_016</t>
  </si>
  <si>
    <t>Desarrollar consultas de los servicios creados en SAT para independientes de detalle de afiliaciones activas</t>
  </si>
  <si>
    <t>08/10/2025: Entre 06 y 07 de octubre, se desarrolla formulario de consulta para servicios del Ministerio del detalle de afiliaciones activas en la ARL</t>
  </si>
  <si>
    <t>Img_2025_017</t>
  </si>
  <si>
    <t>Desarrollar consultas de los servicios creados en SAT para independientes de trabajadores trasladables</t>
  </si>
  <si>
    <t>08/10/2025: Entre 06 y 07 de octubre, se desarrolla formulario de consulta para servicios del Ministerio de Trabajadores Independientes Trasladables de ARL.</t>
  </si>
  <si>
    <t>PRV_2025_023</t>
  </si>
  <si>
    <t>Modulo Objeciones y Devoluciones - Ajuste</t>
  </si>
  <si>
    <t>Implementar tarea programada para envío de notificaciones</t>
  </si>
  <si>
    <t>14/10/2025: El 08 de octubre Mauricio implementò la opcion de tarea programada en el modulo de Objeciones y Devoluciones, para notificación diaria a las 4 pm</t>
  </si>
  <si>
    <t>PRV_2025_024</t>
  </si>
  <si>
    <t>Modulo de Indicadores Pendientes</t>
  </si>
  <si>
    <t>Se implementa modulo para mostrar los casos sin resolucion</t>
  </si>
  <si>
    <t>14/10/2025: El 09 de octubre, Mauricio desarrolla el modulo de indicadores de pendientes, el cual muestra los casos sin resolver, clasificados por rangos de tiempo: Del dia 1 al dia 8, y mas de 8 dias. Este informe se presenta por usuario</t>
  </si>
  <si>
    <t>Img_2025_018</t>
  </si>
  <si>
    <t>Servidor de Produccion y Contingencia</t>
  </si>
  <si>
    <t>Sincronizacion BD</t>
  </si>
  <si>
    <t>14/10/2025: El viernes 10 de octubre, se notifico al area de TI Alfa, sobre la imposobilidad de sincronizar el servidor de produccion con el servidor de contingencia</t>
  </si>
  <si>
    <t>SST_2025_011</t>
  </si>
  <si>
    <t>Ajuste modulo profesionales-Ajuste</t>
  </si>
  <si>
    <t>Se requiere validar el cargue de documentos en la creacion del profesional, ya que no quedan adjuntos</t>
  </si>
  <si>
    <t>14/10/2025: El 10 de octubre, Mauricio realiza validacion y ajustes correspondientes en la incidencia presentada en cuanto al cargue de documentos como hoja de vida y licencia en la creaciòn de un profesional.</t>
  </si>
  <si>
    <t>PRV_2025_025</t>
  </si>
  <si>
    <t>Modulo de Inventarios - Ajuste 1</t>
  </si>
  <si>
    <t>Crear export de detalles</t>
  </si>
  <si>
    <t>15/10/2025: El 14 de octubre se agrega opción para exportar informe.
Pendiente definir por el área que campos se mostrarán, ya que actualmente exporta todos los datos</t>
  </si>
  <si>
    <t>Img_2025_019</t>
  </si>
  <si>
    <t>Ajuste en vista</t>
  </si>
  <si>
    <t>15/10/2025: El 14 de octubre se realiza ajuste a la vista de búsqueda de los servicios SAT Independientes</t>
  </si>
  <si>
    <t>PRV_2025_026</t>
  </si>
  <si>
    <t>Modulo de Inventarios - Ajuste 2</t>
  </si>
  <si>
    <t>Crear tarea programada</t>
  </si>
  <si>
    <t>15/10/2025: El 14 de octubre se crea tarea programada para la sincronización de inventarios cada media hora.</t>
  </si>
  <si>
    <t>PRV_2025_027</t>
  </si>
  <si>
    <t>Modulo Procesos Juridicos</t>
  </si>
  <si>
    <t>Se requiere crear opción de sincronizaciòn de información</t>
  </si>
  <si>
    <t>17/10/2025: El 15 de octubre Se refactorizó el módulo de procesos jurídicos, implementando un botón para la sincronización de información</t>
  </si>
  <si>
    <t>PRV_2025_028</t>
  </si>
  <si>
    <t>Modulo Procesos Juridicos - Ajuste</t>
  </si>
  <si>
    <t>Ajustar el cargue masivo</t>
  </si>
  <si>
    <t>17/10/2025: Actualmente se esta trabajando en el cargue masivo de procesos juridicos.
20/10/2025: Se realiza la corrección en el cargue masivo, para evitar errores</t>
  </si>
  <si>
    <t>PRV_2025_029</t>
  </si>
  <si>
    <t>Modulo Anexo 1 - Ajuste</t>
  </si>
  <si>
    <t>Se requiere export con el  reporte de casos</t>
  </si>
  <si>
    <t>17/10/2025: Al finalizar el proceso de sincronización (Anexo 1), se agrogo la funcionalidad de exportar un reporte detallado. Este reporte ahora incluye el conteo de cuantos casos de procesos juridicos se tienen por aplicación (Sipren Plus o Sipren Tierra)</t>
  </si>
  <si>
    <t>PRV_2025_030</t>
  </si>
  <si>
    <t>Modulo Aviso a la Renta - Ajuste</t>
  </si>
  <si>
    <t>Se requiere corregir programación de la tarea.</t>
  </si>
  <si>
    <t>20/10/2025: La solicitud original requeria ejecutar la tarea todos los viernes a las 6 pm con el ajuste al día anterior si era festivo, lo cual ha cambiado.  Ahora se requiere la ejecución diaria, de lunes a viernes a las 6pm</t>
  </si>
  <si>
    <t>PRV_2025_029_1</t>
  </si>
  <si>
    <t>PRV_2025_031</t>
  </si>
  <si>
    <t>Se requiere agregar ANS</t>
  </si>
  <si>
    <t>24/10/2025: Se implementó la opción de agregar indicadores de gestión</t>
  </si>
  <si>
    <t>PRV_2025_032</t>
  </si>
  <si>
    <t>Ajustar tarea programada para envío de notificaciones</t>
  </si>
  <si>
    <t>24/10/2025: Se ajusto la tarea programada para jecutar diariamente de lunes a viernes y días hábiles.</t>
  </si>
  <si>
    <t>PRV_2025_033</t>
  </si>
  <si>
    <t>Modulo Honorarios Jurídicos</t>
  </si>
  <si>
    <t>Implementar módulo de pago de honorarios juridicos del área Previsionales</t>
  </si>
  <si>
    <t>29/10/2025: Se avanza en el análisis y diseño del mòdulo requerido por el área de previsionales.
05/11/2025: Se avanzo en la construcción de validaciones para consolidar los valores a pagar.
Se finaliza el modulo para cargar el formato de prefactura y visualizar los casos pendientes de pago.
07/11/2025: Se crea grid como estaba la vista.
Pendiente validaciòn para pagos.
08/11/2025: Se continua trabajando en mejoras del diseño y visualizaciòn de datos y se genera el export del informe de honorarios juridicos a pagar.
10/11/2025: Con ayuda del jefe de unidad se valida y se verifican las validaciones que se deben tener en cuenta para los casos que van a ser objetados y pagados, revisando que las reglas si cumplan con la necesidad del cliente. Se reafina la vista y el grid.
11/11/2025: Se procede a integrar opción de edición directamente en la grid para los casos que no se sabe si se van a objetar o a pagar. Se incluye un combo con estado de "PAGAR" Y  "OBJETAR".
12/11/2025: Se termina de ajustar la funcionalidad para que el grid se pueda pagar y objetar, se agrega campo de observaciones y se agrega validaciones al momento de seleccionar el combo.
Se crea funcionalidad de cierre masivo.
El módulo se divide en dos pestañas: gestión de casos y el histórico.
13/11/2025: Se continua con la creacion de la pestaña de historico, donde se debe visualizar los casos cerrados y permitir exportar los formatos que se reportan a cada una de las areas correspondientes como PLUS, SIPREN y Tesoreria.
Se sostiene reunión con el área de previsionales para mostar los avances, pendiente por parte del cliente validar la información de los formatos si están acordes con el proceso.
14/11/2025: Se termina opciòn de històrico de honorarios jurìdicos, con cada una de las funcionalidades requeridas como descargar los formatos de SIPREN, Plus y Tesorerìa, se agrego funcionalidad de notificar cuando se hace el cierre manual.
18/11/2025: Reuniòn con el cliente para probar el mòdulo, realizando el cargue de la prefactura, cierre y gestiòn del proceso. De esta reunion surgieron recomendaciones y ajustes:
1. Que al descargar la prefactura baje tal cual como sube y permita agregar el estado "OBJETAR" y "PAGAR", que se agregue la causal de devoluciòn.
2. Que cuando se cargue nuevamente cambie el estado y la causal masivamente.
19/11/2025: Se continua realizando los ajustes solicitados en la reuniòn.
Se realiza sesiòn y se presenta nuevamente el mòdulo y genero issu en el cargue. Donde sale consumo de memoria. Se revisa el problema el cual se sigio presnetando hasta el 20 de noviembre, por lo que se requiriò una refactorizaciòn en el cargue..
24/11/2025: Se estuvo probando el modulo de honorarios juridicos, surgieron ajustes y control de cambios para el modulo.
25/11/2025: Entre el 24 y 25 se diò gestiòn a estos ajustes de incidencia, los de control de cambio se adelantan en un 70%</t>
  </si>
  <si>
    <t>REN_2025_06</t>
  </si>
  <si>
    <t>Validar y parametrizar los documentos en validacion documental en tipificación de documentos</t>
  </si>
  <si>
    <t xml:space="preserve">rentas </t>
  </si>
  <si>
    <t>29/10/2025: Se soluciona la incidencia reportada en la validación documental para la tipificación DDEP</t>
  </si>
  <si>
    <t>REN_2025_07</t>
  </si>
  <si>
    <t>05/11/2025:Se brinda apoyo a rentas vitalicias en cuanto a la validación documental y unos errores que se estaban presentando con una tipología.</t>
  </si>
  <si>
    <t>SST_2025_012</t>
  </si>
  <si>
    <t>Soporte a Seguridad y Salud en el Trabajo - SST</t>
  </si>
  <si>
    <t>05/11/2025: Se brinda soporte en ALFASST, para la definición de actividades transversales</t>
  </si>
  <si>
    <t>Img_2025_020</t>
  </si>
  <si>
    <t>Soporte a Wilson Aponte</t>
  </si>
  <si>
    <t>05/11/2025: Se brinda soporte en el ambiente de pruebas de Imaginex para el proceso masivo de certificados</t>
  </si>
  <si>
    <t>Img_2025_021</t>
  </si>
  <si>
    <t>06/11/2025: Se clona maquina local y se genera export por solicitud de Wilson Aponte, para montar el ambiente en su maquina virtual.</t>
  </si>
  <si>
    <t>Img_2025_022</t>
  </si>
  <si>
    <t>Sin conexión</t>
  </si>
  <si>
    <t>06/11/2025: El dìa 06 de noviembre Mauricio no tuvo conexiòn debido al traslado de equipo fisico a otro punto. Por tanto, no pudo avanzar en requerimientos.</t>
  </si>
  <si>
    <t>SST_2025_013</t>
  </si>
  <si>
    <t>Validar incidencia en creaciòn de cronograma</t>
  </si>
  <si>
    <t>07/11/2025: Se brinda soporte a SST en el módulo Alfasst ya que presentaba incidencia en la creaciòn de una OD en el cronograma</t>
  </si>
  <si>
    <t>REN_2025_08</t>
  </si>
  <si>
    <t>07/11/2025: Se brinda soporte a Rentas Vitalicias ya que estaba presentando error en el cargue de unas imagenes.</t>
  </si>
  <si>
    <t>Img_2025_023</t>
  </si>
  <si>
    <t>Despliegue a producción</t>
  </si>
  <si>
    <t>Realizar paso a producciòn de 3 requerimientos de Previsionales</t>
  </si>
  <si>
    <t>09/11/2025: Se realiza despliegue de los modulos Inventario, Devoluciòn y Objeciones y ANS Devoluciones y Objeciones. El proceso arranco a las 11:00 am y finalizó a las 3:00 pm</t>
  </si>
  <si>
    <t>Img_2025_024</t>
  </si>
  <si>
    <t>Soporte a Wilson Aponte - Certificados Masivos</t>
  </si>
  <si>
    <t>Subir funcionalidad de certificados masivos</t>
  </si>
  <si>
    <t>11/11/2025: Se desplegó en el ambiente de pruebas de Imagine, nueva funcionalidad de generaciòn de certificados masivos.</t>
  </si>
  <si>
    <t>SST_2025_014</t>
  </si>
  <si>
    <t>Se requiere eliminar imagenes</t>
  </si>
  <si>
    <t>13/11/2025: El área de SST reportan que necesitan eliminar unos archivos que se adjuntaron a la OS amp-118-2025, que no corresponden a la misma. Se procede a dar gestión y solución.
Pendiente novedad que al momento del usuario eliminar no borró y lo lleva a la pestaña de adjunto.
18/01/2026: Gestiòn de Archivos: Se ejecutó el borrado masivo de las imágenes solicitadas en los repositorios correspondientes.</t>
  </si>
  <si>
    <t>REN_2025_09</t>
  </si>
  <si>
    <t>Se requiere un ajuste para que muestre todos los beneficiarios de las rentas y no solo prioridad</t>
  </si>
  <si>
    <t>13/11/2025: Solicitan habilitar gestión de documentos para que muestre todos los documentos de todos los beneficiarios y no solo prioridad de unas rentas en particular, para unos temas de auditoría. Ya finalizada la auditoría se realizó actualización y reversión del ajuste.</t>
  </si>
  <si>
    <t>Img_2025_025</t>
  </si>
  <si>
    <t>Se requiere soporte para despliegue a producciòn y pruebas del modulo certificados masivos</t>
  </si>
  <si>
    <t>18/11/2025: Se brinda soporte a Wilson Aponte para bajar cambios de este modulo nuevo en producciòn y en pruebas. Durante el proceso se presento inconveniente con el repositorio debido a connection time out.</t>
  </si>
  <si>
    <t>SST_2025_015</t>
  </si>
  <si>
    <t>Validar incidencia reportada por el àrea en cierre de ordenes de servicio</t>
  </si>
  <si>
    <t xml:space="preserve">19/11/2025: El àrea reporta lentitud en el proceso de auditoria de prefactura, donde se generaba un error 500. Este error indicaba que el servidor se quedo sin espacio, lo que impedia finalizar o cerrar OS, se procede a dar soluciòn reubicando los soportes y actas a un disco con mas capacidad.
</t>
  </si>
  <si>
    <t>SST_2025_016</t>
  </si>
  <si>
    <t>Validar incidencia reportada por el àrea para el cargue de documentos por parte de los proveedores</t>
  </si>
  <si>
    <t>20/11/2025: Nos reportan incidencia en el cargue de los soportes por parte de los proveedores, por lo cual se procediò a corregir el tema debido a la contingencia reportada el dia anterior, no se tuvo en cuenta los permisos de carpeta, se corrige y se notifica al cliente.</t>
  </si>
  <si>
    <t>PRV_2025_034</t>
  </si>
  <si>
    <t>Informe Anexo 1</t>
  </si>
  <si>
    <t>Se requiere reajustar la vista del requerimiento</t>
  </si>
  <si>
    <t>20/11/2025: Se refactoriza script de anexo 1, acorde a lo enviado por el àrea para ser ajustadocon base a la lògica solicitada. Se realiza el ajuste pertinente , sin embargo se presenta inconsistencia con la informaciòn, en espera de respuesta del àrea para finalizar el tema.
12/03/2026: Se finaliza desarrollo y se entrega para pruebas del cliente. Se proyecta paso a producciòn el sabado 15 de marzo</t>
  </si>
  <si>
    <t>Img_2025_026</t>
  </si>
  <si>
    <t>Soporte modulo Imaginex</t>
  </si>
  <si>
    <t>Se requiere validaciòn en cambio de contraseña, arroja error</t>
  </si>
  <si>
    <t>21/11/2025: Se brindo apoyo para el cambio de contraseña a la Doc Claudia Vargas, ya que generaba error al redirigirla en la opciòn de cambiar la contraseña</t>
  </si>
  <si>
    <t>Img_2025_027</t>
  </si>
  <si>
    <t>20/11/2025: Se monta caso a tecnologia notificando que nos encontramos sin conexiòn con el repositorio. En horas de la tarde en sesiòn con Jenry Henao, nos manifesto que este inconveniente se presento debido a una falla en github, lo que impedia realizar Pull. Una vez restabecido el servicio, se procediò a desplegar los cambios en pruebas y producciòn.</t>
  </si>
  <si>
    <t>Img_2025_028</t>
  </si>
  <si>
    <t>Aviso de Incumplimiento</t>
  </si>
  <si>
    <t>Se require validar fechas de envio de notificaciones de aviso de incumplimiento</t>
  </si>
  <si>
    <t>25/11/2025: Llega solicitud que el envio masivo de incumplimiento esta llegando con fecha de pago incorrecta por lo cual nos solicitan corregir esto con base a los días hábiles de acuerdo a los rangos de los últimos dos dígitos del nit.
Se está analizando el codigo que realiza el proceso o si no aplicar funcionalidad para obtener los días hábiles de acuerdo a las reglas establecidas.</t>
  </si>
  <si>
    <t>PRV_2025_035</t>
  </si>
  <si>
    <t>Modulo Honorarios Jurídicos - Ajuste</t>
  </si>
  <si>
    <t>Validar incidencias y cambios de control que surgieron en sesiòn de pruebas UAT</t>
  </si>
  <si>
    <t xml:space="preserve">26/11/2025: En la sesión tenia con el cliente surgieron algunos temas de mejoras, se procedió a realizar los ajustes requeridos y se solucionaron los issus reportados.  
28/11/2025: se realiza sesión para revisar los temas propuestos en las sesiones pasadas, se realizan las pruebas satisfactoriamente, a excepción de dos cosas que no realizo cierre del mes de junio y se debe ajustar el campo rubro ya que hay formatos donde llega item-rubro. 
04/12/2025: Se tuvo reunión con el cliente para la realización de pruebas por parte de la funcionaria que realiza los pagos, y pidieron ajuste en los formatos de plus, sipren y tesoreria.
Se realizo el respectivo a ajuste. </t>
  </si>
  <si>
    <t>Img_2025_029</t>
  </si>
  <si>
    <t>Notificaciòn de Alto Flujo de Memoria Servidor de Pruebas</t>
  </si>
  <si>
    <t>Validar consumo de memoria</t>
  </si>
  <si>
    <t>28/11/2025: Se valida el servidor para identificar que proceso esta generando alto consumo de memoria y no se lograr evidenciar causa. Se solicita a tecnología que por favor que cuando se presente alto consumo, notificarnos con pantallazo del proceso que lo causa.
15/01/2026: Se realizó la depuración de logs y la deshabilitación de tareas obsoletas. Asimismo, se notificó al área de Tecnología la necesidad de aumentar la capacidad del servidor de contingencia.</t>
  </si>
  <si>
    <t>SST_2025_017</t>
  </si>
  <si>
    <t>Plan de Trabajo ALFASST</t>
  </si>
  <si>
    <t>Validar cambios que se requieren para la elaboraciòn de Cronograma, generaciòn de OD</t>
  </si>
  <si>
    <t>01/12/2025: Se requiere que el plan de trabajo se pueda agendar las ordene de servicio por periodo y ajustar tarifa para que tenga parametrización mas como lo es temática.  El dia de hoy se analizara el requerimiento con el jefe de unidad.
02/12/2025: Se estuvo analizando este nuevo ajuste el módulo de plan de trabajo, donde se requieren varios ajustes al módulo en cuanto a parámetros, productos, cronogramas y validar si no afecta modulo de profesionales.   
03/12/2025: Se realizó acompañamiento al jefe de unidad en la construcción del mockup del modulo de productos  y afinando estos nuevos ajustes.
Posterior se tuvo reunión con el cliente, para mostrar los mockups de cómo va ir quedando los modulo y despejar dudas frente a estos nuevos cambios.</t>
  </si>
  <si>
    <t>Img_2025_030</t>
  </si>
  <si>
    <t>Correspondencia - Soporte</t>
  </si>
  <si>
    <t xml:space="preserve">03/12/2025: Se presenta issu en el cargue de archivos debido a que el sistema tiene limitado el cargue 2MB, por lo tanto, de aumenta tamaño a 5MB </t>
  </si>
  <si>
    <t>PRV_2025_036</t>
  </si>
  <si>
    <t>Soporte Previsionales</t>
  </si>
  <si>
    <t>Asignar permisos</t>
  </si>
  <si>
    <t>03/12/2025: Solicitan asignar nuevos permisos a dos integrantes a los modulos que actualmente maneja Blanca.</t>
  </si>
  <si>
    <t>SST_2025_018</t>
  </si>
  <si>
    <t>Plan de Trabajo ALFASST - Parámetros</t>
  </si>
  <si>
    <t>Validar parámetros</t>
  </si>
  <si>
    <t>05/12/2025: Se estuvo ajustando el módulo de productos, para que en los parametros de temáticas se puede asociar a un programa.
Para las actividades se les puede asociar un valor.</t>
  </si>
  <si>
    <t>PRV_2025_037</t>
  </si>
  <si>
    <t>Soporte Previsionales - Cambio de Contraseña</t>
  </si>
  <si>
    <t>Validar cambios de contraseña</t>
  </si>
  <si>
    <t xml:space="preserve">05/12/2025: Nos notifican que esta teniendo problemas con el cambio de contraseña, se realiza refactorización de url y se le notifica al cliente. </t>
  </si>
  <si>
    <t>SST_2025_019</t>
  </si>
  <si>
    <t>Plan de Trabajo ALFASST - Productos</t>
  </si>
  <si>
    <t>Validar Productos</t>
  </si>
  <si>
    <t>10/12/2025 y 11/12/2025:  Se inició el trabajo de refactorización del módulo de productos, enfocándose en todo el proceso de creación y modificación. Esto se debe al cambio en la estructura de datos: la anterior (programa, actividades, categoría y concepto) fue reemplazada por la nueva (programa, temática y actividades).
15/12/2025, 17/12/2025 y 18/12/2025: Continúa el proceso de refactorización en la creación y modificación de productos. Se está adaptando toda la lógica a la nueva estructura: pasando del modelo anterior (programa, actividades, categoría y concepto) al nuevo esquema de programa, temática y actividades.
26/01/2026: Reestructuración de Plan de Trabajo: Se trabaja en la adaptación del cronograma a la nueva estructura (Programas, Temáticas y Actividades). Esto conlleva la refactorización integral de los módulos de Parámetros, Productos, Proveedores, Profesionales y Órdenes de Servicio.
05/02/2026: Del 26/01/2026 al 01/02/2026 Se refactorizaron los módulos de parámetros (Actividades, Programas y Temáticas) y el ajuste tarifario. El módulo de proveedores fue adaptado a la nueva estructura de asignación.
    Pendiente: Intervención del módulo de Profesionales, el cual representa un cambio crítico en las reglas de negocio para la asignación de roles y estados.
    Próximo paso: El cronograma requiere un ajuste mayor para permitir la generación masiva de órdenes de servicio por periodos.
03/02/2026 al 05/02/2026: Se refactorizaron con éxito los módulos de parámetros (actividades, programas y temáticas) incluyendo el ajuste tarifario.
        El módulo de proveedores se adaptó a la nueva estructura y se rediseñó la lógica de asignación de actividades.
        Se avanzó en el cronograma, implementando la agenda de ODS con sus validaciones.
        Pendientes: Intervención del módulo de Profesionales (reglas de negocio complejas), generación masiva de órdenes de servicio por periodos, e integración final en la creación del plan de trabajo.
05/02/2026: Se aperturan nuevos requerimientos donde se desglosa cada actividad en este reporte</t>
  </si>
  <si>
    <t>PRV_2025_038</t>
  </si>
  <si>
    <t>Validar de pagos y formatos</t>
  </si>
  <si>
    <t>16/12/2025: Se completaron los siguientes requerimientos:
        Parámetro de factura: Creación del campo para observaciones (solo modificable en periodo vigente). (100%)
        Plantilla SIPREN: Ajuste de formato (sin títulos, formatos de campo ni totales). (100%)
        Plantilla PLUS: Ajuste de formato (sin formatos de campo ni totales). (100%)
        Formato CSV: Configuración de salida SIPREN con separador ";" (punto y coma). (100%)
        Informe Tesorería: Se eliminó la validación del número de giro para permitir la gestión total de la información. (100%)
        Investigaciones: Análisis de viabilidad para control de cambios o Fase II. (PENDIENTE)
        Notificación de Cierre: Ajuste de la plantilla de correo (aplicativo, cantidad y valor). 
18/12/2025: Se llevó a cabo una sesión con el cliente para realizar la revisión y validación de los ajustes desarrollados en el módulo de Honorarios Jurídicos.
19/01/2026: Se realizó exitosamente el despliegue del módulo en el ambiente de producción. Actualmente, se está a la espera de que el cliente envíe el archivo consolidado con la información histórica hasta el cierre del año 2025
23/01/2026: Tras el despliegue en producción, se recibió el consolidado histórico hasta el año 2025. Se realizó el cargue completo de la información en el sistema con el apoyo del jefe de unidad.</t>
  </si>
  <si>
    <t>PRV_2025_039</t>
  </si>
  <si>
    <t>Soporte y Gestòn</t>
  </si>
  <si>
    <t>Validar permisos</t>
  </si>
  <si>
    <t>12/12/2025: Se asignarán permisos de administrador a los funcionarios solicitados por el área de previsionales.
        Se realizará una reunión con el jefe de unidad para analizar y contextualizar temas solicitados.
21/01/2026: Se completó la asignación de roles de usuario y se realizó la validación de acceso junto con el cliente.</t>
  </si>
  <si>
    <t>PRV_2025_040</t>
  </si>
  <si>
    <t>Soporte Previsionales - Modulo Dev y Objeciones</t>
  </si>
  <si>
    <t>Validar incidencias reportadas para el módulo de Devoluciones y Objeciones</t>
  </si>
  <si>
    <t>18/12/2025: Notificaciones: Se ajustó el envío masivo para que opere exclusivamente en días hábiles (lunes a viernes).
        Exportación: Se corrigió el generador de archivos (export); el despliegue a producción queda pendiente.
        Inventario: Se inició la validación de casos duplicados asociados al mismo siniestro.
21/01/2026: Se aplicaron los ajustes finales al módulo y se realizó el despliegue exitoso en el ambiente de producción.</t>
  </si>
  <si>
    <t>PRV_2025_041</t>
  </si>
  <si>
    <t>Cálculo de Intereses</t>
  </si>
  <si>
    <t>Se requiere opciòn para cargue de archivos excel</t>
  </si>
  <si>
    <t>13/01/2026 - 19/01/2026: Se está trabajando en el desarrollo de un nuevo requerimiento que permite la carga masiva de información desde archivos Excel para procesar y ejecutar los cálculos de valor de mesada correspondientes a cada periodo.
22/01/2026: Se desarrolló el requerimiento para la carga de archivos Excel y el posterior cálculo del valor de la mesada por periodo. El módulo fue finalizado y entregado exitosamente al cliente.</t>
  </si>
  <si>
    <t>Img_2025_031</t>
  </si>
  <si>
    <t>Transferencia de Aportes</t>
  </si>
  <si>
    <t>Subir al ambiente de pruebas el desarrollo</t>
  </si>
  <si>
    <t>19/01/2026: Se completó el despliegue del módulo en el ambiente de pruebas. El proceso queda pendiente únicamente de la ejecución y validación de las pruebas por parte de los interesados.</t>
  </si>
  <si>
    <t>PRV_2025_042</t>
  </si>
  <si>
    <t>Fast Track</t>
  </si>
  <si>
    <t>Análisis de pagos</t>
  </si>
  <si>
    <t>05/02/2026: Del 22 al 25 de enero A solicitud de Imagine SAS, se implementó la funcionalidad FastTrack. Esta mejora optimiza el flujo de trabajo permitiendo que los casos avancen directamente a aprobación sin pasar por filtros manuales. Se proyecta una reducción del 30% al 40% en la carga operativa de la unidad de previsionales de Seguros Alfa. Actualmente, la funcionalidad se encuentra en etapa de pruebas por parte del usuario.
12/03/2026: El 16/02/2026 Se aplicaron los ajustes finales al módulo y se realizó el despliegue exitoso en el ambiente de producción.</t>
  </si>
  <si>
    <t>Img_2025_032</t>
  </si>
  <si>
    <t>Restauración Bases de Datos Imagine</t>
  </si>
  <si>
    <t>Subir al ambiente de pruebas data de producciòn</t>
  </si>
  <si>
    <t>05/02/2026: El día 02/02/2026 Siguiendo la programación anual de Seguros Alfa, se realizó la restauración de las bases de datos de producción en el ambiente de pruebas. El objetivo es mantener la integridad y actualización de la data para procesos de QA y planes de contingencia.</t>
  </si>
  <si>
    <t>SST_2025_020</t>
  </si>
  <si>
    <t>Duplicar Plan de Trabajo</t>
  </si>
  <si>
    <t>05/02/2026: Entre el 02 y 03 de febrero, se finaliza el ajuste tarifario de SST, se generó el Plan de Trabajo 2026 bajo el nuevo esquema jerárquico. Se completó la carga masiva de tarifas y la asignación a proveedores. El sistema ya permite al usuario generar planes y órdenes de la vigencia actual. Se validó la visualización en los módulos de Proveedores y Auditoría.</t>
  </si>
  <si>
    <t>PRV_2025_043</t>
  </si>
  <si>
    <t>Anexo Uno</t>
  </si>
  <si>
    <t>Cargue de archivos</t>
  </si>
  <si>
    <t>09/02/2026 al 11/02/2026: Se está trabajando en el cargue de las diversas fuentes requeridas para la gestión de procesos jurídicos:
        Base siniestro y Bodega de datos.
        Cálculos y Consecutivos de Juntas.
        Resumen de Pago de Siniestros.
25/02/2026: Refacción de Archivos y Formatos. Adaptación de archivos de acuerdo a los procesos de la unidad. Se enfrentaron retos técnicos por carga de archivos de alta capacidad (más de 40 GB).
12/03/2026: Se finaliza desarrollo y se entrega para pruebas del cliente. Se proyecta paso a producciòn el sabado 15 de marzo</t>
  </si>
  <si>
    <t>Img_2025_033</t>
  </si>
  <si>
    <t>10/02/2026: Ante una falla técnica que generó datos corruptos en la base de datos img001, se ejecutó el protocolo de restauración al estado del 6 de febrero de 2026:
        Respaldo de la base de datos afectada y cierre de sesiones activas.
        Detención de servicios Imaginex.
        Recreación de la base de datos img001 y restauración del backup.
        Verificación y re-procesamiento manual de los datos trabajados el día sábado.</t>
  </si>
  <si>
    <t>PRV_2025_044</t>
  </si>
  <si>
    <t>11/02/2026: Se realizó el despliegue oficial del módulo de cálculo de intereses en el ambiente de producción.</t>
  </si>
  <si>
    <t>SST_2025_021</t>
  </si>
  <si>
    <t>Plan de Trabajo ALFASST - Actividades</t>
  </si>
  <si>
    <t>Modificación en el tarifario</t>
  </si>
  <si>
    <t>11/02/2026 - 17/02/2026 - 19/02/2026 - 20/02/2026: Actividades (Temáticas): Se ejecuta un cambio estructural del modelo de tarifación, pasando del esquema tradicional basado en actividades individuales a un concepto de temáticas, las cuales agrupan programas y actividades asociadas a un costo determinado. Avance 90%. Queda pendiente realizar despliegue y pruebas en el ambiente de PT, para posterior desplegar al ambiente de QA y que el cliente realice las actividades.
25/02/2026: Se finaliza desarrollo y despliegue en ambientes de pruebas y producciòn</t>
  </si>
  <si>
    <t>SST_2025_022</t>
  </si>
  <si>
    <t>Plan de Trabajo ALFASST - Proveedor</t>
  </si>
  <si>
    <t>Modificación en la asignación de productos y tarifas a los proveedores</t>
  </si>
  <si>
    <t>11/02/2026 - 17/02/2026 - 19/02/2026 - 20/02/2026: Administrador – Proveedor: Se ajusta la forma en que se asignan los productos y tarifas a los proveedores, alineándola al nuevo esquema por temáticas, lo que modifica reglas anteriores y requiere reconfigurar relaciones internas del sistema. Avance 90%. Queda pendiente realizar despliegue y pruebas en el ambiente de PT, para posterior desplegar al ambiente de QA y que el cliente realice las actividades.
26/02/2026: Se finaliza desarrollo y despliegue en ambientes de pruebas y producciòn</t>
  </si>
  <si>
    <t>SST_2025_023</t>
  </si>
  <si>
    <t>Plan de Trabajo ALFASST - Acreditación Profesionales</t>
  </si>
  <si>
    <t>Modificación en la acreditación de profesionales a las ordenes de servicio</t>
  </si>
  <si>
    <t>11/02/2026 - 17/02/2026 - 19/02/2026 - 20/02/2026: Acreditación de Profesionales: Se interviene la estructura que relaciona las actividades acreditadas, ahora bajo el modelo por temáticas, generando cambios importantes en la lógica y en la definición de reglas de negocio para la acreditación de profesionales. 
12/03/2026: Pendiente definiciòn nuevas funcionalidades por parte del cliente</t>
  </si>
  <si>
    <t>SST_2025_024</t>
  </si>
  <si>
    <t>Plan de Trabajo ALFASST - Sedes</t>
  </si>
  <si>
    <t>Modificación en la selección de sedes y creación de campo ciudad</t>
  </si>
  <si>
    <t>11/02/2026 - 17/02/2026 - 19/02/2026 - 20/02/2026: Sedes: Se ajustó para que solo se permita una sede principal; al momento de generar un cronograma de trabajo, solo se tendrá en cuenta la principal y las demás sedes se deshabilitarán del sistema actual. Posteriormente, en la programación de las órdenes, se agregó el campo "ciudad" para mejorar la trazabilidad, normalización de datos y capacidades de gestión. Avance 90%. Queda pendiente realizar despliegue y pruebas en el ambiente de PT, para posterior desplegar al ambiente de QA y que el cliente realice las actividades.
27/02/2026: Se finaliza desarrollo y despliegue en ambientes de pruebas y producciòn</t>
  </si>
  <si>
    <t>SST_2025_025</t>
  </si>
  <si>
    <t>Plan de Trabajo ALFASST - Cronograma</t>
  </si>
  <si>
    <t>Se requiere reestructurar la forma como se crea el cronograma actualmente</t>
  </si>
  <si>
    <t>11/02/2026 - 17/02/2026 - 19/02/2026 - 20/02/2026: Cronograma: Este componente tiene uno de los impactos funcionales más altos. Se requiere reestructurar el planificador incorporando temáticas, permitiendo calendarios más flexibles y habilitando la generación masiva de órdenes de servicio a futuro, lo que cambia por completo la forma en que opera la planificación anual del área.
23/02/2026: Rediseño integral del flujo para la creación de planes de trabajo, optimizando la entrada de datos.</t>
  </si>
  <si>
    <t>SST_2025_026</t>
  </si>
  <si>
    <t>Plan de Trabajo ALFASST - Pre-Orden de Servicio</t>
  </si>
  <si>
    <t>Modificación en la creación y generación de ordenes de servicio</t>
  </si>
  <si>
    <t>11/02/2026 - 17/02/2026 - 19/02/2026 - 20/02/2026: Pre-Orden de Servicio: Se ajusta la lógica de acuerdo con el nuevo flujo basado en temáticas y su integración con el cronograma y la acreditación de profesionales, afectando reglas, validaciones y la estructura de la pre-orden como tal. 
        Notas Adicionales: Queda pendiente el impacto en informes y nuevos datos estadísticos requeridos por el cliente. Se terminó la creación y modificación de las agendas; queda pendiente la modificación de las agendas por actividad.
25/02/2026: Integración de la nueva funcionalidad para agendar órdenes de servicio (OS) directamente desde el plan de trabajo.</t>
  </si>
  <si>
    <t>Img_2025_034</t>
  </si>
  <si>
    <t>INSTALACIÓN DE PYTHON EN AMBIENTE QA (INSTANCIA ALFASST)</t>
  </si>
  <si>
    <t>Acompañamiento en la instalación del programa en AWS</t>
  </si>
  <si>
    <t xml:space="preserve">18/02/2026: Se brindó acompañamiento técnico al señor Wilson Aponte en esta actividad, utilizando los siguientes comandos de gestión:
        Activar entorno: source /var/projects/entorno/bin/activate
        Desactivar entorno: deactivate
        Instalar paquete: pip install &lt;paquete&gt;
        Ejecutar script: python mi_script.py
        Verificar Python: python --version
        Sin entorno (global): python3.12 mi_script.py
        Pip global: pip3.12 install &lt;paquete&gt;
</t>
  </si>
  <si>
    <t>Img_2025_035</t>
  </si>
  <si>
    <t>FALLAS EN LOS SERVIDORES DE PRUEBAS Y PRODUCCIÓN</t>
  </si>
  <si>
    <t>Validación y restauración de BD de backups en servidores Imagine</t>
  </si>
  <si>
    <t xml:space="preserve">20/02/2026:         Incidente: Se detectó una inconsistencia masiva en las bases de datos del servidor img001, originada por procesos PAM ejecutados por el equipo Alfa. Esta corrupción de datos provocó la interrupción total de los servicios de Imaginex, deteniendo la línea de producción.
        Acciones Realizadas: Se procedió con la restauración de las bases de datos mediante respaldos previos. Posteriormente, se realizó la reintegración de la información gestionada en los días afectados. Afortunadamente, se logró recuperar la totalidad de los datos.
</t>
  </si>
  <si>
    <t>Img_2025_036</t>
  </si>
  <si>
    <t>CONTINGENCIA</t>
  </si>
  <si>
    <t>Acompañamiento en las pruebas de contingencia programadas por Alfa</t>
  </si>
  <si>
    <t>20/02/2026:         A las 22:00 horas, se procedió con la detención programada de los servicios Apache y PostgreSQL. Esta interrupción se realizó con el fin de facilitar las actividades de gestión de acceso privilegiado (PAM) ejecutadas por el equipo Alfa.</t>
  </si>
  <si>
    <t>SST_2025_027</t>
  </si>
  <si>
    <t>Plan de Trabajo ALFASST - Modulo de Edición</t>
  </si>
  <si>
    <t>Se requiere que los datos registrados en las OS puedan ser editados</t>
  </si>
  <si>
    <t>24/02/2026: Ajuste y optimización de la funcionalidad para modificar registros existentes de forma fluida.</t>
  </si>
  <si>
    <t>SST_2025_028</t>
  </si>
  <si>
    <t>Plan de Trabajo ALFASST - Logica de Validaciones</t>
  </si>
  <si>
    <t>Se requiere que las OS sean agendadas correctamente</t>
  </si>
  <si>
    <t>26/02/2026: Implementación de reglas técnicas y de negocio para asegurar que las agendas se generen sin errores ni traslapes.</t>
  </si>
  <si>
    <t>PRV_2025_045</t>
  </si>
  <si>
    <t>Configuración de Servidor</t>
  </si>
  <si>
    <t xml:space="preserve">Ajustes de infraestructura en el servidor para cargar archivos </t>
  </si>
  <si>
    <t>26/02/2026: Ajustes en la infraestructura para evitar caídas y detenciones del sistema causadas por el volumen excesivo de los archivos cargados.</t>
  </si>
  <si>
    <t>PRV_2025_046</t>
  </si>
  <si>
    <t>Acompañamiento en sesiòn de unidad</t>
  </si>
  <si>
    <t>Sesión de validaciones</t>
  </si>
  <si>
    <t>27/02/2026: Sesión de validación sobre la carga de archivos. Se planteó nuevamente la necesidad técnica de integrar la base de datos para optimizar los procesos.</t>
  </si>
  <si>
    <t>PRV_2025_047</t>
  </si>
  <si>
    <t>Tablero de Control - Control de cambios</t>
  </si>
  <si>
    <t>Ajuste de visualizaciòn de datos</t>
  </si>
  <si>
    <t>27/02/2026: Corrección del error en el tablero de control que impedía la generación del año en vigencia, normalizando los reportes actuales.</t>
  </si>
  <si>
    <t>SST_2025_029</t>
  </si>
  <si>
    <t>Plan de Trabajo ALFASST - Ordenes de Servicio</t>
  </si>
  <si>
    <t>Tarea Programada de Agendamiento.</t>
  </si>
  <si>
    <t>02/03/2026 - 03/03/2026: Desarrollo del proceso automático para la generación masiva de órdenes de servicio, sincronizada con la agenda programada.</t>
  </si>
  <si>
    <t>SST_2025_030</t>
  </si>
  <si>
    <t>Plan de Trabajo ALFASST - Optimización Integral (CRUD)</t>
  </si>
  <si>
    <t>Creación, Edición, Modificación y Eliminación</t>
  </si>
  <si>
    <t>04/03/2026: Fortalecimiento de procesos (Creación, Edición, Modificación y Eliminación). Ajuste de lógica para permitir la edición de planes cuando no existan agendas previas.</t>
  </si>
  <si>
    <t>SST_2025_031</t>
  </si>
  <si>
    <t>Plan de Trabajo ALFASST - Asignación actividades</t>
  </si>
  <si>
    <t>Mejora Visual de Asignación.</t>
  </si>
  <si>
    <t>04/03/2026: Optimización de la interfaz (UI) para la asignación de actividades, facilitando la gestión visual.</t>
  </si>
  <si>
    <t>PRV_2025_048</t>
  </si>
  <si>
    <t>Reservas</t>
  </si>
  <si>
    <t>Nuevo Módulo de Carga (Reservas).</t>
  </si>
  <si>
    <t>03/03/2026 al 05/03/2026: Creación del módulo para carga masiva de reservas con formatos específicos. Se implementó un reporte dinámico para exportar información por tipo de formato.</t>
  </si>
  <si>
    <t>PRV_2025_049</t>
  </si>
  <si>
    <t>Optimización de Importación Masiva.</t>
  </si>
  <si>
    <t>05/03/2026: Se eliminó el conteo de registros en caliente al adjuntar archivos, logrando una carga mucho más rápida y eficiente.</t>
  </si>
  <si>
    <t>PRV_2025_050</t>
  </si>
  <si>
    <t>06/03/2026: Pruebas finales para validar las mejoras, asegurando que la calidad de la información cumpla con las necesidades operativas de la unidad.</t>
  </si>
  <si>
    <t>SST_2025_032</t>
  </si>
  <si>
    <t>Optimización Visual y UX</t>
  </si>
  <si>
    <t>09/03/2026 - 10/03/2026: Refacción completa del diseño en la interfaz de asignación de actividades.</t>
  </si>
  <si>
    <t>SST_2025_033</t>
  </si>
  <si>
    <t>Plan de Trabajo ALFASST - Reportes</t>
  </si>
  <si>
    <t>Reportes Dinámicos por Períodos</t>
  </si>
  <si>
    <t>11/03/2026: Funcionalidad para visualizar flujo de órdenes totales vs. agendadas por prefijos.</t>
  </si>
  <si>
    <t>SST_2025_034</t>
  </si>
  <si>
    <t>Plan de Trabajo ALFASST - Trazabilidad</t>
  </si>
  <si>
    <t>Trazabilidad en Calendario (Dashboard).</t>
  </si>
  <si>
    <t>12/03/2026: Acción directa en el calendario para visualizar órdenes ejecutadas, generadas y sus valores.</t>
  </si>
  <si>
    <t>PRV_2025_051</t>
  </si>
  <si>
    <t>Anexo 1 - Formatos</t>
  </si>
  <si>
    <t>Ajuste en Formato de Cálculos</t>
  </si>
  <si>
    <t>12/03/2026: Adición de 7 campos nuevos al formato. Se ajustó el proceso de carga masiva a bloques de 500 registros (procesados de 100 en 100) para garantizar la estabilidad.</t>
  </si>
  <si>
    <t>PRV_2025_052</t>
  </si>
  <si>
    <t>Plantillas Point</t>
  </si>
  <si>
    <t>Ajuste en Data de Recuperación</t>
  </si>
  <si>
    <t>13/03/2026: Actualización técnica en el módulo de plantillas para optimizar el procesamiento de los datos de recuperación.</t>
  </si>
  <si>
    <t>Img_2025_037</t>
  </si>
  <si>
    <t>Incidencia en Servidor On-Premise (Producción)</t>
  </si>
  <si>
    <t>Gestión de Incidencias</t>
  </si>
  <si>
    <t xml:space="preserve">12/03/2026: Afectación en los archivos de base de datos del servidor on-premise (independiente a la infraestructura de Alfa). Se notificó al área tecnológica de Alfa para la restauración de servicios.
Resultado: Servicio restablecido exitosamente sin pérdida de información.
Nota: La infraestructura de Alfas y el entorno de pruebas se mantuvieron estables y operativos.
</t>
  </si>
  <si>
    <t>SST_2025_035</t>
  </si>
  <si>
    <t>Despliegue en Servidor de Pruebas</t>
  </si>
  <si>
    <t>Despliegue y QA</t>
  </si>
  <si>
    <t>12/03/2026: Despliegue de nuevas funcionalidades del Plan de Trabajo en el entorno de pruebas para validación final</t>
  </si>
  <si>
    <t>SST_2025_036</t>
  </si>
  <si>
    <t>Despliegue en Servidor de Producción</t>
  </si>
  <si>
    <t>Despliegue en Producción y Gestión de Ramas</t>
  </si>
  <si>
    <t>16/03/2026: Se realizó el despliegue oficial bajo el nuevo modelo de Programa, Actividades y Temáticas. Se resolvieron conflictos críticos de fusión (merge) y se actualizaron librerías y dependencias.</t>
  </si>
  <si>
    <t>SST_2025_037</t>
  </si>
  <si>
    <t>Estabilización de la Nueva Estructura.</t>
  </si>
  <si>
    <t>17/03/2026 al 20/03/2026: Monitoreo y corrección de inconsistencias derivadas del cambio lógico en Alfasst. Se ha trabajado activamente en mitigar inconvenientes para asegurar la estabilidad operativa del servicio.
01/04/2026: Finaliza estabilización de los servicios</t>
  </si>
  <si>
    <t>PRV_2025_053</t>
  </si>
  <si>
    <t>Despliegue de Mejoras en Aplicativo</t>
  </si>
  <si>
    <t>19/03/2026: Despliegue exitoso de los módulos Plantillas Point y Anexo 1 en producción, incluyendo ajustes en diversos formatos para optimizar la carga.</t>
  </si>
  <si>
    <t>SST_2025_038</t>
  </si>
  <si>
    <t>GESTIÓN CON EL CLIENTE Y CAPACITACIÓN</t>
  </si>
  <si>
    <t>Sesiones de Acompañamiento y Capacitación.</t>
  </si>
  <si>
    <t>17/03/2026 al 20/03/2026: Capacitación al equipo del cliente sobre las nuevas funcionalidades del modelo de Programa, Actividades y Temáticas.</t>
  </si>
  <si>
    <t>PRV_2025_054</t>
  </si>
  <si>
    <t>17/03/2026 al 20/03/2026: Demostración técnica y funcional del proceso de carga de formatos directamente en el entorno de producción.</t>
  </si>
  <si>
    <t>Img_2025_038</t>
  </si>
  <si>
    <t>OPTIMIZACIÓN DE INFRAESTRUCTURA</t>
  </si>
  <si>
    <t>Optimización del Sistema de Notificaciones.</t>
  </si>
  <si>
    <t>19/03/2026 al 20/03/2026: Integración con el agente de transferencia de correo Postfix en Oracle Linux. Permite un procesamiento de envíos más rápido y seguro.</t>
  </si>
  <si>
    <t>SST_2025_039</t>
  </si>
  <si>
    <t>REESTRUCTURACIÓN DE REPORTES</t>
  </si>
  <si>
    <t>Reingeniería de Informes Críticos.</t>
  </si>
  <si>
    <t>18/03/2026 al 20/03/2026: Adaptación de Tablero de Control, Ante-prefactura/Auditoría y Reporte General al nuevo esquema lógico.
21/03/2026 al 31/03/206: Calibración final de Tablero de Control, Auditoría y Reporte General bajo la nueva jerarquía.</t>
  </si>
  <si>
    <t>SST_2025_040</t>
  </si>
  <si>
    <t>Estabilización de la Migración Estructural</t>
  </si>
  <si>
    <t>21/03/2026 al 01/04/2026: Monitoreo y refinamiento continuo del modelo de Programa, Actividades y Temáticas. Se garantizó la consistencia de los datos migrados con la nueva lógica operativa</t>
  </si>
  <si>
    <t>SST_2025_041</t>
  </si>
  <si>
    <t>Soporte Técnico y Atención a Eventualidades.</t>
  </si>
  <si>
    <t>21/03/2026 al 01/04/2026: Acompañamiento constante a los clientes en sus gestiones diarias, resolviendo incidentes de manera inmediata tras el cambio de funcionalidades.</t>
  </si>
  <si>
    <t>PRV_2025_055</t>
  </si>
  <si>
    <t>Implementación de Bodega de Datos y Precierre</t>
  </si>
  <si>
    <t>Funcionalidades y Cargas de archivos</t>
  </si>
  <si>
    <t>23/03/2026 al 28/03/2026: Desarrollo de opciones de carga para Bodega de Datos y Precierre. Se realizaron pruebas de integridad y carga inicial satisfactoriamente.</t>
  </si>
  <si>
    <t>PRV_2025_056</t>
  </si>
  <si>
    <t>Validación de Formatos con el Cliente</t>
  </si>
  <si>
    <t>29/03/2026 al 01/04/2026: Validación de los nuevos formatos generados. Se confirmó el correcto funcionamiento de las cargas principales.
* Pendiente: Validación final por parte del cliente del formato específico de Precierre.
08/04/2026 al 10/04/2026: Estabilización del Formato "Saldo Reserva". Se resolvieron las inconsistencias en el parseo numérico y se implementó un control de campos vacíos. Se integró una validación con el archivo impor_file.lock, permitiendo que si el sistema detecta datos vacíos, libere el proceso automáticamente para evitar bloqueos en los siguientes cargues.</t>
  </si>
  <si>
    <t>Img_2025_039</t>
  </si>
  <si>
    <t>NUEVO APLICATIVO: INDEPENDIENTES (Diseño y Planeación)</t>
  </si>
  <si>
    <t>Refinamiento de Interfaz y UX.</t>
  </si>
  <si>
    <t>24/03/2026 al 31/03/2026: Se realizó un ajuste integral del diseño, incluyendo visualizaciones, iconos y estructura estética para mejorar la experiencia del usuario.
25/05/2026 al 27/05/2026: En este nuevo aplicativo se avanzó en la creación de la interfaz principal mediante tres tarjetas que representan los diferentes tipos de trámites: Independientes, Voluntarios por Empresa y Por Empresa. Adicionalmente, se desarrolló la funcionalidad para que, al interactuar con cualquiera de estas tarjetas, el sistema despliegue una ventana modal informativa que sirve de guía al usuario, detallando con precisión cuáles son los archivos específicos que se deben cargar para cada trámite.</t>
  </si>
  <si>
    <t>Img_2025_040</t>
  </si>
  <si>
    <t>Sesión de Definición Funcional (Wizard).</t>
  </si>
  <si>
    <t xml:space="preserve">01/04/2026: Reunión estratégica con el Jefe de Unidad y el equipo de trabajo para analizar las etapas del Wizard. Se definieron los objetivos iniciales de cada paso del proceso.
Próximo Paso: Sesión programada para la semana posterior a Semana Santa, donde se terminará de definir la integración de datos y requisitos por cada paso del Wizard.
</t>
  </si>
  <si>
    <t>Img_2025_041</t>
  </si>
  <si>
    <t>INFRAESTRUCTURA Y REPORTES</t>
  </si>
  <si>
    <t>Monitoreo Postfix (Oracle Linux)</t>
  </si>
  <si>
    <t>21/03/2026 al 01/04/2026: El sistema de colas mantiene un rendimiento rápido, seguro y estable en el envío de notificaciones.</t>
  </si>
  <si>
    <t>PRV_2025_057</t>
  </si>
  <si>
    <t>MÓDULO DE PREVISIONALES (Cargas Críticas)</t>
  </si>
  <si>
    <t>Importación de Formatos (Bodega de Datos y Precierre)</t>
  </si>
  <si>
    <t>06/04/2026 al 07/04/2026: Se está trabajando en la estabilización de los formatos de carga, específicamente en el archivo de Saldo Reserva, donde se identificaron dos bloqueos:
Tratamiento Numérico: El sistema omite decimales en valores con comas intermedias o grandes enteros (Ej: 711,000,750 o 650,000), afectando la precisión de los saldos.
Validación de Integridad: El proceso se detiene por duplicidad en la llave única de Periodo + Número de Siniestro en registros que no cumplen con el estándar del módulo.
09/04/2026 al 15/04/2026: Paso a Producción de nuevos formatos. Despliegue oficial de los formatos de Bodega de Datos y Precierre al servidor de producción, integrando la nueva lógica de estabilidad y control de bloqueos de archivos.</t>
  </si>
  <si>
    <t>PRV_2025_058</t>
  </si>
  <si>
    <t>Reingeniería de Scripts de Importación</t>
  </si>
  <si>
    <t>07/04/2026: Desarrollo y ajuste del parseo de datos para asegurar que los separadores de miles y decimales sean interpretados correctamente por el motor de base de datos, garantizando la integridad financiera
04/05/2026: Se finaliza funcionalidad para cargue de Bodega de Datos.</t>
  </si>
  <si>
    <t>PRV_2025_059</t>
  </si>
  <si>
    <t>Implementación de Gestión de Registros</t>
  </si>
  <si>
    <t>Implementar funcionalidad para eliminar registros</t>
  </si>
  <si>
    <t xml:space="preserve">11/04/2026 al 15/04/2026: Se desarrolló la funcionalidad para eliminar registros y permitir re-cargas. Se habilitó la eliminación individual por formato y la eliminación masiva en las opciones de Tabla de Cierre e Anexo 1.
11/05/2026: Se finaliza funcionalidad </t>
  </si>
  <si>
    <t>Img_2025_042</t>
  </si>
  <si>
    <t>Modulo Imaginex - Soporte Tecnico</t>
  </si>
  <si>
    <t>Corrección de Interfaz en Producción.</t>
  </si>
  <si>
    <t>13/04/2026 al 15/04/2026: Se resolvió una dificultad técnica con la visualización de una ventana modal que presentaba errores. La corrección ya fue desplegada y verificada en el entorno de producción.</t>
  </si>
  <si>
    <t>PRV_2025_060</t>
  </si>
  <si>
    <t>PROCESOS JURIDICOS</t>
  </si>
  <si>
    <t>Análisis y Diseño del Módulo "Jurídicos Corte".</t>
  </si>
  <si>
    <t xml:space="preserve">16/04/2026 al 23/04/2026: Se inició el análisis para la creación de un nuevo módulo centralizado para la gestión de procesos jurídicos. El objetivo es permitir el registro de procesos nuevos, realizar seguimiento detallado y definir estados finales de gestión (Pago u Objeción).
24/04/2026 al 07/05/2026: Optimización del reporte para procesos jurídicos.
Nuevas Funcionalidades: * Descarga del informe para la Superintendencia Financiera.
Habilitación de cargue de formatos adicionales.
</t>
  </si>
  <si>
    <t>SST_2025_042</t>
  </si>
  <si>
    <t>Contingencia por Fallo en Servidor de Correos.</t>
  </si>
  <si>
    <t>18/04/2026 al 21/04/2026: El sábado 18/04 se interrumpió la entrega de correos de prefacturación debido a un cambio de infraestructura (migración de VPN a MPLS) realizado por el área técnica, lo que causó la pérdida de conexión con el servidor de correos.
Tras coordinar con Infraestructura, se restableció el canal y se procedió con el reenvío masivo de todos los correos de prefacturación pendientes del día 18 a través del proceso interno de Alfasst.</t>
  </si>
  <si>
    <t>SST_2025_043</t>
  </si>
  <si>
    <t>Soporte y Acompañamiento al Cliente.</t>
  </si>
  <si>
    <t>19/04/2026 al 23/04/2026: Sesiones de soporte y reuniones constantes con el cliente para mitigar el impacto causado por el retraso de las notificaciones del fin de semana y asegurar la normalidad en la operación actual.
24/04/2026 al 07/05/2026: Se restableció la conexión con el servidor On-Premise de la base de datos de Imagines, necesaria para que Alfasst pueda cargar el presupuesto de cada empresa.</t>
  </si>
  <si>
    <t>Img_2025_043</t>
  </si>
  <si>
    <t>VALIDACIÓN CONECTIVIDAD</t>
  </si>
  <si>
    <t>Coordinación de Conectividad (VPN vs MPLS).</t>
  </si>
  <si>
    <t>18/04/2026 al 20/04/2026: Gestión con el equipo de TI para validar los nuevos parámetros de red y asegurar que las aplicaciones (Alfasst, Previsionales e Imaginex) tengan salida estable por el nuevo canal MPLS.</t>
  </si>
  <si>
    <t>PRV_2025_061</t>
  </si>
  <si>
    <t>APLICATIVO DE PREVISIONALES (Informes y Gestión)</t>
  </si>
  <si>
    <t>Tablero de Cierre</t>
  </si>
  <si>
    <t>23/04/2026 al 07/05/2026: Consolidación de información de Bodega de Datos y Precierre, permitiendo visualizar el estado de la operación antes del corte.</t>
  </si>
  <si>
    <t>PRV_2025_062</t>
  </si>
  <si>
    <t>CIERRE</t>
  </si>
  <si>
    <t>Movimientos de Cierre (Nuevo Módulo)</t>
  </si>
  <si>
    <t>23/04/2026 al 07/05/2026: Creación de un módulo específico para la trazabilidad de movimientos contables y operativos durante la etapa de cierre.</t>
  </si>
  <si>
    <t>SST_2025_044</t>
  </si>
  <si>
    <t>Módulo de Profesionales</t>
  </si>
  <si>
    <t>Intervención modulo de profesionales con cronograma</t>
  </si>
  <si>
    <t>23/04/2026 al 07/05/2026: Se retomó la intervención en el módulo de Profesionales para complementar y finalizar el proceso relacionado con el Cronograma de Trabajo.
07/05/2026 al 15/05/2026: Se venía trabajando en este módulo, pero las actividades se pausaron temporalmente debido a un requerimiento prioritario de negocio para desvincular varias empresas de sus grupos empresariales.
26/05/2026 al 27/05/2026: Se retomaron y avanzaron de manera paulatina las actividades de desarrollo dentro del módulo de Profesionales para seguir complementando el flujo de trabajo de la aplicación.</t>
  </si>
  <si>
    <t>Img_2025_044</t>
  </si>
  <si>
    <t>APLICATIVO IMAGINEX (Correcciones Técnico-Operativas</t>
  </si>
  <si>
    <t>Reporte Conciliaciones Loc</t>
  </si>
  <si>
    <t>23/04/2026 al 07/05/2026: Corrección en la Opción Segunda Conciliación. Se ajustó la consulta eliminando condiciones que impedían la generación y descarga del reporte.</t>
  </si>
  <si>
    <t>REN_2026_001</t>
  </si>
  <si>
    <t>MÓDULO DE RENTAS VITALICIAS</t>
  </si>
  <si>
    <t>Optimización de Estados</t>
  </si>
  <si>
    <t>23/04/2026 al 07/05/2026: Ajuste de lógica para que archivos con estado "Rechazado" puedan pasar a "Pendiente" o "En Proceso" según condiciones para su reprocesamiento.</t>
  </si>
  <si>
    <t>MAURICI2</t>
  </si>
  <si>
    <t>REN_2026_002</t>
  </si>
  <si>
    <t>Comprobantes de Nómina</t>
  </si>
  <si>
    <t>23/04/2026 al 07/05/2026: Inclusión de un Certificado Adicional como adjunto en el envío masivo de correos de nómina.</t>
  </si>
  <si>
    <t>SST_2025_045</t>
  </si>
  <si>
    <t>Modulo Empresas</t>
  </si>
  <si>
    <t>Desasociación de Empresas y Recálculo VIP</t>
  </si>
  <si>
    <t>07/05/2026 al 15/05/2026: El aplicativo no cuenta actualmente con un módulo visual para este despliegue. Por lo tanto, se ejecutó un proceso a nivel de backend (por debajo) para revertir el presupuesto descontado cuando las empresas pertenecían al grupo empresarial. Posterior a esto, se corrió la funcionalidad de recálculo de presupuesto para asociarlas correctamente bajo la modalidad de Empresas VIP.</t>
  </si>
  <si>
    <t>PRV_2025_063</t>
  </si>
  <si>
    <t>APLICATIVO DE PREVISIONALES (Paso a Producción)</t>
  </si>
  <si>
    <t>Despliegue de Nuevos Reportes en Producción</t>
  </si>
  <si>
    <t xml:space="preserve">07/05/2026 al 15/05/2026: Se realizó con éxito el despliegue oficial al entorno de producción de toda la batería de informes desarrollados:
*Informe de Movimientos de Cierre.
* Tablero de Cierre.
* Reporte de Procesos Jurídicos / Corte.
* Informe para la Superintendencia Financiera.
- Acción: Posterior al despliegue, se brindó soporte preventivo y acompañamiento para asegurar la estabilidad del módulo de carga y consultas.
</t>
  </si>
  <si>
    <t>Img_2025_045</t>
  </si>
  <si>
    <t>INFRAESTRUCTURA Y PLAN DE CONTINGENCIA</t>
  </si>
  <si>
    <t>Restauración y Pruebas en Ambiente de Contingencia</t>
  </si>
  <si>
    <t>07/05/2026 al 16/05/2026: Se realizó la restauración completa de las bases de datos de producción en el ambiente de contingencia.
* Cronograma de Pruebas: El viernes se ejecutó la primera fase de pruebas en este entorno. El sábado se continúa con el plan de pruebas exhaustivo para certificar y garantizar que el aplicativo funcione de manera idéntica y correcta frente a un escenario real de contingencia.</t>
  </si>
  <si>
    <t>PRV_2025_064</t>
  </si>
  <si>
    <t>APLICATIVO DE PREVISIONALES - RASEGUROS</t>
  </si>
  <si>
    <t>Desarrollo del nuevo módulo de Reaseguros</t>
  </si>
  <si>
    <t xml:space="preserve">16/05/2026 al 22/05/2026: Se inició la construcción técnica de este nuevo módulo con el fin de incorporar la funcionalidad de Libro Radicador (mecanismo adaptado del sistema de correspondencia). Se estructuró la lógica de extracción y mapeo para tres formatos clave: Base Siniestros, Saldo Reserva Cálculos y Libro Bodega de Datos. Actualmente, el cargue masivo para estos tres archivos base está prácticamente listo, y se avanza en la codificación de las reglas y excepciones particulares que exige el Libro Radicador para completar el flujo de información.
25/05/2026 al 27/05/2026: Se dio continuidad al desarrollo del módulo de Reaseguros, logrando la estabilización exitosa del proceso de cargue para el componente de Libro Radicador (utilizado en correspondencia) hacia la bodega de datos.
28/05/2026 al 06/06/2026: Se avanzó en la construcción del módulo para procesar los formatos del informe de Aviso a la Renta (hojas de Reservas, Pagos y Rentas Vitalicias).
Gestión con el Cliente: Se sostuvieron reuniones estratégicas con el usuario/cliente para validar los primeros resultados del informe de juntas, mostrándole la correcta generación y visualización de los datos correspondientes a la primera hoja de Rentas Vitalicias.
Avance Técnico: Se implementó exitosamente el cargue de los formatos de Rentas y Previsionales. 
</t>
  </si>
  <si>
    <t>SST_2025_046</t>
  </si>
  <si>
    <t>PRESUPUESTO EMPRESAS</t>
  </si>
  <si>
    <t>Optimización y Reajuste en Vista de Cotizaciones (cct.cotizacion).</t>
  </si>
  <si>
    <t>18/05/2026 al 20/05/2026: Se intervino la vista encargada de actualizar los presupuestos corporativos extraídos desde la base de datos de Imagines. La solución consistió en modificar la lógica de la consulta para permitir la carga de periodos adicionales que antes quedaban por fuera. Ahora, el sistema identifica de manera dinámica el último periodo que registró un presupuesto activo vinculado a la póliza y lo utiliza como plantilla base para proyectar y complementar los meses restantes de forma automática.</t>
  </si>
  <si>
    <t>SST_2025_047</t>
  </si>
  <si>
    <t>APLICATIVO ALFASST</t>
  </si>
  <si>
    <t xml:space="preserve">Soporte Crítico — Corrección Histórica de Prefacturas </t>
  </si>
  <si>
    <t>19/05/2026 al 21/05/2026: Debido al proceso masivo ejecutado anteriormente para desligar empresas de sus grupos empresariales, se identificó un efecto secundario en el reporte de prefacturación, el cual mezclaba datos históricos ya aprobados en meses anteriores con el periodo actual. Se corrigieron los filtros de la consulta SQL para aislar correctamente el histórico y devolver la consistencia a los reportes del mes.</t>
  </si>
  <si>
    <t>SST_2025_048</t>
  </si>
  <si>
    <t>Soporte Crítico — Ajuste en Planificador</t>
  </si>
  <si>
    <t xml:space="preserve">22/05/2026: Se solucionó un reporte de soporte técnico en el módulo del planificador de Alfasst, el cual estaba truncando los valores numéricos y omitiendo el procesamiento de los decimales en sus tareas automáticas. Se ajustó el formateo de las variables de cálculo para garantizar la precisión decimal exacta.
</t>
  </si>
  <si>
    <t>Img_2025_046</t>
  </si>
  <si>
    <t>INFRAESTRUCTURA Y SERVIDORES</t>
  </si>
  <si>
    <t>Diagnóstico y Depuración de Disco en Servidor de Contingencia.</t>
  </si>
  <si>
    <t>20/05/2026 al 22/05/2026: A raíz de la alerta emitida por el área tecnológica sobre el agotamiento de la capacidad de almacenamiento en el ambiente de contingencia (superada tras las pruebas masivas del fin de semana), se procedió con una revisión del sistema de archivos. Se está ejecutando un plan de limpieza, depuración de logs antiguos y compresión de tablas temporales. La meta es reducir el tamaño del almacenamiento para que el entorno de contingencia conserve la misma ligereza, peso y parámetros que el servidor de producción.
23/05/2026: Para mitigar las advertencias de almacenamiento lleno, se realizó un procedimiento técnico crítico: se respaldó la base de datos y se extrajo una copia de seguridad externa de la carpeta Data. Posteriormente, se procedió con el borrado de los archivos locales saturados y se ejecutó una sincronización mediante rsync desde el servidor de producción hacia el servidor de contingencia para restablecer la base de datos limpia y liberar espacio en el disco.
25/05/2026: El área de tecnología emitió una nueva alerta por superación de capacidad. Ante esto, se les ha venido manifestando formalmente que este comportamiento de alertamiento es recurrente y se presenta desde el 16 de mayo (cuando iniciaron las pruebas en este entorno). Se les reiteró que la falla persiste desde antes de las tareas del sábado, específicamente a raíz de la montada de dos nuevas unidades (files y www). Se mantiene la comunicación con el área tecnológica bajo las recomendaciones técnicas entregadas tras la actividad del sábado 23.</t>
  </si>
  <si>
    <t>PRV_2025_065</t>
  </si>
  <si>
    <t>APLICATIVO DE PREVISIONALES - JUNTAS</t>
  </si>
  <si>
    <t>Desarrollo, Validación y Despliegue del Módulo de Juntas</t>
  </si>
  <si>
    <t xml:space="preserve">28/05/2026 al 06/06/2026: Se avanzó en la construcción del módulo para procesar los formatos del informe de Aviso a la Renta (hojas de Reservas, Pagos y Rentas Vitalicias).
Gestión con el Cliente: Se sostuvieron reuniones estratégicas con el usuario/cliente para validar los primeros resultados del informe de juntas, mostrándole la correcta generación y visualización de los datos correspondientes a la primera hoja de Rentas Vitalicias.
Avance Técnico: Se implementó exitosamente el cargue de los formatos de Rentas y Previsionales.
</t>
  </si>
  <si>
    <t>PRV_2025_066</t>
  </si>
  <si>
    <t>Paso a Producción de Nuevos Módulos</t>
  </si>
  <si>
    <t>Despliegue en Producción</t>
  </si>
  <si>
    <t>06/06/2026: Se realizó de manera exitosa el despliegue en el ambiente de producción de los dos nuevos módulos desarrollados: Reaseguros y Juntas.</t>
  </si>
  <si>
    <t>Img_2025_047</t>
  </si>
  <si>
    <t>Revisión del Módulo de Radicación (Fallo en Envío de Correos)</t>
  </si>
  <si>
    <t xml:space="preserve">28/05/2026 AL 05/06/2026: Se revisó la gestión de radicación ante reportes de fallas en el envío de correos salientes. No se encontraron anomalías evidentes en los logs en el momento del análisis.
Se dejó el caso en observación. Se coordinó con los compañeros que operan el módulo para que nos informen apenas realicen el próximo proceso de radicación, permitiéndonos ejecutar un monitoreo en tiempo real del servidor de correo.
</t>
  </si>
  <si>
    <t>SST_2025_049</t>
  </si>
  <si>
    <t>APLICATIVO ALFASST - Soporte Operativo</t>
  </si>
  <si>
    <t>Ajuste en Modificación de Órdenes de Servicio</t>
  </si>
  <si>
    <t>01/06/2026 al 04/06/2026: Se brindó soporte y se solucionó un bloqueo que impedía editar las órdenes de servicio cuando se modificaban sus unidades. Se realizó el ajuste respectivo en el sistema para permitir guardar estos cambios sin inconvenientes.</t>
  </si>
  <si>
    <t>Img_2025_048</t>
  </si>
  <si>
    <t>INFRAESTRUCTURA Y SERVIDORES (Producción)</t>
  </si>
  <si>
    <t>Migración de File Systems en Servidores de Producción.</t>
  </si>
  <si>
    <t>01/06/2026 al 05/06/2026: Se ejecutó con éxito el cambio físico de las unidades de almacenamiento (File Systems) en el ambiente de producción. Esta migración de infraestructura optimiza y cambia las unidades tanto de los archivos de las aplicaciones como de los volúmenes de las bases de datos.</t>
  </si>
  <si>
    <t>Img_2025_049</t>
  </si>
  <si>
    <t>Configuración de Entorno Python en Producción.</t>
  </si>
  <si>
    <t>05/06/2026: Durante las horas de la tarde del viernes, se realizó la instalación y configuración de las librerías y los paquetes correspondientes de Python directamente en el servidor de producción, dejando el entorno listo y optimizado para los requerimientos del sistema.</t>
  </si>
  <si>
    <t>SST_2026_050</t>
  </si>
  <si>
    <t>APLICATIVO ALFASST - Mitigación de Bloqueos y Control de Presupuesto</t>
  </si>
  <si>
    <t>Resolución de Bloqueo de Sesiones y Control de Presupuesto en Órdenes de Servicio.</t>
  </si>
  <si>
    <t xml:space="preserve">12/06/2026 al 19/06/2026: Incidencia Crítica: El viernes 12 de junio a partir de las 9:00 p. m. se identificó un inconveniente crítico de bloqueo de sesiones (deadlocks) en la base de datos, lo cual colapsaba el proceso automático y masivo de generación de órdenes de servicio vinculadas a las planificaciones del cronograma de trabajo.
Detalle de la Solución Técnica: Se intervino y reestructuró el código fuente del proceso masivo. Aprovechando que el sistema ya contaba con el control nativo para restringir la generación en sábados, domingos y días festivos, se le integró una validación adicional:
Validación de Presupuesto: Ahora el sistema verifica dinámicamente si la agenda, de acuerdo con el plan de trabajo respectivo, cuenta con presupuesto disponible. Si no tiene fondo, el sistema bloquea automáticamente el agendamiento y detiene la generación de la orden de servicio.
 Gestión Operativa: Se notificó formalmente a los coordinadores sobre las agendas detectadas en días festivos para que procedan con la reprogramación y ajuste de estas en la plataforma.
</t>
  </si>
  <si>
    <t>PRV_2025_067</t>
  </si>
  <si>
    <t>APLICATIVO DE PREVISIONALES - Estabilización Post-Despliegue</t>
  </si>
  <si>
    <t>Soporte y Estabilización de Módulos de Reaseguros y Juntas en Producción.</t>
  </si>
  <si>
    <t xml:space="preserve">08/06/2026 al 19/06/2026: Detalle de la Solución: Tras el paso a producción de las semanas anteriores, se detectaron algunas inconsistencias específicas en el cargue de los nuevos formatos. Se trabajó en conjunto con el cliente para corregir los fallos de lectura y estabilizar el comportamiento de la carga de archivos.
Pendientes y Siguientes Pasos:
Formato Tipo Rentas: Queda en desarrollo la lógica requerida para la incorporación y carga de este formato específico.
Informe General de Juntas: Se continúa validando con el cliente la estructura final de los reportes. Ya se entregó la visualización completa de la hoja de Rentas Vitalicias, y se tienen priorizadas para desarrollo las dos hojas restantes correspondientes a Pagos y Reservas.
</t>
  </si>
  <si>
    <t>REN_2026_003</t>
  </si>
  <si>
    <t>MÓDULO DE RENTAS VITALICIAS - Certificado de Pensión</t>
  </si>
  <si>
    <t>Rediseño, Optimización y Acoplamiento del Certificado Pensional en Envío de Nómina</t>
  </si>
  <si>
    <t xml:space="preserve">07/06/2026 al 19/06/2026: Se intervino el proceso automatizado de envío de comprobantes de pago de nómina por correo electrónico para adjuntar también el Certificado de Pensionado, integrando de manera precisa el número de mesadas recibidas.
Desarrollo y Performance: Se realizó una reestructuración de código (performance) y un rediseño total de la plantilla del certificado, aplicando nuevos estilos y mejorando la visualización del documento bajo los estándares solicitados.
Gestión con el Cliente: Se realizaron sesiones de trabajo y validación con el cliente final para refinar el diseño visual y la estructura exacta del documento conforme a sus necesidades.
</t>
  </si>
  <si>
    <t>Asignado</t>
  </si>
  <si>
    <t>F. estimada de entrega</t>
  </si>
  <si>
    <t>Dias</t>
  </si>
  <si>
    <t>Observacion</t>
  </si>
  <si>
    <t>JAIRO NIÑO</t>
  </si>
  <si>
    <t xml:space="preserve">MDSB-642019 Cargue archivo tarifas y autorizaciones salud </t>
  </si>
  <si>
    <t>PRUEBAS BOLIVAR</t>
  </si>
  <si>
    <t>ok</t>
  </si>
  <si>
    <t>Gestión aplicativo reembolso salud</t>
  </si>
  <si>
    <t>Implementación de cartas (Devolución, glosa y pago).</t>
  </si>
  <si>
    <t>*02/10/2024 ya se encuentra implementado</t>
  </si>
  <si>
    <t>LUIS BAYONA</t>
  </si>
  <si>
    <t>MDSB-659398 Ajuste campos archivo Autorizaciones EPS</t>
  </si>
  <si>
    <t>Ajustar la tabla y el cargue del archivo</t>
  </si>
  <si>
    <t>CONTROL CAMBIOS PRD</t>
  </si>
  <si>
    <r>
      <rPr>
        <sz val="11"/>
        <color theme="1"/>
        <rFont val="Quattrocento Sans"/>
      </rPr>
      <t xml:space="preserve">*17/10/2024 Validación del desarrollo.
*18/10/2024 Continuara despues de terminar la  incidendia de "Caso internet"
*21/10/2024 ajustar campos y pruebas 
*22/10/2024 Subir ajustes a test, se debe solicitar control de cambios en test.
*24/10/2024 Se deben ajustar inconsitencias  en las fechas del informe.
*25/10/2024 Se suben ajustes a test
*12/11/2024 se debe subir a produccion (Solicitar control de cambios).
</t>
    </r>
    <r>
      <rPr>
        <b/>
        <sz val="11"/>
        <color theme="1"/>
        <rFont val="Quattrocento Sans"/>
      </rPr>
      <t>*13/11/2024</t>
    </r>
    <r>
      <rPr>
        <sz val="11"/>
        <color theme="1"/>
        <rFont val="Quattrocento Sans"/>
      </rPr>
      <t xml:space="preserve"> se escala control de cambios a produccion MDSB-705441.</t>
    </r>
  </si>
  <si>
    <t>MDSB-683637 REQ Ajustes datos migración EPS-Davinci</t>
  </si>
  <si>
    <t>Ajustar Glosa  por procedimiento</t>
  </si>
  <si>
    <t>*29/10/2024 Continua con el desarrollo
*30/10/2024 Finalizado</t>
  </si>
  <si>
    <t>DANILO RAMIREZ</t>
  </si>
  <si>
    <t xml:space="preserve"> GD772-52 Eliminar envio de correo de notificación de tipologia</t>
  </si>
  <si>
    <r>
      <rPr>
        <sz val="11"/>
        <color theme="1"/>
        <rFont val="Quattrocento Sans"/>
      </rPr>
      <t>Para la tipologia "</t>
    </r>
    <r>
      <rPr>
        <b/>
        <sz val="11"/>
        <color theme="1"/>
        <rFont val="Quattrocento Sans"/>
      </rPr>
      <t>Creación O Cambio De Usuario Administrador Pagina Web - Ap</t>
    </r>
    <r>
      <rPr>
        <sz val="11"/>
        <color theme="1"/>
        <rFont val="Quattrocento Sans"/>
      </rPr>
      <t>" se debe eliminar el envio al correo servicioalcliente@segurosbolivar.com cuado se radica en el portal solicitudes ARL.</t>
    </r>
  </si>
  <si>
    <t>PRUEBA BOLIVAR</t>
  </si>
  <si>
    <t>*07/11/2024 Pendiente pruebas por bolivar en produccion.</t>
  </si>
  <si>
    <t>Cargue archivo de pago y cambio estado  a  "Terminado o rechado de pago" e implementación de la carta correspondiente</t>
  </si>
  <si>
    <t>*28/10/2024 pendiente definir que estados se deben tomar para llevar el Reembolso a rechazo 
*01/11/2024 Reinicia Validando la logica de la bandeja.
*05/11/2024 aclarar dudas para implementar carta de bancolombia y en pruebas de archivo de pagos
*06/11/2024 devolucion por causal.
*07/11/2024 devolucion por causal lista  para test.</t>
  </si>
  <si>
    <t>MDSB-657409 Modulo para adicionar RG para gestion de respuestas a Glosa EPS</t>
  </si>
  <si>
    <t>EN  TEST</t>
  </si>
  <si>
    <t>*12/11/2024 Listo para entrega a Jenry
*13/11/2024 pendiente validación con jenry para pasar a dev y test.
*14/11/2024 pendiente pasar a test
*15/11/2024 Se pasa a test para  pruebas bolivar</t>
  </si>
  <si>
    <t>JESUS PEÑA</t>
  </si>
  <si>
    <t>GD772-71 Radicación de juntas</t>
  </si>
  <si>
    <t>Estimar tiempo de desarrollo</t>
  </si>
  <si>
    <t>EN PRUEBAS BOLIVAR</t>
  </si>
  <si>
    <t>10 Dias</t>
  </si>
  <si>
    <t>23/01/2025 Inicio de pruebas  para  pasar a test
31/01/2025 entregado a prubas Bolivar</t>
  </si>
  <si>
    <t>HU 1 Crear en el portal de solicitudes ARL la opción de radicación de JCI - EPS- AFP</t>
  </si>
  <si>
    <t>20/01/2025 pendiente ajustes en yii
31/01/2025 entregado a prubas Bolivar</t>
  </si>
  <si>
    <t>HU 2 Creación de formulario para radicación en el portal</t>
  </si>
  <si>
    <t>HU 3 Parte 2 formulario de radicación
Descripción</t>
  </si>
  <si>
    <t>H4 Opción consulta casos en portal ARL</t>
  </si>
  <si>
    <t>H5 Radicación individual</t>
  </si>
  <si>
    <t>31/01/2025 entregado a prubas Bolivar</t>
  </si>
  <si>
    <t>H6 Adjunto</t>
  </si>
  <si>
    <t>VALIDAR HALLAZGO DE LAS PRUEBAS</t>
  </si>
  <si>
    <t>27/01/2025 pendiente ajustar caso internet en nativo
28/01/2025 ajustes en test para  pruebas
28/01/2025 Pendiente ajuste en el campo identificacion en el 2do paso.
31/01/2025 entregado a prubas Bolivar</t>
  </si>
  <si>
    <t>dias estimados</t>
  </si>
  <si>
    <t xml:space="preserve">Seguimiento 28 Abril </t>
  </si>
  <si>
    <t>Seguimiento 28 Abril  2</t>
  </si>
  <si>
    <t>Column 4</t>
  </si>
  <si>
    <t>Column 5</t>
  </si>
  <si>
    <t xml:space="preserve">vulnerabilidades claudia </t>
  </si>
  <si>
    <t>07/04/2025: Pendiente de revisar; implica cambiar librerías como JavaScript o Bootstrap, lo que evaluará hoy para determinar viabilidad,Iniciara tan pronto finalice implementación de la Vulnerabilidad- Web Application Information Disclosure.
08/04/2025: Inicio
09/04/2025:Ayer finalizó y resolvió esta vulnerabilidad; todas las vulnerabilidades están cerradas por ahora.</t>
  </si>
  <si>
    <t xml:space="preserve">Se trabajaran alternando espacios con que permita la IA </t>
  </si>
  <si>
    <t xml:space="preserve">Pendiente cipres </t>
  </si>
  <si>
    <t xml:space="preserve">Paso a produccion 5 mayo </t>
  </si>
  <si>
    <t xml:space="preserve">finalizado 6 mayo </t>
  </si>
  <si>
    <t>Vulnerabilidades Retest</t>
  </si>
  <si>
    <t xml:space="preserve">02/04/2025: Inicia con la implementación 
03/04/2025:  Ayer comenzó esta vulnerabilidad, avanzó poco por otras tareas; hoy continuará trabajando en ella.  
04/04/2025: Unque avanzó bastante, la tarea aún no está finalizada. Hoy se continuará con ese objetivo.
07/04/2025 Finalizada en test
07/04/2025:  haciendo un cambio en Application error messages y subira  a test
08/04/2025: Finalizo implementación en test </t>
  </si>
  <si>
    <t xml:space="preserve">pendiente 2 vulnerabilidades se entrega hoy </t>
  </si>
  <si>
    <t xml:space="preserve">finaliado 6 mayo </t>
  </si>
  <si>
    <t xml:space="preserve">Vulnerabilidades Edgar </t>
  </si>
  <si>
    <t>25/03/2025: El viernes trabajó en esta vulnerabilidad, resolviendo varios detalles; estima terminarla hoy al mediodía y luego pasará a Lectura de Autorizaciones Médicas con IA.
26/03/2025: Ayer terminó esta vulnerabilidad y la subió a test; ya está resuelta, se realizaran pruebas y se subira a produccion.
28/03/2025: Subida a test el anteayer con pruebas listas; pendiente pasar a producción.  
31/03/2025: Se soliitara  crear una ventana para subirlo, se realizara  una solicitud  a Leydi Mayorga.
01/04/2025: falta pasar a producción; requiere reiniciar Apache (5 minutos), planeado para la noche para minimizar impacto.
03/04/2025: Listo en test, solo falta reiniciar Apache (segundos); lo hará hoy, preferiblemente en la noche para evitar interrupciones.
04/04/2025: Se aplicaron cambios relacionados con vulnerabilidades en Apache, pero no se reflejaron en producción, Hoy se hará validación para identificar el problema.
07/04/2025:No avanzó el viernes por priorizar Web Application Information Disclosure; hoy sacará tiempo para realizar la validación.
09/04/2025: Un se encuentra  pendiente validar el porque los cambios nose replicaron en produccion.
10/04/2025: Ayer tarde intentó cambios en los cifrados; funciona en test pero no en producción tras mucho tiempo invertido; lo dejará pendiente para buscar una solucion.</t>
  </si>
  <si>
    <t xml:space="preserve">MDSB-707440 </t>
  </si>
  <si>
    <t xml:space="preserve"> Portal reembolsos ARL</t>
  </si>
  <si>
    <t xml:space="preserve">Pausado por otras prioridades del negocio </t>
  </si>
  <si>
    <t xml:space="preserve">Todo este requerimiento es de Jairto </t>
  </si>
  <si>
    <t>Implementación de observacion  en la consulta de "Reconsideración Negativa de Servicios"</t>
  </si>
  <si>
    <t>28/01/2025 continua con la implementación del cargue y eliminación  de los archivos</t>
  </si>
  <si>
    <t xml:space="preserve">Relacionado con 440 jira </t>
  </si>
  <si>
    <t>Cambio de nombres en pensiones</t>
  </si>
  <si>
    <t>09/04/2025: Liyibet  pidió por correo ajustar nombres en pensiones; proponen una opción manual con rol (como Jesús hizo antes), evitando cambios manuales frecuentes; Jairo lo revisará.
10/04/2025: Hoy  ajustara por base de datos el registro solicitado por Liyibet  y quedara pendiente la implementación de la opcion automatica para la autogestion.
11/04/2025: no lo ha hecho por no encontrar el correo; lo reenvían hoy para avanzar con un update. 
14/04/2025: Hoy realizo modificacion solicitada, quedara pendiente la implementación de la opcion automatica para la autogestion.</t>
  </si>
  <si>
    <t>Confirguración de Tipología internacional (dudas).</t>
  </si>
  <si>
    <t>04/04/2025: Hoy continuara  con la confirguración de la tipologia.
07/04/2025: No trabajó en esto el viernes por otros temas; hoy configurará consultas y evaluará si se puede copiar o ajustar
09/04/2025: Ayer finalizó y pasó a test; listo para que Santiago inicie pruebas; incluye ajustes de fase 1 y 2 de reembolsos (dudas, retoma, informe).
10/04/2025: Santiago aprueba  paso a produccion, se estima pasarlo  junto  con el req GD772-61.
11/04/2025: Pendiente  realizar paso a produccion.
14/04/2025:Realizo paso a produccion hoy en la  mañana.</t>
  </si>
  <si>
    <t>Gestión de glosas y anticipos (Se identificaron errores por glosas parciales enviadas sin completar el flujo de anticipos)</t>
  </si>
  <si>
    <t>MDSB-797891</t>
  </si>
  <si>
    <t>04/04/2025: Se propuso agregar un botón de confirmación para validar el monto con el usuario antes de enviar la diferencia al centralizador contable, Iniciara al finalizar la Confirguración de Tipología internacional (dudas).
07/04/2025:Bolivat debera  radicar un jira con los  cambios requeridos.</t>
  </si>
  <si>
    <t xml:space="preserve">Hoy se pasa a produccion el comando </t>
  </si>
  <si>
    <t xml:space="preserve">pendiente pasar a produccion </t>
  </si>
  <si>
    <t xml:space="preserve">Finalizado viernes 2 Mayo </t>
  </si>
  <si>
    <t xml:space="preserve">MDSB-791997 </t>
  </si>
  <si>
    <t>Listado solicitudes 1de enero de 2024 al 31 de marzo de 2024</t>
  </si>
  <si>
    <t>04/04/2025: Bolivar requiere listado del total de solicitudes tramitadas por imagine mensualmente de 1de enero de 2024 al 31 de marzo de 2024, Continuara despues de  finalizar GD772-84 Comunicaciones gestión de aportes sin afiliacion 
09/04/2025: Ayer creó un query para contar casos por origen (masivos, portales, etc.) para ARL (nativo, medicamentos, incapacidades, fallos); Jairo ejecutó uno y dará tabla de fallos; sigue pendiente para incapacidades y medicamentos. 
10/04/2025: Ayer avanzó en query  para casos por origen; falta la tabla de fallos (Jairo la proporcionará hoy);  
14/04/2025: Se envia  informe solicitado  por Bolivar.</t>
  </si>
  <si>
    <t>Consulta de estado del CUPS en la malla</t>
  </si>
  <si>
    <t>10/04/2025: Se sugiere implementar consulta directa del estado del CUPS (activo/inactivo) en la vista de carga, incluyendo usuario y fecha de inactivación. Se puede reutilizar la función existente.</t>
  </si>
  <si>
    <t>GD772-84</t>
  </si>
  <si>
    <t>Comunicaciones gestión de aportes sin afiliacion (masivos)</t>
  </si>
  <si>
    <t>02/04/2025: Iniciara  tan pronto finalice GD772-92 - Malla CUPS en Nativo
03/04/2025: Iniciara hoy con el desarrollo.
04/04/2025: avanzó en la implementación para leer una segunda hoja de los archivos Excel de masivos, hoy se continuará con el armado de la respuesta y se realizarán pruebas en la tarde.
07/04/2025: El viernes probó con Fabio dos PDFs nuevos para masivos; funcionó bien, pero las plantillas están quemadas; hoy ajustarán un editor dinámico para plantillas y corregirán detalles menores, evaluando paso a producción. 
09/04/2025: Ayer corrigió fechas en PDFs para dos tipologías; listo en test para pruebas del cliente, pendiente paso a producción.
10/04/2025: Se realizara entrega al cliente  hoy.
11/04/2025: En pruebas con el cliente se presentó un hallazgo: el sistema tomó el mismo comunicado para las dos tipologías, cuando cada una debe tener un comunicado diferente. Se validará, ya que este error no ocurrió en pruebas previas.
14/04/2025 Realizara  validción y ajuste  del hallazgo de las  pruebas realizadas el 10 de Abril con el  cliente.
14/04/2025:Se realizan ajustes, se remite al cliente para pruebas y aprueba paso a produccion.</t>
  </si>
  <si>
    <t xml:space="preserve">GD772-95 </t>
  </si>
  <si>
    <t>MONTOS MINIMO GLOSA</t>
  </si>
  <si>
    <t xml:space="preserve">10/04/2025: Se plantea restricción para glosas parciales menores a $6.000. Se mostrará mensaje al usuario y se bloqueará si no cumple con el mínimo.
11/04/2025: Implementado en local (mensaje para glosas parciales &lt; 6.000 pesos); hoy lo pasará a producción tras pruebas en test.
14/04/2025: Requerimiento en test
14/04/2025: Se realiza pasoa produccion. </t>
  </si>
  <si>
    <t xml:space="preserve">GD772-96  </t>
  </si>
  <si>
    <t>VALOR RIPS</t>
  </si>
  <si>
    <t xml:space="preserve">10/04/2025: Hoy implementará que los campos de valor en JSON (ValorServices) sean mayores a cero en el portal, evitando RIPS en cero; tarea rápida de la mañana.
11/04/2025: Implementado en local (valor &gt; 0 en ValorServices); hoy lo pasará a producción tras pruebas en test.
14/04/2025: Requerimiento en test
14/04/2025: Se realiza  paso a produccion </t>
  </si>
  <si>
    <t xml:space="preserve">GD772-97 </t>
  </si>
  <si>
    <t>BOTON ENVIO PAGO DE FACTURAS RESPUESTA A GLOSA PARA EPS</t>
  </si>
  <si>
    <t>11/04/2025:  No lo entiende; pendiente de aclaración con el usuario para avanzar
14/04/2025:Se realiza paso a produccion.</t>
  </si>
  <si>
    <t>GD772-98</t>
  </si>
  <si>
    <t xml:space="preserve"> FACTURA PAGO ANTICIPO EPS</t>
  </si>
  <si>
    <t xml:space="preserve">11/04/2025: Implementado en local; hoy lo pasará a producción tras pruebas en test.  
14/04/2025: Requerimiento en test
14/04/2025: Se realiza paso a producción </t>
  </si>
  <si>
    <t>MDSB-796714</t>
  </si>
  <si>
    <t xml:space="preserve"> . JIRA SERVIENTREGA </t>
  </si>
  <si>
    <t>jESUS PEÑA</t>
  </si>
  <si>
    <t>MDSB-729146</t>
  </si>
  <si>
    <t xml:space="preserve">Jiras dia a dia </t>
  </si>
  <si>
    <t>MDSB-764755</t>
  </si>
  <si>
    <t>MDSB-765184</t>
  </si>
  <si>
    <t>MDSB-780326</t>
  </si>
  <si>
    <t>MDSB-781420</t>
  </si>
  <si>
    <t>MDSB-788689</t>
  </si>
  <si>
    <t>MDSB-793360</t>
  </si>
  <si>
    <t>MDSB-792179</t>
  </si>
  <si>
    <t>Interno</t>
  </si>
  <si>
    <t xml:space="preserve">Publicación informe analitica  en nativo </t>
  </si>
  <si>
    <t xml:space="preserve">Se realizo ajuste en prod el vienres </t>
  </si>
  <si>
    <t>MDSB-803317</t>
  </si>
  <si>
    <t xml:space="preserve">Error de recobros (Consulta Masiva de Soportes) </t>
  </si>
  <si>
    <t xml:space="preserve">Se subió a produccion en la mañana el ajuste </t>
  </si>
  <si>
    <t xml:space="preserve">Control para casos anulados en trazabilidad </t>
  </si>
  <si>
    <t xml:space="preserve">Control para casos sin usuario radicacion </t>
  </si>
  <si>
    <t>WILSON APONTE</t>
  </si>
  <si>
    <t xml:space="preserve">Interno </t>
  </si>
  <si>
    <t xml:space="preserve">Analitica de factura de cuentas medicas </t>
  </si>
  <si>
    <t xml:space="preserve">Se entregó el 8 de mayo </t>
  </si>
  <si>
    <t>Informe de RIPS (soporte)</t>
  </si>
  <si>
    <t xml:space="preserve">Se iniicia soporte </t>
  </si>
  <si>
    <t xml:space="preserve">finalizado el 5 mayo </t>
  </si>
  <si>
    <t>FABIO FORERO</t>
  </si>
  <si>
    <t>Manual MDSB-707440 - Portal Reembolsos ARL</t>
  </si>
  <si>
    <t>05/03/2025: Se iniciara al finalizar  Prueba en test GD772-82 Tipología sin flujo de radicación sisalud.</t>
  </si>
  <si>
    <t xml:space="preserve">Reemplazo negocio Proteccion </t>
  </si>
  <si>
    <t>Medio dia dedicado a proteccion, lo demas bolivar responsive</t>
  </si>
  <si>
    <t>Se tiene previsto avanzar lo máximo posible en Protección y luego retomar el nuevo requerimiento relacionado con autorizaciones médica</t>
  </si>
  <si>
    <t>Termino documentación  y seguimiento, Aunque se ha avanzado en el tema de protección, no se da por cerrado, ya que surgen casos constantemente. Ayer no se reportaron incidentes nuevos, pero en los días anteriores sí hubo, por lo cual se mantendrá como una tarea en proceso hasta que Alejandro retome la responsabilidad.</t>
  </si>
  <si>
    <t>Se trabajara en casos de protección que surjan</t>
  </si>
  <si>
    <t>La gestión  fue retomada por Alejandro desde el martes. No se han realizado más acciones sobre este tema desde el viernes 16 de mayo anterior, por lo que se da por cerrado el soporte temporal.</t>
  </si>
  <si>
    <t xml:space="preserve">Ajuste validación un cero al inicio en la lectura de IA CUPS </t>
  </si>
  <si>
    <t xml:space="preserve">Se entrega el dia de hoy </t>
  </si>
  <si>
    <t>Se confirma que el ajuste implementado el viernes  9 de mayo fue desplegado exitosamente en producción hacia las 6:00 p.m.</t>
  </si>
  <si>
    <t>Corrección de vulnerabilidad en la consulta de solicitudes ARL</t>
  </si>
  <si>
    <t>Se abordó una vulnerabilidad reportada a Lidy relacionada con la consulta de solicitudes ARL. Aunque los cambios necesarios ya habían sido desarrollados y aprobados por Fabio, no se habían subido a producción por razones desconocidas. Al encontrarse con una rama de código desactualizada, se optó por crear una nueva rama y migrar los cambios para solventar el problema.</t>
  </si>
  <si>
    <t>El  14 de mayo,Se abordó una vulnerabilidad reportada a Lidy relacionada con la consulta de solicitudes ARL. Aunque los cambios necesarios ya habían sido desarrollados y aprobados por Fabio, no se habían subido a producción por razones desconocidas. Al encontrarse con una rama de código desactualizada, se optó por crear una nueva rama y migrar los cambios para solventar el problema.</t>
  </si>
  <si>
    <r>
      <rPr>
        <b/>
        <u/>
        <sz val="10"/>
        <color rgb="FF1155CC"/>
        <rFont val="Quattrocento Sans"/>
      </rPr>
      <t>GD772-102</t>
    </r>
  </si>
  <si>
    <t>Bolivar da visto bueno para  pasar a produccion.</t>
  </si>
  <si>
    <t xml:space="preserve">El 12 de mayo  se realizo paso a produccion </t>
  </si>
  <si>
    <t>MDSB-809245</t>
  </si>
  <si>
    <t>Jira dia a dia ( Generar informe tipologias 10007, 10008, 10581 de pensiones</t>
  </si>
  <si>
    <t>Iniciara  con la generación del informe por DB</t>
  </si>
  <si>
    <t>Informe generado 13 de mayo y enviado  14 de mayo</t>
  </si>
  <si>
    <t>jeSUS PEÑA</t>
  </si>
  <si>
    <t>MDSB-792259</t>
  </si>
  <si>
    <t>Jira dia a dia ( Generar informe de casos radicados inicialmente bajo la tipología “Otro tipo de solicitud”</t>
  </si>
  <si>
    <t>Informe generado y enviado  13 de mayo</t>
  </si>
  <si>
    <r>
      <rPr>
        <u/>
        <sz val="9"/>
        <color rgb="FF1155CC"/>
        <rFont val="Roboto"/>
      </rPr>
      <t>GD772-81</t>
    </r>
  </si>
  <si>
    <t xml:space="preserve">Calificador automático (Ajuste de carta de respuesta) </t>
  </si>
  <si>
    <t>subira a test para  pruebas</t>
  </si>
  <si>
    <t>El viernes 16 de mayo  Se subieron a test varios ajustes, incluyendo el PDF de salida para nueve tipologías distintas, no solo una. También se configuró el administrador de cartas, permitiendo edición según cada tipología</t>
  </si>
  <si>
    <t>MDSB-786579</t>
  </si>
  <si>
    <t xml:space="preserve"> No permite enlazar tipologías (Nativo</t>
  </si>
  <si>
    <t xml:space="preserve">Inicia validación </t>
  </si>
  <si>
    <t>MDSB-812125</t>
  </si>
  <si>
    <t>Error en generación de cartas no furat (Nativo)</t>
  </si>
  <si>
    <t>Se realiza validación con la usuaria y se identifica una carta adicional creada en el administrador que no permitia que el  proceso tomara la  carta correcta, se inactiva la  carta y se espera que el  usuario realice pruebas y nos confirme que ha quedado correcto.</t>
  </si>
  <si>
    <t>El 20 de Mayo  lLeidy mayorga confirma que la  carta se esta generando bien.</t>
  </si>
  <si>
    <t>interno</t>
  </si>
  <si>
    <t>Validar funcionamiento listas blancas en test</t>
  </si>
  <si>
    <t>Iniciara con la Validación  hoy</t>
  </si>
  <si>
    <t>Se solucionó un error que impedía el correcto funcionamiento de listas blancas en ambiente de pruebas</t>
  </si>
  <si>
    <t>Adicionar sleep(1) en la DB en Nativo</t>
  </si>
  <si>
    <t xml:space="preserve">Ya lo tiene  creado  en local  para   subir a produccion  </t>
  </si>
  <si>
    <t>El 22  de mayo se  subio s produccion La instrucción sleep(1) se implementó para mitigar problemas de duplicación de actividades. Sin embargo, se detectó que otras funciones también abren/cierra casos</t>
  </si>
  <si>
    <t>MDSB-818098</t>
  </si>
  <si>
    <t>Jira solicitud de información(Informe seguimiento x actividades)</t>
  </si>
  <si>
    <t>Se genero informe a partir de una solicitud JIRA. El informe ya está elaborado, pero requiere apoyo para su generación final.</t>
  </si>
  <si>
    <t>MDSB-814988</t>
  </si>
  <si>
    <t>jiras dia a dia (Ajustar roll usuario 1024539753)</t>
  </si>
  <si>
    <t>MDSB-818156</t>
  </si>
  <si>
    <t>jiras dia a dia (Ajustar roll usuario 1082157117)</t>
  </si>
  <si>
    <t>Cerrar trazabilidad de Tipologias cierre automatico</t>
  </si>
  <si>
    <t>Realizara hoy el cierre</t>
  </si>
  <si>
    <t>MDSB-812348</t>
  </si>
  <si>
    <t>Jiras dia a dia ( Generacion de  informe  formato at 031 año 2024</t>
  </si>
  <si>
    <t>Informe generado y enviado al usuario</t>
  </si>
  <si>
    <t>GD772-104</t>
  </si>
  <si>
    <t>campos glosa aceptada y glosa conciliacion (pend JIRA)</t>
  </si>
  <si>
    <t>MDSB-803316</t>
  </si>
  <si>
    <t>MDSB-814807</t>
  </si>
  <si>
    <t xml:space="preserve">Se debe revisar el error de los campos de tamaño,  sin eso no se puede avanzar este req, ya se encuentra proximo a test </t>
  </si>
  <si>
    <t xml:space="preserve">Se entrega para TEST miercoles 30 abril </t>
  </si>
  <si>
    <t xml:space="preserve">Se pausó para soporte de informe RIPS </t>
  </si>
  <si>
    <t>Se realizaron ajustes solicitados relacionados con los campos de GLOSA, específicamente desde la línea 39. También se atendieron solicitudes de cambios adicionales</t>
  </si>
  <si>
    <t>se han aplicado algunos cambios solicitados en Campus Glossa, los cuales ya están en ambiente de pruebas. Solo se espera la validación final por parte del equipo solicitante, Adicional se está revisando si ese orden de la carta solicitado se encuentra implementado correctamente o si requiere ajustes.</t>
  </si>
  <si>
    <t>Se solicita control  de cambios a produccion MDSB-814807</t>
  </si>
  <si>
    <t>aún se está esperando el Jira MDSB-814807, se requiere aprobación por parte de varios actores</t>
  </si>
  <si>
    <t>El control de cambios se encuentra pendiente por aprovación de Juan David Leon, se estima la aprovación  hoy  para que sea incluido en comite de cambios digitales
*Control de cambios aprobado y ejecutado 21 de mayo a las 4pm.</t>
  </si>
  <si>
    <t>El desarrollo fue pasado a producción e incluye los nuevos campos solicitados. Sin embargo, el informe presenta limitaciones si existen más de tres Glosas, por lo que se propuso desarrollar un nuevo informe más claro y funcional.</t>
  </si>
  <si>
    <t>INTERNO</t>
  </si>
  <si>
    <t>Botón para radicación directa de nota crédito</t>
  </si>
  <si>
    <t>Se propuso automatizar la radicación de notas crédito mediante un botón que simplifique el proceso repetitivo. El desarrollo aún no ha iniciado, pero se estima de rápida implementación.</t>
  </si>
  <si>
    <t>ya está en producción y deben ser mostradas a los usuarios.(John)</t>
  </si>
  <si>
    <t>Validación informe general ARL-prd</t>
  </si>
  <si>
    <t>El informe presenta demoras al abrirse en Excel debido al alto volumen de registros. Se recomendó reducir el rango de fechas a 15 días y exportar en formato CSV para evitar bloqueos del sistema y mejorar el rendimiento.</t>
  </si>
  <si>
    <t>IIniciara hoy con la validación del imforme</t>
  </si>
  <si>
    <t>26 de Mayo finalizza ajuste del informe cambiando el formato de descarga a .csv, haciendo mas ligera la generación y apertura del informe.</t>
  </si>
  <si>
    <t xml:space="preserve">MDSB-794658
</t>
  </si>
  <si>
    <t>jira dia a dia ( No muestra infromación actualizada en consulta de autorizaciones)</t>
  </si>
  <si>
    <t>Se ajusta el limit de la consulta</t>
  </si>
  <si>
    <t>Apertura de flujo  caso 38929896 (Nativo Dictamen Jrci)</t>
  </si>
  <si>
    <t>El 29 de Mayo se realiza apertura del fllujo ya que el caso habia quedado con una sola actividad.</t>
  </si>
  <si>
    <t>MDSB-822809</t>
  </si>
  <si>
    <t>Jira dia a dia ( Descarga soportes AT 031 y AT 028)</t>
  </si>
  <si>
    <t>Se  implementara una  consulta para realizar  la descarga de los soportes  ya que son demasioado pesados.</t>
  </si>
  <si>
    <t xml:space="preserve">Buscar Tabla Log de calificación  </t>
  </si>
  <si>
    <t xml:space="preserve"> Jesús debe ubicar la tabla y realizar una consulta select para continuar con esta tarea, Falizada hoy 
</t>
  </si>
  <si>
    <t>Nuevos datos de ordenes medicas  con IA (Adicion de campos  informe cups)</t>
  </si>
  <si>
    <t>***</t>
  </si>
  <si>
    <t>Está en ambiente de prueba; faltan dos columnas cuya fuente debe identificarse</t>
  </si>
  <si>
    <t>El 5 de junio se realizan prueba y ajustes de los hallazgo en test, hoy realizara  despliegue a produccion</t>
  </si>
  <si>
    <t>Los Ajustes del  informe se pasaron a produccion el 6 de Junio.</t>
  </si>
  <si>
    <r>
      <rPr>
        <b/>
        <u/>
        <sz val="10"/>
        <color rgb="FF1155CC"/>
        <rFont val="Quattrocento Sans"/>
      </rPr>
      <t>GD772-88</t>
    </r>
  </si>
  <si>
    <t>Requerimiento gestión Medicamentos fase 2 - Sprint 1</t>
  </si>
  <si>
    <t xml:space="preserve">inicia requerimiento </t>
  </si>
  <si>
    <t xml:space="preserve">Se entrega para hoy </t>
  </si>
  <si>
    <t xml:space="preserve">Jesus subio a justes  a test 9 de mayo,  Fabio iniciara pruebas
</t>
  </si>
  <si>
    <t>Jesus realiza ajustes de hallazgos evidenciados en las  pruebas, se realizara validación de los ajustes  y realizar entrega al cliente hoy.</t>
  </si>
  <si>
    <t>En sesion de seguimiento con Bolivar confirman paso a produccion</t>
  </si>
  <si>
    <t>Se programa paso a produccion para  hoy en la tarde (5 pm)</t>
  </si>
  <si>
    <t xml:space="preserve">Se realiza paso a produccion </t>
  </si>
  <si>
    <t>MDSB-827826</t>
  </si>
  <si>
    <t>Jira dia a dia (Modificación texto carta comunicaciones masivas)</t>
  </si>
  <si>
    <t xml:space="preserve">El 10 de junio se realiza ajuste de las cartas por base de datos </t>
  </si>
  <si>
    <t>Vulnerabilidad, CVE-2017-18214 (Moment.js) – ReDoS al procesar cadenas de fecha maliciosas (&lt; v2.19.3)</t>
  </si>
  <si>
    <t>Permite ataques DoS por expresiones regulares (ReDoS) al manejar fechas especialmente diseñadas en Moment.js para Node.js</t>
  </si>
  <si>
    <t>Se actualizó a la versión 2.29.4 para corregir la vulnerabilidad</t>
  </si>
  <si>
    <t>Vulnerabilidad,CVE-2017-18214 (Linux Kernel) – Error en el subsistema DCCP del kernel de Linux</t>
  </si>
  <si>
    <t>Vulnerabilidad distinta con mismo identificador CVE, afecta al kernel de Linux y no está relacionada con Moment.js.</t>
  </si>
  <si>
    <t>Se cierre vulnerabilidad debido a que la  Versión de kernel es superior (5.15.0-1084-aws)</t>
  </si>
  <si>
    <t xml:space="preserve">Analitica de factura de cuentas medicas  (ingresar en el portal de yii)  ArL </t>
  </si>
  <si>
    <t xml:space="preserve">Pendiente hasta que lo active wilson </t>
  </si>
  <si>
    <t xml:space="preserve">Se inica dado que wilson ya entregó informe </t>
  </si>
  <si>
    <t>confirma estar trabajando en el portal. Comenta que durante el jueves y viernes estuvo enfocado principalmente en el informe elaborado por Wilson, sin embargo, encontró errores que ya fueron comunicados a Wlson, los cuales parecen estar relacionados con cambios que sufrió el informe después de haber comenzado su desarrollo</t>
  </si>
  <si>
    <t>El script que estaba utilizando Wilson se encuentra desactualizado respecto a la nueva estructura del informe. Es importante actualizar el script o definir un responsable para garantizar compatibilidad y evitar errores de ejecución.</t>
  </si>
  <si>
    <t>SE indicó por correo que el desarrollo estaba listo para subir, pero al hacerlo se detectaron errores. Aún no se ha recibido respuesta posterior de Wilson, posiblemente porque está involucrado en otros temas.</t>
  </si>
  <si>
    <t>Realizara validación e informara a Jairo cuando este listo.</t>
  </si>
  <si>
    <t>Wilson entrega  informe en HTML con imágenes a Jiaro, pero presenta inconvenientes técnicos para su visualización correcta. Se requiere solución que permita mostrar el contenido de forma segura e integrada.</t>
  </si>
  <si>
    <t xml:space="preserve"> El 23 de Mayo inició la revisión del informe de analítica de facturas de cuentas médicas en el portal Yii de la ARL, basado en el trabajo de Wilson, pero no alcanzó a completarla.</t>
  </si>
  <si>
    <t>No se han realizado avances en este requerimiento. Continúa pendiente de priorización frente a otras tareas.</t>
  </si>
  <si>
    <t xml:space="preserve">Aún no se ha retomado este requerimiento. Se planea revisarlo tan pronto como sea posible.
</t>
  </si>
  <si>
    <t>Se retomará el desarrollo durante la mañana de hoy. El objetivo es mostrar resultados concretos en esta jornada</t>
  </si>
  <si>
    <t xml:space="preserve">No se ha retomado el desarrollo. Se planea continuar una vez finalizado la  Mejora informe glosa req GD772-104
</t>
  </si>
  <si>
    <t>Ya fue desplegada en producción desde el 17 de junio. Pendiente revisión con el cliente (actualmente en vacaciones).</t>
  </si>
  <si>
    <t>MDSB-820704</t>
  </si>
  <si>
    <t>Jira dia a dia Error en generación informe mail 472 (Prefactura)</t>
  </si>
  <si>
    <t>En cola de trabajo</t>
  </si>
  <si>
    <t>Retomara validación de la incidencia</t>
  </si>
  <si>
    <t>Se identifica que el problema fue causado por un valor en el campo direccion_destino, donde la descripción de la dirección incluía un punto y coma (;) como parte del texto, Se añadió una codificación UTF-8 al tratamiento del texto, permitiendo omitir o interpretar correctamente el punto y coma, evitando así el desbordamiento de columnas al momento de cargar el archivo .csv</t>
  </si>
  <si>
    <t xml:space="preserve">Jira dia a dia Marcar como envio certificado tipologia  10665 Solicitud paz y salvo prestadores asistenciales. </t>
  </si>
  <si>
    <t>Se realiza maracación solicitada para la tipologia 10665 Solicitud paz y salvo prestadores asistenciales.</t>
  </si>
  <si>
    <t>Automatización de notas crédito</t>
  </si>
  <si>
    <t>Se implementó automatización basada en lectura del XML para reconocer y anular automáticamente notas crédito. Ya se encuentra  en producción desde el  17 de Junio.</t>
  </si>
  <si>
    <t>F. estimada de entrea</t>
  </si>
  <si>
    <t>VULNERABILIDADES ALTAS</t>
  </si>
  <si>
    <t>Cross site scripting</t>
  </si>
  <si>
    <t>*01/10/2024 Se encuentra en pruebas en test 
*02/10/2024 desplegado a  produccion el 1de octubre</t>
  </si>
  <si>
    <t>Arbitrary file upload</t>
  </si>
  <si>
    <t>*01/10/2024 Se encuentra en pruebas en test 
*01/10/2024 desplegado a  produccion.</t>
  </si>
  <si>
    <t>VULNERABILIDADES MEDIAS</t>
  </si>
  <si>
    <t>Database Error Message Disclosure</t>
  </si>
  <si>
    <t>*02/10/2024 finalizado</t>
  </si>
  <si>
    <t>Application error messages</t>
  </si>
  <si>
    <t>Development configuration files</t>
  </si>
  <si>
    <r>
      <rPr>
        <b/>
        <sz val="10"/>
        <color theme="1"/>
        <rFont val="Segoe UI"/>
      </rPr>
      <t>MDSB-679569</t>
    </r>
    <r>
      <rPr>
        <sz val="10"/>
        <color theme="1"/>
        <rFont val="Segoe UI"/>
      </rPr>
      <t xml:space="preserve"> No estan ingresando casi casos a la bandeja de con Externa y Crónicos.</t>
    </r>
  </si>
  <si>
    <t>*02/10/2024 Validar estadistico y no se evidencia intermitencia en el servicio.</t>
  </si>
  <si>
    <t>Cargue masivo de imágenes a casos reportados por John</t>
  </si>
  <si>
    <r>
      <rPr>
        <sz val="10"/>
        <color theme="1"/>
        <rFont val="Quattrocento Sans"/>
      </rPr>
      <t>*</t>
    </r>
    <r>
      <rPr>
        <b/>
        <sz val="10"/>
        <color theme="1"/>
        <rFont val="Segoe UI"/>
      </rPr>
      <t>02/10/2024, las imágenes se encuentran en una maquina local  se debe validar la forma de como pasarlas al  servidor</t>
    </r>
  </si>
  <si>
    <t>Validar creacion de plantillas de respuesta en nativo salud</t>
  </si>
  <si>
    <t>PRUEBAS</t>
  </si>
  <si>
    <t>* 02/10/2024 Realizando pruebas en local.</t>
  </si>
  <si>
    <t>JHOAN QUICENO</t>
  </si>
  <si>
    <t xml:space="preserve">MDSB-679787  Error cargue Constitución en Mora </t>
  </si>
  <si>
    <t>*03/10/2024 Se realiza despliegue a  produccion.</t>
  </si>
  <si>
    <t>Ausencia de control de peticiones</t>
  </si>
  <si>
    <t xml:space="preserve">*03/10/2024 Pendiente paso a produccion </t>
  </si>
  <si>
    <t>Enumeración de usuarios</t>
  </si>
  <si>
    <t>MDSB-665946 La lista blanca no esta tomando las IP</t>
  </si>
  <si>
    <t>*03/10/2024 se validara con Jenry la incidencia 
*04/10/2024 Se debe escalar a seguridad.</t>
  </si>
  <si>
    <t>GD772-39-incluir registro histórico de incapacidades por CC en bandeja de pendientes de cada analista</t>
  </si>
  <si>
    <t>*04/10/2024 Jose da el go para el paso a produccion,
*04/10/2024 Se realiza  paso a producción.</t>
  </si>
  <si>
    <t>https://github.com/Imaginesas/bolivar/compare/master...hotfix/anadirBotonCedulas</t>
  </si>
  <si>
    <t xml:space="preserve">Dar respuesta  al jira </t>
  </si>
  <si>
    <t xml:space="preserve">*04/10/2024 Se da respuesta al caso </t>
  </si>
  <si>
    <t xml:space="preserve">ENVIO DE ADJUNTOS DE ORDENES AFI </t>
  </si>
  <si>
    <t>No envia los adjuntos en el primer envio</t>
  </si>
  <si>
    <t>*04/10/2024 se agregó un delayed de 1 segundo para darle el tiempo que necesita el disco en reconstruir la imagen.</t>
  </si>
  <si>
    <t>Casos  que no se no se encuentra el  adjunto</t>
  </si>
  <si>
    <t>ADJUNTAR DOCUMENTOS PORTAL SALUD (Reembolsos)</t>
  </si>
  <si>
    <t>Agregar ipload para el cargue documentos por el  usuario y reabra los casos</t>
  </si>
  <si>
    <t>03/10/2024; reabrir casos
*04/10/2024 Cambios en test  para  pruebas.
07/10/2024 pruebaS.</t>
  </si>
  <si>
    <t>Requerimiento salud nativo</t>
  </si>
  <si>
    <t>Ajustar creación y edición de tipologías por un roll en específico</t>
  </si>
  <si>
    <t>EN PRUEBAS</t>
  </si>
  <si>
    <r>
      <rPr>
        <sz val="10"/>
        <color theme="1"/>
        <rFont val="Quattrocento Sans"/>
      </rPr>
      <t>* 02/10/2024 creacion de  un super roll  y se solicitara control de cambios a test</t>
    </r>
    <r>
      <rPr>
        <b/>
        <sz val="10"/>
        <color theme="1"/>
        <rFont val="Segoe UI"/>
      </rPr>
      <t>.
* 03/10/2024 controles de cambios MDSB-680626 y MDSB-680647 ejecutados correctamente, Se realizara despliegue a test para pruebas.</t>
    </r>
  </si>
  <si>
    <t>Corrección en la creación y actualización de usuarios por cada negocio en administracion de usuarios</t>
  </si>
  <si>
    <r>
      <rPr>
        <sz val="10"/>
        <color theme="1"/>
        <rFont val="Segoe UI"/>
      </rPr>
      <t>*02/10/2024, se subiran los ajustes  pendientes reportados en las pruebabas del 26 de septiembre</t>
    </r>
    <r>
      <rPr>
        <b/>
        <sz val="10"/>
        <color theme="1"/>
        <rFont val="Segoe UI"/>
      </rPr>
      <t>.
*03/10/2024 Se programara sesion para  validar los ajustes.</t>
    </r>
  </si>
  <si>
    <t>Administracion menu</t>
  </si>
  <si>
    <t xml:space="preserve">*04/10/2024 en test para  pruebas </t>
  </si>
  <si>
    <t>JOHN ROLON</t>
  </si>
  <si>
    <t>Paso de imágenes al servidor</t>
  </si>
  <si>
    <r>
      <rPr>
        <sz val="10"/>
        <color theme="1"/>
        <rFont val="Segoe UI"/>
      </rPr>
      <t>*02/10/2024 Validar la  forma de pasar las  imágenes al servidor.</t>
    </r>
    <r>
      <rPr>
        <b/>
        <sz val="10"/>
        <color theme="1"/>
        <rFont val="Segoe UI"/>
      </rPr>
      <t xml:space="preserve">
* 03/10/2024 Se realizara validacion  hoy.
*04/10/2024 se cargan 651 casos, quedan pendinetes 81 imágenes por  procesar por falta del numero de caso.</t>
    </r>
  </si>
  <si>
    <t>Ajustar visualizacion de Actividades, informacion caso internet y visor de imágenes, no se activan al  radicar  un caso.</t>
  </si>
  <si>
    <t>Realizar pruebas en test</t>
  </si>
  <si>
    <t xml:space="preserve">*04/10/2024 Se evidencia hallazgo en el borrado de plantillas y queda pendiente la validacion de las plantillas en gestion del caso.
*07/10/2024 a un no se ha desplegado el ajuste a test 
*07/10/2024 Las plantillas de no salen en gestion de caso </t>
  </si>
  <si>
    <t>Error 500 al consultar CC del radicado 30890192</t>
  </si>
  <si>
    <t>*08/10/2024 Revisar log de errores
*08/10/2024 Error producido por una modficación erronea de la fecha inc de la incapacidad.</t>
  </si>
  <si>
    <t xml:space="preserve">Ajustes visuales en la vista de gestión </t>
  </si>
  <si>
    <t>*08/10/2024 Se realizara paso a test para pruebas con Jenry</t>
  </si>
  <si>
    <t>Validar creación de plantillas de respuesta en nativo salud</t>
  </si>
  <si>
    <t>Validación de error al borrar plantillas</t>
  </si>
  <si>
    <t xml:space="preserve">*07/10/2024 Pendiente despliegue  a  test.
* 08/10/2024 se realiza validación y a un no permite el borrado
*09/10/2024 ajuste  aplicado correctamente, permite borrar la  plantilla </t>
  </si>
  <si>
    <t>MDSB-672997 Error en creación de usuario proveedores nit 811007144</t>
  </si>
  <si>
    <t>* 08/10/2024 No permite crear usuario como proveedor debido a que ya se encuentra creado como usuario de gestión, se dará respuesta de acuerdo a esta  validación
*09/10/2024 Se evidencia error en el roll asignado</t>
  </si>
  <si>
    <t>Creación  del API</t>
  </si>
  <si>
    <t xml:space="preserve">*08/10/2024 Compromiso de entrega  hoy en la tarde.
*09/10/2024 pendiente despliegue del jira </t>
  </si>
  <si>
    <t>Implementación del API en los servicios para actualizacion de estados.</t>
  </si>
  <si>
    <t>IMPLEMENTADO</t>
  </si>
  <si>
    <t>*09/10/2024 Pendiente creación de la tabla de estados en test para  probar.</t>
  </si>
  <si>
    <t>MDSB-685249 Erroren la  recuperacion de contraseña Yii</t>
  </si>
  <si>
    <t>*09/10/2024no tenía permisos la carpeta cache</t>
  </si>
  <si>
    <t>Ajustar validacion de la fecha inicial de inc en la edicion de fechas</t>
  </si>
  <si>
    <t xml:space="preserve">*09/10/2024 Fabio,realiza validación en  produccion y funciona correctamente </t>
  </si>
  <si>
    <t>https://github.com/Imaginesas/bolivar/compare/master...hotfix/fechaEnGestionEdicion</t>
  </si>
  <si>
    <t>MDSB-683770 ERROR EN EL ENVIO NOTIFICACIONES DE PAGO</t>
  </si>
  <si>
    <t>Confirmar que la notificación se envié al correo registrado.</t>
  </si>
  <si>
    <r>
      <rPr>
        <sz val="11"/>
        <color theme="1"/>
        <rFont val="Quattrocento Sans"/>
      </rPr>
      <t>*07/10/2024 Pendiente subir ajuste
*08/10/2024 Pendiente subir a producción</t>
    </r>
    <r>
      <rPr>
        <b/>
        <sz val="11"/>
        <color theme="1"/>
        <rFont val="Quattrocento Sans"/>
      </rPr>
      <t xml:space="preserve">
*09/10/2024 Subira a test y posteriomente a producción </t>
    </r>
  </si>
  <si>
    <t>https://github.com/Imaginesas/bolivar/compare/master...hotfix/correosMasivos</t>
  </si>
  <si>
    <t>VULNERABILIDADES BAJAS</t>
  </si>
  <si>
    <t>Web Server Allows Password Auto-Completion</t>
  </si>
  <si>
    <r>
      <rPr>
        <sz val="11"/>
        <color theme="1"/>
        <rFont val="Quattrocento Sans"/>
      </rPr>
      <t>*04/10/2024 pruebas
*</t>
    </r>
    <r>
      <rPr>
        <b/>
        <sz val="11"/>
        <color theme="1"/>
        <rFont val="Quattrocento Sans"/>
      </rPr>
      <t xml:space="preserve"> 07/10/2024 se entrega a Danilo para  pruebas y posterior despliegue a producción
* 09/10/2024 Confirmar entrega de rama a Danilo
* 10/10/2024 Etregadas a Danilo 9 de octubre </t>
    </r>
  </si>
  <si>
    <t>Autocomplete Enabled</t>
  </si>
  <si>
    <t xml:space="preserve">*04/10/2024 pruebas
* 07/10/2024 se entrega a Danilo para  pruebas y posterior despliegue a producción
* 09/10/2024 Confirmar entrega de rama a Danilo
* 10/10/2024 Etregadas a Danilo 9 de octubre </t>
  </si>
  <si>
    <t>Internal Server Error</t>
  </si>
  <si>
    <t>Reabrir casos devueltos por falta de documentación</t>
  </si>
  <si>
    <r>
      <rPr>
        <sz val="11"/>
        <color theme="1"/>
        <rFont val="Quattrocento Sans"/>
      </rPr>
      <t xml:space="preserve">*07/10/2024 Se escala jira MDSB-684400 para creación de tabla de estados en test
* 08/10/2024 Se realizara sesión para  validar el  proceso de estados.
</t>
    </r>
    <r>
      <rPr>
        <b/>
        <sz val="11"/>
        <color theme="1"/>
        <rFont val="Quattrocento Sans"/>
      </rPr>
      <t>*09/10/2024 pendiente creación de tabla de estados solicitad en jira MDSB-684795
*10/10/2024 implementación de la  lógica reabrir casos en devolución por documentos.</t>
    </r>
  </si>
  <si>
    <t>Crear combo obligatorio en generación de respuesta (Aceptado o Devolución ) Para casos radicados por el portal</t>
  </si>
  <si>
    <r>
      <rPr>
        <sz val="11"/>
        <color theme="1"/>
        <rFont val="Quattrocento Sans"/>
      </rPr>
      <t>*07/10/2024 Se escala jira MDSB-684400 para creación de tabla de estados en test
*08/10/2024 se escala nuevo jira MDSB-684795, por errores en el anterior.
*</t>
    </r>
    <r>
      <rPr>
        <b/>
        <sz val="11"/>
        <color theme="1"/>
        <rFont val="Quattrocento Sans"/>
      </rPr>
      <t>09/10/2024 pendiente creación de tabla de estados solicitad en jira MDSB-684795
*10/10/2024 Tabla de estados creada.</t>
    </r>
  </si>
  <si>
    <t>Ajustes de hallazgos obtenidos en pruebas de portal autorizaciones (Enviado por correo)</t>
  </si>
  <si>
    <t xml:space="preserve">Ordenar alfabeticamente tipo de solicitud </t>
  </si>
  <si>
    <t>*15/10/2024 finlizado</t>
  </si>
  <si>
    <t>Consumo de sisalud (Recurso de Bolívar)</t>
  </si>
  <si>
    <t>*08/10/2024 se encuentra realizando la lógica  para enviar el recurso a sisalud después de pagar.
*09/10/2024 Pruebas con Jenry
*10/10/2024 Se crearon los nuevos campos para homologar los estados de sisalud, pendiente crear campo para el cambio de servicio.
* 15/10/2024 ya permite el cambio de servicio.</t>
  </si>
  <si>
    <t>Buscar la ciudad con respecto al archivo de pagos( Facturas asistenciales)</t>
  </si>
  <si>
    <t xml:space="preserve">Creacion de indices </t>
  </si>
  <si>
    <t>* 15/10/2024 Finalizado</t>
  </si>
  <si>
    <t>MDSB-684778 Modificación texto carta de comunicaciones de cartera</t>
  </si>
  <si>
    <t>PASO A PRODUCCION</t>
  </si>
  <si>
    <t>*09/10/2024 Se habilitan plantillas para las tipologías de comunicados de cartera para que puedan ser modificadas, Aprobado para realizar paso a producción 10 de Octubre.
*10/10/2024 Se realizara paso a producción hoy.</t>
  </si>
  <si>
    <t>Campo Razon social  sea alfanumerico.</t>
  </si>
  <si>
    <t>15/10/2024, se subira ajuste hoy
15/10/2024 Fabio, Valida y el ajuste  quedo  ok</t>
  </si>
  <si>
    <t>Cambio de cuenta de correo de salida del nuevo portal de autorizaciones</t>
  </si>
  <si>
    <t>Cambio de cuenta de correo (POLIZAS DE SEGUROS)</t>
  </si>
  <si>
    <r>
      <rPr>
        <sz val="11"/>
        <color theme="1"/>
        <rFont val="Quattrocento Sans"/>
      </rPr>
      <t>*Iniciara tan pronto finalice la gestión de vulnerabilidades
*03/10/2024 Inicio al finalizar ADJUNTAR DOCUMENTOS PORTAL SALUD (Reembolsos)
*07/10/2024 Inicio con los ajustes desde el 4 de octubre.
*08/10/2024 Finalizado en local en pruebas</t>
    </r>
    <r>
      <rPr>
        <b/>
        <sz val="11"/>
        <color theme="1"/>
        <rFont val="Quattrocento Sans"/>
      </rPr>
      <t xml:space="preserve">
*09/10/2024 Pendiente ejecución de jira MDSB-684795 para  iniciar pruebas en test.
*10/10/2024 Crear el campo en la administración y adaptarla  lógica para agregarlo a la cola se subirá a test hoy  para pruebas.
*15/10/2024, Fabio, Valida y el correo llega  por la  cuenta indicada. (31022012).</t>
    </r>
  </si>
  <si>
    <t>Dejar registro de la "devolucion por documentos en la observación del caso"</t>
  </si>
  <si>
    <t>En la observacion del caso en nativo se debe registrar el usuario "Internet" con una observacion que indique que el caso fue  reabierto desde el portal</t>
  </si>
  <si>
    <t>*15/10/2024 Subira ajuste hoy</t>
  </si>
  <si>
    <t>Ajustes de hallazgos obtenidos en pruebas de portal Reembolsos (Enviado por correo)</t>
  </si>
  <si>
    <t>Ajustar variable reportada por Jenry</t>
  </si>
  <si>
    <t>15/10/2024 inicio de ajuste.
*16/10/2024 se adiciono una validacion adicional</t>
  </si>
  <si>
    <t xml:space="preserve"> Ajustas plantilla genérica para que no aparezca el Warning</t>
  </si>
  <si>
    <t>*15/10/2024 pendiente validar el ajuste 
*15/10/2024, A un sale en Warning</t>
  </si>
  <si>
    <t xml:space="preserve">Quitar  opciones "Pendientes por segmentación"  se encuentran en la pantalla de consulta. </t>
  </si>
  <si>
    <t>En la bandeja de pendientes se debe identificar que el caso fue reabierto por cargue de documentos en el portal</t>
  </si>
  <si>
    <t>*21/10/2024 prueba en test realizadas el viernes 18 de octubre boton  funciona ok.</t>
  </si>
  <si>
    <t>Consulta "Caso internet" en nativo</t>
  </si>
  <si>
    <t>*18/10/2024, pendiente ajuste de la consulta en Laravel de parte de Danilo</t>
  </si>
  <si>
    <t>Implementar Causales deglosas</t>
  </si>
  <si>
    <t>17/10/2024 Realizando la logica  para  incluir las casusales 
* 22/10/2024 Finalizado 17 de octubre</t>
  </si>
  <si>
    <t>Cargue de archivo de pagos</t>
  </si>
  <si>
    <r>
      <rPr>
        <sz val="11"/>
        <color theme="1"/>
        <rFont val="Quattrocento Sans"/>
      </rPr>
      <t>*26/09/2024 cargue del archivo después de finalizar la  implementación de cartas.
* 02/10/2024 continuara después de realizar paso  a   producción del nuevo portal.
*09/10/2024 control de cambios en test para agregar campos  y posterior pruebas con Jenry</t>
    </r>
    <r>
      <rPr>
        <b/>
        <sz val="11"/>
        <color theme="1"/>
        <rFont val="Quattrocento Sans"/>
      </rPr>
      <t xml:space="preserve">
10/10/2024 realizar  pruebas en test 
* 15/10/2024 pendiente cruce cuando esta pagado en validación 
*16/10/2024 Corregir incidencias en pruebas, corregir envio de formulario al dar F5
*17/10/2024 mostrar resumen de la radicacion 
*22/10/2024 Finalizado 17 de octubre</t>
    </r>
  </si>
  <si>
    <t>Ajustar el administrador de cartas para que salgan todas las  tipologias.</t>
  </si>
  <si>
    <t>*22/10/2024 Probado en test y  funciona correctamente, Fabio</t>
  </si>
  <si>
    <t>Crear una  opcion  Plantillas para la visualizacion de la tipologia en el administrador de cartas</t>
  </si>
  <si>
    <t xml:space="preserve">Validar geneación de informes de pendinete ARL  y Salud </t>
  </si>
  <si>
    <t>*22/10/2024 se escala  control de cambios MDSB-692401 para la modificación de la vista sql.</t>
  </si>
  <si>
    <t>Validar informe generación de volumenes y oportunidad</t>
  </si>
  <si>
    <t>*22/10/2024 Inicia Separación  por negocios.</t>
  </si>
  <si>
    <t>Hallazgos enviado 26 de septiembre</t>
  </si>
  <si>
    <r>
      <rPr>
        <sz val="11"/>
        <color theme="1"/>
        <rFont val="Quattrocento Sans"/>
      </rPr>
      <t>*07/10/2024, Iniciara con los ajustes.
* 08/10/2024 Continúa con los ajustes  
*</t>
    </r>
    <r>
      <rPr>
        <b/>
        <sz val="11"/>
        <color theme="1"/>
        <rFont val="Quattrocento Sans"/>
      </rPr>
      <t>09/10/2024 Subirá los puntos resueltos hasta el momento para pruebas.
*11/10/2024 Pendiente quitar bloqueo "Caso internet" y cola de correos.
*15/10/2024 ajustado el envio de correo por colas.
*16/10/2024 pendiente  consulta de "caso internet" se le asigna a juste a Luis Bayona
*21/10/2024 Ajustar consulta en laravel para mostrar "Caso internet" en nativo</t>
    </r>
  </si>
  <si>
    <t>Agregar la cuenta de correo de medicamentos</t>
  </si>
  <si>
    <t>gestion.farmaceutica@segurosbolivar.com</t>
  </si>
  <si>
    <t>*08/10/2024 se validara con Liyibet la cuenta que se debe cambiar
*09/10/2024 Pendiente confirmación de la contraseña de la  cuenta 
* 11/10/2024 Liyibet envia credenciales 10/10/2023 
*15/10/2024 finalizado para pruebas.
* Paso a produccion 22 de octbre</t>
  </si>
  <si>
    <t>Preparacion de scritp para paso a produccion oficina virtual salud</t>
  </si>
  <si>
    <t>Jira pqr_bolivar</t>
  </si>
  <si>
    <t>*23/10/2024 jira  radicado MDSB-693206 en aprobación QA</t>
  </si>
  <si>
    <t>Jira riesgos</t>
  </si>
  <si>
    <t>24/10/2024 jira  radicado MDSB-693891 en aprobación QA</t>
  </si>
  <si>
    <t>Jira radicador</t>
  </si>
  <si>
    <t>*23/10/2024 jira  radicado MDSB-693912 en aprobación QA</t>
  </si>
  <si>
    <t xml:space="preserve"> GD772-44 - Ajuste en la consulta del informe datos contactos solicitudes ARL (Rango de consulta no debe superar un mes)</t>
  </si>
  <si>
    <t xml:space="preserve">No muestras en algunos  casos el numero de identificación y nombres  en los informes de producción </t>
  </si>
  <si>
    <t>EN PRODUCCION</t>
  </si>
  <si>
    <t>*09/10/2024 paso a producción
*11/10/2024 Validando  incidencia
* 15/10/2024 Se reunirá con Johan  para validar  dudas para la sl de la incidencia.
* 16/10/2024 se realiza  sesión  con jairo y se ajusta campo identificación trabajador, luis ajustara  el campo identificación empresa.
*18/10/2024 presenta  error al generar el informe de prefactura.
*21/10/2024 Despliegue a produccion 18 de octubre</t>
  </si>
  <si>
    <t>GD772-48 Bloqueo de radicación de incapacidades que ya se encuentren radicadas y pagadas con el mismo número de CC y fecha de inicio</t>
  </si>
  <si>
    <t xml:space="preserve">EN PRODUCCIÓN </t>
  </si>
  <si>
    <t xml:space="preserve">*01/10/2024 Pendiente go para paso a produccion.
*25/10/2024 Se realiza paso a producion a las 9:57 a. m. </t>
  </si>
  <si>
    <t>Encriptar  numero de cuenta (Dejar visibles los promeros 5 numeros, EN CONSULTA   y BANDEJA DE AUDITORIA</t>
  </si>
  <si>
    <t xml:space="preserve">*23/10/2024 Continua trabajando.
*25/10/2024 Encripta los ultimos 4 digitos de la cluenta </t>
  </si>
  <si>
    <t>Generar el ajuste para adicionar el campo del ID en la integración de Glosas</t>
  </si>
  <si>
    <t>CONTROL CAMBIOS PROD/ stand by</t>
  </si>
  <si>
    <r>
      <rPr>
        <sz val="11"/>
        <color theme="1"/>
        <rFont val="Quattrocento Sans"/>
      </rPr>
      <t>*</t>
    </r>
    <r>
      <rPr>
        <b/>
        <sz val="11"/>
        <color theme="1"/>
        <rFont val="Quattrocento Sans"/>
      </rPr>
      <t xml:space="preserve">07/10/2024  </t>
    </r>
    <r>
      <rPr>
        <sz val="11"/>
        <color theme="1"/>
        <rFont val="Quattrocento Sans"/>
      </rPr>
      <t xml:space="preserve">Entrega de estimación 8 de octubre
</t>
    </r>
    <r>
      <rPr>
        <b/>
        <sz val="11"/>
        <color theme="1"/>
        <rFont val="Quattrocento Sans"/>
      </rPr>
      <t>*09/10/2024 Pendiente estimación 
*10/10/2024 jira  para alterar la tabla MDSB-685532 ejecutado correctamente, se solicitara control de cambios  para  producción.
11/10/2024 Se continuara  finalizando rembolsos.
*15/10/2024 Pendiente incluir campo en el envio.
*16/10/2024 jira MDSB-689499 control de cambios prod.
*21/10/2024 Control de cambios ejecutado 18 de octubre</t>
    </r>
  </si>
  <si>
    <t>Resoluion de jiras Incidencias</t>
  </si>
  <si>
    <r>
      <rPr>
        <b/>
        <sz val="11"/>
        <color theme="1"/>
        <rFont val="Quattrocento Sans"/>
      </rPr>
      <t xml:space="preserve">MDSB-588398 </t>
    </r>
    <r>
      <rPr>
        <sz val="11"/>
        <color theme="1"/>
        <rFont val="Quattrocento Sans"/>
      </rPr>
      <t>asignacion de casos a usuaria inhabilitada para  la  tipologia Control vencimiento recomendaciones laborales</t>
    </r>
  </si>
  <si>
    <t>*24/10/2024 En el requerimiento inicial  se contemplo la opcion de como se asignaria los casos de control de vencimiento  si el usuario asignado en el caso padre ya no trabajara en la compañía.</t>
  </si>
  <si>
    <t xml:space="preserve">WILSON </t>
  </si>
  <si>
    <t>Pruebas  imágenes fs a  s3</t>
  </si>
  <si>
    <t>Pruebas copiar imágenes en desarrollo</t>
  </si>
  <si>
    <t>*15/10/2024 revisara si la  tarea en que porcentaje va</t>
  </si>
  <si>
    <t>Oficina virtual (nuevo portal)</t>
  </si>
  <si>
    <t>Ajuste en la fecha de autorizacion en la consulta del proveedor</t>
  </si>
  <si>
    <t>*24/10/2024 Sitio de laravel ajustado  para  iniciar validaciones.
*25/10/2024 Inicia validacion del hallazgo</t>
  </si>
  <si>
    <t>Validación de campos requeridos al cargar excel</t>
  </si>
  <si>
    <t>*24/10/2024 Sitio de laravel ajustado  para  iniciar validaciones.
*25/10/2024 Inicia validacion del hallazgo
*28/10/2024 soliictar paso a test  y crear jira control de cmbios prod</t>
  </si>
  <si>
    <t>carta de pago en validación</t>
  </si>
  <si>
    <t xml:space="preserve">*24/10/2024 en proceso de implementación </t>
  </si>
  <si>
    <t>inconsistencia en la asignación de usuarios a las tipologias</t>
  </si>
  <si>
    <t>x</t>
  </si>
  <si>
    <t>Desarrollo para el control de ID consecutivo por parte de Imagine en la integración de Glosas</t>
  </si>
  <si>
    <r>
      <rPr>
        <sz val="11"/>
        <color theme="1"/>
        <rFont val="Quattrocento Sans"/>
      </rPr>
      <t>*07/10/2024  Entrega de estimación 8 de octubre</t>
    </r>
    <r>
      <rPr>
        <b/>
        <sz val="11"/>
        <color theme="1"/>
        <rFont val="Quattrocento Sans"/>
      </rPr>
      <t xml:space="preserve">
*09/10/2024 Pendiente estimación.
10/10/2024 Se creo un campo nuevo en la tabla para manejar un consecutivo que se enviara en el reporte davinci, solicitara control de cambios  para  producción
11/10/2024 Se continuara  finalizando rembolsos.
*25/10/2024 reinicia  con esta actividad.</t>
    </r>
  </si>
  <si>
    <t>Adicionar en reenvió en portales (Autorizaciones y Reembolsos)</t>
  </si>
  <si>
    <r>
      <rPr>
        <sz val="11"/>
        <color theme="1"/>
        <rFont val="Quattrocento Sans"/>
      </rPr>
      <t xml:space="preserve">15/10/2024 Continua con este  ajuste.
*16/10/2024 continua con el ajuste para Reembolsos y después de terminado continuara con autorizaciones
*17/10/2024 probar reenvió de rembolsos y continua con autorizaciones.
*18/10/2024 Lógica para reenvió ya se encuentra, validar encolamiento
*21/10/2024 Validar consumo de colas para el reenvio.
*22/10/2024 Queda ajustado el reenvio para nativo
</t>
    </r>
    <r>
      <rPr>
        <b/>
        <sz val="11"/>
        <color theme="1"/>
        <rFont val="Quattrocento Sans"/>
      </rPr>
      <t>*24/10/2024</t>
    </r>
    <r>
      <rPr>
        <b/>
        <sz val="11"/>
        <color rgb="FFFF0000"/>
        <rFont val="Quattrocento Sans"/>
      </rPr>
      <t xml:space="preserve"> </t>
    </r>
    <r>
      <rPr>
        <b/>
        <sz val="11"/>
        <color theme="1"/>
        <rFont val="Quattrocento Sans"/>
      </rPr>
      <t>Presenta inconsistencia en el reevio en autorizaciones, Reenvia la primera respuesta no la ultima.
*25/10/2024 Ajustara notificación del reenvio de correo de envio donde muestre la cuenta de correo a que se envio el reenvio.
*28/10/2024 Notificación de correo de reenvio ajustado.</t>
    </r>
  </si>
  <si>
    <t>Mejoras autorizaciones, mensajes y respuestas</t>
  </si>
  <si>
    <t xml:space="preserve">*25/10/2024 se han realizado modificaciónes 
*25/10/2024 pendiente ajus messajes en el formulario de salud.
*28/10/2024 Validacion de mas campos.
</t>
  </si>
  <si>
    <t xml:space="preserve">Realizar  a justes  de hallazgos  de las pruebas consulta de autorizaciones  en oficina virtual </t>
  </si>
  <si>
    <r>
      <rPr>
        <sz val="11"/>
        <color theme="1"/>
        <rFont val="Quattrocento Sans"/>
      </rPr>
      <t>*21/10/2024 Se realiza validación de ajustes en test  y a un queda pendiente  que la fecha de autorización cargano no coincide con la arrojada en la consulta y  permite el  cargue de una misma autorizacion a diferente paciente.
*</t>
    </r>
    <r>
      <rPr>
        <b/>
        <sz val="11"/>
        <color theme="1"/>
        <rFont val="Quattrocento Sans"/>
      </rPr>
      <t>22/10/2024 Jesus se encuentra incapacitado hasta del 21 hasta el 29 de Octubre</t>
    </r>
  </si>
  <si>
    <t>Cierre de actividades de casos de incapacidades  ya cerrados ( Solicitud reportada  por Liyibet)</t>
  </si>
  <si>
    <t>Cierre de actividades abiertas</t>
  </si>
  <si>
    <t>Devolver caso 30554693 a la actividad correspondencia avisado (Pensionados)</t>
  </si>
  <si>
    <t>Devolver actividad</t>
  </si>
  <si>
    <t>Caso 31022540 registra 2 veces en la bandeja de pendientes Autorizaciones</t>
  </si>
  <si>
    <t>*30/10/2024 Al realizar la prueba en test presenta error en la gestion de casos, hasta no resolver esta incidencia no es posible balidar ajuste de la bandeja.
*31/10/2024 Fabio valida ajuste y funciona correctamnete.</t>
  </si>
  <si>
    <t>Modificaciones del flujo y codigo.</t>
  </si>
  <si>
    <t>*30/10/2024 continua con las modificaciones.
*31/10/2024 Continua en la logica de cada boton.
*01/11/2024 en test</t>
  </si>
  <si>
    <r>
      <rPr>
        <b/>
        <sz val="11"/>
        <color theme="1"/>
        <rFont val="Quattrocento Sans"/>
      </rPr>
      <t>MDSB-700005</t>
    </r>
    <r>
      <rPr>
        <sz val="11"/>
        <color theme="1"/>
        <rFont val="Quattrocento Sans"/>
      </rPr>
      <t xml:space="preserve"> Solicitud de imágenes lote 158660</t>
    </r>
  </si>
  <si>
    <t>GD772-50 Actualización Guía depuración de inconsistencias</t>
  </si>
  <si>
    <t>Cambiar archivo descarble de la tipologia " 11 Conciliación y Depuración de inconsistencias de aportes"</t>
  </si>
  <si>
    <t xml:space="preserve">*07/11/2024 En paso a produccion </t>
  </si>
  <si>
    <t xml:space="preserve"> Warning en gestion del caso </t>
  </si>
  <si>
    <t>*12/11/2024 se correguen en la estibilización del sistema.</t>
  </si>
  <si>
    <t xml:space="preserve">Reporte de caida del servidor </t>
  </si>
  <si>
    <t xml:space="preserve">Verificación de procesos y recoleccion de evidencias </t>
  </si>
  <si>
    <t>Preparar sitio para  paso a producción</t>
  </si>
  <si>
    <t xml:space="preserve">*22/10/2024 solicitar creación de tablas en  producción 
*23/10/2024 continuar con la adaptación del sitio, DNS funcional
*24/10/2024 continuara con la  preparación  apuntando a test
*24/10/2024 Queda montado el sitio en la url de producción  hace falta las claves para el recaptcha.
*25/10/2024 Liyibet envio solicitud de las claves del recapcha
*29/10/2024 Pendiente aprobación de jiras a producción y la entrega del Recapchat
*31/10/2024  Recapchat implemtendo, pendiente control de cambios 
*05/11/2024 Ejecutar los insert del restos de los formularios y cambiar la url de test a producción.
*06/11/2024 Pendiente la creación de 2 tipologías una nacional y otra  internacional (descripción muy larga) -  pendiente ejecución del control de cambios MDSB-700129
*07/11/2024 control de cambios ejecutado y se ajusta tipología con descripción de la tiologia </t>
  </si>
  <si>
    <t>GD772-30 Informe cuentas médicas 472 ( Informe de prefactura)</t>
  </si>
  <si>
    <t xml:space="preserve">Cargue de Excel y validaciones entre tablas </t>
  </si>
  <si>
    <r>
      <rPr>
        <sz val="11"/>
        <color theme="1"/>
        <rFont val="Quattrocento Sans"/>
      </rPr>
      <t>*04/10/2024 Pendiente  socializar req
* 08/10/2024 entregara 9 de octubre
*</t>
    </r>
    <r>
      <rPr>
        <b/>
        <sz val="11"/>
        <color theme="1"/>
        <rFont val="Quattrocento Sans"/>
      </rPr>
      <t>09/10/2024 adaptar lógica
* 10/10/2024 pruebas locales entrega 10 am
11/10/2024 Solicitud de control de cambios a test MDSB-687277
*15/10/2024 debe ajustar el SQL para solicitar otro control de cambios ya que el MDSB-687277 presento error. 
*16/10/2024 subira ajuste a test 16 de octubre
*17/10/2024 Debe  validar  encolamiento y la vista del imforme en el aplicativo.
*22/10/2024 Debe finalizar ajustes indicados  por Jenry.
*24/10/2024 se debe solicitar cotrol de cambios en produccion.
*25/10/2024 Se adjunta documento de pruebas de imagine alGD772-30
*07/11/2024 Control de cambios ejecutado 6 de noviembre, se realizara  paso a produccion despues del paso de portales salud.
*12/11/2024 Se debe realizar despliegue a produccion
*13/11/2024 paso a produccion realizado el 12 de noviembre en la tarde.</t>
    </r>
  </si>
  <si>
    <t>MDSB-670944  REENVIO DE CORREO CUENTA NOVEDADES</t>
  </si>
  <si>
    <t>*31/10/2024 se realiza Validación y se evidencia que la cuenta esta inhabilitada, Se realizara nueva validación del reenvió después de que la cuenta este activa nuevamente .
*06/11/2024 La  cuenta  ya se encuentra habilitada   para  realizar nuevamente la  validación del  reenvió.
*12/11/2024 Reinicia  Validación.
*13/11/2024 Danilo realiza pruebas  y la cuenta esta funcionado correctamente, se debe validar codigo desde nativo. se asignara a Johan para su validación.</t>
  </si>
  <si>
    <t>HABILITAR PERMISOS EN DEV PARA S3</t>
  </si>
  <si>
    <t>Habilitar permisos en las carpetas de dev</t>
  </si>
  <si>
    <t>*06/11/2024 Validar como dar permiso definitivo a las carpetas para el ingreso a dev.
*13/11/2024 se va a realizar cambio de disco por tanto no se realizara modificaciones.</t>
  </si>
  <si>
    <t>ESTABILIZACIÓN DEL SISTEMA.</t>
  </si>
  <si>
    <t>Ajustar busqueda de casos por secuencia y cronograma</t>
  </si>
  <si>
    <r>
      <rPr>
        <b/>
        <sz val="11"/>
        <color theme="1"/>
        <rFont val="Quattrocento Sans"/>
      </rPr>
      <t>MDSB-700537</t>
    </r>
    <r>
      <rPr>
        <sz val="11"/>
        <color theme="1"/>
        <rFont val="Quattrocento Sans"/>
      </rPr>
      <t xml:space="preserve"> Cargue de adjunto al caso 29831254</t>
    </r>
  </si>
  <si>
    <t>*07/11/2024 se realizara el cargue en compañía de Jenry
*08/11/2024 Jenry realiza en cargue del documento.</t>
  </si>
  <si>
    <r>
      <rPr>
        <b/>
        <sz val="11"/>
        <color theme="1"/>
        <rFont val="Quattrocento Sans"/>
      </rPr>
      <t xml:space="preserve">Envió de correo de notificaciones de pago cuentas médicas  </t>
    </r>
    <r>
      <rPr>
        <sz val="11"/>
        <color theme="1"/>
        <rFont val="Segoe UI"/>
      </rPr>
      <t xml:space="preserve">(Respuesta glosa Adición de 5 correos) </t>
    </r>
  </si>
  <si>
    <r>
      <rPr>
        <sz val="11"/>
        <color theme="1"/>
        <rFont val="Segoe UI"/>
      </rPr>
      <t>*02/10/2024 pasara  a producción  con el portal</t>
    </r>
    <r>
      <rPr>
        <b/>
        <sz val="11"/>
        <color theme="1"/>
        <rFont val="Segoe UI"/>
      </rPr>
      <t xml:space="preserve">
*03/10/2024 pendiente pasar código a producción, el  control de cambios ya esta  realizado
*13/11/2024 realizo estbilización de rama y se realizara  paso a produccion 13 de noviembre
*14/11/2024 en produccion</t>
    </r>
  </si>
  <si>
    <t>REQUERIMIENTO GD772-45,CLARITY Y ANALYTICS EN OFICINA VIRTUAL</t>
  </si>
  <si>
    <t>Implementación ambiente en dev</t>
  </si>
  <si>
    <t>*12/09/2024 A la espera de la confirmación del dominio de desarrollo de la plataforma.
*07/11/2024 Colocar rama en clarity
*08/11/2024 implementado dev
*13/11/2024 Se corrigio administración de Clarity y validara si se estan generando estadisticas.
*14/11/2024 realizo cambio de url e implementación en test.
*15/11/2024 Realiza paso a producción el 14 de noviembre.</t>
  </si>
  <si>
    <t>CONSULTAS POR NIT</t>
  </si>
  <si>
    <t>*15/11/2024 Se desplegara a test
*18/11/2024 se pasa ajuste directamente a produccion debido aque test no esta habilitado, se realiza prueba con el nt 800216345 y se pueden consultar los  casos correctamente.</t>
  </si>
  <si>
    <t>Cambio carta de autorizacion de pago de beneficiario diferente a tomador en reembolsos</t>
  </si>
  <si>
    <t>*19/11/2024 Liyibet comparte carta  para produccion
*19/11/2024 Implementación realizada.</t>
  </si>
  <si>
    <t>Generar listado de usuarios para reasignación 
(Validar con Leidy cuales de esos usuarios deben salir en reasignación)</t>
  </si>
  <si>
    <t>informe de pendientes ARL arroja información de masivos</t>
  </si>
  <si>
    <t>*14/11/2024 Se escala jira MDSB-705234 para ajustar la vista.
*18/11/2024 Ya no se registra información de masivos y aun se detectan lineas corridas a la derecha.
*20/11/2024 Se debe  incluir la  actividad.</t>
  </si>
  <si>
    <t>Error de masivos en producción,  no pasa del punto 4 al usuario 1013628744  para la tipología aviso incumplimiento</t>
  </si>
  <si>
    <t>*19/11/2024 Se aumenta el limit en PHP.</t>
  </si>
  <si>
    <t>Está permitiendo radicar casos sin adjuntar los soportes en el portal de Arl
Ejemplo: 29907461</t>
  </si>
  <si>
    <t>*18/11/2024 pediente validar a profuncidad la incidencia ya que se realizan pruebas y no permite la radicación  sin adjuntos</t>
  </si>
  <si>
    <t xml:space="preserve">Caida del servidor </t>
  </si>
  <si>
    <t>Revisar los servicios activos de FTP, para evaluar si hay usuarios haciendo uso del servicio.</t>
  </si>
  <si>
    <t>*19/11/2024 Inicia validación 18 de noviembre.
*22/11/2024 Enviar correo con las ulr de la reunion del 21 de noviembre y otro reportando lo que se le han echo al servidor.</t>
  </si>
  <si>
    <t>Error en la tabla facturas pendientes para la  radicación de Country.</t>
  </si>
  <si>
    <t>*25/11/2024 en Pruebas locales y se sube a produccion</t>
  </si>
  <si>
    <t>AJUSTES REEMBOLSOS</t>
  </si>
  <si>
    <t>Implementar una validación que garantice que la póliza 'Genérica' tenga asignado un usuario en los campos Analista y Auditores.</t>
  </si>
  <si>
    <r>
      <rPr>
        <b/>
        <sz val="11"/>
        <color theme="1"/>
        <rFont val="Quattrocento Sans"/>
      </rPr>
      <t xml:space="preserve">26/11/2024 En test ya se encuentra  validación implementada "Usuarios no puede ser nulo.", se valida en producción y la  validación  ya se encuentra implñementada. </t>
    </r>
    <r>
      <rPr>
        <b/>
        <sz val="11"/>
        <color rgb="FFFF0000"/>
        <rFont val="Quattrocento Sans"/>
      </rPr>
      <t>Por ende  no se implementa  validación a dicional.</t>
    </r>
  </si>
  <si>
    <t>Crear un área llamada 'Reembolsos Salud'</t>
  </si>
  <si>
    <t>INICIO</t>
  </si>
  <si>
    <r>
      <rPr>
        <b/>
        <sz val="11"/>
        <color theme="1"/>
        <rFont val="Quattrocento Sans"/>
      </rPr>
      <t>26/11/2024 No representa  cambio en codigo.</t>
    </r>
    <r>
      <rPr>
        <b/>
        <sz val="11"/>
        <color rgb="FFFF0000"/>
        <rFont val="Quattrocento Sans"/>
      </rPr>
      <t xml:space="preserve"> Por tanto no se hara modificaciones</t>
    </r>
    <r>
      <rPr>
        <b/>
        <sz val="11"/>
        <color theme="1"/>
        <rFont val="Quattrocento Sans"/>
      </rPr>
      <t xml:space="preserve"> </t>
    </r>
  </si>
  <si>
    <t>Jenry Henao</t>
  </si>
  <si>
    <t xml:space="preserve">MDSB-705835  Borrar  spam correo solucionesdocumental@mintrabajo.gov.co </t>
  </si>
  <si>
    <t>*18/11/2024 se deben solicitar casos para eliminar.
*20/11/2024 Finalizado</t>
  </si>
  <si>
    <t>GD772-51 Modificacion en generación de plano ARPTRAD</t>
  </si>
  <si>
    <t>Ajuste de la lectura del archivo</t>
  </si>
  <si>
    <t>*12/11/2024 Finalizado en DEV y subira a test
*13/11/2024 Se realiza prueba en test, se insertan los datos en la  tabla pero al consultar en nativo no muestra  información, de acuerdo a validación con Johan la  infromación de trabajadores va ligada con la de empresas.. 
*22/11/2024 Se debe desarcer los cambios realizados y solo ajustar los caracteres especiales que hace que se desplace la  información hacia la derecha.lo entregara 22 de noviembre
*25/11/2024 Se ajusta funcion para quitar acentos y "ñ", se pasa a test prueba exitosa. 
*26/11/2024 se realiza paso a produccion.</t>
  </si>
  <si>
    <t xml:space="preserve">Crear un rol  llamado “Consultas Reembolsos Salud” </t>
  </si>
  <si>
    <t>*15/11/2024 separando bandejas con 50% de progreso.
*18/11/2024 Se detiene por Vacaciones 
*25/11/2024 Retoma  con generacion de una  nueva  bandeja para reembolsos  en test
*26/11/2024 Se pasara a produccion 
27/11/2024 Pendiente  paso del codigo a producción
*28/11/2024 Pendiente  paso del codigo a producción
29/11/2024 En produccion</t>
  </si>
  <si>
    <t>Ajuste de informe de volumenes</t>
  </si>
  <si>
    <t>PRUEBAS PRD</t>
  </si>
  <si>
    <t>*29/10/2024,  28 de octubre se solicita control de cambios en test MDSB-696174  modificación de vista sql.
*30/10/2024 Pendiente aporbacion de QA
*13/11/2024 se solicitara control de cambios a produccion, Control de cambios MDSB-705234.
*15/11/2024 Control de cambios en aprobacion comité
*18/11/2024 Se realizan pruebas y genera con algunos  casos que no trae el numero de nit.
*19/11/2024 validara tabla de donde se estan realizando las consulta del nit.</t>
  </si>
  <si>
    <t>Implementación de discos ebs y s3 en dev
(Pasar aplicaciones y logs)</t>
  </si>
  <si>
    <t>*27/11/2024 Discos e infraestructura montadas..
*28/11/2024 Realizar  copias de las aplicaciones y subir el sitio.
*29/11/2024 La implementación  quedo aplicada en dev y test</t>
  </si>
  <si>
    <t>MDSB-717180 Modificación de Tipo de documento y número de documento del proceso de reembolsos</t>
  </si>
  <si>
    <t>29/11/2024 Creación de formulario
02/12/2024 Ajuste aplicado en producción.</t>
  </si>
  <si>
    <t>GD772-30 Informe cuentas médicas 472 (MDSB-705663)</t>
  </si>
  <si>
    <t xml:space="preserve">Encolar informe  </t>
  </si>
  <si>
    <t>22/11/2024, Se debe reiniciar el requerimiento debido a que se ejecuto en una  opcion diferente a al  indicada en el  requerimiento. 
25/11/2024 Se estima entrega 25 de Noviembre antes de medio día
*27/11/2024 Confirman en la   tarde  el encolamiento del informe de salida.
*28/11/2024  se realiza  paso a  producción, se debe solucionar error al ejecutar el informe en producción.
* 29/11/2024 Se ajusta error en produccion y permite  genera informe correctamente.</t>
  </si>
  <si>
    <t>GD772-56 incluir campo " ACTIVIDAD" en informe pendientes ARL.</t>
  </si>
  <si>
    <t>Adicion de campo en la tabla de Test</t>
  </si>
  <si>
    <t>EN PRODUCCCIN</t>
  </si>
  <si>
    <t>*20/11/2024 Se escala jira MDSB-709927 para control de cambios en test.
*22/11/2024 Control de cambios ejecutado correctamente el 21 de Niviembre.
*25/11/2024 Se escala control de cambio a producción MDSB-713871
*28/11/2024 Control de cambios en aprobación  QA.
*02/12/2024 Control de cambios en Aprobación PO
*04/12/2024 Control de cambios ejecutado correctamente el 3 de diciembre.
*05/12/2024 paso  aproducion realizado  4 de diciembre</t>
  </si>
  <si>
    <t>Faltan filtros de busqueda dentro de la consulta de casos por nit</t>
  </si>
  <si>
    <t>22/11/2024 Realizando validaciones  para  identificar la causa del error.
22/11/2024 Se realizan pruebas en test y se muestran los  filtros.
*05/12/2024 Paso a produccion 4 de diciembre.</t>
  </si>
  <si>
    <t>Organizar informes de salud y queden en la pestaña de autorizaciones</t>
  </si>
  <si>
    <t>*25/11/2024 Los informes ya se encuentran el la pestaña autorizaciones, pendiente  generación de informes 
*27/11/2024 Informe de tipologias esta funcional.
*05/12/2024 Paso a produccion 4 de diciembre.</t>
  </si>
  <si>
    <t>Dividir por negocio el informe de pendientes de cuidado al trabajador</t>
  </si>
  <si>
    <t>*26/11/2024 en test no  genera informe para  validar la  division de negocio
*27/11/2024 Genera informe  pero sin mostrar información y no esposible validar si la tipologias de salud salen o no.
27/11/2024 se realiza ajuste, ya descarga información y no salen las tipologias de salud, pendiente  validar porque no salen los  casos redicados por redicador de salida.
*05/12/2024 paso a produccion 4 de diciembre</t>
  </si>
  <si>
    <t>Error reembolsos poliza internacional (No permite pasar del paso 2)</t>
  </si>
  <si>
    <t>*04/12/2024 se realizan pruebas y se sigue presentando el error, se encontrba pendiente pasar los cambios al servidor de prd.</t>
  </si>
  <si>
    <t>Cambio de tipoologias de Salud que se encuentran en ARL ( Nativo)</t>
  </si>
  <si>
    <t>*02/12/2024 se realizara validación con santiago de los  casos que no se estan visualizando..
*04/12/2024 Iniciara gestion.
*06/12/2024 se pasan directamente a produccion ya que en test tienen codigos direntes.</t>
  </si>
  <si>
    <t>Implementación  del API en dev</t>
  </si>
  <si>
    <t>*05/12/2024 Da respuesta interna mas no externa, Se solicito consumo del API por el puerto 8000
06/12/2024 pendiente  apertura  de puerto 8000, Nohan dado respuesta al ticket de solicitud.
09/12/2024 Utiliza un puerto que ya estaba abierto (2443) y se espera que Johan realice las  pruebas y certifique el funcionamiento.</t>
  </si>
  <si>
    <t>Implementación  del API en test</t>
  </si>
  <si>
    <t>ERROR EN EL CARGUE DE ADJUNTOS EN EL MODULO DE GESTION DE INCAPACIDADES EN TEST.</t>
  </si>
  <si>
    <t>*06/12/2024 esperar a permisos en test  para  validar permisos…
*10/12/2024 Se realiza validación y permite adjuntar y descargar adjuntos correctamente.</t>
  </si>
  <si>
    <t>Ajuste del recaptcha</t>
  </si>
  <si>
    <t>10/12/2024 Finalizado  e implementado en produccion.</t>
  </si>
  <si>
    <t>ERROR ASIGNACIÓN DE INCAPACIDADES</t>
  </si>
  <si>
    <t>09/12/2024 continurevisando traza de los casos  para encontrar el error
*10/12/2024 Los  casos se radicaron dos  veces desde el portal, continua con la  busqueda de la  causa del error, se ejecutara query para  cerrar casos abiertos..
*10/12/2024 se cierran los casos y se implementa  ajustes para que no se vuelva a presentar....en pruebas.
Despues de la  validación se realizan los ajustes, se encuentra en pruebas..
11/12/2024 las pruebas exitosas.</t>
  </si>
  <si>
    <t>Desarrollo para la edicion de campos y procedimientos</t>
  </si>
  <si>
    <t>09/12/2024 Continua con el desarrollo
*10/12/2024 se pasara a produccion  para  pruebas  internas.
11/12/2024 ya se encuentra en produccion, pendiente realizar cambios solicitados  por Jenry
12/12/2024 Cambios  realizados.</t>
  </si>
  <si>
    <t xml:space="preserve">Ocultar campos </t>
  </si>
  <si>
    <t>16/12/2024  Campos ocultados el 13 de diciembre.</t>
  </si>
  <si>
    <t>Error en  informe 472 mail</t>
  </si>
  <si>
    <t>Implementar funcion para reemplazar las comillas</t>
  </si>
  <si>
    <t>*11/12/2024 en pruebas  para  implementar  funcion para reemplazar comillas, se realiza paso a produccion
*12/12/2024 reportan  un nuevo  error en el cargue de un nuevo archivo.
16/12/2024 se pasa a produccion 12 de diciembre</t>
  </si>
  <si>
    <t>MDSB-723805 error 500 al ingresar a imagine  en el campo "caso internet" ( caso 29687692)</t>
  </si>
  <si>
    <t xml:space="preserve">Ajuste de la  Logica </t>
  </si>
  <si>
    <t>*12/12/2024 Pendiente  pruebas en test.</t>
  </si>
  <si>
    <t>MDSB-719675 SOLICITUD DE INACTIVACIÓN TEMPORAL DE FUNCIONARIOS EN LAS TIPOLOGIAS DE TRASLADOS Y MESAS DE CONCILIACION</t>
  </si>
  <si>
    <t>MDSB-719903 Error en el cargue de constitución en Mora</t>
  </si>
  <si>
    <t>Script  para radicacion facturas cuentas medicas</t>
  </si>
  <si>
    <t>Radicacion automatica</t>
  </si>
  <si>
    <t>Encolamiento de informes</t>
  </si>
  <si>
    <t>Configurar correo polizadeseguridad@segurosbolivar.com - Poliza Salud en nativo</t>
  </si>
  <si>
    <t>Ajuste de fecha de radicacion al  cargar adjuntos en la consulta del portal (Reembolsos)</t>
  </si>
  <si>
    <t>VULNERABILIDADES ( MEDIA)</t>
  </si>
  <si>
    <t>Permissive HTTP Strict Transport Security Policy Detected</t>
  </si>
  <si>
    <t xml:space="preserve">06/12/2024 En implementación </t>
  </si>
  <si>
    <t>VULNERABILIDADES (BAJA)</t>
  </si>
  <si>
    <t xml:space="preserve">HTTP Header Information Disclosure </t>
  </si>
  <si>
    <t>Missing 'Cache-Control' Header</t>
  </si>
  <si>
    <t>VULNERABILIDADES (Critica)</t>
  </si>
  <si>
    <t>SQL Injection 
(incidencias a nivel general de Nativo)</t>
  </si>
  <si>
    <t xml:space="preserve">12/12/2024 continua con la  validación y estima  terminarla 12 de diciembre
16/12/2024 Continua en la  validación de las  vulnerabilidad.
17/12/2024 Pendientes terminar de subir  cambios.
18/12/2024 Paso a produccion </t>
  </si>
  <si>
    <t xml:space="preserve"> Boolean Based SQL Injection
(incidencias a nivel general de Nativo)</t>
  </si>
  <si>
    <t>16/12/2024 16/12/2024 Continua en la  validación de las  vulnerabilidad.
17/12/2024 Pendientes terminar de subir  cambios.
18/12/2024 Paso a produccion</t>
  </si>
  <si>
    <t>Cierre de casos de la vista materializada</t>
  </si>
  <si>
    <t>Revisar las plantillas de salud no se estan guardando ni mostrando en la generación de respuesta</t>
  </si>
  <si>
    <t xml:space="preserve">18/12/2024 Pendiente  pruebas  para  pasar a produccion </t>
  </si>
  <si>
    <t>Visualizacion historico malla celulas</t>
  </si>
  <si>
    <t>MDSB-728431 marcar en un color diferencial los casos de moneda extranjera en la bandeja del analista o auditor(reembolsos)</t>
  </si>
  <si>
    <t>MDSB-722921 Informe de control de pendientes de reembolsos salud</t>
  </si>
  <si>
    <t>Creción del menu para informes</t>
  </si>
  <si>
    <t>*10/12/2024 Inicia  desarrollo.
16/12/2024 pendiente radicación de  control de cambios (Indices). Control de cambios para test MDSB-727561, Jira ejecutado correctamente en test
18/12/2024 Solucion de errores en el conteo de dias ok, pendiente cambio de usuario de imagine
20/12/2024 control de  cambios en PRD MDSB-729552 se ejecuto correctamente. Pendiente menu de descarga.
23/12/2024 Se entrega vista de informe en  produccion</t>
  </si>
  <si>
    <t>Consulta de caso del portal en bandeja de pendientes</t>
  </si>
  <si>
    <t>10/12/2024 se paso directamente a produccion.</t>
  </si>
  <si>
    <t>Retoma de casos</t>
  </si>
  <si>
    <t xml:space="preserve">12/12/2024 La opcion de retoma que existe hoy  en dia funciona  para la  cunmplir la necesidad </t>
  </si>
  <si>
    <t>Reasignacion de casos</t>
  </si>
  <si>
    <t>12/12/2024 Corregira error en la trazabilidad y se estima pasar a test  12 de diciembre.</t>
  </si>
  <si>
    <t xml:space="preserve">Paso a ambientes bajos de Lectura de archivos en python </t>
  </si>
  <si>
    <t>18/12/2024 Se llevara acabo sesion para iniciar paso a dev. Por  recursos del servidos del ambiente de dev no es posible ejecutar la aplicación, se realizara prueba en produccion en la  intancia de portales.</t>
  </si>
  <si>
    <t>Ajuste reembolsos para  poder simular el envio a Sisalud</t>
  </si>
  <si>
    <t>MDSB-734746 Creación de habilidad para crear RT</t>
  </si>
  <si>
    <t>Se realiza ajustes solicitado y se realiza entrega a  Santiago Prieto y Alexandra González.</t>
  </si>
  <si>
    <t>Informe de Reembolsos</t>
  </si>
  <si>
    <t>Informe de infraestructura</t>
  </si>
  <si>
    <t>MDSB-734626 caso de autorizaciones sin adjuntos</t>
  </si>
  <si>
    <t xml:space="preserve">No fue posible recuperar los  adjuntos </t>
  </si>
  <si>
    <t xml:space="preserve">No genera informe 472 fisico </t>
  </si>
  <si>
    <t>16/12/2024 Se debe  realizar  validación de consultas.
26/12/2024 ontinua con validaciones 
30/12/2024 Error en en el diligenciamiento del archivo de carga</t>
  </si>
  <si>
    <t>MDSB-735323 casos sin adjuntos notificación ( 30945076 y 30945045)</t>
  </si>
  <si>
    <t>Lectura de archivos en python</t>
  </si>
  <si>
    <t>Implementación en produccion</t>
  </si>
  <si>
    <t xml:space="preserve">07/01/2025 Evaluara el comportamiento del servicio al implementarlo en produccion.
08/01/2025 se realizan pruebas en produccion 7 de enero en la tarde arrojando resultados  exitosos, se debe ajustar la respuesta del json.
</t>
  </si>
  <si>
    <t>Vallidar hallazgos de portal proveedores</t>
  </si>
  <si>
    <t>No permite realizar la consulta por nit en el aplicativo (Nativo)</t>
  </si>
  <si>
    <t xml:space="preserve"> Ajustar el nombre del módulo a “Radicación de proveedores”</t>
  </si>
  <si>
    <t>MDSB-739336 Informe de tipologias activas y el area a la  que corresponde</t>
  </si>
  <si>
    <t xml:space="preserve">Ajuste de formato de fechas lago de datos </t>
  </si>
  <si>
    <t>Cambios en el  codigo y creacion de vistas</t>
  </si>
  <si>
    <t>08/01/2025 Se debe escalar control de  cambios en test  para la creación de alter
08/01/2025 se escala control de cambios en test MDSB-739779
09/01/2025 Control de cambios en test ejecutado.</t>
  </si>
  <si>
    <t>GD772-54  Radicacion Proveedor por portal ARL (Formato At - 031 Hoja De Seguimiento)</t>
  </si>
  <si>
    <t>*13/11/2024 Se estima 2 dias de desarrollo con pruebas.
*15/11/2024 comienza ejecución
25/11/2024, El dia  viernes 22 de noviembre termino el  paso 1 y 25 de noviembre inicia paso 2 el cual estima  terminar 25 de Noviembre. 
*27/11/2024 desarrollo en test, presenta error en la  visualizacion de  campos en nativo.
*28/11/2024 Solucion de error reportado 27 de noviembre.
*04/12/2024 Pendiente realizar pruebas de los ajustes de los hallazgos reportados el 28 de Noviembre
* 06/12/2024 Se han realizado pruebas a los ajustes de los hallazgos y se confirma que los resultados fueron exitosos, garantizando que el proceso de radicación se ejecuta correctamente
18/12/2024 entregado a bolivar para pruebas 
10/01/2025 Paso a produccion 10 de enero de 2025</t>
  </si>
  <si>
    <r>
      <rPr>
        <b/>
        <sz val="11"/>
        <color theme="1"/>
        <rFont val="Quattrocento Sans"/>
      </rPr>
      <t>PASO 1</t>
    </r>
    <r>
      <rPr>
        <sz val="11"/>
        <color theme="1"/>
        <rFont val="Quattrocento Sans"/>
      </rPr>
      <t xml:space="preserve">
</t>
    </r>
    <r>
      <rPr>
        <b/>
        <sz val="11"/>
        <color theme="1"/>
        <rFont val="Quattrocento Sans"/>
      </rPr>
      <t>H1</t>
    </r>
    <r>
      <rPr>
        <sz val="11"/>
        <color theme="1"/>
        <rFont val="Quattrocento Sans"/>
      </rPr>
      <t xml:space="preserve"> Crear en el portal de solicitudes ARL opción de radicación de proveedores
</t>
    </r>
    <r>
      <rPr>
        <b/>
        <sz val="11"/>
        <color theme="1"/>
        <rFont val="Quattrocento Sans"/>
      </rPr>
      <t>H2</t>
    </r>
    <r>
      <rPr>
        <sz val="11"/>
        <color theme="1"/>
        <rFont val="Quattrocento Sans"/>
      </rPr>
      <t xml:space="preserve"> Creación de formulario para radicación 
</t>
    </r>
    <r>
      <rPr>
        <b/>
        <sz val="11"/>
        <color theme="1"/>
        <rFont val="Quattrocento Sans"/>
      </rPr>
      <t>H5</t>
    </r>
    <r>
      <rPr>
        <sz val="11"/>
        <color theme="1"/>
        <rFont val="Quattrocento Sans"/>
      </rPr>
      <t xml:space="preserve"> Precargar datos proveedor</t>
    </r>
  </si>
  <si>
    <t>*15/11/2024 Genera error al confirgurar campos.
*18/11/2024 Continua con la validación del error. 
*19/11/2024 Se detuvo la gestion, ya que empleo gran parte del tiempo atendiendo la caida de los ambientes dev y test
*27/11/2024 en test</t>
  </si>
  <si>
    <r>
      <rPr>
        <b/>
        <sz val="11"/>
        <color theme="1"/>
        <rFont val="Quattrocento Sans"/>
      </rPr>
      <t>PASO 2</t>
    </r>
    <r>
      <rPr>
        <sz val="11"/>
        <color theme="1"/>
        <rFont val="Quattrocento Sans"/>
      </rPr>
      <t xml:space="preserve">
</t>
    </r>
    <r>
      <rPr>
        <b/>
        <sz val="11"/>
        <color theme="1"/>
        <rFont val="Quattrocento Sans"/>
      </rPr>
      <t>H2</t>
    </r>
    <r>
      <rPr>
        <sz val="11"/>
        <color theme="1"/>
        <rFont val="Quattrocento Sans"/>
      </rPr>
      <t xml:space="preserve"> Creación de formulario para radicación.
</t>
    </r>
  </si>
  <si>
    <t>*25/11/2024 Formularios  ok
*27/11/2024 en test</t>
  </si>
  <si>
    <r>
      <rPr>
        <b/>
        <sz val="11"/>
        <color theme="1"/>
        <rFont val="Quattrocento Sans"/>
      </rPr>
      <t>PASO 3</t>
    </r>
    <r>
      <rPr>
        <sz val="11"/>
        <color theme="1"/>
        <rFont val="Quattrocento Sans"/>
      </rPr>
      <t xml:space="preserve">
</t>
    </r>
    <r>
      <rPr>
        <b/>
        <sz val="11"/>
        <color theme="1"/>
        <rFont val="Quattrocento Sans"/>
      </rPr>
      <t>H4</t>
    </r>
    <r>
      <rPr>
        <sz val="11"/>
        <color theme="1"/>
        <rFont val="Quattrocento Sans"/>
      </rPr>
      <t xml:space="preserve"> Debe permitir subir varios archivos.
</t>
    </r>
    <r>
      <rPr>
        <b/>
        <sz val="11"/>
        <color theme="1"/>
        <rFont val="Quattrocento Sans"/>
      </rPr>
      <t>H3</t>
    </r>
    <r>
      <rPr>
        <sz val="11"/>
        <color theme="1"/>
        <rFont val="Quattrocento Sans"/>
      </rPr>
      <t xml:space="preserve"> Asociacion de tipología portal vs nativo.
</t>
    </r>
    <r>
      <rPr>
        <b/>
        <sz val="11"/>
        <color theme="1"/>
        <rFont val="Quattrocento Sans"/>
      </rPr>
      <t>H4</t>
    </r>
    <r>
      <rPr>
        <sz val="11"/>
        <color theme="1"/>
        <rFont val="Quattrocento Sans"/>
      </rPr>
      <t xml:space="preserve"> Opción consulta casos en portal ARL</t>
    </r>
  </si>
  <si>
    <r>
      <rPr>
        <sz val="11"/>
        <color theme="1"/>
        <rFont val="Quattrocento Sans"/>
      </rPr>
      <t>*25/11/2024  Administración de archivos finalizado 
26/11/2024 continua con la  H3 
*</t>
    </r>
    <r>
      <rPr>
        <b/>
        <sz val="11"/>
        <color theme="1"/>
        <rFont val="Quattrocento Sans"/>
      </rPr>
      <t>27/11/2024 Trabajara en error al  replicar los  casos en nativo, no se visualizan algunos  campos.
*28/11/2024 subir  cambios de los  ajustes de los errores de la replica de nativo.</t>
    </r>
  </si>
  <si>
    <t>Ajustes de halazgos pruebas test</t>
  </si>
  <si>
    <t>02/12/2024 Inciara validaciones 
*03/12/2024 Falta la incidencia # 8 
04/12/2024 Pendiente realizar  pruebas de los  ajustes.
06/12/2024 Se han realizado pruebas a los ajustes de los hallazgos y se confirma que los resultados fueron exitosos, garantizando que el proceso de radicación se ejecuta correctamente</t>
  </si>
  <si>
    <t xml:space="preserve">Cookie Without Secure Flag Detected </t>
  </si>
  <si>
    <t>*10/12/2024 Continua con la  implementación.
19/12/2024 continua con las correcciones.
20/12/2024 EN TEST.
10/01/2025 Se despliega a produccion</t>
  </si>
  <si>
    <t>Cookie Without HttpOnly Flag Detected</t>
  </si>
  <si>
    <t>19/12/2024 continua con las correcciones.
20/12/2024 en test.
10/01/2025 Se despliega a produccion</t>
  </si>
  <si>
    <t>Cookie Without SameSite Flag Detected</t>
  </si>
  <si>
    <t>19/12/2024 continua con las correcciones.
20/12/2024 continua con las correcciones.
10/01/2025 10/01/2025 Se despliega a produccion</t>
  </si>
  <si>
    <t xml:space="preserve"> Missing Content Security Policy </t>
  </si>
  <si>
    <t>19/12/2024 continua con las correcciones.
20/12/2024 continua con las correcciones.
10/01/2025 Se despliega a produccion</t>
  </si>
  <si>
    <t>Hacer comando en medicamenteos para el cierre de caso despues de 3 dias del envio de la respuesta si no se obtiene resuesta</t>
  </si>
  <si>
    <t>MDSB-740230 Informe tipologia 10182 incluyendo campos (caso - fecha radicación- fecha cierre -  Razón social - Tipología en la que se cerró el caso- Área de la tipología)</t>
  </si>
  <si>
    <t>MDSB-739939 Desahabilitar plantilla  y validar adjuntos  requeridos en solicitudes ARL</t>
  </si>
  <si>
    <t>14/01/2025 Se ajusta en test por codigo la desabilitación del archivo descargable, pendiente solucionar los adjuntos  requeridos.</t>
  </si>
  <si>
    <t xml:space="preserve">MDSB-734210 Validar observaciones de la tipologia "Estrategia CAVI"  y adiocionar al  informe de tipologias </t>
  </si>
  <si>
    <t xml:space="preserve">GD772-47 - Requerimiento ajuste comunicados de cartera </t>
  </si>
  <si>
    <t xml:space="preserve">Enviar script para solicitar control de cambios a produccion </t>
  </si>
  <si>
    <t>20/01/2025 No se creara mas controles de cambios se dejara el creado en Diciembre MDSB-732153</t>
  </si>
  <si>
    <t>Validar error al ejecutar el comando en test</t>
  </si>
  <si>
    <t>Validar cargue de archivo de trabajadores enviado por Doria</t>
  </si>
  <si>
    <t>16/01/2025 Fabio realiza la validacion y no hay error, solo que el archivo es demasiado grande y se debe cargar seccionado.</t>
  </si>
  <si>
    <t>MDSB-740958 Error en el tipo de correo para gestión de devoluciones</t>
  </si>
  <si>
    <t>14/01/2025 Se detiene para  trabajar jira  MDSB-738724.</t>
  </si>
  <si>
    <t>MDSB-738724  Revisar asignación de casos para que se puedan gestionar,(Radicados por el proveedor)</t>
  </si>
  <si>
    <t>13/01/2025: el viernes 10 de enero  realiza validaciones pero no evidencia el error.
14/01/2025 a un no se identifica la causa del error, 
16/01/2025 se evidencia un dos cedulas con el mismo nombre.
16/01/2025, Se evidencia que no es un error del aplicativo, sino que corresponde a la creacion del mismo usuario con numero de CC diferentes.</t>
  </si>
  <si>
    <t>MDSB-746480 Subir a la malla de asignación tipologías</t>
  </si>
  <si>
    <t>MDSB-706522 Tablero de Indicadores de control de la operación, control imagine y validación factura imagine</t>
  </si>
  <si>
    <t>*27/11/2024 Ya esta creada la vista y validara el query entregado por Jenry. 
*28/11/2024 inicia  en la  elaboración del  primer  indicador.</t>
  </si>
  <si>
    <t>Oportunidad Radicación en Sisalud</t>
  </si>
  <si>
    <t xml:space="preserve">*02/12/2024 continua  con ajustes 
03/12/2024 se subira a test 
*04/12/2024 Pendiente subir a test. Sin acceso a test
*05/12/2024 Pendiente permisos en test para  subir ajustes.
*10/12/2024 Indicador  ya se encuentra en produccion.
</t>
  </si>
  <si>
    <t>Oportunidad en la gestion de  inconsistencias</t>
  </si>
  <si>
    <t>*04/12/2024 En proceso
*05/12/2024 continua con el desarrollo, se estima  subir a test 5 de diciembre.
*06/12/2024 en produccion incompleto para pruebas solo con el usuario de jenry
*09/12/2024 Pendiente realizar ajustes indicados por Jenry
*10/12/2024 pendiente dividir el informe de  inconsistencias de bolivar y de Imagine.
*27/12/2024 Realizara la  division de  usuarios de bolivar y de Imagine.
30/12/2024 inicia  con la separación de usuarios, Creación de la  vista</t>
  </si>
  <si>
    <t>MDSB-728389 Crear tipos de documento para disparar servicio</t>
  </si>
  <si>
    <r>
      <rPr>
        <b/>
        <sz val="11"/>
        <color theme="1"/>
        <rFont val="Quattrocento Sans"/>
      </rPr>
      <t xml:space="preserve">19/12/2024 </t>
    </r>
    <r>
      <rPr>
        <sz val="11"/>
        <color theme="1"/>
        <rFont val="Quattrocento Sans"/>
      </rPr>
      <t>Los tipos de documentos se encuentran quemados en el  codigo en prd, pendiente realizar tabla para manejar los  portales.
20/12/2024 pendiente realizar tabla para manejar los  portales.</t>
    </r>
  </si>
  <si>
    <t>Comando en incapacidades para los casos  que quedan en devolucion y no se cierran y los que generan doble actividad</t>
  </si>
  <si>
    <t>1.Dos actividades abiertas
2, Cuando hay cierre  caso y queda una actividad abierta
3. Cuando queda en devolucion abierta.</t>
  </si>
  <si>
    <t>13/01/2025 Continuara con el desarrollo.
15/01/2025 Entregara hoy
20/01/2025 Se pasara a producción hoy.</t>
  </si>
  <si>
    <t>MDSB-744896 a la  usuaria no le aparece el boton  para gestionar el caso 30236793</t>
  </si>
  <si>
    <t>23/01/2025 Se identifica que el problema es cuando se obtienen radicaciones del buzon se validara el  proceso con Freddy tibocha y se sugiere crear otro caso para la gestion del que presenta la inconsistencia.</t>
  </si>
  <si>
    <t>MDSB-738836  Se evidencia que los casos asignados a los usuarios 1106308141 y 1024530884 no aparecen en los informes de Arl.</t>
  </si>
  <si>
    <t>FINALIZADOS</t>
  </si>
  <si>
    <t>14/01/2025se soluciona error reportado al consultar los  uusarios en la reasignacion por tipologias, quedo en  producción   y la solucion definitiva esta en test.
15/01/2025 Continuara con la valida de los usuario que en administración  quedan con un area y rol difeente al que  se muestra en la  reasignación
16/01/2025 Usuario indica que aun los casos  radicados no se contabilizan en un informe de efectividad, estamos a las espera de la ruta de dicho informe para  validar.
23/01/2025 Se identifica error en el codigo del area de la  tabla de usuarios.</t>
  </si>
  <si>
    <t>Ajustar Formato informes ARL en Yii</t>
  </si>
  <si>
    <t>08/01/2025 Se  subiran ajustes a test 
10/01/2025 se sube a test el 9 de enero
17/01/2025 Se realiza paso a producción 
20/01/2025 Debe  validar formularios que aun no traen el formato de fecha correcto
20/01/2025 Solucion lista para  subir a test 
22/01/2025 SE SUBEN AJUSTES  A PRD EL  21 DE ENERO</t>
  </si>
  <si>
    <t>GD772- 77 ADICIONAR 2 INFORMES, GLOSAS E INCONSISTENCIAS  PARA REEMBOLSOS</t>
  </si>
  <si>
    <t xml:space="preserve">Ajustar informes glosas </t>
  </si>
  <si>
    <t>no incluir reembolsos</t>
  </si>
  <si>
    <t xml:space="preserve">GD772-75 Simulacion  la radicacion de reembolsos según mensaje tipo y numero de documento </t>
  </si>
  <si>
    <t>GD772-76 Cambio en el calculo de los informes de reembolsos</t>
  </si>
  <si>
    <t xml:space="preserve">GD772-46 REQ DE MEDICAMENTOS </t>
  </si>
  <si>
    <t>Resolver incidencias reportadas por bolivar 10 de enero (7 puntos)</t>
  </si>
  <si>
    <t>DESPLIEGUE PRODUCCION</t>
  </si>
  <si>
    <t>13/01/2025 Subira a test para  ir probando.
14/01/2025 pendiente solucionar el  punto 6 Informe de salida de correos.
16/01/2025 pendiente retirar del  informe de salida de correos los  casos que se encuentran pendientes de gestion.</t>
  </si>
  <si>
    <t>Agregar en la  gestion  una pestaña para  el  historial de reembolsos por CC</t>
  </si>
  <si>
    <t>27/01/2025 entregar a Jenry para subir aproduccion 
29/01/2025 se pasara a produccion y se actualizara test.</t>
  </si>
  <si>
    <t>Redireccionamiento del viejo portal al nuevo portal de ARL</t>
  </si>
  <si>
    <t>Se estima medio día</t>
  </si>
  <si>
    <t>29/01/2025 Continua con el redirecionamiento.</t>
  </si>
  <si>
    <t>MDSB-752092 ERROR  FLUJO  Tipología  10537  Dictamen Pcl Afp Y Comun</t>
  </si>
  <si>
    <t>No se identifico error ya que la tipologia esta para la radicacion de casos del buzon.</t>
  </si>
  <si>
    <t>Req boton anular Caso en pensiones</t>
  </si>
  <si>
    <t>30/01/2025 INCLUIR BOTON  EN CONSULTA 
31/01/2025 se sube a produccion el 30 de enero</t>
  </si>
  <si>
    <t>Ajustar envio de adjuntos para AFIN</t>
  </si>
  <si>
    <t>Validar error en autollenado del nombre trabajador /razon social empresa en portales  test y produccion.</t>
  </si>
  <si>
    <t xml:space="preserve">29/01/2025 se realiza validaciones y no es posible una solucion, se continuara despues de Redireccionamiento del viejo portal al nuevo portal de ARL.
30/01/2025 Continuara  con la validacion del campo y realizacion de  cambios.
31/01/2025 Continua con la validación del error  y  se espera dejar solucionado hoy.
</t>
  </si>
  <si>
    <t>Ajuste de glosas por procedimeinto en ARL</t>
  </si>
  <si>
    <r>
      <rPr>
        <sz val="11"/>
        <color theme="1"/>
        <rFont val="Quattrocento Sans"/>
      </rPr>
      <t>*04/12/2024 Subira a teste hoy, pendiente de ajustar boton de tramitar envio.
*05/12/2024 Pendiente permisos en test para  subir ajustes.
*10/12/2024 se subira a test.
*11/12/2024 En test  para  pruebas.
*</t>
    </r>
    <r>
      <rPr>
        <b/>
        <sz val="11"/>
        <color theme="1"/>
        <rFont val="Quattrocento Sans"/>
      </rPr>
      <t>12/12/2024 Validar error  en test
17/12/2024 Pendiente validar error en test
20/12/2024 Pendiente validar error en test
23/12/2024 continua validando error
26/12/2024 Corregir error en test
27/12/2024 Realiza  correccion de errores y cambios de validación, quedan en test
03/02/2025 Sube a producción</t>
    </r>
  </si>
  <si>
    <t>Cambio de lógica en la recepción de los nuevos rips en el portal de facturas</t>
  </si>
  <si>
    <t>Actulizar con respecto a Master  correguir conflictos</t>
  </si>
  <si>
    <t>04/02/2025 en proceso de estabilizacion</t>
  </si>
  <si>
    <t>Llenar las nuevas tablas de rips</t>
  </si>
  <si>
    <r>
      <rPr>
        <sz val="11"/>
        <color theme="1"/>
        <rFont val="Quattrocento Sans"/>
      </rPr>
      <t xml:space="preserve">*01/10/2024, Se solicita control de cambios producción MDSB-678685 30 de septiembre
*02/10/2024 estado jira MDSB-678685  en Validación
</t>
    </r>
    <r>
      <rPr>
        <b/>
        <sz val="11"/>
        <color theme="1"/>
        <rFont val="Segoe UI"/>
      </rPr>
      <t xml:space="preserve">*03/10/2024 Jira ejecutado correctamente, Pendiente  pasar código a  producción por cambios en la resolución. </t>
    </r>
  </si>
  <si>
    <t xml:space="preserve">Validación de cartas </t>
  </si>
  <si>
    <r>
      <rPr>
        <sz val="11"/>
        <color theme="1"/>
        <rFont val="Quattrocento Sans"/>
      </rPr>
      <t xml:space="preserve">* 02/10/2024 pendiente ajustar plantilla de radicación y de las devoluciones de nota crédito.
*04/10/2024 Continuara ya que se dedico a trabajar en el envió de correos d autorizaciones.
</t>
    </r>
    <r>
      <rPr>
        <b/>
        <sz val="11"/>
        <color theme="1"/>
        <rFont val="Quattrocento Sans"/>
      </rPr>
      <t>*07/10/2024, Se detiene para continuar trabajando en reembolsos.
04/02/2025 Reinicia ajuste.</t>
    </r>
  </si>
  <si>
    <t>consulta del CUV</t>
  </si>
  <si>
    <r>
      <rPr>
        <b/>
        <sz val="11"/>
        <color theme="1"/>
        <rFont val="Quattrocento Sans"/>
      </rPr>
      <t xml:space="preserve">*03/10/2024 </t>
    </r>
    <r>
      <rPr>
        <sz val="11"/>
        <color theme="1"/>
        <rFont val="Quattrocento Sans"/>
      </rPr>
      <t>En cuanto a código ya esta listo, se sesión  hoy con Bolívar  para  validar la demora en la respuesta del  recuso suministrado</t>
    </r>
    <r>
      <rPr>
        <b/>
        <sz val="11"/>
        <color theme="1"/>
        <rFont val="Quattrocento Sans"/>
      </rPr>
      <t xml:space="preserve">
*07/10/2024, Se detiene para continuar trabajando en reembolsos.</t>
    </r>
  </si>
  <si>
    <t>Glosas con nueva estructura (norma 2284)</t>
  </si>
  <si>
    <r>
      <rPr>
        <sz val="11"/>
        <color theme="1"/>
        <rFont val="Quattrocento Sans"/>
      </rPr>
      <t>*12/09/2024 Pendiente envió de facturas de partes de bolívar para  Realizar pruebas 
*02/10/2024 pasara  a producción  con el portal, pendiente aclaración de carta de glosa efectiva y masiva.</t>
    </r>
    <r>
      <rPr>
        <b/>
        <sz val="11"/>
        <color theme="1"/>
        <rFont val="Segoe UI"/>
      </rPr>
      <t xml:space="preserve">
*03/10/2024 resolución cambio en las fechas de salida, queda pendiente pasar código a  producción.</t>
    </r>
  </si>
  <si>
    <t>*22/10/2024 Se realizara sesion con Jenifer para despejar dudas.
*23/10/2024 Jenifer  enviara información detallada  para cada una de las tipologias.
*28/10/2024 24 de Octubre Jennifer envia las estructuras finales.
*06/11/2024 Continuara Luis con el desarrollo del  req, se realizara sesion de entendimiento. (22/11/2024).
*07/11/2024 Luis iniciara tan pronto termine el req GD772-51
*13/11/2024 Se da sesion de entendimiento e inicia con el desarrollo, Validación de la lógica y flijo.
*14/11/2024 inicio de la  implementación
*19/11/2024 solicitara  paso a TEST para inicio de pruebas.
*21/11/2024 Se realizan preubas en test no y genera errores, El requerimiento lo  retomara Johan la  proxima  semana.
* 28/11/2024 Johan retoma  req, en creación de los archivos .csv
*02/12/2024 Jira de control de cambios test MDSB-717693 en estado abierta, control de cambios ejecutado...
19/12/2024 Realizar ajustes  finales para la entrega.
23/12/2024 Se entrega req a bolivar  para  pruebas el 20 de diciembre 
Se escala control de cambios prd MDSB-732153
27/01/2025 dan go para  paso a produccion.
01/02/2025 Control de cambios ejecutado correctamente</t>
  </si>
  <si>
    <t>Creacion de archivos csv</t>
  </si>
  <si>
    <t>29/11/2024 se escala  control de cambios MDSB-717693 en test.</t>
  </si>
  <si>
    <t>Salida de correos por Exchange copia al correo de novedades, solo las 2 tipologías que salen por arl correo certificado no cambia</t>
  </si>
  <si>
    <t>Modificar proformas de acuerdo a las plantillas de Word del req</t>
  </si>
  <si>
    <t>Validar que las devoluciones  caigan a quien debe ser.</t>
  </si>
  <si>
    <t>09/12/2024 Continua con la validación.
10/12/2024 se implementa un cron que  todos los días va a revisar los casos en estado devolución y garantizara que queden a quien realizó el envío masivo</t>
  </si>
  <si>
    <t>Pruebas en test para entregar a Bolivar</t>
  </si>
  <si>
    <t>19/12/2024 Realizar ajustes  finales para la entrega.</t>
  </si>
  <si>
    <t>ADICION DE CAMPO TIPO DE DOCUMENTO EN ARCHIVO GD772-47  COMUNICADOS DE CARTERA</t>
  </si>
  <si>
    <t xml:space="preserve">07/01/2025 se sube cambio a test </t>
  </si>
  <si>
    <t>H2 Crear menú con nombre:  Autorizaciones, bandeja autorizaciones</t>
  </si>
  <si>
    <t>05/02/2025 Control de cambios produccion  MDSB-755413 ejecutado correctamente.
06/02/2025 Despliegue  programado para el  10 de Febrero.</t>
  </si>
  <si>
    <t xml:space="preserve">H3 Creación de menú administración autorizaciones </t>
  </si>
  <si>
    <r>
      <rPr>
        <sz val="11"/>
        <color theme="1"/>
        <rFont val="Quattrocento Sans"/>
      </rPr>
      <t xml:space="preserve">*10/10/2024 Vista de reasignación ok, En realización de la lógica de las vistas ya creadas. Estima entrega  para 11 de octubre
*15/10/2024. En local ya esta lista la  creación de casos 
*16/10/2024 se estima la entrega de la  historia para 17 de octubre.
*17/10/2024 Implementar la  logica que el caso se asigne correctamente.
* </t>
    </r>
    <r>
      <rPr>
        <b/>
        <sz val="11"/>
        <color theme="1"/>
        <rFont val="Quattrocento Sans"/>
      </rPr>
      <t xml:space="preserve">22/10/2024 Jesus se encuentra incapacitado hasta del 21 hasta el 29 de Octubre
*29/10/2024 Reinicia  gestion en dev, crear  campos  y  realizar pruebas..
*30/10/2024 Presenta error al ingresar a aws para  ingresar a dev
*01/11/2024 Finalizado en local, pendiente permisos en dev para realizar pruebas.
*06/11/2024 acceso a dev solucionado, subira desarrollo a dev 
*03/12/2024 solicitar control de cambios a test </t>
    </r>
  </si>
  <si>
    <t>H4 Creación de opción asignación por tiempos</t>
  </si>
  <si>
    <r>
      <rPr>
        <sz val="11"/>
        <color theme="1"/>
        <rFont val="Quattrocento Sans"/>
      </rPr>
      <t>*09/10/2024 Confirmar  fecha de finalización
*10/10/2024 En realización de la lógica de las vistas ya creadas estima entrega  para 11 de octubre
*11/10/2024 Se acalraran dudas con Jenry en la asignación de casos a los usuarios.
*15/10/2024 se realiza entendimiento con Jenry asignación de casos por tiempos, se debe validar si en caso de no tener usuarios activos habrá uno que este las 24 H disponible para recibir los casos.
*16/10/2024 creación de nueva tabla.
*16/10/2024 se estima la entrega de la  historia para 17 de octubre
*17/10/2024 realizo la vista de asignacón por tiempos y cambio de fechas de asignación, continua con la  reasignación.
* 18/10/2024 subira a develo
*</t>
    </r>
    <r>
      <rPr>
        <b/>
        <sz val="11"/>
        <color theme="1"/>
        <rFont val="Quattrocento Sans"/>
      </rPr>
      <t>22/10/2024 Jesus se encuentra incapacitado hasta del 21 hasta el 29 de Octubre
*29/10/2024 Reinicia  gestion en dev Reinicia  gestion en dev, crear  campos  y  realizar pruebas..
*30/10/2024 Presenta error al ingresar a aws para  ingresar a dev
*01/11/2024 Finalizado en local, pendiente permisos en dev para realizar pruebas.
06/11/2024 acceso a dev solucionado, subira desarrollo a dev</t>
    </r>
  </si>
  <si>
    <r>
      <rPr>
        <b/>
        <sz val="11"/>
        <color theme="1"/>
        <rFont val="Quattrocento Sans"/>
      </rPr>
      <t>H5</t>
    </r>
    <r>
      <rPr>
        <sz val="11"/>
        <color theme="1"/>
        <rFont val="Quattrocento Sans"/>
      </rPr>
      <t xml:space="preserve"> Crear dentro del menú con Autorizaciones, opción:  Administración Autorizaciones /Agregar proveedor -Gestor farmaceutico (Crud)</t>
    </r>
  </si>
  <si>
    <t>*30/10/2024 Inicia desarrollo 29 de octubre  de esta historia.
*31/10/2024 Continua con el desarrollo.
*01/11/2024 finalizado en local
*06/11/2024 acceso a dev solucionado, subira desarrollo a dev</t>
  </si>
  <si>
    <r>
      <rPr>
        <b/>
        <sz val="11"/>
        <color theme="1"/>
        <rFont val="Quattrocento Sans"/>
      </rPr>
      <t>H6</t>
    </r>
    <r>
      <rPr>
        <sz val="11"/>
        <color theme="1"/>
        <rFont val="Quattrocento Sans"/>
      </rPr>
      <t xml:space="preserve"> Crear la opción cargue grupo afin dentro del menu administración.</t>
    </r>
  </si>
  <si>
    <t>*01/11/2024 Inicio de desarrollo.
*06/11/2024 solucionar error y subr a dev
*07/11/2024 Validar error en el paginador</t>
  </si>
  <si>
    <t>H7 Creación Bandeja de gestión Autorizaciones</t>
  </si>
  <si>
    <t xml:space="preserve">*06/11/2024 Inicia desarrollo  y confirmara  tiempo estimado de entrega.
*07/11/2024 Estima finalizar desarrollo  8 de noviembre en la tarde.
*12/11/2024 Fecha de entrega 13 de noviembre.
*14/11/2024 finalizado en local, realiza paso oa Dev.
* 04/12/2024 Adiciono actividad faltante </t>
  </si>
  <si>
    <r>
      <rPr>
        <b/>
        <sz val="11"/>
        <color theme="1"/>
        <rFont val="Quattrocento Sans"/>
      </rPr>
      <t xml:space="preserve">H8 Creación funcionalidad Bandeja de gestión Autorizaciones </t>
    </r>
    <r>
      <rPr>
        <sz val="11"/>
        <color theme="1"/>
        <rFont val="Quattrocento Sans"/>
      </rPr>
      <t xml:space="preserve">
* Crear campos dinamicos en Yii
* Organizar vista de gestion (Flujo).</t>
    </r>
  </si>
  <si>
    <t>*14/11/2024 inicia y pendiente estimar entrega.
*15/11/2024 el 14 de noviembre organiza la  vista del flujo y realiza pruebas radicando casos desde el portal, 15 de noviembre se encuentra disfrutando del dia de la familia.
*18/11/2024 Continuara sulicionar errores (muestra de imagenes en gestión)en dev  para  continuar con el  flujo, 3 prueba en Dev..
*19/11/2024 Continua con eldesarrollo creando modal.
*20/11/2024 Solicitara control de cambios en test
*22/11/2024 Se solicita control de cambios en test MDSB-712296</t>
  </si>
  <si>
    <r>
      <rPr>
        <b/>
        <sz val="11"/>
        <color theme="1"/>
        <rFont val="Quattrocento Sans"/>
      </rPr>
      <t>H9</t>
    </r>
    <r>
      <rPr>
        <sz val="11"/>
        <color theme="1"/>
        <rFont val="Quattrocento Sans"/>
      </rPr>
      <t xml:space="preserve"> Creación funcionalidad Bandeja de gestión Autorizaciones -</t>
    </r>
    <r>
      <rPr>
        <b/>
        <sz val="11"/>
        <color theme="1"/>
        <rFont val="Quattrocento Sans"/>
      </rPr>
      <t xml:space="preserve"> Medicamento autorización total</t>
    </r>
    <r>
      <rPr>
        <sz val="11"/>
        <color theme="1"/>
        <rFont val="Quattrocento Sans"/>
      </rPr>
      <t>:</t>
    </r>
  </si>
  <si>
    <r>
      <rPr>
        <sz val="11"/>
        <color theme="1"/>
        <rFont val="Quattrocento Sans"/>
      </rPr>
      <t xml:space="preserve">25/11/2024 Modal finalizado 21 de noviembre en local.
*27/11/2024 Generación de plantaillas de envio = ok.
</t>
    </r>
    <r>
      <rPr>
        <b/>
        <sz val="11"/>
        <color theme="1"/>
        <rFont val="Quattrocento Sans"/>
      </rPr>
      <t>28/11/2024 Implementar envio de correo a proveedor = ok</t>
    </r>
  </si>
  <si>
    <r>
      <rPr>
        <b/>
        <sz val="11"/>
        <color theme="1"/>
        <rFont val="Quattrocento Sans"/>
      </rPr>
      <t>H10</t>
    </r>
    <r>
      <rPr>
        <sz val="11"/>
        <color theme="1"/>
        <rFont val="Quattrocento Sans"/>
      </rPr>
      <t xml:space="preserve"> Creación funcionalidad Bandeja de gestión Autorizaciones - </t>
    </r>
    <r>
      <rPr>
        <b/>
        <sz val="11"/>
        <color theme="1"/>
        <rFont val="Quattrocento Sans"/>
      </rPr>
      <t>Medicamento autorización parcial:</t>
    </r>
  </si>
  <si>
    <r>
      <rPr>
        <sz val="11"/>
        <color theme="1"/>
        <rFont val="Quattrocento Sans"/>
      </rPr>
      <t xml:space="preserve">*25/11/2024 estima finalizar el modal 25 de noviembre.
* 26/11/2024 Pendiente ajuste de la logica  
*27/11/2024 Generación de plantaillas de envio =ok.
</t>
    </r>
    <r>
      <rPr>
        <b/>
        <sz val="11"/>
        <color theme="1"/>
        <rFont val="Quattrocento Sans"/>
      </rPr>
      <t>*28/11/2024 Implementar envio de correo a proveedor.=ok</t>
    </r>
  </si>
  <si>
    <r>
      <rPr>
        <sz val="11"/>
        <color theme="1"/>
        <rFont val="Quattrocento Sans"/>
      </rPr>
      <t xml:space="preserve">H11 Creación funcionalidad Bandeja de gestión Autorizaciones - </t>
    </r>
    <r>
      <rPr>
        <b/>
        <sz val="11"/>
        <color theme="1"/>
        <rFont val="Quattrocento Sans"/>
      </rPr>
      <t>Medicamento no autorizado</t>
    </r>
  </si>
  <si>
    <r>
      <rPr>
        <sz val="11"/>
        <color theme="1"/>
        <rFont val="Quattrocento Sans"/>
      </rPr>
      <t xml:space="preserve">*25/11/2024 estima finalizar el modal 2 y 3 para el 25 de noviembre.
*26/11/2024 Pendiente ajuste de la logica, validaciones y  subir  adev 
*27/11/2024 Generación de plantaillas de envio = ok.
</t>
    </r>
    <r>
      <rPr>
        <b/>
        <sz val="11"/>
        <color theme="1"/>
        <rFont val="Quattrocento Sans"/>
      </rPr>
      <t>*29/11/2024 Realizar crud para la administración de la causal de devolución</t>
    </r>
    <r>
      <rPr>
        <sz val="11"/>
        <color theme="1"/>
        <rFont val="Quattrocento Sans"/>
      </rPr>
      <t>.= ok 
*03/12/2024 Se solicitara  control de cambios en test para  permisos en la secuencia.
*04/12/2024 Control de cambios MDSB-719403 ejecutado correctamente.</t>
    </r>
  </si>
  <si>
    <t>H12 Permitir adjuntar documento a casos</t>
  </si>
  <si>
    <t>* 02/12/2024 Contimua con el desarrollo</t>
  </si>
  <si>
    <r>
      <rPr>
        <b/>
        <sz val="11"/>
        <color theme="1"/>
        <rFont val="Quattrocento Sans"/>
      </rPr>
      <t>H16</t>
    </r>
    <r>
      <rPr>
        <sz val="11"/>
        <color theme="1"/>
        <rFont val="Quattrocento Sans"/>
      </rPr>
      <t xml:space="preserve"> Informe autorización y tiempos (unificar)</t>
    </r>
  </si>
  <si>
    <t>*06/12/2024 trabajando en encolamiento..
09/12/2024 estima finalizar informes para el 10 de diciembre
*10/12/2024  organizar campos según estructura</t>
  </si>
  <si>
    <r>
      <rPr>
        <b/>
        <sz val="11"/>
        <color theme="1"/>
        <rFont val="Quattrocento Sans"/>
      </rPr>
      <t>H17</t>
    </r>
    <r>
      <rPr>
        <sz val="11"/>
        <color theme="1"/>
        <rFont val="Quattrocento Sans"/>
      </rPr>
      <t xml:space="preserve"> Informe pendientes</t>
    </r>
  </si>
  <si>
    <r>
      <rPr>
        <b/>
        <sz val="11"/>
        <color theme="1"/>
        <rFont val="Quattrocento Sans"/>
      </rPr>
      <t xml:space="preserve">H18  </t>
    </r>
    <r>
      <rPr>
        <sz val="11"/>
        <color theme="1"/>
        <rFont val="Quattrocento Sans"/>
      </rPr>
      <t>Informe de control salida de correos:</t>
    </r>
  </si>
  <si>
    <t>*06/12/2024 trabajando en encolamiento..
*10/12/2024  organizar campos según estructura</t>
  </si>
  <si>
    <r>
      <rPr>
        <b/>
        <sz val="11"/>
        <color theme="1"/>
        <rFont val="Quattrocento Sans"/>
      </rPr>
      <t xml:space="preserve">H19 </t>
    </r>
    <r>
      <rPr>
        <sz val="11"/>
        <color theme="1"/>
        <rFont val="Quattrocento Sans"/>
      </rPr>
      <t>Configuración del correo electrónico</t>
    </r>
  </si>
  <si>
    <t>*05/12/2024 La cuenta de correo gestion.farmaceutica@segurosbolivar.com. Ya se encuentra configurada.
09/12/2024 estima finalizar informes para el 10 de diciembre</t>
  </si>
  <si>
    <t xml:space="preserve">Ajustes pruebas test medicamentos </t>
  </si>
  <si>
    <t>16/12/2024 pendientes realizar  ajustes envidenciados 13 de diciembre
17/12/2024 : se suben cambios a test para  pruebas.
19/12/2024 Se completaran ajustes pendiente para  la entrega.
20/12/2024 Finalizar ajustes.</t>
  </si>
  <si>
    <t>Validar lector de  correo y creación actividad</t>
  </si>
  <si>
    <t>20/12/2024 Iniciara con la logica  para los casos que generan devolucion 
23/12/2024 ontmi
26/12/2024 Continua  con la  gestion de lectura de corregir
27/12/2024 se creo endpoint  para la logica de los  correos devueltos.
30/12/2024 Quitar funciones innecesarias y  pruebas locales, y crear modal al usuario que gestiono el caso y pueda corregir el correo de envio que genero la devolución.
02/01/2025 hacer pruebas y subir a test.
03/01/2025 creacion de vista de envio de correos, pendiente subir reenvio de correos.
08/01/2025 Cambios subidos test el 7 de Enero para pruebas</t>
  </si>
  <si>
    <t>Mejoras según entrega a Bilivar</t>
  </si>
  <si>
    <t>27/12/2024 Continua con los ajustes indicados en la entrega del requerimiento a  bolivar.
27/12/2024 Quitar campos sobrantes y adición de los  campos  nuevos. El 26 de diciembre se escala control de cambios en test MDSB-733905 quedo ejecutado correctament.
27/12/2024 Mejoras  en  test para pruebas.
07/01/2025 Trabajara en puntos enviados  por Liyibet
08/01/2025 pustos listos  para pruebas.</t>
  </si>
  <si>
    <t>Ajustar los pediodos en la carta que se envia al cliente</t>
  </si>
  <si>
    <t xml:space="preserve">21/01/2025 En test para pruebas </t>
  </si>
  <si>
    <t>MDSB-752072 Error en el funcionario asignado en los casos  del  informe efectividad de  Gestión Control Conciliación UGPP</t>
  </si>
  <si>
    <t>El informe funciona correctamente "Se realizó la validación del tablero de efectividad de Gestión Control Conciliación UGPP y no se identificaron inconsistencias.
Para que un caso aparezca como cerrado en el tablero, debe cumplir con la condición de tener la actividad "Generación de Respuesta" en estado cerrado y registrara el usuario que realizó dicho cierre."</t>
  </si>
  <si>
    <t>Query de información incapacidades (Primer formulario)</t>
  </si>
  <si>
    <t>05/02/2025  Entregado a Liyibet</t>
  </si>
  <si>
    <t xml:space="preserve"> JIRAS MDSB-753991 y MDSB-755565, No registra empresa a la que esta afiliado el trabajador  los casos 30311197 y 30334336 (Drummond NIT 800021308) y no se visualizan los  casos por consulnta  pot CC</t>
  </si>
  <si>
    <t>05/02/2025 La incidencia se ocaciono por un espacio al final del numero de documento registrado en la tabla.</t>
  </si>
  <si>
    <t>MDSB-753221 caso 30310430 radicado por el  buzon no muestra la Empresa a la que esta activo el trabajador</t>
  </si>
  <si>
    <t>GD772-46 REQ DE MEDICAMENTOS (Estabilizacion producción)</t>
  </si>
  <si>
    <t>ajustar trazabilidad ( muestra diferente a la del caso)</t>
  </si>
  <si>
    <t xml:space="preserve">Ajustar usuario Interner aparece en la gestion </t>
  </si>
  <si>
    <t>Errores de correso duplicados 472</t>
  </si>
  <si>
    <t>Manejando la exceocion de los errores.</t>
  </si>
  <si>
    <t>12/02/2025 Se realizan ajustes, Guardando en la tabla  correos con error</t>
  </si>
  <si>
    <t>Query de incapacidades para  incluir en API de  recobros</t>
  </si>
  <si>
    <t xml:space="preserve">Creación  bitácora  de pensiones </t>
  </si>
  <si>
    <t>ESTIMACION</t>
  </si>
  <si>
    <t xml:space="preserve">Creacion de tabla </t>
  </si>
  <si>
    <t>09/01/2025 Se escala control de cambios en test MDSB-740424
10/01/2025 El codigo esta terminado al pendiente de la ejecucion del control de cambios en test
13/01/2025 Control de cambios ejecutado correctamente.
14/01/2025 se realizan pruebas en test y ya se encuentra funcional
20/01/2025 se escala jira MDSB-746991 para control de cambios en PRD
24/01/2025 Pendiente que cristian suba evidencias al jira, ingresa de vacaciones el lunes 27 de enero
31/01/2025 pendiente subir evidencia de las  pruebas en test  de parte de PO
12/02/2025 control de cambio aprobado se ejecutara 4:30pm.
13/02/2025 Se realiza despliegue a produccion.</t>
  </si>
  <si>
    <t>Revisar archivos temporales del servidor  de portales para que no se llene.</t>
  </si>
  <si>
    <t xml:space="preserve">Implementar validacion para la eliminación de archivos temporales </t>
  </si>
  <si>
    <t>13/02/2025 Se ajusto el cron para que eliminara los archivos que llevaran mas de 7 dias.</t>
  </si>
  <si>
    <r>
      <rPr>
        <b/>
        <sz val="11"/>
        <color theme="1"/>
        <rFont val="Quattrocento Sans"/>
      </rPr>
      <t xml:space="preserve">MDSB-670944 </t>
    </r>
    <r>
      <rPr>
        <sz val="11"/>
        <color theme="1"/>
        <rFont val="Quattrocento Sans"/>
      </rPr>
      <t>validar reenvio de casos (Cuenta novedades)</t>
    </r>
  </si>
  <si>
    <t>*31/10/2024 se realiza validación con Danilo y se evidencia que la cuenta esta inhabilitada, se espera activación  para realizar validación  nuevamente
*31/10/2024 se realiza Validación y se evidencia que la cuenta esta inhabilitada, Se realizara nueva validación del reenvió después de que la cuenta este activa nuevamente .
*06/11/2024 La  cuenta  ya se encuentra habilitada   para  realizar nuevamente la  validación del  reenvió.
*12/11/2024 Reinicia  Validación.
*13/11/2024 Danilo realiza pruebas  y la cuenta esta funcionado correctamente, se debe validar codigo desde nativo.
*20/11/2024 Se realizar nueva validación  sin obtener resultados exitosos, Caso problema
14/02/2025 Tras la salida del req de comunicados de  cartera la cuenta no se utilizara mas para los reenvios.</t>
  </si>
  <si>
    <t>Ajuste informe de pendientes de cuidado al trabajador ( Saltos  de linea)</t>
  </si>
  <si>
    <t>18/12/2024 Pendiente envio de casos que se deben ajustar de parte de Fabio
19/12/2024 se envia casos  que presentan error en el informe(Fabio).</t>
  </si>
  <si>
    <t>Validar consumo de digital</t>
  </si>
  <si>
    <t>30/01/2025 En pruebas.
31/01/2025 pendiente envio de la URL para  realizar el  consumo.</t>
  </si>
  <si>
    <t>Migraciaón Digital a Nativo</t>
  </si>
  <si>
    <t>*28/10/2024 se requiere una segunda sesion de entendimiento con Jenry.
*29/10/2024 Validación de dudas con Jairo.
*30/10/2024 Esta en la migración de servicios a nativo.
*31/10/2024 Entrega hoy en la tarde para revision con Jenry en local..
*01/11/2024 falta  procesos de calificacion y ver pdf,  aclarara dudas con Jairo de tema procedimental .
*05/11/2024 probar consulta de documento y radicacion del caso.
*06/11/2024 subir a dev para mostrar a Jenry
*07/11/2024 Requerimiento en DEV  para validar con jenry
03/01/2025 Cambios de subidos a tets que generaban conflicto.
08/01/2025 Validar creación de casos 
10/01/2025 Se encuentra validando el porque no esta generando los dos  casos.
14/01/2025  13 de enero sube ajustes a test  para  realizar pruebas 
27/01/2025 Realizara validación del porque los  casos creados no se replican en Nativo
28/01/2025 solucionar error en insert de los  casos, se bube solucucion a test.
29/01/2025 realizar  pruebas..
31/01/2025 se detiene  para  dar  paso 
05/02/2025 Se realizara sesion para  realizar paso a paso.
06/02/2025 Tras la sesion, se debe ajustar notificacion de de descarga  de pdf y la marcación de los casos en Nativo</t>
  </si>
  <si>
    <t>Lectura de archivos en python en el ambiente DEV</t>
  </si>
  <si>
    <t>Montar ambiente dev en local</t>
  </si>
  <si>
    <t>LOCAL</t>
  </si>
  <si>
    <t>*20/11/2024 Validando error.
22/11/2024 requerimiento funcional, pendiente realizar ajuste para guardar datos en base de datos 
27/11/2024 Continuara al terminara ajustes de 472.
*28/11/2024 Ajustes en la busqueda de documentos.
*02/12/2024 implementado modelo de clasificación de información = ok, se estima entrega hoy  hacia el medio día.
*03/12/2024 validar modelo implementado ya que la información no la clsifica de manera consistente.
*04/12/2024 Debe  cambiar modelo de busqueda de acuerdo a sesion con Faber.
*05/12/2024 ya estrae información  consistente, estan en pruebas con mas incapacidades. (falta mostrar  dias y el codigo de diagnostico), se realizara sesion con Jenry para validar avance.
*09/12/2024 Revisar con Danilo y Jairo se realizaron  pruebas en servidor de Jairo y funciono correctamente.
*10/12/2024 se realizara despliegue a dev  en la tarde para pruebas.
*10/12/2024 generar los  campos  adicionales.
17/12/2024 Pendiente  prueba de los nuevos campos y ajustar para que solo traiga el texto netamnete de la  incapacidad
18/12/2024 Implementar validacion para la extraccion de solo la información de la incapacidad, se realizara sesion 18 de diciembre para iniciar despliegue a dev.
19/12/2024 se realizara despliegue a produccion para prueba ya que no es posible desplegar en dev por temas de recursos insuficientes..
20/12/2024 pruebas de lectura de documentos.
23/12/2024 Prue finalizadas exitosaas
30/12/2024 Crear una linea de comandos  para tomar la ruta de la  imagen.
02/01/2025 pruebas  
03/01/2025 se suben cambios 
07/01/2025 Reaizara pruebas de implementación den  produccion con  Danilo
08/01/2025 Ajustar respuesta del Json 
14/01/2025 Conexion para traer adjuntos de la db por consola y enviarlos a la API
15/01/2025 Implemnetado ruta para acceder a los archivos de manera externa.
20/01/2025 Se desplego a produccion el 17 de enero, se debe validar generación del Json
23/01/2025 realiza cambios en el api, y realizara pruebas con mas modelos...para paso a produccion.
27/01/2025 subira  cambios  para pruebas en  produccion 
28/01/2025 en produccion para  pruebas 
31/01/2025 Validar errores evidenciados en la Reu con Danilo y Jairo.( Se genera un bucle al guardar los datos)
04/02/2025 En pruebas  de cambios  al momento de enviar datos ( No envia el texto).
05/02/2025 listo  para subir a producción  y  pruebas.
06/02/2025 Pendiente completar despliegue a produccion y realizar pruebas con Jairo</t>
  </si>
  <si>
    <t>Generar log en cada una de las etapas para validar el tiempo de ejecucion.</t>
  </si>
  <si>
    <t>*12/12/2024 En pruebas locales
16/12/2024 ya se encuentran realizados  y muestra los  porcentajes en cada etapa, Se requiere Pasar a dev.</t>
  </si>
  <si>
    <t>Corrección de información registrada erradamente en Imagine</t>
  </si>
  <si>
    <t>SIN ASIGNAR</t>
  </si>
  <si>
    <t>MDSB-660738 Error en generación de plano ARPTRAD</t>
  </si>
  <si>
    <t>Ajustar recepción del archivo de acuerdo a la nueva estructura.</t>
  </si>
  <si>
    <t>* 10/10/2024 Se cancela jira de incidencia MDSB-660738, Pendiente que Bolívar radique el  requerimiento con el  histórico de trabajadores para la  actualización en  imagine.</t>
  </si>
  <si>
    <t>DETALLE DE LAS  IMÁGENES COBRADAS (Estadistico de facturación)</t>
  </si>
  <si>
    <t>Modificación en la copia de información del fs al S3</t>
  </si>
  <si>
    <t>Hacer un script para cambiar la forma en que se están copiando las imágenes</t>
  </si>
  <si>
    <t>13/01/2025 termina el script  pero se deben realizar algunas modificaciones…
14/01/2025 La implementación se podra realizar hasta que aws defina si hay otra manera de ejecutarlo.</t>
  </si>
  <si>
    <t>Vulnerabilidad DDS- DOS de portales (denegación de servicio distribuido)</t>
  </si>
  <si>
    <t>14/01/2025 continua con la implementación, se estima 2 semanas.
15/01/2025 continuara con la  implementación.</t>
  </si>
  <si>
    <t>Validación de incidentes en cargue de envios en produccion</t>
  </si>
  <si>
    <t>06/02/2025 Continua con ajustes.
07/02/2025 Implementar otra opcion para ejecutar la  linea de codigo  para la creacion de casos usar las funciones  exec y system.
10/02/2025 paso a produccion los ajustes el 7 de febrero, pero hoy reportan nuevamente problemas al generar los  casos al parecer es problema de  cron tab.</t>
  </si>
  <si>
    <t>API, peticiones GET generan errores en el CloudFront (Recobros)</t>
  </si>
  <si>
    <t>Solicitar a bolivar permisos para hacer las peticiones GET en ambientes bajos</t>
  </si>
  <si>
    <t>11/12/2024 se reaiza solicitud de permisos bajo el  jira MDSB-724459
12/12/2024 A no se optine  respuesta a la  solicitud.
30/12/2024 Ajustar el host viirtual</t>
  </si>
  <si>
    <t>Implementación del host virtual  (1 Dia)</t>
  </si>
  <si>
    <t>07/01/2025 el sitio de desarrollo no esta funcionando  por tanto se escala  jira  reportando la incidencia.
10/01/2025  el dominio es tabien  creado solo que esta apuntado a una IP que no debe ser, Se escala jira  MDSB-740596 para actualizar el registro 
13/01/2025 Validar si la ectualizacion requerida ya ha sido resuelta.
22/01/2025 dan respuesta al  jira MDSB-738879 indicando que el acceso a dev ha quedado  habilitado.
23/01/2025 genera error en la implementacón, se debe validar que tipo de rerror es 
27/01/2025 Hoy  Wilson y Danilo validaran el error originado al enviar la peticion desde  Postman a Imaginex.
28/01/2025 En pruebas se identifican problemas en el cifrado externo, se solicita a Redes la verificacion del dominio bajo en jira MDSB-751187
29/01/2025 Radicar jira a infraestructura  para  validación del error..
30/01/2025 validar si es posible  cambiar el metodo..
14/02/2025 Quedo ajustado los errores.</t>
  </si>
  <si>
    <t>Ajustar archivo de pagos (reembolsos)</t>
  </si>
  <si>
    <t>27/01/2025 entregar a Jenry para subir aproduccion 
28/01/2025 Organizar botones en la  gestion (Organizando la logica del archivo)
29/01/2025 se pasara a produccion corriendo archivo con filtro para las pagadas y se actualizara test.
30/01/2025 Falta correr los rechazon, Glosas parciales y bolivar validara los de check para correlos.
31/01/2025, El 30 de enero se sube reporte glosa parcial, Pendiente los  rechazos
07/02/2025 Cambio de la logica del flujo  para dejarlo en analista ( rechazos), se pasara hoy al sitio para vallidación 
10/02/2025 se pasara hoy a produccion  y se validara con Jenry.
11/02/2025  se pasara hoy a produccion,
12/02/2025 se subira a produccion.
13/02/2025 Pendiente resolucion de dudas, sesion 9:30 am.
14/02/2025 se deben realizar difrentes cambios  para que reciba primero un documento y luego el otro.
17/02/2025 archivo listo para  pasar a produccion con los cambios  realizados.
18/02/2025 Se corrige carta de  devoluciones.</t>
  </si>
  <si>
    <t xml:space="preserve"> MDSB-764326 incluir a CC 1019137718 Laura Pinzón en  el tablero de efectividad de Servicio - Acogida y Cercanía</t>
  </si>
  <si>
    <t>19/02/2025 Usuaria incluida en el tablero, pendiente que registren los casos pendientes y cerrados.</t>
  </si>
  <si>
    <t xml:space="preserve"> MDSB-758207 error en consulta de trabajadores para El trabajador CC 382286 </t>
  </si>
  <si>
    <t>19/02/2025 pendiente ajustar empresa asignada al caso 30375027</t>
  </si>
  <si>
    <t>MDSB-756755   error en consulta de trabajadores para El trabajador CC  Martha Liliana</t>
  </si>
  <si>
    <t>19/02/2025 pendiente ajustar empresa asignada al caso 30313251</t>
  </si>
  <si>
    <t>Radicación de facturas con zip con subcarpetas</t>
  </si>
  <si>
    <t>19/02/2025 En pruebas.</t>
  </si>
  <si>
    <t>Copiar paginas, rutas de yii  que se pasaran a  laravel para  posterior enliminacion</t>
  </si>
  <si>
    <t>Alistar requerimiento  para pasar a produccion</t>
  </si>
  <si>
    <t>10/02/2025 Se debe realizar el paso a produccion.
11/02/2025 Se realiza paso a produccion 10 de febrero, y se validaran hallazgos en validacion de funcionamiento</t>
  </si>
  <si>
    <t>268 Casos que en el informe indica que no son  de AFIN y que en realidad si lo son</t>
  </si>
  <si>
    <t>21/02/2025 Los caso reportados en informe de medicamentos como no AFIN, en la validación  se identifican que si son de AFIN, la radicacion de estos  casos no se concluto por un error de correo presentado el dia 12 y 13 de  febrero, los casos seran borrados ya  que los usuario realizaron una segunda radicación de forma efectiva.</t>
  </si>
  <si>
    <t>No permite la gestionar la devolucion (Validar error de adjunto)</t>
  </si>
  <si>
    <t>12/02/2025 Revisando error de adjuntos ya que en la devolución no hay adjuntos.
14/02/2025 Continua con la validación, Se valido el codigo y esta bien.</t>
  </si>
  <si>
    <t>Error 500 al  reasignar desde usuario Internet.</t>
  </si>
  <si>
    <t xml:space="preserve">Caso 30432276 radicado sin numero de cedula y nombres, Nuevo caso30470385 </t>
  </si>
  <si>
    <t>14/02/2025 se identica que son casos que se estan radicando dobles y el duplicado radica sin algunos  datos.
18/02/2025 reportan nuevo caso 30470385  
19/02/2025 se implementara una condicional en portales  para la validacion de campos vienen al  crear al caso.
20/02/2025 se suben ajustes a prd el 19 de febrero</t>
  </si>
  <si>
    <t>Nuero de contacto no salio en la atorizacion  total, caso 30431258.</t>
  </si>
  <si>
    <t>Otorga permisos de consulta a 468 usuarios de medicamentos.</t>
  </si>
  <si>
    <t>13/02/2025 Se le asignan permiso de consulta a los 468 usuarios.</t>
  </si>
  <si>
    <t>Correo AFIN se esta enviando sin datos y sin adjuntos.</t>
  </si>
  <si>
    <t>Caida ambiente de desarrollo</t>
  </si>
  <si>
    <t>24/02/2025 cuando se sube el servicio de phppm, depende de unos directorios, de unas carpetas, y había una de esas carpetas que no estaba creada, o se había Borrado, Tocó crearlo, otorgarle permisos y subir nuevamente el servicio</t>
  </si>
  <si>
    <t>MDSB-757942 radicado 30954156  asociado a sisalud 7532107 no se encuentra.</t>
  </si>
  <si>
    <t>11/02/2025 el caso aparece en la  tabla Rad_solicitudes si aparece el  caso pero en la  tabla red_incapacidades no esta el  caso.
12/02/2025 Se buscara el ID del caso para buscar la  información  para  hacer la  insersion.
14/02/2025 a un no se ha encontrado la causa de la desaparicion del caso, se solicita que se revise con la usuaria si al momento de radicar sele presento algun error o si se pueden obtener la  imagenes para radicar el caso manual.
24/02/2025 : Edison envia la  imagen de la incapacidad para  crearla de nuevo en el  portal
25/02/2025: Tras realizar diversas validaciones no se evidencian las causasde la desaparicion del caso, la sra Nini sabogal  nos informa que la empresa radicó el caso 30968621, generando el radicado 7585377 y dejando como glosado el 7532107, lo que permite dar continuidad a la gestión.</t>
  </si>
  <si>
    <t>Consulta de casos antiguos en el nuevo portal</t>
  </si>
  <si>
    <t>EN PRODUCCIO</t>
  </si>
  <si>
    <t>19/02/2025 ya se pueden consultar los casos antiguos,  falta mostrar adjuntos y detalle de trazabilidad..
20/02/2025 Ya se pueden ver los casos y adjuntos, pendiente mostrar la trazabilidad.
21/02/2025 Se encuentra en finalización de configuraciones esenciales para la consulta de casos antiguos de medicamentos en el nuevo portal, se estima implementar esta consulta en producción el 21 de febrero
24/02/2025 El 21 de febrero se sube a produccion</t>
  </si>
  <si>
    <t>Pruebas en test MDSB-707440 - Portal Reembolsos ARL</t>
  </si>
  <si>
    <t>25/02/2025 Se finalizan las pruebas confirmando que el sistema cumple con los criterios establecidos en aspectos clave como la validación de solicitudes, la inscripción y modificación de cuentas bancarias, la carga de adjuntos y la consulta de casos.</t>
  </si>
  <si>
    <t>No se evidencia trazabilidad y detalle en los  casos 30499547 - 30378640 de medicamentos.</t>
  </si>
  <si>
    <t>FINALIZADA</t>
  </si>
  <si>
    <t>25/02/2025 Se encuentra en validación de la  incidencia.
26/02/2025 La incidencia ha quedado solucionada, se presento por temas de cache.</t>
  </si>
  <si>
    <t>Ajustes informe Reembolsos Salud</t>
  </si>
  <si>
    <t>26/02/2025: Se ajusta informe para que muestra la  última fecha de gestión del analista o del auditor.
27/02/2025: Se subira a test para realizar entrega al cliente.
28/02/2025: Se realiza entrega de ajustes del informe al cliente en el ambiente de producción</t>
  </si>
  <si>
    <t xml:space="preserve">Ajustar Caso 30521678: Asignado a usuario internet sin trazabilidad 
</t>
  </si>
  <si>
    <t xml:space="preserve">28/02/2025: Validar porque si dos personas tienen igual cantidad de casos, no se asigna ninguno. Planea ajustar el query para asignar a cualquiera en caso de empate.
</t>
  </si>
  <si>
    <t>Crear manual doble factor de autenticación en Laravel dev</t>
  </si>
  <si>
    <t>24/02/2025 Al momento de ingresar al ambiente dev, indica que el servicio no está disponible,Se le notifica a Jesús para la solución.
26/02/2025 Se realiza entrega del manual a Liyibet y Jenry, se recibe retroalimentación para  ajustes.
27/02/2025: Se incluyen requicitos previos antes de activar el doble factor de autenticación
28/02/2025: Se incluyen requicitos previos antes de activar el doble factor de autenticación, y se realizara envio del manual al cliente.</t>
  </si>
  <si>
    <t xml:space="preserve">Caso 30965971: Incapacidades inexistentes
</t>
  </si>
  <si>
    <t xml:space="preserve">28/02/2025: Del area de incapacidades reportan un caso que no existe al consultarlo en el aplicativo, Se debe destinar un buen tiempo para su validacion.
03/03/2025: Se recupera el caso y se realiza un cambio (eliminar o comentar el "delete") para evitar que se pierdan incapacidades al pasar entre actividades.
</t>
  </si>
  <si>
    <t>Ajustar aplicación Nativo en local:</t>
  </si>
  <si>
    <t>24/02/2025: Al descargar el repositorio encontro cinco archivos de de 472 de nativo que tienen un signo de interrogación y requiere renombrarlos.
25/02/2025 Continua la organización del sitio, se estima que este listo para el 25 de febrero.
25/02/2025 Se descargar el repositorio haciendo que Git ignorara los archivos con problemas, Se instalaran los Composer para poder iniciar con las tareas de Nativo.
26/02/2025:En actualización de la  base de datos con las tablas nuevas
27/02/2025: Continua con la actualizacion de la base de datos.
28/02/2025: creó nuevos campos y tablas, estabilizando hasta la vista de informes sin errores en local.
03/03/2025: El viernes no hubo avance debido a que a que se dedico a validar los incidentes  reportados por medicamentos, hoy continuara  con el desarrollo
04/03/2025: Estabilizó Nativo en su local, creando 50 casos de prueba para generar datos y validar informes; ya está completamente funcional en su entorno.</t>
  </si>
  <si>
    <t xml:space="preserve">Manual bitacora de pensiones </t>
  </si>
  <si>
    <t xml:space="preserve">27/02/2025: Inicia con el desarrollo
03/03/2025: Se finaliza manual y se realiza envio al cliente. </t>
  </si>
  <si>
    <t xml:space="preserve">Manual boton de devolución </t>
  </si>
  <si>
    <t xml:space="preserve">28/02/2025: Se iniciara al finalizar manual de Bitacora
03/03/2025 Se finaliza elaboración de manual de usuario y se entrega a Liyibet. </t>
  </si>
  <si>
    <t>Enviar informacion a cristian de la devolucion  de actividades.</t>
  </si>
  <si>
    <t>Control de cambios test  MDSB-772562 para  Req  GD772-83  GD772-85</t>
  </si>
  <si>
    <t>03/03/2025 Se escala control de cambios, Control ejecutado con éxito</t>
  </si>
  <si>
    <t>MANUAL FLUJO DE ENVÍOS MASIVOS EN IMAGINE</t>
  </si>
  <si>
    <t>13/02/2025 se inicia la elaboracion del manual con las tipologias ajustadas en el requerimiento de comunicados de cartera.
25/02/2025 se estima entrega el 26 de febrero.
26/02/2025 Se realiza envio del  manual a Liyibet para su validación y aprobación.</t>
  </si>
  <si>
    <t>Escalar control de cambios en test para Req de doble factor de autenticación (MDSB-768688)</t>
  </si>
  <si>
    <t xml:space="preserve">24/02/2025 El control de cambios quedó escalado bajo el Jira MDSB-768688, Pendiente la creación del req caja de parte de Bolívar para asociarlo al control de cambios y que QA pueda aprobarlo
28/02/2025: Pendiente de parte de Bolivar la creacion del requerimiento caja 
03/03/2025 : El dia viernes 28 de febrero  Bolivar crea el requerimiento caja GD772-87 para adjuntarlo al control de cambios en test y continuar con el proceso.
04/03/2025: Control de cambios MDSB-768688 se encuentra en estado aprobacion QA de Bolivar, Se solicita gestion para la aprobación. </t>
  </si>
  <si>
    <t>Opcion de devolucion de actividades ( Pensionados)</t>
  </si>
  <si>
    <t>DEVOLUCION DE ACTIVIDAD (Sin actividades paralelas AVISADO Y JURIDICO)</t>
  </si>
  <si>
    <t>31/01/2025 Se subira a test para pruebas, se requiere enviar a Jesus listado de tipologias paralelas.
04/02/2025 Incluir  actividades paralelas
04/03/2025: Hoy se realizara paso del desarrollo al ambiente productivo
05/03/2025: Pendiente pasar a producción la devolución de actividades en pensionados, planeado para hoy.
05/03/2025;Se realiza paso a produccion.
06/03/2025: : Ayer subió a producción la devolución de casos en pensionados; probarán hoy un caso pendiente y entregarán resultados el viernes a Cristian.</t>
  </si>
  <si>
    <t>Abrir fljujo caso 30527802 PREAUTORIZACIONES POLIZA SALUD - Analista (incluido en reporte de casos con una sola actividad.</t>
  </si>
  <si>
    <t>05/03/2025: Se reportó un caso de salud en radicación sin avanzar; requiere añadir trazabilidad al flujo, pero Jesús desconoce el proceso exacto que realizaba Joan, se validará con Liyibet.
05/03/2025: Se abre flujo del caso reportado.
06/03/2025: Ayer abrió urgentemente la trazabilidad de un caso de Nativo que estaba solo en radicación, resolviéndolo en la tarde.</t>
  </si>
  <si>
    <t>Ajuste de error al descargar facturas de Birc</t>
  </si>
  <si>
    <t>07/03/2025 : Resolvió un error en la descarga de facturas de Birc cambiando el consumo, y ya funciona correctamente.</t>
  </si>
  <si>
    <t>Colocar manual en video en el portal de facturas</t>
  </si>
  <si>
    <t>07/03/2025: Tiene pendiente subir un video manual al portal de facturas, además de atender unas incidencias recientes.
10/03/2025 : Manual quedo en produccion el 7 de marzo.</t>
  </si>
  <si>
    <t xml:space="preserve">MDSB-775090 Revisar error en infrome de de seguimiento x actividad en nativo </t>
  </si>
  <si>
    <t>06/03/2025 : Presenta error en las fechas arrojadas en el informe y solicitan validacion urgente por motivos de auditoria a Bolivar.
07/03/2025: Hoy revisará un error en un informe de Nativo por un formato de fecha incorrecto que afecta cálculos de horas.
10/03/2025: El error fue solucionado el 7 de marzo, el error se debio a registros con fechas nulas que generaban un conflicto en el procesamiento del informe y se soluciono agregar una validación en el código para ignorar dichas fechas.</t>
  </si>
  <si>
    <t xml:space="preserve">https://github.com/Imaginesas/bolivar_migration/compare/hotfix/repararInformeArl?expand=1 </t>
  </si>
  <si>
    <t>Crear dos campos en nativo</t>
  </si>
  <si>
    <t>06/03/2025: Se debe validar con Jenry los campos que se deben adicionar.</t>
  </si>
  <si>
    <t>Revisar cargue de trabajadores en nativo que esta afectando la malla</t>
  </si>
  <si>
    <t>Revisar casos duplicados en informe viejos</t>
  </si>
  <si>
    <t>07/03/2025: Configuró tres informes (incluido el de Johanna) corrigiendo duplicados y errores de cantidades; se subirán a producción hoy a las 10 a.m.
10/03/2025: Ajuste desplegado a produccion el 7 de marzo</t>
  </si>
  <si>
    <t>https://github.com/Imaginesas/bolivar/compare/master...hotfix/estabilizacionMed02</t>
  </si>
  <si>
    <t>Informe de medicamentos ajustar según correo de  Johana</t>
  </si>
  <si>
    <t xml:space="preserve">06/03/2025: Se requiere adicionar y eleiminar campos en el informe de medicamentos.
10/03/2025: Ajuste desplegado a produccion el 7 de marzo, solo queda pendiente ajustar el nombre de la columna L a "Ciudad de residencia". </t>
  </si>
  <si>
    <t>Ajuste en la asignación de casos de Medicamentos( Creacion del Log)</t>
  </si>
  <si>
    <t>05/03/2025; el comando que se ejecuta en la noche (12:10 a.m.) no se ejecutó antes de anoche por posibles fallos del servidor o bloqueos, pero anoche sí funcionó. Añadirá logs para monitorearlo.
06/03/2025: El log ha sido creado y lo subira hoy a produccion.
07/03/2025: Creó un log para el comando de la noche de asignación de casos, que se subirá a producción hoy junto con otros cambios en la misma rama.
10/03/2025: Ajuste desplegado a produccion el 7 de marzo</t>
  </si>
  <si>
    <t>MDSB-777203 en la oficina virtual para autorizaciones   genera doble radicado para la misma tipología</t>
  </si>
  <si>
    <t>11/03/2025: Se confirma que la interfaz muestra un historial de radicaciones sin recargar la vista, lo que puede dar la impresión de que existen radicados duplicados, se concluye que no se trata de un error del sistema en la generación de radicados, sino de la forma en que se visualizan en la interfaz</t>
  </si>
  <si>
    <t>Ajuste en informe formato de hora en los campos gestión autorización y  total tiempo de autorización.</t>
  </si>
  <si>
    <t xml:space="preserve">11/03/2025: Cambio el formato de hora en el informe de medicamentos (de días y horas a solo horas),ajuste  desplegado hoy a produccion.
</t>
  </si>
  <si>
    <t>MDSB-753982  botón administrativo para poder asignar por malla</t>
  </si>
  <si>
    <t>06/03/2025: Este es un desarrollo que Jhoan Qiceno dejo en el ambiente Test el 11 de Febrero y el 12 de febrero se escalaron los controles de cambios para pasar aproduccion MDSB-762066 y MDSB-762083 los cuales estaban pendientes por aprobacion de Bolivar, fueron aprobados ayer 5 de marzo y estamos a la espere de que sean incluidos en el comite de control de cambios para su aprobacion final.07/03/2025
07/03/2025; Los controles de cambios fueron aprobados por el comite de cambios digitales y ejecutados con exito, se realizara despliege del codigo a produccion el lunes 10 de marzo.
11/03/2025: Jesus identifica la rama para realizar el paso a produccion  pero le presenta conflictos.
12/03/2025: Se realiza paso a produccion, se realiza sesion  para  validar errores en la asignación por malla y en la actualización de datos en producción. Se evidenció la necesidad de corregir mensajes incorrectos en la interfaz y mejorar la función que procesa las asignaciones. El equipo realizará pruebas locales y revisará permisos en producción para garantizar el correcto funcionamiento del sistema.
13/03/2025: Ayer desplegó en producción el ajuste de roles y permisos para asignación por malla, corrigiendo errores de campos distintos entre ambientes; ya está estable.</t>
  </si>
  <si>
    <t>AJUSTES  DE INFORMES DE PENDIENTES  Y  VOLUMENES  EN SALUD  DE NATIVO</t>
  </si>
  <si>
    <t>26/02/2025: Iniciara tan pronto finalice el ajuste del aplicativo Nativo en su equipo local
28/02/2025: Iniciara a trabajar en el informe mas complejo (Volumenes).
03/03/2025: El viernes no hubo avance debido a que a que se dedico a validar los incidentes  reportados por medicamentos, hoy continuara  con el desarrollo.
04/03/2025: Modificó el informe de volúmenes añadiendo fechas de inicio y fin, pero identificó un error en la tabla "Informe Gestión" que duplica datos al llenarse; no encontró el origen del llenado tras buscar en los ambientes y seguirá investigando.
05/03/2025: Reestructuró el informe de volúmenes, lo está probando en local y lo subirá a Dev hoy, pasando a Test si faltan datos reales.
06/03/2025: Planeaba subir los informes a producción hoy tras probar en local (50 casos creados), pero en Test y Develop no hay datos del negocio 2; solucionó un warning en producción y espera casos reales para validar
07/03/2025: Sube a produccion ajuste de informes el 6 de febrero
07/03/2025: Subió los informes a producción ayer a las 3:30 p.m., pero la vista sigue lenta (6,000 registros en la tabla); ajustará el orden de actividades para que la última (ej. cierre caso) aparezca al final, como en la trazabilidad del caso..
11/03/2025: Ajuste pendiente por pasar a produccion. 
13/03/2025: Ayer se despliego ajuste  del orden de actividades en el informes.</t>
  </si>
  <si>
    <t xml:space="preserve">https://github.com/Imaginesas/bolivar_migration/compare/master...hotfix/reportesParaProduccion?expand=1 </t>
  </si>
  <si>
    <t>GD772-91 Tipología sin flujo de radicación sisalud (Escalar dudas Reembolsos)</t>
  </si>
  <si>
    <t>06/02/2025 Se realizara sesion de entendimeinto del  req
07/02/2025 Pediente Sesion de entendimiento con Jenry, Iinicia  bajando el sitio Oficina vitual.
10/02/2025 continuara con las  estabilización del sitio
11/02/2025 Se inicia con el analisis y desarrollo del requerimiento.
12/02/2025 Detenido para solucionar error en solicitudes de cartera.
13/02/2025continua la creación de la tipologia y la gestion,
14/02/2025 Validar un archivo para la radicacion desde el portal e iniciara con la Gestion del flujo de la tipologia.
17/02/2025 Implementara la logica del  flujo
19/02/2025 falta pestaña de gestion.
20/02/2025 se estima hacer entrega en test.
21/02/2025 incluir consultas  para pasar a test, Se escala control de cambios en test. MDSB-767526
24/02/2025 control de cambios ejecutado pero presenta errores, se escala  un nuevo control de cambios MDSB-768725
25/02/2025 Se escala un nuevo control de cambios en test MDSB-769335, Control de cambios ejecutado con exito.
26/02/2025: El desarrollo correspondiente a la oficina virtual ya se encuenttra en test para realizar pruebas, y se continuara desplegandolo en Yii  para iniciar la creacion del flujo, se citara al  cliente  hoy 4 pm para motrar los avances
27/02/2025:Se encuentra en pruebas por Bolivar y se de el go para escalar el control de cambios a producion.
28/02/2025:Se encuentra en pruebas por Bolivar, Imagine queda al pendiente de el visto bueno para realizar el  paso a produccion.
03/03/2025: Se escala  control de cambios a produccion MDSB-772592.
04/03/2025 Imagine esta a la espera que Santiago cargue al requerimiento evidencias de pruebas para que el control de cambios continue su proceso.
06/03/2025: El control de cambios sigue pendiente de aprobación por QA; Santiago subió evidencias, y esperan la colaboración de Luz para avanzar en JIRA.
07/03/2025 ; Control de cambios MDSB-772592 aprobado por QA y se encuentra pendiente por aprobación de Aprobación PO / Usuario Final.
10/03/2025; El control de cambio se encuentra programado  para hoy al comité de cambios digitales
11/03/2025: El control de cambios para la nueva tipología ya se ejecutó; está listo para pasar a producción hoy.
12/03/2025: Realizara paso a producción al final de la tarde.
13/03/2025 : Se realiza paso a produccion ayer en la tarde,se notifica al  clente para  realizar pruebas funcionales.</t>
  </si>
  <si>
    <t xml:space="preserve"> Ajuste en descuadre glosa</t>
  </si>
  <si>
    <t xml:space="preserve">11/03/2025: bloqueará la edición del campo en el sistema para reflejar solo el valor exacto de la glosa previa, dejando ajustes posteriores en Access.
12/03/2025: 12/03/2025: El dia 11 de marzo se pausa desarrollo  ya que se encuentra trabajando en la presentación del modulo de facturas para Colmena
13/03/2025: Se encientra pendiente hasta finalizar los req GD772-85 Cambio en el 2do envio de EPS (Imprimir valores del IVA)  y GD772-72 Requerimiento Captura de datos e informe (Reembolsos).
14/03/2025: Reinicio los ajustes en la recepcion de la glosa y se va a hacer una corrección donde se editan los datos para que haga la validación de la cantidad.
17/03/2025: El viernes quedaron los ajustes en test, hoy se realizaran algunos ajustes para realizar el  paso a produccion.
18/03/2025: Se Ajustó ayer en la mañana una validación en producción para facturas con respuesta glosa y anticipo, corrigiendo descuadres (valor a pagar menos anticipo), ya que test no tiene datos suficientes.
</t>
  </si>
  <si>
    <t>Radicación de juntas</t>
  </si>
  <si>
    <t xml:space="preserve">17/03/2025 : Se propone implementar un cron para validar diariamente el grupo de Juntas, que falla sin causa clara, evitando depender de reportes externos; por ahora, se explorara  una consulta diaria mientras investiga la raíz del problema.
18/03/2025: Solucionó ayer un problema de radicación de juntas reportado por Liyibet, dejándolo resuelto.
</t>
  </si>
  <si>
    <t>Abrir flujo del caso 30588265 PREAUTORIZACIONES POLIZA SALUD - Analistas</t>
  </si>
  <si>
    <t>17/03/2025: El viernes realizo la apertura del flujo.
18/03/2025: Confirmó que el flujo del caso ya quedó abierto ayer tras revisarlo</t>
  </si>
  <si>
    <t xml:space="preserve"> MDSB-776307 Ajuste en envios masivos para las tipologias 3_comunicación Aviso Al Mintrabajo  y  constitucion en mora</t>
  </si>
  <si>
    <t>10/03/2025; Se debe validar porque en la carta de envio no se consolidad los trabajadores por periodos y muestra el desgloce de los trabajadores expuestos.
11/03/2025: Se realiza sesion con el cliente y se acuerda ajustar las notificaciones agrupando el total de trabajadores por periodo, ajuste en test para pruebas por Bolivar
13/03/2025: hoy el cliente probará en test para subirlo a producción tras validar.
14/03/2025: Se validó que las dos tipologías que presentaban error ya fueron corregidas. Sin embargo, al revisar el grupo completo de seis tipologías, se identificó una que aún no está agrupando correctamente. Se trabajará en su ajuste.
17/03/2025: El viernes corrigió una tipología de cargue masivo que fallaba desde hace meses; las 6 tipologías están bien en test, pendientes de subir a producción tras aprobación.
18/03/2025: Ayer se realiza paso a produccion de los ajustes tras aprobación  de Bolivar.</t>
  </si>
  <si>
    <t>Error en el cargue del archivo de trabajadores en imagine</t>
  </si>
  <si>
    <t xml:space="preserve">10/03/2025; Iniciara validacipon tan pronto termine con "El ajuste de envios masivos".
13/03/2025; Iniciara con la  validacion de errores.
14/03/2025: Se identificó y solucionó un error que desplazaba la información cuando había caracteres especiales como "ñ" o tildes. Se ajustó la decodificación para evitar este problema, e continuará trabajando en los otros dos problemas detectados en el proceso de carga.
17/03/2025: Continuara con las validaciónes tras terminar  MDSB-780227 Duplicación de actividades en Nativo.
18/03/2025: Ayer añadió una función para actualizar el estado (Activo/Retirado) de acuerdo al archivo que se cargue en imagine y revisó la actualización del NIT en el los casos; duda entre dos NIT en la tabla WF Radicación (NIT y NIT_empresa), y espera reunión para definir lógica antes de subir a test.
19/03/2025: Ayer probó con Fabio los dos primeros puntos en test (funcionan bien); para el tercer punto (actualización del NIT de empresa), propone un comando separado para evitar sobrecargar el cargue directo, ya que actualizar miles de registros en tablas relacionadas es pesado..
20/03/2025: Ayer revisó con Fabio el flujo en Nativo (correcto) y encontró en Yii un error por falta de "order by", trayendo la primera empresa en lugar de la última; lo corrigió, hoy a las 10 a.m. se paso a produccion  y se ralizaron pruebas  las cuales fueron exitosas. 
</t>
  </si>
  <si>
    <t xml:space="preserve">Errores en imágenes de facturas </t>
  </si>
  <si>
    <t>25/03/2025:  El viernes resolvió un problema con imágenes de las facturas ya que generaba un error al digitar.</t>
  </si>
  <si>
    <t>Ajuste de casos con error en nombre de empresa al radicar</t>
  </si>
  <si>
    <t xml:space="preserve">25/03/2025 : El viernes por la tarde se actualizó el NIT de empresa de 5 casos en Imagine reportados como erróneos; ya está resuelto
</t>
  </si>
  <si>
    <t>Vulnerabilidades - Cookie without HttpOnly flag set   Y   Cookie without Secure flag set</t>
  </si>
  <si>
    <t>18/03/2025 Tras entregar Radicación Express a Jenry, se dedicará a temas de seguridad, priorizados con fechas específicas
19/03/2025:  Ayer trabajó poco en vulnerabilidades, avanzó algo pero no lo terminó; hoy priorizará otras tareas antes de retomarlo.
20/03/2025:Ayer trabajó en estas vulnerabilidades, enfrentó inconvenientes y no las terminó; sigue en proceso sin avances significativos reportados hoy.
21/03/2025: Ayer implementó ambas vulnerabilidades y hoy las subirá a test; planea avanzar en otras vulnerabilidades, revisando las de alta prioridad para priorizarlas.
25/03/2025: mplementadas el viernes, pero no subidas a test; hoy las subirá junto con Weak Ciphers y mostrará cómo probarlas.
26/03/2025: Ayer subio la impementación a produccion.</t>
  </si>
  <si>
    <t xml:space="preserve">MDSB-752092 Error en el flujo de la tipología Dictamen PCL AFP y COMUN, y Acta de ejecutoria </t>
  </si>
  <si>
    <t>25/03/2025: Iniciará hoy la validación del comportamiento de estas tipologías.
26/03/2025: Ayer identificó y solucionó un error en la asignación de usuarios (campo "Tipo de asignación" no se llenaba como "Flujo"); ya está resuelto.</t>
  </si>
  <si>
    <t>MDSB-770809 La tipología Dictamen Jrci - Drummond asigna directamente desde buzón sin estar incluida en el lector de correos .</t>
  </si>
  <si>
    <t>25/03/2025 Iniciara tan pronto  termine con MDSB-752092 Error en el flujo de la tipología Dictamen PCL AFP y COMUN, y Acta de ejecutoria.
26/03/2025: Validó el código con Jairo, no encontró errores en la asignación; se identificó que fue asignada manualmente.</t>
  </si>
  <si>
    <t xml:space="preserve">Error en el asunto en la respuesta del caso 30690847 </t>
  </si>
  <si>
    <t>27/03/2025: No lo revisó ayer; lo hará hoy tras subir Malla CUPS a test.
28/03/2025: Ayer encontró que el módulo de correos (hecho por Jairo) falla por asuntos no obligatorios en tablas de Nativo; propone validar y usar un asunto por defecto, Al intentar a justar el caso se evidencia que el caso fue anulado por el usuario.</t>
  </si>
  <si>
    <t>Vulnerabilidades - Misconfigured Access-Control-Allow-Origin Header .</t>
  </si>
  <si>
    <t>28/03/2025:  Hoy continuará con esta vulnerabilidad si el control de cambios de Autorizaciones Médicas no se ejecuta; de lo contrario, priorizará pruebas de GD772-92.
31/03/2025: El viernes resolvió esta vulnerabilidad y la mostró a Fabio; ya está en producción, aunque las pruebas externas fueron complicadas y se hicieron internamente.</t>
  </si>
  <si>
    <t>Adicionar actividad devolución mail caso 30256921</t>
  </si>
  <si>
    <t>28/03/2025:Reportado por Leidy, el caso no activó la actividad de devolución tras una respuesta devuelta; lo abrirá hoy; La actividad quedo incluida.</t>
  </si>
  <si>
    <t>MDSB-788329 usuario Medicos Gici no permite realizar reasignación por tipologia.</t>
  </si>
  <si>
    <t>31/03/2025: Se identifica  que el usuario no tenia  el rol actualizado en la tabla de  usuarios.</t>
  </si>
  <si>
    <t xml:space="preserve">23/01/2025 Inicio de pruebas  para  pasar a test
31/01/2025 entregado a prubas Bolivar
26/03/2025: Bolivar requiere pasarlo a produccion y ocultar la opcion en el portal hasta que ellos lo indiquen
27/03/2025: Bolívar pidió ayer desplegarlo a producción con la pestaña oculto hasta que indiquen habilitarlo; es viable, se confirmara fecha de despliegue. 
28/03/2025: Listo para producción con botón oculto (solicitado por Bolívar); hoy revisará el código y rama para asegurar el despliegue.  
03/04/2025: ayer en la tarde Se realiza paso a produccion de acuerdo a la  indicación del cliente. </t>
  </si>
  <si>
    <t>https://github.com/Imaginesas/portales/compare/master...hotfix/juntasFase1?expand=1</t>
  </si>
  <si>
    <t>GD772-92 - Malla CUPS en Nativo</t>
  </si>
  <si>
    <t>GD772-92 Lectura de Autorizaciones Médicas con IA</t>
  </si>
  <si>
    <t>25/03/2025: Planea iniciar después del mediodía la validación  de como integrar con la Malla CUPS de Jesús, explorando el reconocimiento de documentos con IA. 
26/03/2025: Inició ayer y avanzó; hoy seguirá trabajando para mostrar progreso si no hay bloqueos. 
26/03/2025: Se escala control de cambios a test MDSB-787009 para la creación de un  trigger.
27/03/2025: Ayer trabajó en modificaciones para leer documentos al insertar solicitudes, solicitó el control de cambios MDSB-787009 para un trigger; coordinó con Jesús la URL para integrar CUPS, y hoy implementará y desplegará a test si se aprueba el control.
28/03/2025: Ayer terminó el consumo del endpoint, pero no puede probar hasta que se ejecute el control de cambios MDSB-787009; hoy espera su aprobación para desplegar a test y realizar pruebas.
01/04/2025 : Control de cambios MDSB-787009 aplicado, iniciara  con el paso a test e iniciar pruebas.
02/04/2025: Se realizaron cambios en la implementación de un servicio, se creó un nuevo servicio que utiliza un token de autenticación a través de Nativo.
03/04/2025: Ayer subió el cambio a test; tras aprobación del cliente, solicitó el control de cambios MDSB-790997 en producción para crear el trigger y avanzar al paso final.  
04/04/2025: Pendiente pruebas de Bolivar para continuar el avance del control de cambios.
07/04/2025: Pruebas adjuntas al  requerimiento y control de cambios MDSB-790997 pasa a Aprobacion QA de bolivar
09/04/2025: Ayer se desplegó a producción sin problemas; hubo una confusión con códigos de tipologías, ajustada con Jesús y Danilo en 5 minutos hoy; queda cerrado tras seguimiento.
10/04/2025:Ayer ajustó la lógica para que deje de leer un caso tras extraer el CUPS y pase al siguiente; el cambio se subió, validó durante el día y está en producción</t>
  </si>
  <si>
    <t>GD772-85 Cambio en el 2do envio de EPS (Imprimir valores del IVA)</t>
  </si>
  <si>
    <t>26/02/2025: se encuentra pendiente hasta terminar el req GD772-82 Tipología sin flujo de radicación sisalud y GD772-83 Boton Glosa parcial del total de la factura.
28/02/2025:está avanzado y listo para pruebas, pero tiene una duda sobre glosa parcial  ¿Cómo se trabajaría? ¿Qué se debería hacer? que resolverán en la reunión de hoy a las 11 a.m.
03/03/2025: El viernes 28 de febrero se aclaran dudas para lo cual se escala control de cambios en test MDSB-772562.Control ejecutado con exito
04/03/2025: Tras la ejecucion exitosa del control de cambios hoy trabajara en la estabilizacion en test logrando su finalizacion. 
05/03/2025: Está listo para pasar a test con validaciones de IVA, descuentos y glosas, ajustado para no exceder valores pagados o glosados, y se probará con Jenry generando archivo JSON.
06/03/2025: Está haciendo cambios para el IVA y JSON en test, pero detectó un fallo (busca 31 columnas cuando son 33), y planea resolverlo hoy con Jenry.
07/03/2025: Terminó el requerimiento en test y ayer hizo pruebas con Jenry, quedando listo para probar con el cliente.
11/03/2025: Pendiente agendamiento de sesion para realizar pruebas con el cliente.
13/03/2025: Está listo para pruebas en conjunto con el cliente a las 11 a.m., esperando que todo funcione bien tras preparativos de ayer.
14/03/2025; Se realiza presentación delrequerimiento al cliente y surge una  pequeña corrección en las tarifas del IVA, la cual fue ajustada en la tarde.
17/03/2025:Esta a la  espera  de envio de parte del cliente el envio de data  para realizar nuevamente las pruebas.
18/03/2025: Está listo para mostrar hoylos ajustes, pero no hay servicio en test, lo que podría afectar la presentación.
19/03/2025: Hay una reunión hoy con EPS, pero no enviaron escenarios; se mostrará lo disponible en test, esperando que Karol tenga acceso para presentarlo.
20/03/2025: Ayer no se mostró la información. Bolivar tenía la tarea de enviar escenarios para crear facturas, pero los envió justo antes de la reunión.Jairo se comprometió a entregarlos el martes, pero hoy habrá otra reunión para ajustarlos, ya que incluían solo procedimientos glosados o con IVA, generando glosas incorrectas.
26/03/2025:  Ayer organizó facturas y realizó una prueba exitosa con el cliente; hoy hay otra reunión con EPS para radicar glosas (últimos escenarios), y estaría listo tras eso.
27/03/2025: Ayer no hubo pruebas por falta de acceso  a test del usuario de bolivar (sin permisos de IP).
01/04/2025 : se espera  confirmación de despliegue a produccion para soicitar control de cambios.
03/04/2025:  Pendiente de respuesta de Bolívar sobre las pruebas, retrasadas por visita de la Superintendencia; sigue en espera.
09/04/2025: 09/04/2025: Se escala control de cambios MDSB-794007 a producción
10/04/2025: Ayer se aprobo el control de  cambios  MDSB-794007 y se ejecutara hoy a las 4 pm.
11/04/2025: Ayer pasó a producción junto con glosas parciales; Santiago fue notificado de los cambios.</t>
  </si>
  <si>
    <t>GD772-83 Boton Glosa parcial del total de la factura (El boton debe  permitir seleccionar cups para realizar glosa general)</t>
  </si>
  <si>
    <t>24/02/2025:Se encuentra hecha la tabla con los checks.
25/02/2025 : Inicia con la lógica para colocar botones en los campos read-only para que solo se editen según la tabla, y realizara pruebas de los checks que funcionen de manera dinamica.
26/02/2025 :Se encuentra en la ejecucion de las devoluciones y despejando algunas  dudas..
27/02/2025: Se realizara  paso a test  y solicitara sesion con el cliente para la entrega.
28/02/2025: Requerimiento en ambiente test, pendieinte que Bolivar de el espacio para realizarles la entrega.
03/03/2025: Se realiza entrega a Bolivar el 28 de febrero donde solicitan una modificación  en el descuento  para lo cual se debe realizar un cambio en la logica y se escala control de cambios en test MDSB-772562, Control aejecutado con exito
04/03/2025: Tras la ejecucion exitosa del control de cambios hoy trabajara en la estabilizacion en test logrando su finalizacion.
07/03/2025: Terminó el requerimiento en test quedando listo para probar con el cliente
05/03/2025: Se fusionó con GD772-85 (2do envío de EPS) para un desarrollo conjunto
06/03/2025: Ayer trabajó en el tema de glosas, pero en test aparece un error por columnas no encontradas en la base de datos, por lo que necesita corregirlo.
07/03/2025:Terminó el requerimiento en test  quedando listo para probar con el cliente.
11/03/2025: Está en test, vinculado con el req Cambio en el 2do envio de EPS; se espera la validación de la usuaria.
14/03/2025: A la espera del agendamiento de la sesion de parte del cliente para realizar la entrega.   
02/04/2025:Adiciono funcionalidad a las glosas de ARL
03/04/2025: Pasó a test la funcionalidad de seleccionar CUPS para glosa general en ARL; no se mencionan pendientes adicionales.
09/04/2025: Se escala control de cambios MDSB-794007 a producción
10/04/2025: Ayer se aprobo el control de  cambios  MDSB-794007 y se ejecutara hoy  a las 4 pm.
11/04/2025: Ayer pasó a producción con req GD772-85 IVA</t>
  </si>
  <si>
    <t>GD772-61 Manejo de IVa Facturas EPS (Incluye req GD772-72, GD772-85 y GD772-83 )</t>
  </si>
  <si>
    <t>09/04/2025: Se escala control de cambios MDSB-794007 a producción, se estima aprovacion hoy de comité de control de cambios, en este control de cambios se incluyen los cambios de los  req GD772-72, GD772-85 y GD772-83.
10/04/2025: Ayer se aprobo el control de  cambios  MDSB-794007 y se ejecutara hoy  a las 4 pm.
11/04/2025:Control de cambios ejecutado con exito y se realiza despliegue a produccion.</t>
  </si>
  <si>
    <t xml:space="preserve">MDSB-767213 Error en corrección de número de documento del caso (Nativo) </t>
  </si>
  <si>
    <t>03/04/2025: Revisó el error; el módulo de correcciones actualiza la razón social pero no el NIT; implemento solucion en local está haciendo pruebas para validar hoy en test.
04/04/2025: Ayer se ajustaron una funciones en el codigo que no permitian la actualizacion del cambio de nit, falta  revisar  una tipologia "Viaticos" radicada desde el portal que a un no esta tomando los  cambios implementados.
07/04/2025: Pendiente revisar  una tipologia "Viaticos" radicada desde el portal que a un no esta tomando los  cambios implementados.
10/04/2025: falta ajustar la lógica para la tabla de valores en otras tipologías; planea terminarlo hoy antes de las 10 a.m.
11/04/2025: Incidencia  ajustada y finalizada</t>
  </si>
  <si>
    <t>MDSB-753982</t>
  </si>
  <si>
    <t>botón administrativo para poder asignar por malla</t>
  </si>
  <si>
    <t>EN CONTROL DE CAMBIO PRD</t>
  </si>
  <si>
    <t>04/02/2025 Creando administrador de permisos para la vista de la asignación
05/02/2025 se en etregara  jueves 6 de febrero, detenido 
05/02/2025 Se detiene hasta resolver incidencias de comunicados de cartera en Prd.
10/02/2025 Se escalan controles de cambios a test (MDSB-760269  y MDSB-760283)
11/02/2025 Controles ejecutados correctamente, se realiza despliegue a test.
11/02/2025 pruebas exitosas en test, al pendiente de que Santiago relice las pruebas y de el go para paso a producción,
12/02/2025: Santiago adjunta evidencias de las pruebas en test y se escalan control de cambios a produccion MDSB-762066 y MDSB-762083, pendiente aprobacion de Santiago para que continue el proceso.
20/02/2025: QA de bolivar realiza aprobacion de los controles y  Santiago prieto realiza aprobación de PO, quedando pendiente  por aprobación de Jefatura de desarrollo de Bolivar (Juan David León Sánchez).
06/03/2025: Jefatura de desarrollo de Bolivar (Juan David León Sánchez) realiza aprobación  de control de  cambios.</t>
  </si>
  <si>
    <t xml:space="preserve"> Año Nuevo</t>
  </si>
  <si>
    <t xml:space="preserve"> Día de los Reyes Magos</t>
  </si>
  <si>
    <t xml:space="preserve"> Día de San José</t>
  </si>
  <si>
    <t xml:space="preserve"> Jueves Santo (Semana Santa)</t>
  </si>
  <si>
    <t xml:space="preserve"> Viernes Santo (Semana Santa)</t>
  </si>
  <si>
    <t xml:space="preserve"> Día del Trabajo</t>
  </si>
  <si>
    <t xml:space="preserve"> Día de la Ascensión</t>
  </si>
  <si>
    <t xml:space="preserve"> Corpus Christi</t>
  </si>
  <si>
    <t xml:space="preserve"> Sagrado Corazón</t>
  </si>
  <si>
    <t xml:space="preserve"> San Pedro y San Pablo</t>
  </si>
  <si>
    <t xml:space="preserve"> Día de la Independencia</t>
  </si>
  <si>
    <t xml:space="preserve"> Batalla de Boyacá</t>
  </si>
  <si>
    <t xml:space="preserve"> La Asunción de la Virgen</t>
  </si>
  <si>
    <t xml:space="preserve"> Día de la Raza</t>
  </si>
  <si>
    <t xml:space="preserve"> Día de Todos los Santos</t>
  </si>
  <si>
    <t xml:space="preserve"> Independencia de Cartagena</t>
  </si>
  <si>
    <t xml:space="preserve"> Día de la Inmaculada Concepción</t>
  </si>
  <si>
    <t xml:space="preserve"> Navidad</t>
  </si>
  <si>
    <t>Año Nuevo</t>
  </si>
  <si>
    <t>Día de los Reyes Magos</t>
  </si>
  <si>
    <t>Día de San José</t>
  </si>
  <si>
    <t>Jueves Santo</t>
  </si>
  <si>
    <t>Viernes Santo</t>
  </si>
  <si>
    <t>Día del Trabajo</t>
  </si>
  <si>
    <t>Ascensión de Jesús</t>
  </si>
  <si>
    <t>Corpus Christi</t>
  </si>
  <si>
    <t>Sagrado Corazón de Jesús / San Pedro y San Pablo</t>
  </si>
  <si>
    <t>Independencia de Colombia</t>
  </si>
  <si>
    <t>Batalla de Boyacá</t>
  </si>
  <si>
    <t>Asunción de la Virgen</t>
  </si>
  <si>
    <t>Día de la Raza</t>
  </si>
  <si>
    <t>Día de Todos los Santos</t>
  </si>
  <si>
    <t>Independencia de Cartagena</t>
  </si>
  <si>
    <t>Inmaculada Concepción</t>
  </si>
  <si>
    <t>Navidad</t>
  </si>
  <si>
    <t>Sagrado Corazón de Jesús</t>
  </si>
  <si>
    <t>San Pedro y San Pablo</t>
  </si>
  <si>
    <t xml:space="preserve">ASISTENCIA DAYLI </t>
  </si>
  <si>
    <t>INTEGRANTE</t>
  </si>
  <si>
    <t>SI</t>
  </si>
  <si>
    <t>no (Dia de la familia)</t>
  </si>
  <si>
    <t>No hubo sesion</t>
  </si>
  <si>
    <t>NO</t>
  </si>
  <si>
    <t xml:space="preserve">No hubo sesión </t>
  </si>
  <si>
    <t>NO HUBO SESION</t>
  </si>
  <si>
    <t>NO HAY SESION</t>
  </si>
  <si>
    <t>Vacaciones</t>
  </si>
  <si>
    <t>No hobo sesion por caida de los sitios.</t>
  </si>
  <si>
    <t>Dia de la familia</t>
  </si>
  <si>
    <t>Falla electrica</t>
  </si>
  <si>
    <t>LUIS BEDOYA</t>
  </si>
  <si>
    <t>SIN INTERNET</t>
  </si>
  <si>
    <t>JOHAN QUICENO</t>
  </si>
  <si>
    <t>Permiso</t>
  </si>
  <si>
    <t>sin internet</t>
  </si>
  <si>
    <t>TRABAJO HASTA HOY</t>
  </si>
  <si>
    <t>JENRY HENAO</t>
  </si>
  <si>
    <t>LIYIBET PEREZ</t>
  </si>
  <si>
    <t>nomina</t>
  </si>
  <si>
    <t>NOMINA</t>
  </si>
  <si>
    <t>Fecha  Caida</t>
  </si>
  <si>
    <t>Hora Inicio</t>
  </si>
  <si>
    <t>Hora Fin</t>
  </si>
  <si>
    <t xml:space="preserve">Duración </t>
  </si>
  <si>
    <t>Mesa de crisis</t>
  </si>
  <si>
    <t xml:space="preserve">Observaciones </t>
  </si>
  <si>
    <t xml:space="preserve">SI </t>
  </si>
  <si>
    <t>El balanceador se quedo sin Ips, se creo un nuevo cidr vinculado a la misma etc para extender las ips</t>
  </si>
  <si>
    <t>504 Gateway Time-out
INC-SOFTWARE-Imagine-MASTER - MDSB-827224</t>
  </si>
  <si>
    <t>La conexión SSH se ha terminado con un error.
Razón:
Clase de error: Desconexión SSH local (LocalSshDisconn),
CPor la aplicación (ByApplication),
Mensaje: FlowSshPacketDecoder: tiempo de espera por falta de respuesta.</t>
  </si>
  <si>
    <t>Encolar informe de efectividad de salud</t>
  </si>
  <si>
    <t xml:space="preserve">*02/10/2024 inicia  gestion.
*03/10/2024 Finalizar la consulta y realizar pruebas
* 07/10/2024 desarrollo en test  para  pruebas </t>
  </si>
  <si>
    <r>
      <rPr>
        <sz val="10"/>
        <color theme="1"/>
        <rFont val="Quattrocento Sans"/>
      </rPr>
      <t>*04/10/2024 pruebas
*</t>
    </r>
    <r>
      <rPr>
        <b/>
        <sz val="10"/>
        <color theme="1"/>
        <rFont val="Quattrocento Sans"/>
      </rPr>
      <t xml:space="preserve"> 07/10/2024 se entrega a Danilo para  pruebas y posterior despliegue a producción
* 09/10/2024 Confirmar entrega de rama a Danilo
* 10/10/2024 Etregadas a Danilo 9 de octubre, </t>
    </r>
  </si>
  <si>
    <t>Autocomplete Enabled (15 Y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</si>
</sst>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d&quot;-&quot;mm&quot;-&quot;yyyy"/>
    <numFmt numFmtId="165" formatCode="dd&quot;/&quot;mm&quot;/&quot;yyyy"/>
    <numFmt numFmtId="166" formatCode="dd/mm/yyyy"/>
    <numFmt numFmtId="167" formatCode="yyyy/mm/dd"/>
  </numFmts>
  <fonts count="121">
    <font>
      <sz val="12"/>
      <color theme="1"/>
      <name val="Quattrocento Sans"/>
      <scheme val="minor"/>
    </font>
    <font>
      <b/>
      <u/>
      <sz val="9"/>
      <color theme="1"/>
      <name val="Quattrocento Sans"/>
    </font>
    <font>
      <b/>
      <u/>
      <sz val="10"/>
      <color theme="1"/>
      <name val="Quattrocento Sans"/>
    </font>
    <font>
      <u/>
      <sz val="11"/>
      <color theme="1"/>
      <name val="Quattrocento Sans"/>
    </font>
    <font>
      <b/>
      <sz val="10"/>
      <color theme="1"/>
      <name val="Quattrocento Sans"/>
    </font>
    <font>
      <b/>
      <sz val="8"/>
      <color theme="1"/>
      <name val="Quattrocento Sans"/>
    </font>
    <font>
      <b/>
      <u/>
      <sz val="9"/>
      <color theme="1"/>
      <name val="Quattrocento Sans"/>
    </font>
    <font>
      <u/>
      <sz val="11"/>
      <color theme="1"/>
      <name val="Quattrocento Sans"/>
    </font>
    <font>
      <u/>
      <sz val="10"/>
      <color theme="1"/>
      <name val="Quattrocento Sans"/>
    </font>
    <font>
      <sz val="10"/>
      <color theme="1"/>
      <name val="Quattrocento Sans"/>
    </font>
    <font>
      <sz val="12"/>
      <color theme="1"/>
      <name val="Quattrocento Sans"/>
      <scheme val="minor"/>
    </font>
    <font>
      <sz val="12"/>
      <color rgb="FF000000"/>
      <name val="&quot;Quattrocento Sans&quot;"/>
    </font>
    <font>
      <u/>
      <sz val="10"/>
      <color theme="1"/>
      <name val="Quattrocento Sans"/>
    </font>
    <font>
      <b/>
      <sz val="9"/>
      <color theme="1"/>
      <name val="Quattrocento Sans"/>
    </font>
    <font>
      <b/>
      <sz val="12"/>
      <color theme="1"/>
      <name val="Quattrocento Sans"/>
      <scheme val="minor"/>
    </font>
    <font>
      <sz val="11"/>
      <color theme="1"/>
      <name val="Quattrocento Sans"/>
    </font>
    <font>
      <u/>
      <sz val="12"/>
      <color rgb="FF000000"/>
      <name val="&quot;Quattrocento Sans&quot;"/>
    </font>
    <font>
      <sz val="10"/>
      <color rgb="FF000000"/>
      <name val="&quot;Quattrocento Sans&quot;"/>
    </font>
    <font>
      <b/>
      <sz val="11"/>
      <color theme="1"/>
      <name val="Quattrocento Sans"/>
    </font>
    <font>
      <u/>
      <sz val="11"/>
      <color theme="1"/>
      <name val="Quattrocento Sans"/>
    </font>
    <font>
      <u/>
      <sz val="10"/>
      <color theme="1"/>
      <name val="Quattrocento Sans"/>
    </font>
    <font>
      <b/>
      <u/>
      <sz val="12"/>
      <color rgb="FFFFFFFF"/>
      <name val="Quattrocento Sans"/>
    </font>
    <font>
      <u/>
      <sz val="10"/>
      <color theme="1"/>
      <name val="Quattrocento Sans"/>
    </font>
    <font>
      <b/>
      <sz val="10"/>
      <color rgb="FF434343"/>
      <name val="Quattrocento Sans"/>
    </font>
    <font>
      <b/>
      <u/>
      <sz val="10"/>
      <color theme="1"/>
      <name val="Quattrocento Sans"/>
    </font>
    <font>
      <u/>
      <sz val="10"/>
      <color theme="1"/>
      <name val="Quattrocento Sans"/>
    </font>
    <font>
      <b/>
      <u/>
      <sz val="12"/>
      <color theme="1"/>
      <name val="Quattrocento Sans"/>
    </font>
    <font>
      <b/>
      <u/>
      <sz val="12"/>
      <color theme="1"/>
      <name val="Quattrocento Sans"/>
    </font>
    <font>
      <b/>
      <u/>
      <sz val="11"/>
      <color theme="1"/>
      <name val="Quattrocento Sans"/>
    </font>
    <font>
      <b/>
      <u/>
      <sz val="10"/>
      <color theme="1"/>
      <name val="Quattrocento Sans"/>
    </font>
    <font>
      <b/>
      <u/>
      <sz val="10"/>
      <color theme="1"/>
      <name val="Quattrocento Sans"/>
    </font>
    <font>
      <u/>
      <sz val="9"/>
      <color rgb="FF000000"/>
      <name val="Roboto"/>
    </font>
    <font>
      <u/>
      <sz val="11"/>
      <color rgb="FF000000"/>
      <name val="Quattrocento Sans"/>
    </font>
    <font>
      <b/>
      <u/>
      <sz val="10"/>
      <color theme="1"/>
      <name val="Quattrocento Sans"/>
    </font>
    <font>
      <u/>
      <sz val="11"/>
      <color theme="1"/>
      <name val="Quattrocento Sans"/>
    </font>
    <font>
      <b/>
      <u/>
      <sz val="12"/>
      <color theme="1"/>
      <name val="Quattrocento Sans"/>
    </font>
    <font>
      <b/>
      <u/>
      <sz val="12"/>
      <color theme="1"/>
      <name val="Quattrocento Sans"/>
    </font>
    <font>
      <u/>
      <sz val="11"/>
      <color theme="1"/>
      <name val="Quattrocento Sans"/>
    </font>
    <font>
      <b/>
      <u/>
      <sz val="12"/>
      <color theme="1"/>
      <name val="Quattrocento Sans"/>
    </font>
    <font>
      <b/>
      <u/>
      <sz val="9"/>
      <color theme="1"/>
      <name val="Quattrocento Sans"/>
    </font>
    <font>
      <b/>
      <u/>
      <sz val="12"/>
      <color theme="1"/>
      <name val="Quattrocento Sans"/>
    </font>
    <font>
      <u/>
      <sz val="10"/>
      <color theme="1"/>
      <name val="Quattrocento Sans"/>
    </font>
    <font>
      <u/>
      <sz val="11"/>
      <color rgb="FF000000"/>
      <name val="&quot;Quattrocento Sans&quot;"/>
    </font>
    <font>
      <u/>
      <sz val="12"/>
      <color rgb="FF000000"/>
      <name val="&quot;Quattrocento Sans&quot;"/>
    </font>
    <font>
      <u/>
      <sz val="12"/>
      <color rgb="FF000000"/>
      <name val="&quot;Quattrocento Sans&quot;"/>
    </font>
    <font>
      <u/>
      <sz val="10"/>
      <color theme="1"/>
      <name val="Quattrocento Sans"/>
    </font>
    <font>
      <u/>
      <sz val="10"/>
      <color theme="1"/>
      <name val="Quattrocento Sans"/>
    </font>
    <font>
      <b/>
      <u/>
      <sz val="10"/>
      <color theme="1"/>
      <name val="Quattrocento Sans"/>
    </font>
    <font>
      <b/>
      <u/>
      <sz val="9"/>
      <color theme="1"/>
      <name val="Quattrocento Sans"/>
    </font>
    <font>
      <b/>
      <u/>
      <sz val="12"/>
      <color theme="1"/>
      <name val="Quattrocento Sans"/>
    </font>
    <font>
      <u/>
      <sz val="11"/>
      <color theme="1"/>
      <name val="Quattrocento Sans"/>
    </font>
    <font>
      <sz val="12"/>
      <color theme="1"/>
      <name val="Quattrocento Sans"/>
    </font>
    <font>
      <b/>
      <u/>
      <sz val="12"/>
      <color rgb="FF434343"/>
      <name val="Quattrocento Sans"/>
    </font>
    <font>
      <u/>
      <sz val="12"/>
      <color rgb="FF11734B"/>
      <name val="Quattrocento Sans"/>
    </font>
    <font>
      <sz val="12"/>
      <color theme="1"/>
      <name val="Quattrocento Sans"/>
    </font>
    <font>
      <b/>
      <u/>
      <sz val="12"/>
      <color rgb="FF434343"/>
      <name val="Quattrocento Sans"/>
    </font>
    <font>
      <u/>
      <sz val="12"/>
      <color theme="1"/>
      <name val="Quattrocento Sans"/>
    </font>
    <font>
      <sz val="12"/>
      <color rgb="FF434343"/>
      <name val="Quattrocento Sans"/>
    </font>
    <font>
      <u/>
      <sz val="12"/>
      <color theme="1"/>
      <name val="Quattrocento Sans"/>
    </font>
    <font>
      <b/>
      <u/>
      <sz val="12"/>
      <color rgb="FF434343"/>
      <name val="Quattrocento Sans"/>
    </font>
    <font>
      <u/>
      <sz val="11"/>
      <color theme="1"/>
      <name val="Quattrocento Sans"/>
    </font>
    <font>
      <b/>
      <u/>
      <sz val="12"/>
      <color rgb="FF434343"/>
      <name val="Quattrocento Sans"/>
    </font>
    <font>
      <u/>
      <sz val="12"/>
      <color rgb="FF11734B"/>
      <name val="Quattrocento Sans"/>
    </font>
    <font>
      <b/>
      <u/>
      <sz val="12"/>
      <color rgb="FF434343"/>
      <name val="Quattrocento Sans"/>
    </font>
    <font>
      <u/>
      <sz val="12"/>
      <color rgb="FF11734B"/>
      <name val="Quattrocento Sans"/>
    </font>
    <font>
      <b/>
      <u/>
      <sz val="12"/>
      <color rgb="FF434343"/>
      <name val="Quattrocento Sans"/>
    </font>
    <font>
      <u/>
      <sz val="12"/>
      <color rgb="FF11734B"/>
      <name val="Quattrocento Sans"/>
    </font>
    <font>
      <b/>
      <u/>
      <sz val="9"/>
      <color rgb="FF434343"/>
      <name val="Quattrocento Sans"/>
    </font>
    <font>
      <u/>
      <sz val="11"/>
      <color rgb="FF434343"/>
      <name val="Quattrocento Sans"/>
    </font>
    <font>
      <u/>
      <sz val="12"/>
      <color rgb="FF473821"/>
      <name val="Quattrocento Sans"/>
    </font>
    <font>
      <u/>
      <sz val="12"/>
      <color rgb="FF434343"/>
      <name val="Quattrocento Sans"/>
    </font>
    <font>
      <u/>
      <sz val="10"/>
      <color theme="1"/>
      <name val="Quattrocento Sans"/>
    </font>
    <font>
      <b/>
      <u/>
      <sz val="9"/>
      <color rgb="FF434343"/>
      <name val="Quattrocento Sans"/>
    </font>
    <font>
      <b/>
      <u/>
      <sz val="12"/>
      <color rgb="FF434343"/>
      <name val="Quattrocento Sans"/>
    </font>
    <font>
      <u/>
      <sz val="11"/>
      <color rgb="FF434343"/>
      <name val="Quattrocento Sans"/>
    </font>
    <font>
      <b/>
      <u/>
      <sz val="12"/>
      <color rgb="FF434343"/>
      <name val="Quattrocento Sans"/>
    </font>
    <font>
      <u/>
      <sz val="12"/>
      <color rgb="FF473821"/>
      <name val="Quattrocento Sans"/>
    </font>
    <font>
      <u/>
      <sz val="12"/>
      <color rgb="FF11734B"/>
      <name val="Quattrocento Sans"/>
    </font>
    <font>
      <u/>
      <sz val="12"/>
      <color rgb="FF434343"/>
      <name val="Quattrocento Sans"/>
    </font>
    <font>
      <u/>
      <sz val="11"/>
      <color rgb="FF434343"/>
      <name val="Quattrocento Sans"/>
    </font>
    <font>
      <u/>
      <sz val="12"/>
      <color rgb="FF11734B"/>
      <name val="Quattrocento Sans"/>
    </font>
    <font>
      <u/>
      <sz val="11"/>
      <color rgb="FF434343"/>
      <name val="Quattrocento Sans"/>
    </font>
    <font>
      <u/>
      <sz val="12"/>
      <color rgb="FF434343"/>
      <name val="Quattrocento Sans"/>
    </font>
    <font>
      <sz val="12"/>
      <color theme="1"/>
      <name val="&quot;Calibri&quot;"/>
    </font>
    <font>
      <b/>
      <sz val="12"/>
      <color theme="1"/>
      <name val="Quattrocento Sans"/>
    </font>
    <font>
      <sz val="12"/>
      <color rgb="FF434343"/>
      <name val="Calibri"/>
    </font>
    <font>
      <u/>
      <sz val="9"/>
      <color rgb="FF434343"/>
      <name val="Quattrocento Sans"/>
    </font>
    <font>
      <b/>
      <sz val="12"/>
      <color rgb="FF434343"/>
      <name val="Quattrocento Sans"/>
    </font>
    <font>
      <b/>
      <sz val="12"/>
      <color theme="1"/>
      <name val="Quattrocento Sans"/>
    </font>
    <font>
      <sz val="9"/>
      <color theme="1"/>
      <name val="Roboto"/>
    </font>
    <font>
      <sz val="10"/>
      <color theme="1"/>
      <name val="Quattrocento Sans"/>
      <scheme val="minor"/>
    </font>
    <font>
      <b/>
      <u/>
      <sz val="10"/>
      <color theme="1"/>
      <name val="Quattrocento Sans"/>
    </font>
    <font>
      <u/>
      <sz val="9"/>
      <color rgb="FF0000FF"/>
      <name val="Roboto"/>
    </font>
    <font>
      <u/>
      <sz val="10"/>
      <color rgb="FF0000FF"/>
      <name val="Quattrocento Sans"/>
    </font>
    <font>
      <b/>
      <u/>
      <sz val="9"/>
      <color rgb="FF000000"/>
      <name val="&quot;Quattrocento Sans&quot;"/>
    </font>
    <font>
      <u/>
      <sz val="12"/>
      <color rgb="FF000000"/>
      <name val="&quot;Quattrocento Sans&quot;"/>
    </font>
    <font>
      <u/>
      <sz val="11"/>
      <color theme="1"/>
      <name val="Quattrocento Sans"/>
    </font>
    <font>
      <u/>
      <sz val="10"/>
      <color theme="1"/>
      <name val="Quattrocento Sans"/>
    </font>
    <font>
      <b/>
      <u/>
      <sz val="9"/>
      <color theme="1"/>
      <name val="Quattrocento Sans"/>
    </font>
    <font>
      <u/>
      <sz val="9"/>
      <color theme="1"/>
      <name val="Roboto"/>
    </font>
    <font>
      <u/>
      <sz val="11"/>
      <color theme="1"/>
      <name val="Quattrocento Sans"/>
    </font>
    <font>
      <u/>
      <sz val="9"/>
      <color theme="1"/>
      <name val="Roboto"/>
    </font>
    <font>
      <b/>
      <u/>
      <sz val="10"/>
      <color theme="1"/>
      <name val="Quattrocento Sans"/>
    </font>
    <font>
      <u/>
      <sz val="11"/>
      <color theme="1"/>
      <name val="Quattrocento Sans"/>
    </font>
    <font>
      <b/>
      <sz val="9"/>
      <color rgb="FF000000"/>
      <name val="&quot;Quattrocento Sans&quot;"/>
    </font>
    <font>
      <u/>
      <sz val="10"/>
      <color theme="10"/>
      <name val="Quattrocento Sans"/>
    </font>
    <font>
      <u/>
      <sz val="12"/>
      <color theme="10"/>
      <name val="Quattrocento Sans"/>
    </font>
    <font>
      <u/>
      <sz val="12"/>
      <color theme="10"/>
      <name val="Quattrocento Sans"/>
    </font>
    <font>
      <u/>
      <sz val="12"/>
      <color theme="1"/>
      <name val="Quattrocento Sans"/>
    </font>
    <font>
      <sz val="12"/>
      <name val="Quattrocento Sans"/>
    </font>
    <font>
      <u/>
      <sz val="12"/>
      <color theme="10"/>
      <name val="Quattrocento Sans"/>
    </font>
    <font>
      <u/>
      <sz val="12"/>
      <color theme="10"/>
      <name val="Quattrocento Sans"/>
    </font>
    <font>
      <b/>
      <sz val="11"/>
      <color rgb="FFFF0000"/>
      <name val="Quattrocento Sans"/>
    </font>
    <font>
      <sz val="12"/>
      <color rgb="FFFF0000"/>
      <name val="Quattrocento Sans"/>
    </font>
    <font>
      <b/>
      <sz val="12"/>
      <color rgb="FFFF0000"/>
      <name val="Quattrocento Sans"/>
    </font>
    <font>
      <b/>
      <u/>
      <sz val="10"/>
      <color rgb="FF1155CC"/>
      <name val="Quattrocento Sans"/>
    </font>
    <font>
      <u/>
      <sz val="9"/>
      <color rgb="FF1155CC"/>
      <name val="Roboto"/>
    </font>
    <font>
      <b/>
      <sz val="10"/>
      <color theme="1"/>
      <name val="Segoe UI"/>
    </font>
    <font>
      <sz val="10"/>
      <color theme="1"/>
      <name val="Segoe UI"/>
    </font>
    <font>
      <sz val="11"/>
      <color theme="1"/>
      <name val="Segoe UI"/>
    </font>
    <font>
      <b/>
      <sz val="11"/>
      <color theme="1"/>
      <name val="Segoe UI"/>
    </font>
  </fonts>
  <fills count="18">
    <fill>
      <patternFill patternType="none"/>
    </fill>
    <fill>
      <patternFill patternType="gray125"/>
    </fill>
    <fill>
      <patternFill patternType="solid">
        <fgColor rgb="FFF4CCCC"/>
        <bgColor rgb="FFF4CCCC"/>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356854"/>
        <bgColor rgb="FF356854"/>
      </patternFill>
    </fill>
    <fill>
      <patternFill patternType="solid">
        <fgColor rgb="FFF6F8F9"/>
        <bgColor rgb="FFF6F8F9"/>
      </patternFill>
    </fill>
    <fill>
      <patternFill patternType="solid">
        <fgColor rgb="FFC5E0B3"/>
        <bgColor rgb="FFC5E0B3"/>
      </patternFill>
    </fill>
    <fill>
      <patternFill patternType="solid">
        <fgColor rgb="FFDADADA"/>
        <bgColor rgb="FFDADADA"/>
      </patternFill>
    </fill>
    <fill>
      <patternFill patternType="solid">
        <fgColor rgb="FFF7CAAC"/>
        <bgColor rgb="FFF7CAAC"/>
      </patternFill>
    </fill>
    <fill>
      <patternFill patternType="solid">
        <fgColor rgb="FFF2F2F2"/>
        <bgColor rgb="FFF2F2F2"/>
      </patternFill>
    </fill>
    <fill>
      <patternFill patternType="solid">
        <fgColor theme="0"/>
        <bgColor theme="0"/>
      </patternFill>
    </fill>
    <fill>
      <patternFill patternType="solid">
        <fgColor rgb="FFD9D9D9"/>
        <bgColor rgb="FFD9D9D9"/>
      </patternFill>
    </fill>
    <fill>
      <patternFill patternType="solid">
        <fgColor rgb="FFFFE598"/>
        <bgColor rgb="FFFFE598"/>
      </patternFill>
    </fill>
    <fill>
      <patternFill patternType="solid">
        <fgColor rgb="FFD8D8D8"/>
        <bgColor rgb="FFD8D8D8"/>
      </patternFill>
    </fill>
    <fill>
      <patternFill patternType="solid">
        <fgColor rgb="FFDEEAF6"/>
        <bgColor rgb="FFDEEAF6"/>
      </patternFill>
    </fill>
    <fill>
      <patternFill patternType="solid">
        <fgColor rgb="FFB4C6E7"/>
        <bgColor rgb="FFB4C6E7"/>
      </patternFill>
    </fill>
  </fills>
  <borders count="2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56854"/>
      </left>
      <right style="thin">
        <color rgb="FF356854"/>
      </right>
      <top style="thin">
        <color rgb="FF284E3F"/>
      </top>
      <bottom style="thin">
        <color rgb="FF284E3F"/>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s>
  <cellStyleXfs count="1">
    <xf numFmtId="0" fontId="0" fillId="0" borderId="0"/>
  </cellStyleXfs>
  <cellXfs count="724">
    <xf numFmtId="0" fontId="0" fillId="0" borderId="0" xfId="0" applyFont="1" applyAlignment="1"/>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left" vertical="center"/>
    </xf>
    <xf numFmtId="49" fontId="4" fillId="0" borderId="0" xfId="0" applyNumberFormat="1" applyFont="1" applyAlignment="1">
      <alignment horizontal="center" vertical="center"/>
    </xf>
    <xf numFmtId="49" fontId="5" fillId="0" borderId="0" xfId="0" applyNumberFormat="1"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14" fontId="4" fillId="0" borderId="0" xfId="0" applyNumberFormat="1" applyFont="1" applyAlignment="1">
      <alignment horizontal="center" vertical="top"/>
    </xf>
    <xf numFmtId="0" fontId="4" fillId="0" borderId="0" xfId="0" applyFont="1" applyAlignment="1">
      <alignment horizontal="center" vertical="top"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3" borderId="1" xfId="0" applyFont="1" applyFill="1" applyBorder="1" applyAlignment="1">
      <alignment vertical="center" wrapText="1"/>
    </xf>
    <xf numFmtId="0" fontId="9" fillId="3" borderId="1" xfId="0" applyFont="1" applyFill="1" applyBorder="1" applyAlignment="1">
      <alignment horizontal="center" vertical="center" wrapText="1"/>
    </xf>
    <xf numFmtId="164" fontId="9" fillId="3" borderId="1" xfId="0" applyNumberFormat="1" applyFont="1" applyFill="1" applyBorder="1" applyAlignment="1">
      <alignment vertical="center" wrapText="1"/>
    </xf>
    <xf numFmtId="165" fontId="9" fillId="3" borderId="1" xfId="0" applyNumberFormat="1" applyFont="1" applyFill="1" applyBorder="1" applyAlignment="1">
      <alignment vertical="center" wrapText="1"/>
    </xf>
    <xf numFmtId="165" fontId="4" fillId="3" borderId="1" xfId="0" applyNumberFormat="1" applyFont="1" applyFill="1" applyBorder="1" applyAlignment="1">
      <alignment vertical="center"/>
    </xf>
    <xf numFmtId="165" fontId="9" fillId="3" borderId="1" xfId="0" applyNumberFormat="1" applyFont="1" applyFill="1" applyBorder="1" applyAlignment="1">
      <alignment vertical="center" wrapText="1"/>
    </xf>
    <xf numFmtId="14" fontId="4" fillId="3" borderId="1" xfId="0" applyNumberFormat="1" applyFont="1" applyFill="1" applyBorder="1" applyAlignment="1">
      <alignment vertical="center"/>
    </xf>
    <xf numFmtId="0" fontId="9" fillId="3" borderId="1" xfId="0" applyFont="1" applyFill="1" applyBorder="1" applyAlignment="1">
      <alignment horizontal="left" vertical="top"/>
    </xf>
    <xf numFmtId="14" fontId="9" fillId="3" borderId="1" xfId="0" applyNumberFormat="1" applyFont="1" applyFill="1" applyBorder="1" applyAlignment="1">
      <alignment horizontal="center" vertical="center" wrapText="1"/>
    </xf>
    <xf numFmtId="0" fontId="9" fillId="3" borderId="1" xfId="0" applyFont="1" applyFill="1" applyBorder="1" applyAlignment="1">
      <alignment horizontal="left" vertical="top"/>
    </xf>
    <xf numFmtId="0" fontId="9" fillId="3" borderId="0" xfId="0" applyFont="1" applyFill="1" applyAlignment="1">
      <alignment horizontal="left" vertical="top"/>
    </xf>
    <xf numFmtId="0" fontId="9" fillId="3" borderId="0" xfId="0" applyFont="1" applyFill="1" applyAlignment="1">
      <alignment horizontal="left" vertical="top"/>
    </xf>
    <xf numFmtId="0" fontId="4" fillId="3" borderId="1" xfId="0" applyFont="1" applyFill="1" applyBorder="1" applyAlignment="1">
      <alignment horizontal="left" vertical="top"/>
    </xf>
    <xf numFmtId="1" fontId="9" fillId="3" borderId="1" xfId="0" applyNumberFormat="1" applyFont="1" applyFill="1" applyBorder="1" applyAlignment="1">
      <alignment horizontal="center" vertical="center" wrapText="1"/>
    </xf>
    <xf numFmtId="0" fontId="4" fillId="3" borderId="1" xfId="0" applyFont="1" applyFill="1" applyBorder="1" applyAlignment="1">
      <alignment horizontal="left" vertical="top"/>
    </xf>
    <xf numFmtId="165" fontId="11" fillId="3" borderId="1" xfId="0" applyNumberFormat="1" applyFont="1" applyFill="1" applyBorder="1" applyAlignment="1">
      <alignment horizontal="right" vertical="center"/>
    </xf>
    <xf numFmtId="164" fontId="9" fillId="3" borderId="1" xfId="0" applyNumberFormat="1" applyFont="1" applyFill="1" applyBorder="1" applyAlignment="1">
      <alignment vertical="center" wrapText="1"/>
    </xf>
    <xf numFmtId="0" fontId="4" fillId="3" borderId="1" xfId="0" applyFont="1" applyFill="1" applyBorder="1" applyAlignment="1">
      <alignment horizontal="left" vertical="top" wrapText="1"/>
    </xf>
    <xf numFmtId="165" fontId="4" fillId="3" borderId="1" xfId="0" applyNumberFormat="1" applyFont="1" applyFill="1" applyBorder="1" applyAlignment="1">
      <alignment vertical="center"/>
    </xf>
    <xf numFmtId="14" fontId="9" fillId="3" borderId="1" xfId="0" applyNumberFormat="1" applyFont="1" applyFill="1" applyBorder="1" applyAlignment="1">
      <alignment horizontal="left" vertical="top"/>
    </xf>
    <xf numFmtId="0" fontId="9" fillId="3" borderId="1" xfId="0" applyFont="1" applyFill="1" applyBorder="1" applyAlignment="1">
      <alignment horizontal="center" vertical="center"/>
    </xf>
    <xf numFmtId="164" fontId="9" fillId="3" borderId="1" xfId="0" applyNumberFormat="1" applyFont="1" applyFill="1" applyBorder="1" applyAlignment="1">
      <alignment vertical="center"/>
    </xf>
    <xf numFmtId="165" fontId="9" fillId="3" borderId="1" xfId="0" applyNumberFormat="1" applyFont="1" applyFill="1" applyBorder="1" applyAlignment="1">
      <alignment vertical="center"/>
    </xf>
    <xf numFmtId="14" fontId="9" fillId="3" borderId="1" xfId="0" applyNumberFormat="1" applyFont="1" applyFill="1" applyBorder="1" applyAlignment="1">
      <alignment vertical="center"/>
    </xf>
    <xf numFmtId="0" fontId="9" fillId="3" borderId="1" xfId="0" applyFont="1" applyFill="1" applyBorder="1" applyAlignment="1">
      <alignment vertical="center" wrapText="1"/>
    </xf>
    <xf numFmtId="0" fontId="9" fillId="3" borderId="1" xfId="0" applyFont="1" applyFill="1" applyBorder="1" applyAlignment="1">
      <alignment vertical="center" wrapText="1"/>
    </xf>
    <xf numFmtId="165" fontId="9" fillId="3" borderId="1" xfId="0" applyNumberFormat="1" applyFont="1" applyFill="1" applyBorder="1" applyAlignment="1">
      <alignment vertical="center"/>
    </xf>
    <xf numFmtId="14" fontId="9" fillId="3" borderId="1" xfId="0" applyNumberFormat="1" applyFont="1" applyFill="1" applyBorder="1" applyAlignment="1">
      <alignment vertical="center"/>
    </xf>
    <xf numFmtId="0" fontId="9" fillId="3" borderId="1" xfId="0" applyFont="1" applyFill="1" applyBorder="1" applyAlignment="1">
      <alignment horizontal="center" vertical="center"/>
    </xf>
    <xf numFmtId="0" fontId="9" fillId="3" borderId="1" xfId="0" applyFont="1" applyFill="1" applyBorder="1" applyAlignment="1">
      <alignment vertical="center"/>
    </xf>
    <xf numFmtId="0" fontId="9" fillId="3" borderId="1" xfId="0" applyFont="1" applyFill="1" applyBorder="1" applyAlignment="1">
      <alignment vertical="center"/>
    </xf>
    <xf numFmtId="164" fontId="9" fillId="3" borderId="1" xfId="0" applyNumberFormat="1" applyFont="1" applyFill="1" applyBorder="1" applyAlignment="1">
      <alignment vertical="center"/>
    </xf>
    <xf numFmtId="0" fontId="12" fillId="3" borderId="1" xfId="0" applyFont="1" applyFill="1" applyBorder="1" applyAlignment="1">
      <alignment vertical="center"/>
    </xf>
    <xf numFmtId="0" fontId="9" fillId="3" borderId="1" xfId="0" applyFont="1" applyFill="1" applyBorder="1" applyAlignment="1">
      <alignment horizontal="left" vertical="top" wrapText="1"/>
    </xf>
    <xf numFmtId="0" fontId="9" fillId="3" borderId="1" xfId="0" applyFont="1" applyFill="1" applyBorder="1" applyAlignment="1">
      <alignment horizontal="left" vertical="top" wrapText="1"/>
    </xf>
    <xf numFmtId="0" fontId="9" fillId="3" borderId="0" xfId="0" applyFont="1" applyFill="1" applyAlignment="1">
      <alignment horizontal="left" vertical="top" wrapText="1"/>
    </xf>
    <xf numFmtId="14" fontId="9" fillId="3" borderId="1" xfId="0" applyNumberFormat="1" applyFont="1" applyFill="1" applyBorder="1" applyAlignment="1">
      <alignment vertical="center"/>
    </xf>
    <xf numFmtId="0" fontId="9" fillId="3" borderId="1" xfId="0" applyFont="1" applyFill="1" applyBorder="1" applyAlignment="1">
      <alignment horizontal="left" vertical="top"/>
    </xf>
    <xf numFmtId="0" fontId="9" fillId="3" borderId="0" xfId="0" applyFont="1" applyFill="1" applyAlignment="1">
      <alignment horizontal="left" vertical="top"/>
    </xf>
    <xf numFmtId="0" fontId="9" fillId="3" borderId="1" xfId="0" applyFont="1" applyFill="1" applyBorder="1" applyAlignment="1">
      <alignment vertical="center" wrapText="1"/>
    </xf>
    <xf numFmtId="0" fontId="15" fillId="3" borderId="1" xfId="0" applyFont="1" applyFill="1" applyBorder="1" applyAlignment="1">
      <alignment horizontal="left" vertical="center" wrapText="1"/>
    </xf>
    <xf numFmtId="0" fontId="9" fillId="3" borderId="1" xfId="0" applyFont="1" applyFill="1" applyBorder="1" applyAlignment="1">
      <alignment vertical="center" wrapText="1"/>
    </xf>
    <xf numFmtId="0" fontId="16" fillId="3" borderId="2" xfId="0" applyFont="1" applyFill="1" applyBorder="1" applyAlignment="1">
      <alignment vertical="center"/>
    </xf>
    <xf numFmtId="0" fontId="11" fillId="3" borderId="1" xfId="0" applyFont="1" applyFill="1" applyBorder="1" applyAlignment="1">
      <alignment horizontal="center" vertical="center"/>
    </xf>
    <xf numFmtId="164" fontId="17" fillId="3" borderId="1" xfId="0" applyNumberFormat="1" applyFont="1" applyFill="1" applyBorder="1" applyAlignment="1">
      <alignment horizontal="right" vertical="center"/>
    </xf>
    <xf numFmtId="14" fontId="9" fillId="3" borderId="1" xfId="0" applyNumberFormat="1" applyFont="1" applyFill="1" applyBorder="1" applyAlignment="1">
      <alignment horizontal="center" vertical="center"/>
    </xf>
    <xf numFmtId="0" fontId="10" fillId="0" borderId="1" xfId="0" applyFont="1" applyBorder="1" applyAlignment="1">
      <alignment vertical="center"/>
    </xf>
    <xf numFmtId="164" fontId="10" fillId="0" borderId="1" xfId="0" applyNumberFormat="1" applyFont="1" applyBorder="1" applyAlignment="1">
      <alignment vertical="center"/>
    </xf>
    <xf numFmtId="0" fontId="19" fillId="0" borderId="1" xfId="0" applyFont="1" applyBorder="1" applyAlignment="1">
      <alignment horizontal="left" vertical="center" wrapText="1"/>
    </xf>
    <xf numFmtId="0" fontId="9" fillId="3" borderId="1" xfId="0" applyFont="1" applyFill="1" applyBorder="1" applyAlignment="1">
      <alignment horizontal="left" vertical="top" wrapText="1"/>
    </xf>
    <xf numFmtId="49" fontId="20" fillId="5" borderId="0" xfId="0" applyNumberFormat="1" applyFont="1" applyFill="1" applyAlignment="1">
      <alignment horizontal="center" vertical="center" wrapText="1"/>
    </xf>
    <xf numFmtId="49" fontId="21" fillId="6" borderId="3" xfId="0" applyNumberFormat="1" applyFont="1" applyFill="1" applyBorder="1" applyAlignment="1">
      <alignment horizontal="center" vertical="center"/>
    </xf>
    <xf numFmtId="0" fontId="22" fillId="0" borderId="0" xfId="0" applyFont="1" applyAlignment="1">
      <alignment horizontal="center" vertical="center" wrapText="1"/>
    </xf>
    <xf numFmtId="49" fontId="23" fillId="2" borderId="0" xfId="0" applyNumberFormat="1" applyFont="1" applyFill="1" applyAlignment="1">
      <alignment horizontal="center" vertical="center" wrapText="1"/>
    </xf>
    <xf numFmtId="0" fontId="4" fillId="5" borderId="0" xfId="0" applyFont="1" applyFill="1" applyAlignment="1">
      <alignment horizontal="center" vertical="top" wrapText="1"/>
    </xf>
    <xf numFmtId="0" fontId="24" fillId="3" borderId="1" xfId="0" applyFont="1" applyFill="1" applyBorder="1" applyAlignment="1">
      <alignment horizontal="center" vertical="center" wrapText="1"/>
    </xf>
    <xf numFmtId="0" fontId="25" fillId="3" borderId="1" xfId="0" applyFont="1" applyFill="1" applyBorder="1" applyAlignment="1">
      <alignment vertical="center" wrapText="1"/>
    </xf>
    <xf numFmtId="0" fontId="26"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164" fontId="10" fillId="0" borderId="1" xfId="0" applyNumberFormat="1" applyFont="1" applyBorder="1" applyAlignment="1">
      <alignment vertical="center"/>
    </xf>
    <xf numFmtId="14" fontId="4" fillId="3" borderId="1" xfId="0" applyNumberFormat="1" applyFont="1" applyFill="1" applyBorder="1" applyAlignment="1">
      <alignment vertical="center"/>
    </xf>
    <xf numFmtId="0" fontId="9" fillId="3" borderId="1" xfId="0" applyFont="1" applyFill="1" applyBorder="1" applyAlignment="1">
      <alignment horizontal="left"/>
    </xf>
    <xf numFmtId="49" fontId="27" fillId="3" borderId="1" xfId="0" applyNumberFormat="1" applyFont="1" applyFill="1" applyBorder="1" applyAlignment="1">
      <alignment vertical="center" wrapText="1"/>
    </xf>
    <xf numFmtId="0" fontId="28" fillId="0" borderId="1" xfId="0" applyFont="1" applyBorder="1" applyAlignment="1">
      <alignment horizontal="left" vertical="center" wrapText="1"/>
    </xf>
    <xf numFmtId="0" fontId="29" fillId="3" borderId="1" xfId="0" applyFont="1" applyFill="1" applyBorder="1" applyAlignment="1">
      <alignment vertical="center" wrapText="1"/>
    </xf>
    <xf numFmtId="0" fontId="30" fillId="3" borderId="1" xfId="0" applyFont="1" applyFill="1" applyBorder="1" applyAlignment="1">
      <alignment vertical="center" wrapText="1"/>
    </xf>
    <xf numFmtId="0" fontId="31" fillId="3" borderId="1" xfId="0" applyFont="1" applyFill="1" applyBorder="1" applyAlignment="1">
      <alignment horizontal="center" vertical="center"/>
    </xf>
    <xf numFmtId="0" fontId="32" fillId="0" borderId="1" xfId="0" applyFont="1" applyBorder="1" applyAlignment="1">
      <alignment horizontal="left" vertical="center" wrapText="1"/>
    </xf>
    <xf numFmtId="165" fontId="4" fillId="3" borderId="1" xfId="0" applyNumberFormat="1" applyFont="1" applyFill="1" applyBorder="1" applyAlignment="1">
      <alignment vertical="center" wrapText="1"/>
    </xf>
    <xf numFmtId="0" fontId="33" fillId="3" borderId="1" xfId="0" applyFont="1" applyFill="1" applyBorder="1" applyAlignment="1">
      <alignment horizontal="center" vertical="center"/>
    </xf>
    <xf numFmtId="0" fontId="34" fillId="0" borderId="1" xfId="0" applyFont="1" applyBorder="1" applyAlignment="1">
      <alignment horizontal="left" vertical="center"/>
    </xf>
    <xf numFmtId="0" fontId="35" fillId="3" borderId="1" xfId="0" applyFont="1" applyFill="1" applyBorder="1" applyAlignment="1">
      <alignment horizontal="center" vertical="center"/>
    </xf>
    <xf numFmtId="0" fontId="9" fillId="3" borderId="1" xfId="0" applyFont="1" applyFill="1" applyBorder="1" applyAlignment="1">
      <alignment vertical="center"/>
    </xf>
    <xf numFmtId="164" fontId="4" fillId="3" borderId="1" xfId="0" applyNumberFormat="1" applyFont="1" applyFill="1" applyBorder="1" applyAlignment="1">
      <alignment vertical="center"/>
    </xf>
    <xf numFmtId="0" fontId="4" fillId="3" borderId="1" xfId="0" applyFont="1" applyFill="1" applyBorder="1" applyAlignment="1">
      <alignment horizontal="left" vertical="top" wrapText="1"/>
    </xf>
    <xf numFmtId="0" fontId="15" fillId="0" borderId="1" xfId="0" applyFont="1" applyBorder="1" applyAlignment="1">
      <alignment horizontal="left" vertical="center"/>
    </xf>
    <xf numFmtId="0" fontId="9" fillId="3" borderId="1" xfId="0" applyFont="1" applyFill="1" applyBorder="1" applyAlignment="1">
      <alignment vertical="center" wrapText="1"/>
    </xf>
    <xf numFmtId="0" fontId="36" fillId="3" borderId="1" xfId="0" applyFont="1" applyFill="1" applyBorder="1" applyAlignment="1">
      <alignment horizontal="center" vertical="center"/>
    </xf>
    <xf numFmtId="0" fontId="4" fillId="3" borderId="1" xfId="0" applyFont="1" applyFill="1" applyBorder="1" applyAlignment="1">
      <alignment horizontal="left" vertical="top" wrapText="1"/>
    </xf>
    <xf numFmtId="0" fontId="37" fillId="0" borderId="1" xfId="0" applyFont="1" applyBorder="1" applyAlignment="1">
      <alignment horizontal="left" vertical="center"/>
    </xf>
    <xf numFmtId="0" fontId="9" fillId="3" borderId="1" xfId="0" applyFont="1" applyFill="1" applyBorder="1" applyAlignment="1">
      <alignment vertical="top"/>
    </xf>
    <xf numFmtId="0" fontId="9" fillId="3" borderId="1" xfId="0" applyFont="1" applyFill="1" applyBorder="1" applyAlignment="1">
      <alignment vertical="top"/>
    </xf>
    <xf numFmtId="0" fontId="38" fillId="3" borderId="1" xfId="0" applyFont="1" applyFill="1" applyBorder="1" applyAlignment="1">
      <alignment horizontal="center" vertical="center" wrapText="1"/>
    </xf>
    <xf numFmtId="0" fontId="9" fillId="3" borderId="1" xfId="0" applyFont="1" applyFill="1" applyBorder="1" applyAlignment="1">
      <alignment vertical="center"/>
    </xf>
    <xf numFmtId="0" fontId="39" fillId="4" borderId="1" xfId="0" applyFont="1" applyFill="1" applyBorder="1" applyAlignment="1">
      <alignment horizontal="center" vertical="center" wrapText="1"/>
    </xf>
    <xf numFmtId="0" fontId="40" fillId="3" borderId="1" xfId="0" applyFont="1" applyFill="1" applyBorder="1" applyAlignment="1">
      <alignment horizontal="center" vertical="center" wrapText="1"/>
    </xf>
    <xf numFmtId="0" fontId="41" fillId="3" borderId="1" xfId="0" applyFont="1" applyFill="1" applyBorder="1" applyAlignment="1">
      <alignment vertical="center"/>
    </xf>
    <xf numFmtId="0" fontId="42" fillId="0" borderId="2" xfId="0" applyFont="1" applyBorder="1" applyAlignment="1">
      <alignment horizontal="left" vertical="top" wrapText="1"/>
    </xf>
    <xf numFmtId="0" fontId="43" fillId="3" borderId="2" xfId="0" applyFont="1" applyFill="1" applyBorder="1" applyAlignment="1">
      <alignment vertical="center"/>
    </xf>
    <xf numFmtId="0" fontId="44" fillId="3" borderId="2" xfId="0" applyFont="1" applyFill="1" applyBorder="1" applyAlignment="1">
      <alignment vertical="center"/>
    </xf>
    <xf numFmtId="0" fontId="45" fillId="3" borderId="1" xfId="0" applyFont="1" applyFill="1" applyBorder="1" applyAlignment="1">
      <alignment vertical="center"/>
    </xf>
    <xf numFmtId="0" fontId="46" fillId="3" borderId="1" xfId="0" applyFont="1" applyFill="1" applyBorder="1" applyAlignment="1">
      <alignment vertical="center"/>
    </xf>
    <xf numFmtId="0" fontId="47" fillId="3" borderId="1" xfId="0" applyFont="1" applyFill="1" applyBorder="1" applyAlignment="1">
      <alignment vertical="center"/>
    </xf>
    <xf numFmtId="164" fontId="4" fillId="3" borderId="1" xfId="0" applyNumberFormat="1" applyFont="1" applyFill="1" applyBorder="1" applyAlignment="1">
      <alignment vertical="center"/>
    </xf>
    <xf numFmtId="0" fontId="48" fillId="3" borderId="1" xfId="0" applyFont="1" applyFill="1" applyBorder="1" applyAlignment="1">
      <alignment horizontal="center" vertical="center" wrapText="1"/>
    </xf>
    <xf numFmtId="0" fontId="49" fillId="3" borderId="1" xfId="0" applyFont="1" applyFill="1" applyBorder="1" applyAlignment="1">
      <alignment horizontal="center" vertical="center" wrapText="1"/>
    </xf>
    <xf numFmtId="0" fontId="50" fillId="7" borderId="1" xfId="0" applyFont="1" applyFill="1" applyBorder="1" applyAlignment="1">
      <alignment vertical="center"/>
    </xf>
    <xf numFmtId="0" fontId="51" fillId="3" borderId="1" xfId="0" applyFont="1" applyFill="1" applyBorder="1" applyAlignment="1">
      <alignment vertical="center"/>
    </xf>
    <xf numFmtId="0" fontId="52" fillId="7" borderId="1" xfId="0" applyFont="1" applyFill="1" applyBorder="1" applyAlignment="1">
      <alignment horizontal="center" vertical="center" wrapText="1"/>
    </xf>
    <xf numFmtId="0" fontId="53" fillId="3" borderId="1" xfId="0" applyFont="1" applyFill="1" applyBorder="1" applyAlignment="1">
      <alignment vertical="center"/>
    </xf>
    <xf numFmtId="0" fontId="54" fillId="3" borderId="1" xfId="0" applyFont="1" applyFill="1" applyBorder="1" applyAlignment="1">
      <alignment horizontal="center" vertical="center"/>
    </xf>
    <xf numFmtId="164" fontId="54" fillId="3" borderId="1" xfId="0" applyNumberFormat="1" applyFont="1" applyFill="1" applyBorder="1" applyAlignment="1">
      <alignment horizontal="right" vertical="center"/>
    </xf>
    <xf numFmtId="165" fontId="54" fillId="3" borderId="1" xfId="0" applyNumberFormat="1" applyFont="1" applyFill="1" applyBorder="1" applyAlignment="1">
      <alignment horizontal="right" vertical="center"/>
    </xf>
    <xf numFmtId="164" fontId="51" fillId="3" borderId="1" xfId="0" applyNumberFormat="1" applyFont="1" applyFill="1" applyBorder="1" applyAlignment="1">
      <alignment vertical="center"/>
    </xf>
    <xf numFmtId="14" fontId="51" fillId="3" borderId="1" xfId="0" applyNumberFormat="1" applyFont="1" applyFill="1" applyBorder="1" applyAlignment="1">
      <alignment vertical="center"/>
    </xf>
    <xf numFmtId="0" fontId="54" fillId="7" borderId="1" xfId="0" applyFont="1" applyFill="1" applyBorder="1" applyAlignment="1">
      <alignment vertical="top"/>
    </xf>
    <xf numFmtId="49" fontId="55" fillId="7" borderId="1" xfId="0" applyNumberFormat="1" applyFont="1" applyFill="1" applyBorder="1" applyAlignment="1">
      <alignment vertical="center" wrapText="1"/>
    </xf>
    <xf numFmtId="0" fontId="51" fillId="7" borderId="1" xfId="0" applyFont="1" applyFill="1" applyBorder="1" applyAlignment="1">
      <alignment vertical="top"/>
    </xf>
    <xf numFmtId="0" fontId="56" fillId="3" borderId="1" xfId="0" applyFont="1" applyFill="1" applyBorder="1" applyAlignment="1">
      <alignment vertical="center"/>
    </xf>
    <xf numFmtId="165" fontId="57" fillId="7" borderId="1" xfId="0" applyNumberFormat="1" applyFont="1" applyFill="1" applyBorder="1" applyAlignment="1">
      <alignment horizontal="right" vertical="center"/>
    </xf>
    <xf numFmtId="0" fontId="57" fillId="7" borderId="1" xfId="0" applyFont="1" applyFill="1" applyBorder="1" applyAlignment="1">
      <alignment vertical="top"/>
    </xf>
    <xf numFmtId="0" fontId="58" fillId="3" borderId="1" xfId="0" applyFont="1" applyFill="1" applyBorder="1" applyAlignment="1">
      <alignment vertical="center"/>
    </xf>
    <xf numFmtId="0" fontId="59" fillId="7" borderId="1" xfId="0" applyFont="1" applyFill="1" applyBorder="1" applyAlignment="1">
      <alignment horizontal="center" vertical="center" wrapText="1"/>
    </xf>
    <xf numFmtId="0" fontId="60" fillId="3" borderId="1" xfId="0" applyFont="1" applyFill="1" applyBorder="1" applyAlignment="1">
      <alignment vertical="center"/>
    </xf>
    <xf numFmtId="0" fontId="51" fillId="3" borderId="1" xfId="0" applyFont="1" applyFill="1" applyBorder="1" applyAlignment="1">
      <alignment vertical="center"/>
    </xf>
    <xf numFmtId="0" fontId="61" fillId="7" borderId="1" xfId="0" applyFont="1" applyFill="1" applyBorder="1" applyAlignment="1">
      <alignment horizontal="center" vertical="center" wrapText="1"/>
    </xf>
    <xf numFmtId="0" fontId="62" fillId="3" borderId="1" xfId="0" applyFont="1" applyFill="1" applyBorder="1" applyAlignment="1">
      <alignment vertical="center"/>
    </xf>
    <xf numFmtId="0" fontId="54" fillId="3" borderId="1" xfId="0" applyFont="1" applyFill="1" applyBorder="1" applyAlignment="1">
      <alignment horizontal="center" vertical="center"/>
    </xf>
    <xf numFmtId="164" fontId="54" fillId="3" borderId="1" xfId="0" applyNumberFormat="1" applyFont="1" applyFill="1" applyBorder="1" applyAlignment="1">
      <alignment horizontal="right" vertical="center"/>
    </xf>
    <xf numFmtId="165" fontId="54" fillId="3" borderId="1" xfId="0" applyNumberFormat="1" applyFont="1" applyFill="1" applyBorder="1" applyAlignment="1">
      <alignment horizontal="right" vertical="center"/>
    </xf>
    <xf numFmtId="0" fontId="51" fillId="3" borderId="1" xfId="0" applyFont="1" applyFill="1" applyBorder="1" applyAlignment="1">
      <alignment vertical="top"/>
    </xf>
    <xf numFmtId="0" fontId="63" fillId="3" borderId="1" xfId="0" applyFont="1" applyFill="1" applyBorder="1" applyAlignment="1">
      <alignment horizontal="center" vertical="center" wrapText="1"/>
    </xf>
    <xf numFmtId="0" fontId="64" fillId="3" borderId="1" xfId="0" applyFont="1" applyFill="1" applyBorder="1" applyAlignment="1">
      <alignment vertical="center"/>
    </xf>
    <xf numFmtId="0" fontId="57" fillId="3" borderId="1" xfId="0" applyFont="1" applyFill="1" applyBorder="1" applyAlignment="1">
      <alignment horizontal="center" vertical="center"/>
    </xf>
    <xf numFmtId="49" fontId="65" fillId="3" borderId="1" xfId="0" applyNumberFormat="1" applyFont="1" applyFill="1" applyBorder="1" applyAlignment="1">
      <alignment vertical="center" wrapText="1"/>
    </xf>
    <xf numFmtId="0" fontId="66" fillId="3" borderId="1" xfId="0" applyFont="1" applyFill="1" applyBorder="1" applyAlignment="1">
      <alignment vertical="center"/>
    </xf>
    <xf numFmtId="0" fontId="57" fillId="3" borderId="1" xfId="0" applyFont="1" applyFill="1" applyBorder="1" applyAlignment="1">
      <alignment horizontal="center" vertical="center"/>
    </xf>
    <xf numFmtId="0" fontId="67" fillId="7" borderId="1" xfId="0" applyFont="1" applyFill="1" applyBorder="1" applyAlignment="1">
      <alignment horizontal="center" vertical="center" wrapText="1"/>
    </xf>
    <xf numFmtId="0" fontId="68" fillId="7" borderId="1" xfId="0" applyFont="1" applyFill="1" applyBorder="1" applyAlignment="1">
      <alignment vertical="center"/>
    </xf>
    <xf numFmtId="0" fontId="69" fillId="7" borderId="1" xfId="0" applyFont="1" applyFill="1" applyBorder="1" applyAlignment="1">
      <alignment vertical="center"/>
    </xf>
    <xf numFmtId="0" fontId="57" fillId="7" borderId="1" xfId="0" applyFont="1" applyFill="1" applyBorder="1" applyAlignment="1">
      <alignment horizontal="center" vertical="center"/>
    </xf>
    <xf numFmtId="164" fontId="51" fillId="7" borderId="1" xfId="0" applyNumberFormat="1" applyFont="1" applyFill="1" applyBorder="1" applyAlignment="1">
      <alignment vertical="center"/>
    </xf>
    <xf numFmtId="14" fontId="51" fillId="7" borderId="1" xfId="0" applyNumberFormat="1" applyFont="1" applyFill="1" applyBorder="1" applyAlignment="1">
      <alignment vertical="center"/>
    </xf>
    <xf numFmtId="0" fontId="70" fillId="7" borderId="1" xfId="0" applyFont="1" applyFill="1" applyBorder="1" applyAlignment="1">
      <alignment vertical="center"/>
    </xf>
    <xf numFmtId="164" fontId="57" fillId="7" borderId="1" xfId="0" applyNumberFormat="1" applyFont="1" applyFill="1" applyBorder="1" applyAlignment="1">
      <alignment horizontal="right" vertical="center"/>
    </xf>
    <xf numFmtId="0" fontId="71" fillId="3" borderId="1" xfId="0" applyFont="1" applyFill="1" applyBorder="1" applyAlignment="1">
      <alignment vertical="center" wrapText="1"/>
    </xf>
    <xf numFmtId="0" fontId="72" fillId="3" borderId="1" xfId="0" applyFont="1" applyFill="1" applyBorder="1" applyAlignment="1">
      <alignment horizontal="center" vertical="center" wrapText="1"/>
    </xf>
    <xf numFmtId="0" fontId="73" fillId="3" borderId="1" xfId="0" applyFont="1" applyFill="1" applyBorder="1" applyAlignment="1">
      <alignment horizontal="center" vertical="center" wrapText="1"/>
    </xf>
    <xf numFmtId="0" fontId="74" fillId="3" borderId="1" xfId="0" applyFont="1" applyFill="1" applyBorder="1" applyAlignment="1">
      <alignment vertical="center"/>
    </xf>
    <xf numFmtId="0" fontId="75" fillId="3" borderId="1" xfId="0" applyFont="1" applyFill="1" applyBorder="1" applyAlignment="1">
      <alignment horizontal="center" vertical="center" wrapText="1"/>
    </xf>
    <xf numFmtId="0" fontId="76" fillId="3" borderId="1" xfId="0" applyFont="1" applyFill="1" applyBorder="1" applyAlignment="1">
      <alignment vertical="center"/>
    </xf>
    <xf numFmtId="0" fontId="51" fillId="3" borderId="1" xfId="0" applyFont="1" applyFill="1" applyBorder="1" applyAlignment="1">
      <alignment vertical="top"/>
    </xf>
    <xf numFmtId="0" fontId="77" fillId="7" borderId="1" xfId="0" applyFont="1" applyFill="1" applyBorder="1" applyAlignment="1">
      <alignment vertical="center"/>
    </xf>
    <xf numFmtId="0" fontId="57" fillId="7" borderId="1" xfId="0" applyFont="1" applyFill="1" applyBorder="1" applyAlignment="1">
      <alignment horizontal="center" vertical="center"/>
    </xf>
    <xf numFmtId="0" fontId="57" fillId="7" borderId="1" xfId="0" applyFont="1" applyFill="1" applyBorder="1" applyAlignment="1">
      <alignment vertical="center"/>
    </xf>
    <xf numFmtId="0" fontId="78" fillId="3" borderId="1" xfId="0" applyFont="1" applyFill="1" applyBorder="1" applyAlignment="1">
      <alignment vertical="center"/>
    </xf>
    <xf numFmtId="164" fontId="57" fillId="3" borderId="1" xfId="0" applyNumberFormat="1" applyFont="1" applyFill="1" applyBorder="1" applyAlignment="1">
      <alignment horizontal="right" vertical="center"/>
    </xf>
    <xf numFmtId="165" fontId="57" fillId="3" borderId="1" xfId="0" applyNumberFormat="1" applyFont="1" applyFill="1" applyBorder="1" applyAlignment="1">
      <alignment horizontal="right" vertical="center"/>
    </xf>
    <xf numFmtId="0" fontId="57" fillId="3" borderId="1" xfId="0" applyFont="1" applyFill="1" applyBorder="1" applyAlignment="1">
      <alignment vertical="top"/>
    </xf>
    <xf numFmtId="0" fontId="79" fillId="7" borderId="1" xfId="0" applyFont="1" applyFill="1" applyBorder="1" applyAlignment="1">
      <alignment vertical="center"/>
    </xf>
    <xf numFmtId="0" fontId="51" fillId="7" borderId="1" xfId="0" applyFont="1" applyFill="1" applyBorder="1" applyAlignment="1">
      <alignment vertical="top"/>
    </xf>
    <xf numFmtId="0" fontId="80" fillId="7" borderId="1" xfId="0" applyFont="1" applyFill="1" applyBorder="1" applyAlignment="1">
      <alignment vertical="center"/>
    </xf>
    <xf numFmtId="0" fontId="81" fillId="3" borderId="1" xfId="0" applyFont="1" applyFill="1" applyBorder="1" applyAlignment="1">
      <alignment vertical="center"/>
    </xf>
    <xf numFmtId="0" fontId="82" fillId="3" borderId="1" xfId="0" applyFont="1" applyFill="1" applyBorder="1" applyAlignment="1">
      <alignment vertical="center"/>
    </xf>
    <xf numFmtId="164" fontId="57" fillId="3" borderId="1" xfId="0" applyNumberFormat="1" applyFont="1" applyFill="1" applyBorder="1" applyAlignment="1">
      <alignment horizontal="right" vertical="center"/>
    </xf>
    <xf numFmtId="165" fontId="57" fillId="3" borderId="1" xfId="0" applyNumberFormat="1" applyFont="1" applyFill="1" applyBorder="1" applyAlignment="1">
      <alignment horizontal="right" vertical="center"/>
    </xf>
    <xf numFmtId="0" fontId="57" fillId="3" borderId="1" xfId="0" applyFont="1" applyFill="1" applyBorder="1" applyAlignment="1">
      <alignment vertical="top"/>
    </xf>
    <xf numFmtId="0" fontId="83" fillId="0" borderId="1" xfId="0" applyFont="1" applyBorder="1" applyAlignment="1">
      <alignment vertical="center"/>
    </xf>
    <xf numFmtId="0" fontId="57" fillId="3" borderId="1" xfId="0" applyFont="1" applyFill="1" applyBorder="1" applyAlignment="1">
      <alignment vertical="center"/>
    </xf>
    <xf numFmtId="0" fontId="84" fillId="3" borderId="1" xfId="0" applyFont="1" applyFill="1" applyBorder="1" applyAlignment="1">
      <alignment horizontal="center" vertical="center"/>
    </xf>
    <xf numFmtId="1" fontId="54" fillId="3" borderId="1" xfId="0" applyNumberFormat="1" applyFont="1" applyFill="1" applyBorder="1" applyAlignment="1">
      <alignment horizontal="center" vertical="center" wrapText="1"/>
    </xf>
    <xf numFmtId="0" fontId="85" fillId="3" borderId="1" xfId="0" applyFont="1" applyFill="1" applyBorder="1" applyAlignment="1">
      <alignment vertical="center"/>
    </xf>
    <xf numFmtId="0" fontId="86" fillId="3" borderId="1" xfId="0" applyFont="1" applyFill="1" applyBorder="1" applyAlignment="1">
      <alignment horizontal="center" vertical="center" wrapText="1"/>
    </xf>
    <xf numFmtId="0" fontId="51" fillId="7" borderId="1" xfId="0" applyFont="1" applyFill="1" applyBorder="1" applyAlignment="1">
      <alignment vertical="center"/>
    </xf>
    <xf numFmtId="0" fontId="87" fillId="7" borderId="1" xfId="0" applyFont="1" applyFill="1" applyBorder="1" applyAlignment="1">
      <alignment horizontal="center" vertical="center"/>
    </xf>
    <xf numFmtId="1" fontId="57" fillId="7" borderId="1" xfId="0" applyNumberFormat="1" applyFont="1" applyFill="1" applyBorder="1" applyAlignment="1">
      <alignment horizontal="center" vertical="center" wrapText="1"/>
    </xf>
    <xf numFmtId="0" fontId="18" fillId="8" borderId="1" xfId="0" applyFont="1" applyFill="1" applyBorder="1" applyAlignment="1">
      <alignment horizontal="center" vertical="center"/>
    </xf>
    <xf numFmtId="0" fontId="18" fillId="9" borderId="1" xfId="0" applyFont="1" applyFill="1" applyBorder="1" applyAlignment="1">
      <alignment horizontal="center" vertical="center"/>
    </xf>
    <xf numFmtId="0" fontId="18" fillId="9" borderId="1" xfId="0" applyFont="1" applyFill="1" applyBorder="1" applyAlignment="1">
      <alignment horizontal="center" vertical="center" wrapText="1"/>
    </xf>
    <xf numFmtId="0" fontId="18" fillId="10" borderId="1" xfId="0" applyFont="1" applyFill="1" applyBorder="1" applyAlignment="1">
      <alignment horizontal="center" vertical="center"/>
    </xf>
    <xf numFmtId="0" fontId="18" fillId="0" borderId="1"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vertical="center"/>
    </xf>
    <xf numFmtId="0" fontId="18" fillId="4" borderId="5" xfId="0" applyFont="1" applyFill="1" applyBorder="1" applyAlignment="1">
      <alignment wrapText="1"/>
    </xf>
    <xf numFmtId="0" fontId="15" fillId="0" borderId="4" xfId="0" applyFont="1" applyBorder="1"/>
    <xf numFmtId="0" fontId="15" fillId="0" borderId="4" xfId="0" applyFont="1" applyBorder="1" applyAlignment="1">
      <alignment horizontal="center" vertical="center" wrapText="1"/>
    </xf>
    <xf numFmtId="14" fontId="15" fillId="0" borderId="4" xfId="0" applyNumberFormat="1" applyFont="1" applyBorder="1"/>
    <xf numFmtId="0" fontId="15" fillId="0" borderId="0" xfId="0" applyFont="1"/>
    <xf numFmtId="0" fontId="15" fillId="0" borderId="1" xfId="0" applyFont="1" applyBorder="1" applyAlignment="1">
      <alignment vertical="center"/>
    </xf>
    <xf numFmtId="0" fontId="18" fillId="0" borderId="1" xfId="0" applyFont="1" applyBorder="1" applyAlignment="1">
      <alignment vertical="center" wrapText="1"/>
    </xf>
    <xf numFmtId="0" fontId="15" fillId="0" borderId="1" xfId="0" applyFont="1" applyBorder="1" applyAlignment="1">
      <alignment horizontal="left" vertical="center" wrapText="1"/>
    </xf>
    <xf numFmtId="14"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1" fontId="15" fillId="0" borderId="1" xfId="0" applyNumberFormat="1" applyFont="1" applyBorder="1" applyAlignment="1">
      <alignment horizontal="center" vertical="center" wrapText="1"/>
    </xf>
    <xf numFmtId="0" fontId="15" fillId="0" borderId="1" xfId="0" applyFont="1" applyBorder="1" applyAlignment="1">
      <alignment horizontal="left" vertical="top" wrapText="1"/>
    </xf>
    <xf numFmtId="0" fontId="15" fillId="11" borderId="1" xfId="0" applyFont="1" applyFill="1" applyBorder="1" applyAlignment="1">
      <alignment vertical="center" wrapText="1"/>
    </xf>
    <xf numFmtId="0" fontId="18" fillId="4" borderId="1" xfId="0" applyFont="1" applyFill="1" applyBorder="1" applyAlignment="1">
      <alignment vertical="center" wrapText="1"/>
    </xf>
    <xf numFmtId="0" fontId="18" fillId="11" borderId="1" xfId="0" applyFont="1" applyFill="1" applyBorder="1" applyAlignment="1">
      <alignment vertical="center" wrapText="1"/>
    </xf>
    <xf numFmtId="0" fontId="15" fillId="11" borderId="1" xfId="0" applyFont="1" applyFill="1" applyBorder="1" applyAlignment="1">
      <alignment horizontal="center" vertical="center" wrapText="1"/>
    </xf>
    <xf numFmtId="14" fontId="15" fillId="11" borderId="1" xfId="0" applyNumberFormat="1" applyFont="1" applyFill="1" applyBorder="1" applyAlignment="1">
      <alignment vertical="center"/>
    </xf>
    <xf numFmtId="14" fontId="15" fillId="11" borderId="6" xfId="0" applyNumberFormat="1" applyFont="1" applyFill="1" applyBorder="1" applyAlignment="1">
      <alignment vertical="center"/>
    </xf>
    <xf numFmtId="1" fontId="15" fillId="11" borderId="1" xfId="0" applyNumberFormat="1" applyFont="1" applyFill="1" applyBorder="1" applyAlignment="1">
      <alignment horizontal="center" vertical="center" wrapText="1"/>
    </xf>
    <xf numFmtId="0" fontId="15" fillId="0" borderId="0" xfId="0" applyFont="1" applyAlignment="1">
      <alignment vertical="center"/>
    </xf>
    <xf numFmtId="0" fontId="51" fillId="0" borderId="1" xfId="0" applyFont="1" applyBorder="1" applyAlignment="1">
      <alignment vertical="center"/>
    </xf>
    <xf numFmtId="0" fontId="18" fillId="11" borderId="1" xfId="0" applyFont="1" applyFill="1" applyBorder="1" applyAlignment="1">
      <alignment horizontal="center" vertical="center" wrapText="1"/>
    </xf>
    <xf numFmtId="14" fontId="18" fillId="11" borderId="1" xfId="0" applyNumberFormat="1" applyFont="1" applyFill="1" applyBorder="1" applyAlignment="1">
      <alignment horizontal="center" vertical="center"/>
    </xf>
    <xf numFmtId="0" fontId="18" fillId="11" borderId="1" xfId="0" applyFont="1" applyFill="1" applyBorder="1" applyAlignment="1">
      <alignment horizontal="center" vertical="top" wrapText="1"/>
    </xf>
    <xf numFmtId="0" fontId="15" fillId="11" borderId="7" xfId="0" applyFont="1" applyFill="1" applyBorder="1" applyAlignment="1">
      <alignment horizontal="left" vertical="center"/>
    </xf>
    <xf numFmtId="0" fontId="15" fillId="11" borderId="7" xfId="0" applyFont="1" applyFill="1" applyBorder="1" applyAlignment="1">
      <alignment horizontal="center" vertical="center"/>
    </xf>
    <xf numFmtId="0" fontId="51" fillId="0" borderId="1" xfId="0" applyFont="1" applyBorder="1" applyAlignment="1">
      <alignment horizontal="center" vertical="center" wrapText="1"/>
    </xf>
    <xf numFmtId="14" fontId="51" fillId="0" borderId="1" xfId="0" applyNumberFormat="1" applyFont="1" applyBorder="1" applyAlignment="1">
      <alignment vertical="center"/>
    </xf>
    <xf numFmtId="0" fontId="15" fillId="0" borderId="1" xfId="0" applyFont="1" applyBorder="1" applyAlignment="1">
      <alignment vertical="center" wrapText="1"/>
    </xf>
    <xf numFmtId="0" fontId="51" fillId="0" borderId="0" xfId="0" applyFont="1" applyAlignment="1">
      <alignment vertical="center"/>
    </xf>
    <xf numFmtId="0" fontId="18" fillId="12" borderId="1" xfId="0" applyFont="1" applyFill="1" applyBorder="1" applyAlignment="1">
      <alignment horizontal="center" vertical="center"/>
    </xf>
    <xf numFmtId="0" fontId="18" fillId="4" borderId="1" xfId="0" applyFont="1" applyFill="1" applyBorder="1" applyAlignment="1">
      <alignment horizontal="left" vertical="center" wrapText="1"/>
    </xf>
    <xf numFmtId="0" fontId="15" fillId="12" borderId="1" xfId="0" applyFont="1" applyFill="1" applyBorder="1" applyAlignment="1">
      <alignment horizontal="left" vertical="center"/>
    </xf>
    <xf numFmtId="14" fontId="15" fillId="12" borderId="1" xfId="0" applyNumberFormat="1" applyFont="1" applyFill="1" applyBorder="1" applyAlignment="1">
      <alignment horizontal="center" vertical="center"/>
    </xf>
    <xf numFmtId="1" fontId="15" fillId="12" borderId="1" xfId="0" applyNumberFormat="1" applyFont="1" applyFill="1" applyBorder="1" applyAlignment="1">
      <alignment horizontal="center" vertical="center" wrapText="1"/>
    </xf>
    <xf numFmtId="0" fontId="15" fillId="12" borderId="1" xfId="0" applyFont="1" applyFill="1" applyBorder="1" applyAlignment="1">
      <alignment horizontal="left" vertical="top" wrapText="1"/>
    </xf>
    <xf numFmtId="0" fontId="18" fillId="11" borderId="1" xfId="0" applyFont="1" applyFill="1" applyBorder="1" applyAlignment="1">
      <alignment horizontal="center" vertical="center"/>
    </xf>
    <xf numFmtId="0" fontId="18" fillId="11" borderId="5" xfId="0" applyFont="1" applyFill="1" applyBorder="1" applyAlignment="1">
      <alignment horizontal="center" vertical="center" wrapText="1"/>
    </xf>
    <xf numFmtId="0" fontId="15" fillId="11" borderId="1" xfId="0" applyFont="1" applyFill="1" applyBorder="1"/>
    <xf numFmtId="0" fontId="15" fillId="11" borderId="1" xfId="0" applyFont="1" applyFill="1" applyBorder="1" applyAlignment="1">
      <alignment horizontal="left" vertical="center" wrapText="1"/>
    </xf>
    <xf numFmtId="14" fontId="15" fillId="11" borderId="1" xfId="0" applyNumberFormat="1" applyFont="1" applyFill="1" applyBorder="1" applyAlignment="1">
      <alignment horizontal="center" vertical="center"/>
    </xf>
    <xf numFmtId="14" fontId="15" fillId="11" borderId="1" xfId="0" applyNumberFormat="1" applyFont="1" applyFill="1" applyBorder="1" applyAlignment="1">
      <alignment horizontal="center"/>
    </xf>
    <xf numFmtId="0" fontId="15" fillId="11" borderId="1" xfId="0" applyFont="1" applyFill="1" applyBorder="1" applyAlignment="1">
      <alignment wrapText="1"/>
    </xf>
    <xf numFmtId="0" fontId="51" fillId="0" borderId="0" xfId="0" applyFont="1"/>
    <xf numFmtId="0" fontId="18" fillId="11" borderId="8" xfId="0" applyFont="1" applyFill="1" applyBorder="1" applyAlignment="1">
      <alignment horizontal="center" vertical="center" wrapText="1"/>
    </xf>
    <xf numFmtId="0" fontId="18" fillId="11" borderId="9" xfId="0" applyFont="1" applyFill="1" applyBorder="1" applyAlignment="1">
      <alignment horizontal="center" vertical="center" wrapText="1"/>
    </xf>
    <xf numFmtId="0" fontId="15" fillId="4" borderId="1" xfId="0" applyFont="1" applyFill="1" applyBorder="1" applyAlignment="1">
      <alignment wrapText="1"/>
    </xf>
    <xf numFmtId="0" fontId="13" fillId="0" borderId="0" xfId="0" applyFont="1" applyAlignment="1">
      <alignment horizontal="center" vertical="center"/>
    </xf>
    <xf numFmtId="0" fontId="4" fillId="0" borderId="0" xfId="0" applyFont="1" applyAlignment="1">
      <alignment horizontal="center" vertical="center"/>
    </xf>
    <xf numFmtId="0" fontId="15" fillId="0" borderId="0" xfId="0" applyFont="1" applyAlignment="1">
      <alignment horizontal="left" vertical="center"/>
    </xf>
    <xf numFmtId="0" fontId="9" fillId="0" borderId="0" xfId="0" applyFont="1" applyAlignment="1">
      <alignment horizontal="center" vertical="center" wrapText="1"/>
    </xf>
    <xf numFmtId="0" fontId="4" fillId="0" borderId="0" xfId="0" applyFont="1" applyAlignment="1">
      <alignment horizontal="center" vertical="top" wrapText="1"/>
    </xf>
    <xf numFmtId="0" fontId="1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4"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9" fillId="3" borderId="0" xfId="0" applyFont="1" applyFill="1" applyAlignment="1">
      <alignment horizontal="left" vertical="top" wrapText="1"/>
    </xf>
    <xf numFmtId="0" fontId="4" fillId="3" borderId="1" xfId="0" applyFont="1" applyFill="1" applyBorder="1" applyAlignment="1">
      <alignment horizontal="center" vertical="center" wrapText="1"/>
    </xf>
    <xf numFmtId="0" fontId="18" fillId="3" borderId="1" xfId="0" applyFont="1" applyFill="1" applyBorder="1" applyAlignment="1">
      <alignment horizontal="left" vertical="center" wrapText="1"/>
    </xf>
    <xf numFmtId="0" fontId="15" fillId="13" borderId="1" xfId="0" applyFont="1" applyFill="1" applyBorder="1" applyAlignment="1">
      <alignment horizontal="left" vertical="center"/>
    </xf>
    <xf numFmtId="0" fontId="90" fillId="3" borderId="1" xfId="0" applyFont="1" applyFill="1" applyBorder="1" applyAlignment="1">
      <alignment vertical="center"/>
    </xf>
    <xf numFmtId="0" fontId="90" fillId="3" borderId="1" xfId="0" applyFont="1" applyFill="1" applyBorder="1" applyAlignment="1">
      <alignment horizontal="center" vertical="center"/>
    </xf>
    <xf numFmtId="0" fontId="90" fillId="3" borderId="1" xfId="0" applyFont="1" applyFill="1" applyBorder="1" applyAlignment="1">
      <alignment vertical="center"/>
    </xf>
    <xf numFmtId="164" fontId="90" fillId="3" borderId="1" xfId="0" applyNumberFormat="1" applyFont="1" applyFill="1" applyBorder="1" applyAlignment="1">
      <alignment vertical="center"/>
    </xf>
    <xf numFmtId="165" fontId="90" fillId="3" borderId="1" xfId="0" applyNumberFormat="1" applyFont="1" applyFill="1" applyBorder="1" applyAlignment="1">
      <alignment vertical="center"/>
    </xf>
    <xf numFmtId="0" fontId="90" fillId="3" borderId="1" xfId="0" applyFont="1" applyFill="1" applyBorder="1" applyAlignment="1">
      <alignment horizontal="center" vertical="center"/>
    </xf>
    <xf numFmtId="14" fontId="90" fillId="3" borderId="1" xfId="0" applyNumberFormat="1" applyFont="1" applyFill="1" applyBorder="1" applyAlignment="1">
      <alignment vertical="center"/>
    </xf>
    <xf numFmtId="0" fontId="90" fillId="3" borderId="0" xfId="0" applyFont="1" applyFill="1" applyAlignment="1">
      <alignment vertical="center"/>
    </xf>
    <xf numFmtId="0" fontId="90" fillId="3" borderId="0" xfId="0" applyFont="1" applyFill="1" applyAlignment="1">
      <alignment vertical="center"/>
    </xf>
    <xf numFmtId="0" fontId="15" fillId="3" borderId="1" xfId="0" applyFont="1" applyFill="1" applyBorder="1" applyAlignment="1">
      <alignment horizontal="left" vertical="center"/>
    </xf>
    <xf numFmtId="0" fontId="13"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15" fillId="3" borderId="1" xfId="0" applyFont="1" applyFill="1" applyBorder="1" applyAlignment="1">
      <alignment horizontal="left" vertical="center" wrapText="1"/>
    </xf>
    <xf numFmtId="14" fontId="9" fillId="3" borderId="1" xfId="0" applyNumberFormat="1" applyFont="1" applyFill="1" applyBorder="1" applyAlignment="1">
      <alignment horizontal="center" vertical="center"/>
    </xf>
    <xf numFmtId="164" fontId="9" fillId="3" borderId="1" xfId="0" applyNumberFormat="1" applyFont="1" applyFill="1" applyBorder="1" applyAlignment="1">
      <alignment vertical="center"/>
    </xf>
    <xf numFmtId="165" fontId="9" fillId="3" borderId="1" xfId="0" applyNumberFormat="1" applyFont="1" applyFill="1" applyBorder="1" applyAlignment="1">
      <alignment vertical="center"/>
    </xf>
    <xf numFmtId="1" fontId="9" fillId="3" borderId="1" xfId="0" applyNumberFormat="1" applyFont="1" applyFill="1" applyBorder="1" applyAlignment="1">
      <alignment horizontal="center" vertical="center" wrapText="1"/>
    </xf>
    <xf numFmtId="14" fontId="9" fillId="3" borderId="1" xfId="0" applyNumberFormat="1" applyFont="1" applyFill="1" applyBorder="1" applyAlignment="1">
      <alignment vertical="center"/>
    </xf>
    <xf numFmtId="0" fontId="9" fillId="3" borderId="1" xfId="0" applyFont="1" applyFill="1" applyBorder="1" applyAlignment="1">
      <alignment horizontal="left" vertical="top" wrapText="1"/>
    </xf>
    <xf numFmtId="0" fontId="9" fillId="3" borderId="0" xfId="0" applyFont="1" applyFill="1" applyAlignment="1">
      <alignment horizontal="left" vertical="top" wrapText="1"/>
    </xf>
    <xf numFmtId="0" fontId="9" fillId="0" borderId="0" xfId="0" applyFont="1" applyAlignment="1">
      <alignment horizontal="center" vertical="center"/>
    </xf>
    <xf numFmtId="0" fontId="9" fillId="3" borderId="1" xfId="0" applyFont="1" applyFill="1" applyBorder="1" applyAlignment="1">
      <alignment vertical="center" wrapText="1"/>
    </xf>
    <xf numFmtId="0" fontId="9" fillId="3" borderId="1" xfId="0" applyFont="1" applyFill="1" applyBorder="1" applyAlignment="1">
      <alignment horizontal="left" vertical="top"/>
    </xf>
    <xf numFmtId="0" fontId="9" fillId="3" borderId="0" xfId="0" applyFont="1" applyFill="1" applyAlignment="1">
      <alignment horizontal="left" vertical="top"/>
    </xf>
    <xf numFmtId="0" fontId="15" fillId="3" borderId="1" xfId="0" applyFont="1" applyFill="1" applyBorder="1" applyAlignment="1">
      <alignment horizontal="left" vertical="center" wrapText="1"/>
    </xf>
    <xf numFmtId="0" fontId="9" fillId="3" borderId="1" xfId="0" applyFont="1" applyFill="1" applyBorder="1" applyAlignment="1">
      <alignment horizontal="center" vertical="center"/>
    </xf>
    <xf numFmtId="0" fontId="9" fillId="3" borderId="0" xfId="0" applyFont="1" applyFill="1" applyAlignment="1">
      <alignment horizontal="left" vertical="top"/>
    </xf>
    <xf numFmtId="0" fontId="90" fillId="0" borderId="0" xfId="0" applyFont="1"/>
    <xf numFmtId="0" fontId="9" fillId="3" borderId="0" xfId="0" applyFont="1" applyFill="1" applyAlignment="1">
      <alignment horizontal="left" vertical="top" wrapText="1"/>
    </xf>
    <xf numFmtId="0" fontId="9" fillId="3" borderId="0" xfId="0" applyFont="1" applyFill="1" applyAlignment="1">
      <alignment horizontal="left" vertical="top" wrapText="1"/>
    </xf>
    <xf numFmtId="0" fontId="9" fillId="0" borderId="0" xfId="0" applyFont="1"/>
    <xf numFmtId="0" fontId="4" fillId="3" borderId="1" xfId="0" applyFont="1" applyFill="1" applyBorder="1" applyAlignment="1">
      <alignment horizontal="center" vertical="center" wrapText="1"/>
    </xf>
    <xf numFmtId="0" fontId="9" fillId="3" borderId="1" xfId="0" applyFont="1" applyFill="1" applyBorder="1" applyAlignment="1">
      <alignment horizontal="center" wrapText="1"/>
    </xf>
    <xf numFmtId="165" fontId="9" fillId="3" borderId="1" xfId="0" applyNumberFormat="1" applyFont="1" applyFill="1" applyBorder="1" applyAlignment="1">
      <alignment wrapText="1"/>
    </xf>
    <xf numFmtId="165" fontId="9" fillId="3" borderId="1" xfId="0" applyNumberFormat="1" applyFont="1" applyFill="1" applyBorder="1" applyAlignment="1">
      <alignment vertical="center" wrapText="1"/>
    </xf>
    <xf numFmtId="0" fontId="9" fillId="3" borderId="1" xfId="0" applyFont="1" applyFill="1" applyBorder="1" applyAlignment="1">
      <alignment horizontal="center"/>
    </xf>
    <xf numFmtId="164" fontId="9" fillId="3" borderId="1" xfId="0" applyNumberFormat="1" applyFont="1" applyFill="1" applyBorder="1"/>
    <xf numFmtId="0" fontId="9" fillId="3" borderId="1" xfId="0" applyFont="1" applyFill="1" applyBorder="1"/>
    <xf numFmtId="14" fontId="9" fillId="3" borderId="1" xfId="0" applyNumberFormat="1" applyFont="1" applyFill="1" applyBorder="1"/>
    <xf numFmtId="14" fontId="9" fillId="3" borderId="1" xfId="0" applyNumberFormat="1" applyFont="1" applyFill="1" applyBorder="1" applyAlignment="1">
      <alignment horizontal="left" vertical="top" wrapText="1"/>
    </xf>
    <xf numFmtId="0" fontId="9" fillId="3" borderId="0" xfId="0" applyFont="1" applyFill="1" applyAlignment="1">
      <alignment horizontal="left" vertical="top" wrapText="1"/>
    </xf>
    <xf numFmtId="0" fontId="90" fillId="3" borderId="1" xfId="0" applyFont="1" applyFill="1" applyBorder="1" applyAlignment="1">
      <alignment horizontal="center" wrapText="1"/>
    </xf>
    <xf numFmtId="165" fontId="90" fillId="3" borderId="1" xfId="0" applyNumberFormat="1" applyFont="1" applyFill="1" applyBorder="1"/>
    <xf numFmtId="165" fontId="90" fillId="3" borderId="1" xfId="0" applyNumberFormat="1" applyFont="1" applyFill="1" applyBorder="1" applyAlignment="1">
      <alignment wrapText="1"/>
    </xf>
    <xf numFmtId="0" fontId="90" fillId="3" borderId="1" xfId="0" applyFont="1" applyFill="1" applyBorder="1" applyAlignment="1">
      <alignment horizontal="center"/>
    </xf>
    <xf numFmtId="164" fontId="90" fillId="3" borderId="1" xfId="0" applyNumberFormat="1" applyFont="1" applyFill="1" applyBorder="1"/>
    <xf numFmtId="0" fontId="90" fillId="3" borderId="1" xfId="0" applyFont="1" applyFill="1" applyBorder="1"/>
    <xf numFmtId="14" fontId="90" fillId="3" borderId="1" xfId="0" applyNumberFormat="1" applyFont="1" applyFill="1" applyBorder="1"/>
    <xf numFmtId="0" fontId="9" fillId="3" borderId="0" xfId="0" applyFont="1" applyFill="1"/>
    <xf numFmtId="0" fontId="4" fillId="3" borderId="1" xfId="0" applyFont="1" applyFill="1" applyBorder="1" applyAlignment="1">
      <alignment horizontal="center" vertical="center"/>
    </xf>
    <xf numFmtId="0" fontId="15" fillId="3" borderId="1" xfId="0" applyFont="1" applyFill="1" applyBorder="1" applyAlignment="1">
      <alignment horizontal="left" vertical="center"/>
    </xf>
    <xf numFmtId="14" fontId="9" fillId="3" borderId="1" xfId="0" applyNumberFormat="1" applyFont="1" applyFill="1" applyBorder="1" applyAlignment="1">
      <alignment horizontal="center"/>
    </xf>
    <xf numFmtId="0" fontId="9" fillId="3" borderId="1" xfId="0" applyFont="1" applyFill="1" applyBorder="1" applyAlignment="1">
      <alignment vertical="top" wrapText="1"/>
    </xf>
    <xf numFmtId="0" fontId="9" fillId="3" borderId="0" xfId="0" applyFont="1" applyFill="1" applyAlignment="1">
      <alignment vertical="top" wrapText="1"/>
    </xf>
    <xf numFmtId="0" fontId="9" fillId="3" borderId="0" xfId="0" applyFont="1" applyFill="1" applyAlignment="1">
      <alignment vertical="top" wrapText="1"/>
    </xf>
    <xf numFmtId="0" fontId="13" fillId="3" borderId="1" xfId="0" applyFont="1" applyFill="1" applyBorder="1" applyAlignment="1">
      <alignment horizontal="center" vertical="center"/>
    </xf>
    <xf numFmtId="14" fontId="9" fillId="3" borderId="1" xfId="0" applyNumberFormat="1" applyFont="1" applyFill="1" applyBorder="1" applyAlignment="1">
      <alignment horizontal="center" vertical="center"/>
    </xf>
    <xf numFmtId="164" fontId="9" fillId="3" borderId="1" xfId="0" applyNumberFormat="1" applyFont="1" applyFill="1" applyBorder="1" applyAlignment="1">
      <alignment vertical="center"/>
    </xf>
    <xf numFmtId="165" fontId="9" fillId="3" borderId="1" xfId="0" applyNumberFormat="1" applyFont="1" applyFill="1" applyBorder="1" applyAlignment="1">
      <alignment vertical="center"/>
    </xf>
    <xf numFmtId="0" fontId="89" fillId="3" borderId="1" xfId="0" applyFont="1" applyFill="1" applyBorder="1" applyAlignment="1">
      <alignment horizontal="center"/>
    </xf>
    <xf numFmtId="0" fontId="9" fillId="3" borderId="1" xfId="0" applyFont="1" applyFill="1" applyBorder="1" applyAlignment="1">
      <alignment vertical="center"/>
    </xf>
    <xf numFmtId="166" fontId="9" fillId="3" borderId="1" xfId="0" applyNumberFormat="1" applyFont="1" applyFill="1" applyBorder="1" applyAlignment="1">
      <alignment horizontal="center" vertical="center"/>
    </xf>
    <xf numFmtId="14" fontId="9" fillId="3" borderId="1" xfId="0" applyNumberFormat="1" applyFont="1" applyFill="1" applyBorder="1" applyAlignment="1">
      <alignment vertical="center"/>
    </xf>
    <xf numFmtId="166" fontId="9" fillId="3" borderId="1" xfId="0" applyNumberFormat="1" applyFont="1" applyFill="1" applyBorder="1" applyAlignment="1">
      <alignment horizontal="center" vertical="center"/>
    </xf>
    <xf numFmtId="14" fontId="9" fillId="3" borderId="1" xfId="0" applyNumberFormat="1" applyFont="1" applyFill="1" applyBorder="1" applyAlignment="1">
      <alignment vertical="center"/>
    </xf>
    <xf numFmtId="0" fontId="9" fillId="3" borderId="0" xfId="0" applyFont="1" applyFill="1" applyAlignment="1">
      <alignment horizontal="left" vertical="top"/>
    </xf>
    <xf numFmtId="0" fontId="9" fillId="3" borderId="0" xfId="0" applyFont="1" applyFill="1" applyAlignment="1">
      <alignment horizontal="left" vertical="top"/>
    </xf>
    <xf numFmtId="0" fontId="89" fillId="3" borderId="1" xfId="0" applyFont="1" applyFill="1" applyBorder="1" applyAlignment="1">
      <alignment horizontal="center"/>
    </xf>
    <xf numFmtId="0" fontId="13" fillId="3" borderId="1" xfId="0" applyFont="1" applyFill="1" applyBorder="1" applyAlignment="1">
      <alignment horizontal="center" vertical="center" wrapText="1"/>
    </xf>
    <xf numFmtId="0" fontId="13" fillId="3" borderId="1" xfId="0" applyFont="1" applyFill="1" applyBorder="1" applyAlignment="1">
      <alignment vertical="center"/>
    </xf>
    <xf numFmtId="0" fontId="9" fillId="3" borderId="1" xfId="0" applyFont="1" applyFill="1" applyBorder="1" applyAlignment="1">
      <alignment horizontal="center" vertical="center" wrapText="1"/>
    </xf>
    <xf numFmtId="0" fontId="9" fillId="3" borderId="1" xfId="0" applyFont="1" applyFill="1" applyBorder="1" applyAlignment="1">
      <alignment horizontal="center" vertical="center"/>
    </xf>
    <xf numFmtId="0" fontId="9" fillId="3" borderId="1" xfId="0" applyFont="1" applyFill="1" applyBorder="1" applyAlignment="1">
      <alignment vertical="center"/>
    </xf>
    <xf numFmtId="0" fontId="15" fillId="3" borderId="1" xfId="0" applyFont="1" applyFill="1" applyBorder="1" applyAlignment="1">
      <alignment horizontal="left" vertical="center"/>
    </xf>
    <xf numFmtId="0" fontId="9" fillId="3" borderId="1" xfId="0" applyFont="1" applyFill="1" applyBorder="1" applyAlignment="1">
      <alignment vertical="center"/>
    </xf>
    <xf numFmtId="14" fontId="9" fillId="3" borderId="1" xfId="0" applyNumberFormat="1" applyFont="1" applyFill="1" applyBorder="1" applyAlignment="1">
      <alignment horizontal="center" vertical="center"/>
    </xf>
    <xf numFmtId="164" fontId="9" fillId="3" borderId="1" xfId="0" applyNumberFormat="1" applyFont="1" applyFill="1" applyBorder="1" applyAlignment="1">
      <alignment vertical="center"/>
    </xf>
    <xf numFmtId="0" fontId="9" fillId="3" borderId="0" xfId="0" applyFont="1" applyFill="1" applyAlignment="1">
      <alignment vertical="center"/>
    </xf>
    <xf numFmtId="14" fontId="9" fillId="3" borderId="0" xfId="0" applyNumberFormat="1" applyFont="1" applyFill="1" applyAlignment="1">
      <alignment vertical="center"/>
    </xf>
    <xf numFmtId="0" fontId="9" fillId="3" borderId="0" xfId="0" applyFont="1" applyFill="1" applyAlignment="1">
      <alignment horizontal="left" vertical="top"/>
    </xf>
    <xf numFmtId="0" fontId="91" fillId="3" borderId="1" xfId="0" applyFont="1" applyFill="1" applyBorder="1" applyAlignment="1">
      <alignment horizontal="center" vertical="center"/>
    </xf>
    <xf numFmtId="1" fontId="9" fillId="3" borderId="1" xfId="0" applyNumberFormat="1" applyFont="1" applyFill="1" applyBorder="1" applyAlignment="1">
      <alignment horizontal="center" vertical="center"/>
    </xf>
    <xf numFmtId="0" fontId="9" fillId="3" borderId="1" xfId="0" applyFont="1" applyFill="1" applyBorder="1" applyAlignment="1">
      <alignment vertical="center"/>
    </xf>
    <xf numFmtId="0" fontId="13" fillId="3" borderId="1" xfId="0" applyFont="1" applyFill="1" applyBorder="1" applyAlignment="1">
      <alignment horizontal="center" vertical="center" wrapText="1"/>
    </xf>
    <xf numFmtId="0" fontId="92" fillId="3" borderId="1" xfId="0" applyFont="1" applyFill="1" applyBorder="1" applyAlignment="1">
      <alignment horizontal="center"/>
    </xf>
    <xf numFmtId="0" fontId="89" fillId="3" borderId="1" xfId="0" applyFont="1" applyFill="1" applyBorder="1" applyAlignment="1">
      <alignment horizontal="center"/>
    </xf>
    <xf numFmtId="0" fontId="93" fillId="3" borderId="1" xfId="0" applyFont="1" applyFill="1" applyBorder="1" applyAlignment="1">
      <alignment horizontal="center" vertical="center"/>
    </xf>
    <xf numFmtId="0" fontId="94" fillId="3" borderId="1" xfId="0" applyFont="1" applyFill="1" applyBorder="1" applyAlignment="1">
      <alignment horizontal="center"/>
    </xf>
    <xf numFmtId="0" fontId="95" fillId="3" borderId="2" xfId="0" applyFont="1" applyFill="1" applyBorder="1" applyAlignment="1">
      <alignment horizontal="center"/>
    </xf>
    <xf numFmtId="0" fontId="96" fillId="3" borderId="1" xfId="0" applyFont="1" applyFill="1" applyBorder="1" applyAlignment="1">
      <alignment horizontal="left" vertical="center"/>
    </xf>
    <xf numFmtId="0" fontId="97" fillId="3" borderId="1" xfId="0" applyFont="1" applyFill="1" applyBorder="1" applyAlignment="1">
      <alignment vertical="center"/>
    </xf>
    <xf numFmtId="164" fontId="17" fillId="3" borderId="1" xfId="0" applyNumberFormat="1" applyFont="1" applyFill="1" applyBorder="1" applyAlignment="1">
      <alignment horizontal="right"/>
    </xf>
    <xf numFmtId="0" fontId="9" fillId="3" borderId="1" xfId="0" applyFont="1" applyFill="1" applyBorder="1" applyAlignment="1">
      <alignment horizontal="left" vertical="top"/>
    </xf>
    <xf numFmtId="0" fontId="9" fillId="3" borderId="1" xfId="0" applyFont="1" applyFill="1" applyBorder="1" applyAlignment="1">
      <alignment horizontal="left" vertical="top"/>
    </xf>
    <xf numFmtId="0" fontId="9" fillId="3" borderId="1" xfId="0" applyFont="1" applyFill="1" applyBorder="1" applyAlignment="1">
      <alignment horizontal="left" vertical="top"/>
    </xf>
    <xf numFmtId="0" fontId="98" fillId="3" borderId="1" xfId="0" applyFont="1" applyFill="1" applyBorder="1" applyAlignment="1">
      <alignment horizontal="center" vertical="center"/>
    </xf>
    <xf numFmtId="0" fontId="99" fillId="3" borderId="1" xfId="0" applyFont="1" applyFill="1" applyBorder="1" applyAlignment="1">
      <alignment horizontal="center"/>
    </xf>
    <xf numFmtId="0" fontId="100" fillId="3" borderId="1" xfId="0" applyFont="1" applyFill="1" applyBorder="1" applyAlignment="1">
      <alignment horizontal="left" vertical="center" wrapText="1"/>
    </xf>
    <xf numFmtId="0" fontId="101" fillId="3" borderId="1" xfId="0" applyFont="1" applyFill="1" applyBorder="1" applyAlignment="1">
      <alignment horizontal="center"/>
    </xf>
    <xf numFmtId="0" fontId="102" fillId="3" borderId="1" xfId="0" applyFont="1" applyFill="1" applyBorder="1" applyAlignment="1">
      <alignment horizontal="center" vertical="center"/>
    </xf>
    <xf numFmtId="0" fontId="9" fillId="3" borderId="1" xfId="0" applyFont="1" applyFill="1" applyBorder="1" applyAlignment="1">
      <alignment horizontal="left" vertical="top" wrapText="1"/>
    </xf>
    <xf numFmtId="0" fontId="9" fillId="3" borderId="1" xfId="0" applyFont="1" applyFill="1" applyBorder="1" applyAlignment="1">
      <alignment horizontal="left" vertical="top" wrapText="1"/>
    </xf>
    <xf numFmtId="0" fontId="9" fillId="3" borderId="1" xfId="0" applyFont="1" applyFill="1" applyBorder="1" applyAlignment="1">
      <alignment horizontal="left" vertical="top" wrapText="1"/>
    </xf>
    <xf numFmtId="0" fontId="103" fillId="0" borderId="1" xfId="0" applyFont="1" applyBorder="1" applyAlignment="1">
      <alignment horizontal="left" vertical="center"/>
    </xf>
    <xf numFmtId="0" fontId="9" fillId="0" borderId="1" xfId="0" applyFont="1" applyBorder="1" applyAlignment="1">
      <alignment horizontal="center" vertical="center"/>
    </xf>
    <xf numFmtId="0" fontId="15" fillId="0" borderId="1" xfId="0" applyFont="1" applyBorder="1" applyAlignment="1">
      <alignment horizontal="left" vertical="center"/>
    </xf>
    <xf numFmtId="0" fontId="104" fillId="3" borderId="1" xfId="0" applyFont="1" applyFill="1" applyBorder="1" applyAlignment="1">
      <alignment horizontal="center"/>
    </xf>
    <xf numFmtId="166" fontId="9" fillId="0" borderId="1" xfId="0" applyNumberFormat="1" applyFont="1" applyBorder="1" applyAlignment="1">
      <alignment horizontal="center" vertical="center"/>
    </xf>
    <xf numFmtId="0" fontId="4" fillId="14"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0" borderId="1" xfId="0" applyFont="1" applyBorder="1" applyAlignment="1">
      <alignment horizontal="center" vertical="center"/>
    </xf>
    <xf numFmtId="0" fontId="9" fillId="0" borderId="1" xfId="0" applyFont="1" applyBorder="1" applyAlignment="1">
      <alignment vertical="center" wrapText="1"/>
    </xf>
    <xf numFmtId="0" fontId="4" fillId="0" borderId="4" xfId="0" applyFont="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horizontal="center" vertical="center"/>
    </xf>
    <xf numFmtId="14" fontId="9" fillId="0" borderId="1" xfId="0" applyNumberFormat="1" applyFont="1" applyBorder="1" applyAlignment="1">
      <alignment horizontal="center" vertical="center"/>
    </xf>
    <xf numFmtId="14" fontId="9" fillId="0" borderId="0" xfId="0" applyNumberFormat="1" applyFont="1" applyAlignment="1">
      <alignment vertical="center"/>
    </xf>
    <xf numFmtId="1" fontId="9" fillId="0" borderId="1" xfId="0" applyNumberFormat="1" applyFont="1" applyBorder="1" applyAlignment="1">
      <alignment horizontal="center" vertical="center" wrapText="1"/>
    </xf>
    <xf numFmtId="0" fontId="9" fillId="0" borderId="1" xfId="0" applyFont="1" applyBorder="1" applyAlignment="1">
      <alignment horizontal="left" vertical="top" wrapText="1"/>
    </xf>
    <xf numFmtId="0" fontId="51" fillId="0" borderId="10" xfId="0" applyFont="1" applyBorder="1"/>
    <xf numFmtId="0" fontId="4" fillId="0" borderId="11" xfId="0" applyFont="1" applyBorder="1" applyAlignment="1">
      <alignment horizontal="center" vertical="center" wrapText="1"/>
    </xf>
    <xf numFmtId="0" fontId="51" fillId="0" borderId="12" xfId="0" applyFont="1" applyBorder="1"/>
    <xf numFmtId="0" fontId="9" fillId="0" borderId="1" xfId="0" applyFont="1" applyBorder="1" applyAlignment="1">
      <alignment horizontal="left" vertical="center" wrapText="1"/>
    </xf>
    <xf numFmtId="0" fontId="4" fillId="0" borderId="1" xfId="0" applyFont="1" applyBorder="1" applyAlignment="1">
      <alignment horizontal="left" vertical="center" wrapText="1"/>
    </xf>
    <xf numFmtId="0" fontId="9" fillId="0" borderId="1" xfId="0" applyFont="1" applyBorder="1" applyAlignment="1">
      <alignment horizontal="center" vertical="center" wrapText="1"/>
    </xf>
    <xf numFmtId="0" fontId="4" fillId="0" borderId="4" xfId="0" applyFont="1" applyBorder="1" applyAlignment="1">
      <alignment vertical="center"/>
    </xf>
    <xf numFmtId="0" fontId="4" fillId="0" borderId="1" xfId="0" applyFont="1" applyBorder="1" applyAlignment="1">
      <alignment horizontal="left" vertical="center"/>
    </xf>
    <xf numFmtId="0" fontId="4"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wrapText="1"/>
    </xf>
    <xf numFmtId="0" fontId="9" fillId="0" borderId="1" xfId="0" applyFont="1" applyBorder="1"/>
    <xf numFmtId="14" fontId="9" fillId="0" borderId="1" xfId="0" applyNumberFormat="1" applyFont="1" applyBorder="1" applyAlignment="1">
      <alignment vertical="center"/>
    </xf>
    <xf numFmtId="0" fontId="9" fillId="0" borderId="1" xfId="0" applyFont="1" applyBorder="1" applyAlignment="1">
      <alignment vertical="top" wrapText="1"/>
    </xf>
    <xf numFmtId="0" fontId="105" fillId="0" borderId="0" xfId="0" applyFont="1" applyAlignment="1">
      <alignment vertical="top" wrapText="1"/>
    </xf>
    <xf numFmtId="0" fontId="4" fillId="4" borderId="5"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pplyAlignment="1">
      <alignment horizontal="left" vertical="center" wrapText="1"/>
    </xf>
    <xf numFmtId="0" fontId="9" fillId="0" borderId="4" xfId="0" applyFont="1" applyBorder="1" applyAlignment="1">
      <alignment horizontal="center" vertical="center" wrapText="1"/>
    </xf>
    <xf numFmtId="14" fontId="9" fillId="0" borderId="4" xfId="0" applyNumberFormat="1" applyFont="1" applyBorder="1" applyAlignment="1">
      <alignment horizontal="center" vertical="center"/>
    </xf>
    <xf numFmtId="1" fontId="9" fillId="0" borderId="4" xfId="0" applyNumberFormat="1" applyFont="1" applyBorder="1" applyAlignment="1">
      <alignment horizontal="center" vertical="center" wrapText="1"/>
    </xf>
    <xf numFmtId="0" fontId="9" fillId="0" borderId="4" xfId="0" applyFont="1" applyBorder="1" applyAlignment="1">
      <alignment horizontal="center" vertical="center"/>
    </xf>
    <xf numFmtId="0" fontId="9" fillId="0" borderId="4" xfId="0" applyFont="1" applyBorder="1" applyAlignment="1">
      <alignment horizontal="left" vertical="top" wrapText="1"/>
    </xf>
    <xf numFmtId="0" fontId="4" fillId="0" borderId="13" xfId="0" applyFont="1" applyBorder="1" applyAlignment="1">
      <alignment horizontal="center" vertical="center"/>
    </xf>
    <xf numFmtId="14" fontId="4" fillId="0" borderId="1" xfId="0" applyNumberFormat="1" applyFont="1" applyBorder="1" applyAlignment="1">
      <alignment horizontal="left" vertical="top" wrapText="1"/>
    </xf>
    <xf numFmtId="0" fontId="51" fillId="0" borderId="14" xfId="0" applyFont="1" applyBorder="1"/>
    <xf numFmtId="0" fontId="4" fillId="4" borderId="1" xfId="0" applyFont="1" applyFill="1" applyBorder="1" applyAlignment="1">
      <alignment horizontal="center" vertical="center"/>
    </xf>
    <xf numFmtId="0" fontId="4" fillId="4" borderId="9" xfId="0" applyFont="1" applyFill="1" applyBorder="1" applyAlignment="1">
      <alignment horizontal="center" vertical="center" wrapText="1"/>
    </xf>
    <xf numFmtId="0" fontId="4" fillId="0" borderId="15" xfId="0" applyFont="1" applyBorder="1" applyAlignment="1">
      <alignment vertical="center"/>
    </xf>
    <xf numFmtId="0" fontId="4" fillId="4" borderId="5" xfId="0" applyFont="1" applyFill="1" applyBorder="1" applyAlignment="1">
      <alignment horizontal="center" vertical="center"/>
    </xf>
    <xf numFmtId="0" fontId="9" fillId="0" borderId="4" xfId="0" applyFont="1" applyBorder="1" applyAlignment="1">
      <alignment horizontal="left" vertical="center" wrapText="1"/>
    </xf>
    <xf numFmtId="0" fontId="18" fillId="4" borderId="1" xfId="0" applyFont="1" applyFill="1" applyBorder="1" applyAlignment="1">
      <alignment horizontal="center" vertical="center"/>
    </xf>
    <xf numFmtId="0" fontId="18" fillId="0" borderId="4" xfId="0" applyFont="1" applyBorder="1" applyAlignment="1">
      <alignment vertical="center" wrapText="1"/>
    </xf>
    <xf numFmtId="0" fontId="15" fillId="0" borderId="1" xfId="0" applyFont="1" applyBorder="1" applyAlignment="1">
      <alignment horizontal="left" vertical="center"/>
    </xf>
    <xf numFmtId="0" fontId="18" fillId="4" borderId="9" xfId="0" applyFont="1" applyFill="1" applyBorder="1" applyAlignment="1">
      <alignment horizontal="center" vertical="center" wrapText="1"/>
    </xf>
    <xf numFmtId="0" fontId="18" fillId="0" borderId="16" xfId="0" applyFont="1" applyBorder="1" applyAlignment="1">
      <alignment vertical="center" wrapText="1"/>
    </xf>
    <xf numFmtId="0" fontId="18" fillId="0" borderId="17" xfId="0" applyFont="1" applyBorder="1" applyAlignment="1">
      <alignment horizontal="left" vertical="center" wrapText="1"/>
    </xf>
    <xf numFmtId="0" fontId="15" fillId="0" borderId="17" xfId="0" applyFont="1" applyBorder="1" applyAlignment="1">
      <alignment horizontal="center" vertical="center"/>
    </xf>
    <xf numFmtId="14" fontId="15" fillId="0" borderId="17" xfId="0" applyNumberFormat="1" applyFont="1" applyBorder="1" applyAlignment="1">
      <alignment horizontal="center" vertical="center"/>
    </xf>
    <xf numFmtId="14" fontId="15" fillId="0" borderId="10" xfId="0" applyNumberFormat="1" applyFont="1" applyBorder="1"/>
    <xf numFmtId="1" fontId="15" fillId="0" borderId="10" xfId="0" applyNumberFormat="1" applyFont="1" applyBorder="1" applyAlignment="1">
      <alignment horizontal="center" vertical="center" wrapText="1"/>
    </xf>
    <xf numFmtId="0" fontId="15" fillId="0" borderId="17" xfId="0" applyFont="1" applyBorder="1" applyAlignment="1">
      <alignment horizontal="left" vertical="top" wrapText="1"/>
    </xf>
    <xf numFmtId="0" fontId="18" fillId="0" borderId="15" xfId="0" applyFont="1" applyBorder="1" applyAlignment="1">
      <alignment vertical="center" wrapText="1"/>
    </xf>
    <xf numFmtId="0" fontId="18" fillId="0" borderId="1" xfId="0" applyFont="1" applyBorder="1" applyAlignment="1">
      <alignment horizontal="left" vertical="center" wrapText="1"/>
    </xf>
    <xf numFmtId="14" fontId="15" fillId="0" borderId="1" xfId="0" applyNumberFormat="1" applyFont="1" applyBorder="1"/>
    <xf numFmtId="0" fontId="15" fillId="0" borderId="1" xfId="0" applyFont="1" applyBorder="1" applyAlignment="1">
      <alignment vertical="top" wrapText="1"/>
    </xf>
    <xf numFmtId="0" fontId="18" fillId="4" borderId="5" xfId="0" applyFont="1" applyFill="1" applyBorder="1" applyAlignment="1">
      <alignment horizontal="center" vertical="center" wrapText="1"/>
    </xf>
    <xf numFmtId="0" fontId="15" fillId="0" borderId="1" xfId="0" applyFont="1" applyBorder="1" applyAlignment="1">
      <alignment horizontal="center" vertical="center" wrapText="1"/>
    </xf>
    <xf numFmtId="0" fontId="18" fillId="0" borderId="1" xfId="0" applyFont="1" applyBorder="1" applyAlignment="1">
      <alignment horizontal="left" vertical="top" wrapText="1"/>
    </xf>
    <xf numFmtId="0" fontId="18" fillId="0" borderId="1" xfId="0" applyFont="1" applyBorder="1" applyAlignment="1">
      <alignment horizontal="center" vertical="center" wrapText="1"/>
    </xf>
    <xf numFmtId="0" fontId="15" fillId="0" borderId="0" xfId="0" applyFont="1" applyAlignment="1">
      <alignment horizontal="left" vertical="center"/>
    </xf>
    <xf numFmtId="0" fontId="106" fillId="0" borderId="0" xfId="0" applyFont="1" applyAlignment="1">
      <alignment horizontal="left" vertical="center"/>
    </xf>
    <xf numFmtId="0" fontId="18" fillId="0" borderId="4" xfId="0" applyFont="1" applyBorder="1" applyAlignment="1">
      <alignment horizontal="center" vertical="center" wrapText="1"/>
    </xf>
    <xf numFmtId="0" fontId="18" fillId="0" borderId="4" xfId="0" applyFont="1" applyBorder="1" applyAlignment="1">
      <alignment horizontal="center" vertical="center"/>
    </xf>
    <xf numFmtId="0" fontId="18" fillId="4" borderId="5" xfId="0" applyFont="1" applyFill="1" applyBorder="1" applyAlignment="1">
      <alignment horizontal="center" vertical="center"/>
    </xf>
    <xf numFmtId="0" fontId="51" fillId="0" borderId="17" xfId="0" applyFont="1" applyBorder="1"/>
    <xf numFmtId="0" fontId="15" fillId="0" borderId="4" xfId="0" applyFont="1" applyBorder="1" applyAlignment="1">
      <alignment horizontal="left" vertical="center"/>
    </xf>
    <xf numFmtId="0" fontId="15" fillId="0" borderId="4" xfId="0" applyFont="1" applyBorder="1" applyAlignment="1">
      <alignment horizontal="center" vertical="center"/>
    </xf>
    <xf numFmtId="14" fontId="15" fillId="0" borderId="4" xfId="0" applyNumberFormat="1" applyFont="1" applyBorder="1" applyAlignment="1">
      <alignment horizontal="center" vertical="center"/>
    </xf>
    <xf numFmtId="1" fontId="15" fillId="0" borderId="4" xfId="0" applyNumberFormat="1" applyFont="1" applyBorder="1" applyAlignment="1">
      <alignment horizontal="center" vertical="center" wrapText="1"/>
    </xf>
    <xf numFmtId="0" fontId="15" fillId="0" borderId="4" xfId="0" applyFont="1" applyBorder="1" applyAlignment="1">
      <alignment horizontal="left" vertical="top" wrapText="1"/>
    </xf>
    <xf numFmtId="0" fontId="18" fillId="0" borderId="17" xfId="0" applyFont="1" applyBorder="1" applyAlignment="1">
      <alignment horizontal="center" vertical="center" wrapText="1"/>
    </xf>
    <xf numFmtId="0" fontId="18" fillId="0" borderId="10" xfId="0" applyFont="1" applyBorder="1" applyAlignment="1">
      <alignment horizontal="left" vertical="center" wrapText="1"/>
    </xf>
    <xf numFmtId="0" fontId="15" fillId="0" borderId="10" xfId="0" applyFont="1" applyBorder="1" applyAlignment="1">
      <alignment horizontal="center" vertical="center"/>
    </xf>
    <xf numFmtId="14" fontId="15" fillId="0" borderId="10" xfId="0" applyNumberFormat="1" applyFont="1" applyBorder="1" applyAlignment="1">
      <alignment vertical="center"/>
    </xf>
    <xf numFmtId="0" fontId="15" fillId="0" borderId="10" xfId="0" applyFont="1" applyBorder="1" applyAlignment="1">
      <alignment vertical="top" wrapText="1"/>
    </xf>
    <xf numFmtId="0" fontId="18" fillId="4" borderId="8" xfId="0" applyFont="1" applyFill="1" applyBorder="1" applyAlignment="1">
      <alignment horizontal="center" vertical="center" wrapText="1"/>
    </xf>
    <xf numFmtId="14" fontId="15" fillId="0" borderId="17" xfId="0" applyNumberFormat="1" applyFont="1" applyBorder="1"/>
    <xf numFmtId="0" fontId="15" fillId="0" borderId="17" xfId="0" applyFont="1" applyBorder="1" applyAlignment="1">
      <alignment vertical="top" wrapText="1"/>
    </xf>
    <xf numFmtId="0" fontId="18" fillId="4" borderId="1" xfId="0" applyFont="1" applyFill="1" applyBorder="1" applyAlignment="1">
      <alignment horizontal="center" vertical="center" wrapText="1"/>
    </xf>
    <xf numFmtId="0" fontId="18" fillId="0" borderId="17" xfId="0" applyFont="1" applyBorder="1" applyAlignment="1">
      <alignment vertical="center" wrapText="1"/>
    </xf>
    <xf numFmtId="0" fontId="15" fillId="0" borderId="10" xfId="0" applyFont="1" applyBorder="1" applyAlignment="1">
      <alignment horizontal="center" vertical="center" wrapText="1"/>
    </xf>
    <xf numFmtId="0" fontId="18" fillId="0" borderId="10" xfId="0" applyFont="1" applyBorder="1" applyAlignment="1">
      <alignment wrapText="1"/>
    </xf>
    <xf numFmtId="0" fontId="15" fillId="0" borderId="10" xfId="0" applyFont="1" applyBorder="1"/>
    <xf numFmtId="0" fontId="15" fillId="0" borderId="10" xfId="0" applyFont="1" applyBorder="1" applyAlignment="1">
      <alignment horizontal="center" wrapText="1"/>
    </xf>
    <xf numFmtId="0" fontId="15" fillId="0" borderId="10" xfId="0" applyFont="1" applyBorder="1" applyAlignment="1">
      <alignment wrapText="1"/>
    </xf>
    <xf numFmtId="0" fontId="18" fillId="11" borderId="18" xfId="0" applyFont="1" applyFill="1" applyBorder="1" applyAlignment="1">
      <alignment horizontal="center" vertical="center" wrapText="1"/>
    </xf>
    <xf numFmtId="0" fontId="18" fillId="11" borderId="5" xfId="0" applyFont="1" applyFill="1" applyBorder="1" applyAlignment="1">
      <alignment vertical="center" wrapText="1"/>
    </xf>
    <xf numFmtId="0" fontId="15" fillId="11" borderId="1" xfId="0" applyFont="1" applyFill="1" applyBorder="1" applyAlignment="1">
      <alignment horizontal="left" vertical="center"/>
    </xf>
    <xf numFmtId="0" fontId="15" fillId="11" borderId="1" xfId="0" applyFont="1" applyFill="1" applyBorder="1" applyAlignment="1">
      <alignment horizontal="center" vertical="center"/>
    </xf>
    <xf numFmtId="0" fontId="15" fillId="11" borderId="1" xfId="0" applyFont="1" applyFill="1" applyBorder="1" applyAlignment="1">
      <alignment horizontal="left" vertical="top" wrapText="1"/>
    </xf>
    <xf numFmtId="0" fontId="18" fillId="11" borderId="1" xfId="0" applyFont="1" applyFill="1" applyBorder="1" applyAlignment="1">
      <alignment horizontal="left" vertical="center" wrapText="1"/>
    </xf>
    <xf numFmtId="0" fontId="18" fillId="0" borderId="13" xfId="0" applyFont="1" applyBorder="1" applyAlignment="1">
      <alignment vertical="center" wrapText="1"/>
    </xf>
    <xf numFmtId="0" fontId="15" fillId="0" borderId="1" xfId="0" applyFont="1" applyBorder="1" applyAlignment="1">
      <alignment wrapText="1"/>
    </xf>
    <xf numFmtId="0" fontId="15" fillId="0" borderId="1" xfId="0" applyFont="1" applyBorder="1"/>
    <xf numFmtId="0" fontId="15" fillId="0" borderId="0" xfId="0" applyFont="1" applyAlignment="1">
      <alignment horizontal="left"/>
    </xf>
    <xf numFmtId="0" fontId="15" fillId="0" borderId="4" xfId="0" applyFont="1" applyBorder="1" applyAlignment="1">
      <alignment wrapText="1"/>
    </xf>
    <xf numFmtId="0" fontId="15" fillId="0" borderId="17" xfId="0" applyFont="1" applyBorder="1" applyAlignment="1">
      <alignment wrapText="1"/>
    </xf>
    <xf numFmtId="0" fontId="15" fillId="0" borderId="19" xfId="0" applyFont="1" applyBorder="1" applyAlignment="1">
      <alignment horizontal="center" vertical="center"/>
    </xf>
    <xf numFmtId="0" fontId="15" fillId="0" borderId="10" xfId="0" applyFont="1" applyBorder="1" applyAlignment="1">
      <alignment horizontal="left" vertical="center"/>
    </xf>
    <xf numFmtId="0" fontId="15" fillId="11" borderId="9" xfId="0" applyFont="1" applyFill="1" applyBorder="1" applyAlignment="1">
      <alignment horizontal="center" vertical="center"/>
    </xf>
    <xf numFmtId="14" fontId="15" fillId="11" borderId="20" xfId="0" applyNumberFormat="1" applyFont="1" applyFill="1" applyBorder="1" applyAlignment="1">
      <alignment horizontal="center" vertical="center"/>
    </xf>
    <xf numFmtId="14" fontId="15" fillId="11" borderId="9" xfId="0" applyNumberFormat="1" applyFont="1" applyFill="1" applyBorder="1" applyAlignment="1">
      <alignment horizontal="center" vertical="center"/>
    </xf>
    <xf numFmtId="0" fontId="15" fillId="11" borderId="9" xfId="0" applyFont="1" applyFill="1" applyBorder="1" applyAlignment="1">
      <alignment horizontal="left" vertical="top" wrapText="1"/>
    </xf>
    <xf numFmtId="14" fontId="15" fillId="0" borderId="21" xfId="0" applyNumberFormat="1" applyFont="1" applyBorder="1" applyAlignment="1">
      <alignment horizontal="center" vertical="center"/>
    </xf>
    <xf numFmtId="14" fontId="15" fillId="0" borderId="10" xfId="0" applyNumberFormat="1" applyFont="1" applyBorder="1" applyAlignment="1">
      <alignment horizontal="center" vertical="center"/>
    </xf>
    <xf numFmtId="0" fontId="15" fillId="0" borderId="10" xfId="0" applyFont="1" applyBorder="1" applyAlignment="1">
      <alignment horizontal="left" vertical="top" wrapText="1"/>
    </xf>
    <xf numFmtId="14" fontId="15" fillId="0" borderId="1" xfId="0" applyNumberFormat="1" applyFont="1" applyBorder="1" applyAlignment="1">
      <alignment vertical="center"/>
    </xf>
    <xf numFmtId="0" fontId="15" fillId="0" borderId="15" xfId="0" applyFont="1" applyBorder="1" applyAlignment="1">
      <alignment wrapText="1"/>
    </xf>
    <xf numFmtId="0" fontId="15" fillId="0" borderId="19" xfId="0" applyFont="1" applyBorder="1" applyAlignment="1">
      <alignment vertical="center" wrapText="1"/>
    </xf>
    <xf numFmtId="0" fontId="107" fillId="0" borderId="17" xfId="0" applyFont="1" applyBorder="1" applyAlignment="1">
      <alignment horizontal="left" vertical="center"/>
    </xf>
    <xf numFmtId="1" fontId="15" fillId="0" borderId="17" xfId="0" applyNumberFormat="1" applyFont="1" applyBorder="1" applyAlignment="1">
      <alignment horizontal="center" vertical="center" wrapText="1"/>
    </xf>
    <xf numFmtId="0" fontId="18" fillId="0" borderId="17" xfId="0" applyFont="1" applyBorder="1" applyAlignment="1">
      <alignment horizontal="left" vertical="top" wrapText="1"/>
    </xf>
    <xf numFmtId="14" fontId="18" fillId="11" borderId="18" xfId="0" applyNumberFormat="1" applyFont="1" applyFill="1" applyBorder="1" applyAlignment="1">
      <alignment horizontal="center" vertical="center" wrapText="1"/>
    </xf>
    <xf numFmtId="0" fontId="18" fillId="11" borderId="18" xfId="0" applyFont="1" applyFill="1" applyBorder="1" applyAlignment="1">
      <alignment horizontal="left" vertical="center" wrapText="1"/>
    </xf>
    <xf numFmtId="0" fontId="18" fillId="0" borderId="15" xfId="0" applyFont="1" applyBorder="1" applyAlignment="1">
      <alignment horizontal="center" vertical="center" wrapText="1"/>
    </xf>
    <xf numFmtId="0" fontId="15" fillId="11" borderId="5" xfId="0" applyFont="1" applyFill="1" applyBorder="1" applyAlignment="1">
      <alignment vertical="center" wrapText="1"/>
    </xf>
    <xf numFmtId="0" fontId="18" fillId="11" borderId="8" xfId="0" applyFont="1" applyFill="1" applyBorder="1" applyAlignment="1">
      <alignment wrapText="1"/>
    </xf>
    <xf numFmtId="0" fontId="15" fillId="11" borderId="5" xfId="0" applyFont="1" applyFill="1" applyBorder="1" applyAlignment="1">
      <alignment wrapText="1"/>
    </xf>
    <xf numFmtId="0" fontId="15" fillId="11" borderId="5" xfId="0" applyFont="1" applyFill="1" applyBorder="1" applyAlignment="1">
      <alignment horizontal="center" vertical="center" wrapText="1"/>
    </xf>
    <xf numFmtId="14" fontId="15" fillId="11" borderId="5" xfId="0" applyNumberFormat="1" applyFont="1" applyFill="1" applyBorder="1" applyAlignment="1">
      <alignment vertical="center"/>
    </xf>
    <xf numFmtId="0" fontId="15" fillId="11" borderId="8" xfId="0" applyFont="1" applyFill="1" applyBorder="1" applyAlignment="1">
      <alignment vertical="center"/>
    </xf>
    <xf numFmtId="14" fontId="15" fillId="11" borderId="8" xfId="0" applyNumberFormat="1" applyFont="1" applyFill="1" applyBorder="1" applyAlignment="1">
      <alignment horizontal="center" vertical="center"/>
    </xf>
    <xf numFmtId="1" fontId="15" fillId="11" borderId="8" xfId="0" applyNumberFormat="1" applyFont="1" applyFill="1" applyBorder="1" applyAlignment="1">
      <alignment horizontal="center" vertical="center" wrapText="1"/>
    </xf>
    <xf numFmtId="14" fontId="15" fillId="11" borderId="8" xfId="0" applyNumberFormat="1" applyFont="1" applyFill="1" applyBorder="1" applyAlignment="1">
      <alignment vertical="center"/>
    </xf>
    <xf numFmtId="0" fontId="15" fillId="11" borderId="8" xfId="0" applyFont="1" applyFill="1" applyBorder="1" applyAlignment="1">
      <alignment vertical="center" wrapText="1"/>
    </xf>
    <xf numFmtId="0" fontId="15" fillId="0" borderId="17" xfId="0" applyFont="1" applyBorder="1" applyAlignment="1">
      <alignment horizontal="left" vertical="center" wrapText="1"/>
    </xf>
    <xf numFmtId="14" fontId="15" fillId="0" borderId="12" xfId="0" applyNumberFormat="1" applyFont="1" applyBorder="1" applyAlignment="1">
      <alignment horizontal="center" vertical="center"/>
    </xf>
    <xf numFmtId="0" fontId="15" fillId="0" borderId="1" xfId="0" applyFont="1" applyBorder="1" applyAlignment="1">
      <alignment horizontal="center" vertical="top" wrapText="1"/>
    </xf>
    <xf numFmtId="0" fontId="18" fillId="0" borderId="4" xfId="0" applyFont="1" applyBorder="1" applyAlignment="1">
      <alignment horizontal="left" vertical="center"/>
    </xf>
    <xf numFmtId="0" fontId="15" fillId="11" borderId="1" xfId="0" applyFont="1" applyFill="1" applyBorder="1" applyAlignment="1">
      <alignment vertical="center"/>
    </xf>
    <xf numFmtId="0" fontId="15" fillId="0" borderId="10" xfId="0" applyFont="1" applyBorder="1" applyAlignment="1">
      <alignment horizontal="left" vertical="center" wrapText="1"/>
    </xf>
    <xf numFmtId="0" fontId="15" fillId="0" borderId="19" xfId="0" applyFont="1" applyBorder="1" applyAlignment="1">
      <alignment horizontal="left" vertical="center" wrapText="1"/>
    </xf>
    <xf numFmtId="14" fontId="15" fillId="0" borderId="2" xfId="0" applyNumberFormat="1" applyFont="1" applyBorder="1" applyAlignment="1">
      <alignment horizontal="center" vertical="center"/>
    </xf>
    <xf numFmtId="0" fontId="15" fillId="4" borderId="5" xfId="0" applyFont="1" applyFill="1" applyBorder="1" applyAlignment="1">
      <alignment wrapText="1"/>
    </xf>
    <xf numFmtId="0" fontId="15" fillId="0" borderId="11" xfId="0" applyFont="1" applyBorder="1" applyAlignment="1">
      <alignment horizontal="center" vertical="center"/>
    </xf>
    <xf numFmtId="14" fontId="15" fillId="0" borderId="11" xfId="0" applyNumberFormat="1" applyFont="1" applyBorder="1" applyAlignment="1">
      <alignment horizontal="center" vertical="center"/>
    </xf>
    <xf numFmtId="0" fontId="15" fillId="4" borderId="1" xfId="0" applyFont="1" applyFill="1" applyBorder="1" applyAlignment="1">
      <alignment horizontal="left" vertical="center" wrapText="1"/>
    </xf>
    <xf numFmtId="0" fontId="18" fillId="0" borderId="1" xfId="0" applyFont="1" applyBorder="1" applyAlignment="1">
      <alignment vertical="center"/>
    </xf>
    <xf numFmtId="14" fontId="18" fillId="0" borderId="4" xfId="0" applyNumberFormat="1" applyFont="1" applyBorder="1" applyAlignment="1">
      <alignment horizontal="center" vertical="center"/>
    </xf>
    <xf numFmtId="14" fontId="18" fillId="0" borderId="4" xfId="0" applyNumberFormat="1" applyFont="1" applyBorder="1" applyAlignment="1">
      <alignment horizontal="center" vertical="center" wrapText="1"/>
    </xf>
    <xf numFmtId="0" fontId="18" fillId="0" borderId="4" xfId="0" applyFont="1" applyBorder="1" applyAlignment="1">
      <alignment horizontal="center" vertical="top" wrapText="1"/>
    </xf>
    <xf numFmtId="0" fontId="18" fillId="11" borderId="5" xfId="0" applyFont="1" applyFill="1" applyBorder="1" applyAlignment="1">
      <alignment horizontal="center" vertical="center"/>
    </xf>
    <xf numFmtId="0" fontId="18" fillId="11" borderId="5" xfId="0" applyFont="1" applyFill="1" applyBorder="1" applyAlignment="1">
      <alignment horizontal="left" vertical="center" wrapText="1"/>
    </xf>
    <xf numFmtId="0" fontId="15" fillId="11" borderId="8" xfId="0" applyFont="1" applyFill="1" applyBorder="1" applyAlignment="1">
      <alignment horizontal="left" vertical="center"/>
    </xf>
    <xf numFmtId="14" fontId="15" fillId="11" borderId="5" xfId="0" applyNumberFormat="1" applyFont="1" applyFill="1" applyBorder="1" applyAlignment="1">
      <alignment horizontal="center" vertical="center"/>
    </xf>
    <xf numFmtId="1" fontId="15" fillId="11" borderId="5" xfId="0" applyNumberFormat="1" applyFont="1" applyFill="1" applyBorder="1" applyAlignment="1">
      <alignment horizontal="center" vertical="center" wrapText="1"/>
    </xf>
    <xf numFmtId="0" fontId="15" fillId="11" borderId="5" xfId="0" applyFont="1" applyFill="1" applyBorder="1" applyAlignment="1">
      <alignment horizontal="left" vertical="top" wrapText="1"/>
    </xf>
    <xf numFmtId="0" fontId="18" fillId="11" borderId="1" xfId="0" applyFont="1" applyFill="1" applyBorder="1" applyAlignment="1">
      <alignment horizontal="left" vertical="top" wrapText="1"/>
    </xf>
    <xf numFmtId="0" fontId="15" fillId="11" borderId="5" xfId="0" applyFont="1" applyFill="1" applyBorder="1" applyAlignment="1">
      <alignment horizontal="center" vertical="center"/>
    </xf>
    <xf numFmtId="14" fontId="18" fillId="11" borderId="5" xfId="0" applyNumberFormat="1" applyFont="1" applyFill="1" applyBorder="1" applyAlignment="1">
      <alignment horizontal="center" vertical="center"/>
    </xf>
    <xf numFmtId="0" fontId="18" fillId="11" borderId="5" xfId="0" applyFont="1" applyFill="1" applyBorder="1" applyAlignment="1">
      <alignment horizontal="left" vertical="top" wrapText="1"/>
    </xf>
    <xf numFmtId="14" fontId="15" fillId="0" borderId="1" xfId="0" applyNumberFormat="1" applyFont="1" applyBorder="1" applyAlignment="1">
      <alignment horizontal="center"/>
    </xf>
    <xf numFmtId="0" fontId="51" fillId="0" borderId="1" xfId="0" applyFont="1" applyBorder="1"/>
    <xf numFmtId="14" fontId="51" fillId="0" borderId="1" xfId="0" applyNumberFormat="1" applyFont="1" applyBorder="1"/>
    <xf numFmtId="0" fontId="18" fillId="12" borderId="1" xfId="0" applyFont="1" applyFill="1" applyBorder="1" applyAlignment="1">
      <alignment horizontal="left" vertical="center" wrapText="1"/>
    </xf>
    <xf numFmtId="0" fontId="18" fillId="12" borderId="1" xfId="0" applyFont="1" applyFill="1" applyBorder="1" applyAlignment="1">
      <alignment horizontal="center" vertical="center" wrapText="1"/>
    </xf>
    <xf numFmtId="14" fontId="18" fillId="12" borderId="1" xfId="0" applyNumberFormat="1" applyFont="1" applyFill="1" applyBorder="1" applyAlignment="1">
      <alignment horizontal="center" vertical="center"/>
    </xf>
    <xf numFmtId="0" fontId="18" fillId="12" borderId="1" xfId="0" applyFont="1" applyFill="1" applyBorder="1" applyAlignment="1">
      <alignment horizontal="left" vertical="top" wrapText="1"/>
    </xf>
    <xf numFmtId="0" fontId="15" fillId="12" borderId="7" xfId="0" applyFont="1" applyFill="1" applyBorder="1" applyAlignment="1">
      <alignment horizontal="left" vertical="center"/>
    </xf>
    <xf numFmtId="0" fontId="15" fillId="12" borderId="7" xfId="0" applyFont="1" applyFill="1" applyBorder="1" applyAlignment="1">
      <alignment horizontal="center" vertical="center"/>
    </xf>
    <xf numFmtId="0" fontId="51" fillId="12" borderId="7" xfId="0" applyFont="1" applyFill="1" applyBorder="1"/>
    <xf numFmtId="0" fontId="18" fillId="3" borderId="1" xfId="0" applyFont="1" applyFill="1" applyBorder="1" applyAlignment="1">
      <alignment horizontal="center" vertical="center"/>
    </xf>
    <xf numFmtId="14" fontId="15" fillId="0" borderId="1" xfId="0" applyNumberFormat="1" applyFont="1" applyBorder="1" applyAlignment="1">
      <alignment horizontal="center" vertical="center" wrapText="1"/>
    </xf>
    <xf numFmtId="1" fontId="15" fillId="3" borderId="1" xfId="0" applyNumberFormat="1" applyFont="1" applyFill="1" applyBorder="1" applyAlignment="1">
      <alignment horizontal="center" vertical="center" wrapText="1"/>
    </xf>
    <xf numFmtId="14" fontId="18" fillId="0" borderId="1" xfId="0" applyNumberFormat="1" applyFont="1" applyBorder="1" applyAlignment="1">
      <alignment horizontal="center" vertical="center"/>
    </xf>
    <xf numFmtId="0" fontId="18" fillId="3" borderId="5" xfId="0" applyFont="1" applyFill="1" applyBorder="1" applyAlignment="1">
      <alignment vertical="center" wrapText="1"/>
    </xf>
    <xf numFmtId="0" fontId="18" fillId="3" borderId="1" xfId="0" applyFont="1" applyFill="1" applyBorder="1" applyAlignment="1">
      <alignment horizontal="center" vertical="center" wrapText="1"/>
    </xf>
    <xf numFmtId="0" fontId="15" fillId="3" borderId="1" xfId="0" applyFont="1" applyFill="1" applyBorder="1" applyAlignment="1">
      <alignment horizontal="center" vertical="center"/>
    </xf>
    <xf numFmtId="14" fontId="15" fillId="3" borderId="1" xfId="0" applyNumberFormat="1" applyFont="1" applyFill="1" applyBorder="1" applyAlignment="1">
      <alignment horizontal="center" vertical="center"/>
    </xf>
    <xf numFmtId="14" fontId="15" fillId="3" borderId="1" xfId="0" applyNumberFormat="1" applyFont="1" applyFill="1" applyBorder="1" applyAlignment="1">
      <alignment horizontal="center" vertical="center" wrapText="1"/>
    </xf>
    <xf numFmtId="14" fontId="18" fillId="3" borderId="1" xfId="0" applyNumberFormat="1" applyFont="1" applyFill="1" applyBorder="1" applyAlignment="1">
      <alignment horizontal="center" vertical="center"/>
    </xf>
    <xf numFmtId="0" fontId="18" fillId="3" borderId="1" xfId="0" applyFont="1" applyFill="1" applyBorder="1" applyAlignment="1">
      <alignment horizontal="left" vertical="top" wrapText="1"/>
    </xf>
    <xf numFmtId="0" fontId="15" fillId="11" borderId="5" xfId="0" applyFont="1" applyFill="1" applyBorder="1" applyAlignment="1">
      <alignment horizontal="left" vertical="center"/>
    </xf>
    <xf numFmtId="0" fontId="18" fillId="3" borderId="1" xfId="0" applyFont="1" applyFill="1" applyBorder="1" applyAlignment="1">
      <alignment vertical="center" wrapText="1"/>
    </xf>
    <xf numFmtId="0" fontId="15" fillId="3" borderId="1" xfId="0" applyFont="1" applyFill="1" applyBorder="1" applyAlignment="1">
      <alignment horizontal="center" vertical="center" wrapText="1"/>
    </xf>
    <xf numFmtId="14" fontId="18" fillId="3" borderId="6" xfId="0" applyNumberFormat="1" applyFont="1" applyFill="1" applyBorder="1" applyAlignment="1">
      <alignment horizontal="center" vertical="center"/>
    </xf>
    <xf numFmtId="0" fontId="18" fillId="0" borderId="15" xfId="0" applyFont="1" applyBorder="1" applyAlignment="1">
      <alignment vertical="center"/>
    </xf>
    <xf numFmtId="0" fontId="15" fillId="11" borderId="22" xfId="0" applyFont="1" applyFill="1" applyBorder="1" applyAlignment="1">
      <alignment horizontal="center" vertical="center"/>
    </xf>
    <xf numFmtId="0" fontId="18" fillId="3" borderId="5" xfId="0" applyFont="1" applyFill="1" applyBorder="1" applyAlignment="1">
      <alignment horizontal="center" vertical="center"/>
    </xf>
    <xf numFmtId="0" fontId="18" fillId="3" borderId="5" xfId="0" applyFont="1" applyFill="1" applyBorder="1" applyAlignment="1">
      <alignment horizontal="center" vertical="center" wrapText="1"/>
    </xf>
    <xf numFmtId="0" fontId="15" fillId="3" borderId="5" xfId="0" applyFont="1" applyFill="1" applyBorder="1" applyAlignment="1">
      <alignment horizontal="center" vertical="center" wrapText="1"/>
    </xf>
    <xf numFmtId="14" fontId="15" fillId="3" borderId="5" xfId="0" applyNumberFormat="1" applyFont="1" applyFill="1" applyBorder="1" applyAlignment="1">
      <alignment horizontal="center" vertical="center"/>
    </xf>
    <xf numFmtId="0" fontId="18" fillId="11" borderId="1" xfId="0" applyFont="1" applyFill="1" applyBorder="1" applyAlignment="1">
      <alignment horizontal="left" vertical="center"/>
    </xf>
    <xf numFmtId="14" fontId="15" fillId="11" borderId="6" xfId="0" applyNumberFormat="1" applyFont="1" applyFill="1" applyBorder="1" applyAlignment="1">
      <alignment horizontal="center" vertical="center"/>
    </xf>
    <xf numFmtId="14" fontId="15" fillId="11" borderId="1" xfId="0" applyNumberFormat="1" applyFont="1" applyFill="1" applyBorder="1" applyAlignment="1">
      <alignment horizontal="left" vertical="top" wrapText="1"/>
    </xf>
    <xf numFmtId="0" fontId="18" fillId="0" borderId="10" xfId="0" applyFont="1" applyBorder="1" applyAlignment="1">
      <alignment horizontal="center" vertical="center" wrapText="1"/>
    </xf>
    <xf numFmtId="0" fontId="51" fillId="4" borderId="1" xfId="0" applyFont="1" applyFill="1" applyBorder="1" applyAlignment="1">
      <alignment wrapText="1"/>
    </xf>
    <xf numFmtId="14" fontId="51" fillId="0" borderId="1" xfId="0" applyNumberFormat="1" applyFont="1" applyBorder="1" applyAlignment="1">
      <alignment horizontal="center"/>
    </xf>
    <xf numFmtId="0" fontId="51" fillId="0" borderId="1" xfId="0" applyFont="1" applyBorder="1" applyAlignment="1">
      <alignment vertical="top" wrapText="1"/>
    </xf>
    <xf numFmtId="0" fontId="18" fillId="11" borderId="22" xfId="0" applyFont="1" applyFill="1" applyBorder="1" applyAlignment="1">
      <alignment horizontal="center" vertical="center" wrapText="1"/>
    </xf>
    <xf numFmtId="14" fontId="18" fillId="11" borderId="5" xfId="0" applyNumberFormat="1" applyFont="1" applyFill="1" applyBorder="1" applyAlignment="1">
      <alignment horizontal="left" vertical="top" wrapText="1"/>
    </xf>
    <xf numFmtId="0" fontId="18" fillId="11" borderId="22" xfId="0" applyFont="1" applyFill="1" applyBorder="1" applyAlignment="1">
      <alignment horizontal="center" vertical="center"/>
    </xf>
    <xf numFmtId="0" fontId="18" fillId="11" borderId="23" xfId="0" applyFont="1" applyFill="1" applyBorder="1" applyAlignment="1">
      <alignment horizontal="left" vertical="center" wrapText="1"/>
    </xf>
    <xf numFmtId="1" fontId="15" fillId="11" borderId="9" xfId="0" applyNumberFormat="1" applyFont="1" applyFill="1" applyBorder="1" applyAlignment="1">
      <alignment horizontal="center" vertical="center" wrapText="1"/>
    </xf>
    <xf numFmtId="14" fontId="15" fillId="11" borderId="9" xfId="0" applyNumberFormat="1" applyFont="1" applyFill="1" applyBorder="1" applyAlignment="1">
      <alignment horizontal="left" vertical="top" wrapText="1"/>
    </xf>
    <xf numFmtId="0" fontId="18" fillId="4" borderId="1" xfId="0" applyFont="1" applyFill="1" applyBorder="1" applyAlignment="1">
      <alignment vertical="center"/>
    </xf>
    <xf numFmtId="0" fontId="15" fillId="3" borderId="7" xfId="0" applyFont="1" applyFill="1" applyBorder="1" applyAlignment="1">
      <alignment horizontal="center" vertical="center"/>
    </xf>
    <xf numFmtId="0" fontId="51" fillId="3" borderId="7" xfId="0" applyFont="1" applyFill="1" applyBorder="1"/>
    <xf numFmtId="0" fontId="18" fillId="4" borderId="5" xfId="0" applyFont="1" applyFill="1" applyBorder="1" applyAlignment="1">
      <alignment horizontal="left" vertical="center"/>
    </xf>
    <xf numFmtId="0" fontId="15" fillId="11" borderId="5" xfId="0" applyFont="1" applyFill="1" applyBorder="1" applyAlignment="1">
      <alignment horizontal="left" vertical="center" wrapText="1"/>
    </xf>
    <xf numFmtId="14" fontId="15" fillId="11" borderId="22" xfId="0" applyNumberFormat="1" applyFont="1" applyFill="1" applyBorder="1" applyAlignment="1">
      <alignment horizontal="center" vertical="center"/>
    </xf>
    <xf numFmtId="0" fontId="15" fillId="4" borderId="5" xfId="0" applyFont="1" applyFill="1" applyBorder="1" applyAlignment="1">
      <alignment vertical="center" wrapText="1"/>
    </xf>
    <xf numFmtId="0" fontId="15" fillId="4" borderId="5" xfId="0" applyFont="1" applyFill="1" applyBorder="1" applyAlignment="1">
      <alignment vertical="top" wrapText="1"/>
    </xf>
    <xf numFmtId="0" fontId="15" fillId="0" borderId="4" xfId="0" applyFont="1" applyBorder="1" applyAlignment="1">
      <alignment vertical="center" wrapText="1"/>
    </xf>
    <xf numFmtId="0" fontId="18" fillId="11" borderId="24" xfId="0" applyFont="1" applyFill="1" applyBorder="1" applyAlignment="1">
      <alignment horizontal="center" vertical="center" wrapText="1"/>
    </xf>
    <xf numFmtId="0" fontId="15" fillId="11" borderId="9" xfId="0" applyFont="1" applyFill="1" applyBorder="1" applyAlignment="1">
      <alignment horizontal="left" vertical="center" wrapText="1"/>
    </xf>
    <xf numFmtId="0" fontId="18" fillId="11" borderId="9" xfId="0" applyFont="1" applyFill="1" applyBorder="1" applyAlignment="1">
      <alignment horizontal="center" vertical="center"/>
    </xf>
    <xf numFmtId="0" fontId="15" fillId="11" borderId="18" xfId="0" applyFont="1" applyFill="1" applyBorder="1" applyAlignment="1">
      <alignment horizontal="center" vertical="center" wrapText="1"/>
    </xf>
    <xf numFmtId="0" fontId="15" fillId="0" borderId="4" xfId="0" applyFont="1" applyBorder="1" applyAlignment="1">
      <alignment vertical="top" wrapText="1"/>
    </xf>
    <xf numFmtId="14" fontId="18" fillId="0" borderId="1" xfId="0" applyNumberFormat="1" applyFont="1" applyBorder="1" applyAlignment="1">
      <alignment horizontal="left" vertical="top" wrapText="1"/>
    </xf>
    <xf numFmtId="0" fontId="88" fillId="11" borderId="1" xfId="0" applyFont="1" applyFill="1" applyBorder="1" applyAlignment="1">
      <alignment vertical="center"/>
    </xf>
    <xf numFmtId="0" fontId="51" fillId="11" borderId="1" xfId="0" applyFont="1" applyFill="1" applyBorder="1" applyAlignment="1">
      <alignment vertical="center"/>
    </xf>
    <xf numFmtId="0" fontId="51" fillId="11" borderId="1" xfId="0" applyFont="1" applyFill="1" applyBorder="1" applyAlignment="1">
      <alignment horizontal="center" vertical="center"/>
    </xf>
    <xf numFmtId="14" fontId="51" fillId="11" borderId="1" xfId="0" applyNumberFormat="1" applyFont="1" applyFill="1" applyBorder="1" applyAlignment="1">
      <alignment vertical="center"/>
    </xf>
    <xf numFmtId="0" fontId="51" fillId="11" borderId="1" xfId="0" applyFont="1" applyFill="1" applyBorder="1" applyAlignment="1">
      <alignment vertical="center" wrapText="1"/>
    </xf>
    <xf numFmtId="0" fontId="18" fillId="11" borderId="1" xfId="0" applyFont="1" applyFill="1" applyBorder="1" applyAlignment="1">
      <alignment vertical="top" wrapText="1"/>
    </xf>
    <xf numFmtId="0" fontId="9" fillId="0" borderId="2" xfId="0" applyFont="1" applyBorder="1" applyAlignment="1">
      <alignment vertical="top" wrapText="1"/>
    </xf>
    <xf numFmtId="0" fontId="18" fillId="11" borderId="1" xfId="0" applyFont="1" applyFill="1" applyBorder="1" applyAlignment="1">
      <alignment vertical="center"/>
    </xf>
    <xf numFmtId="0" fontId="15" fillId="11" borderId="5" xfId="0" applyFont="1" applyFill="1" applyBorder="1" applyAlignment="1">
      <alignment vertical="center"/>
    </xf>
    <xf numFmtId="0" fontId="15" fillId="11" borderId="5" xfId="0" applyFont="1" applyFill="1" applyBorder="1" applyAlignment="1">
      <alignment vertical="top" wrapText="1"/>
    </xf>
    <xf numFmtId="14" fontId="15" fillId="11" borderId="7" xfId="0" applyNumberFormat="1" applyFont="1" applyFill="1" applyBorder="1" applyAlignment="1">
      <alignment horizontal="center" vertical="center"/>
    </xf>
    <xf numFmtId="0" fontId="15" fillId="11" borderId="1" xfId="0" applyFont="1" applyFill="1" applyBorder="1" applyAlignment="1">
      <alignment vertical="top" wrapText="1"/>
    </xf>
    <xf numFmtId="14" fontId="15" fillId="11" borderId="1" xfId="0" applyNumberFormat="1" applyFont="1" applyFill="1" applyBorder="1" applyAlignment="1">
      <alignment vertical="top" wrapText="1"/>
    </xf>
    <xf numFmtId="0" fontId="15" fillId="11" borderId="25" xfId="0" applyFont="1" applyFill="1" applyBorder="1" applyAlignment="1">
      <alignment horizontal="center" vertical="center" wrapText="1"/>
    </xf>
    <xf numFmtId="0" fontId="15" fillId="4" borderId="9" xfId="0" applyFont="1" applyFill="1" applyBorder="1" applyAlignment="1">
      <alignment horizontal="left" vertical="center"/>
    </xf>
    <xf numFmtId="0" fontId="15" fillId="4" borderId="5" xfId="0" applyFont="1" applyFill="1" applyBorder="1" applyAlignment="1">
      <alignment horizontal="left" vertical="center"/>
    </xf>
    <xf numFmtId="14" fontId="15" fillId="0" borderId="1" xfId="0" applyNumberFormat="1" applyFont="1" applyBorder="1" applyAlignment="1">
      <alignment vertical="center" wrapText="1"/>
    </xf>
    <xf numFmtId="0" fontId="15" fillId="4" borderId="1" xfId="0" applyFont="1" applyFill="1" applyBorder="1" applyAlignment="1">
      <alignment vertical="center"/>
    </xf>
    <xf numFmtId="0" fontId="51" fillId="0" borderId="0" xfId="0" applyFont="1" applyAlignment="1">
      <alignment wrapText="1"/>
    </xf>
    <xf numFmtId="0" fontId="51" fillId="0" borderId="1" xfId="0" applyFont="1" applyBorder="1" applyAlignment="1">
      <alignment horizontal="left" vertical="center" wrapText="1"/>
    </xf>
    <xf numFmtId="0" fontId="108" fillId="0" borderId="1" xfId="0" applyFont="1" applyBorder="1" applyAlignment="1">
      <alignment horizontal="left" vertical="center" wrapText="1"/>
    </xf>
    <xf numFmtId="0" fontId="18" fillId="4" borderId="7" xfId="0" applyFont="1" applyFill="1" applyBorder="1" applyAlignment="1">
      <alignment horizontal="left" vertical="center" wrapText="1"/>
    </xf>
    <xf numFmtId="14" fontId="15" fillId="11" borderId="1" xfId="0" applyNumberFormat="1" applyFont="1" applyFill="1" applyBorder="1" applyAlignment="1">
      <alignment horizontal="left" vertical="center" wrapText="1"/>
    </xf>
    <xf numFmtId="14" fontId="15" fillId="11" borderId="1" xfId="0" applyNumberFormat="1" applyFont="1" applyFill="1" applyBorder="1"/>
    <xf numFmtId="0" fontId="18" fillId="12" borderId="9" xfId="0" applyFont="1" applyFill="1" applyBorder="1" applyAlignment="1">
      <alignment horizontal="center" vertical="center"/>
    </xf>
    <xf numFmtId="0" fontId="18" fillId="4" borderId="9" xfId="0" applyFont="1" applyFill="1" applyBorder="1" applyAlignment="1">
      <alignment horizontal="left" vertical="center" wrapText="1"/>
    </xf>
    <xf numFmtId="0" fontId="15" fillId="12" borderId="9" xfId="0" applyFont="1" applyFill="1" applyBorder="1" applyAlignment="1">
      <alignment horizontal="left" vertical="center"/>
    </xf>
    <xf numFmtId="0" fontId="15" fillId="12" borderId="9" xfId="0" applyFont="1" applyFill="1" applyBorder="1" applyAlignment="1">
      <alignment horizontal="center" vertical="center"/>
    </xf>
    <xf numFmtId="14" fontId="15" fillId="12" borderId="9" xfId="0" applyNumberFormat="1" applyFont="1" applyFill="1" applyBorder="1" applyAlignment="1">
      <alignment horizontal="center" vertical="center"/>
    </xf>
    <xf numFmtId="1" fontId="15" fillId="12" borderId="9" xfId="0" applyNumberFormat="1" applyFont="1" applyFill="1" applyBorder="1" applyAlignment="1">
      <alignment horizontal="center" vertical="center" wrapText="1"/>
    </xf>
    <xf numFmtId="0" fontId="15" fillId="12" borderId="9" xfId="0" applyFont="1" applyFill="1" applyBorder="1" applyAlignment="1">
      <alignment horizontal="left" vertical="top" wrapText="1"/>
    </xf>
    <xf numFmtId="0" fontId="18" fillId="0" borderId="10" xfId="0" applyFont="1" applyBorder="1" applyAlignment="1">
      <alignment horizontal="center" vertical="center"/>
    </xf>
    <xf numFmtId="14" fontId="15" fillId="0" borderId="10" xfId="0" applyNumberFormat="1" applyFont="1" applyBorder="1" applyAlignment="1">
      <alignment horizontal="left" vertical="top" wrapText="1"/>
    </xf>
    <xf numFmtId="0" fontId="18" fillId="0" borderId="10" xfId="0" applyFont="1" applyBorder="1" applyAlignment="1">
      <alignment horizontal="left" vertical="center"/>
    </xf>
    <xf numFmtId="0" fontId="18" fillId="0" borderId="1" xfId="0" applyFont="1" applyBorder="1" applyAlignment="1">
      <alignment horizontal="left" vertical="center"/>
    </xf>
    <xf numFmtId="0" fontId="15" fillId="4" borderId="25" xfId="0" applyFont="1" applyFill="1" applyBorder="1" applyAlignment="1">
      <alignment wrapText="1"/>
    </xf>
    <xf numFmtId="0" fontId="15" fillId="0" borderId="19" xfId="0" applyFont="1" applyBorder="1" applyAlignment="1">
      <alignment wrapText="1"/>
    </xf>
    <xf numFmtId="0" fontId="18" fillId="11" borderId="5" xfId="0" applyFont="1" applyFill="1" applyBorder="1" applyAlignment="1">
      <alignment vertical="center"/>
    </xf>
    <xf numFmtId="0" fontId="15" fillId="11" borderId="9" xfId="0" applyFont="1" applyFill="1" applyBorder="1" applyAlignment="1">
      <alignment horizontal="left" vertical="center"/>
    </xf>
    <xf numFmtId="0" fontId="18" fillId="11" borderId="7" xfId="0" applyFont="1" applyFill="1" applyBorder="1" applyAlignment="1">
      <alignment horizontal="center" vertical="center"/>
    </xf>
    <xf numFmtId="0" fontId="15" fillId="4" borderId="9" xfId="0" applyFont="1" applyFill="1" applyBorder="1" applyAlignment="1">
      <alignment horizontal="left" vertical="center" wrapText="1"/>
    </xf>
    <xf numFmtId="0" fontId="15" fillId="11" borderId="8" xfId="0" applyFont="1" applyFill="1" applyBorder="1" applyAlignment="1">
      <alignment horizontal="center" vertical="center"/>
    </xf>
    <xf numFmtId="0" fontId="15" fillId="4" borderId="23" xfId="0" applyFont="1" applyFill="1" applyBorder="1" applyAlignment="1">
      <alignment horizontal="left" vertical="center" wrapText="1"/>
    </xf>
    <xf numFmtId="0" fontId="15" fillId="11" borderId="9" xfId="0" applyFont="1" applyFill="1" applyBorder="1" applyAlignment="1">
      <alignment horizontal="center" vertical="center" wrapText="1"/>
    </xf>
    <xf numFmtId="0" fontId="18" fillId="4" borderId="23" xfId="0" applyFont="1" applyFill="1" applyBorder="1" applyAlignment="1">
      <alignment horizontal="left" vertical="center" wrapText="1"/>
    </xf>
    <xf numFmtId="0" fontId="18" fillId="4" borderId="24" xfId="0" applyFont="1" applyFill="1" applyBorder="1" applyAlignment="1">
      <alignment horizontal="left" vertical="center" wrapText="1"/>
    </xf>
    <xf numFmtId="14" fontId="15" fillId="11" borderId="26" xfId="0" applyNumberFormat="1" applyFont="1" applyFill="1" applyBorder="1" applyAlignment="1">
      <alignment horizontal="center" vertical="center"/>
    </xf>
    <xf numFmtId="14" fontId="15" fillId="11" borderId="8" xfId="0" applyNumberFormat="1" applyFont="1" applyFill="1" applyBorder="1" applyAlignment="1">
      <alignment horizontal="left" vertical="top" wrapText="1"/>
    </xf>
    <xf numFmtId="0" fontId="18" fillId="11" borderId="27" xfId="0" applyFont="1" applyFill="1" applyBorder="1" applyAlignment="1">
      <alignment horizontal="center" vertical="center"/>
    </xf>
    <xf numFmtId="1" fontId="15" fillId="15" borderId="1" xfId="0" applyNumberFormat="1" applyFont="1" applyFill="1" applyBorder="1" applyAlignment="1">
      <alignment horizontal="center" vertical="center" wrapText="1"/>
    </xf>
    <xf numFmtId="14" fontId="15" fillId="11" borderId="1" xfId="0" applyNumberFormat="1" applyFont="1" applyFill="1" applyBorder="1" applyAlignment="1">
      <alignment wrapText="1"/>
    </xf>
    <xf numFmtId="0" fontId="15" fillId="11" borderId="1" xfId="0" applyFont="1" applyFill="1" applyBorder="1" applyAlignment="1">
      <alignment vertical="top"/>
    </xf>
    <xf numFmtId="0" fontId="51" fillId="0" borderId="17" xfId="0" applyFont="1" applyBorder="1" applyAlignment="1">
      <alignment horizontal="left" vertical="center" wrapText="1"/>
    </xf>
    <xf numFmtId="0" fontId="15" fillId="0" borderId="17" xfId="0" applyFont="1" applyBorder="1" applyAlignment="1">
      <alignment horizontal="left" vertical="center"/>
    </xf>
    <xf numFmtId="14" fontId="18" fillId="11" borderId="1" xfId="0" applyNumberFormat="1" applyFont="1" applyFill="1" applyBorder="1" applyAlignment="1">
      <alignment horizontal="left" vertical="top" wrapText="1"/>
    </xf>
    <xf numFmtId="0" fontId="51" fillId="0" borderId="0" xfId="0" applyFont="1" applyAlignment="1">
      <alignment horizontal="center"/>
    </xf>
    <xf numFmtId="0" fontId="18" fillId="0" borderId="17" xfId="0" applyFont="1" applyBorder="1" applyAlignment="1">
      <alignment horizontal="center" vertical="center"/>
    </xf>
    <xf numFmtId="0" fontId="51" fillId="0" borderId="10" xfId="0" applyFont="1" applyBorder="1" applyAlignment="1">
      <alignment horizontal="left" vertical="center" wrapText="1"/>
    </xf>
    <xf numFmtId="0" fontId="15" fillId="4" borderId="1" xfId="0" applyFont="1" applyFill="1" applyBorder="1" applyAlignment="1">
      <alignment vertical="top" wrapText="1"/>
    </xf>
    <xf numFmtId="14" fontId="15" fillId="11" borderId="1" xfId="0" applyNumberFormat="1" applyFont="1" applyFill="1" applyBorder="1" applyAlignment="1">
      <alignment horizontal="center" vertical="center" wrapText="1"/>
    </xf>
    <xf numFmtId="0" fontId="15" fillId="4" borderId="1" xfId="0" applyFont="1" applyFill="1" applyBorder="1"/>
    <xf numFmtId="0" fontId="51" fillId="0" borderId="1" xfId="0" applyFont="1" applyBorder="1" applyAlignment="1">
      <alignment vertical="center" wrapText="1"/>
    </xf>
    <xf numFmtId="0" fontId="51" fillId="4" borderId="1" xfId="0" applyFont="1" applyFill="1" applyBorder="1" applyAlignment="1">
      <alignment vertical="center"/>
    </xf>
    <xf numFmtId="0" fontId="88" fillId="11" borderId="1" xfId="0" applyFont="1" applyFill="1" applyBorder="1" applyAlignment="1">
      <alignment vertical="center" wrapText="1"/>
    </xf>
    <xf numFmtId="14" fontId="51" fillId="11" borderId="1" xfId="0" applyNumberFormat="1" applyFont="1" applyFill="1" applyBorder="1" applyAlignment="1">
      <alignment vertical="center" wrapText="1"/>
    </xf>
    <xf numFmtId="0" fontId="51" fillId="4" borderId="1" xfId="0" applyFont="1" applyFill="1" applyBorder="1" applyAlignment="1">
      <alignment horizontal="center" vertical="center"/>
    </xf>
    <xf numFmtId="14" fontId="51" fillId="0" borderId="1" xfId="0" applyNumberFormat="1" applyFont="1" applyBorder="1" applyAlignment="1">
      <alignment horizontal="center" vertical="center"/>
    </xf>
    <xf numFmtId="0" fontId="51" fillId="0" borderId="1" xfId="0" applyFont="1" applyBorder="1" applyAlignment="1">
      <alignment horizontal="center" vertical="center"/>
    </xf>
    <xf numFmtId="0" fontId="51" fillId="0" borderId="0" xfId="0" applyFont="1" applyAlignment="1">
      <alignment horizontal="center" vertical="center"/>
    </xf>
    <xf numFmtId="0" fontId="15" fillId="4" borderId="1" xfId="0" applyFont="1" applyFill="1" applyBorder="1" applyAlignment="1">
      <alignment horizontal="left" vertical="center"/>
    </xf>
    <xf numFmtId="0" fontId="51" fillId="0" borderId="1" xfId="0" applyFont="1" applyBorder="1" applyAlignment="1">
      <alignment horizontal="center" wrapText="1"/>
    </xf>
    <xf numFmtId="0" fontId="51" fillId="0" borderId="1" xfId="0" applyFont="1" applyBorder="1" applyAlignment="1">
      <alignment wrapText="1"/>
    </xf>
    <xf numFmtId="0" fontId="15" fillId="11" borderId="1" xfId="0" applyFont="1" applyFill="1" applyBorder="1" applyAlignment="1">
      <alignment horizontal="left" vertical="top"/>
    </xf>
    <xf numFmtId="0" fontId="18" fillId="0" borderId="1" xfId="0" applyFont="1" applyBorder="1" applyAlignment="1">
      <alignment vertical="top" wrapText="1"/>
    </xf>
    <xf numFmtId="0" fontId="110" fillId="0" borderId="0" xfId="0" applyFont="1"/>
    <xf numFmtId="0" fontId="15" fillId="0" borderId="1" xfId="0" applyFont="1" applyBorder="1" applyAlignment="1">
      <alignment horizontal="center"/>
    </xf>
    <xf numFmtId="0" fontId="18" fillId="0" borderId="1" xfId="0" applyFont="1" applyBorder="1" applyAlignment="1">
      <alignment horizontal="center" vertical="top" wrapText="1"/>
    </xf>
    <xf numFmtId="0" fontId="18" fillId="4" borderId="1" xfId="0" applyFont="1" applyFill="1" applyBorder="1" applyAlignment="1">
      <alignment vertical="top" wrapText="1"/>
    </xf>
    <xf numFmtId="0" fontId="51" fillId="4" borderId="7" xfId="0" applyFont="1" applyFill="1" applyBorder="1"/>
    <xf numFmtId="14" fontId="51" fillId="0" borderId="0" xfId="0" applyNumberFormat="1" applyFont="1"/>
    <xf numFmtId="14" fontId="15" fillId="11" borderId="1" xfId="0" applyNumberFormat="1" applyFont="1" applyFill="1" applyBorder="1" applyAlignment="1">
      <alignment horizontal="left" vertical="center"/>
    </xf>
    <xf numFmtId="14" fontId="111" fillId="11" borderId="1" xfId="0" applyNumberFormat="1" applyFont="1" applyFill="1" applyBorder="1" applyAlignment="1">
      <alignment horizontal="left" vertical="top"/>
    </xf>
    <xf numFmtId="0" fontId="88" fillId="0" borderId="1" xfId="0" applyFont="1" applyBorder="1" applyAlignment="1">
      <alignment vertical="center" wrapText="1"/>
    </xf>
    <xf numFmtId="0" fontId="51" fillId="11" borderId="1" xfId="0" applyFont="1" applyFill="1" applyBorder="1" applyAlignment="1">
      <alignment horizontal="center" vertical="center" wrapText="1"/>
    </xf>
    <xf numFmtId="14" fontId="51" fillId="11" borderId="1" xfId="0" applyNumberFormat="1" applyFont="1" applyFill="1" applyBorder="1" applyAlignment="1">
      <alignment vertical="center"/>
    </xf>
    <xf numFmtId="0" fontId="51" fillId="11" borderId="1" xfId="0" applyFont="1" applyFill="1" applyBorder="1" applyAlignment="1">
      <alignment vertical="top"/>
    </xf>
    <xf numFmtId="0" fontId="88" fillId="4" borderId="7" xfId="0" applyFont="1" applyFill="1" applyBorder="1"/>
    <xf numFmtId="0" fontId="15" fillId="11" borderId="1" xfId="0" applyFont="1" applyFill="1" applyBorder="1" applyAlignment="1">
      <alignment horizontal="center" vertical="center" wrapText="1"/>
    </xf>
    <xf numFmtId="0" fontId="18" fillId="11" borderId="7" xfId="0" applyFont="1" applyFill="1" applyBorder="1" applyAlignment="1">
      <alignment horizontal="left" vertical="center" wrapText="1"/>
    </xf>
    <xf numFmtId="0" fontId="15" fillId="4" borderId="7" xfId="0" applyFont="1" applyFill="1" applyBorder="1" applyAlignment="1">
      <alignment horizontal="left" vertical="center"/>
    </xf>
    <xf numFmtId="0" fontId="15" fillId="11" borderId="7" xfId="0" applyFont="1" applyFill="1" applyBorder="1" applyAlignment="1">
      <alignment horizontal="left" vertical="top"/>
    </xf>
    <xf numFmtId="0" fontId="51" fillId="4" borderId="1" xfId="0" applyFont="1" applyFill="1" applyBorder="1"/>
    <xf numFmtId="0" fontId="18" fillId="0" borderId="4" xfId="0" applyFont="1" applyBorder="1" applyAlignment="1">
      <alignment vertical="top"/>
    </xf>
    <xf numFmtId="0" fontId="15" fillId="4" borderId="5" xfId="0" applyFont="1" applyFill="1" applyBorder="1"/>
    <xf numFmtId="14" fontId="15" fillId="0" borderId="4" xfId="0" applyNumberFormat="1" applyFont="1" applyBorder="1" applyAlignment="1">
      <alignment horizontal="center"/>
    </xf>
    <xf numFmtId="1" fontId="15" fillId="11" borderId="5" xfId="0" applyNumberFormat="1" applyFont="1" applyFill="1" applyBorder="1" applyAlignment="1">
      <alignment horizontal="center" vertical="center"/>
    </xf>
    <xf numFmtId="0" fontId="18" fillId="11" borderId="7" xfId="0" applyFont="1" applyFill="1" applyBorder="1" applyAlignment="1">
      <alignment horizontal="center" vertical="center" wrapText="1"/>
    </xf>
    <xf numFmtId="0" fontId="18" fillId="0" borderId="4" xfId="0" applyFont="1" applyBorder="1" applyAlignment="1">
      <alignment vertical="top" wrapText="1"/>
    </xf>
    <xf numFmtId="14" fontId="15" fillId="11" borderId="1" xfId="0" applyNumberFormat="1" applyFont="1" applyFill="1" applyBorder="1" applyAlignment="1">
      <alignment horizontal="left" vertical="top"/>
    </xf>
    <xf numFmtId="0" fontId="18" fillId="11" borderId="7" xfId="0" applyFont="1" applyFill="1" applyBorder="1" applyAlignment="1">
      <alignment horizontal="left" vertical="top" wrapText="1"/>
    </xf>
    <xf numFmtId="0" fontId="15" fillId="0" borderId="4" xfId="0" applyFont="1" applyBorder="1" applyAlignment="1">
      <alignment vertical="top"/>
    </xf>
    <xf numFmtId="0" fontId="88" fillId="0" borderId="0" xfId="0" applyFont="1"/>
    <xf numFmtId="0" fontId="15" fillId="11" borderId="6" xfId="0" applyFont="1" applyFill="1" applyBorder="1" applyAlignment="1">
      <alignment horizontal="center" vertical="center" wrapText="1"/>
    </xf>
    <xf numFmtId="0" fontId="112" fillId="11" borderId="18" xfId="0" applyFont="1" applyFill="1" applyBorder="1" applyAlignment="1">
      <alignment horizontal="left" vertical="center" wrapText="1"/>
    </xf>
    <xf numFmtId="0" fontId="18" fillId="0" borderId="15" xfId="0" applyFont="1" applyBorder="1" applyAlignment="1">
      <alignment vertical="top" wrapText="1"/>
    </xf>
    <xf numFmtId="0" fontId="88" fillId="4" borderId="1" xfId="0" applyFont="1" applyFill="1" applyBorder="1" applyAlignment="1">
      <alignment vertical="center"/>
    </xf>
    <xf numFmtId="1" fontId="15" fillId="11" borderId="1" xfId="0" applyNumberFormat="1" applyFont="1" applyFill="1" applyBorder="1" applyAlignment="1">
      <alignment horizontal="center" vertical="center"/>
    </xf>
    <xf numFmtId="0" fontId="88" fillId="4" borderId="1" xfId="0" applyFont="1" applyFill="1" applyBorder="1" applyAlignment="1">
      <alignment vertical="center" wrapText="1"/>
    </xf>
    <xf numFmtId="0" fontId="51" fillId="4" borderId="1" xfId="0" applyFont="1" applyFill="1" applyBorder="1" applyAlignment="1">
      <alignment vertical="center" wrapText="1"/>
    </xf>
    <xf numFmtId="14" fontId="51" fillId="0" borderId="1" xfId="0" applyNumberFormat="1" applyFont="1" applyBorder="1" applyAlignment="1">
      <alignment vertical="center" wrapText="1"/>
    </xf>
    <xf numFmtId="0" fontId="51" fillId="0" borderId="0" xfId="0" applyFont="1" applyAlignment="1">
      <alignment vertical="center" wrapText="1"/>
    </xf>
    <xf numFmtId="0" fontId="15" fillId="0" borderId="1" xfId="0" applyFont="1" applyBorder="1" applyAlignment="1">
      <alignment vertical="top"/>
    </xf>
    <xf numFmtId="0" fontId="18" fillId="3" borderId="1" xfId="0" applyFont="1" applyFill="1" applyBorder="1" applyAlignment="1">
      <alignment vertical="center"/>
    </xf>
    <xf numFmtId="0" fontId="15" fillId="3" borderId="1" xfId="0" applyFont="1" applyFill="1" applyBorder="1" applyAlignment="1">
      <alignment horizontal="left" vertical="top" wrapText="1"/>
    </xf>
    <xf numFmtId="0" fontId="9" fillId="0" borderId="0" xfId="0" applyFont="1" applyAlignment="1">
      <alignment horizontal="center"/>
    </xf>
    <xf numFmtId="0" fontId="10" fillId="0" borderId="0" xfId="0" applyFont="1" applyAlignment="1">
      <alignment horizontal="center"/>
    </xf>
    <xf numFmtId="14" fontId="51" fillId="0" borderId="0" xfId="0" applyNumberFormat="1" applyFont="1"/>
    <xf numFmtId="0" fontId="10" fillId="0" borderId="0" xfId="0" applyFont="1" applyAlignment="1"/>
    <xf numFmtId="14" fontId="10" fillId="0" borderId="0" xfId="0" applyNumberFormat="1" applyFont="1" applyAlignment="1"/>
    <xf numFmtId="0" fontId="88" fillId="16" borderId="1" xfId="0" applyFont="1" applyFill="1" applyBorder="1" applyAlignment="1">
      <alignment vertical="center"/>
    </xf>
    <xf numFmtId="14" fontId="88" fillId="16" borderId="1" xfId="0" applyNumberFormat="1" applyFont="1" applyFill="1" applyBorder="1" applyAlignment="1">
      <alignment horizontal="center" vertical="center" wrapText="1"/>
    </xf>
    <xf numFmtId="14" fontId="88" fillId="16" borderId="5" xfId="0" applyNumberFormat="1" applyFont="1" applyFill="1" applyBorder="1" applyAlignment="1">
      <alignment horizontal="center" vertical="center" wrapText="1"/>
    </xf>
    <xf numFmtId="14" fontId="88" fillId="16" borderId="18" xfId="0" applyNumberFormat="1" applyFont="1" applyFill="1" applyBorder="1" applyAlignment="1">
      <alignment horizontal="center" vertical="center" wrapText="1"/>
    </xf>
    <xf numFmtId="0" fontId="88" fillId="11" borderId="1" xfId="0" applyFont="1" applyFill="1" applyBorder="1"/>
    <xf numFmtId="0" fontId="51" fillId="0" borderId="1" xfId="0" applyFont="1" applyBorder="1" applyAlignment="1">
      <alignment horizontal="center"/>
    </xf>
    <xf numFmtId="0" fontId="113" fillId="0" borderId="1" xfId="0" applyFont="1" applyBorder="1"/>
    <xf numFmtId="0" fontId="51" fillId="0" borderId="19" xfId="0" applyFont="1" applyBorder="1"/>
    <xf numFmtId="0" fontId="114" fillId="0" borderId="1" xfId="0" applyFont="1" applyBorder="1"/>
    <xf numFmtId="0" fontId="14" fillId="0" borderId="1" xfId="0" applyFont="1" applyBorder="1" applyAlignment="1"/>
    <xf numFmtId="0" fontId="14" fillId="0" borderId="1" xfId="0" applyFont="1" applyBorder="1" applyAlignment="1">
      <alignment horizontal="center"/>
    </xf>
    <xf numFmtId="0" fontId="14" fillId="0" borderId="1" xfId="0" applyFont="1" applyBorder="1" applyAlignment="1">
      <alignment wrapText="1"/>
    </xf>
    <xf numFmtId="167" fontId="10" fillId="0" borderId="1" xfId="0" applyNumberFormat="1" applyFont="1" applyBorder="1" applyAlignment="1">
      <alignment horizontal="center" vertical="center"/>
    </xf>
    <xf numFmtId="20"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wrapText="1"/>
    </xf>
    <xf numFmtId="0" fontId="10" fillId="0" borderId="0" xfId="0" applyFont="1" applyAlignment="1">
      <alignment horizontal="center" vertical="center"/>
    </xf>
    <xf numFmtId="20" fontId="10" fillId="0" borderId="1" xfId="0" applyNumberFormat="1" applyFont="1" applyBorder="1" applyAlignment="1">
      <alignment horizontal="center"/>
    </xf>
    <xf numFmtId="0" fontId="10" fillId="0" borderId="1" xfId="0" applyFont="1" applyBorder="1" applyAlignment="1">
      <alignment horizontal="center"/>
    </xf>
    <xf numFmtId="0" fontId="10" fillId="0" borderId="1" xfId="0" applyFont="1" applyBorder="1" applyAlignment="1">
      <alignment wrapText="1"/>
    </xf>
    <xf numFmtId="167" fontId="10" fillId="0" borderId="1" xfId="0" applyNumberFormat="1" applyFont="1" applyBorder="1" applyAlignment="1">
      <alignment horizontal="left"/>
    </xf>
    <xf numFmtId="20" fontId="10" fillId="0" borderId="1" xfId="0" applyNumberFormat="1" applyFont="1" applyBorder="1" applyAlignment="1">
      <alignment horizontal="left"/>
    </xf>
    <xf numFmtId="20" fontId="10" fillId="0" borderId="1" xfId="0" applyNumberFormat="1" applyFont="1" applyBorder="1" applyAlignment="1">
      <alignment horizontal="left" vertical="center"/>
    </xf>
    <xf numFmtId="0" fontId="10" fillId="0" borderId="1" xfId="0" applyFont="1" applyBorder="1" applyAlignment="1">
      <alignment horizontal="left"/>
    </xf>
    <xf numFmtId="0" fontId="10" fillId="0" borderId="1" xfId="0" applyFont="1" applyBorder="1" applyAlignment="1">
      <alignment horizontal="left" wrapText="1"/>
    </xf>
    <xf numFmtId="0" fontId="10" fillId="0" borderId="1" xfId="0" applyFont="1" applyBorder="1"/>
    <xf numFmtId="0" fontId="10" fillId="0" borderId="1" xfId="0" applyFont="1" applyBorder="1" applyAlignment="1">
      <alignment horizontal="center"/>
    </xf>
    <xf numFmtId="0" fontId="10" fillId="0" borderId="1" xfId="0" applyFont="1" applyBorder="1" applyAlignment="1">
      <alignment wrapText="1"/>
    </xf>
    <xf numFmtId="0" fontId="10" fillId="0" borderId="0" xfId="0" applyFont="1" applyAlignment="1">
      <alignment wrapText="1"/>
    </xf>
    <xf numFmtId="0" fontId="4" fillId="17" borderId="1" xfId="0" applyFont="1" applyFill="1" applyBorder="1" applyAlignment="1">
      <alignment horizontal="center" vertical="center"/>
    </xf>
    <xf numFmtId="0" fontId="9" fillId="0" borderId="0" xfId="0" applyFont="1" applyAlignment="1">
      <alignment horizontal="left" vertical="center"/>
    </xf>
    <xf numFmtId="0" fontId="18" fillId="11" borderId="4" xfId="0" applyFont="1" applyFill="1" applyBorder="1" applyAlignment="1">
      <alignment horizontal="center" vertical="center"/>
    </xf>
    <xf numFmtId="0" fontId="109" fillId="0" borderId="10" xfId="0" applyFont="1" applyBorder="1"/>
    <xf numFmtId="0" fontId="51" fillId="0" borderId="4" xfId="0" applyFont="1" applyBorder="1" applyAlignment="1">
      <alignment horizontal="center" vertical="center" wrapText="1"/>
    </xf>
    <xf numFmtId="0" fontId="109" fillId="0" borderId="17" xfId="0" applyFont="1" applyBorder="1"/>
    <xf numFmtId="0" fontId="4" fillId="0" borderId="4" xfId="0" applyFont="1" applyBorder="1" applyAlignment="1">
      <alignment horizontal="center" vertical="center"/>
    </xf>
  </cellXfs>
  <cellStyles count="1">
    <cellStyle name="Normal" xfId="0" builtinId="0"/>
  </cellStyles>
  <dxfs count="53">
    <dxf>
      <fill>
        <patternFill patternType="solid">
          <fgColor rgb="FFF4CCCC"/>
          <bgColor rgb="FFF4CCCC"/>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2">
    <tableStyle name="EN PROCESO (Bolivar)-style" pivot="0" count="4">
      <tableStyleElement type="wholeTable" size="0" dxfId="49"/>
      <tableStyleElement type="headerRow" dxfId="52"/>
      <tableStyleElement type="firstRowStripe" dxfId="51"/>
      <tableStyleElement type="secondRowStripe" dxfId="50"/>
    </tableStyle>
    <tableStyle name="EN PROCESO (Alfa)-style" pivot="0" count="4">
      <tableStyleElement type="wholeTable" size="0" dxfId="45"/>
      <tableStyleElement type="headerRow" dxfId="48"/>
      <tableStyleElement type="firstRowStripe" dxfId="47"/>
      <tableStyleElement type="secondRowStripe" dxfId="46"/>
    </tableStyle>
    <tableStyle name="FINALIZADOS 2-style" pivot="0" count="4">
      <tableStyleElement type="wholeTable" size="0" dxfId="41"/>
      <tableStyleElement type="headerRow" dxfId="44"/>
      <tableStyleElement type="firstRowStripe" dxfId="43"/>
      <tableStyleElement type="secondRowStripe" dxfId="42"/>
    </tableStyle>
    <tableStyle name="FINALIZADOS 2-style 2" pivot="0" count="4">
      <tableStyleElement type="wholeTable" size="0" dxfId="37"/>
      <tableStyleElement type="headerRow" dxfId="40"/>
      <tableStyleElement type="firstRowStripe" dxfId="39"/>
      <tableStyleElement type="secondRowStripe" dxfId="38"/>
    </tableStyle>
    <tableStyle name="FINALIZADOS 2-style 3" pivot="0" count="2">
      <tableStyleElement type="firstRowStripe" dxfId="36"/>
      <tableStyleElement type="secondRowStripe" dxfId="35"/>
    </tableStyle>
    <tableStyle name="FINALIZADOS 2-style 4" pivot="0" count="2">
      <tableStyleElement type="firstRowStripe" dxfId="34"/>
      <tableStyleElement type="secondRowStripe" dxfId="33"/>
    </tableStyle>
    <tableStyle name="FINALIZADOS 2-style 5" pivot="0" count="2">
      <tableStyleElement type="firstRowStripe" dxfId="32"/>
      <tableStyleElement type="secondRowStripe" dxfId="31"/>
    </tableStyle>
    <tableStyle name="FINALIZADOS 2-style 6" pivot="0" count="2">
      <tableStyleElement type="firstRowStripe" dxfId="30"/>
      <tableStyleElement type="secondRowStripe" dxfId="29"/>
    </tableStyle>
    <tableStyle name="FINALIZADOS 2-style 7" pivot="0" count="2">
      <tableStyleElement type="firstRowStripe" dxfId="28"/>
      <tableStyleElement type="secondRowStripe" dxfId="27"/>
    </tableStyle>
    <tableStyle name="FINALIZADOS 2-style 8" pivot="0" count="2">
      <tableStyleElement type="firstRowStripe" dxfId="26"/>
      <tableStyleElement type="secondRowStripe" dxfId="25"/>
    </tableStyle>
    <tableStyle name="FINALIZADOS 2-style 9" pivot="0" count="2">
      <tableStyleElement type="firstRowStripe" dxfId="24"/>
      <tableStyleElement type="secondRowStripe" dxfId="23"/>
    </tableStyle>
    <tableStyle name="FINALIZADOS 2-style 10" pivot="0" count="2">
      <tableStyleElement type="firstRowStripe" dxfId="22"/>
      <tableStyleElement type="secondRowStripe" dxfId="21"/>
    </tableStyle>
    <tableStyle name="FINALIZADOS 2-style 11" pivot="0" count="2">
      <tableStyleElement type="firstRowStripe" dxfId="20"/>
      <tableStyleElement type="secondRowStripe" dxfId="19"/>
    </tableStyle>
    <tableStyle name="FINALIZADOS 2-style 12" pivot="0" count="2">
      <tableStyleElement type="firstRowStripe" dxfId="18"/>
      <tableStyleElement type="secondRowStripe" dxfId="17"/>
    </tableStyle>
    <tableStyle name="FINALIZADOS 2-style 13" pivot="0" count="2">
      <tableStyleElement type="firstRowStripe" dxfId="16"/>
      <tableStyleElement type="secondRowStripe" dxfId="15"/>
    </tableStyle>
    <tableStyle name="FINALIZADOS 2-style 14" pivot="0" count="2">
      <tableStyleElement type="firstRowStripe" dxfId="14"/>
      <tableStyleElement type="secondRowStripe" dxfId="13"/>
    </tableStyle>
    <tableStyle name="FINALIZADOS 2-style 15" pivot="0" count="2">
      <tableStyleElement type="firstRowStripe" dxfId="12"/>
      <tableStyleElement type="secondRowStripe" dxfId="11"/>
    </tableStyle>
    <tableStyle name="FINALIZADOS 2-style 16" pivot="0" count="2">
      <tableStyleElement type="firstRowStripe" dxfId="10"/>
      <tableStyleElement type="secondRowStripe" dxfId="9"/>
    </tableStyle>
    <tableStyle name="FINALIZADOS 2-style 17" pivot="0" count="2">
      <tableStyleElement type="firstRowStripe" dxfId="8"/>
      <tableStyleElement type="secondRowStripe" dxfId="7"/>
    </tableStyle>
    <tableStyle name="FINALIZADOS 2-style 18" pivot="0" count="2">
      <tableStyleElement type="firstRowStripe" dxfId="6"/>
      <tableStyleElement type="secondRowStripe" dxfId="5"/>
    </tableStyle>
    <tableStyle name="FINALIZADOS 2-style 19" pivot="0" count="2">
      <tableStyleElement type="firstRowStripe" dxfId="4"/>
      <tableStyleElement type="secondRowStripe" dxfId="3"/>
    </tableStyle>
    <tableStyle name="FINALIZADOS 2-style 20" pivot="0" count="2">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14" Type="http://schemas.openxmlformats.org/officeDocument/2006/relationships/theme" Target="theme/theme1.xml"/></Relationships>
</file>

<file path=xl/tables/table1.xml><?xml version="1.0" encoding="utf-8"?>
<table xmlns="http://schemas.openxmlformats.org/spreadsheetml/2006/main" id="2" name="Tabla" displayName="Tabla" ref="A1:S199">
  <autoFilter ref="A1:S199"/>
  <tableColumns count="19">
    <tableColumn id="1" name="Asignado a"/>
    <tableColumn id="2" name="# REQ"/>
    <tableColumn id="3" name="Requerimiento "/>
    <tableColumn id="4" name="Detalle del requerimiento"/>
    <tableColumn id="5" name="Proceso "/>
    <tableColumn id="6" name="ESTADO"/>
    <tableColumn id="7" name="%"/>
    <tableColumn id="8" name="Dias estimados desarrollo"/>
    <tableColumn id="9" name="F.Asignado"/>
    <tableColumn id="10" name="Fecha inicio"/>
    <tableColumn id="11" name="Fecha estimada de entrega"/>
    <tableColumn id="12" name="Finalizado"/>
    <tableColumn id="13" name="Dias total desarrollo"/>
    <tableColumn id="14" name="Fecha compromiso cliente"/>
    <tableColumn id="15" name="TEST"/>
    <tableColumn id="16" name="PRODUCCION"/>
    <tableColumn id="17" name="OBSERVACIONES"/>
    <tableColumn id="18" name="Visible"/>
    <tableColumn id="19" name="OBSERVACIONES  ALFA"/>
  </tableColumns>
  <tableStyleInfo name="EN PROCESO (Alfa)-style" showFirstColumn="1" showLastColumn="1" showRowStripes="1" showColumnStripes="0"/>
</table>
</file>

<file path=xl/tables/table2.xml><?xml version="1.0" encoding="utf-8"?>
<table xmlns="http://schemas.openxmlformats.org/spreadsheetml/2006/main" id="3" name="Tabla_2" displayName="Tabla_2" ref="A1:W7">
  <tableColumns count="23">
    <tableColumn id="1" name="Asignado a"/>
    <tableColumn id="2" name="Jira Caja"/>
    <tableColumn id="3" name="Requerimiento "/>
    <tableColumn id="4" name="ESTADO"/>
    <tableColumn id="5" name="%"/>
    <tableColumn id="6" name="dias estimados"/>
    <tableColumn id="7" name="F.Asignado"/>
    <tableColumn id="8" name="Fecha inicio"/>
    <tableColumn id="9" name="F. estimada de entrega"/>
    <tableColumn id="10" name="Finalizado"/>
    <tableColumn id="11" name="Dias"/>
    <tableColumn id="12" name="Jira TEST"/>
    <tableColumn id="13" name="TEST"/>
    <tableColumn id="14" name="jira PROD"/>
    <tableColumn id="15" name="PRODUCCION"/>
    <tableColumn id="16" name="OBSERVACIONES"/>
    <tableColumn id="17" name="Seguimiento 28 Abril "/>
    <tableColumn id="18" name="Seguimiento 28 Abril  2"/>
    <tableColumn id="19" name="Seguimiento 5 mayo "/>
    <tableColumn id="20" name="seguimiento 7 mayo "/>
    <tableColumn id="21" name="seguimiento 9 mayo "/>
    <tableColumn id="22" name="seguimiento 9 mayo  2"/>
    <tableColumn id="23" name="seguimiento 12 mayo "/>
  </tableColumns>
  <tableStyleInfo name="FINALIZADOS 2-style" showFirstColumn="1" showLastColumn="1" showRowStripes="1" showColumnStripes="0"/>
</table>
</file>

<file path=xl/tables/table3.xml><?xml version="1.0" encoding="utf-8"?>
<table xmlns="http://schemas.openxmlformats.org/spreadsheetml/2006/main" id="4" name="Tabla_3" displayName="Tabla_3" ref="AJ1:AN1" headerRowCount="0">
  <tableColumns count="5">
    <tableColumn id="1" name="Column1"/>
    <tableColumn id="2" name="Column2"/>
    <tableColumn id="3" name="Column3"/>
    <tableColumn id="4" name="Column4"/>
    <tableColumn id="5" name="Column5"/>
  </tableColumns>
  <tableStyleInfo name="FINALIZADOS 2-style 2"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id="5" name="Table_1" displayName="Table_1" ref="A8:W3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NALIZADOS 2-style 3" showFirstColumn="1" showLastColumn="1" showRowStripes="1" showColumnStripes="0"/>
</table>
</file>

<file path=xl/tables/table5.xml><?xml version="1.0" encoding="utf-8"?>
<table xmlns="http://schemas.openxmlformats.org/spreadsheetml/2006/main" id="6" name="Table_2" displayName="Table_2" ref="A35:W3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NALIZADOS 2-style 4" showFirstColumn="1" showLastColumn="1" showRowStripes="1" showColumnStripes="0"/>
</table>
</file>

<file path=xl/tables/table6.xml><?xml version="1.0" encoding="utf-8"?>
<table xmlns="http://schemas.openxmlformats.org/spreadsheetml/2006/main" id="7" name="Table_3" displayName="Table_3" ref="A36:AN37"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FINALIZADOS 2-style 5" showFirstColumn="1" showLastColumn="1" showRowStripes="1" showColumnStripes="0"/>
</table>
</file>

<file path=xl/tables/table7.xml><?xml version="1.0" encoding="utf-8"?>
<table xmlns="http://schemas.openxmlformats.org/spreadsheetml/2006/main" id="8" name="Table_4" displayName="Table_4" ref="A38:AN38"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FINALIZADOS 2-style 6" showFirstColumn="1" showLastColumn="1" showRowStripes="1" showColumnStripes="0"/>
</table>
</file>

<file path=xl/tables/table8.xml><?xml version="1.0" encoding="utf-8"?>
<table xmlns="http://schemas.openxmlformats.org/spreadsheetml/2006/main" id="9" name="Table_5" displayName="Table_5" ref="A39:AN39"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FINALIZADOS 2-style 7" showFirstColumn="1" showLastColumn="1" showRowStripes="1" showColumnStripes="0"/>
</table>
</file>

<file path=xl/tables/table9.xml><?xml version="1.0" encoding="utf-8"?>
<table xmlns="http://schemas.openxmlformats.org/spreadsheetml/2006/main" id="10" name="Table_6" displayName="Table_6" ref="A40:AN42"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FINALIZADOS 2-style 8" showFirstColumn="1" showLastColumn="1" showRowStripes="1" showColumnStripes="0"/>
</table>
</file>

<file path=xl/tables/table10.xml><?xml version="1.0" encoding="utf-8"?>
<table xmlns="http://schemas.openxmlformats.org/spreadsheetml/2006/main" id="11" name="Table_7" displayName="Table_7" ref="A43:AN44"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FINALIZADOS 2-style 9" showFirstColumn="1" showLastColumn="1" showRowStripes="1" showColumnStripes="0"/>
</table>
</file>

<file path=xl/tables/table11.xml><?xml version="1.0" encoding="utf-8"?>
<table xmlns="http://schemas.openxmlformats.org/spreadsheetml/2006/main" id="12" name="Table_8" displayName="Table_8" ref="A45:AN45"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FINALIZADOS 2-style 10" showFirstColumn="1" showLastColumn="1" showRowStripes="1" showColumnStripes="0"/>
</table>
</file>

<file path=xl/tables/table12.xml><?xml version="1.0" encoding="utf-8"?>
<table xmlns="http://schemas.openxmlformats.org/spreadsheetml/2006/main" id="13" name="Table_9" displayName="Table_9" ref="A46:AN46"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FINALIZADOS 2-style 11" showFirstColumn="1" showLastColumn="1" showRowStripes="1" showColumnStripes="0"/>
</table>
</file>

<file path=xl/tables/table13.xml><?xml version="1.0" encoding="utf-8"?>
<table xmlns="http://schemas.openxmlformats.org/spreadsheetml/2006/main" id="14" name="Table_10" displayName="Table_10" ref="A47:AN51"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FINALIZADOS 2-style 12" showFirstColumn="1" showLastColumn="1" showRowStripes="1" showColumnStripes="0"/>
</table>
</file>

<file path=xl/tables/table14.xml><?xml version="1.0" encoding="utf-8"?>
<table xmlns="http://schemas.openxmlformats.org/spreadsheetml/2006/main" id="15" name="Table_11" displayName="Table_11" ref="A52:AN52"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FINALIZADOS 2-style 13" showFirstColumn="1" showLastColumn="1" showRowStripes="1" showColumnStripes="0"/>
</table>
</file>

<file path=xl/tables/table15.xml><?xml version="1.0" encoding="utf-8"?>
<table xmlns="http://schemas.openxmlformats.org/spreadsheetml/2006/main" id="16" name="Table_12" displayName="Table_12" ref="A53:AN53"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FINALIZADOS 2-style 14" showFirstColumn="1" showLastColumn="1" showRowStripes="1" showColumnStripes="0"/>
</table>
</file>

<file path=xl/tables/table16.xml><?xml version="1.0" encoding="utf-8"?>
<table xmlns="http://schemas.openxmlformats.org/spreadsheetml/2006/main" id="17" name="Table_13" displayName="Table_13" ref="A54:AN59"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FINALIZADOS 2-style 15" showFirstColumn="1" showLastColumn="1" showRowStripes="1" showColumnStripes="0"/>
</table>
</file>

<file path=xl/tables/table17.xml><?xml version="1.0" encoding="utf-8"?>
<table xmlns="http://schemas.openxmlformats.org/spreadsheetml/2006/main" id="18" name="Table_14" displayName="Table_14" ref="A60:AN60"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FINALIZADOS 2-style 16" showFirstColumn="1" showLastColumn="1" showRowStripes="1" showColumnStripes="0"/>
</table>
</file>

<file path=xl/tables/table18.xml><?xml version="1.0" encoding="utf-8"?>
<table xmlns="http://schemas.openxmlformats.org/spreadsheetml/2006/main" id="19" name="Table_15" displayName="Table_15" ref="A61:AN61"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FINALIZADOS 2-style 17" showFirstColumn="1" showLastColumn="1" showRowStripes="1" showColumnStripes="0"/>
</table>
</file>

<file path=xl/tables/table19.xml><?xml version="1.0" encoding="utf-8"?>
<table xmlns="http://schemas.openxmlformats.org/spreadsheetml/2006/main" id="20" name="Table_16" displayName="Table_16" ref="A62:AN62"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FINALIZADOS 2-style 18" showFirstColumn="1" showLastColumn="1" showRowStripes="1" showColumnStripes="0"/>
</table>
</file>

<file path=xl/tables/table20.xml><?xml version="1.0" encoding="utf-8"?>
<table xmlns="http://schemas.openxmlformats.org/spreadsheetml/2006/main" id="21" name="Table_17" displayName="Table_17" ref="A63:AN64"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FINALIZADOS 2-style 19" showFirstColumn="1" showLastColumn="1" showRowStripes="1" showColumnStripes="0"/>
</table>
</file>

<file path=xl/tables/table21.xml><?xml version="1.0" encoding="utf-8"?>
<table xmlns="http://schemas.openxmlformats.org/spreadsheetml/2006/main" id="22" name="Table_18" displayName="Table_18" ref="A65:AN68"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FINALIZADOS 2-style 20"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Quattrocento Sans"/>
        <a:ea typeface="Quattrocento Sans"/>
        <a:cs typeface="Quattrocento Sans"/>
      </a:majorFont>
      <a:minorFont>
        <a:latin typeface="Quattrocento Sans"/>
        <a:ea typeface="Quattrocento Sans"/>
        <a:cs typeface="Quattrocento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5.xml"/><Relationship Id="rId13" Type="http://schemas.openxmlformats.org/officeDocument/2006/relationships/table" Target="../tables/table10.xml"/><Relationship Id="rId18" Type="http://schemas.openxmlformats.org/officeDocument/2006/relationships/table" Target="../tables/table15.xml"/><Relationship Id="rId3" Type="http://schemas.openxmlformats.org/officeDocument/2006/relationships/hyperlink" Target="https://jirasegurosbolivar.atlassian.net/jira/servicedesk/projects/MDSB/issue/MDSB-803316" TargetMode="External"/><Relationship Id="rId21" Type="http://schemas.openxmlformats.org/officeDocument/2006/relationships/table" Target="../tables/table18.xml"/><Relationship Id="rId7" Type="http://schemas.openxmlformats.org/officeDocument/2006/relationships/table" Target="../tables/table4.xml"/><Relationship Id="rId12" Type="http://schemas.openxmlformats.org/officeDocument/2006/relationships/table" Target="../tables/table9.xml"/><Relationship Id="rId17" Type="http://schemas.openxmlformats.org/officeDocument/2006/relationships/table" Target="../tables/table14.xml"/><Relationship Id="rId2" Type="http://schemas.openxmlformats.org/officeDocument/2006/relationships/hyperlink" Target="https://jirasegurosbolivar.atlassian.net/browse/GD772-81" TargetMode="External"/><Relationship Id="rId16" Type="http://schemas.openxmlformats.org/officeDocument/2006/relationships/table" Target="../tables/table13.xml"/><Relationship Id="rId20" Type="http://schemas.openxmlformats.org/officeDocument/2006/relationships/table" Target="../tables/table17.xml"/><Relationship Id="rId1" Type="http://schemas.openxmlformats.org/officeDocument/2006/relationships/hyperlink" Target="https://jirasegurosbolivar.atlassian.net/browse/GD772-102" TargetMode="External"/><Relationship Id="rId6" Type="http://schemas.openxmlformats.org/officeDocument/2006/relationships/table" Target="../tables/table3.xml"/><Relationship Id="rId11" Type="http://schemas.openxmlformats.org/officeDocument/2006/relationships/table" Target="../tables/table8.xml"/><Relationship Id="rId24" Type="http://schemas.openxmlformats.org/officeDocument/2006/relationships/table" Target="../tables/table21.xml"/><Relationship Id="rId5" Type="http://schemas.openxmlformats.org/officeDocument/2006/relationships/table" Target="../tables/table2.xml"/><Relationship Id="rId15" Type="http://schemas.openxmlformats.org/officeDocument/2006/relationships/table" Target="../tables/table12.xml"/><Relationship Id="rId23" Type="http://schemas.openxmlformats.org/officeDocument/2006/relationships/table" Target="../tables/table20.xml"/><Relationship Id="rId10" Type="http://schemas.openxmlformats.org/officeDocument/2006/relationships/table" Target="../tables/table7.xml"/><Relationship Id="rId19" Type="http://schemas.openxmlformats.org/officeDocument/2006/relationships/table" Target="../tables/table16.xml"/><Relationship Id="rId4" Type="http://schemas.openxmlformats.org/officeDocument/2006/relationships/hyperlink" Target="https://jirasegurosbolivar.atlassian.net/browse/GD772-88" TargetMode="External"/><Relationship Id="rId9" Type="http://schemas.openxmlformats.org/officeDocument/2006/relationships/table" Target="../tables/table6.xml"/><Relationship Id="rId14" Type="http://schemas.openxmlformats.org/officeDocument/2006/relationships/table" Target="../tables/table11.xml"/><Relationship Id="rId22" Type="http://schemas.openxmlformats.org/officeDocument/2006/relationships/table" Target="../tables/table19.xml"/></Relationships>
</file>

<file path=xl/worksheets/_rels/sheet4.xml.rels><?xml version="1.0" encoding="UTF-8" standalone="yes"?>
<Relationships xmlns="http://schemas.openxmlformats.org/package/2006/relationships"><Relationship Id="rId3" Type="http://schemas.openxmlformats.org/officeDocument/2006/relationships/hyperlink" Target="https://github.com/Imaginesas/bolivar/compare/master...hotfix/correosMasivos" TargetMode="External"/><Relationship Id="rId7" Type="http://schemas.openxmlformats.org/officeDocument/2006/relationships/hyperlink" Target="https://github.com/Imaginesas/portales/compare/master...hotfix/juntasFase1?expand=1" TargetMode="External"/><Relationship Id="rId2" Type="http://schemas.openxmlformats.org/officeDocument/2006/relationships/hyperlink" Target="https://github.com/Imaginesas/bolivar/compare/master...hotfix/fechaEnGestionEdicion" TargetMode="External"/><Relationship Id="rId1" Type="http://schemas.openxmlformats.org/officeDocument/2006/relationships/hyperlink" Target="https://github.com/Imaginesas/bolivar/compare/master...hotfix/anadirBotonCedulas" TargetMode="External"/><Relationship Id="rId6" Type="http://schemas.openxmlformats.org/officeDocument/2006/relationships/hyperlink" Target="https://github.com/Imaginesas/bolivar_migration/compare/master...hotfix/reportesParaProduccion?expand=1" TargetMode="External"/><Relationship Id="rId5" Type="http://schemas.openxmlformats.org/officeDocument/2006/relationships/hyperlink" Target="https://github.com/Imaginesas/bolivar_migration/compare/hotfix/repararInformeArl?expand=1" TargetMode="External"/><Relationship Id="rId4" Type="http://schemas.openxmlformats.org/officeDocument/2006/relationships/hyperlink" Target="mailto:gestion.farmaceutica@segurosboliva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0000"/>
  </sheetPr>
  <dimension ref="A1:S1119"/>
  <sheetViews>
    <sheetView tabSelected="1" topLeftCell="G1" workbookViewId="0">
      <pane ySplit="1" topLeftCell="A2" activePane="bottomLeft" state="frozen"/>
      <selection pane="bottomLeft" activeCell="R2" sqref="R2"/>
    </sheetView>
  </sheetViews>
  <sheetFormatPr baseColWidth="10" defaultColWidth="11.21875" defaultRowHeight="15" customHeight="1"/>
  <cols>
    <col min="1" max="1" width="12.5546875" customWidth="1"/>
    <col min="2" max="2" width="17.21875" customWidth="1"/>
    <col min="3" max="3" width="36.6640625" customWidth="1"/>
    <col min="4" max="4" width="24.6640625" customWidth="1"/>
    <col min="5" max="5" width="24.44140625" customWidth="1"/>
    <col min="6" max="6" width="17" customWidth="1"/>
    <col min="7" max="7" width="6.77734375" customWidth="1"/>
    <col min="8" max="8" width="14.21875" customWidth="1"/>
    <col min="9" max="9" width="10.5546875" customWidth="1"/>
    <col min="10" max="10" width="10.109375" customWidth="1"/>
    <col min="11" max="11" width="15.109375" customWidth="1"/>
    <col min="12" max="12" width="12.21875" customWidth="1"/>
    <col min="13" max="13" width="13.5546875" customWidth="1"/>
    <col min="14" max="14" width="15.5546875" customWidth="1"/>
    <col min="15" max="15" width="11" customWidth="1"/>
    <col min="16" max="16" width="14.109375" customWidth="1"/>
    <col min="17" max="17" width="49.6640625" customWidth="1"/>
    <col min="18" max="18" width="12.88671875" customWidth="1"/>
    <col min="19" max="19" width="40.33203125" hidden="1" customWidth="1"/>
  </cols>
  <sheetData>
    <row r="1" spans="1:19" ht="40.5" customHeight="1">
      <c r="A1" s="1" t="s">
        <v>0</v>
      </c>
      <c r="B1" s="2" t="s">
        <v>53</v>
      </c>
      <c r="C1" s="3" t="s">
        <v>2</v>
      </c>
      <c r="D1" s="62" t="s">
        <v>54</v>
      </c>
      <c r="E1" s="63" t="s">
        <v>55</v>
      </c>
      <c r="F1" s="64" t="s">
        <v>4</v>
      </c>
      <c r="G1" s="4" t="s">
        <v>56</v>
      </c>
      <c r="H1" s="5" t="s">
        <v>5</v>
      </c>
      <c r="I1" s="6" t="s">
        <v>6</v>
      </c>
      <c r="J1" s="6" t="s">
        <v>7</v>
      </c>
      <c r="K1" s="7" t="s">
        <v>8</v>
      </c>
      <c r="L1" s="7" t="s">
        <v>9</v>
      </c>
      <c r="M1" s="7" t="s">
        <v>10</v>
      </c>
      <c r="N1" s="65" t="s">
        <v>11</v>
      </c>
      <c r="O1" s="6" t="s">
        <v>12</v>
      </c>
      <c r="P1" s="6" t="s">
        <v>13</v>
      </c>
      <c r="Q1" s="8" t="s">
        <v>14</v>
      </c>
      <c r="R1" s="63" t="s">
        <v>57</v>
      </c>
      <c r="S1" s="66" t="s">
        <v>58</v>
      </c>
    </row>
    <row r="2" spans="1:19" ht="75.75" customHeight="1">
      <c r="A2" s="10" t="s">
        <v>59</v>
      </c>
      <c r="B2" s="67" t="s">
        <v>60</v>
      </c>
      <c r="C2" s="11" t="s">
        <v>61</v>
      </c>
      <c r="D2" s="68"/>
      <c r="E2" s="69" t="s">
        <v>62</v>
      </c>
      <c r="F2" s="12" t="s">
        <v>37</v>
      </c>
      <c r="G2" s="13">
        <v>100</v>
      </c>
      <c r="H2" s="70">
        <f>IF(OR(J2="",K2="",K2&lt;J2),0,NETWORKDAYS(J2,K2,fESTIVOS!$A$2:$A$53))</f>
        <v>90</v>
      </c>
      <c r="I2" s="71"/>
      <c r="J2" s="17">
        <v>45691</v>
      </c>
      <c r="K2" s="16">
        <v>45821</v>
      </c>
      <c r="L2" s="17">
        <v>45824</v>
      </c>
      <c r="M2" s="25">
        <f ca="1">IF(OR(J2="",AND(L2="",TODAY()&lt;J2),AND(L2&lt;&gt;"",L2&lt;J2)),0,
   IF(L2="",
      NETWORKDAYS(J2,TODAY(),fESTIVOS!$A$2:$A$53),
      NETWORKDAYS(J2,L2,fESTIVOS!$A$2:$A$53)
   )
)</f>
        <v>91</v>
      </c>
      <c r="N2" s="14"/>
      <c r="O2" s="14"/>
      <c r="P2" s="72">
        <v>45843</v>
      </c>
      <c r="Q2" s="73" t="s">
        <v>63</v>
      </c>
      <c r="R2" s="74" t="s">
        <v>38</v>
      </c>
      <c r="S2" s="21"/>
    </row>
    <row r="3" spans="1:19" ht="75.75" customHeight="1">
      <c r="A3" s="10" t="s">
        <v>59</v>
      </c>
      <c r="B3" s="67" t="s">
        <v>64</v>
      </c>
      <c r="C3" s="11" t="s">
        <v>65</v>
      </c>
      <c r="D3" s="68"/>
      <c r="E3" s="69" t="s">
        <v>62</v>
      </c>
      <c r="F3" s="12" t="s">
        <v>37</v>
      </c>
      <c r="G3" s="13">
        <v>100</v>
      </c>
      <c r="H3" s="70">
        <f>IF(OR(J3="",K3="",K3&lt;J3),0,NETWORKDAYS(J3,K3,fESTIVOS!$A$2:$A$53))</f>
        <v>3</v>
      </c>
      <c r="I3" s="59">
        <v>45824</v>
      </c>
      <c r="J3" s="17">
        <v>45824</v>
      </c>
      <c r="K3" s="16">
        <v>45826</v>
      </c>
      <c r="L3" s="17">
        <v>45827</v>
      </c>
      <c r="M3" s="25">
        <f ca="1">IF(OR(J3="",AND(L3="",TODAY()&lt;J3),AND(L3&lt;&gt;"",L3&lt;J3)),0,
   IF(L3="",
      NETWORKDAYS(J3,TODAY(),fESTIVOS!$A$2:$A$53),
      NETWORKDAYS(J3,L3,fESTIVOS!$A$2:$A$53)
   )
)</f>
        <v>4</v>
      </c>
      <c r="N3" s="14"/>
      <c r="O3" s="14"/>
      <c r="P3" s="72">
        <v>45843</v>
      </c>
      <c r="Q3" s="45" t="s">
        <v>66</v>
      </c>
      <c r="R3" s="74" t="s">
        <v>38</v>
      </c>
      <c r="S3" s="21"/>
    </row>
    <row r="4" spans="1:19" ht="154.5" customHeight="1">
      <c r="A4" s="10" t="s">
        <v>59</v>
      </c>
      <c r="B4" s="67" t="s">
        <v>67</v>
      </c>
      <c r="C4" s="75" t="s">
        <v>68</v>
      </c>
      <c r="D4" s="76"/>
      <c r="E4" s="69" t="s">
        <v>62</v>
      </c>
      <c r="F4" s="77" t="s">
        <v>37</v>
      </c>
      <c r="G4" s="13">
        <v>100</v>
      </c>
      <c r="H4" s="70">
        <f>IF(OR(J4="",K4="",K4&lt;J4),0,NETWORKDAYS(J4,K4,fESTIVOS!$A$2:$A$53))</f>
        <v>4</v>
      </c>
      <c r="I4" s="14"/>
      <c r="J4" s="17">
        <v>45827</v>
      </c>
      <c r="K4" s="16">
        <v>45833</v>
      </c>
      <c r="L4" s="17">
        <v>45841</v>
      </c>
      <c r="M4" s="25">
        <f ca="1">IF(OR(J4="",AND(L4="",TODAY()&lt;J4),AND(L4&lt;&gt;"",L4&lt;J4)),0,
   IF(L4="",
      NETWORKDAYS(J4,TODAY(),fESTIVOS!$A$2:$A$53),
      NETWORKDAYS(J4,L4,fESTIVOS!$A$2:$A$53)
   )
)</f>
        <v>9</v>
      </c>
      <c r="N4" s="14"/>
      <c r="O4" s="14"/>
      <c r="P4" s="72">
        <v>45843</v>
      </c>
      <c r="Q4" s="24" t="s">
        <v>69</v>
      </c>
      <c r="R4" s="74" t="s">
        <v>38</v>
      </c>
      <c r="S4" s="26" t="s">
        <v>70</v>
      </c>
    </row>
    <row r="5" spans="1:19" ht="29.25" customHeight="1">
      <c r="A5" s="10" t="s">
        <v>59</v>
      </c>
      <c r="B5" s="67" t="s">
        <v>71</v>
      </c>
      <c r="C5" s="60" t="s">
        <v>72</v>
      </c>
      <c r="D5" s="68"/>
      <c r="E5" s="69" t="s">
        <v>62</v>
      </c>
      <c r="F5" s="12" t="s">
        <v>37</v>
      </c>
      <c r="G5" s="13">
        <v>100</v>
      </c>
      <c r="H5" s="70">
        <f>IF(OR(J5="",K5="",K5&lt;J5),0,NETWORKDAYS(J5,K5,fESTIVOS!$A$2:$A$53))</f>
        <v>3</v>
      </c>
      <c r="I5" s="28">
        <v>45817</v>
      </c>
      <c r="J5" s="17">
        <v>45817</v>
      </c>
      <c r="K5" s="16">
        <v>45819</v>
      </c>
      <c r="L5" s="27">
        <v>45820</v>
      </c>
      <c r="M5" s="25">
        <f ca="1">IF(OR(J5="",AND(L5="",TODAY()&lt;J5),AND(L5&lt;&gt;"",L5&lt;J5)),0,
   IF(L5="",
      NETWORKDAYS(J5,TODAY(),fESTIVOS!$A$2:$A$53),
      NETWORKDAYS(J5,L5,fESTIVOS!$A$2:$A$53)
   )
)</f>
        <v>4</v>
      </c>
      <c r="N5" s="14"/>
      <c r="O5" s="14"/>
      <c r="P5" s="72">
        <v>45843</v>
      </c>
      <c r="Q5" s="24" t="s">
        <v>73</v>
      </c>
      <c r="R5" s="74" t="s">
        <v>38</v>
      </c>
      <c r="S5" s="26" t="s">
        <v>70</v>
      </c>
    </row>
    <row r="6" spans="1:19" ht="29.25" customHeight="1">
      <c r="A6" s="10" t="s">
        <v>59</v>
      </c>
      <c r="B6" s="67" t="s">
        <v>74</v>
      </c>
      <c r="C6" s="60" t="s">
        <v>75</v>
      </c>
      <c r="D6" s="68"/>
      <c r="E6" s="69" t="s">
        <v>62</v>
      </c>
      <c r="F6" s="12" t="s">
        <v>37</v>
      </c>
      <c r="G6" s="13">
        <v>100</v>
      </c>
      <c r="H6" s="70">
        <f>IF(OR(J6="",K6="",K6&lt;J6),0,NETWORKDAYS(J6,K6,fESTIVOS!$A$2:$A$53))</f>
        <v>2</v>
      </c>
      <c r="I6" s="28">
        <v>45817</v>
      </c>
      <c r="J6" s="17">
        <v>45841</v>
      </c>
      <c r="K6" s="16">
        <v>45842</v>
      </c>
      <c r="L6" s="17">
        <v>45842</v>
      </c>
      <c r="M6" s="25">
        <f ca="1">IF(OR(J6="",AND(L6="",TODAY()&lt;J6),AND(L6&lt;&gt;"",L6&lt;J6)),0,
   IF(L6="",
      NETWORKDAYS(J6,TODAY(),fESTIVOS!$A$2:$A$53),
      NETWORKDAYS(J6,L6,fESTIVOS!$A$2:$A$53)
   )
)</f>
        <v>2</v>
      </c>
      <c r="N6" s="14"/>
      <c r="O6" s="14"/>
      <c r="P6" s="72">
        <v>45852</v>
      </c>
      <c r="Q6" s="19" t="s">
        <v>76</v>
      </c>
      <c r="R6" s="74" t="s">
        <v>38</v>
      </c>
      <c r="S6" s="21" t="s">
        <v>77</v>
      </c>
    </row>
    <row r="7" spans="1:19" ht="29.25" customHeight="1">
      <c r="A7" s="10" t="s">
        <v>59</v>
      </c>
      <c r="B7" s="78" t="s">
        <v>78</v>
      </c>
      <c r="C7" s="79" t="s">
        <v>79</v>
      </c>
      <c r="D7" s="68"/>
      <c r="E7" s="69" t="s">
        <v>80</v>
      </c>
      <c r="F7" s="12" t="s">
        <v>37</v>
      </c>
      <c r="G7" s="13">
        <v>100</v>
      </c>
      <c r="H7" s="70">
        <f>IF(OR(J7="",K7="",K7&lt;J7),0,NETWORKDAYS(J7,K7,fESTIVOS!$A$2:$A$53))</f>
        <v>0</v>
      </c>
      <c r="I7" s="28">
        <v>45817</v>
      </c>
      <c r="J7" s="80">
        <v>45845</v>
      </c>
      <c r="K7" s="16"/>
      <c r="L7" s="17">
        <v>45847</v>
      </c>
      <c r="M7" s="25">
        <f ca="1">IF(OR(J7="",AND(L7="",TODAY()&lt;J7),AND(L7&lt;&gt;"",L7&lt;J7)),0,
   IF(L7="",
      NETWORKDAYS(J7,TODAY(),fESTIVOS!$A$2:$A$53),
      NETWORKDAYS(J7,L7,fESTIVOS!$A$2:$A$53)
   )
)</f>
        <v>3</v>
      </c>
      <c r="N7" s="14"/>
      <c r="O7" s="14"/>
      <c r="P7" s="72">
        <v>45852</v>
      </c>
      <c r="Q7" s="19" t="s">
        <v>81</v>
      </c>
      <c r="R7" s="74" t="s">
        <v>38</v>
      </c>
      <c r="S7" s="26" t="s">
        <v>82</v>
      </c>
    </row>
    <row r="8" spans="1:19" ht="29.25" customHeight="1">
      <c r="A8" s="10" t="s">
        <v>59</v>
      </c>
      <c r="B8" s="81" t="s">
        <v>83</v>
      </c>
      <c r="C8" s="82" t="s">
        <v>84</v>
      </c>
      <c r="D8" s="68"/>
      <c r="E8" s="83" t="s">
        <v>80</v>
      </c>
      <c r="F8" s="12" t="s">
        <v>37</v>
      </c>
      <c r="G8" s="32">
        <v>100</v>
      </c>
      <c r="H8" s="70">
        <f>IF(OR(J8="",K8="",K8&lt;J8),0,NETWORKDAYS(J8,K8,fESTIVOS!$A$2:$A$53))</f>
        <v>0</v>
      </c>
      <c r="I8" s="43">
        <v>45834</v>
      </c>
      <c r="J8" s="16">
        <v>45848</v>
      </c>
      <c r="K8" s="84"/>
      <c r="L8" s="16">
        <v>45822</v>
      </c>
      <c r="M8" s="25">
        <f ca="1">IF(OR(J8="",AND(L8="",TODAY()&lt;J8),AND(L8&lt;&gt;"",L8&lt;J8)),0,
   IF(L8="",
      NETWORKDAYS(J8,TODAY(),fESTIVOS!$A$2:$A$53),
      NETWORKDAYS(J8,L8,fESTIVOS!$A$2:$A$53)
   )
)</f>
        <v>0</v>
      </c>
      <c r="N8" s="85"/>
      <c r="O8" s="85"/>
      <c r="P8" s="72">
        <v>45852</v>
      </c>
      <c r="Q8" s="86" t="s">
        <v>85</v>
      </c>
      <c r="R8" s="74" t="s">
        <v>38</v>
      </c>
      <c r="S8" s="29" t="s">
        <v>86</v>
      </c>
    </row>
    <row r="9" spans="1:19" ht="29.25" customHeight="1">
      <c r="A9" s="10" t="s">
        <v>59</v>
      </c>
      <c r="B9" s="81" t="s">
        <v>87</v>
      </c>
      <c r="C9" s="82" t="s">
        <v>88</v>
      </c>
      <c r="D9" s="68"/>
      <c r="E9" s="83" t="s">
        <v>80</v>
      </c>
      <c r="F9" s="12" t="s">
        <v>37</v>
      </c>
      <c r="G9" s="32">
        <v>100</v>
      </c>
      <c r="H9" s="70">
        <f>IF(OR(J9="",K9="",K9&lt;J9),0,NETWORKDAYS(J9,K9,fESTIVOS!$A$2:$A$53))</f>
        <v>0</v>
      </c>
      <c r="I9" s="43">
        <v>45834</v>
      </c>
      <c r="J9" s="16">
        <v>45848</v>
      </c>
      <c r="K9" s="30"/>
      <c r="L9" s="16">
        <v>45848</v>
      </c>
      <c r="M9" s="25">
        <f ca="1">IF(OR(J9="",AND(L9="",TODAY()&lt;J9),AND(L9&lt;&gt;"",L9&lt;J9)),0,
   IF(L9="",
      NETWORKDAYS(J9,TODAY(),fESTIVOS!$A$2:$A$53),
      NETWORKDAYS(J9,L9,fESTIVOS!$A$2:$A$53)
   )
)</f>
        <v>1</v>
      </c>
      <c r="N9" s="85"/>
      <c r="O9" s="85"/>
      <c r="P9" s="18"/>
      <c r="Q9" s="86" t="s">
        <v>89</v>
      </c>
      <c r="R9" s="74" t="s">
        <v>38</v>
      </c>
      <c r="S9" s="29" t="s">
        <v>90</v>
      </c>
    </row>
    <row r="10" spans="1:19" ht="29.25" customHeight="1">
      <c r="A10" s="10" t="s">
        <v>59</v>
      </c>
      <c r="B10" s="81" t="s">
        <v>91</v>
      </c>
      <c r="C10" s="58" t="s">
        <v>92</v>
      </c>
      <c r="D10" s="68"/>
      <c r="E10" s="83" t="s">
        <v>80</v>
      </c>
      <c r="F10" s="12" t="s">
        <v>37</v>
      </c>
      <c r="G10" s="32">
        <v>100</v>
      </c>
      <c r="H10" s="70">
        <f>IF(OR(J10="",K10="",K10&lt;J10),0,NETWORKDAYS(J10,K10,fESTIVOS!$A$2:$A$53))</f>
        <v>0</v>
      </c>
      <c r="I10" s="43">
        <v>45834</v>
      </c>
      <c r="J10" s="16">
        <v>45854</v>
      </c>
      <c r="K10" s="38"/>
      <c r="L10" s="16">
        <v>45855</v>
      </c>
      <c r="M10" s="25">
        <f ca="1">IF(OR(J10="",AND(L10="",TODAY()&lt;J10),AND(L10&lt;&gt;"",L10&lt;J10)),0,
   IF(L10="",
      NETWORKDAYS(J10,TODAY(),fESTIVOS!$A$2:$A$53),
      NETWORKDAYS(J10,L10,fESTIVOS!$A$2:$A$53)
   )
)</f>
        <v>2</v>
      </c>
      <c r="N10" s="85"/>
      <c r="O10" s="85"/>
      <c r="P10" s="72">
        <v>45855</v>
      </c>
      <c r="Q10" s="86" t="s">
        <v>93</v>
      </c>
      <c r="R10" s="74" t="s">
        <v>38</v>
      </c>
      <c r="S10" s="29" t="s">
        <v>94</v>
      </c>
    </row>
    <row r="11" spans="1:19" ht="29.25" customHeight="1">
      <c r="A11" s="10" t="s">
        <v>59</v>
      </c>
      <c r="B11" s="81" t="s">
        <v>95</v>
      </c>
      <c r="C11" s="58" t="s">
        <v>96</v>
      </c>
      <c r="D11" s="68"/>
      <c r="E11" s="83" t="s">
        <v>80</v>
      </c>
      <c r="F11" s="12" t="s">
        <v>37</v>
      </c>
      <c r="G11" s="32">
        <v>100</v>
      </c>
      <c r="H11" s="70">
        <f>IF(OR(J11="",K11="",K11&lt;J11),0,NETWORKDAYS(J11,K11,fESTIVOS!$A$2:$A$53))</f>
        <v>0</v>
      </c>
      <c r="I11" s="43">
        <v>45834</v>
      </c>
      <c r="J11" s="16">
        <v>45848</v>
      </c>
      <c r="K11" s="38"/>
      <c r="L11" s="16">
        <v>45818</v>
      </c>
      <c r="M11" s="25">
        <f ca="1">IF(OR(J11="",AND(L11="",TODAY()&lt;J11),AND(L11&lt;&gt;"",L11&lt;J11)),0,
   IF(L11="",
      NETWORKDAYS(J11,TODAY(),fESTIVOS!$A$2:$A$53),
      NETWORKDAYS(J11,L11,fESTIVOS!$A$2:$A$53)
   )
)</f>
        <v>0</v>
      </c>
      <c r="N11" s="85"/>
      <c r="O11" s="85"/>
      <c r="P11" s="72">
        <v>45852</v>
      </c>
      <c r="Q11" s="86" t="s">
        <v>97</v>
      </c>
      <c r="R11" s="74" t="s">
        <v>38</v>
      </c>
      <c r="S11" s="29" t="s">
        <v>98</v>
      </c>
    </row>
    <row r="12" spans="1:19" ht="29.25" customHeight="1">
      <c r="A12" s="10" t="s">
        <v>59</v>
      </c>
      <c r="B12" s="81" t="s">
        <v>99</v>
      </c>
      <c r="C12" s="87" t="s">
        <v>100</v>
      </c>
      <c r="D12" s="88"/>
      <c r="E12" s="89" t="s">
        <v>80</v>
      </c>
      <c r="F12" s="51" t="s">
        <v>37</v>
      </c>
      <c r="G12" s="32">
        <v>100</v>
      </c>
      <c r="H12" s="70">
        <f>IF(OR(J12="",K12="",K12&lt;J12),0,NETWORKDAYS(J12,K12,fESTIVOS!$A$2:$A$53))</f>
        <v>0</v>
      </c>
      <c r="I12" s="43">
        <v>45853</v>
      </c>
      <c r="J12" s="16">
        <v>45853</v>
      </c>
      <c r="K12" s="38"/>
      <c r="L12" s="16">
        <v>45854</v>
      </c>
      <c r="M12" s="25">
        <f ca="1">IF(OR(J12="",AND(L12="",TODAY()&lt;J12),AND(L12&lt;&gt;"",L12&lt;J12)),0,
   IF(L12="",
      NETWORKDAYS(J12,TODAY(),fESTIVOS!$A$2:$A$53),
      NETWORKDAYS(J12,L12,fESTIVOS!$A$2:$A$53)
   )
)</f>
        <v>2</v>
      </c>
      <c r="N12" s="85"/>
      <c r="O12" s="85"/>
      <c r="P12" s="18"/>
      <c r="Q12" s="86" t="s">
        <v>101</v>
      </c>
      <c r="R12" s="74" t="s">
        <v>38</v>
      </c>
      <c r="S12" s="90"/>
    </row>
    <row r="13" spans="1:19" ht="39" customHeight="1">
      <c r="A13" s="10" t="s">
        <v>59</v>
      </c>
      <c r="B13" s="67" t="s">
        <v>102</v>
      </c>
      <c r="C13" s="91" t="s">
        <v>103</v>
      </c>
      <c r="D13" s="76"/>
      <c r="E13" s="69" t="s">
        <v>62</v>
      </c>
      <c r="F13" s="12" t="s">
        <v>37</v>
      </c>
      <c r="G13" s="32">
        <v>100</v>
      </c>
      <c r="H13" s="70">
        <f>IF(OR(J13="",K13="",K13&lt;J13),0,NETWORKDAYS(J13,K13,fESTIVOS!$A$2:$A$53))</f>
        <v>2</v>
      </c>
      <c r="I13" s="43">
        <v>45855</v>
      </c>
      <c r="J13" s="34">
        <v>45855</v>
      </c>
      <c r="K13" s="34">
        <v>45857</v>
      </c>
      <c r="L13" s="34">
        <v>45862</v>
      </c>
      <c r="M13" s="25">
        <f ca="1">IF(OR(J13="",AND(L13="",TODAY()&lt;J13),AND(L13&lt;&gt;"",L13&lt;J13)),0,
   IF(L13="",
      NETWORKDAYS(J13,TODAY(),fESTIVOS!$A$2:$A$53),
      NETWORKDAYS(J13,L13,fESTIVOS!$A$2:$A$53)
   )
)</f>
        <v>6</v>
      </c>
      <c r="N13" s="33"/>
      <c r="O13" s="33"/>
      <c r="P13" s="39"/>
      <c r="Q13" s="36" t="s">
        <v>104</v>
      </c>
      <c r="R13" s="74" t="s">
        <v>38</v>
      </c>
      <c r="S13" s="37" t="s">
        <v>105</v>
      </c>
    </row>
    <row r="14" spans="1:19" ht="29.25" customHeight="1">
      <c r="A14" s="10" t="s">
        <v>106</v>
      </c>
      <c r="B14" s="67" t="s">
        <v>107</v>
      </c>
      <c r="C14" s="60" t="s">
        <v>108</v>
      </c>
      <c r="D14" s="68"/>
      <c r="E14" s="69" t="s">
        <v>62</v>
      </c>
      <c r="F14" s="12" t="s">
        <v>37</v>
      </c>
      <c r="G14" s="32">
        <v>100</v>
      </c>
      <c r="H14" s="70">
        <f>IF(OR(J14="",K14="",K14&lt;J14),0,NETWORKDAYS(J14,K14,fESTIVOS!$A$2:$A$53))</f>
        <v>26</v>
      </c>
      <c r="I14" s="33"/>
      <c r="J14" s="34">
        <v>45859</v>
      </c>
      <c r="K14" s="17">
        <v>45896</v>
      </c>
      <c r="L14" s="17">
        <v>45944</v>
      </c>
      <c r="M14" s="25">
        <f ca="1">IF(OR(J14="",AND(L14="",TODAY()&lt;J14),AND(L14&lt;&gt;"",L14&lt;J14)),0,
   IF(L14="",
      NETWORKDAYS(J14,TODAY(),fESTIVOS!$A$2:$A$53),
      NETWORKDAYS(J14,L14,fESTIVOS!$A$2:$A$53)
   )
)</f>
        <v>59</v>
      </c>
      <c r="N14" s="33"/>
      <c r="O14" s="33"/>
      <c r="P14" s="39"/>
      <c r="Q14" s="92" t="s">
        <v>109</v>
      </c>
      <c r="R14" s="74" t="s">
        <v>38</v>
      </c>
      <c r="S14" s="93" t="s">
        <v>110</v>
      </c>
    </row>
    <row r="15" spans="1:19" ht="29.25" customHeight="1">
      <c r="A15" s="10" t="s">
        <v>59</v>
      </c>
      <c r="B15" s="67" t="s">
        <v>111</v>
      </c>
      <c r="C15" s="60" t="s">
        <v>112</v>
      </c>
      <c r="D15" s="68"/>
      <c r="E15" s="69" t="s">
        <v>62</v>
      </c>
      <c r="F15" s="12" t="s">
        <v>37</v>
      </c>
      <c r="G15" s="32">
        <v>100</v>
      </c>
      <c r="H15" s="70">
        <f>IF(OR(J15="",K15="",K15&lt;J15),0,NETWORKDAYS(J15,K15,fESTIVOS!$A$2:$A$53))</f>
        <v>4</v>
      </c>
      <c r="I15" s="43">
        <v>45940</v>
      </c>
      <c r="J15" s="34">
        <v>45940</v>
      </c>
      <c r="K15" s="17">
        <v>45946</v>
      </c>
      <c r="L15" s="17">
        <v>45951</v>
      </c>
      <c r="M15" s="25">
        <f ca="1">IF(OR(J15="",AND(L15="",TODAY()&lt;J15),AND(L15&lt;&gt;"",L15&lt;J15)),0,
   IF(L15="",
      NETWORKDAYS(J15,TODAY(),fESTIVOS!$A$2:$A$53),
      NETWORKDAYS(J15,L15,fESTIVOS!$A$2:$A$53)
   )
)</f>
        <v>7</v>
      </c>
      <c r="N15" s="33"/>
      <c r="O15" s="33"/>
      <c r="P15" s="39"/>
      <c r="Q15" s="92" t="s">
        <v>113</v>
      </c>
      <c r="R15" s="74" t="s">
        <v>38</v>
      </c>
      <c r="S15" s="93"/>
    </row>
    <row r="16" spans="1:19" ht="29.25" customHeight="1">
      <c r="A16" s="10" t="s">
        <v>59</v>
      </c>
      <c r="B16" s="67" t="s">
        <v>114</v>
      </c>
      <c r="C16" s="91" t="s">
        <v>115</v>
      </c>
      <c r="D16" s="68"/>
      <c r="E16" s="94" t="s">
        <v>62</v>
      </c>
      <c r="F16" s="12" t="s">
        <v>37</v>
      </c>
      <c r="G16" s="32">
        <v>100</v>
      </c>
      <c r="H16" s="70">
        <f>IF(OR(J16="",K16="",K16&lt;J16),0,NETWORKDAYS(J16,K16,fESTIVOS!$A$2:$A$53))</f>
        <v>0</v>
      </c>
      <c r="I16" s="43">
        <v>45855</v>
      </c>
      <c r="J16" s="34">
        <v>45855</v>
      </c>
      <c r="K16" s="15"/>
      <c r="L16" s="17">
        <v>45860</v>
      </c>
      <c r="M16" s="25">
        <f ca="1">IF(OR(J16="",AND(L16="",TODAY()&lt;J16),AND(L16&lt;&gt;"",L16&lt;J16)),0,
   IF(L16="",
      NETWORKDAYS(J16,TODAY(),fESTIVOS!$A$2:$A$53),
      NETWORKDAYS(J16,L16,fESTIVOS!$A$2:$A$53)
   )
)</f>
        <v>4</v>
      </c>
      <c r="N16" s="33"/>
      <c r="O16" s="33"/>
      <c r="P16" s="35">
        <v>45885</v>
      </c>
      <c r="Q16" s="41" t="s">
        <v>116</v>
      </c>
      <c r="R16" s="74" t="s">
        <v>38</v>
      </c>
      <c r="S16" s="95"/>
    </row>
    <row r="17" spans="1:19" ht="29.25" customHeight="1">
      <c r="A17" s="96" t="s">
        <v>117</v>
      </c>
      <c r="B17" s="67" t="s">
        <v>118</v>
      </c>
      <c r="C17" s="91" t="s">
        <v>119</v>
      </c>
      <c r="D17" s="68"/>
      <c r="E17" s="97" t="s">
        <v>62</v>
      </c>
      <c r="F17" s="12" t="s">
        <v>37</v>
      </c>
      <c r="G17" s="32">
        <v>100</v>
      </c>
      <c r="H17" s="70">
        <f>IF(OR(J17="",K17="",K17&lt;J17),0,NETWORKDAYS(J17,K17,fESTIVOS!$A$2:$A$53))</f>
        <v>1</v>
      </c>
      <c r="I17" s="43">
        <v>45863</v>
      </c>
      <c r="J17" s="34">
        <v>45863</v>
      </c>
      <c r="K17" s="17">
        <v>45863</v>
      </c>
      <c r="L17" s="34">
        <v>45885</v>
      </c>
      <c r="M17" s="25">
        <f ca="1">IF(OR(J17="",AND(L17="",TODAY()&lt;J17),AND(L17&lt;&gt;"",L17&lt;J17)),0,
   IF(L17="",
      NETWORKDAYS(J17,TODAY(),fESTIVOS!$A$2:$A$53),
      NETWORKDAYS(J17,L17,fESTIVOS!$A$2:$A$53)
   )
)</f>
        <v>15</v>
      </c>
      <c r="N17" s="43"/>
      <c r="O17" s="43"/>
      <c r="P17" s="39"/>
      <c r="Q17" s="41" t="s">
        <v>120</v>
      </c>
      <c r="R17" s="74" t="s">
        <v>38</v>
      </c>
      <c r="S17" s="42"/>
    </row>
    <row r="18" spans="1:19" ht="29.25" customHeight="1">
      <c r="A18" s="10" t="s">
        <v>59</v>
      </c>
      <c r="B18" s="67" t="s">
        <v>121</v>
      </c>
      <c r="C18" s="91" t="s">
        <v>122</v>
      </c>
      <c r="D18" s="98"/>
      <c r="E18" s="97" t="s">
        <v>62</v>
      </c>
      <c r="F18" s="44" t="s">
        <v>37</v>
      </c>
      <c r="G18" s="32">
        <v>100</v>
      </c>
      <c r="H18" s="70">
        <f>IF(OR(J18="",K18="",K18&lt;J18),0,NETWORKDAYS(J18,K18,fESTIVOS!$A$2:$A$53))</f>
        <v>2</v>
      </c>
      <c r="I18" s="43">
        <v>45863</v>
      </c>
      <c r="J18" s="34">
        <v>45866</v>
      </c>
      <c r="K18" s="34">
        <v>45867</v>
      </c>
      <c r="L18" s="34">
        <v>45870</v>
      </c>
      <c r="M18" s="25">
        <f ca="1">IF(OR(J18="",AND(L18="",TODAY()&lt;J18),AND(L18&lt;&gt;"",L18&lt;J18)),0,
   IF(L18="",
      NETWORKDAYS(J18,TODAY(),fESTIVOS!$A$2:$A$53),
      NETWORKDAYS(J18,L18,fESTIVOS!$A$2:$A$53)
   )
)</f>
        <v>5</v>
      </c>
      <c r="N18" s="43"/>
      <c r="O18" s="43"/>
      <c r="P18" s="35">
        <v>45885</v>
      </c>
      <c r="Q18" s="45" t="s">
        <v>123</v>
      </c>
      <c r="R18" s="74" t="s">
        <v>38</v>
      </c>
      <c r="S18" s="46"/>
    </row>
    <row r="19" spans="1:19" ht="29.25" customHeight="1">
      <c r="A19" s="10" t="s">
        <v>59</v>
      </c>
      <c r="B19" s="67" t="s">
        <v>124</v>
      </c>
      <c r="C19" s="91" t="s">
        <v>125</v>
      </c>
      <c r="D19" s="88"/>
      <c r="E19" s="97" t="s">
        <v>126</v>
      </c>
      <c r="F19" s="51" t="s">
        <v>37</v>
      </c>
      <c r="G19" s="32">
        <v>100</v>
      </c>
      <c r="H19" s="70">
        <f>IF(OR(J19="",K19="",K19&lt;J19),0,NETWORKDAYS(J19,K19,fESTIVOS!$A$2:$A$53))</f>
        <v>1</v>
      </c>
      <c r="I19" s="43">
        <v>45870</v>
      </c>
      <c r="J19" s="34">
        <v>45870</v>
      </c>
      <c r="K19" s="34">
        <v>45870</v>
      </c>
      <c r="L19" s="34">
        <v>45877</v>
      </c>
      <c r="M19" s="25">
        <f ca="1">IF(OR(J19="",AND(L19="",TODAY()&lt;J19),AND(L19&lt;&gt;"",L19&lt;J19)),0,
   IF(L19="",
      NETWORKDAYS(J19,TODAY(),fESTIVOS!$A$2:$A$53),
      NETWORKDAYS(J19,L19,fESTIVOS!$A$2:$A$53)
   )
)</f>
        <v>5</v>
      </c>
      <c r="N19" s="33"/>
      <c r="O19" s="33"/>
      <c r="P19" s="39"/>
      <c r="Q19" s="36" t="s">
        <v>127</v>
      </c>
      <c r="R19" s="74" t="s">
        <v>38</v>
      </c>
      <c r="S19" s="53"/>
    </row>
    <row r="20" spans="1:19" ht="29.25" customHeight="1">
      <c r="A20" s="10" t="s">
        <v>59</v>
      </c>
      <c r="B20" s="67" t="s">
        <v>128</v>
      </c>
      <c r="C20" s="91" t="s">
        <v>129</v>
      </c>
      <c r="D20" s="68"/>
      <c r="E20" s="69" t="s">
        <v>62</v>
      </c>
      <c r="F20" s="12" t="s">
        <v>37</v>
      </c>
      <c r="G20" s="32">
        <v>100</v>
      </c>
      <c r="H20" s="70">
        <f>IF(OR(J20="",K20="",K20&lt;J20),0,NETWORKDAYS(J20,K20,fESTIVOS!$A$2:$A$53))</f>
        <v>0</v>
      </c>
      <c r="I20" s="43">
        <v>45874</v>
      </c>
      <c r="J20" s="34">
        <v>45874</v>
      </c>
      <c r="K20" s="38"/>
      <c r="L20" s="34">
        <v>45882</v>
      </c>
      <c r="M20" s="25">
        <f ca="1">IF(OR(J20="",AND(L20="",TODAY()&lt;J20),AND(L20&lt;&gt;"",L20&lt;J20)),0,
   IF(L20="",
      NETWORKDAYS(J20,TODAY(),fESTIVOS!$A$2:$A$53),
      NETWORKDAYS(J20,L20,fESTIVOS!$A$2:$A$53)
   )
)</f>
        <v>6</v>
      </c>
      <c r="N20" s="33"/>
      <c r="O20" s="33"/>
      <c r="P20" s="35">
        <v>45885</v>
      </c>
      <c r="Q20" s="19" t="s">
        <v>130</v>
      </c>
      <c r="R20" s="74" t="s">
        <v>38</v>
      </c>
      <c r="S20" s="21"/>
    </row>
    <row r="21" spans="1:19" ht="29.25" customHeight="1">
      <c r="A21" s="10" t="s">
        <v>59</v>
      </c>
      <c r="B21" s="67" t="s">
        <v>131</v>
      </c>
      <c r="C21" s="99" t="s">
        <v>132</v>
      </c>
      <c r="D21" s="100"/>
      <c r="E21" s="69" t="s">
        <v>62</v>
      </c>
      <c r="F21" s="54" t="s">
        <v>37</v>
      </c>
      <c r="G21" s="55">
        <v>100</v>
      </c>
      <c r="H21" s="70">
        <f>IF(OR(J21="",K21="",K21&lt;J21),0,NETWORKDAYS(J21,K21,fESTIVOS!$A$2:$A$53))</f>
        <v>0</v>
      </c>
      <c r="I21" s="56">
        <v>45883</v>
      </c>
      <c r="J21" s="34">
        <v>45883</v>
      </c>
      <c r="K21" s="34"/>
      <c r="L21" s="34">
        <v>45883</v>
      </c>
      <c r="M21" s="25">
        <f ca="1">IF(OR(J21="",AND(L21="",TODAY()&lt;J21),AND(L21&lt;&gt;"",L21&lt;J21)),0,
   IF(L21="",
      NETWORKDAYS(J21,TODAY(),fESTIVOS!$A$2:$A$53),
      NETWORKDAYS(J21,L21,fESTIVOS!$A$2:$A$53)
   )
)</f>
        <v>1</v>
      </c>
      <c r="N21" s="43"/>
      <c r="O21" s="43"/>
      <c r="P21" s="35">
        <v>45885</v>
      </c>
      <c r="Q21" s="19" t="s">
        <v>133</v>
      </c>
      <c r="R21" s="74" t="s">
        <v>38</v>
      </c>
      <c r="S21" s="21"/>
    </row>
    <row r="22" spans="1:19" ht="29.25" customHeight="1">
      <c r="A22" s="10" t="s">
        <v>59</v>
      </c>
      <c r="B22" s="67" t="s">
        <v>134</v>
      </c>
      <c r="C22" s="99" t="s">
        <v>135</v>
      </c>
      <c r="D22" s="101" t="s">
        <v>136</v>
      </c>
      <c r="E22" s="69" t="s">
        <v>62</v>
      </c>
      <c r="F22" s="54" t="s">
        <v>37</v>
      </c>
      <c r="G22" s="55">
        <v>100</v>
      </c>
      <c r="H22" s="70">
        <f>IF(OR(J22="",K22="",K22&lt;J22),0,NETWORKDAYS(J22,K22,fESTIVOS!$A$2:$A$53))</f>
        <v>0</v>
      </c>
      <c r="I22" s="56"/>
      <c r="J22" s="34">
        <v>45895</v>
      </c>
      <c r="K22" s="34"/>
      <c r="L22" s="34">
        <v>45895</v>
      </c>
      <c r="M22" s="25">
        <f ca="1">IF(OR(J22="",AND(L22="",TODAY()&lt;J22),AND(L22&lt;&gt;"",L22&lt;J22)),0,
   IF(L22="",
      NETWORKDAYS(J22,TODAY(),fESTIVOS!$A$2:$A$53),
      NETWORKDAYS(J22,L22,fESTIVOS!$A$2:$A$53)
   )
)</f>
        <v>1</v>
      </c>
      <c r="N22" s="43"/>
      <c r="O22" s="43"/>
      <c r="P22" s="35"/>
      <c r="Q22" s="19" t="s">
        <v>137</v>
      </c>
      <c r="R22" s="74" t="s">
        <v>38</v>
      </c>
      <c r="S22" s="21"/>
    </row>
    <row r="23" spans="1:19" ht="29.25" customHeight="1">
      <c r="A23" s="10" t="s">
        <v>59</v>
      </c>
      <c r="B23" s="67" t="s">
        <v>138</v>
      </c>
      <c r="C23" s="91" t="s">
        <v>125</v>
      </c>
      <c r="D23" s="102" t="s">
        <v>139</v>
      </c>
      <c r="E23" s="69" t="s">
        <v>126</v>
      </c>
      <c r="F23" s="44" t="s">
        <v>37</v>
      </c>
      <c r="G23" s="32">
        <v>100</v>
      </c>
      <c r="H23" s="70">
        <f>IF(OR(J23="",K23="",K23&lt;J23),0,NETWORKDAYS(J23,K23,fESTIVOS!$A$2:$A$53))</f>
        <v>5</v>
      </c>
      <c r="I23" s="43">
        <v>45884</v>
      </c>
      <c r="J23" s="34">
        <v>45884</v>
      </c>
      <c r="K23" s="34">
        <v>45891</v>
      </c>
      <c r="L23" s="34">
        <v>45947</v>
      </c>
      <c r="M23" s="25">
        <f ca="1">IF(OR(J23="",AND(L23="",TODAY()&lt;J23),AND(L23&lt;&gt;"",L23&lt;J23)),0,
   IF(L23="",
      NETWORKDAYS(J23,TODAY(),fESTIVOS!$A$2:$A$53),
      NETWORKDAYS(J23,L23,fESTIVOS!$A$2:$A$53)
   )
)</f>
        <v>44</v>
      </c>
      <c r="N23" s="43"/>
      <c r="O23" s="43"/>
      <c r="P23" s="35"/>
      <c r="Q23" s="21" t="s">
        <v>140</v>
      </c>
      <c r="R23" s="74" t="s">
        <v>38</v>
      </c>
      <c r="S23" s="21"/>
    </row>
    <row r="24" spans="1:19" ht="29.25" customHeight="1">
      <c r="A24" s="10" t="s">
        <v>59</v>
      </c>
      <c r="B24" s="67" t="s">
        <v>141</v>
      </c>
      <c r="C24" s="91" t="s">
        <v>142</v>
      </c>
      <c r="D24" s="102"/>
      <c r="E24" s="69" t="s">
        <v>143</v>
      </c>
      <c r="F24" s="103" t="s">
        <v>37</v>
      </c>
      <c r="G24" s="32">
        <v>100</v>
      </c>
      <c r="H24" s="70">
        <f>IF(OR(J24="",K24="",K24&lt;J24),0,NETWORKDAYS(J24,K24,fESTIVOS!$A$2:$A$53))</f>
        <v>5</v>
      </c>
      <c r="I24" s="43">
        <v>45894</v>
      </c>
      <c r="J24" s="34">
        <v>45894</v>
      </c>
      <c r="K24" s="34">
        <v>45898</v>
      </c>
      <c r="L24" s="34">
        <v>45897</v>
      </c>
      <c r="M24" s="25">
        <f ca="1">IF(OR(J24="",AND(L24="",TODAY()&lt;J24),AND(L24&lt;&gt;"",L24&lt;J24)),0,
   IF(L24="",
      NETWORKDAYS(J24,TODAY(),fESTIVOS!$A$2:$A$53),
      NETWORKDAYS(J24,L24,fESTIVOS!$A$2:$A$53)
   )
)</f>
        <v>4</v>
      </c>
      <c r="N24" s="43"/>
      <c r="O24" s="43"/>
      <c r="P24" s="35"/>
      <c r="Q24" s="21" t="s">
        <v>144</v>
      </c>
      <c r="R24" s="74" t="s">
        <v>38</v>
      </c>
      <c r="S24" s="21"/>
    </row>
    <row r="25" spans="1:19" ht="29.25" customHeight="1">
      <c r="A25" s="10" t="s">
        <v>59</v>
      </c>
      <c r="B25" s="67" t="s">
        <v>145</v>
      </c>
      <c r="C25" s="91" t="s">
        <v>142</v>
      </c>
      <c r="D25" s="102"/>
      <c r="E25" s="69" t="s">
        <v>143</v>
      </c>
      <c r="F25" s="103" t="s">
        <v>37</v>
      </c>
      <c r="G25" s="32">
        <v>100</v>
      </c>
      <c r="H25" s="70">
        <f>IF(OR(J25="",K25="",K25&lt;J25),0,NETWORKDAYS(J25,K25,fESTIVOS!$A$2:$A$53))</f>
        <v>5</v>
      </c>
      <c r="I25" s="43">
        <v>45894</v>
      </c>
      <c r="J25" s="34">
        <v>45894</v>
      </c>
      <c r="K25" s="34">
        <v>45898</v>
      </c>
      <c r="L25" s="34">
        <v>45897</v>
      </c>
      <c r="M25" s="25">
        <f ca="1">IF(OR(J25="",AND(L25="",TODAY()&lt;J25),AND(L25&lt;&gt;"",L25&lt;J25)),0,
   IF(L25="",
      NETWORKDAYS(J25,TODAY(),fESTIVOS!$A$2:$A$53),
      NETWORKDAYS(J25,L25,fESTIVOS!$A$2:$A$53)
   )
)</f>
        <v>4</v>
      </c>
      <c r="N25" s="43"/>
      <c r="O25" s="43"/>
      <c r="P25" s="35"/>
      <c r="Q25" s="21" t="s">
        <v>146</v>
      </c>
      <c r="R25" s="74" t="s">
        <v>38</v>
      </c>
      <c r="S25" s="21"/>
    </row>
    <row r="26" spans="1:19" ht="29.25" customHeight="1">
      <c r="A26" s="10" t="s">
        <v>59</v>
      </c>
      <c r="B26" s="67" t="s">
        <v>147</v>
      </c>
      <c r="C26" s="91" t="s">
        <v>142</v>
      </c>
      <c r="D26" s="102"/>
      <c r="E26" s="69" t="s">
        <v>143</v>
      </c>
      <c r="F26" s="103" t="s">
        <v>37</v>
      </c>
      <c r="G26" s="32">
        <v>100</v>
      </c>
      <c r="H26" s="70">
        <f>IF(OR(J26="",K26="",K26&lt;J26),0,NETWORKDAYS(J26,K26,fESTIVOS!$A$2:$A$53))</f>
        <v>5</v>
      </c>
      <c r="I26" s="43">
        <v>45894</v>
      </c>
      <c r="J26" s="34">
        <v>45894</v>
      </c>
      <c r="K26" s="34">
        <v>45898</v>
      </c>
      <c r="L26" s="34">
        <v>45897</v>
      </c>
      <c r="M26" s="25">
        <f ca="1">IF(OR(J26="",AND(L26="",TODAY()&lt;J26),AND(L26&lt;&gt;"",L26&lt;J26)),0,
   IF(L26="",
      NETWORKDAYS(J26,TODAY(),fESTIVOS!$A$2:$A$53),
      NETWORKDAYS(J26,L26,fESTIVOS!$A$2:$A$53)
   )
)</f>
        <v>4</v>
      </c>
      <c r="N26" s="43"/>
      <c r="O26" s="43"/>
      <c r="P26" s="35"/>
      <c r="Q26" s="21" t="s">
        <v>148</v>
      </c>
      <c r="R26" s="74" t="s">
        <v>38</v>
      </c>
      <c r="S26" s="21"/>
    </row>
    <row r="27" spans="1:19" ht="29.25" customHeight="1">
      <c r="A27" s="10" t="s">
        <v>59</v>
      </c>
      <c r="B27" s="67" t="s">
        <v>149</v>
      </c>
      <c r="C27" s="91" t="s">
        <v>142</v>
      </c>
      <c r="D27" s="104"/>
      <c r="E27" s="69" t="s">
        <v>143</v>
      </c>
      <c r="F27" s="103" t="s">
        <v>37</v>
      </c>
      <c r="G27" s="32">
        <v>100</v>
      </c>
      <c r="H27" s="70">
        <f>IF(OR(J27="",K27="",K27&lt;J27),0,NETWORKDAYS(J27,K27,fESTIVOS!$A$2:$A$53))</f>
        <v>5</v>
      </c>
      <c r="I27" s="43">
        <v>45894</v>
      </c>
      <c r="J27" s="34">
        <v>45894</v>
      </c>
      <c r="K27" s="34">
        <v>45898</v>
      </c>
      <c r="L27" s="34">
        <v>45897</v>
      </c>
      <c r="M27" s="25">
        <f ca="1">IF(OR(J27="",AND(L27="",TODAY()&lt;J27),AND(L27&lt;&gt;"",L27&lt;J27)),0,
   IF(L27="",
      NETWORKDAYS(J27,TODAY(),fESTIVOS!$A$2:$A$53),
      NETWORKDAYS(J27,L27,fESTIVOS!$A$2:$A$53)
   )
)</f>
        <v>4</v>
      </c>
      <c r="N27" s="43"/>
      <c r="O27" s="43"/>
      <c r="P27" s="35"/>
      <c r="Q27" s="21" t="s">
        <v>150</v>
      </c>
      <c r="R27" s="74" t="s">
        <v>38</v>
      </c>
      <c r="S27" s="21"/>
    </row>
    <row r="28" spans="1:19" ht="29.25" customHeight="1">
      <c r="A28" s="10" t="s">
        <v>59</v>
      </c>
      <c r="B28" s="67" t="s">
        <v>151</v>
      </c>
      <c r="C28" s="91" t="s">
        <v>152</v>
      </c>
      <c r="D28" s="102"/>
      <c r="E28" s="69" t="s">
        <v>143</v>
      </c>
      <c r="F28" s="103" t="s">
        <v>37</v>
      </c>
      <c r="G28" s="32">
        <v>100</v>
      </c>
      <c r="H28" s="70">
        <f>IF(OR(J28="",K28="",K28&lt;J28),0,NETWORKDAYS(J28,K28,fESTIVOS!$A$2:$A$53))</f>
        <v>4</v>
      </c>
      <c r="I28" s="43">
        <v>45894</v>
      </c>
      <c r="J28" s="34">
        <v>45895</v>
      </c>
      <c r="K28" s="34">
        <v>45898</v>
      </c>
      <c r="L28" s="34">
        <v>45897</v>
      </c>
      <c r="M28" s="25">
        <f ca="1">IF(OR(J28="",AND(L28="",TODAY()&lt;J28),AND(L28&lt;&gt;"",L28&lt;J28)),0,
   IF(L28="",
      NETWORKDAYS(J28,TODAY(),fESTIVOS!$A$2:$A$53),
      NETWORKDAYS(J28,L28,fESTIVOS!$A$2:$A$53)
   )
)</f>
        <v>3</v>
      </c>
      <c r="N28" s="43"/>
      <c r="O28" s="43"/>
      <c r="P28" s="35"/>
      <c r="Q28" s="21" t="s">
        <v>153</v>
      </c>
      <c r="R28" s="74" t="s">
        <v>38</v>
      </c>
      <c r="S28" s="21"/>
    </row>
    <row r="29" spans="1:19" ht="29.25" customHeight="1">
      <c r="A29" s="10" t="s">
        <v>59</v>
      </c>
      <c r="B29" s="67" t="s">
        <v>154</v>
      </c>
      <c r="C29" s="91" t="s">
        <v>155</v>
      </c>
      <c r="D29" s="102"/>
      <c r="E29" s="69" t="s">
        <v>143</v>
      </c>
      <c r="F29" s="103" t="s">
        <v>37</v>
      </c>
      <c r="G29" s="32">
        <v>100</v>
      </c>
      <c r="H29" s="70">
        <f>IF(OR(J29="",K29="",K29&lt;J29),0,NETWORKDAYS(J29,K29,fESTIVOS!$A$2:$A$53))</f>
        <v>4</v>
      </c>
      <c r="I29" s="43">
        <v>45894</v>
      </c>
      <c r="J29" s="34">
        <v>45895</v>
      </c>
      <c r="K29" s="34">
        <v>45898</v>
      </c>
      <c r="L29" s="34">
        <v>45897</v>
      </c>
      <c r="M29" s="25">
        <f ca="1">IF(OR(J29="",AND(L29="",TODAY()&lt;J29),AND(L29&lt;&gt;"",L29&lt;J29)),0,
   IF(L29="",
      NETWORKDAYS(J29,TODAY(),fESTIVOS!$A$2:$A$53),
      NETWORKDAYS(J29,L29,fESTIVOS!$A$2:$A$53)
   )
)</f>
        <v>3</v>
      </c>
      <c r="N29" s="43"/>
      <c r="O29" s="43"/>
      <c r="P29" s="35"/>
      <c r="Q29" s="21" t="s">
        <v>156</v>
      </c>
      <c r="R29" s="74" t="s">
        <v>38</v>
      </c>
      <c r="S29" s="21"/>
    </row>
    <row r="30" spans="1:19" ht="29.25" customHeight="1">
      <c r="A30" s="10" t="s">
        <v>59</v>
      </c>
      <c r="B30" s="67" t="s">
        <v>157</v>
      </c>
      <c r="C30" s="91" t="s">
        <v>155</v>
      </c>
      <c r="D30" s="102"/>
      <c r="E30" s="69" t="s">
        <v>143</v>
      </c>
      <c r="F30" s="103" t="s">
        <v>37</v>
      </c>
      <c r="G30" s="32">
        <v>100</v>
      </c>
      <c r="H30" s="70">
        <f>IF(OR(J30="",K30="",K30&lt;J30),0,NETWORKDAYS(J30,K30,fESTIVOS!$A$2:$A$53))</f>
        <v>4</v>
      </c>
      <c r="I30" s="43">
        <v>45894</v>
      </c>
      <c r="J30" s="34">
        <v>45895</v>
      </c>
      <c r="K30" s="34">
        <v>45898</v>
      </c>
      <c r="L30" s="34">
        <v>45897</v>
      </c>
      <c r="M30" s="25">
        <f ca="1">IF(OR(J30="",AND(L30="",TODAY()&lt;J30),AND(L30&lt;&gt;"",L30&lt;J30)),0,
   IF(L30="",
      NETWORKDAYS(J30,TODAY(),fESTIVOS!$A$2:$A$53),
      NETWORKDAYS(J30,L30,fESTIVOS!$A$2:$A$53)
   )
)</f>
        <v>3</v>
      </c>
      <c r="N30" s="43"/>
      <c r="O30" s="43"/>
      <c r="P30" s="35"/>
      <c r="Q30" s="21" t="s">
        <v>158</v>
      </c>
      <c r="R30" s="74" t="s">
        <v>38</v>
      </c>
      <c r="S30" s="21"/>
    </row>
    <row r="31" spans="1:19" ht="29.25" customHeight="1">
      <c r="A31" s="10" t="s">
        <v>59</v>
      </c>
      <c r="B31" s="67" t="s">
        <v>159</v>
      </c>
      <c r="C31" s="91" t="s">
        <v>160</v>
      </c>
      <c r="D31" s="102"/>
      <c r="E31" s="69" t="s">
        <v>62</v>
      </c>
      <c r="F31" s="103" t="s">
        <v>37</v>
      </c>
      <c r="G31" s="32">
        <v>100</v>
      </c>
      <c r="H31" s="70">
        <f>IF(OR(J31="",K31="",K31&lt;J31),0,NETWORKDAYS(J31,K31,fESTIVOS!$A$2:$A$53))</f>
        <v>4</v>
      </c>
      <c r="I31" s="43">
        <v>45894</v>
      </c>
      <c r="J31" s="34">
        <v>45895</v>
      </c>
      <c r="K31" s="34">
        <v>45898</v>
      </c>
      <c r="L31" s="34">
        <v>45897</v>
      </c>
      <c r="M31" s="25">
        <f ca="1">IF(OR(J31="",AND(L31="",TODAY()&lt;J31),AND(L31&lt;&gt;"",L31&lt;J31)),0,
   IF(L31="",
      NETWORKDAYS(J31,TODAY(),fESTIVOS!$A$2:$A$53),
      NETWORKDAYS(J31,L31,fESTIVOS!$A$2:$A$53)
   )
)</f>
        <v>3</v>
      </c>
      <c r="N31" s="43"/>
      <c r="O31" s="43"/>
      <c r="P31" s="35"/>
      <c r="Q31" s="21" t="s">
        <v>161</v>
      </c>
      <c r="R31" s="74" t="s">
        <v>38</v>
      </c>
      <c r="S31" s="21"/>
    </row>
    <row r="32" spans="1:19" ht="29.25" customHeight="1">
      <c r="A32" s="10" t="s">
        <v>59</v>
      </c>
      <c r="B32" s="67" t="s">
        <v>162</v>
      </c>
      <c r="C32" s="91" t="s">
        <v>160</v>
      </c>
      <c r="D32" s="102"/>
      <c r="E32" s="69" t="s">
        <v>62</v>
      </c>
      <c r="F32" s="44" t="s">
        <v>37</v>
      </c>
      <c r="G32" s="32">
        <v>100</v>
      </c>
      <c r="H32" s="70">
        <f>IF(OR(J32="",K32="",K32&lt;J32),0,NETWORKDAYS(J32,K32,fESTIVOS!$A$2:$A$53))</f>
        <v>4</v>
      </c>
      <c r="I32" s="43">
        <v>45894</v>
      </c>
      <c r="J32" s="34">
        <v>45896</v>
      </c>
      <c r="K32" s="34">
        <v>45901</v>
      </c>
      <c r="L32" s="34">
        <v>45930</v>
      </c>
      <c r="M32" s="25">
        <f ca="1">IF(OR(J32="",AND(L32="",TODAY()&lt;J32),AND(L32&lt;&gt;"",L32&lt;J32)),0,
   IF(L32="",
      NETWORKDAYS(J32,TODAY(),fESTIVOS!$A$2:$A$53),
      NETWORKDAYS(J32,L32,fESTIVOS!$A$2:$A$53)
   )
)</f>
        <v>25</v>
      </c>
      <c r="N32" s="43"/>
      <c r="O32" s="43"/>
      <c r="P32" s="35"/>
      <c r="Q32" s="21" t="s">
        <v>163</v>
      </c>
      <c r="R32" s="74" t="s">
        <v>38</v>
      </c>
      <c r="S32" s="21"/>
    </row>
    <row r="33" spans="1:19" ht="29.25" customHeight="1">
      <c r="A33" s="10" t="s">
        <v>59</v>
      </c>
      <c r="B33" s="67" t="s">
        <v>164</v>
      </c>
      <c r="C33" s="91" t="s">
        <v>165</v>
      </c>
      <c r="D33" s="102"/>
      <c r="E33" s="69" t="s">
        <v>62</v>
      </c>
      <c r="F33" s="44" t="s">
        <v>37</v>
      </c>
      <c r="G33" s="32">
        <v>100</v>
      </c>
      <c r="H33" s="70">
        <f>IF(OR(J33="",K33="",K33&lt;J33),0,NETWORKDAYS(J33,K33,fESTIVOS!$A$2:$A$53))</f>
        <v>0</v>
      </c>
      <c r="I33" s="43">
        <v>45894</v>
      </c>
      <c r="J33" s="34">
        <v>45930</v>
      </c>
      <c r="K33" s="34">
        <v>45901</v>
      </c>
      <c r="L33" s="34">
        <v>45930</v>
      </c>
      <c r="M33" s="25">
        <f ca="1">IF(OR(J33="",AND(L33="",TODAY()&lt;J33),AND(L33&lt;&gt;"",L33&lt;J33)),0,
   IF(L33="",
      NETWORKDAYS(J33,TODAY(),fESTIVOS!$A$2:$A$53),
      NETWORKDAYS(J33,L33,fESTIVOS!$A$2:$A$53)
   )
)</f>
        <v>1</v>
      </c>
      <c r="N33" s="43"/>
      <c r="O33" s="43"/>
      <c r="P33" s="35"/>
      <c r="Q33" s="21" t="s">
        <v>166</v>
      </c>
      <c r="R33" s="74" t="s">
        <v>38</v>
      </c>
      <c r="S33" s="21"/>
    </row>
    <row r="34" spans="1:19" ht="29.25" customHeight="1">
      <c r="A34" s="10" t="s">
        <v>59</v>
      </c>
      <c r="B34" s="67" t="s">
        <v>167</v>
      </c>
      <c r="C34" s="91" t="s">
        <v>168</v>
      </c>
      <c r="D34" s="102"/>
      <c r="E34" s="69" t="s">
        <v>62</v>
      </c>
      <c r="F34" s="44" t="s">
        <v>37</v>
      </c>
      <c r="G34" s="32">
        <v>100</v>
      </c>
      <c r="H34" s="70">
        <f>IF(OR(J34="",K34="",K34&lt;J34),0,NETWORKDAYS(J34,K34,fESTIVOS!$A$2:$A$53))</f>
        <v>0</v>
      </c>
      <c r="I34" s="43">
        <v>45894</v>
      </c>
      <c r="J34" s="34">
        <v>45930</v>
      </c>
      <c r="K34" s="34">
        <v>45901</v>
      </c>
      <c r="L34" s="34">
        <v>45930</v>
      </c>
      <c r="M34" s="25">
        <f ca="1">IF(OR(J34="",AND(L34="",TODAY()&lt;J34),AND(L34&lt;&gt;"",L34&lt;J34)),0,
   IF(L34="",
      NETWORKDAYS(J34,TODAY(),fESTIVOS!$A$2:$A$53),
      NETWORKDAYS(J34,L34,fESTIVOS!$A$2:$A$53)
   )
)</f>
        <v>1</v>
      </c>
      <c r="N34" s="43"/>
      <c r="O34" s="43"/>
      <c r="P34" s="35"/>
      <c r="Q34" s="21" t="s">
        <v>169</v>
      </c>
      <c r="R34" s="74" t="s">
        <v>38</v>
      </c>
      <c r="S34" s="21"/>
    </row>
    <row r="35" spans="1:19" ht="29.25" customHeight="1">
      <c r="A35" s="10" t="s">
        <v>59</v>
      </c>
      <c r="B35" s="67" t="s">
        <v>170</v>
      </c>
      <c r="C35" s="91" t="s">
        <v>171</v>
      </c>
      <c r="D35" s="102"/>
      <c r="E35" s="69" t="s">
        <v>62</v>
      </c>
      <c r="F35" s="44" t="s">
        <v>37</v>
      </c>
      <c r="G35" s="32">
        <v>100</v>
      </c>
      <c r="H35" s="70">
        <f>IF(OR(J35="",K35="",K35&lt;J35),0,NETWORKDAYS(J35,K35,fESTIVOS!$A$2:$A$53))</f>
        <v>0</v>
      </c>
      <c r="I35" s="43">
        <v>45894</v>
      </c>
      <c r="J35" s="34">
        <v>45947</v>
      </c>
      <c r="K35" s="34">
        <v>45901</v>
      </c>
      <c r="L35" s="34">
        <v>45947</v>
      </c>
      <c r="M35" s="25">
        <f ca="1">IF(OR(J35="",AND(L35="",TODAY()&lt;J35),AND(L35&lt;&gt;"",L35&lt;J35)),0,
   IF(L35="",
      NETWORKDAYS(J35,TODAY(),fESTIVOS!$A$2:$A$53),
      NETWORKDAYS(J35,L35,fESTIVOS!$A$2:$A$53)
   )
)</f>
        <v>1</v>
      </c>
      <c r="N35" s="43"/>
      <c r="O35" s="43"/>
      <c r="P35" s="35"/>
      <c r="Q35" s="21" t="s">
        <v>172</v>
      </c>
      <c r="R35" s="74" t="s">
        <v>38</v>
      </c>
      <c r="S35" s="21"/>
    </row>
    <row r="36" spans="1:19" ht="29.25" customHeight="1">
      <c r="A36" s="10" t="s">
        <v>59</v>
      </c>
      <c r="B36" s="67" t="s">
        <v>173</v>
      </c>
      <c r="C36" s="91" t="s">
        <v>174</v>
      </c>
      <c r="D36" s="102"/>
      <c r="E36" s="69" t="s">
        <v>143</v>
      </c>
      <c r="F36" s="103" t="s">
        <v>37</v>
      </c>
      <c r="G36" s="32">
        <v>100</v>
      </c>
      <c r="H36" s="70">
        <f>IF(OR(J36="",K36="",K36&lt;J36),0,NETWORKDAYS(J36,K36,fESTIVOS!$A$2:$A$53))</f>
        <v>4</v>
      </c>
      <c r="I36" s="43">
        <v>45894</v>
      </c>
      <c r="J36" s="34">
        <v>45895</v>
      </c>
      <c r="K36" s="34">
        <v>45898</v>
      </c>
      <c r="L36" s="34">
        <v>45897</v>
      </c>
      <c r="M36" s="25">
        <f ca="1">IF(OR(J36="",AND(L36="",TODAY()&lt;J36),AND(L36&lt;&gt;"",L36&lt;J36)),0,
   IF(L36="",
      NETWORKDAYS(J36,TODAY(),fESTIVOS!$A$2:$A$53),
      NETWORKDAYS(J36,L36,fESTIVOS!$A$2:$A$53)
   )
)</f>
        <v>3</v>
      </c>
      <c r="N36" s="43"/>
      <c r="O36" s="43"/>
      <c r="P36" s="35"/>
      <c r="Q36" s="21" t="s">
        <v>175</v>
      </c>
      <c r="R36" s="74" t="s">
        <v>38</v>
      </c>
      <c r="S36" s="21"/>
    </row>
    <row r="37" spans="1:19" ht="29.25" customHeight="1">
      <c r="A37" s="10" t="s">
        <v>59</v>
      </c>
      <c r="B37" s="67" t="s">
        <v>176</v>
      </c>
      <c r="C37" s="91" t="s">
        <v>177</v>
      </c>
      <c r="D37" s="102"/>
      <c r="E37" s="69" t="s">
        <v>62</v>
      </c>
      <c r="F37" s="44" t="s">
        <v>37</v>
      </c>
      <c r="G37" s="32">
        <v>100</v>
      </c>
      <c r="H37" s="70">
        <f>IF(OR(J37="",K37="",K37&lt;J37),0,NETWORKDAYS(J37,K37,fESTIVOS!$A$2:$A$53))</f>
        <v>0</v>
      </c>
      <c r="I37" s="43">
        <v>45894</v>
      </c>
      <c r="J37" s="34">
        <v>45930</v>
      </c>
      <c r="K37" s="34">
        <v>45902</v>
      </c>
      <c r="L37" s="34">
        <v>45930</v>
      </c>
      <c r="M37" s="25">
        <f ca="1">IF(OR(J37="",AND(L37="",TODAY()&lt;J37),AND(L37&lt;&gt;"",L37&lt;J37)),0,
   IF(L37="",
      NETWORKDAYS(J37,TODAY(),fESTIVOS!$A$2:$A$53),
      NETWORKDAYS(J37,L37,fESTIVOS!$A$2:$A$53)
   )
)</f>
        <v>1</v>
      </c>
      <c r="N37" s="105"/>
      <c r="O37" s="105"/>
      <c r="P37" s="35"/>
      <c r="Q37" s="21" t="s">
        <v>178</v>
      </c>
      <c r="R37" s="74" t="s">
        <v>38</v>
      </c>
      <c r="S37" s="21"/>
    </row>
    <row r="38" spans="1:19" ht="29.25" customHeight="1">
      <c r="A38" s="10" t="s">
        <v>59</v>
      </c>
      <c r="B38" s="67" t="s">
        <v>179</v>
      </c>
      <c r="C38" s="91" t="s">
        <v>180</v>
      </c>
      <c r="D38" s="102"/>
      <c r="E38" s="69" t="s">
        <v>62</v>
      </c>
      <c r="F38" s="44" t="s">
        <v>37</v>
      </c>
      <c r="G38" s="32">
        <v>100</v>
      </c>
      <c r="H38" s="70">
        <f>IF(OR(J38="",K38="",K38&lt;J38),0,NETWORKDAYS(J38,K38,fESTIVOS!$A$2:$A$53))</f>
        <v>3</v>
      </c>
      <c r="I38" s="43">
        <v>45894</v>
      </c>
      <c r="J38" s="34">
        <v>45938</v>
      </c>
      <c r="K38" s="34">
        <v>45940</v>
      </c>
      <c r="L38" s="34">
        <v>45947</v>
      </c>
      <c r="M38" s="25">
        <f ca="1">IF(OR(J38="",AND(L38="",TODAY()&lt;J38),AND(L38&lt;&gt;"",L38&lt;J38)),0,
   IF(L38="",
      NETWORKDAYS(J38,TODAY(),fESTIVOS!$A$2:$A$53),
      NETWORKDAYS(J38,L38,fESTIVOS!$A$2:$A$53)
   )
)</f>
        <v>7</v>
      </c>
      <c r="N38" s="43"/>
      <c r="O38" s="43"/>
      <c r="P38" s="35"/>
      <c r="Q38" s="21" t="s">
        <v>181</v>
      </c>
      <c r="R38" s="74" t="s">
        <v>38</v>
      </c>
      <c r="S38" s="21"/>
    </row>
    <row r="39" spans="1:19" ht="29.25" customHeight="1">
      <c r="A39" s="106" t="s">
        <v>59</v>
      </c>
      <c r="B39" s="107" t="s">
        <v>182</v>
      </c>
      <c r="C39" s="108" t="s">
        <v>183</v>
      </c>
      <c r="D39" s="109" t="s">
        <v>184</v>
      </c>
      <c r="E39" s="110" t="s">
        <v>143</v>
      </c>
      <c r="F39" s="111" t="s">
        <v>37</v>
      </c>
      <c r="G39" s="112">
        <v>100</v>
      </c>
      <c r="H39" s="70">
        <f>IF(OR(J39="",K39="",K39&lt;J39),0,NETWORKDAYS(J39,K39,fESTIVOS!$A$2:$A$53))</f>
        <v>3</v>
      </c>
      <c r="I39" s="113">
        <v>45901</v>
      </c>
      <c r="J39" s="114">
        <v>45901</v>
      </c>
      <c r="K39" s="114">
        <v>45903</v>
      </c>
      <c r="L39" s="114">
        <v>45919</v>
      </c>
      <c r="M39" s="25">
        <f ca="1">IF(OR(J39="",AND(L39="",TODAY()&lt;J39),AND(L39&lt;&gt;"",L39&lt;J39)),0,
   IF(L39="",
      NETWORKDAYS(J39,TODAY(),fESTIVOS!$A$2:$A$53),
      NETWORKDAYS(J39,L39,fESTIVOS!$A$2:$A$53)
   )
)</f>
        <v>15</v>
      </c>
      <c r="N39" s="115"/>
      <c r="O39" s="115"/>
      <c r="P39" s="116"/>
      <c r="Q39" s="117" t="s">
        <v>185</v>
      </c>
      <c r="R39" s="118" t="s">
        <v>38</v>
      </c>
      <c r="S39" s="119"/>
    </row>
    <row r="40" spans="1:19" ht="29.25" customHeight="1">
      <c r="A40" s="10" t="s">
        <v>59</v>
      </c>
      <c r="B40" s="67" t="s">
        <v>186</v>
      </c>
      <c r="C40" s="91" t="s">
        <v>187</v>
      </c>
      <c r="D40" s="102" t="s">
        <v>188</v>
      </c>
      <c r="E40" s="69" t="s">
        <v>62</v>
      </c>
      <c r="F40" s="44" t="s">
        <v>37</v>
      </c>
      <c r="G40" s="32">
        <v>100</v>
      </c>
      <c r="H40" s="70">
        <f>IF(OR(J40="",K40="",K40&lt;J40),0,NETWORKDAYS(J40,K40,fESTIVOS!$A$2:$A$53))</f>
        <v>4</v>
      </c>
      <c r="I40" s="43">
        <v>45898</v>
      </c>
      <c r="J40" s="34">
        <v>45898</v>
      </c>
      <c r="K40" s="114">
        <v>45903</v>
      </c>
      <c r="L40" s="34">
        <v>45932</v>
      </c>
      <c r="M40" s="25">
        <f ca="1">IF(OR(J40="",AND(L40="",TODAY()&lt;J40),AND(L40&lt;&gt;"",L40&lt;J40)),0,
   IF(L40="",
      NETWORKDAYS(J40,TODAY(),fESTIVOS!$A$2:$A$53),
      NETWORKDAYS(J40,L40,fESTIVOS!$A$2:$A$53)
   )
)</f>
        <v>25</v>
      </c>
      <c r="N40" s="43"/>
      <c r="O40" s="43"/>
      <c r="P40" s="35"/>
      <c r="Q40" s="117" t="s">
        <v>189</v>
      </c>
      <c r="R40" s="74" t="s">
        <v>38</v>
      </c>
      <c r="S40" s="21"/>
    </row>
    <row r="41" spans="1:19" ht="29.25" customHeight="1">
      <c r="A41" s="10" t="s">
        <v>59</v>
      </c>
      <c r="B41" s="67" t="s">
        <v>190</v>
      </c>
      <c r="C41" s="91" t="s">
        <v>191</v>
      </c>
      <c r="D41" s="102" t="s">
        <v>192</v>
      </c>
      <c r="E41" s="69" t="s">
        <v>62</v>
      </c>
      <c r="F41" s="44" t="s">
        <v>37</v>
      </c>
      <c r="G41" s="32">
        <v>100</v>
      </c>
      <c r="H41" s="70">
        <f>IF(OR(J41="",K41="",K41&lt;J41),0,NETWORKDAYS(J41,K41,fESTIVOS!$A$2:$A$53))</f>
        <v>3</v>
      </c>
      <c r="I41" s="43">
        <v>45901</v>
      </c>
      <c r="J41" s="34">
        <v>45901</v>
      </c>
      <c r="K41" s="114">
        <v>45903</v>
      </c>
      <c r="L41" s="34">
        <v>45903</v>
      </c>
      <c r="M41" s="25">
        <f ca="1">IF(OR(J41="",AND(L41="",TODAY()&lt;J41),AND(L41&lt;&gt;"",L41&lt;J41)),0,
   IF(L41="",
      NETWORKDAYS(J41,TODAY(),fESTIVOS!$A$2:$A$53),
      NETWORKDAYS(J41,L41,fESTIVOS!$A$2:$A$53)
   )
)</f>
        <v>3</v>
      </c>
      <c r="N41" s="43"/>
      <c r="O41" s="43"/>
      <c r="P41" s="35"/>
      <c r="Q41" s="117" t="s">
        <v>193</v>
      </c>
      <c r="R41" s="74" t="s">
        <v>38</v>
      </c>
      <c r="S41" s="21"/>
    </row>
    <row r="42" spans="1:19" ht="29.25" customHeight="1">
      <c r="A42" s="10" t="s">
        <v>59</v>
      </c>
      <c r="B42" s="67" t="s">
        <v>194</v>
      </c>
      <c r="C42" s="91" t="s">
        <v>195</v>
      </c>
      <c r="D42" s="102"/>
      <c r="E42" s="107" t="s">
        <v>126</v>
      </c>
      <c r="F42" s="44" t="s">
        <v>37</v>
      </c>
      <c r="G42" s="32">
        <v>100</v>
      </c>
      <c r="H42" s="70">
        <f>IF(OR(J42="",K42="",K42&lt;J42),0,NETWORKDAYS(J42,K42,fESTIVOS!$A$2:$A$53))</f>
        <v>1</v>
      </c>
      <c r="I42" s="43">
        <v>45902</v>
      </c>
      <c r="J42" s="34">
        <v>45903</v>
      </c>
      <c r="K42" s="114">
        <v>45903</v>
      </c>
      <c r="L42" s="34">
        <v>45903</v>
      </c>
      <c r="M42" s="25">
        <f ca="1">IF(OR(J42="",AND(L42="",TODAY()&lt;J42),AND(L42&lt;&gt;"",L42&lt;J42)),0,
   IF(L42="",
      NETWORKDAYS(J42,TODAY(),fESTIVOS!$A$2:$A$53),
      NETWORKDAYS(J42,L42,fESTIVOS!$A$2:$A$53)
   )
)</f>
        <v>1</v>
      </c>
      <c r="N42" s="43"/>
      <c r="O42" s="43"/>
      <c r="P42" s="35"/>
      <c r="Q42" s="117" t="s">
        <v>196</v>
      </c>
      <c r="R42" s="74" t="s">
        <v>38</v>
      </c>
      <c r="S42" s="21"/>
    </row>
    <row r="43" spans="1:19" ht="29.25" customHeight="1">
      <c r="A43" s="106" t="s">
        <v>59</v>
      </c>
      <c r="B43" s="107" t="s">
        <v>197</v>
      </c>
      <c r="C43" s="108" t="s">
        <v>198</v>
      </c>
      <c r="D43" s="120" t="s">
        <v>199</v>
      </c>
      <c r="E43" s="110" t="s">
        <v>62</v>
      </c>
      <c r="F43" s="111" t="s">
        <v>37</v>
      </c>
      <c r="G43" s="112">
        <v>100</v>
      </c>
      <c r="H43" s="70">
        <f>IF(OR(J43="",K43="",K43&lt;J43),0,NETWORKDAYS(J43,K43,fESTIVOS!$A$2:$A$53))</f>
        <v>3</v>
      </c>
      <c r="I43" s="113">
        <v>45903</v>
      </c>
      <c r="J43" s="114">
        <v>45903</v>
      </c>
      <c r="K43" s="121">
        <v>45905</v>
      </c>
      <c r="L43" s="114">
        <v>46041</v>
      </c>
      <c r="M43" s="25">
        <f ca="1">IF(OR(J43="",AND(L43="",TODAY()&lt;J43),AND(L43&lt;&gt;"",L43&lt;J43)),0,
   IF(L43="",
      NETWORKDAYS(J43,TODAY(),fESTIVOS!$A$2:$A$53),
      NETWORKDAYS(J43,L43,fESTIVOS!$A$2:$A$53)
   )
)</f>
        <v>92</v>
      </c>
      <c r="N43" s="115"/>
      <c r="O43" s="115"/>
      <c r="P43" s="116"/>
      <c r="Q43" s="122" t="s">
        <v>200</v>
      </c>
      <c r="R43" s="118" t="s">
        <v>38</v>
      </c>
      <c r="S43" s="119"/>
    </row>
    <row r="44" spans="1:19" ht="29.25" customHeight="1">
      <c r="A44" s="106" t="s">
        <v>59</v>
      </c>
      <c r="B44" s="67" t="s">
        <v>201</v>
      </c>
      <c r="C44" s="108" t="s">
        <v>202</v>
      </c>
      <c r="D44" s="123"/>
      <c r="E44" s="124" t="s">
        <v>126</v>
      </c>
      <c r="F44" s="111" t="s">
        <v>37</v>
      </c>
      <c r="G44" s="112">
        <v>100</v>
      </c>
      <c r="H44" s="70">
        <f>IF(OR(J44="",K44="",K44&lt;J44),0,NETWORKDAYS(J44,K44,fESTIVOS!$A$2:$A$53))</f>
        <v>4</v>
      </c>
      <c r="I44" s="113">
        <v>45905</v>
      </c>
      <c r="J44" s="114">
        <v>45905</v>
      </c>
      <c r="K44" s="121">
        <v>45910</v>
      </c>
      <c r="L44" s="114">
        <v>45910</v>
      </c>
      <c r="M44" s="25">
        <f ca="1">IF(OR(J44="",AND(L44="",TODAY()&lt;J44),AND(L44&lt;&gt;"",L44&lt;J44)),0,
   IF(L44="",
      NETWORKDAYS(J44,TODAY(),fESTIVOS!$A$2:$A$53),
      NETWORKDAYS(J44,L44,fESTIVOS!$A$2:$A$53)
   )
)</f>
        <v>4</v>
      </c>
      <c r="N44" s="115"/>
      <c r="O44" s="115"/>
      <c r="P44" s="116"/>
      <c r="Q44" s="122" t="s">
        <v>203</v>
      </c>
      <c r="R44" s="118" t="s">
        <v>38</v>
      </c>
      <c r="S44" s="119"/>
    </row>
    <row r="45" spans="1:19" ht="29.25" customHeight="1">
      <c r="A45" s="106" t="s">
        <v>59</v>
      </c>
      <c r="B45" s="67" t="s">
        <v>204</v>
      </c>
      <c r="C45" s="108" t="s">
        <v>202</v>
      </c>
      <c r="D45" s="123"/>
      <c r="E45" s="124" t="s">
        <v>126</v>
      </c>
      <c r="F45" s="111" t="s">
        <v>37</v>
      </c>
      <c r="G45" s="112">
        <v>100</v>
      </c>
      <c r="H45" s="70">
        <f>IF(OR(J45="",K45="",K45&lt;J45),0,NETWORKDAYS(J45,K45,fESTIVOS!$A$2:$A$53))</f>
        <v>4</v>
      </c>
      <c r="I45" s="113">
        <v>45905</v>
      </c>
      <c r="J45" s="114">
        <v>45905</v>
      </c>
      <c r="K45" s="121">
        <v>45910</v>
      </c>
      <c r="L45" s="114">
        <v>45910</v>
      </c>
      <c r="M45" s="25">
        <f ca="1">IF(OR(J45="",AND(L45="",TODAY()&lt;J45),AND(L45&lt;&gt;"",L45&lt;J45)),0,
   IF(L45="",
      NETWORKDAYS(J45,TODAY(),fESTIVOS!$A$2:$A$53),
      NETWORKDAYS(J45,L45,fESTIVOS!$A$2:$A$53)
   )
)</f>
        <v>4</v>
      </c>
      <c r="N45" s="115"/>
      <c r="O45" s="115"/>
      <c r="P45" s="116"/>
      <c r="Q45" s="122" t="s">
        <v>203</v>
      </c>
      <c r="R45" s="118" t="s">
        <v>38</v>
      </c>
      <c r="S45" s="119"/>
    </row>
    <row r="46" spans="1:19" ht="29.25" customHeight="1">
      <c r="A46" s="10" t="s">
        <v>106</v>
      </c>
      <c r="B46" s="67" t="s">
        <v>205</v>
      </c>
      <c r="C46" s="91" t="s">
        <v>206</v>
      </c>
      <c r="D46" s="98"/>
      <c r="E46" s="97" t="s">
        <v>62</v>
      </c>
      <c r="F46" s="44" t="s">
        <v>37</v>
      </c>
      <c r="G46" s="32">
        <v>100</v>
      </c>
      <c r="H46" s="70">
        <f>IF(OR(J46="",K46="",K46&lt;J46),0,NETWORKDAYS(J46,K46,fESTIVOS!$A$2:$A$53))</f>
        <v>0</v>
      </c>
      <c r="I46" s="56">
        <v>45884</v>
      </c>
      <c r="J46" s="34">
        <v>45884</v>
      </c>
      <c r="K46" s="34"/>
      <c r="L46" s="34">
        <v>45888</v>
      </c>
      <c r="M46" s="25">
        <f ca="1">IF(OR(J46="",AND(L46="",TODAY()&lt;J46),AND(L46&lt;&gt;"",L46&lt;J46)),0,
   IF(L46="",
      NETWORKDAYS(J46,TODAY(),fESTIVOS!$A$2:$A$53),
      NETWORKDAYS(J46,L46,fESTIVOS!$A$2:$A$53)
   )
)</f>
        <v>2</v>
      </c>
      <c r="N46" s="43"/>
      <c r="O46" s="43"/>
      <c r="P46" s="48"/>
      <c r="Q46" s="21" t="s">
        <v>207</v>
      </c>
      <c r="R46" s="74" t="s">
        <v>38</v>
      </c>
      <c r="S46" s="49"/>
    </row>
    <row r="47" spans="1:19" ht="29.25" customHeight="1">
      <c r="A47" s="10" t="s">
        <v>59</v>
      </c>
      <c r="B47" s="67" t="s">
        <v>208</v>
      </c>
      <c r="C47" s="91" t="s">
        <v>209</v>
      </c>
      <c r="D47" s="98"/>
      <c r="E47" s="97" t="s">
        <v>62</v>
      </c>
      <c r="F47" s="44" t="s">
        <v>37</v>
      </c>
      <c r="G47" s="32">
        <v>100</v>
      </c>
      <c r="H47" s="70">
        <f>IF(OR(J47="",K47="",K47&lt;J47),0,NETWORKDAYS(J47,K47,fESTIVOS!$A$2:$A$53))</f>
        <v>2</v>
      </c>
      <c r="I47" s="43">
        <v>45889</v>
      </c>
      <c r="J47" s="34">
        <v>45889</v>
      </c>
      <c r="K47" s="34">
        <v>45890</v>
      </c>
      <c r="L47" s="34">
        <v>45889</v>
      </c>
      <c r="M47" s="25">
        <f ca="1">IF(OR(J47="",AND(L47="",TODAY()&lt;J47),AND(L47&lt;&gt;"",L47&lt;J47)),0,
   IF(L47="",
      NETWORKDAYS(J47,TODAY(),fESTIVOS!$A$2:$A$53),
      NETWORKDAYS(J47,L47,fESTIVOS!$A$2:$A$53)
   )
)</f>
        <v>1</v>
      </c>
      <c r="N47" s="43"/>
      <c r="O47" s="43"/>
      <c r="P47" s="48"/>
      <c r="Q47" s="21" t="s">
        <v>210</v>
      </c>
      <c r="R47" s="74" t="s">
        <v>38</v>
      </c>
      <c r="S47" s="49"/>
    </row>
    <row r="48" spans="1:19" ht="29.25" customHeight="1">
      <c r="A48" s="10" t="s">
        <v>59</v>
      </c>
      <c r="B48" s="67" t="s">
        <v>211</v>
      </c>
      <c r="C48" s="91" t="s">
        <v>212</v>
      </c>
      <c r="D48" s="98"/>
      <c r="E48" s="97" t="s">
        <v>62</v>
      </c>
      <c r="F48" s="44" t="s">
        <v>37</v>
      </c>
      <c r="G48" s="32">
        <v>100</v>
      </c>
      <c r="H48" s="70">
        <f>IF(OR(J48="",K48="",K48&lt;J48),0,NETWORKDAYS(J48,K48,fESTIVOS!$A$2:$A$53))</f>
        <v>2</v>
      </c>
      <c r="I48" s="43">
        <v>45889</v>
      </c>
      <c r="J48" s="34">
        <v>45889</v>
      </c>
      <c r="K48" s="34">
        <v>45890</v>
      </c>
      <c r="L48" s="34">
        <v>45889</v>
      </c>
      <c r="M48" s="25">
        <f ca="1">IF(OR(J48="",AND(L48="",TODAY()&lt;J48),AND(L48&lt;&gt;"",L48&lt;J48)),0,
   IF(L48="",
      NETWORKDAYS(J48,TODAY(),fESTIVOS!$A$2:$A$53),
      NETWORKDAYS(J48,L48,fESTIVOS!$A$2:$A$53)
   )
)</f>
        <v>1</v>
      </c>
      <c r="N48" s="43"/>
      <c r="O48" s="43"/>
      <c r="P48" s="48"/>
      <c r="Q48" s="21" t="s">
        <v>213</v>
      </c>
      <c r="R48" s="74" t="s">
        <v>38</v>
      </c>
      <c r="S48" s="49"/>
    </row>
    <row r="49" spans="1:19" ht="29.25" customHeight="1">
      <c r="A49" s="10" t="s">
        <v>59</v>
      </c>
      <c r="B49" s="67" t="s">
        <v>214</v>
      </c>
      <c r="C49" s="91" t="s">
        <v>215</v>
      </c>
      <c r="D49" s="98"/>
      <c r="E49" s="97" t="s">
        <v>62</v>
      </c>
      <c r="F49" s="44" t="s">
        <v>37</v>
      </c>
      <c r="G49" s="32">
        <v>100</v>
      </c>
      <c r="H49" s="70">
        <f>IF(OR(J49="",K49="",K49&lt;J49),0,NETWORKDAYS(J49,K49,fESTIVOS!$A$2:$A$53))</f>
        <v>2</v>
      </c>
      <c r="I49" s="43">
        <v>45889</v>
      </c>
      <c r="J49" s="34">
        <v>45889</v>
      </c>
      <c r="K49" s="34">
        <v>45890</v>
      </c>
      <c r="L49" s="34">
        <v>45889</v>
      </c>
      <c r="M49" s="25">
        <f ca="1">IF(OR(J49="",AND(L49="",TODAY()&lt;J49),AND(L49&lt;&gt;"",L49&lt;J49)),0,
   IF(L49="",
      NETWORKDAYS(J49,TODAY(),fESTIVOS!$A$2:$A$53),
      NETWORKDAYS(J49,L49,fESTIVOS!$A$2:$A$53)
   )
)</f>
        <v>1</v>
      </c>
      <c r="N49" s="43"/>
      <c r="O49" s="43"/>
      <c r="P49" s="48"/>
      <c r="Q49" s="21" t="s">
        <v>216</v>
      </c>
      <c r="R49" s="74" t="s">
        <v>38</v>
      </c>
      <c r="S49" s="49"/>
    </row>
    <row r="50" spans="1:19" ht="29.25" customHeight="1">
      <c r="A50" s="10" t="s">
        <v>59</v>
      </c>
      <c r="B50" s="67" t="s">
        <v>217</v>
      </c>
      <c r="C50" s="91" t="s">
        <v>218</v>
      </c>
      <c r="D50" s="98"/>
      <c r="E50" s="97" t="s">
        <v>62</v>
      </c>
      <c r="F50" s="44" t="s">
        <v>37</v>
      </c>
      <c r="G50" s="32">
        <v>100</v>
      </c>
      <c r="H50" s="70">
        <f>IF(OR(J50="",K50="",K50&lt;J50),0,NETWORKDAYS(J50,K50,fESTIVOS!$A$2:$A$53))</f>
        <v>2</v>
      </c>
      <c r="I50" s="43">
        <v>45889</v>
      </c>
      <c r="J50" s="34">
        <v>45889</v>
      </c>
      <c r="K50" s="34">
        <v>45890</v>
      </c>
      <c r="L50" s="34">
        <v>45889</v>
      </c>
      <c r="M50" s="25">
        <f ca="1">IF(OR(J50="",AND(L50="",TODAY()&lt;J50),AND(L50&lt;&gt;"",L50&lt;J50)),0,
   IF(L50="",
      NETWORKDAYS(J50,TODAY(),fESTIVOS!$A$2:$A$53),
      NETWORKDAYS(J50,L50,fESTIVOS!$A$2:$A$53)
   )
)</f>
        <v>1</v>
      </c>
      <c r="N50" s="43"/>
      <c r="O50" s="43"/>
      <c r="P50" s="48"/>
      <c r="Q50" s="21" t="s">
        <v>219</v>
      </c>
      <c r="R50" s="74" t="s">
        <v>38</v>
      </c>
      <c r="S50" s="49"/>
    </row>
    <row r="51" spans="1:19" ht="29.25" customHeight="1">
      <c r="A51" s="10" t="s">
        <v>59</v>
      </c>
      <c r="B51" s="107" t="s">
        <v>220</v>
      </c>
      <c r="C51" s="125" t="s">
        <v>218</v>
      </c>
      <c r="D51" s="126"/>
      <c r="E51" s="127" t="s">
        <v>62</v>
      </c>
      <c r="F51" s="128" t="s">
        <v>37</v>
      </c>
      <c r="G51" s="129">
        <v>100</v>
      </c>
      <c r="H51" s="70">
        <f>IF(OR(J51="",K51="",K51&lt;J51),0,NETWORKDAYS(J51,K51,fESTIVOS!$A$2:$A$53))</f>
        <v>2</v>
      </c>
      <c r="I51" s="130">
        <v>45889</v>
      </c>
      <c r="J51" s="131">
        <v>45889</v>
      </c>
      <c r="K51" s="131">
        <v>45890</v>
      </c>
      <c r="L51" s="131">
        <v>45889</v>
      </c>
      <c r="M51" s="25">
        <f ca="1">IF(OR(J51="",AND(L51="",TODAY()&lt;J51),AND(L51&lt;&gt;"",L51&lt;J51)),0,
   IF(L51="",
      NETWORKDAYS(J51,TODAY(),fESTIVOS!$A$2:$A$53),
      NETWORKDAYS(J51,L51,fESTIVOS!$A$2:$A$53)
   )
)</f>
        <v>1</v>
      </c>
      <c r="N51" s="115"/>
      <c r="O51" s="115"/>
      <c r="P51" s="116"/>
      <c r="Q51" s="21" t="s">
        <v>221</v>
      </c>
      <c r="R51" s="74" t="s">
        <v>38</v>
      </c>
      <c r="S51" s="132"/>
    </row>
    <row r="52" spans="1:19" ht="29.25" customHeight="1">
      <c r="A52" s="10" t="s">
        <v>59</v>
      </c>
      <c r="B52" s="107" t="s">
        <v>222</v>
      </c>
      <c r="C52" s="125" t="s">
        <v>218</v>
      </c>
      <c r="D52" s="126"/>
      <c r="E52" s="133" t="s">
        <v>62</v>
      </c>
      <c r="F52" s="128" t="s">
        <v>37</v>
      </c>
      <c r="G52" s="129">
        <v>100</v>
      </c>
      <c r="H52" s="70">
        <f>IF(OR(J52="",K52="",K52&lt;J52),0,NETWORKDAYS(J52,K52,fESTIVOS!$A$2:$A$53))</f>
        <v>2</v>
      </c>
      <c r="I52" s="130">
        <v>45889</v>
      </c>
      <c r="J52" s="131">
        <v>45889</v>
      </c>
      <c r="K52" s="131">
        <v>45890</v>
      </c>
      <c r="L52" s="131">
        <v>45889</v>
      </c>
      <c r="M52" s="25">
        <f ca="1">IF(OR(J52="",AND(L52="",TODAY()&lt;J52),AND(L52&lt;&gt;"",L52&lt;J52)),0,
   IF(L52="",
      NETWORKDAYS(J52,TODAY(),fESTIVOS!$A$2:$A$53),
      NETWORKDAYS(J52,L52,fESTIVOS!$A$2:$A$53)
   )
)</f>
        <v>1</v>
      </c>
      <c r="N52" s="115"/>
      <c r="O52" s="115"/>
      <c r="P52" s="116"/>
      <c r="Q52" s="21" t="s">
        <v>223</v>
      </c>
      <c r="R52" s="74" t="s">
        <v>38</v>
      </c>
      <c r="S52" s="132"/>
    </row>
    <row r="53" spans="1:19" ht="29.25" customHeight="1">
      <c r="A53" s="10" t="s">
        <v>59</v>
      </c>
      <c r="B53" s="67" t="s">
        <v>224</v>
      </c>
      <c r="C53" s="91" t="s">
        <v>225</v>
      </c>
      <c r="D53" s="126"/>
      <c r="E53" s="69" t="s">
        <v>126</v>
      </c>
      <c r="F53" s="128" t="s">
        <v>37</v>
      </c>
      <c r="G53" s="129">
        <v>100</v>
      </c>
      <c r="H53" s="70">
        <f>IF(OR(J53="",K53="",K53&lt;J53),0,NETWORKDAYS(J53,K53,fESTIVOS!$A$2:$A$53))</f>
        <v>2</v>
      </c>
      <c r="I53" s="113">
        <v>45890</v>
      </c>
      <c r="J53" s="114">
        <v>45890</v>
      </c>
      <c r="K53" s="114">
        <v>45891</v>
      </c>
      <c r="L53" s="114">
        <v>45890</v>
      </c>
      <c r="M53" s="25">
        <f ca="1">IF(OR(J53="",AND(L53="",TODAY()&lt;J53),AND(L53&lt;&gt;"",L53&lt;J53)),0,
   IF(L53="",
      NETWORKDAYS(J53,TODAY(),fESTIVOS!$A$2:$A$53),
      NETWORKDAYS(J53,L53,fESTIVOS!$A$2:$A$53)
   )
)</f>
        <v>1</v>
      </c>
      <c r="N53" s="115"/>
      <c r="O53" s="115"/>
      <c r="P53" s="116"/>
      <c r="Q53" s="21" t="s">
        <v>226</v>
      </c>
      <c r="R53" s="74" t="s">
        <v>38</v>
      </c>
      <c r="S53" s="132"/>
    </row>
    <row r="54" spans="1:19" ht="29.25" customHeight="1">
      <c r="A54" s="10" t="s">
        <v>59</v>
      </c>
      <c r="B54" s="67" t="s">
        <v>227</v>
      </c>
      <c r="C54" s="91" t="s">
        <v>228</v>
      </c>
      <c r="D54" s="102" t="s">
        <v>229</v>
      </c>
      <c r="E54" s="69" t="s">
        <v>126</v>
      </c>
      <c r="F54" s="134" t="s">
        <v>37</v>
      </c>
      <c r="G54" s="135">
        <v>100</v>
      </c>
      <c r="H54" s="70">
        <f>IF(OR(J54="",K54="",K54&lt;J54),0,NETWORKDAYS(J54,K54,fESTIVOS!$A$2:$A$53))</f>
        <v>1</v>
      </c>
      <c r="I54" s="113">
        <v>45890</v>
      </c>
      <c r="J54" s="114">
        <v>45891</v>
      </c>
      <c r="K54" s="114">
        <v>45891</v>
      </c>
      <c r="L54" s="114">
        <v>45891</v>
      </c>
      <c r="M54" s="25">
        <f ca="1">IF(OR(J54="",AND(L54="",TODAY()&lt;J54),AND(L54&lt;&gt;"",L54&lt;J54)),0,
   IF(L54="",
      NETWORKDAYS(J54,TODAY(),fESTIVOS!$A$2:$A$53),
      NETWORKDAYS(J54,L54,fESTIVOS!$A$2:$A$53)
   )
)</f>
        <v>1</v>
      </c>
      <c r="N54" s="115"/>
      <c r="O54" s="115"/>
      <c r="P54" s="116"/>
      <c r="Q54" s="21" t="s">
        <v>230</v>
      </c>
      <c r="R54" s="136" t="s">
        <v>38</v>
      </c>
      <c r="S54" s="132"/>
    </row>
    <row r="55" spans="1:19" ht="29.25" customHeight="1">
      <c r="A55" s="10" t="s">
        <v>59</v>
      </c>
      <c r="B55" s="67" t="s">
        <v>231</v>
      </c>
      <c r="C55" s="91" t="s">
        <v>232</v>
      </c>
      <c r="D55" s="126"/>
      <c r="E55" s="69" t="s">
        <v>126</v>
      </c>
      <c r="F55" s="137" t="s">
        <v>37</v>
      </c>
      <c r="G55" s="138">
        <v>100</v>
      </c>
      <c r="H55" s="70">
        <f>IF(OR(J55="",K55="",K55&lt;J55),0,NETWORKDAYS(J55,K55,fESTIVOS!$A$2:$A$53))</f>
        <v>2</v>
      </c>
      <c r="I55" s="113">
        <v>45890</v>
      </c>
      <c r="J55" s="114">
        <v>45890</v>
      </c>
      <c r="K55" s="114">
        <v>45891</v>
      </c>
      <c r="L55" s="114">
        <v>45890</v>
      </c>
      <c r="M55" s="25">
        <f ca="1">IF(OR(J55="",AND(L55="",TODAY()&lt;J55),AND(L55&lt;&gt;"",L55&lt;J55)),0,
   IF(L55="",
      NETWORKDAYS(J55,TODAY(),fESTIVOS!$A$2:$A$53),
      NETWORKDAYS(J55,L55,fESTIVOS!$A$2:$A$53)
   )
)</f>
        <v>1</v>
      </c>
      <c r="N55" s="115"/>
      <c r="O55" s="115"/>
      <c r="P55" s="116"/>
      <c r="Q55" s="21" t="s">
        <v>233</v>
      </c>
      <c r="R55" s="136" t="s">
        <v>38</v>
      </c>
      <c r="S55" s="132"/>
    </row>
    <row r="56" spans="1:19" ht="29.25" customHeight="1">
      <c r="A56" s="10" t="s">
        <v>59</v>
      </c>
      <c r="B56" s="67" t="s">
        <v>234</v>
      </c>
      <c r="C56" s="91" t="s">
        <v>235</v>
      </c>
      <c r="D56" s="109" t="s">
        <v>236</v>
      </c>
      <c r="E56" s="69" t="s">
        <v>126</v>
      </c>
      <c r="F56" s="134" t="s">
        <v>37</v>
      </c>
      <c r="G56" s="135">
        <v>100</v>
      </c>
      <c r="H56" s="70">
        <f>IF(OR(J56="",K56="",K56&lt;J56),0,NETWORKDAYS(J56,K56,fESTIVOS!$A$2:$A$53))</f>
        <v>2</v>
      </c>
      <c r="I56" s="113">
        <v>45890</v>
      </c>
      <c r="J56" s="114">
        <v>45890</v>
      </c>
      <c r="K56" s="114">
        <v>45892</v>
      </c>
      <c r="L56" s="114">
        <v>45892</v>
      </c>
      <c r="M56" s="25">
        <f ca="1">IF(OR(J56="",AND(L56="",TODAY()&lt;J56),AND(L56&lt;&gt;"",L56&lt;J56)),0,
   IF(L56="",
      NETWORKDAYS(J56,TODAY(),fESTIVOS!$A$2:$A$53),
      NETWORKDAYS(J56,L56,fESTIVOS!$A$2:$A$53)
   )
)</f>
        <v>2</v>
      </c>
      <c r="N56" s="115"/>
      <c r="O56" s="115"/>
      <c r="P56" s="116"/>
      <c r="Q56" s="21" t="s">
        <v>237</v>
      </c>
      <c r="R56" s="136" t="s">
        <v>38</v>
      </c>
      <c r="S56" s="132"/>
    </row>
    <row r="57" spans="1:19" ht="29.25" customHeight="1">
      <c r="A57" s="106" t="s">
        <v>59</v>
      </c>
      <c r="B57" s="67" t="s">
        <v>238</v>
      </c>
      <c r="C57" s="108" t="s">
        <v>239</v>
      </c>
      <c r="D57" s="120" t="s">
        <v>240</v>
      </c>
      <c r="E57" s="124" t="s">
        <v>126</v>
      </c>
      <c r="F57" s="111" t="s">
        <v>37</v>
      </c>
      <c r="G57" s="112">
        <v>100</v>
      </c>
      <c r="H57" s="70">
        <f>IF(OR(J57="",K57="",K57&lt;J57),0,NETWORKDAYS(J57,K57,fESTIVOS!$A$2:$A$53))</f>
        <v>3</v>
      </c>
      <c r="I57" s="113">
        <v>45910</v>
      </c>
      <c r="J57" s="114">
        <v>45910</v>
      </c>
      <c r="K57" s="121">
        <v>45912</v>
      </c>
      <c r="L57" s="114">
        <v>45937</v>
      </c>
      <c r="M57" s="25">
        <f ca="1">IF(OR(J57="",AND(L57="",TODAY()&lt;J57),AND(L57&lt;&gt;"",L57&lt;J57)),0,
   IF(L57="",
      NETWORKDAYS(J57,TODAY(),fESTIVOS!$A$2:$A$53),
      NETWORKDAYS(J57,L57,fESTIVOS!$A$2:$A$53)
   )
)</f>
        <v>20</v>
      </c>
      <c r="N57" s="115"/>
      <c r="O57" s="115"/>
      <c r="P57" s="116"/>
      <c r="Q57" s="122" t="s">
        <v>241</v>
      </c>
      <c r="R57" s="118" t="s">
        <v>38</v>
      </c>
      <c r="S57" s="119"/>
    </row>
    <row r="58" spans="1:19" ht="29.25" customHeight="1">
      <c r="A58" s="106" t="s">
        <v>59</v>
      </c>
      <c r="B58" s="67" t="s">
        <v>242</v>
      </c>
      <c r="C58" s="108" t="s">
        <v>243</v>
      </c>
      <c r="D58" s="120" t="s">
        <v>244</v>
      </c>
      <c r="E58" s="124" t="s">
        <v>126</v>
      </c>
      <c r="F58" s="111" t="s">
        <v>37</v>
      </c>
      <c r="G58" s="112">
        <v>100</v>
      </c>
      <c r="H58" s="70">
        <f>IF(OR(J58="",K58="",K58&lt;J58),0,NETWORKDAYS(J58,K58,fESTIVOS!$A$2:$A$53))</f>
        <v>2</v>
      </c>
      <c r="I58" s="113">
        <v>45912</v>
      </c>
      <c r="J58" s="114">
        <v>45912</v>
      </c>
      <c r="K58" s="121">
        <v>45915</v>
      </c>
      <c r="L58" s="114">
        <v>45937</v>
      </c>
      <c r="M58" s="25">
        <f ca="1">IF(OR(J58="",AND(L58="",TODAY()&lt;J58),AND(L58&lt;&gt;"",L58&lt;J58)),0,
   IF(L58="",
      NETWORKDAYS(J58,TODAY(),fESTIVOS!$A$2:$A$53),
      NETWORKDAYS(J58,L58,fESTIVOS!$A$2:$A$53)
   )
)</f>
        <v>18</v>
      </c>
      <c r="N58" s="115"/>
      <c r="O58" s="115"/>
      <c r="P58" s="116"/>
      <c r="Q58" s="122" t="s">
        <v>245</v>
      </c>
      <c r="R58" s="118" t="s">
        <v>38</v>
      </c>
      <c r="S58" s="119"/>
    </row>
    <row r="59" spans="1:19" ht="29.25" customHeight="1">
      <c r="A59" s="139" t="s">
        <v>59</v>
      </c>
      <c r="B59" s="107" t="s">
        <v>246</v>
      </c>
      <c r="C59" s="140" t="s">
        <v>247</v>
      </c>
      <c r="D59" s="120" t="s">
        <v>248</v>
      </c>
      <c r="E59" s="110" t="s">
        <v>126</v>
      </c>
      <c r="F59" s="141" t="s">
        <v>37</v>
      </c>
      <c r="G59" s="142">
        <v>100</v>
      </c>
      <c r="H59" s="70">
        <f>IF(OR(J59="",K59="",K59&lt;J59),0,NETWORKDAYS(J59,K59,fESTIVOS!$A$2:$A$53))</f>
        <v>2</v>
      </c>
      <c r="I59" s="113">
        <v>45912</v>
      </c>
      <c r="J59" s="114">
        <v>45912</v>
      </c>
      <c r="K59" s="121">
        <v>45915</v>
      </c>
      <c r="L59" s="114">
        <v>45937</v>
      </c>
      <c r="M59" s="25">
        <f ca="1">IF(OR(J59="",AND(L59="",TODAY()&lt;J59),AND(L59&lt;&gt;"",L59&lt;J59)),0,
   IF(L59="",
      NETWORKDAYS(J59,TODAY(),fESTIVOS!$A$2:$A$53),
      NETWORKDAYS(J59,L59,fESTIVOS!$A$2:$A$53)
   )
)</f>
        <v>18</v>
      </c>
      <c r="N59" s="143"/>
      <c r="O59" s="143"/>
      <c r="P59" s="144"/>
      <c r="Q59" s="122" t="s">
        <v>249</v>
      </c>
      <c r="R59" s="118" t="s">
        <v>38</v>
      </c>
      <c r="S59" s="119"/>
    </row>
    <row r="60" spans="1:19" ht="29.25" customHeight="1">
      <c r="A60" s="139" t="s">
        <v>59</v>
      </c>
      <c r="B60" s="124" t="s">
        <v>250</v>
      </c>
      <c r="C60" s="140" t="s">
        <v>251</v>
      </c>
      <c r="D60" s="145" t="s">
        <v>252</v>
      </c>
      <c r="E60" s="110" t="s">
        <v>126</v>
      </c>
      <c r="F60" s="141" t="s">
        <v>37</v>
      </c>
      <c r="G60" s="142">
        <v>100</v>
      </c>
      <c r="H60" s="70">
        <f>IF(OR(J60="",K60="",K60&lt;J60),0,NETWORKDAYS(J60,K60,fESTIVOS!$A$2:$A$53))</f>
        <v>3</v>
      </c>
      <c r="I60" s="146">
        <v>45917</v>
      </c>
      <c r="J60" s="121">
        <v>45917</v>
      </c>
      <c r="K60" s="121">
        <v>45919</v>
      </c>
      <c r="L60" s="114">
        <v>45937</v>
      </c>
      <c r="M60" s="25">
        <f ca="1">IF(OR(J60="",AND(L60="",TODAY()&lt;J60),AND(L60&lt;&gt;"",L60&lt;J60)),0,
   IF(L60="",
      NETWORKDAYS(J60,TODAY(),fESTIVOS!$A$2:$A$53),
      NETWORKDAYS(J60,L60,fESTIVOS!$A$2:$A$53)
   )
)</f>
        <v>15</v>
      </c>
      <c r="N60" s="143"/>
      <c r="O60" s="143"/>
      <c r="P60" s="144"/>
      <c r="Q60" s="122" t="s">
        <v>253</v>
      </c>
      <c r="R60" s="118" t="s">
        <v>38</v>
      </c>
      <c r="S60" s="119"/>
    </row>
    <row r="61" spans="1:19" ht="29.25" customHeight="1">
      <c r="A61" s="139" t="s">
        <v>59</v>
      </c>
      <c r="B61" s="124" t="s">
        <v>254</v>
      </c>
      <c r="C61" s="140" t="s">
        <v>255</v>
      </c>
      <c r="D61" s="145" t="s">
        <v>256</v>
      </c>
      <c r="E61" s="110" t="s">
        <v>126</v>
      </c>
      <c r="F61" s="141" t="s">
        <v>37</v>
      </c>
      <c r="G61" s="142">
        <v>100</v>
      </c>
      <c r="H61" s="70">
        <f>IF(OR(J61="",K61="",K61&lt;J61),0,NETWORKDAYS(J61,K61,fESTIVOS!$A$2:$A$53))</f>
        <v>3</v>
      </c>
      <c r="I61" s="146">
        <v>45917</v>
      </c>
      <c r="J61" s="121">
        <v>45917</v>
      </c>
      <c r="K61" s="121">
        <v>45919</v>
      </c>
      <c r="L61" s="114">
        <v>45937</v>
      </c>
      <c r="M61" s="25">
        <f ca="1">IF(OR(J61="",AND(L61="",TODAY()&lt;J61),AND(L61&lt;&gt;"",L61&lt;J61)),0,
   IF(L61="",
      NETWORKDAYS(J61,TODAY(),fESTIVOS!$A$2:$A$53),
      NETWORKDAYS(J61,L61,fESTIVOS!$A$2:$A$53)
   )
)</f>
        <v>15</v>
      </c>
      <c r="N61" s="143"/>
      <c r="O61" s="143"/>
      <c r="P61" s="144"/>
      <c r="Q61" s="122" t="s">
        <v>257</v>
      </c>
      <c r="R61" s="118" t="s">
        <v>38</v>
      </c>
      <c r="S61" s="119"/>
    </row>
    <row r="62" spans="1:19" ht="39" customHeight="1">
      <c r="A62" s="10" t="s">
        <v>59</v>
      </c>
      <c r="B62" s="67" t="s">
        <v>258</v>
      </c>
      <c r="C62" s="91" t="s">
        <v>259</v>
      </c>
      <c r="D62" s="147" t="s">
        <v>260</v>
      </c>
      <c r="E62" s="69" t="s">
        <v>62</v>
      </c>
      <c r="F62" s="12" t="s">
        <v>37</v>
      </c>
      <c r="G62" s="32">
        <v>100</v>
      </c>
      <c r="H62" s="70">
        <f>IF(OR(J62="",K62="",K62&lt;J62),0,NETWORKDAYS(J62,K62,fESTIVOS!$A$2:$A$53))</f>
        <v>1</v>
      </c>
      <c r="I62" s="43">
        <v>45919</v>
      </c>
      <c r="J62" s="34">
        <v>45919</v>
      </c>
      <c r="K62" s="34">
        <v>45919</v>
      </c>
      <c r="L62" s="34">
        <v>45919</v>
      </c>
      <c r="M62" s="25">
        <f ca="1">IF(OR(J62="",AND(L62="",TODAY()&lt;J62),AND(L62&lt;&gt;"",L62&lt;J62)),0,
   IF(L62="",
      NETWORKDAYS(J62,TODAY(),fESTIVOS!$A$2:$A$53),
      NETWORKDAYS(J62,L62,fESTIVOS!$A$2:$A$53)
   )
)</f>
        <v>1</v>
      </c>
      <c r="N62" s="33"/>
      <c r="O62" s="33"/>
      <c r="P62" s="39"/>
      <c r="Q62" s="122" t="s">
        <v>261</v>
      </c>
      <c r="R62" s="74" t="s">
        <v>38</v>
      </c>
      <c r="S62" s="37"/>
    </row>
    <row r="63" spans="1:19" ht="29.25" customHeight="1">
      <c r="A63" s="139" t="s">
        <v>59</v>
      </c>
      <c r="B63" s="124" t="s">
        <v>262</v>
      </c>
      <c r="C63" s="140" t="s">
        <v>263</v>
      </c>
      <c r="D63" s="145" t="s">
        <v>264</v>
      </c>
      <c r="E63" s="110" t="s">
        <v>126</v>
      </c>
      <c r="F63" s="141" t="s">
        <v>37</v>
      </c>
      <c r="G63" s="142">
        <v>100</v>
      </c>
      <c r="H63" s="70">
        <f>IF(OR(J63="",K63="",K63&lt;J63),0,NETWORKDAYS(J63,K63,fESTIVOS!$A$2:$A$53))</f>
        <v>0</v>
      </c>
      <c r="I63" s="146">
        <v>45922</v>
      </c>
      <c r="J63" s="121">
        <v>45922</v>
      </c>
      <c r="K63" s="121"/>
      <c r="L63" s="121">
        <v>45937</v>
      </c>
      <c r="M63" s="25">
        <f ca="1">IF(OR(J63="",AND(L63="",TODAY()&lt;J63),AND(L63&lt;&gt;"",L63&lt;J63)),0,
   IF(L63="",
      NETWORKDAYS(J63,TODAY(),fESTIVOS!$A$2:$A$53),
      NETWORKDAYS(J63,L63,fESTIVOS!$A$2:$A$53)
   )
)</f>
        <v>12</v>
      </c>
      <c r="N63" s="143"/>
      <c r="O63" s="143"/>
      <c r="P63" s="144"/>
      <c r="Q63" s="122" t="s">
        <v>265</v>
      </c>
      <c r="R63" s="118" t="s">
        <v>38</v>
      </c>
      <c r="S63" s="119"/>
    </row>
    <row r="64" spans="1:19" ht="29.25" customHeight="1">
      <c r="A64" s="139" t="s">
        <v>59</v>
      </c>
      <c r="B64" s="124" t="s">
        <v>266</v>
      </c>
      <c r="C64" s="140" t="s">
        <v>263</v>
      </c>
      <c r="D64" s="145" t="s">
        <v>267</v>
      </c>
      <c r="E64" s="110" t="s">
        <v>126</v>
      </c>
      <c r="F64" s="141" t="s">
        <v>37</v>
      </c>
      <c r="G64" s="142">
        <v>100</v>
      </c>
      <c r="H64" s="70">
        <f>IF(OR(J64="",K64="",K64&lt;J64),0,NETWORKDAYS(J64,K64,fESTIVOS!$A$2:$A$53))</f>
        <v>0</v>
      </c>
      <c r="I64" s="146">
        <v>45922</v>
      </c>
      <c r="J64" s="121">
        <v>45922</v>
      </c>
      <c r="K64" s="121"/>
      <c r="L64" s="121">
        <v>45937</v>
      </c>
      <c r="M64" s="25">
        <f ca="1">IF(OR(J64="",AND(L64="",TODAY()&lt;J64),AND(L64&lt;&gt;"",L64&lt;J64)),0,
   IF(L64="",
      NETWORKDAYS(J64,TODAY(),fESTIVOS!$A$2:$A$53),
      NETWORKDAYS(J64,L64,fESTIVOS!$A$2:$A$53)
   )
)</f>
        <v>12</v>
      </c>
      <c r="N64" s="143"/>
      <c r="O64" s="143"/>
      <c r="P64" s="144"/>
      <c r="Q64" s="122" t="s">
        <v>268</v>
      </c>
      <c r="R64" s="118" t="s">
        <v>38</v>
      </c>
      <c r="S64" s="119"/>
    </row>
    <row r="65" spans="1:19" ht="29.25" customHeight="1">
      <c r="A65" s="139" t="s">
        <v>59</v>
      </c>
      <c r="B65" s="124" t="s">
        <v>269</v>
      </c>
      <c r="C65" s="140" t="s">
        <v>270</v>
      </c>
      <c r="D65" s="145" t="s">
        <v>271</v>
      </c>
      <c r="E65" s="110" t="s">
        <v>126</v>
      </c>
      <c r="F65" s="141" t="s">
        <v>37</v>
      </c>
      <c r="G65" s="142">
        <v>100</v>
      </c>
      <c r="H65" s="70">
        <f>IF(OR(J65="",K65="",K65&lt;J65),0,NETWORKDAYS(J65,K65,fESTIVOS!$A$2:$A$53))</f>
        <v>1</v>
      </c>
      <c r="I65" s="146">
        <v>45925</v>
      </c>
      <c r="J65" s="121">
        <v>45925</v>
      </c>
      <c r="K65" s="121">
        <v>45925</v>
      </c>
      <c r="L65" s="121">
        <v>45925</v>
      </c>
      <c r="M65" s="25">
        <f ca="1">IF(OR(J65="",AND(L65="",TODAY()&lt;J65),AND(L65&lt;&gt;"",L65&lt;J65)),0,
   IF(L65="",
      NETWORKDAYS(J65,TODAY(),fESTIVOS!$A$2:$A$53),
      NETWORKDAYS(J65,L65,fESTIVOS!$A$2:$A$53)
   )
)</f>
        <v>1</v>
      </c>
      <c r="N65" s="143"/>
      <c r="O65" s="143"/>
      <c r="P65" s="144"/>
      <c r="Q65" s="122" t="s">
        <v>272</v>
      </c>
      <c r="R65" s="118" t="s">
        <v>38</v>
      </c>
      <c r="S65" s="119"/>
    </row>
    <row r="66" spans="1:19" ht="29.25" customHeight="1">
      <c r="A66" s="106" t="s">
        <v>59</v>
      </c>
      <c r="B66" s="107" t="s">
        <v>273</v>
      </c>
      <c r="C66" s="108" t="s">
        <v>274</v>
      </c>
      <c r="D66" s="109" t="s">
        <v>275</v>
      </c>
      <c r="E66" s="110" t="s">
        <v>143</v>
      </c>
      <c r="F66" s="111" t="s">
        <v>37</v>
      </c>
      <c r="G66" s="112">
        <v>100</v>
      </c>
      <c r="H66" s="70">
        <f>IF(OR(J66="",K66="",K66&lt;J66),0,NETWORKDAYS(J66,K66,fESTIVOS!$A$2:$A$53))</f>
        <v>1</v>
      </c>
      <c r="I66" s="113">
        <v>45931</v>
      </c>
      <c r="J66" s="114">
        <v>45932</v>
      </c>
      <c r="K66" s="114">
        <v>45932</v>
      </c>
      <c r="L66" s="114">
        <v>45932</v>
      </c>
      <c r="M66" s="25">
        <f ca="1">IF(OR(J66="",AND(L66="",TODAY()&lt;J66),AND(L66&lt;&gt;"",L66&lt;J66)),0,
   IF(L66="",
      NETWORKDAYS(J66,TODAY(),fESTIVOS!$A$2:$A$53),
      NETWORKDAYS(J66,L66,fESTIVOS!$A$2:$A$53)
   )
)</f>
        <v>1</v>
      </c>
      <c r="N66" s="115"/>
      <c r="O66" s="115"/>
      <c r="P66" s="116"/>
      <c r="Q66" s="117" t="s">
        <v>276</v>
      </c>
      <c r="R66" s="118" t="s">
        <v>38</v>
      </c>
      <c r="S66" s="119"/>
    </row>
    <row r="67" spans="1:19" ht="29.25" customHeight="1">
      <c r="A67" s="106" t="s">
        <v>59</v>
      </c>
      <c r="B67" s="107" t="s">
        <v>277</v>
      </c>
      <c r="C67" s="108" t="s">
        <v>278</v>
      </c>
      <c r="D67" s="120" t="s">
        <v>279</v>
      </c>
      <c r="E67" s="110" t="s">
        <v>62</v>
      </c>
      <c r="F67" s="111" t="s">
        <v>37</v>
      </c>
      <c r="G67" s="112">
        <v>100</v>
      </c>
      <c r="H67" s="70">
        <f>IF(OR(J67="",K67="",K67&lt;J67),0,NETWORKDAYS(J67,K67,fESTIVOS!$A$2:$A$53))</f>
        <v>0</v>
      </c>
      <c r="I67" s="113">
        <v>45932</v>
      </c>
      <c r="J67" s="114">
        <v>45934</v>
      </c>
      <c r="K67" s="114">
        <v>45934</v>
      </c>
      <c r="L67" s="114">
        <v>45934</v>
      </c>
      <c r="M67" s="25">
        <f ca="1">IF(OR(J67="",AND(L67="",TODAY()&lt;J67),AND(L67&lt;&gt;"",L67&lt;J67)),0,
   IF(L67="",
      NETWORKDAYS(J67,TODAY(),fESTIVOS!$A$2:$A$53),
      NETWORKDAYS(J67,L67,fESTIVOS!$A$2:$A$53)
   )
)</f>
        <v>0</v>
      </c>
      <c r="N67" s="115"/>
      <c r="O67" s="115"/>
      <c r="P67" s="116"/>
      <c r="Q67" s="122" t="s">
        <v>280</v>
      </c>
      <c r="R67" s="118" t="s">
        <v>38</v>
      </c>
      <c r="S67" s="119"/>
    </row>
    <row r="68" spans="1:19" ht="29.25" customHeight="1">
      <c r="A68" s="106" t="s">
        <v>59</v>
      </c>
      <c r="B68" s="107" t="s">
        <v>281</v>
      </c>
      <c r="C68" s="108" t="s">
        <v>282</v>
      </c>
      <c r="D68" s="120" t="s">
        <v>283</v>
      </c>
      <c r="E68" s="110" t="s">
        <v>62</v>
      </c>
      <c r="F68" s="111" t="s">
        <v>37</v>
      </c>
      <c r="G68" s="112">
        <v>100</v>
      </c>
      <c r="H68" s="70">
        <f>IF(OR(J68="",K68="",K68&lt;J68),0,NETWORKDAYS(J68,K68,fESTIVOS!$A$2:$A$53))</f>
        <v>0</v>
      </c>
      <c r="I68" s="113">
        <v>45932</v>
      </c>
      <c r="J68" s="114">
        <v>45934</v>
      </c>
      <c r="K68" s="114">
        <v>45934</v>
      </c>
      <c r="L68" s="114">
        <v>45934</v>
      </c>
      <c r="M68" s="25">
        <f ca="1">IF(OR(J68="",AND(L68="",TODAY()&lt;J68),AND(L68&lt;&gt;"",L68&lt;J68)),0,
   IF(L68="",
      NETWORKDAYS(J68,TODAY(),fESTIVOS!$A$2:$A$53),
      NETWORKDAYS(J68,L68,fESTIVOS!$A$2:$A$53)
   )
)</f>
        <v>0</v>
      </c>
      <c r="N68" s="115"/>
      <c r="O68" s="115"/>
      <c r="P68" s="116"/>
      <c r="Q68" s="122" t="s">
        <v>284</v>
      </c>
      <c r="R68" s="118" t="s">
        <v>38</v>
      </c>
      <c r="S68" s="119"/>
    </row>
    <row r="69" spans="1:19" ht="29.25" customHeight="1">
      <c r="A69" s="10" t="s">
        <v>59</v>
      </c>
      <c r="B69" s="67" t="s">
        <v>285</v>
      </c>
      <c r="C69" s="91" t="s">
        <v>235</v>
      </c>
      <c r="D69" s="109" t="s">
        <v>286</v>
      </c>
      <c r="E69" s="69" t="s">
        <v>126</v>
      </c>
      <c r="F69" s="134" t="s">
        <v>37</v>
      </c>
      <c r="G69" s="135">
        <v>100</v>
      </c>
      <c r="H69" s="70">
        <f>IF(OR(J69="",K69="",K69&lt;J69),0,NETWORKDAYS(J69,K69,fESTIVOS!$A$2:$A$53))</f>
        <v>0</v>
      </c>
      <c r="I69" s="113">
        <v>45932</v>
      </c>
      <c r="J69" s="114">
        <v>45934</v>
      </c>
      <c r="K69" s="114">
        <v>45934</v>
      </c>
      <c r="L69" s="114">
        <v>45934</v>
      </c>
      <c r="M69" s="25">
        <f ca="1">IF(OR(J69="",AND(L69="",TODAY()&lt;J69),AND(L69&lt;&gt;"",L69&lt;J69)),0,
   IF(L69="",
      NETWORKDAYS(J69,TODAY(),fESTIVOS!$A$2:$A$53),
      NETWORKDAYS(J69,L69,fESTIVOS!$A$2:$A$53)
   )
)</f>
        <v>0</v>
      </c>
      <c r="N69" s="115"/>
      <c r="O69" s="115"/>
      <c r="P69" s="116"/>
      <c r="Q69" s="21" t="s">
        <v>287</v>
      </c>
      <c r="R69" s="136" t="s">
        <v>38</v>
      </c>
      <c r="S69" s="132"/>
    </row>
    <row r="70" spans="1:19" ht="29.25" customHeight="1">
      <c r="A70" s="106" t="s">
        <v>59</v>
      </c>
      <c r="B70" s="107" t="s">
        <v>288</v>
      </c>
      <c r="C70" s="108" t="s">
        <v>289</v>
      </c>
      <c r="D70" s="120"/>
      <c r="E70" s="110" t="s">
        <v>62</v>
      </c>
      <c r="F70" s="111" t="s">
        <v>37</v>
      </c>
      <c r="G70" s="112">
        <v>100</v>
      </c>
      <c r="H70" s="70">
        <f>IF(OR(J70="",K70="",K70&lt;J70),0,NETWORKDAYS(J70,K70,fESTIVOS!$A$2:$A$53))</f>
        <v>2</v>
      </c>
      <c r="I70" s="113">
        <v>45936</v>
      </c>
      <c r="J70" s="114">
        <v>45936</v>
      </c>
      <c r="K70" s="114">
        <v>45937</v>
      </c>
      <c r="L70" s="114">
        <v>45937</v>
      </c>
      <c r="M70" s="25">
        <f ca="1">IF(OR(J70="",AND(L70="",TODAY()&lt;J70),AND(L70&lt;&gt;"",L70&lt;J70)),0,
   IF(L70="",
      NETWORKDAYS(J70,TODAY(),fESTIVOS!$A$2:$A$53),
      NETWORKDAYS(J70,L70,fESTIVOS!$A$2:$A$53)
   )
)</f>
        <v>2</v>
      </c>
      <c r="N70" s="115"/>
      <c r="O70" s="115"/>
      <c r="P70" s="116"/>
      <c r="Q70" s="122" t="s">
        <v>290</v>
      </c>
      <c r="R70" s="118" t="s">
        <v>38</v>
      </c>
      <c r="S70" s="119"/>
    </row>
    <row r="71" spans="1:19" ht="29.25" customHeight="1">
      <c r="A71" s="106" t="s">
        <v>59</v>
      </c>
      <c r="B71" s="107" t="s">
        <v>291</v>
      </c>
      <c r="C71" s="108" t="s">
        <v>292</v>
      </c>
      <c r="D71" s="120" t="s">
        <v>293</v>
      </c>
      <c r="E71" s="110" t="s">
        <v>62</v>
      </c>
      <c r="F71" s="111" t="s">
        <v>37</v>
      </c>
      <c r="G71" s="112">
        <v>100</v>
      </c>
      <c r="H71" s="70">
        <f>IF(OR(J71="",K71="",K71&lt;J71),0,NETWORKDAYS(J71,K71,fESTIVOS!$A$2:$A$53))</f>
        <v>2</v>
      </c>
      <c r="I71" s="113">
        <v>45936</v>
      </c>
      <c r="J71" s="114">
        <v>45936</v>
      </c>
      <c r="K71" s="114">
        <v>45937</v>
      </c>
      <c r="L71" s="114">
        <v>45937</v>
      </c>
      <c r="M71" s="25">
        <f ca="1">IF(OR(J71="",AND(L71="",TODAY()&lt;J71),AND(L71&lt;&gt;"",L71&lt;J71)),0,
   IF(L71="",
      NETWORKDAYS(J71,TODAY(),fESTIVOS!$A$2:$A$53),
      NETWORKDAYS(J71,L71,fESTIVOS!$A$2:$A$53)
   )
)</f>
        <v>2</v>
      </c>
      <c r="N71" s="115"/>
      <c r="O71" s="115"/>
      <c r="P71" s="116"/>
      <c r="Q71" s="122" t="s">
        <v>294</v>
      </c>
      <c r="R71" s="118" t="s">
        <v>38</v>
      </c>
      <c r="S71" s="119"/>
    </row>
    <row r="72" spans="1:19" ht="29.25" customHeight="1">
      <c r="A72" s="139" t="s">
        <v>59</v>
      </c>
      <c r="B72" s="124" t="s">
        <v>295</v>
      </c>
      <c r="C72" s="140" t="s">
        <v>296</v>
      </c>
      <c r="D72" s="120" t="s">
        <v>297</v>
      </c>
      <c r="E72" s="110" t="s">
        <v>126</v>
      </c>
      <c r="F72" s="141" t="s">
        <v>37</v>
      </c>
      <c r="G72" s="142">
        <v>100</v>
      </c>
      <c r="H72" s="70">
        <f>IF(OR(J72="",K72="",K72&lt;J72),0,NETWORKDAYS(J72,K72,fESTIVOS!$A$2:$A$53))</f>
        <v>2</v>
      </c>
      <c r="I72" s="113">
        <v>45936</v>
      </c>
      <c r="J72" s="114">
        <v>45936</v>
      </c>
      <c r="K72" s="114">
        <v>45937</v>
      </c>
      <c r="L72" s="114">
        <v>45937</v>
      </c>
      <c r="M72" s="25">
        <f ca="1">IF(OR(J72="",AND(L72="",TODAY()&lt;J72),AND(L72&lt;&gt;"",L72&lt;J72)),0,
   IF(L72="",
      NETWORKDAYS(J72,TODAY(),fESTIVOS!$A$2:$A$53),
      NETWORKDAYS(J72,L72,fESTIVOS!$A$2:$A$53)
   )
)</f>
        <v>2</v>
      </c>
      <c r="N72" s="143"/>
      <c r="O72" s="143"/>
      <c r="P72" s="144"/>
      <c r="Q72" s="122" t="s">
        <v>298</v>
      </c>
      <c r="R72" s="118" t="s">
        <v>38</v>
      </c>
      <c r="S72" s="119"/>
    </row>
    <row r="73" spans="1:19" ht="29.25" customHeight="1">
      <c r="A73" s="148" t="s">
        <v>59</v>
      </c>
      <c r="B73" s="149" t="s">
        <v>299</v>
      </c>
      <c r="C73" s="150" t="s">
        <v>263</v>
      </c>
      <c r="D73" s="145" t="s">
        <v>300</v>
      </c>
      <c r="E73" s="151" t="s">
        <v>126</v>
      </c>
      <c r="F73" s="152" t="s">
        <v>37</v>
      </c>
      <c r="G73" s="135">
        <v>100</v>
      </c>
      <c r="H73" s="70">
        <f>IF(OR(J73="",K73="",K73&lt;J73),0,NETWORKDAYS(J73,K73,fESTIVOS!$A$2:$A$53))</f>
        <v>2</v>
      </c>
      <c r="I73" s="113">
        <v>45936</v>
      </c>
      <c r="J73" s="114">
        <v>45936</v>
      </c>
      <c r="K73" s="114">
        <v>45937</v>
      </c>
      <c r="L73" s="114">
        <v>45937</v>
      </c>
      <c r="M73" s="25">
        <f ca="1">IF(OR(J73="",AND(L73="",TODAY()&lt;J73),AND(L73&lt;&gt;"",L73&lt;J73)),0,
   IF(L73="",
      NETWORKDAYS(J73,TODAY(),fESTIVOS!$A$2:$A$53),
      NETWORKDAYS(J73,L73,fESTIVOS!$A$2:$A$53)
   )
)</f>
        <v>2</v>
      </c>
      <c r="N73" s="115"/>
      <c r="O73" s="115"/>
      <c r="P73" s="116"/>
      <c r="Q73" s="122" t="s">
        <v>301</v>
      </c>
      <c r="R73" s="136" t="s">
        <v>38</v>
      </c>
      <c r="S73" s="153"/>
    </row>
    <row r="74" spans="1:19" ht="29.25" customHeight="1">
      <c r="A74" s="139" t="s">
        <v>59</v>
      </c>
      <c r="B74" s="124" t="s">
        <v>302</v>
      </c>
      <c r="C74" s="140" t="s">
        <v>263</v>
      </c>
      <c r="D74" s="145" t="s">
        <v>303</v>
      </c>
      <c r="E74" s="110" t="s">
        <v>126</v>
      </c>
      <c r="F74" s="141" t="s">
        <v>37</v>
      </c>
      <c r="G74" s="142">
        <v>100</v>
      </c>
      <c r="H74" s="70">
        <f>IF(OR(J74="",K74="",K74&lt;J74),0,NETWORKDAYS(J74,K74,fESTIVOS!$A$2:$A$53))</f>
        <v>2</v>
      </c>
      <c r="I74" s="113">
        <v>45936</v>
      </c>
      <c r="J74" s="114">
        <v>45936</v>
      </c>
      <c r="K74" s="114">
        <v>45937</v>
      </c>
      <c r="L74" s="114">
        <v>45937</v>
      </c>
      <c r="M74" s="25">
        <f ca="1">IF(OR(J74="",AND(L74="",TODAY()&lt;J74),AND(L74&lt;&gt;"",L74&lt;J74)),0,
   IF(L74="",
      NETWORKDAYS(J74,TODAY(),fESTIVOS!$A$2:$A$53),
      NETWORKDAYS(J74,L74,fESTIVOS!$A$2:$A$53)
   )
)</f>
        <v>2</v>
      </c>
      <c r="N74" s="143"/>
      <c r="O74" s="143"/>
      <c r="P74" s="144"/>
      <c r="Q74" s="122" t="s">
        <v>304</v>
      </c>
      <c r="R74" s="118" t="s">
        <v>38</v>
      </c>
      <c r="S74" s="119"/>
    </row>
    <row r="75" spans="1:19" ht="29.25" customHeight="1">
      <c r="A75" s="106" t="s">
        <v>59</v>
      </c>
      <c r="B75" s="107" t="s">
        <v>305</v>
      </c>
      <c r="C75" s="108" t="s">
        <v>306</v>
      </c>
      <c r="D75" s="120" t="s">
        <v>307</v>
      </c>
      <c r="E75" s="110" t="s">
        <v>62</v>
      </c>
      <c r="F75" s="111" t="s">
        <v>37</v>
      </c>
      <c r="G75" s="112">
        <v>100</v>
      </c>
      <c r="H75" s="70">
        <f>IF(OR(J75="",K75="",K75&lt;J75),0,NETWORKDAYS(J75,K75,fESTIVOS!$A$2:$A$53))</f>
        <v>2</v>
      </c>
      <c r="I75" s="113">
        <v>45938</v>
      </c>
      <c r="J75" s="114">
        <v>45938</v>
      </c>
      <c r="K75" s="114">
        <v>45939</v>
      </c>
      <c r="L75" s="114">
        <v>45938</v>
      </c>
      <c r="M75" s="25">
        <f ca="1">IF(OR(J75="",AND(L75="",TODAY()&lt;J75),AND(L75&lt;&gt;"",L75&lt;J75)),0,
   IF(L75="",
      NETWORKDAYS(J75,TODAY(),fESTIVOS!$A$2:$A$53),
      NETWORKDAYS(J75,L75,fESTIVOS!$A$2:$A$53)
   )
)</f>
        <v>1</v>
      </c>
      <c r="N75" s="115"/>
      <c r="O75" s="115"/>
      <c r="P75" s="116"/>
      <c r="Q75" s="122" t="s">
        <v>308</v>
      </c>
      <c r="R75" s="118" t="s">
        <v>38</v>
      </c>
      <c r="S75" s="119"/>
    </row>
    <row r="76" spans="1:19" ht="29.25" customHeight="1">
      <c r="A76" s="106" t="s">
        <v>59</v>
      </c>
      <c r="B76" s="107" t="s">
        <v>309</v>
      </c>
      <c r="C76" s="108" t="s">
        <v>310</v>
      </c>
      <c r="D76" s="120" t="s">
        <v>311</v>
      </c>
      <c r="E76" s="110" t="s">
        <v>62</v>
      </c>
      <c r="F76" s="111" t="s">
        <v>37</v>
      </c>
      <c r="G76" s="112">
        <v>100</v>
      </c>
      <c r="H76" s="70">
        <f>IF(OR(J76="",K76="",K76&lt;J76),0,NETWORKDAYS(J76,K76,fESTIVOS!$A$2:$A$53))</f>
        <v>2</v>
      </c>
      <c r="I76" s="113">
        <v>45939</v>
      </c>
      <c r="J76" s="114">
        <v>45939</v>
      </c>
      <c r="K76" s="114">
        <v>45940</v>
      </c>
      <c r="L76" s="114">
        <v>45939</v>
      </c>
      <c r="M76" s="25">
        <f ca="1">IF(OR(J76="",AND(L76="",TODAY()&lt;J76),AND(L76&lt;&gt;"",L76&lt;J76)),0,
   IF(L76="",
      NETWORKDAYS(J76,TODAY(),fESTIVOS!$A$2:$A$53),
      NETWORKDAYS(J76,L76,fESTIVOS!$A$2:$A$53)
   )
)</f>
        <v>1</v>
      </c>
      <c r="N76" s="115"/>
      <c r="O76" s="115"/>
      <c r="P76" s="116"/>
      <c r="Q76" s="122" t="s">
        <v>312</v>
      </c>
      <c r="R76" s="118" t="s">
        <v>38</v>
      </c>
      <c r="S76" s="119"/>
    </row>
    <row r="77" spans="1:19" ht="29.25" customHeight="1">
      <c r="A77" s="139" t="s">
        <v>59</v>
      </c>
      <c r="B77" s="124" t="s">
        <v>313</v>
      </c>
      <c r="C77" s="140" t="s">
        <v>314</v>
      </c>
      <c r="D77" s="145" t="s">
        <v>315</v>
      </c>
      <c r="E77" s="110" t="s">
        <v>126</v>
      </c>
      <c r="F77" s="154" t="s">
        <v>37</v>
      </c>
      <c r="G77" s="155">
        <v>100</v>
      </c>
      <c r="H77" s="70">
        <f>IF(OR(J77="",K77="",K77&lt;J77),0,NETWORKDAYS(J77,K77,fESTIVOS!$A$2:$A$53))</f>
        <v>1</v>
      </c>
      <c r="I77" s="146">
        <v>45940</v>
      </c>
      <c r="J77" s="121">
        <v>45940</v>
      </c>
      <c r="K77" s="121">
        <v>45940</v>
      </c>
      <c r="L77" s="121">
        <v>45940</v>
      </c>
      <c r="M77" s="25">
        <f ca="1">IF(OR(J77="",AND(L77="",TODAY()&lt;J77),AND(L77&lt;&gt;"",L77&lt;J77)),0,
   IF(L77="",
      NETWORKDAYS(J77,TODAY(),fESTIVOS!$A$2:$A$53),
      NETWORKDAYS(J77,L77,fESTIVOS!$A$2:$A$53)
   )
)</f>
        <v>1</v>
      </c>
      <c r="N77" s="143"/>
      <c r="O77" s="143"/>
      <c r="P77" s="144"/>
      <c r="Q77" s="122" t="s">
        <v>316</v>
      </c>
      <c r="R77" s="118" t="s">
        <v>38</v>
      </c>
      <c r="S77" s="119"/>
    </row>
    <row r="78" spans="1:19" ht="29.25" customHeight="1">
      <c r="A78" s="139" t="s">
        <v>59</v>
      </c>
      <c r="B78" s="124" t="s">
        <v>317</v>
      </c>
      <c r="C78" s="140" t="s">
        <v>318</v>
      </c>
      <c r="D78" s="156" t="s">
        <v>319</v>
      </c>
      <c r="E78" s="110" t="s">
        <v>143</v>
      </c>
      <c r="F78" s="154" t="s">
        <v>37</v>
      </c>
      <c r="G78" s="155">
        <v>100</v>
      </c>
      <c r="H78" s="70">
        <f>IF(OR(J78="",K78="",K78&lt;J78),0,NETWORKDAYS(J78,K78,fESTIVOS!$A$2:$A$53))</f>
        <v>1</v>
      </c>
      <c r="I78" s="146">
        <v>45937</v>
      </c>
      <c r="J78" s="121">
        <v>45940</v>
      </c>
      <c r="K78" s="121">
        <v>45940</v>
      </c>
      <c r="L78" s="121">
        <v>45940</v>
      </c>
      <c r="M78" s="25">
        <f ca="1">IF(OR(J78="",AND(L78="",TODAY()&lt;J78),AND(L78&lt;&gt;"",L78&lt;J78)),0,
   IF(L78="",
      NETWORKDAYS(J78,TODAY(),fESTIVOS!$A$2:$A$53),
      NETWORKDAYS(J78,L78,fESTIVOS!$A$2:$A$53)
   )
)</f>
        <v>1</v>
      </c>
      <c r="N78" s="143"/>
      <c r="O78" s="143"/>
      <c r="P78" s="144"/>
      <c r="Q78" s="122" t="s">
        <v>320</v>
      </c>
      <c r="R78" s="118" t="s">
        <v>38</v>
      </c>
      <c r="S78" s="119"/>
    </row>
    <row r="79" spans="1:19" ht="29.25" customHeight="1">
      <c r="A79" s="148" t="s">
        <v>59</v>
      </c>
      <c r="B79" s="149" t="s">
        <v>321</v>
      </c>
      <c r="C79" s="150" t="s">
        <v>322</v>
      </c>
      <c r="D79" s="157" t="s">
        <v>323</v>
      </c>
      <c r="E79" s="133" t="s">
        <v>62</v>
      </c>
      <c r="F79" s="137" t="s">
        <v>37</v>
      </c>
      <c r="G79" s="155">
        <v>100</v>
      </c>
      <c r="H79" s="70">
        <f>IF(OR(J79="",K79="",K79&lt;J79),0,NETWORKDAYS(J79,K79,fESTIVOS!$A$2:$A$53))</f>
        <v>1</v>
      </c>
      <c r="I79" s="158">
        <v>45944</v>
      </c>
      <c r="J79" s="159">
        <v>45944</v>
      </c>
      <c r="K79" s="159">
        <v>45944</v>
      </c>
      <c r="L79" s="159">
        <v>45944</v>
      </c>
      <c r="M79" s="25">
        <f ca="1">IF(OR(J79="",AND(L79="",TODAY()&lt;J79),AND(L79&lt;&gt;"",L79&lt;J79)),0,
   IF(L79="",
      NETWORKDAYS(J79,TODAY(),fESTIVOS!$A$2:$A$53),
      NETWORKDAYS(J79,L79,fESTIVOS!$A$2:$A$53)
   )
)</f>
        <v>1</v>
      </c>
      <c r="N79" s="115"/>
      <c r="O79" s="115"/>
      <c r="P79" s="116"/>
      <c r="Q79" s="160" t="s">
        <v>324</v>
      </c>
      <c r="R79" s="136" t="s">
        <v>38</v>
      </c>
      <c r="S79" s="132"/>
    </row>
    <row r="80" spans="1:19" ht="29.25" customHeight="1">
      <c r="A80" s="139" t="s">
        <v>59</v>
      </c>
      <c r="B80" s="124" t="s">
        <v>325</v>
      </c>
      <c r="C80" s="161" t="s">
        <v>263</v>
      </c>
      <c r="D80" s="145" t="s">
        <v>326</v>
      </c>
      <c r="E80" s="127" t="s">
        <v>126</v>
      </c>
      <c r="F80" s="154" t="s">
        <v>37</v>
      </c>
      <c r="G80" s="155">
        <v>100</v>
      </c>
      <c r="H80" s="70">
        <f>IF(OR(J80="",K80="",K80&lt;J80),0,NETWORKDAYS(J80,K80,fESTIVOS!$A$2:$A$53))</f>
        <v>1</v>
      </c>
      <c r="I80" s="158">
        <v>45944</v>
      </c>
      <c r="J80" s="159">
        <v>45944</v>
      </c>
      <c r="K80" s="159">
        <v>45944</v>
      </c>
      <c r="L80" s="159">
        <v>45944</v>
      </c>
      <c r="M80" s="25">
        <f ca="1">IF(OR(J80="",AND(L80="",TODAY()&lt;J80),AND(L80&lt;&gt;"",L80&lt;J80)),0,
   IF(L80="",
      NETWORKDAYS(J80,TODAY(),fESTIVOS!$A$2:$A$53),
      NETWORKDAYS(J80,L80,fESTIVOS!$A$2:$A$53)
   )
)</f>
        <v>1</v>
      </c>
      <c r="N80" s="143"/>
      <c r="O80" s="143"/>
      <c r="P80" s="144"/>
      <c r="Q80" s="160" t="s">
        <v>327</v>
      </c>
      <c r="R80" s="118" t="s">
        <v>38</v>
      </c>
      <c r="S80" s="162"/>
    </row>
    <row r="81" spans="1:19" ht="29.25" customHeight="1">
      <c r="A81" s="139" t="s">
        <v>59</v>
      </c>
      <c r="B81" s="124" t="s">
        <v>328</v>
      </c>
      <c r="C81" s="150" t="s">
        <v>329</v>
      </c>
      <c r="D81" s="145" t="s">
        <v>330</v>
      </c>
      <c r="E81" s="127" t="s">
        <v>62</v>
      </c>
      <c r="F81" s="154" t="s">
        <v>37</v>
      </c>
      <c r="G81" s="155">
        <v>100</v>
      </c>
      <c r="H81" s="70">
        <f>IF(OR(J81="",K81="",K81&lt;J81),0,NETWORKDAYS(J81,K81,fESTIVOS!$A$2:$A$53))</f>
        <v>1</v>
      </c>
      <c r="I81" s="158">
        <v>45944</v>
      </c>
      <c r="J81" s="159">
        <v>45944</v>
      </c>
      <c r="K81" s="159">
        <v>45944</v>
      </c>
      <c r="L81" s="159">
        <v>45944</v>
      </c>
      <c r="M81" s="25">
        <f ca="1">IF(OR(J81="",AND(L81="",TODAY()&lt;J81),AND(L81&lt;&gt;"",L81&lt;J81)),0,
   IF(L81="",
      NETWORKDAYS(J81,TODAY(),fESTIVOS!$A$2:$A$53),
      NETWORKDAYS(J81,L81,fESTIVOS!$A$2:$A$53)
   )
)</f>
        <v>1</v>
      </c>
      <c r="N81" s="143"/>
      <c r="O81" s="143"/>
      <c r="P81" s="144"/>
      <c r="Q81" s="160" t="s">
        <v>331</v>
      </c>
      <c r="R81" s="118" t="s">
        <v>38</v>
      </c>
      <c r="S81" s="162"/>
    </row>
    <row r="82" spans="1:19" ht="29.25" customHeight="1">
      <c r="A82" s="139" t="s">
        <v>59</v>
      </c>
      <c r="B82" s="124" t="s">
        <v>332</v>
      </c>
      <c r="C82" s="150" t="s">
        <v>333</v>
      </c>
      <c r="D82" s="145" t="s">
        <v>334</v>
      </c>
      <c r="E82" s="127" t="s">
        <v>62</v>
      </c>
      <c r="F82" s="154" t="s">
        <v>37</v>
      </c>
      <c r="G82" s="155">
        <v>100</v>
      </c>
      <c r="H82" s="70">
        <f>IF(OR(J82="",K82="",K82&lt;J82),0,NETWORKDAYS(J82,K82,fESTIVOS!$A$2:$A$53))</f>
        <v>1</v>
      </c>
      <c r="I82" s="158">
        <v>45945</v>
      </c>
      <c r="J82" s="159">
        <v>45945</v>
      </c>
      <c r="K82" s="159">
        <v>45945</v>
      </c>
      <c r="L82" s="159">
        <v>45945</v>
      </c>
      <c r="M82" s="25">
        <f ca="1">IF(OR(J82="",AND(L82="",TODAY()&lt;J82),AND(L82&lt;&gt;"",L82&lt;J82)),0,
   IF(L82="",
      NETWORKDAYS(J82,TODAY(),fESTIVOS!$A$2:$A$53),
      NETWORKDAYS(J82,L82,fESTIVOS!$A$2:$A$53)
   )
)</f>
        <v>1</v>
      </c>
      <c r="N82" s="143"/>
      <c r="O82" s="143"/>
      <c r="P82" s="144"/>
      <c r="Q82" s="160" t="s">
        <v>335</v>
      </c>
      <c r="R82" s="118" t="s">
        <v>38</v>
      </c>
      <c r="S82" s="162"/>
    </row>
    <row r="83" spans="1:19" ht="29.25" customHeight="1">
      <c r="A83" s="139" t="s">
        <v>59</v>
      </c>
      <c r="B83" s="124" t="s">
        <v>336</v>
      </c>
      <c r="C83" s="150" t="s">
        <v>337</v>
      </c>
      <c r="D83" s="145" t="s">
        <v>338</v>
      </c>
      <c r="E83" s="127" t="s">
        <v>62</v>
      </c>
      <c r="F83" s="163" t="s">
        <v>37</v>
      </c>
      <c r="G83" s="142">
        <v>100</v>
      </c>
      <c r="H83" s="70">
        <f>IF(OR(J83="",K83="",K83&lt;J83),0,NETWORKDAYS(J83,K83,fESTIVOS!$A$2:$A$53))</f>
        <v>3</v>
      </c>
      <c r="I83" s="158">
        <v>45946</v>
      </c>
      <c r="J83" s="159">
        <v>45946</v>
      </c>
      <c r="K83" s="159">
        <v>45950</v>
      </c>
      <c r="L83" s="159">
        <v>45947</v>
      </c>
      <c r="M83" s="25">
        <f ca="1">IF(OR(J83="",AND(L83="",TODAY()&lt;J83),AND(L83&lt;&gt;"",L83&lt;J83)),0,
   IF(L83="",
      NETWORKDAYS(J83,TODAY(),fESTIVOS!$A$2:$A$53),
      NETWORKDAYS(J83,L83,fESTIVOS!$A$2:$A$53)
   )
)</f>
        <v>2</v>
      </c>
      <c r="N83" s="143"/>
      <c r="O83" s="143"/>
      <c r="P83" s="144"/>
      <c r="Q83" s="160" t="s">
        <v>339</v>
      </c>
      <c r="R83" s="118" t="s">
        <v>38</v>
      </c>
      <c r="S83" s="162"/>
    </row>
    <row r="84" spans="1:19" ht="29.25" customHeight="1">
      <c r="A84" s="139" t="s">
        <v>59</v>
      </c>
      <c r="B84" s="124" t="s">
        <v>340</v>
      </c>
      <c r="C84" s="150" t="s">
        <v>341</v>
      </c>
      <c r="D84" s="145" t="s">
        <v>342</v>
      </c>
      <c r="E84" s="127" t="s">
        <v>62</v>
      </c>
      <c r="F84" s="163" t="s">
        <v>37</v>
      </c>
      <c r="G84" s="142">
        <v>100</v>
      </c>
      <c r="H84" s="70">
        <f>IF(OR(J84="",K84="",K84&lt;J84),0,NETWORKDAYS(J84,K84,fESTIVOS!$A$2:$A$53))</f>
        <v>2</v>
      </c>
      <c r="I84" s="158">
        <v>45946</v>
      </c>
      <c r="J84" s="159">
        <v>45946</v>
      </c>
      <c r="K84" s="159">
        <v>45947</v>
      </c>
      <c r="L84" s="159">
        <v>45946</v>
      </c>
      <c r="M84" s="25">
        <f ca="1">IF(OR(J84="",AND(L84="",TODAY()&lt;J84),AND(L84&lt;&gt;"",L84&lt;J84)),0,
   IF(L84="",
      NETWORKDAYS(J84,TODAY(),fESTIVOS!$A$2:$A$53),
      NETWORKDAYS(J84,L84,fESTIVOS!$A$2:$A$53)
   )
)</f>
        <v>1</v>
      </c>
      <c r="N84" s="143"/>
      <c r="O84" s="143"/>
      <c r="P84" s="144"/>
      <c r="Q84" s="160" t="s">
        <v>343</v>
      </c>
      <c r="R84" s="118" t="s">
        <v>38</v>
      </c>
      <c r="S84" s="162"/>
    </row>
    <row r="85" spans="1:19" ht="29.25" customHeight="1">
      <c r="A85" s="139" t="s">
        <v>59</v>
      </c>
      <c r="B85" s="124" t="s">
        <v>344</v>
      </c>
      <c r="C85" s="150" t="s">
        <v>345</v>
      </c>
      <c r="D85" s="145" t="s">
        <v>346</v>
      </c>
      <c r="E85" s="127" t="s">
        <v>62</v>
      </c>
      <c r="F85" s="163" t="s">
        <v>37</v>
      </c>
      <c r="G85" s="142">
        <v>100</v>
      </c>
      <c r="H85" s="70">
        <f>IF(OR(J85="",K85="",K85&lt;J85),0,NETWORKDAYS(J85,K85,fESTIVOS!$A$2:$A$53))</f>
        <v>3</v>
      </c>
      <c r="I85" s="158">
        <v>45947</v>
      </c>
      <c r="J85" s="159">
        <v>45950</v>
      </c>
      <c r="K85" s="159">
        <v>45952</v>
      </c>
      <c r="L85" s="159">
        <v>45951</v>
      </c>
      <c r="M85" s="25">
        <f ca="1">IF(OR(J85="",AND(L85="",TODAY()&lt;J85),AND(L85&lt;&gt;"",L85&lt;J85)),0,
   IF(L85="",
      NETWORKDAYS(J85,TODAY(),fESTIVOS!$A$2:$A$53),
      NETWORKDAYS(J85,L85,fESTIVOS!$A$2:$A$53)
   )
)</f>
        <v>2</v>
      </c>
      <c r="N85" s="143"/>
      <c r="O85" s="143"/>
      <c r="P85" s="144"/>
      <c r="Q85" s="160" t="s">
        <v>347</v>
      </c>
      <c r="R85" s="118" t="s">
        <v>38</v>
      </c>
      <c r="S85" s="162"/>
    </row>
    <row r="86" spans="1:19" ht="29.25" customHeight="1">
      <c r="A86" s="148" t="s">
        <v>59</v>
      </c>
      <c r="B86" s="149" t="s">
        <v>348</v>
      </c>
      <c r="C86" s="164" t="s">
        <v>341</v>
      </c>
      <c r="D86" s="165" t="s">
        <v>342</v>
      </c>
      <c r="E86" s="133" t="s">
        <v>62</v>
      </c>
      <c r="F86" s="137" t="s">
        <v>37</v>
      </c>
      <c r="G86" s="138">
        <v>100</v>
      </c>
      <c r="H86" s="70">
        <f>IF(OR(J86="",K86="",K86&lt;J86),0,NETWORKDAYS(J86,K86,fESTIVOS!$A$2:$A$53))</f>
        <v>2</v>
      </c>
      <c r="I86" s="166">
        <v>45946</v>
      </c>
      <c r="J86" s="167">
        <v>45946</v>
      </c>
      <c r="K86" s="167">
        <v>45947</v>
      </c>
      <c r="L86" s="167">
        <v>45946</v>
      </c>
      <c r="M86" s="25">
        <f ca="1">IF(OR(J86="",AND(L86="",TODAY()&lt;J86),AND(L86&lt;&gt;"",L86&lt;J86)),0,
   IF(L86="",
      NETWORKDAYS(J86,TODAY(),fESTIVOS!$A$2:$A$53),
      NETWORKDAYS(J86,L86,fESTIVOS!$A$2:$A$53)
   )
)</f>
        <v>1</v>
      </c>
      <c r="N86" s="115"/>
      <c r="O86" s="115"/>
      <c r="P86" s="116"/>
      <c r="Q86" s="168" t="s">
        <v>343</v>
      </c>
      <c r="R86" s="136" t="s">
        <v>38</v>
      </c>
      <c r="S86" s="132"/>
    </row>
    <row r="87" spans="1:19" ht="29.25" customHeight="1">
      <c r="A87" s="106" t="s">
        <v>59</v>
      </c>
      <c r="B87" s="107" t="s">
        <v>349</v>
      </c>
      <c r="C87" s="108" t="s">
        <v>306</v>
      </c>
      <c r="D87" s="120" t="s">
        <v>350</v>
      </c>
      <c r="E87" s="110" t="s">
        <v>62</v>
      </c>
      <c r="F87" s="111" t="s">
        <v>37</v>
      </c>
      <c r="G87" s="112">
        <v>100</v>
      </c>
      <c r="H87" s="70">
        <f>IF(OR(J87="",K87="",K87&lt;J87),0,NETWORKDAYS(J87,K87,fESTIVOS!$A$2:$A$53))</f>
        <v>2</v>
      </c>
      <c r="I87" s="113">
        <v>45951</v>
      </c>
      <c r="J87" s="114">
        <v>45952</v>
      </c>
      <c r="K87" s="114">
        <v>45953</v>
      </c>
      <c r="L87" s="114">
        <v>45952</v>
      </c>
      <c r="M87" s="25">
        <f ca="1">IF(OR(J87="",AND(L87="",TODAY()&lt;J87),AND(L87&lt;&gt;"",L87&lt;J87)),0,
   IF(L87="",
      NETWORKDAYS(J87,TODAY(),fESTIVOS!$A$2:$A$53),
      NETWORKDAYS(J87,L87,fESTIVOS!$A$2:$A$53)
   )
)</f>
        <v>1</v>
      </c>
      <c r="N87" s="115"/>
      <c r="O87" s="115"/>
      <c r="P87" s="116"/>
      <c r="Q87" s="122" t="s">
        <v>351</v>
      </c>
      <c r="R87" s="118" t="s">
        <v>38</v>
      </c>
      <c r="S87" s="119"/>
    </row>
    <row r="88" spans="1:19" ht="29.25" customHeight="1">
      <c r="A88" s="106" t="s">
        <v>59</v>
      </c>
      <c r="B88" s="107" t="s">
        <v>352</v>
      </c>
      <c r="C88" s="108" t="s">
        <v>306</v>
      </c>
      <c r="D88" s="120" t="s">
        <v>353</v>
      </c>
      <c r="E88" s="110" t="s">
        <v>62</v>
      </c>
      <c r="F88" s="111" t="s">
        <v>37</v>
      </c>
      <c r="G88" s="112">
        <v>100</v>
      </c>
      <c r="H88" s="70">
        <f>IF(OR(J88="",K88="",K88&lt;J88),0,NETWORKDAYS(J88,K88,fESTIVOS!$A$2:$A$53))</f>
        <v>2</v>
      </c>
      <c r="I88" s="113">
        <v>45951</v>
      </c>
      <c r="J88" s="114">
        <v>45952</v>
      </c>
      <c r="K88" s="114">
        <v>45953</v>
      </c>
      <c r="L88" s="114">
        <v>45953</v>
      </c>
      <c r="M88" s="25">
        <f ca="1">IF(OR(J88="",AND(L88="",TODAY()&lt;J88),AND(L88&lt;&gt;"",L88&lt;J88)),0,
   IF(L88="",
      NETWORKDAYS(J88,TODAY(),fESTIVOS!$A$2:$A$53),
      NETWORKDAYS(J88,L88,fESTIVOS!$A$2:$A$53)
   )
)</f>
        <v>2</v>
      </c>
      <c r="N88" s="115"/>
      <c r="O88" s="115"/>
      <c r="P88" s="116"/>
      <c r="Q88" s="122" t="s">
        <v>354</v>
      </c>
      <c r="R88" s="118" t="s">
        <v>38</v>
      </c>
      <c r="S88" s="119"/>
    </row>
    <row r="89" spans="1:19" ht="29.25" customHeight="1">
      <c r="A89" s="106" t="s">
        <v>59</v>
      </c>
      <c r="B89" s="107" t="s">
        <v>355</v>
      </c>
      <c r="C89" s="108" t="s">
        <v>356</v>
      </c>
      <c r="D89" s="120" t="s">
        <v>357</v>
      </c>
      <c r="E89" s="110" t="s">
        <v>62</v>
      </c>
      <c r="F89" s="111" t="s">
        <v>37</v>
      </c>
      <c r="G89" s="112">
        <v>100</v>
      </c>
      <c r="H89" s="70">
        <f>IF(OR(J89="",K89="",K89&lt;J89),0,NETWORKDAYS(J89,K89,fESTIVOS!$A$2:$A$53))</f>
        <v>14</v>
      </c>
      <c r="I89" s="113">
        <v>45957</v>
      </c>
      <c r="J89" s="114">
        <v>45957</v>
      </c>
      <c r="K89" s="114">
        <v>45976</v>
      </c>
      <c r="L89" s="114">
        <v>45986</v>
      </c>
      <c r="M89" s="25">
        <f ca="1">IF(OR(J89="",AND(L89="",TODAY()&lt;J89),AND(L89&lt;&gt;"",L89&lt;J89)),0,
   IF(L89="",
      NETWORKDAYS(J89,TODAY(),fESTIVOS!$A$2:$A$53),
      NETWORKDAYS(J89,L89,fESTIVOS!$A$2:$A$53)
   )
)</f>
        <v>20</v>
      </c>
      <c r="N89" s="115"/>
      <c r="O89" s="115"/>
      <c r="P89" s="116"/>
      <c r="Q89" s="122" t="s">
        <v>358</v>
      </c>
      <c r="R89" s="118" t="s">
        <v>38</v>
      </c>
      <c r="S89" s="119"/>
    </row>
    <row r="90" spans="1:19" ht="29.25" customHeight="1">
      <c r="A90" s="139" t="s">
        <v>59</v>
      </c>
      <c r="B90" s="124" t="s">
        <v>359</v>
      </c>
      <c r="C90" s="140" t="s">
        <v>270</v>
      </c>
      <c r="D90" s="145" t="s">
        <v>360</v>
      </c>
      <c r="E90" s="124" t="s">
        <v>361</v>
      </c>
      <c r="F90" s="141" t="s">
        <v>37</v>
      </c>
      <c r="G90" s="142">
        <v>100</v>
      </c>
      <c r="H90" s="70">
        <f>IF(OR(J90="",K90="",K90&lt;J90),0,NETWORKDAYS(J90,K90,fESTIVOS!$A$2:$A$53))</f>
        <v>3</v>
      </c>
      <c r="I90" s="146">
        <v>45957</v>
      </c>
      <c r="J90" s="114">
        <v>45957</v>
      </c>
      <c r="K90" s="121">
        <v>45959</v>
      </c>
      <c r="L90" s="121">
        <v>45958</v>
      </c>
      <c r="M90" s="25">
        <f ca="1">IF(OR(J90="",AND(L90="",TODAY()&lt;J90),AND(L90&lt;&gt;"",L90&lt;J90)),0,
   IF(L90="",
      NETWORKDAYS(J90,TODAY(),fESTIVOS!$A$2:$A$53),
      NETWORKDAYS(J90,L90,fESTIVOS!$A$2:$A$53)
   )
)</f>
        <v>2</v>
      </c>
      <c r="N90" s="143"/>
      <c r="O90" s="143"/>
      <c r="P90" s="144"/>
      <c r="Q90" s="122" t="s">
        <v>362</v>
      </c>
      <c r="R90" s="118" t="s">
        <v>38</v>
      </c>
      <c r="S90" s="119"/>
    </row>
    <row r="91" spans="1:19" ht="29.25" customHeight="1">
      <c r="A91" s="139" t="s">
        <v>59</v>
      </c>
      <c r="B91" s="124" t="s">
        <v>363</v>
      </c>
      <c r="C91" s="140" t="s">
        <v>270</v>
      </c>
      <c r="D91" s="145"/>
      <c r="E91" s="124" t="s">
        <v>80</v>
      </c>
      <c r="F91" s="141" t="s">
        <v>37</v>
      </c>
      <c r="G91" s="142">
        <v>100</v>
      </c>
      <c r="H91" s="70">
        <f>IF(OR(J91="",K91="",K91&lt;J91),0,NETWORKDAYS(J91,K91,fESTIVOS!$A$2:$A$53))</f>
        <v>1</v>
      </c>
      <c r="I91" s="146">
        <v>45961</v>
      </c>
      <c r="J91" s="121">
        <v>45961</v>
      </c>
      <c r="K91" s="121">
        <v>45961</v>
      </c>
      <c r="L91" s="121">
        <v>45961</v>
      </c>
      <c r="M91" s="25">
        <f ca="1">IF(OR(J91="",AND(L91="",TODAY()&lt;J91),AND(L91&lt;&gt;"",L91&lt;J91)),0,
   IF(L91="",
      NETWORKDAYS(J91,TODAY(),fESTIVOS!$A$2:$A$53),
      NETWORKDAYS(J91,L91,fESTIVOS!$A$2:$A$53)
   )
)</f>
        <v>1</v>
      </c>
      <c r="N91" s="143"/>
      <c r="O91" s="143"/>
      <c r="P91" s="144"/>
      <c r="Q91" s="122" t="s">
        <v>364</v>
      </c>
      <c r="R91" s="118" t="s">
        <v>38</v>
      </c>
      <c r="S91" s="119"/>
    </row>
    <row r="92" spans="1:19" ht="29.25" customHeight="1">
      <c r="A92" s="139" t="s">
        <v>59</v>
      </c>
      <c r="B92" s="124" t="s">
        <v>365</v>
      </c>
      <c r="C92" s="140" t="s">
        <v>366</v>
      </c>
      <c r="D92" s="156"/>
      <c r="E92" s="110" t="s">
        <v>143</v>
      </c>
      <c r="F92" s="154" t="s">
        <v>37</v>
      </c>
      <c r="G92" s="155">
        <v>100</v>
      </c>
      <c r="H92" s="70">
        <f>IF(OR(J92="",K92="",K92&lt;J92),0,NETWORKDAYS(J92,K92,fESTIVOS!$A$2:$A$53))</f>
        <v>2</v>
      </c>
      <c r="I92" s="146">
        <v>45961</v>
      </c>
      <c r="J92" s="121">
        <v>45965</v>
      </c>
      <c r="K92" s="121">
        <v>45966</v>
      </c>
      <c r="L92" s="121">
        <v>45965</v>
      </c>
      <c r="M92" s="25">
        <f ca="1">IF(OR(J92="",AND(L92="",TODAY()&lt;J92),AND(L92&lt;&gt;"",L92&lt;J92)),0,
   IF(L92="",
      NETWORKDAYS(J92,TODAY(),fESTIVOS!$A$2:$A$53),
      NETWORKDAYS(J92,L92,fESTIVOS!$A$2:$A$53)
   )
)</f>
        <v>1</v>
      </c>
      <c r="N92" s="143"/>
      <c r="O92" s="143"/>
      <c r="P92" s="144"/>
      <c r="Q92" s="122" t="s">
        <v>367</v>
      </c>
      <c r="R92" s="118" t="s">
        <v>38</v>
      </c>
      <c r="S92" s="119"/>
    </row>
    <row r="93" spans="1:19" ht="29.25" customHeight="1">
      <c r="A93" s="139" t="s">
        <v>59</v>
      </c>
      <c r="B93" s="124" t="s">
        <v>368</v>
      </c>
      <c r="C93" s="140" t="s">
        <v>369</v>
      </c>
      <c r="D93" s="145"/>
      <c r="E93" s="127" t="s">
        <v>126</v>
      </c>
      <c r="F93" s="154" t="s">
        <v>37</v>
      </c>
      <c r="G93" s="155">
        <v>100</v>
      </c>
      <c r="H93" s="70">
        <f>IF(OR(J93="",K93="",K93&lt;J93),0,NETWORKDAYS(J93,K93,fESTIVOS!$A$2:$A$53))</f>
        <v>1</v>
      </c>
      <c r="I93" s="158">
        <v>45965</v>
      </c>
      <c r="J93" s="159">
        <v>45966</v>
      </c>
      <c r="K93" s="159">
        <v>45966</v>
      </c>
      <c r="L93" s="159">
        <v>45966</v>
      </c>
      <c r="M93" s="25">
        <f ca="1">IF(OR(J93="",AND(L93="",TODAY()&lt;J93),AND(L93&lt;&gt;"",L93&lt;J93)),0,
   IF(L93="",
      NETWORKDAYS(J93,TODAY(),fESTIVOS!$A$2:$A$53),
      NETWORKDAYS(J93,L93,fESTIVOS!$A$2:$A$53)
   )
)</f>
        <v>1</v>
      </c>
      <c r="N93" s="143"/>
      <c r="O93" s="143"/>
      <c r="P93" s="144"/>
      <c r="Q93" s="122" t="s">
        <v>370</v>
      </c>
      <c r="R93" s="118" t="s">
        <v>38</v>
      </c>
      <c r="S93" s="162"/>
    </row>
    <row r="94" spans="1:19" ht="29.25" customHeight="1">
      <c r="A94" s="139" t="s">
        <v>59</v>
      </c>
      <c r="B94" s="124" t="s">
        <v>371</v>
      </c>
      <c r="C94" s="140" t="s">
        <v>369</v>
      </c>
      <c r="D94" s="145"/>
      <c r="E94" s="127" t="s">
        <v>126</v>
      </c>
      <c r="F94" s="154" t="s">
        <v>37</v>
      </c>
      <c r="G94" s="155">
        <v>100</v>
      </c>
      <c r="H94" s="70">
        <f>IF(OR(J94="",K94="",K94&lt;J94),0,NETWORKDAYS(J94,K94,fESTIVOS!$A$2:$A$53))</f>
        <v>1</v>
      </c>
      <c r="I94" s="158">
        <v>45967</v>
      </c>
      <c r="J94" s="159">
        <v>45967</v>
      </c>
      <c r="K94" s="159">
        <v>45967</v>
      </c>
      <c r="L94" s="159">
        <v>45967</v>
      </c>
      <c r="M94" s="25">
        <f ca="1">IF(OR(J94="",AND(L94="",TODAY()&lt;J94),AND(L94&lt;&gt;"",L94&lt;J94)),0,
   IF(L94="",
      NETWORKDAYS(J94,TODAY(),fESTIVOS!$A$2:$A$53),
      NETWORKDAYS(J94,L94,fESTIVOS!$A$2:$A$53)
   )
)</f>
        <v>1</v>
      </c>
      <c r="N94" s="143"/>
      <c r="O94" s="143"/>
      <c r="P94" s="144"/>
      <c r="Q94" s="122" t="s">
        <v>372</v>
      </c>
      <c r="R94" s="118" t="s">
        <v>38</v>
      </c>
      <c r="S94" s="162"/>
    </row>
    <row r="95" spans="1:19" ht="29.25" customHeight="1">
      <c r="A95" s="139" t="s">
        <v>59</v>
      </c>
      <c r="B95" s="124" t="s">
        <v>373</v>
      </c>
      <c r="C95" s="140" t="s">
        <v>374</v>
      </c>
      <c r="D95" s="145"/>
      <c r="E95" s="127" t="s">
        <v>126</v>
      </c>
      <c r="F95" s="154" t="s">
        <v>37</v>
      </c>
      <c r="G95" s="155">
        <v>100</v>
      </c>
      <c r="H95" s="70">
        <f>IF(OR(J95="",K95="",K95&lt;J95),0,NETWORKDAYS(J95,K95,fESTIVOS!$A$2:$A$53))</f>
        <v>1</v>
      </c>
      <c r="I95" s="158">
        <v>45967</v>
      </c>
      <c r="J95" s="159">
        <v>45967</v>
      </c>
      <c r="K95" s="159">
        <v>45967</v>
      </c>
      <c r="L95" s="159">
        <v>45967</v>
      </c>
      <c r="M95" s="25">
        <f ca="1">IF(OR(J95="",AND(L95="",TODAY()&lt;J95),AND(L95&lt;&gt;"",L95&lt;J95)),0,
   IF(L95="",
      NETWORKDAYS(J95,TODAY(),fESTIVOS!$A$2:$A$53),
      NETWORKDAYS(J95,L95,fESTIVOS!$A$2:$A$53)
   )
)</f>
        <v>1</v>
      </c>
      <c r="N95" s="143"/>
      <c r="O95" s="143"/>
      <c r="P95" s="144"/>
      <c r="Q95" s="122" t="s">
        <v>375</v>
      </c>
      <c r="R95" s="118" t="s">
        <v>38</v>
      </c>
      <c r="S95" s="162"/>
    </row>
    <row r="96" spans="1:19" ht="29.25" customHeight="1">
      <c r="A96" s="139" t="s">
        <v>59</v>
      </c>
      <c r="B96" s="124" t="s">
        <v>376</v>
      </c>
      <c r="C96" s="140" t="s">
        <v>366</v>
      </c>
      <c r="D96" s="156" t="s">
        <v>377</v>
      </c>
      <c r="E96" s="110" t="s">
        <v>143</v>
      </c>
      <c r="F96" s="154" t="s">
        <v>37</v>
      </c>
      <c r="G96" s="155">
        <v>100</v>
      </c>
      <c r="H96" s="70">
        <f>IF(OR(J96="",K96="",K96&lt;J96),0,NETWORKDAYS(J96,K96,fESTIVOS!$A$2:$A$53))</f>
        <v>1</v>
      </c>
      <c r="I96" s="146">
        <v>45968</v>
      </c>
      <c r="J96" s="121">
        <v>45968</v>
      </c>
      <c r="K96" s="121">
        <v>45968</v>
      </c>
      <c r="L96" s="121">
        <v>45968</v>
      </c>
      <c r="M96" s="25">
        <f ca="1">IF(OR(J96="",AND(L96="",TODAY()&lt;J96),AND(L96&lt;&gt;"",L96&lt;J96)),0,
   IF(L96="",
      NETWORKDAYS(J96,TODAY(),fESTIVOS!$A$2:$A$53),
      NETWORKDAYS(J96,L96,fESTIVOS!$A$2:$A$53)
   )
)</f>
        <v>1</v>
      </c>
      <c r="N96" s="143"/>
      <c r="O96" s="143"/>
      <c r="P96" s="144"/>
      <c r="Q96" s="122" t="s">
        <v>378</v>
      </c>
      <c r="R96" s="118" t="s">
        <v>38</v>
      </c>
      <c r="S96" s="119"/>
    </row>
    <row r="97" spans="1:19" ht="29.25" customHeight="1">
      <c r="A97" s="139" t="s">
        <v>59</v>
      </c>
      <c r="B97" s="124" t="s">
        <v>379</v>
      </c>
      <c r="C97" s="140" t="s">
        <v>270</v>
      </c>
      <c r="D97" s="145"/>
      <c r="E97" s="124" t="s">
        <v>80</v>
      </c>
      <c r="F97" s="141" t="s">
        <v>37</v>
      </c>
      <c r="G97" s="142">
        <v>100</v>
      </c>
      <c r="H97" s="70">
        <f>IF(OR(J97="",K97="",K97&lt;J97),0,NETWORKDAYS(J97,K97,fESTIVOS!$A$2:$A$53))</f>
        <v>1</v>
      </c>
      <c r="I97" s="146">
        <v>45968</v>
      </c>
      <c r="J97" s="121">
        <v>45968</v>
      </c>
      <c r="K97" s="121">
        <v>45968</v>
      </c>
      <c r="L97" s="121">
        <v>45968</v>
      </c>
      <c r="M97" s="25">
        <f ca="1">IF(OR(J97="",AND(L97="",TODAY()&lt;J97),AND(L97&lt;&gt;"",L97&lt;J97)),0,
   IF(L97="",
      NETWORKDAYS(J97,TODAY(),fESTIVOS!$A$2:$A$53),
      NETWORKDAYS(J97,L97,fESTIVOS!$A$2:$A$53)
   )
)</f>
        <v>1</v>
      </c>
      <c r="N97" s="143"/>
      <c r="O97" s="143"/>
      <c r="P97" s="144"/>
      <c r="Q97" s="122" t="s">
        <v>380</v>
      </c>
      <c r="R97" s="118" t="s">
        <v>38</v>
      </c>
      <c r="S97" s="119"/>
    </row>
    <row r="98" spans="1:19" ht="29.25" customHeight="1">
      <c r="A98" s="139" t="s">
        <v>59</v>
      </c>
      <c r="B98" s="124" t="s">
        <v>381</v>
      </c>
      <c r="C98" s="140" t="s">
        <v>382</v>
      </c>
      <c r="D98" s="145" t="s">
        <v>383</v>
      </c>
      <c r="E98" s="127" t="s">
        <v>126</v>
      </c>
      <c r="F98" s="154" t="s">
        <v>37</v>
      </c>
      <c r="G98" s="155">
        <v>100</v>
      </c>
      <c r="H98" s="70">
        <f>IF(OR(J98="",K98="",K98&lt;J98),0,NETWORKDAYS(J98,K98,fESTIVOS!$A$2:$A$53))</f>
        <v>0</v>
      </c>
      <c r="I98" s="158">
        <v>45970</v>
      </c>
      <c r="J98" s="159">
        <v>45970</v>
      </c>
      <c r="K98" s="159">
        <v>45970</v>
      </c>
      <c r="L98" s="159">
        <v>45970</v>
      </c>
      <c r="M98" s="25">
        <f ca="1">IF(OR(J98="",AND(L98="",TODAY()&lt;J98),AND(L98&lt;&gt;"",L98&lt;J98)),0,
   IF(L98="",
      NETWORKDAYS(J98,TODAY(),fESTIVOS!$A$2:$A$53),
      NETWORKDAYS(J98,L98,fESTIVOS!$A$2:$A$53)
   )
)</f>
        <v>0</v>
      </c>
      <c r="N98" s="143"/>
      <c r="O98" s="143"/>
      <c r="P98" s="144"/>
      <c r="Q98" s="122" t="s">
        <v>384</v>
      </c>
      <c r="R98" s="118" t="s">
        <v>38</v>
      </c>
      <c r="S98" s="162"/>
    </row>
    <row r="99" spans="1:19" ht="29.25" customHeight="1">
      <c r="A99" s="139" t="s">
        <v>59</v>
      </c>
      <c r="B99" s="124" t="s">
        <v>385</v>
      </c>
      <c r="C99" s="140" t="s">
        <v>386</v>
      </c>
      <c r="D99" s="145" t="s">
        <v>387</v>
      </c>
      <c r="E99" s="127" t="s">
        <v>126</v>
      </c>
      <c r="F99" s="154" t="s">
        <v>37</v>
      </c>
      <c r="G99" s="155">
        <v>100</v>
      </c>
      <c r="H99" s="70">
        <f>IF(OR(J99="",K99="",K99&lt;J99),0,NETWORKDAYS(J99,K99,fESTIVOS!$A$2:$A$53))</f>
        <v>1</v>
      </c>
      <c r="I99" s="158">
        <v>45972</v>
      </c>
      <c r="J99" s="159">
        <v>45972</v>
      </c>
      <c r="K99" s="159">
        <v>45972</v>
      </c>
      <c r="L99" s="159">
        <v>45972</v>
      </c>
      <c r="M99" s="25">
        <f ca="1">IF(OR(J99="",AND(L99="",TODAY()&lt;J99),AND(L99&lt;&gt;"",L99&lt;J99)),0,
   IF(L99="",
      NETWORKDAYS(J99,TODAY(),fESTIVOS!$A$2:$A$53),
      NETWORKDAYS(J99,L99,fESTIVOS!$A$2:$A$53)
   )
)</f>
        <v>1</v>
      </c>
      <c r="N99" s="143"/>
      <c r="O99" s="143"/>
      <c r="P99" s="144"/>
      <c r="Q99" s="122" t="s">
        <v>388</v>
      </c>
      <c r="R99" s="118" t="s">
        <v>38</v>
      </c>
      <c r="S99" s="162"/>
    </row>
    <row r="100" spans="1:19" ht="29.25" customHeight="1">
      <c r="A100" s="139" t="s">
        <v>59</v>
      </c>
      <c r="B100" s="124" t="s">
        <v>389</v>
      </c>
      <c r="C100" s="140" t="s">
        <v>366</v>
      </c>
      <c r="D100" s="156" t="s">
        <v>390</v>
      </c>
      <c r="E100" s="110" t="s">
        <v>143</v>
      </c>
      <c r="F100" s="163" t="s">
        <v>37</v>
      </c>
      <c r="G100" s="142">
        <v>100</v>
      </c>
      <c r="H100" s="70">
        <f>IF(OR(J100="",K100="",K100&lt;J100),0,NETWORKDAYS(J100,K100,fESTIVOS!$A$2:$A$53))</f>
        <v>3</v>
      </c>
      <c r="I100" s="146">
        <v>45974</v>
      </c>
      <c r="J100" s="121">
        <v>45974</v>
      </c>
      <c r="K100" s="121">
        <v>45979</v>
      </c>
      <c r="L100" s="121">
        <v>46040</v>
      </c>
      <c r="M100" s="25">
        <f ca="1">IF(OR(J100="",AND(L100="",TODAY()&lt;J100),AND(L100&lt;&gt;"",L100&lt;J100)),0,
   IF(L100="",
      NETWORKDAYS(J100,TODAY(),fESTIVOS!$A$2:$A$53),
      NETWORKDAYS(J100,L100,fESTIVOS!$A$2:$A$53)
   )
)</f>
        <v>42</v>
      </c>
      <c r="N100" s="143"/>
      <c r="O100" s="143"/>
      <c r="P100" s="144"/>
      <c r="Q100" s="122" t="s">
        <v>391</v>
      </c>
      <c r="R100" s="118" t="s">
        <v>38</v>
      </c>
      <c r="S100" s="119"/>
    </row>
    <row r="101" spans="1:19" ht="29.25" customHeight="1">
      <c r="A101" s="139" t="s">
        <v>59</v>
      </c>
      <c r="B101" s="124" t="s">
        <v>392</v>
      </c>
      <c r="C101" s="140" t="s">
        <v>270</v>
      </c>
      <c r="D101" s="145" t="s">
        <v>393</v>
      </c>
      <c r="E101" s="124" t="s">
        <v>80</v>
      </c>
      <c r="F101" s="141" t="s">
        <v>37</v>
      </c>
      <c r="G101" s="142">
        <v>100</v>
      </c>
      <c r="H101" s="70">
        <f>IF(OR(J101="",K101="",K101&lt;J101),0,NETWORKDAYS(J101,K101,fESTIVOS!$A$2:$A$53))</f>
        <v>1</v>
      </c>
      <c r="I101" s="146">
        <v>45974</v>
      </c>
      <c r="J101" s="121">
        <v>45974</v>
      </c>
      <c r="K101" s="121">
        <v>45974</v>
      </c>
      <c r="L101" s="121">
        <v>45974</v>
      </c>
      <c r="M101" s="25">
        <f ca="1">IF(OR(J101="",AND(L101="",TODAY()&lt;J101),AND(L101&lt;&gt;"",L101&lt;J101)),0,
   IF(L101="",
      NETWORKDAYS(J101,TODAY(),fESTIVOS!$A$2:$A$53),
      NETWORKDAYS(J101,L101,fESTIVOS!$A$2:$A$53)
   )
)</f>
        <v>1</v>
      </c>
      <c r="N101" s="143"/>
      <c r="O101" s="143"/>
      <c r="P101" s="144"/>
      <c r="Q101" s="122" t="s">
        <v>394</v>
      </c>
      <c r="R101" s="118" t="s">
        <v>38</v>
      </c>
      <c r="S101" s="119"/>
    </row>
    <row r="102" spans="1:19" ht="29.25" customHeight="1">
      <c r="A102" s="148" t="s">
        <v>59</v>
      </c>
      <c r="B102" s="149" t="s">
        <v>395</v>
      </c>
      <c r="C102" s="164" t="s">
        <v>369</v>
      </c>
      <c r="D102" s="109" t="s">
        <v>396</v>
      </c>
      <c r="E102" s="151" t="s">
        <v>126</v>
      </c>
      <c r="F102" s="137" t="s">
        <v>37</v>
      </c>
      <c r="G102" s="138">
        <v>100</v>
      </c>
      <c r="H102" s="70">
        <f>IF(OR(J102="",K102="",K102&lt;J102),0,NETWORKDAYS(J102,K102,fESTIVOS!$A$2:$A$53))</f>
        <v>1</v>
      </c>
      <c r="I102" s="158">
        <v>45979</v>
      </c>
      <c r="J102" s="159">
        <v>45979</v>
      </c>
      <c r="K102" s="159">
        <v>45979</v>
      </c>
      <c r="L102" s="159">
        <v>45979</v>
      </c>
      <c r="M102" s="25">
        <f ca="1">IF(OR(J102="",AND(L102="",TODAY()&lt;J102),AND(L102&lt;&gt;"",L102&lt;J102)),0,
   IF(L102="",
      NETWORKDAYS(J102,TODAY(),fESTIVOS!$A$2:$A$53),
      NETWORKDAYS(J102,L102,fESTIVOS!$A$2:$A$53)
   )
)</f>
        <v>1</v>
      </c>
      <c r="N102" s="115"/>
      <c r="O102" s="115"/>
      <c r="P102" s="116"/>
      <c r="Q102" s="160" t="s">
        <v>397</v>
      </c>
      <c r="R102" s="136" t="s">
        <v>38</v>
      </c>
      <c r="S102" s="153"/>
    </row>
    <row r="103" spans="1:19" ht="29.25" customHeight="1">
      <c r="A103" s="139" t="s">
        <v>59</v>
      </c>
      <c r="B103" s="124" t="s">
        <v>398</v>
      </c>
      <c r="C103" s="140" t="s">
        <v>366</v>
      </c>
      <c r="D103" s="156" t="s">
        <v>399</v>
      </c>
      <c r="E103" s="110" t="s">
        <v>143</v>
      </c>
      <c r="F103" s="163" t="s">
        <v>37</v>
      </c>
      <c r="G103" s="142">
        <v>100</v>
      </c>
      <c r="H103" s="70">
        <f>IF(OR(J103="",K103="",K103&lt;J103),0,NETWORKDAYS(J103,K103,fESTIVOS!$A$2:$A$53))</f>
        <v>1</v>
      </c>
      <c r="I103" s="146">
        <v>45980</v>
      </c>
      <c r="J103" s="121">
        <v>45980</v>
      </c>
      <c r="K103" s="121">
        <v>45980</v>
      </c>
      <c r="L103" s="121">
        <v>45980</v>
      </c>
      <c r="M103" s="25">
        <f ca="1">IF(OR(J103="",AND(L103="",TODAY()&lt;J103),AND(L103&lt;&gt;"",L103&lt;J103)),0,
   IF(L103="",
      NETWORKDAYS(J103,TODAY(),fESTIVOS!$A$2:$A$53),
      NETWORKDAYS(J103,L103,fESTIVOS!$A$2:$A$53)
   )
)</f>
        <v>1</v>
      </c>
      <c r="N103" s="143"/>
      <c r="O103" s="143"/>
      <c r="P103" s="144"/>
      <c r="Q103" s="122" t="s">
        <v>400</v>
      </c>
      <c r="R103" s="118" t="s">
        <v>38</v>
      </c>
      <c r="S103" s="119"/>
    </row>
    <row r="104" spans="1:19" ht="29.25" customHeight="1">
      <c r="A104" s="139" t="s">
        <v>59</v>
      </c>
      <c r="B104" s="124" t="s">
        <v>401</v>
      </c>
      <c r="C104" s="140" t="s">
        <v>366</v>
      </c>
      <c r="D104" s="156" t="s">
        <v>402</v>
      </c>
      <c r="E104" s="110" t="s">
        <v>143</v>
      </c>
      <c r="F104" s="163" t="s">
        <v>37</v>
      </c>
      <c r="G104" s="142">
        <v>100</v>
      </c>
      <c r="H104" s="70">
        <f>IF(OR(J104="",K104="",K104&lt;J104),0,NETWORKDAYS(J104,K104,fESTIVOS!$A$2:$A$53))</f>
        <v>1</v>
      </c>
      <c r="I104" s="146">
        <v>45981</v>
      </c>
      <c r="J104" s="121">
        <v>45981</v>
      </c>
      <c r="K104" s="121">
        <v>45981</v>
      </c>
      <c r="L104" s="121">
        <v>45981</v>
      </c>
      <c r="M104" s="25">
        <f ca="1">IF(OR(J104="",AND(L104="",TODAY()&lt;J104),AND(L104&lt;&gt;"",L104&lt;J104)),0,
   IF(L104="",
      NETWORKDAYS(J104,TODAY(),fESTIVOS!$A$2:$A$53),
      NETWORKDAYS(J104,L104,fESTIVOS!$A$2:$A$53)
   )
)</f>
        <v>1</v>
      </c>
      <c r="N104" s="143"/>
      <c r="O104" s="143"/>
      <c r="P104" s="144"/>
      <c r="Q104" s="122" t="s">
        <v>403</v>
      </c>
      <c r="R104" s="118" t="s">
        <v>38</v>
      </c>
      <c r="S104" s="119"/>
    </row>
    <row r="105" spans="1:19" ht="29.25" customHeight="1">
      <c r="A105" s="139" t="s">
        <v>59</v>
      </c>
      <c r="B105" s="124" t="s">
        <v>404</v>
      </c>
      <c r="C105" s="140" t="s">
        <v>405</v>
      </c>
      <c r="D105" s="145" t="s">
        <v>406</v>
      </c>
      <c r="E105" s="110" t="s">
        <v>62</v>
      </c>
      <c r="F105" s="141" t="s">
        <v>37</v>
      </c>
      <c r="G105" s="142">
        <v>100</v>
      </c>
      <c r="H105" s="70">
        <f>IF(OR(J105="",K105="",K105&lt;J105),0,NETWORKDAYS(J105,K105,fESTIVOS!$A$2:$A$53))</f>
        <v>77</v>
      </c>
      <c r="I105" s="146">
        <v>45981</v>
      </c>
      <c r="J105" s="121">
        <v>45981</v>
      </c>
      <c r="K105" s="121">
        <v>46093</v>
      </c>
      <c r="L105" s="121">
        <v>46093</v>
      </c>
      <c r="M105" s="25">
        <f ca="1">IF(OR(J105="",AND(L105="",TODAY()&lt;J105),AND(L105&lt;&gt;"",L105&lt;J105)),0,
   IF(L105="",
      NETWORKDAYS(J105,TODAY(),fESTIVOS!$A$2:$A$53),
      NETWORKDAYS(J105,L105,fESTIVOS!$A$2:$A$53)
   )
)</f>
        <v>77</v>
      </c>
      <c r="N105" s="143"/>
      <c r="O105" s="143"/>
      <c r="P105" s="144"/>
      <c r="Q105" s="122" t="s">
        <v>407</v>
      </c>
      <c r="R105" s="118" t="s">
        <v>38</v>
      </c>
      <c r="S105" s="119"/>
    </row>
    <row r="106" spans="1:19" ht="29.25" customHeight="1">
      <c r="A106" s="148" t="s">
        <v>59</v>
      </c>
      <c r="B106" s="149" t="s">
        <v>408</v>
      </c>
      <c r="C106" s="150" t="s">
        <v>409</v>
      </c>
      <c r="D106" s="109" t="s">
        <v>410</v>
      </c>
      <c r="E106" s="151" t="s">
        <v>126</v>
      </c>
      <c r="F106" s="137" t="s">
        <v>37</v>
      </c>
      <c r="G106" s="138">
        <v>100</v>
      </c>
      <c r="H106" s="70">
        <f>IF(OR(J106="",K106="",K106&lt;J106),0,NETWORKDAYS(J106,K106,fESTIVOS!$A$2:$A$53))</f>
        <v>1</v>
      </c>
      <c r="I106" s="158">
        <v>45982</v>
      </c>
      <c r="J106" s="159">
        <v>45982</v>
      </c>
      <c r="K106" s="159">
        <v>45982</v>
      </c>
      <c r="L106" s="159">
        <v>45982</v>
      </c>
      <c r="M106" s="25">
        <f ca="1">IF(OR(J106="",AND(L106="",TODAY()&lt;J106),AND(L106&lt;&gt;"",L106&lt;J106)),0,
   IF(L106="",
      NETWORKDAYS(J106,TODAY(),fESTIVOS!$A$2:$A$53),
      NETWORKDAYS(J106,L106,fESTIVOS!$A$2:$A$53)
   )
)</f>
        <v>1</v>
      </c>
      <c r="N106" s="115"/>
      <c r="O106" s="115"/>
      <c r="P106" s="116"/>
      <c r="Q106" s="160" t="s">
        <v>411</v>
      </c>
      <c r="R106" s="136" t="s">
        <v>38</v>
      </c>
      <c r="S106" s="153"/>
    </row>
    <row r="107" spans="1:19" ht="29.25" customHeight="1">
      <c r="A107" s="148" t="s">
        <v>59</v>
      </c>
      <c r="B107" s="149" t="s">
        <v>412</v>
      </c>
      <c r="C107" s="164" t="s">
        <v>369</v>
      </c>
      <c r="D107" s="109" t="s">
        <v>396</v>
      </c>
      <c r="E107" s="151" t="s">
        <v>126</v>
      </c>
      <c r="F107" s="137" t="s">
        <v>37</v>
      </c>
      <c r="G107" s="138">
        <v>100</v>
      </c>
      <c r="H107" s="70">
        <f>IF(OR(J107="",K107="",K107&lt;J107),0,NETWORKDAYS(J107,K107,fESTIVOS!$A$2:$A$53))</f>
        <v>1</v>
      </c>
      <c r="I107" s="158">
        <v>45981</v>
      </c>
      <c r="J107" s="159">
        <v>45981</v>
      </c>
      <c r="K107" s="159">
        <v>45981</v>
      </c>
      <c r="L107" s="159">
        <v>45981</v>
      </c>
      <c r="M107" s="25">
        <f ca="1">IF(OR(J107="",AND(L107="",TODAY()&lt;J107),AND(L107&lt;&gt;"",L107&lt;J107)),0,
   IF(L107="",
      NETWORKDAYS(J107,TODAY(),fESTIVOS!$A$2:$A$53),
      NETWORKDAYS(J107,L107,fESTIVOS!$A$2:$A$53)
   )
)</f>
        <v>1</v>
      </c>
      <c r="N107" s="115"/>
      <c r="O107" s="115"/>
      <c r="P107" s="116"/>
      <c r="Q107" s="160" t="s">
        <v>413</v>
      </c>
      <c r="R107" s="136" t="s">
        <v>38</v>
      </c>
      <c r="S107" s="153"/>
    </row>
    <row r="108" spans="1:19" ht="29.25" customHeight="1">
      <c r="A108" s="148" t="s">
        <v>59</v>
      </c>
      <c r="B108" s="149" t="s">
        <v>414</v>
      </c>
      <c r="C108" s="150" t="s">
        <v>415</v>
      </c>
      <c r="D108" s="109" t="s">
        <v>416</v>
      </c>
      <c r="E108" s="151" t="s">
        <v>126</v>
      </c>
      <c r="F108" s="134" t="s">
        <v>37</v>
      </c>
      <c r="G108" s="135">
        <v>100</v>
      </c>
      <c r="H108" s="70">
        <f>IF(OR(J108="",K108="",K108&lt;J108),0,NETWORKDAYS(J108,K108,fESTIVOS!$A$2:$A$53))</f>
        <v>2</v>
      </c>
      <c r="I108" s="158">
        <v>45986</v>
      </c>
      <c r="J108" s="159">
        <v>45986</v>
      </c>
      <c r="K108" s="159">
        <v>45987</v>
      </c>
      <c r="L108" s="159">
        <v>45986</v>
      </c>
      <c r="M108" s="25">
        <f ca="1">IF(OR(J108="",AND(L108="",TODAY()&lt;J108),AND(L108&lt;&gt;"",L108&lt;J108)),0,
   IF(L108="",
      NETWORKDAYS(J108,TODAY(),fESTIVOS!$A$2:$A$53),
      NETWORKDAYS(J108,L108,fESTIVOS!$A$2:$A$53)
   )
)</f>
        <v>1</v>
      </c>
      <c r="N108" s="115"/>
      <c r="O108" s="115"/>
      <c r="P108" s="116"/>
      <c r="Q108" s="160" t="s">
        <v>417</v>
      </c>
      <c r="R108" s="136" t="s">
        <v>38</v>
      </c>
      <c r="S108" s="153"/>
    </row>
    <row r="109" spans="1:19" ht="29.25" customHeight="1">
      <c r="A109" s="148" t="s">
        <v>59</v>
      </c>
      <c r="B109" s="124" t="s">
        <v>418</v>
      </c>
      <c r="C109" s="108" t="s">
        <v>419</v>
      </c>
      <c r="D109" s="120" t="s">
        <v>420</v>
      </c>
      <c r="E109" s="110" t="s">
        <v>62</v>
      </c>
      <c r="F109" s="134" t="s">
        <v>37</v>
      </c>
      <c r="G109" s="135">
        <v>100</v>
      </c>
      <c r="H109" s="70">
        <f>IF(OR(J109="",K109="",K109&lt;J109),0,NETWORKDAYS(J109,K109,fESTIVOS!$A$2:$A$53))</f>
        <v>2</v>
      </c>
      <c r="I109" s="158">
        <v>45987</v>
      </c>
      <c r="J109" s="159">
        <v>45987</v>
      </c>
      <c r="K109" s="159">
        <v>45988</v>
      </c>
      <c r="L109" s="159">
        <v>45995</v>
      </c>
      <c r="M109" s="25">
        <f ca="1">IF(OR(J109="",AND(L109="",TODAY()&lt;J109),AND(L109&lt;&gt;"",L109&lt;J109)),0,
   IF(L109="",
      NETWORKDAYS(J109,TODAY(),fESTIVOS!$A$2:$A$53),
      NETWORKDAYS(J109,L109,fESTIVOS!$A$2:$A$53)
   )
)</f>
        <v>7</v>
      </c>
      <c r="N109" s="115"/>
      <c r="O109" s="115"/>
      <c r="P109" s="116"/>
      <c r="Q109" s="160" t="s">
        <v>421</v>
      </c>
      <c r="R109" s="136" t="s">
        <v>38</v>
      </c>
      <c r="S109" s="153"/>
    </row>
    <row r="110" spans="1:19" ht="29.25" customHeight="1">
      <c r="A110" s="148" t="s">
        <v>59</v>
      </c>
      <c r="B110" s="149" t="s">
        <v>422</v>
      </c>
      <c r="C110" s="150" t="s">
        <v>423</v>
      </c>
      <c r="D110" s="109" t="s">
        <v>424</v>
      </c>
      <c r="E110" s="151" t="s">
        <v>126</v>
      </c>
      <c r="F110" s="134" t="s">
        <v>37</v>
      </c>
      <c r="G110" s="135">
        <v>100</v>
      </c>
      <c r="H110" s="70">
        <f>IF(OR(J110="",K110="",K110&lt;J110),0,NETWORKDAYS(J110,K110,fESTIVOS!$A$2:$A$53))</f>
        <v>31</v>
      </c>
      <c r="I110" s="158">
        <v>45989</v>
      </c>
      <c r="J110" s="159">
        <v>45989</v>
      </c>
      <c r="K110" s="159">
        <v>46037</v>
      </c>
      <c r="L110" s="159">
        <v>46037</v>
      </c>
      <c r="M110" s="25">
        <f ca="1">IF(OR(J110="",AND(L110="",TODAY()&lt;J110),AND(L110&lt;&gt;"",L110&lt;J110)),0,
   IF(L110="",
      NETWORKDAYS(J110,TODAY(),fESTIVOS!$A$2:$A$53),
      NETWORKDAYS(J110,L110,fESTIVOS!$A$2:$A$53)
   )
)</f>
        <v>31</v>
      </c>
      <c r="N110" s="115"/>
      <c r="O110" s="115"/>
      <c r="P110" s="116"/>
      <c r="Q110" s="160" t="s">
        <v>425</v>
      </c>
      <c r="R110" s="136" t="s">
        <v>38</v>
      </c>
      <c r="S110" s="153"/>
    </row>
    <row r="111" spans="1:19" ht="29.25" customHeight="1">
      <c r="A111" s="139" t="s">
        <v>59</v>
      </c>
      <c r="B111" s="124" t="s">
        <v>426</v>
      </c>
      <c r="C111" s="140" t="s">
        <v>427</v>
      </c>
      <c r="D111" s="156" t="s">
        <v>428</v>
      </c>
      <c r="E111" s="110" t="s">
        <v>143</v>
      </c>
      <c r="F111" s="163" t="s">
        <v>37</v>
      </c>
      <c r="G111" s="142">
        <v>100</v>
      </c>
      <c r="H111" s="70">
        <f>IF(OR(J111="",K111="",K111&lt;J111),0,NETWORKDAYS(J111,K111,fESTIVOS!$A$2:$A$53))</f>
        <v>5</v>
      </c>
      <c r="I111" s="146">
        <v>45992</v>
      </c>
      <c r="J111" s="121">
        <v>45992</v>
      </c>
      <c r="K111" s="121">
        <v>45996</v>
      </c>
      <c r="L111" s="121">
        <v>45994</v>
      </c>
      <c r="M111" s="25">
        <f ca="1">IF(OR(J111="",AND(L111="",TODAY()&lt;J111),AND(L111&lt;&gt;"",L111&lt;J111)),0,
   IF(L111="",
      NETWORKDAYS(J111,TODAY(),fESTIVOS!$A$2:$A$53),
      NETWORKDAYS(J111,L111,fESTIVOS!$A$2:$A$53)
   )
)</f>
        <v>3</v>
      </c>
      <c r="N111" s="143"/>
      <c r="O111" s="143"/>
      <c r="P111" s="144"/>
      <c r="Q111" s="122" t="s">
        <v>429</v>
      </c>
      <c r="R111" s="118" t="s">
        <v>38</v>
      </c>
      <c r="S111" s="119"/>
    </row>
    <row r="112" spans="1:19" ht="29.25" customHeight="1">
      <c r="A112" s="148" t="s">
        <v>59</v>
      </c>
      <c r="B112" s="149" t="s">
        <v>430</v>
      </c>
      <c r="C112" s="150" t="s">
        <v>431</v>
      </c>
      <c r="D112" s="109" t="s">
        <v>424</v>
      </c>
      <c r="E112" s="151" t="s">
        <v>126</v>
      </c>
      <c r="F112" s="134" t="s">
        <v>37</v>
      </c>
      <c r="G112" s="135">
        <v>100</v>
      </c>
      <c r="H112" s="70">
        <f>IF(OR(J112="",K112="",K112&lt;J112),0,NETWORKDAYS(J112,K112,fESTIVOS!$A$2:$A$53))</f>
        <v>1</v>
      </c>
      <c r="I112" s="158">
        <v>45994</v>
      </c>
      <c r="J112" s="159">
        <v>45994</v>
      </c>
      <c r="K112" s="159">
        <v>45994</v>
      </c>
      <c r="L112" s="159">
        <v>45994</v>
      </c>
      <c r="M112" s="25">
        <f ca="1">IF(OR(J112="",AND(L112="",TODAY()&lt;J112),AND(L112&lt;&gt;"",L112&lt;J112)),0,
   IF(L112="",
      NETWORKDAYS(J112,TODAY(),fESTIVOS!$A$2:$A$53),
      NETWORKDAYS(J112,L112,fESTIVOS!$A$2:$A$53)
   )
)</f>
        <v>1</v>
      </c>
      <c r="N112" s="115"/>
      <c r="O112" s="115"/>
      <c r="P112" s="116"/>
      <c r="Q112" s="160" t="s">
        <v>432</v>
      </c>
      <c r="R112" s="136" t="s">
        <v>38</v>
      </c>
      <c r="S112" s="153"/>
    </row>
    <row r="113" spans="1:19" ht="29.25" customHeight="1">
      <c r="A113" s="148" t="s">
        <v>59</v>
      </c>
      <c r="B113" s="124" t="s">
        <v>433</v>
      </c>
      <c r="C113" s="108" t="s">
        <v>434</v>
      </c>
      <c r="D113" s="120" t="s">
        <v>435</v>
      </c>
      <c r="E113" s="110" t="s">
        <v>62</v>
      </c>
      <c r="F113" s="134" t="s">
        <v>37</v>
      </c>
      <c r="G113" s="135">
        <v>100</v>
      </c>
      <c r="H113" s="70">
        <f>IF(OR(J113="",K113="",K113&lt;J113),0,NETWORKDAYS(J113,K113,fESTIVOS!$A$2:$A$53))</f>
        <v>1</v>
      </c>
      <c r="I113" s="158">
        <v>45994</v>
      </c>
      <c r="J113" s="159">
        <v>45994</v>
      </c>
      <c r="K113" s="159">
        <v>45994</v>
      </c>
      <c r="L113" s="159">
        <v>45994</v>
      </c>
      <c r="M113" s="25">
        <f ca="1">IF(OR(J113="",AND(L113="",TODAY()&lt;J113),AND(L113&lt;&gt;"",L113&lt;J113)),0,
   IF(L113="",
      NETWORKDAYS(J113,TODAY(),fESTIVOS!$A$2:$A$53),
      NETWORKDAYS(J113,L113,fESTIVOS!$A$2:$A$53)
   )
)</f>
        <v>1</v>
      </c>
      <c r="N113" s="115"/>
      <c r="O113" s="115"/>
      <c r="P113" s="116"/>
      <c r="Q113" s="160" t="s">
        <v>436</v>
      </c>
      <c r="R113" s="136" t="s">
        <v>38</v>
      </c>
      <c r="S113" s="153"/>
    </row>
    <row r="114" spans="1:19" ht="29.25" customHeight="1">
      <c r="A114" s="139" t="s">
        <v>59</v>
      </c>
      <c r="B114" s="124" t="s">
        <v>437</v>
      </c>
      <c r="C114" s="140" t="s">
        <v>438</v>
      </c>
      <c r="D114" s="156" t="s">
        <v>439</v>
      </c>
      <c r="E114" s="110" t="s">
        <v>143</v>
      </c>
      <c r="F114" s="163" t="s">
        <v>37</v>
      </c>
      <c r="G114" s="142">
        <v>100</v>
      </c>
      <c r="H114" s="70">
        <f>IF(OR(J114="",K114="",K114&lt;J114),0,NETWORKDAYS(J114,K114,fESTIVOS!$A$2:$A$53))</f>
        <v>2</v>
      </c>
      <c r="I114" s="146">
        <v>45995</v>
      </c>
      <c r="J114" s="121">
        <v>45995</v>
      </c>
      <c r="K114" s="121">
        <v>45996</v>
      </c>
      <c r="L114" s="121">
        <v>45996</v>
      </c>
      <c r="M114" s="25">
        <f ca="1">IF(OR(J114="",AND(L114="",TODAY()&lt;J114),AND(L114&lt;&gt;"",L114&lt;J114)),0,
   IF(L114="",
      NETWORKDAYS(J114,TODAY(),fESTIVOS!$A$2:$A$53),
      NETWORKDAYS(J114,L114,fESTIVOS!$A$2:$A$53)
   )
)</f>
        <v>2</v>
      </c>
      <c r="N114" s="143"/>
      <c r="O114" s="143"/>
      <c r="P114" s="144"/>
      <c r="Q114" s="122" t="s">
        <v>440</v>
      </c>
      <c r="R114" s="118" t="s">
        <v>38</v>
      </c>
      <c r="S114" s="119"/>
    </row>
    <row r="115" spans="1:19" ht="29.25" customHeight="1">
      <c r="A115" s="148" t="s">
        <v>59</v>
      </c>
      <c r="B115" s="124" t="s">
        <v>441</v>
      </c>
      <c r="C115" s="108" t="s">
        <v>442</v>
      </c>
      <c r="D115" s="120" t="s">
        <v>443</v>
      </c>
      <c r="E115" s="110" t="s">
        <v>62</v>
      </c>
      <c r="F115" s="134" t="s">
        <v>37</v>
      </c>
      <c r="G115" s="135">
        <v>100</v>
      </c>
      <c r="H115" s="70">
        <f>IF(OR(J115="",K115="",K115&lt;J115),0,NETWORKDAYS(J115,K115,fESTIVOS!$A$2:$A$53))</f>
        <v>1</v>
      </c>
      <c r="I115" s="158">
        <v>45996</v>
      </c>
      <c r="J115" s="159">
        <v>45996</v>
      </c>
      <c r="K115" s="159">
        <v>45996</v>
      </c>
      <c r="L115" s="159">
        <v>45996</v>
      </c>
      <c r="M115" s="25">
        <f ca="1">IF(OR(J115="",AND(L115="",TODAY()&lt;J115),AND(L115&lt;&gt;"",L115&lt;J115)),0,
   IF(L115="",
      NETWORKDAYS(J115,TODAY(),fESTIVOS!$A$2:$A$53),
      NETWORKDAYS(J115,L115,fESTIVOS!$A$2:$A$53)
   )
)</f>
        <v>1</v>
      </c>
      <c r="N115" s="115"/>
      <c r="O115" s="115"/>
      <c r="P115" s="116"/>
      <c r="Q115" s="160" t="s">
        <v>444</v>
      </c>
      <c r="R115" s="136" t="s">
        <v>38</v>
      </c>
      <c r="S115" s="153"/>
    </row>
    <row r="116" spans="1:19" ht="29.25" customHeight="1">
      <c r="A116" s="139" t="s">
        <v>59</v>
      </c>
      <c r="B116" s="124" t="s">
        <v>445</v>
      </c>
      <c r="C116" s="140" t="s">
        <v>446</v>
      </c>
      <c r="D116" s="156" t="s">
        <v>447</v>
      </c>
      <c r="E116" s="110" t="s">
        <v>143</v>
      </c>
      <c r="F116" s="163" t="s">
        <v>37</v>
      </c>
      <c r="G116" s="142">
        <v>100</v>
      </c>
      <c r="H116" s="70">
        <f>IF(OR(J116="",K116="",K116&lt;J116),0,NETWORKDAYS(J116,K116,fESTIVOS!$A$2:$A$53))</f>
        <v>0</v>
      </c>
      <c r="I116" s="146">
        <v>46001</v>
      </c>
      <c r="J116" s="121">
        <v>46001</v>
      </c>
      <c r="K116" s="121"/>
      <c r="L116" s="121">
        <v>46058</v>
      </c>
      <c r="M116" s="25">
        <f ca="1">IF(OR(J116="",AND(L116="",TODAY()&lt;J116),AND(L116&lt;&gt;"",L116&lt;J116)),0,
   IF(L116="",
      NETWORKDAYS(J116,TODAY(),fESTIVOS!$A$2:$A$53),
      NETWORKDAYS(J116,L116,fESTIVOS!$A$2:$A$53)
   )
)</f>
        <v>39</v>
      </c>
      <c r="N116" s="143"/>
      <c r="O116" s="143"/>
      <c r="P116" s="144"/>
      <c r="Q116" s="122" t="s">
        <v>448</v>
      </c>
      <c r="R116" s="118" t="s">
        <v>38</v>
      </c>
      <c r="S116" s="119"/>
    </row>
    <row r="117" spans="1:19" ht="29.25" customHeight="1">
      <c r="A117" s="148" t="s">
        <v>59</v>
      </c>
      <c r="B117" s="124" t="s">
        <v>449</v>
      </c>
      <c r="C117" s="108" t="s">
        <v>419</v>
      </c>
      <c r="D117" s="120" t="s">
        <v>450</v>
      </c>
      <c r="E117" s="110" t="s">
        <v>62</v>
      </c>
      <c r="F117" s="134" t="s">
        <v>37</v>
      </c>
      <c r="G117" s="135">
        <v>100</v>
      </c>
      <c r="H117" s="70">
        <f>IF(OR(J117="",K117="",K117&lt;J117),0,NETWORKDAYS(J117,K117,fESTIVOS!$A$2:$A$53))</f>
        <v>26</v>
      </c>
      <c r="I117" s="146">
        <v>46001</v>
      </c>
      <c r="J117" s="121">
        <v>46001</v>
      </c>
      <c r="K117" s="159">
        <v>46041</v>
      </c>
      <c r="L117" s="159">
        <v>46045</v>
      </c>
      <c r="M117" s="25">
        <f ca="1">IF(OR(J117="",AND(L117="",TODAY()&lt;J117),AND(L117&lt;&gt;"",L117&lt;J117)),0,
   IF(L117="",
      NETWORKDAYS(J117,TODAY(),fESTIVOS!$A$2:$A$53),
      NETWORKDAYS(J117,L117,fESTIVOS!$A$2:$A$53)
   )
)</f>
        <v>30</v>
      </c>
      <c r="N117" s="115"/>
      <c r="O117" s="115"/>
      <c r="P117" s="116"/>
      <c r="Q117" s="160" t="s">
        <v>451</v>
      </c>
      <c r="R117" s="136" t="s">
        <v>38</v>
      </c>
      <c r="S117" s="153"/>
    </row>
    <row r="118" spans="1:19" ht="29.25" customHeight="1">
      <c r="A118" s="148" t="s">
        <v>59</v>
      </c>
      <c r="B118" s="124" t="s">
        <v>452</v>
      </c>
      <c r="C118" s="108" t="s">
        <v>453</v>
      </c>
      <c r="D118" s="120" t="s">
        <v>454</v>
      </c>
      <c r="E118" s="110" t="s">
        <v>62</v>
      </c>
      <c r="F118" s="134" t="s">
        <v>37</v>
      </c>
      <c r="G118" s="135">
        <v>100</v>
      </c>
      <c r="H118" s="70">
        <f>IF(OR(J118="",K118="",K118&lt;J118),0,NETWORKDAYS(J118,K118,fESTIVOS!$A$2:$A$53))</f>
        <v>26</v>
      </c>
      <c r="I118" s="146">
        <v>46003</v>
      </c>
      <c r="J118" s="121">
        <v>46003</v>
      </c>
      <c r="K118" s="159">
        <v>46043</v>
      </c>
      <c r="L118" s="159">
        <v>46043</v>
      </c>
      <c r="M118" s="25">
        <f ca="1">IF(OR(J118="",AND(L118="",TODAY()&lt;J118),AND(L118&lt;&gt;"",L118&lt;J118)),0,
   IF(L118="",
      NETWORKDAYS(J118,TODAY(),fESTIVOS!$A$2:$A$53),
      NETWORKDAYS(J118,L118,fESTIVOS!$A$2:$A$53)
   )
)</f>
        <v>26</v>
      </c>
      <c r="N118" s="115"/>
      <c r="O118" s="115"/>
      <c r="P118" s="116"/>
      <c r="Q118" s="160" t="s">
        <v>455</v>
      </c>
      <c r="R118" s="136" t="s">
        <v>38</v>
      </c>
      <c r="S118" s="153"/>
    </row>
    <row r="119" spans="1:19" ht="29.25" customHeight="1">
      <c r="A119" s="139" t="s">
        <v>59</v>
      </c>
      <c r="B119" s="124" t="s">
        <v>456</v>
      </c>
      <c r="C119" s="108" t="s">
        <v>457</v>
      </c>
      <c r="D119" s="120" t="s">
        <v>458</v>
      </c>
      <c r="E119" s="110" t="s">
        <v>62</v>
      </c>
      <c r="F119" s="163" t="s">
        <v>37</v>
      </c>
      <c r="G119" s="142">
        <v>100</v>
      </c>
      <c r="H119" s="70">
        <f>IF(OR(J119="",K119="",K119&lt;J119),0,NETWORKDAYS(J119,K119,fESTIVOS!$A$2:$A$53))</f>
        <v>22</v>
      </c>
      <c r="I119" s="146">
        <v>46009</v>
      </c>
      <c r="J119" s="121">
        <v>46009</v>
      </c>
      <c r="K119" s="121">
        <v>46043</v>
      </c>
      <c r="L119" s="121">
        <v>46043</v>
      </c>
      <c r="M119" s="25">
        <f ca="1">IF(OR(J119="",AND(L119="",TODAY()&lt;J119),AND(L119&lt;&gt;"",L119&lt;J119)),0,
   IF(L119="",
      NETWORKDAYS(J119,TODAY(),fESTIVOS!$A$2:$A$53),
      NETWORKDAYS(J119,L119,fESTIVOS!$A$2:$A$53)
   )
)</f>
        <v>22</v>
      </c>
      <c r="N119" s="143"/>
      <c r="O119" s="143"/>
      <c r="P119" s="144"/>
      <c r="Q119" s="122" t="s">
        <v>459</v>
      </c>
      <c r="R119" s="118" t="s">
        <v>38</v>
      </c>
      <c r="S119" s="119"/>
    </row>
    <row r="120" spans="1:19" ht="29.25" customHeight="1">
      <c r="A120" s="139" t="s">
        <v>59</v>
      </c>
      <c r="B120" s="124" t="s">
        <v>460</v>
      </c>
      <c r="C120" s="108" t="s">
        <v>461</v>
      </c>
      <c r="D120" s="120" t="s">
        <v>462</v>
      </c>
      <c r="E120" s="110" t="s">
        <v>62</v>
      </c>
      <c r="F120" s="163" t="s">
        <v>37</v>
      </c>
      <c r="G120" s="142">
        <v>100</v>
      </c>
      <c r="H120" s="70">
        <f>IF(OR(J120="",K120="",K120&lt;J120),0,NETWORKDAYS(J120,K120,fESTIVOS!$A$2:$A$53))</f>
        <v>9</v>
      </c>
      <c r="I120" s="146">
        <v>46035</v>
      </c>
      <c r="J120" s="121">
        <v>46035</v>
      </c>
      <c r="K120" s="121">
        <v>46045</v>
      </c>
      <c r="L120" s="121">
        <v>46044</v>
      </c>
      <c r="M120" s="25">
        <f ca="1">IF(OR(J120="",AND(L120="",TODAY()&lt;J120),AND(L120&lt;&gt;"",L120&lt;J120)),0,
   IF(L120="",
      NETWORKDAYS(J120,TODAY(),fESTIVOS!$A$2:$A$53),
      NETWORKDAYS(J120,L120,fESTIVOS!$A$2:$A$53)
   )
)</f>
        <v>8</v>
      </c>
      <c r="N120" s="143"/>
      <c r="O120" s="143"/>
      <c r="P120" s="144"/>
      <c r="Q120" s="122" t="s">
        <v>463</v>
      </c>
      <c r="R120" s="118" t="s">
        <v>38</v>
      </c>
      <c r="S120" s="119"/>
    </row>
    <row r="121" spans="1:19" ht="29.25" customHeight="1">
      <c r="A121" s="148" t="s">
        <v>59</v>
      </c>
      <c r="B121" s="149" t="s">
        <v>464</v>
      </c>
      <c r="C121" s="150" t="s">
        <v>465</v>
      </c>
      <c r="D121" s="157" t="s">
        <v>466</v>
      </c>
      <c r="E121" s="149" t="s">
        <v>126</v>
      </c>
      <c r="F121" s="152" t="s">
        <v>37</v>
      </c>
      <c r="G121" s="135">
        <v>100</v>
      </c>
      <c r="H121" s="70">
        <f>IF(OR(J121="",K121="",K121&lt;J121),0,NETWORKDAYS(J121,K121,fESTIVOS!$A$2:$A$53))</f>
        <v>1</v>
      </c>
      <c r="I121" s="158">
        <v>46041</v>
      </c>
      <c r="J121" s="159">
        <v>46041</v>
      </c>
      <c r="K121" s="159">
        <v>46041</v>
      </c>
      <c r="L121" s="159">
        <v>46041</v>
      </c>
      <c r="M121" s="25">
        <f ca="1">IF(OR(J121="",AND(L121="",TODAY()&lt;J121),AND(L121&lt;&gt;"",L121&lt;J121)),0,
   IF(L121="",
      NETWORKDAYS(J121,TODAY(),fESTIVOS!$A$2:$A$53),
      NETWORKDAYS(J121,L121,fESTIVOS!$A$2:$A$53)
   )
)</f>
        <v>1</v>
      </c>
      <c r="N121" s="115"/>
      <c r="O121" s="115"/>
      <c r="P121" s="116"/>
      <c r="Q121" s="160" t="s">
        <v>467</v>
      </c>
      <c r="R121" s="136" t="s">
        <v>38</v>
      </c>
      <c r="S121" s="153"/>
    </row>
    <row r="122" spans="1:19" ht="29.25" customHeight="1">
      <c r="A122" s="148" t="s">
        <v>59</v>
      </c>
      <c r="B122" s="124" t="s">
        <v>468</v>
      </c>
      <c r="C122" s="150" t="s">
        <v>469</v>
      </c>
      <c r="D122" s="157" t="s">
        <v>470</v>
      </c>
      <c r="E122" s="149" t="s">
        <v>62</v>
      </c>
      <c r="F122" s="152" t="s">
        <v>37</v>
      </c>
      <c r="G122" s="135">
        <v>100</v>
      </c>
      <c r="H122" s="70">
        <f>IF(OR(J122="",K122="",K122&lt;J122),0,NETWORKDAYS(J122,K122,fESTIVOS!$A$2:$A$53))</f>
        <v>18</v>
      </c>
      <c r="I122" s="158">
        <v>46044</v>
      </c>
      <c r="J122" s="159">
        <v>46044</v>
      </c>
      <c r="K122" s="159">
        <v>46069</v>
      </c>
      <c r="L122" s="159">
        <v>46069</v>
      </c>
      <c r="M122" s="25">
        <f ca="1">IF(OR(J122="",AND(L122="",TODAY()&lt;J122),AND(L122&lt;&gt;"",L122&lt;J122)),0,
   IF(L122="",
      NETWORKDAYS(J122,TODAY(),fESTIVOS!$A$2:$A$53),
      NETWORKDAYS(J122,L122,fESTIVOS!$A$2:$A$53)
   )
)</f>
        <v>18</v>
      </c>
      <c r="N122" s="115"/>
      <c r="O122" s="115"/>
      <c r="P122" s="116"/>
      <c r="Q122" s="160" t="s">
        <v>471</v>
      </c>
      <c r="R122" s="136" t="s">
        <v>38</v>
      </c>
      <c r="S122" s="153"/>
    </row>
    <row r="123" spans="1:19" ht="29.25" customHeight="1">
      <c r="A123" s="148" t="s">
        <v>59</v>
      </c>
      <c r="B123" s="149" t="s">
        <v>472</v>
      </c>
      <c r="C123" s="150" t="s">
        <v>473</v>
      </c>
      <c r="D123" s="157" t="s">
        <v>474</v>
      </c>
      <c r="E123" s="149" t="s">
        <v>126</v>
      </c>
      <c r="F123" s="152" t="s">
        <v>37</v>
      </c>
      <c r="G123" s="135">
        <v>100</v>
      </c>
      <c r="H123" s="70">
        <f>IF(OR(J123="",K123="",K123&lt;J123),0,NETWORKDAYS(J123,K123,fESTIVOS!$A$2:$A$53))</f>
        <v>1</v>
      </c>
      <c r="I123" s="158">
        <v>46055</v>
      </c>
      <c r="J123" s="159">
        <v>46055</v>
      </c>
      <c r="K123" s="159">
        <v>46055</v>
      </c>
      <c r="L123" s="159">
        <v>46055</v>
      </c>
      <c r="M123" s="25">
        <f ca="1">IF(OR(J123="",AND(L123="",TODAY()&lt;J123),AND(L123&lt;&gt;"",L123&lt;J123)),0,
   IF(L123="",
      NETWORKDAYS(J123,TODAY(),fESTIVOS!$A$2:$A$53),
      NETWORKDAYS(J123,L123,fESTIVOS!$A$2:$A$53)
   )
)</f>
        <v>1</v>
      </c>
      <c r="N123" s="115"/>
      <c r="O123" s="115"/>
      <c r="P123" s="116"/>
      <c r="Q123" s="160" t="s">
        <v>475</v>
      </c>
      <c r="R123" s="136" t="s">
        <v>38</v>
      </c>
      <c r="S123" s="153"/>
    </row>
    <row r="124" spans="1:19" ht="29.25" customHeight="1">
      <c r="A124" s="139" t="s">
        <v>59</v>
      </c>
      <c r="B124" s="124" t="s">
        <v>476</v>
      </c>
      <c r="C124" s="140" t="s">
        <v>427</v>
      </c>
      <c r="D124" s="156" t="s">
        <v>477</v>
      </c>
      <c r="E124" s="110" t="s">
        <v>143</v>
      </c>
      <c r="F124" s="163" t="s">
        <v>37</v>
      </c>
      <c r="G124" s="142">
        <v>100</v>
      </c>
      <c r="H124" s="70">
        <f>IF(OR(J124="",K124="",K124&lt;J124),0,NETWORKDAYS(J124,K124,fESTIVOS!$A$2:$A$53))</f>
        <v>4</v>
      </c>
      <c r="I124" s="146">
        <v>46055</v>
      </c>
      <c r="J124" s="121">
        <v>46055</v>
      </c>
      <c r="K124" s="121">
        <v>46058</v>
      </c>
      <c r="L124" s="121">
        <v>46056</v>
      </c>
      <c r="M124" s="25">
        <f ca="1">IF(OR(J124="",AND(L124="",TODAY()&lt;J124),AND(L124&lt;&gt;"",L124&lt;J124)),0,
   IF(L124="",
      NETWORKDAYS(J124,TODAY(),fESTIVOS!$A$2:$A$53),
      NETWORKDAYS(J124,L124,fESTIVOS!$A$2:$A$53)
   )
)</f>
        <v>2</v>
      </c>
      <c r="N124" s="143"/>
      <c r="O124" s="143"/>
      <c r="P124" s="144"/>
      <c r="Q124" s="122" t="s">
        <v>478</v>
      </c>
      <c r="R124" s="118" t="s">
        <v>38</v>
      </c>
      <c r="S124" s="119"/>
    </row>
    <row r="125" spans="1:19" ht="29.25" customHeight="1">
      <c r="A125" s="148" t="s">
        <v>59</v>
      </c>
      <c r="B125" s="124" t="s">
        <v>479</v>
      </c>
      <c r="C125" s="150" t="s">
        <v>480</v>
      </c>
      <c r="D125" s="157" t="s">
        <v>481</v>
      </c>
      <c r="E125" s="149" t="s">
        <v>62</v>
      </c>
      <c r="F125" s="152" t="s">
        <v>37</v>
      </c>
      <c r="G125" s="135">
        <v>100</v>
      </c>
      <c r="H125" s="70">
        <f>IF(OR(J125="",K125="",K125&lt;J125),0,NETWORKDAYS(J125,K125,fESTIVOS!$A$2:$A$53))</f>
        <v>24</v>
      </c>
      <c r="I125" s="158">
        <v>46062</v>
      </c>
      <c r="J125" s="159">
        <v>46062</v>
      </c>
      <c r="K125" s="159">
        <v>46093</v>
      </c>
      <c r="L125" s="159">
        <v>46093</v>
      </c>
      <c r="M125" s="25">
        <f ca="1">IF(OR(J125="",AND(L125="",TODAY()&lt;J125),AND(L125&lt;&gt;"",L125&lt;J125)),0,
   IF(L125="",
      NETWORKDAYS(J125,TODAY(),fESTIVOS!$A$2:$A$53),
      NETWORKDAYS(J125,L125,fESTIVOS!$A$2:$A$53)
   )
)</f>
        <v>24</v>
      </c>
      <c r="N125" s="115"/>
      <c r="O125" s="115"/>
      <c r="P125" s="116"/>
      <c r="Q125" s="160" t="s">
        <v>482</v>
      </c>
      <c r="R125" s="136" t="s">
        <v>38</v>
      </c>
      <c r="S125" s="153"/>
    </row>
    <row r="126" spans="1:19" ht="29.25" customHeight="1">
      <c r="A126" s="148" t="s">
        <v>59</v>
      </c>
      <c r="B126" s="149" t="s">
        <v>483</v>
      </c>
      <c r="C126" s="150" t="s">
        <v>473</v>
      </c>
      <c r="D126" s="157" t="s">
        <v>474</v>
      </c>
      <c r="E126" s="149" t="s">
        <v>126</v>
      </c>
      <c r="F126" s="152" t="s">
        <v>37</v>
      </c>
      <c r="G126" s="135">
        <v>100</v>
      </c>
      <c r="H126" s="70">
        <f>IF(OR(J126="",K126="",K126&lt;J126),0,NETWORKDAYS(J126,K126,fESTIVOS!$A$2:$A$53))</f>
        <v>1</v>
      </c>
      <c r="I126" s="158">
        <v>46063</v>
      </c>
      <c r="J126" s="159">
        <v>46063</v>
      </c>
      <c r="K126" s="159">
        <v>46063</v>
      </c>
      <c r="L126" s="159">
        <v>46063</v>
      </c>
      <c r="M126" s="25">
        <f ca="1">IF(OR(J126="",AND(L126="",TODAY()&lt;J126),AND(L126&lt;&gt;"",L126&lt;J126)),0,
   IF(L126="",
      NETWORKDAYS(J126,TODAY(),fESTIVOS!$A$2:$A$53),
      NETWORKDAYS(J126,L126,fESTIVOS!$A$2:$A$53)
   )
)</f>
        <v>1</v>
      </c>
      <c r="N126" s="115"/>
      <c r="O126" s="115"/>
      <c r="P126" s="116"/>
      <c r="Q126" s="160" t="s">
        <v>484</v>
      </c>
      <c r="R126" s="136" t="s">
        <v>38</v>
      </c>
      <c r="S126" s="153"/>
    </row>
    <row r="127" spans="1:19" ht="29.25" customHeight="1">
      <c r="A127" s="148" t="s">
        <v>59</v>
      </c>
      <c r="B127" s="124" t="s">
        <v>485</v>
      </c>
      <c r="C127" s="150" t="s">
        <v>461</v>
      </c>
      <c r="D127" s="157" t="s">
        <v>382</v>
      </c>
      <c r="E127" s="149" t="s">
        <v>62</v>
      </c>
      <c r="F127" s="152" t="s">
        <v>37</v>
      </c>
      <c r="G127" s="135">
        <v>100</v>
      </c>
      <c r="H127" s="70">
        <f>IF(OR(J127="",K127="",K127&lt;J127),0,NETWORKDAYS(J127,K127,fESTIVOS!$A$2:$A$53))</f>
        <v>1</v>
      </c>
      <c r="I127" s="158">
        <v>46064</v>
      </c>
      <c r="J127" s="159">
        <v>46064</v>
      </c>
      <c r="K127" s="159">
        <v>46064</v>
      </c>
      <c r="L127" s="159">
        <v>46064</v>
      </c>
      <c r="M127" s="25">
        <f ca="1">IF(OR(J127="",AND(L127="",TODAY()&lt;J127),AND(L127&lt;&gt;"",L127&lt;J127)),0,
   IF(L127="",
      NETWORKDAYS(J127,TODAY(),fESTIVOS!$A$2:$A$53),
      NETWORKDAYS(J127,L127,fESTIVOS!$A$2:$A$53)
   )
)</f>
        <v>1</v>
      </c>
      <c r="N127" s="115"/>
      <c r="O127" s="115"/>
      <c r="P127" s="116"/>
      <c r="Q127" s="160" t="s">
        <v>486</v>
      </c>
      <c r="R127" s="136" t="s">
        <v>38</v>
      </c>
      <c r="S127" s="153"/>
    </row>
    <row r="128" spans="1:19" ht="29.25" customHeight="1">
      <c r="A128" s="139" t="s">
        <v>59</v>
      </c>
      <c r="B128" s="124" t="s">
        <v>487</v>
      </c>
      <c r="C128" s="140" t="s">
        <v>488</v>
      </c>
      <c r="D128" s="156" t="s">
        <v>489</v>
      </c>
      <c r="E128" s="110" t="s">
        <v>143</v>
      </c>
      <c r="F128" s="163" t="s">
        <v>37</v>
      </c>
      <c r="G128" s="142">
        <v>100</v>
      </c>
      <c r="H128" s="70">
        <f>IF(OR(J128="",K128="",K128&lt;J128),0,NETWORKDAYS(J128,K128,fESTIVOS!$A$2:$A$53))</f>
        <v>11</v>
      </c>
      <c r="I128" s="146">
        <v>46064</v>
      </c>
      <c r="J128" s="121">
        <v>46064</v>
      </c>
      <c r="K128" s="121">
        <v>46078</v>
      </c>
      <c r="L128" s="121">
        <v>46078</v>
      </c>
      <c r="M128" s="25">
        <f ca="1">IF(OR(J128="",AND(L128="",TODAY()&lt;J128),AND(L128&lt;&gt;"",L128&lt;J128)),0,
   IF(L128="",
      NETWORKDAYS(J128,TODAY(),fESTIVOS!$A$2:$A$53),
      NETWORKDAYS(J128,L128,fESTIVOS!$A$2:$A$53)
   )
)</f>
        <v>11</v>
      </c>
      <c r="N128" s="143"/>
      <c r="O128" s="143"/>
      <c r="P128" s="144"/>
      <c r="Q128" s="169" t="s">
        <v>490</v>
      </c>
      <c r="R128" s="118" t="s">
        <v>38</v>
      </c>
      <c r="S128" s="119"/>
    </row>
    <row r="129" spans="1:19" ht="29.25" customHeight="1">
      <c r="A129" s="139" t="s">
        <v>59</v>
      </c>
      <c r="B129" s="124" t="s">
        <v>491</v>
      </c>
      <c r="C129" s="140" t="s">
        <v>492</v>
      </c>
      <c r="D129" s="156" t="s">
        <v>493</v>
      </c>
      <c r="E129" s="110" t="s">
        <v>143</v>
      </c>
      <c r="F129" s="163" t="s">
        <v>37</v>
      </c>
      <c r="G129" s="142">
        <v>100</v>
      </c>
      <c r="H129" s="70">
        <f>IF(OR(J129="",K129="",K129&lt;J129),0,NETWORKDAYS(J129,K129,fESTIVOS!$A$2:$A$53))</f>
        <v>12</v>
      </c>
      <c r="I129" s="146">
        <v>46064</v>
      </c>
      <c r="J129" s="121">
        <v>46064</v>
      </c>
      <c r="K129" s="121">
        <v>46079</v>
      </c>
      <c r="L129" s="121">
        <v>46079</v>
      </c>
      <c r="M129" s="25">
        <f ca="1">IF(OR(J129="",AND(L129="",TODAY()&lt;J129),AND(L129&lt;&gt;"",L129&lt;J129)),0,
   IF(L129="",
      NETWORKDAYS(J129,TODAY(),fESTIVOS!$A$2:$A$53),
      NETWORKDAYS(J129,L129,fESTIVOS!$A$2:$A$53)
   )
)</f>
        <v>12</v>
      </c>
      <c r="N129" s="143"/>
      <c r="O129" s="143"/>
      <c r="P129" s="144"/>
      <c r="Q129" s="169" t="s">
        <v>494</v>
      </c>
      <c r="R129" s="118" t="s">
        <v>38</v>
      </c>
      <c r="S129" s="119"/>
    </row>
    <row r="130" spans="1:19" ht="29.25" customHeight="1">
      <c r="A130" s="139" t="s">
        <v>59</v>
      </c>
      <c r="B130" s="124" t="s">
        <v>495</v>
      </c>
      <c r="C130" s="140" t="s">
        <v>496</v>
      </c>
      <c r="D130" s="156" t="s">
        <v>497</v>
      </c>
      <c r="E130" s="110" t="s">
        <v>143</v>
      </c>
      <c r="F130" s="163" t="s">
        <v>41</v>
      </c>
      <c r="G130" s="142">
        <v>10</v>
      </c>
      <c r="H130" s="70">
        <f>IF(OR(J130="",K130="",K130&lt;J130),0,NETWORKDAYS(J130,K130,fESTIVOS!$A$2:$A$53))</f>
        <v>0</v>
      </c>
      <c r="I130" s="146">
        <v>46064</v>
      </c>
      <c r="J130" s="121">
        <v>46064</v>
      </c>
      <c r="K130" s="121"/>
      <c r="L130" s="121"/>
      <c r="M130" s="25">
        <f ca="1">IF(OR(J130="",AND(L130="",TODAY()&lt;J130),AND(L130&lt;&gt;"",L130&lt;J130)),0,
   IF(L130="",
      NETWORKDAYS(J130,TODAY(),fESTIVOS!$A$2:$A$53),
      NETWORKDAYS(J130,L130,fESTIVOS!$A$2:$A$53)
   )
)</f>
        <v>89</v>
      </c>
      <c r="N130" s="143"/>
      <c r="O130" s="143"/>
      <c r="P130" s="144"/>
      <c r="Q130" s="169" t="s">
        <v>498</v>
      </c>
      <c r="R130" s="118" t="s">
        <v>38</v>
      </c>
      <c r="S130" s="119"/>
    </row>
    <row r="131" spans="1:19" ht="29.25" customHeight="1">
      <c r="A131" s="139" t="s">
        <v>59</v>
      </c>
      <c r="B131" s="124" t="s">
        <v>499</v>
      </c>
      <c r="C131" s="140" t="s">
        <v>500</v>
      </c>
      <c r="D131" s="156" t="s">
        <v>501</v>
      </c>
      <c r="E131" s="110" t="s">
        <v>143</v>
      </c>
      <c r="F131" s="163" t="s">
        <v>37</v>
      </c>
      <c r="G131" s="142">
        <v>100</v>
      </c>
      <c r="H131" s="70">
        <f>IF(OR(J131="",K131="",K131&lt;J131),0,NETWORKDAYS(J131,K131,fESTIVOS!$A$2:$A$53))</f>
        <v>13</v>
      </c>
      <c r="I131" s="146">
        <v>46064</v>
      </c>
      <c r="J131" s="121">
        <v>46064</v>
      </c>
      <c r="K131" s="121">
        <v>46080</v>
      </c>
      <c r="L131" s="121">
        <v>46080</v>
      </c>
      <c r="M131" s="25">
        <f ca="1">IF(OR(J131="",AND(L131="",TODAY()&lt;J131),AND(L131&lt;&gt;"",L131&lt;J131)),0,
   IF(L131="",
      NETWORKDAYS(J131,TODAY(),fESTIVOS!$A$2:$A$53),
      NETWORKDAYS(J131,L131,fESTIVOS!$A$2:$A$53)
   )
)</f>
        <v>13</v>
      </c>
      <c r="N131" s="143"/>
      <c r="O131" s="143"/>
      <c r="P131" s="144"/>
      <c r="Q131" s="169" t="s">
        <v>502</v>
      </c>
      <c r="R131" s="118" t="s">
        <v>38</v>
      </c>
      <c r="S131" s="119"/>
    </row>
    <row r="132" spans="1:19" ht="29.25" customHeight="1">
      <c r="A132" s="139" t="s">
        <v>59</v>
      </c>
      <c r="B132" s="124" t="s">
        <v>503</v>
      </c>
      <c r="C132" s="140" t="s">
        <v>504</v>
      </c>
      <c r="D132" s="156" t="s">
        <v>505</v>
      </c>
      <c r="E132" s="110" t="s">
        <v>143</v>
      </c>
      <c r="F132" s="163" t="s">
        <v>37</v>
      </c>
      <c r="G132" s="142">
        <v>100</v>
      </c>
      <c r="H132" s="70">
        <f>IF(OR(J133="",K132="",K132&lt;J133),0,NETWORKDAYS(J133,K132,fESTIVOS!$A$2:$A$53))</f>
        <v>9</v>
      </c>
      <c r="I132" s="146">
        <v>46064</v>
      </c>
      <c r="J132" s="121">
        <v>46064</v>
      </c>
      <c r="K132" s="121">
        <v>46076</v>
      </c>
      <c r="L132" s="121">
        <v>46076</v>
      </c>
      <c r="M132" s="25">
        <f ca="1">IF(OR(J133="",AND(L132="",TODAY()&lt;J133),AND(L132&lt;&gt;"",L132&lt;J133)),0,
   IF(L132="",
      NETWORKDAYS(J133,TODAY(),fESTIVOS!$A$2:$A$53),
      NETWORKDAYS(J133,L132,fESTIVOS!$A$2:$A$53)
   )
)</f>
        <v>9</v>
      </c>
      <c r="N132" s="143"/>
      <c r="O132" s="143"/>
      <c r="P132" s="144"/>
      <c r="Q132" s="169" t="s">
        <v>506</v>
      </c>
      <c r="R132" s="118" t="s">
        <v>38</v>
      </c>
      <c r="S132" s="119"/>
    </row>
    <row r="133" spans="1:19" ht="29.25" customHeight="1">
      <c r="A133" s="139" t="s">
        <v>59</v>
      </c>
      <c r="B133" s="124" t="s">
        <v>507</v>
      </c>
      <c r="C133" s="140" t="s">
        <v>508</v>
      </c>
      <c r="D133" s="156" t="s">
        <v>509</v>
      </c>
      <c r="E133" s="110" t="s">
        <v>143</v>
      </c>
      <c r="F133" s="163" t="s">
        <v>37</v>
      </c>
      <c r="G133" s="142">
        <v>100</v>
      </c>
      <c r="H133" s="70" t="e">
        <f>IF(OR(#REF!="",K133="",K133&lt;#REF!),0,NETWORKDAYS(#REF!,K133,fESTIVOS!$A$2:$A$53))</f>
        <v>#REF!</v>
      </c>
      <c r="I133" s="146">
        <v>46064</v>
      </c>
      <c r="J133" s="121">
        <v>46064</v>
      </c>
      <c r="K133" s="121">
        <v>46078</v>
      </c>
      <c r="L133" s="121">
        <v>46078</v>
      </c>
      <c r="M133" s="25" t="e">
        <f ca="1">IF(OR(#REF!="",AND(L133="",TODAY()&lt;#REF!),AND(L133&lt;&gt;"",L133&lt;#REF!)),0,
   IF(L133="",
      NETWORKDAYS(#REF!,TODAY(),fESTIVOS!$A$2:$A$53),
      NETWORKDAYS(#REF!,L133,fESTIVOS!$A$2:$A$53)
   )
)</f>
        <v>#REF!</v>
      </c>
      <c r="N133" s="143"/>
      <c r="O133" s="143"/>
      <c r="P133" s="144"/>
      <c r="Q133" s="169" t="s">
        <v>510</v>
      </c>
      <c r="R133" s="118" t="s">
        <v>38</v>
      </c>
      <c r="S133" s="119"/>
    </row>
    <row r="134" spans="1:19" ht="29.25" customHeight="1">
      <c r="A134" s="148" t="s">
        <v>59</v>
      </c>
      <c r="B134" s="149" t="s">
        <v>511</v>
      </c>
      <c r="C134" s="150" t="s">
        <v>512</v>
      </c>
      <c r="D134" s="157" t="s">
        <v>513</v>
      </c>
      <c r="E134" s="149" t="s">
        <v>126</v>
      </c>
      <c r="F134" s="152" t="s">
        <v>37</v>
      </c>
      <c r="G134" s="135">
        <v>100</v>
      </c>
      <c r="H134" s="70">
        <f>IF(OR(J134="",K134="",K134&lt;J134),0,NETWORKDAYS(J134,K134,fESTIVOS!$A$2:$A$53))</f>
        <v>1</v>
      </c>
      <c r="I134" s="158">
        <v>46071</v>
      </c>
      <c r="J134" s="159">
        <v>46071</v>
      </c>
      <c r="K134" s="159">
        <v>46071</v>
      </c>
      <c r="L134" s="159">
        <v>46071</v>
      </c>
      <c r="M134" s="25">
        <f ca="1">IF(OR(J134="",AND(L134="",TODAY()&lt;J134),AND(L134&lt;&gt;"",L134&lt;J134)),0,
   IF(L134="",
      NETWORKDAYS(J134,TODAY(),fESTIVOS!$A$2:$A$53),
      NETWORKDAYS(J134,L134,fESTIVOS!$A$2:$A$53)
   )
)</f>
        <v>1</v>
      </c>
      <c r="N134" s="115"/>
      <c r="O134" s="115"/>
      <c r="P134" s="116"/>
      <c r="Q134" s="160" t="s">
        <v>514</v>
      </c>
      <c r="R134" s="136" t="s">
        <v>38</v>
      </c>
      <c r="S134" s="153"/>
    </row>
    <row r="135" spans="1:19" ht="29.25" customHeight="1">
      <c r="A135" s="148" t="s">
        <v>59</v>
      </c>
      <c r="B135" s="149" t="s">
        <v>515</v>
      </c>
      <c r="C135" s="150" t="s">
        <v>516</v>
      </c>
      <c r="D135" s="157" t="s">
        <v>517</v>
      </c>
      <c r="E135" s="149" t="s">
        <v>126</v>
      </c>
      <c r="F135" s="152" t="s">
        <v>37</v>
      </c>
      <c r="G135" s="135">
        <v>100</v>
      </c>
      <c r="H135" s="70">
        <f>IF(OR(J135="",K135="",K135&lt;J135),0,NETWORKDAYS(J135,K135,fESTIVOS!$A$2:$A$53))</f>
        <v>1</v>
      </c>
      <c r="I135" s="158">
        <v>46073</v>
      </c>
      <c r="J135" s="159">
        <v>46073</v>
      </c>
      <c r="K135" s="159">
        <v>46073</v>
      </c>
      <c r="L135" s="159">
        <v>46073</v>
      </c>
      <c r="M135" s="25">
        <f ca="1">IF(OR(J135="",AND(L135="",TODAY()&lt;J135),AND(L135&lt;&gt;"",L135&lt;J135)),0,
   IF(L135="",
      NETWORKDAYS(J135,TODAY(),fESTIVOS!$A$2:$A$53),
      NETWORKDAYS(J135,L135,fESTIVOS!$A$2:$A$53)
   )
)</f>
        <v>1</v>
      </c>
      <c r="N135" s="115"/>
      <c r="O135" s="115"/>
      <c r="P135" s="116"/>
      <c r="Q135" s="160" t="s">
        <v>518</v>
      </c>
      <c r="R135" s="136" t="s">
        <v>38</v>
      </c>
      <c r="S135" s="153"/>
    </row>
    <row r="136" spans="1:19" ht="29.25" customHeight="1">
      <c r="A136" s="148" t="s">
        <v>59</v>
      </c>
      <c r="B136" s="149" t="s">
        <v>519</v>
      </c>
      <c r="C136" s="150" t="s">
        <v>520</v>
      </c>
      <c r="D136" s="157" t="s">
        <v>521</v>
      </c>
      <c r="E136" s="149" t="s">
        <v>126</v>
      </c>
      <c r="F136" s="152" t="s">
        <v>37</v>
      </c>
      <c r="G136" s="135">
        <v>100</v>
      </c>
      <c r="H136" s="70">
        <f>IF(OR(J136="",K136="",K136&lt;J136),0,NETWORKDAYS(J136,K136,fESTIVOS!$A$2:$A$53))</f>
        <v>1</v>
      </c>
      <c r="I136" s="158">
        <v>46073</v>
      </c>
      <c r="J136" s="159">
        <v>46073</v>
      </c>
      <c r="K136" s="159">
        <v>46073</v>
      </c>
      <c r="L136" s="159">
        <v>46073</v>
      </c>
      <c r="M136" s="25">
        <f ca="1">IF(OR(J136="",AND(L136="",TODAY()&lt;J136),AND(L136&lt;&gt;"",L136&lt;J136)),0,
   IF(L136="",
      NETWORKDAYS(J136,TODAY(),fESTIVOS!$A$2:$A$53),
      NETWORKDAYS(J136,L136,fESTIVOS!$A$2:$A$53)
   )
)</f>
        <v>1</v>
      </c>
      <c r="N136" s="115"/>
      <c r="O136" s="115"/>
      <c r="P136" s="116"/>
      <c r="Q136" s="160" t="s">
        <v>522</v>
      </c>
      <c r="R136" s="136" t="s">
        <v>38</v>
      </c>
      <c r="S136" s="153"/>
    </row>
    <row r="137" spans="1:19" ht="29.25" customHeight="1">
      <c r="A137" s="139" t="s">
        <v>59</v>
      </c>
      <c r="B137" s="124" t="s">
        <v>523</v>
      </c>
      <c r="C137" s="140" t="s">
        <v>524</v>
      </c>
      <c r="D137" s="156" t="s">
        <v>525</v>
      </c>
      <c r="E137" s="110" t="s">
        <v>143</v>
      </c>
      <c r="F137" s="163" t="s">
        <v>37</v>
      </c>
      <c r="G137" s="142">
        <v>100</v>
      </c>
      <c r="H137" s="70" t="e">
        <f>IF(OR(#REF!="",K137="",K137&lt;#REF!),0,NETWORKDAYS(#REF!,K137,fESTIVOS!$A$2:$A$53))</f>
        <v>#REF!</v>
      </c>
      <c r="I137" s="146">
        <v>46077</v>
      </c>
      <c r="J137" s="121">
        <v>46077</v>
      </c>
      <c r="K137" s="121">
        <v>46077</v>
      </c>
      <c r="L137" s="121">
        <v>46077</v>
      </c>
      <c r="M137" s="25" t="e">
        <f ca="1">IF(OR(#REF!="",AND(L137="",TODAY()&lt;#REF!),AND(L137&lt;&gt;"",L137&lt;#REF!)),0,
   IF(L137="",
      NETWORKDAYS(#REF!,TODAY(),fESTIVOS!$A$2:$A$53),
      NETWORKDAYS(#REF!,L137,fESTIVOS!$A$2:$A$53)
   )
)</f>
        <v>#REF!</v>
      </c>
      <c r="N137" s="143"/>
      <c r="O137" s="143"/>
      <c r="P137" s="144"/>
      <c r="Q137" s="169" t="s">
        <v>526</v>
      </c>
      <c r="R137" s="118" t="s">
        <v>38</v>
      </c>
      <c r="S137" s="119"/>
    </row>
    <row r="138" spans="1:19" ht="29.25" customHeight="1">
      <c r="A138" s="139" t="s">
        <v>59</v>
      </c>
      <c r="B138" s="124" t="s">
        <v>527</v>
      </c>
      <c r="C138" s="140" t="s">
        <v>528</v>
      </c>
      <c r="D138" s="156" t="s">
        <v>529</v>
      </c>
      <c r="E138" s="110" t="s">
        <v>143</v>
      </c>
      <c r="F138" s="163" t="s">
        <v>37</v>
      </c>
      <c r="G138" s="142">
        <v>100</v>
      </c>
      <c r="H138" s="70" t="e">
        <f>IF(OR(#REF!="",K138="",K138&lt;#REF!),0,NETWORKDAYS(#REF!,K138,fESTIVOS!$A$2:$A$53))</f>
        <v>#REF!</v>
      </c>
      <c r="I138" s="146">
        <v>46079</v>
      </c>
      <c r="J138" s="121">
        <v>46079</v>
      </c>
      <c r="K138" s="121">
        <v>46079</v>
      </c>
      <c r="L138" s="121">
        <v>46079</v>
      </c>
      <c r="M138" s="25" t="e">
        <f ca="1">IF(OR(#REF!="",AND(L138="",TODAY()&lt;#REF!),AND(L138&lt;&gt;"",L138&lt;#REF!)),0,
   IF(L138="",
      NETWORKDAYS(#REF!,TODAY(),fESTIVOS!$A$2:$A$53),
      NETWORKDAYS(#REF!,L138,fESTIVOS!$A$2:$A$53)
   )
)</f>
        <v>#REF!</v>
      </c>
      <c r="N138" s="143"/>
      <c r="O138" s="143"/>
      <c r="P138" s="144"/>
      <c r="Q138" s="169" t="s">
        <v>530</v>
      </c>
      <c r="R138" s="118" t="s">
        <v>38</v>
      </c>
      <c r="S138" s="119"/>
    </row>
    <row r="139" spans="1:19" ht="29.25" customHeight="1">
      <c r="A139" s="148" t="s">
        <v>59</v>
      </c>
      <c r="B139" s="124" t="s">
        <v>531</v>
      </c>
      <c r="C139" s="150" t="s">
        <v>532</v>
      </c>
      <c r="D139" s="157" t="s">
        <v>533</v>
      </c>
      <c r="E139" s="149" t="s">
        <v>62</v>
      </c>
      <c r="F139" s="152" t="s">
        <v>37</v>
      </c>
      <c r="G139" s="135">
        <v>100</v>
      </c>
      <c r="H139" s="70">
        <f>IF(OR(J139="",K139="",K139&lt;J139),0,NETWORKDAYS(J139,K139,fESTIVOS!$A$2:$A$53))</f>
        <v>1</v>
      </c>
      <c r="I139" s="146">
        <v>46079</v>
      </c>
      <c r="J139" s="121">
        <v>46079</v>
      </c>
      <c r="K139" s="121">
        <v>46079</v>
      </c>
      <c r="L139" s="121">
        <v>46079</v>
      </c>
      <c r="M139" s="25">
        <f ca="1">IF(OR(J139="",AND(L139="",TODAY()&lt;J139),AND(L139&lt;&gt;"",L139&lt;J139)),0,
   IF(L139="",
      NETWORKDAYS(J139,TODAY(),fESTIVOS!$A$2:$A$53),
      NETWORKDAYS(J139,L139,fESTIVOS!$A$2:$A$53)
   )
)</f>
        <v>1</v>
      </c>
      <c r="N139" s="115"/>
      <c r="O139" s="115"/>
      <c r="P139" s="116"/>
      <c r="Q139" s="160" t="s">
        <v>534</v>
      </c>
      <c r="R139" s="136" t="s">
        <v>38</v>
      </c>
      <c r="S139" s="153"/>
    </row>
    <row r="140" spans="1:19" ht="29.25" customHeight="1">
      <c r="A140" s="148" t="s">
        <v>59</v>
      </c>
      <c r="B140" s="124" t="s">
        <v>535</v>
      </c>
      <c r="C140" s="150" t="s">
        <v>536</v>
      </c>
      <c r="D140" s="157" t="s">
        <v>537</v>
      </c>
      <c r="E140" s="149" t="s">
        <v>62</v>
      </c>
      <c r="F140" s="152" t="s">
        <v>37</v>
      </c>
      <c r="G140" s="135">
        <v>100</v>
      </c>
      <c r="H140" s="70">
        <f>IF(OR(J140="",K140="",K140&lt;J140),0,NETWORKDAYS(J140,K140,fESTIVOS!$A$2:$A$53))</f>
        <v>1</v>
      </c>
      <c r="I140" s="146">
        <v>46080</v>
      </c>
      <c r="J140" s="121">
        <v>46080</v>
      </c>
      <c r="K140" s="121">
        <v>46080</v>
      </c>
      <c r="L140" s="121">
        <v>46080</v>
      </c>
      <c r="M140" s="25">
        <f ca="1">IF(OR(J140="",AND(L140="",TODAY()&lt;J140),AND(L140&lt;&gt;"",L140&lt;J140)),0,
   IF(L140="",
      NETWORKDAYS(J140,TODAY(),fESTIVOS!$A$2:$A$53),
      NETWORKDAYS(J140,L140,fESTIVOS!$A$2:$A$53)
   )
)</f>
        <v>1</v>
      </c>
      <c r="N140" s="115"/>
      <c r="O140" s="115"/>
      <c r="P140" s="116"/>
      <c r="Q140" s="160" t="s">
        <v>538</v>
      </c>
      <c r="R140" s="136" t="s">
        <v>38</v>
      </c>
      <c r="S140" s="153"/>
    </row>
    <row r="141" spans="1:19" ht="29.25" customHeight="1">
      <c r="A141" s="148" t="s">
        <v>59</v>
      </c>
      <c r="B141" s="124" t="s">
        <v>539</v>
      </c>
      <c r="C141" s="150" t="s">
        <v>540</v>
      </c>
      <c r="D141" s="157" t="s">
        <v>541</v>
      </c>
      <c r="E141" s="149" t="s">
        <v>62</v>
      </c>
      <c r="F141" s="152" t="s">
        <v>37</v>
      </c>
      <c r="G141" s="135">
        <v>100</v>
      </c>
      <c r="H141" s="70">
        <f>IF(OR(J141="",K141="",K141&lt;J141),0,NETWORKDAYS(J141,K141,fESTIVOS!$A$2:$A$53))</f>
        <v>1</v>
      </c>
      <c r="I141" s="146">
        <v>46080</v>
      </c>
      <c r="J141" s="121">
        <v>46080</v>
      </c>
      <c r="K141" s="121">
        <v>46080</v>
      </c>
      <c r="L141" s="121">
        <v>46080</v>
      </c>
      <c r="M141" s="25">
        <f ca="1">IF(OR(J141="",AND(L141="",TODAY()&lt;J141),AND(L141&lt;&gt;"",L141&lt;J141)),0,
   IF(L141="",
      NETWORKDAYS(J141,TODAY(),fESTIVOS!$A$2:$A$53),
      NETWORKDAYS(J141,L141,fESTIVOS!$A$2:$A$53)
   )
)</f>
        <v>1</v>
      </c>
      <c r="N141" s="115"/>
      <c r="O141" s="115"/>
      <c r="P141" s="116"/>
      <c r="Q141" s="160" t="s">
        <v>542</v>
      </c>
      <c r="R141" s="136" t="s">
        <v>38</v>
      </c>
      <c r="S141" s="153"/>
    </row>
    <row r="142" spans="1:19" ht="29.25" customHeight="1">
      <c r="A142" s="139" t="s">
        <v>59</v>
      </c>
      <c r="B142" s="124" t="s">
        <v>543</v>
      </c>
      <c r="C142" s="140" t="s">
        <v>544</v>
      </c>
      <c r="D142" s="156" t="s">
        <v>545</v>
      </c>
      <c r="E142" s="110" t="s">
        <v>143</v>
      </c>
      <c r="F142" s="163" t="s">
        <v>37</v>
      </c>
      <c r="G142" s="142">
        <v>100</v>
      </c>
      <c r="H142" s="70" t="e">
        <f>IF(OR(#REF!="",K142="",K142&lt;#REF!),0,NETWORKDAYS(#REF!,K142,fESTIVOS!$A$2:$A$53))</f>
        <v>#REF!</v>
      </c>
      <c r="I142" s="146">
        <v>46083</v>
      </c>
      <c r="J142" s="121">
        <v>46083</v>
      </c>
      <c r="K142" s="121">
        <v>46084</v>
      </c>
      <c r="L142" s="121">
        <v>46084</v>
      </c>
      <c r="M142" s="25" t="e">
        <f ca="1">IF(OR(#REF!="",AND(L142="",TODAY()&lt;#REF!),AND(L142&lt;&gt;"",L142&lt;#REF!)),0,
   IF(L142="",
      NETWORKDAYS(#REF!,TODAY(),fESTIVOS!$A$2:$A$53),
      NETWORKDAYS(#REF!,L142,fESTIVOS!$A$2:$A$53)
   )
)</f>
        <v>#REF!</v>
      </c>
      <c r="N142" s="143"/>
      <c r="O142" s="143"/>
      <c r="P142" s="144"/>
      <c r="Q142" s="169" t="s">
        <v>546</v>
      </c>
      <c r="R142" s="118" t="s">
        <v>38</v>
      </c>
      <c r="S142" s="119"/>
    </row>
    <row r="143" spans="1:19" ht="29.25" customHeight="1">
      <c r="A143" s="139" t="s">
        <v>59</v>
      </c>
      <c r="B143" s="124" t="s">
        <v>547</v>
      </c>
      <c r="C143" s="140" t="s">
        <v>548</v>
      </c>
      <c r="D143" s="156" t="s">
        <v>549</v>
      </c>
      <c r="E143" s="110" t="s">
        <v>143</v>
      </c>
      <c r="F143" s="163" t="s">
        <v>37</v>
      </c>
      <c r="G143" s="142">
        <v>100</v>
      </c>
      <c r="H143" s="70" t="e">
        <f>IF(OR(#REF!="",K143="",K143&lt;#REF!),0,NETWORKDAYS(#REF!,K143,fESTIVOS!$A$2:$A$53))</f>
        <v>#REF!</v>
      </c>
      <c r="I143" s="146">
        <v>46085</v>
      </c>
      <c r="J143" s="121">
        <v>46085</v>
      </c>
      <c r="K143" s="121">
        <v>46085</v>
      </c>
      <c r="L143" s="121">
        <v>46085</v>
      </c>
      <c r="M143" s="25" t="e">
        <f ca="1">IF(OR(#REF!="",AND(L143="",TODAY()&lt;#REF!),AND(L143&lt;&gt;"",L143&lt;#REF!)),0,
   IF(L143="",
      NETWORKDAYS(#REF!,TODAY(),fESTIVOS!$A$2:$A$53),
      NETWORKDAYS(#REF!,L143,fESTIVOS!$A$2:$A$53)
   )
)</f>
        <v>#REF!</v>
      </c>
      <c r="N143" s="143"/>
      <c r="O143" s="143"/>
      <c r="P143" s="144"/>
      <c r="Q143" s="169" t="s">
        <v>550</v>
      </c>
      <c r="R143" s="118" t="s">
        <v>38</v>
      </c>
      <c r="S143" s="119"/>
    </row>
    <row r="144" spans="1:19" ht="29.25" customHeight="1">
      <c r="A144" s="139" t="s">
        <v>59</v>
      </c>
      <c r="B144" s="124" t="s">
        <v>551</v>
      </c>
      <c r="C144" s="140" t="s">
        <v>552</v>
      </c>
      <c r="D144" s="156" t="s">
        <v>553</v>
      </c>
      <c r="E144" s="110" t="s">
        <v>143</v>
      </c>
      <c r="F144" s="163" t="s">
        <v>37</v>
      </c>
      <c r="G144" s="142">
        <v>100</v>
      </c>
      <c r="H144" s="70" t="e">
        <f>IF(OR(#REF!="",K144="",K144&lt;#REF!),0,NETWORKDAYS(#REF!,K144,fESTIVOS!$A$2:$A$53))</f>
        <v>#REF!</v>
      </c>
      <c r="I144" s="146">
        <v>46085</v>
      </c>
      <c r="J144" s="121">
        <v>46085</v>
      </c>
      <c r="K144" s="121">
        <v>46085</v>
      </c>
      <c r="L144" s="121">
        <v>46085</v>
      </c>
      <c r="M144" s="25" t="e">
        <f ca="1">IF(OR(#REF!="",AND(L144="",TODAY()&lt;#REF!),AND(L144&lt;&gt;"",L144&lt;#REF!)),0,
   IF(L144="",
      NETWORKDAYS(#REF!,TODAY(),fESTIVOS!$A$2:$A$53),
      NETWORKDAYS(#REF!,L144,fESTIVOS!$A$2:$A$53)
   )
)</f>
        <v>#REF!</v>
      </c>
      <c r="N144" s="143"/>
      <c r="O144" s="143"/>
      <c r="P144" s="144"/>
      <c r="Q144" s="169" t="s">
        <v>554</v>
      </c>
      <c r="R144" s="118" t="s">
        <v>38</v>
      </c>
      <c r="S144" s="119"/>
    </row>
    <row r="145" spans="1:19" ht="29.25" customHeight="1">
      <c r="A145" s="148" t="s">
        <v>59</v>
      </c>
      <c r="B145" s="124" t="s">
        <v>555</v>
      </c>
      <c r="C145" s="150" t="s">
        <v>556</v>
      </c>
      <c r="D145" s="157" t="s">
        <v>557</v>
      </c>
      <c r="E145" s="149" t="s">
        <v>62</v>
      </c>
      <c r="F145" s="152" t="s">
        <v>37</v>
      </c>
      <c r="G145" s="135">
        <v>100</v>
      </c>
      <c r="H145" s="70">
        <f>IF(OR(J145="",K145="",K145&lt;J145),0,NETWORKDAYS(J145,K145,fESTIVOS!$A$2:$A$53))</f>
        <v>3</v>
      </c>
      <c r="I145" s="146">
        <v>46084</v>
      </c>
      <c r="J145" s="121">
        <v>46084</v>
      </c>
      <c r="K145" s="121">
        <v>46086</v>
      </c>
      <c r="L145" s="121">
        <v>46086</v>
      </c>
      <c r="M145" s="25">
        <f ca="1">IF(OR(J145="",AND(L145="",TODAY()&lt;J145),AND(L145&lt;&gt;"",L145&lt;J145)),0,
   IF(L145="",
      NETWORKDAYS(J145,TODAY(),fESTIVOS!$A$2:$A$53),
      NETWORKDAYS(J145,L145,fESTIVOS!$A$2:$A$53)
   )
)</f>
        <v>3</v>
      </c>
      <c r="N145" s="115"/>
      <c r="O145" s="115"/>
      <c r="P145" s="116"/>
      <c r="Q145" s="160" t="s">
        <v>558</v>
      </c>
      <c r="R145" s="136" t="s">
        <v>38</v>
      </c>
      <c r="S145" s="153"/>
    </row>
    <row r="146" spans="1:19" ht="29.25" customHeight="1">
      <c r="A146" s="148" t="s">
        <v>59</v>
      </c>
      <c r="B146" s="124" t="s">
        <v>559</v>
      </c>
      <c r="C146" s="150" t="s">
        <v>556</v>
      </c>
      <c r="D146" s="157" t="s">
        <v>560</v>
      </c>
      <c r="E146" s="149" t="s">
        <v>62</v>
      </c>
      <c r="F146" s="152" t="s">
        <v>37</v>
      </c>
      <c r="G146" s="135">
        <v>100</v>
      </c>
      <c r="H146" s="70">
        <f>IF(OR(J146="",K146="",K146&lt;J146),0,NETWORKDAYS(J146,K146,fESTIVOS!$A$2:$A$53))</f>
        <v>1</v>
      </c>
      <c r="I146" s="146">
        <v>46086</v>
      </c>
      <c r="J146" s="121">
        <v>46086</v>
      </c>
      <c r="K146" s="121">
        <v>46086</v>
      </c>
      <c r="L146" s="121">
        <v>46086</v>
      </c>
      <c r="M146" s="25">
        <f ca="1">IF(OR(J146="",AND(L146="",TODAY()&lt;J146),AND(L146&lt;&gt;"",L146&lt;J146)),0,
   IF(L146="",
      NETWORKDAYS(J146,TODAY(),fESTIVOS!$A$2:$A$53),
      NETWORKDAYS(J146,L146,fESTIVOS!$A$2:$A$53)
   )
)</f>
        <v>1</v>
      </c>
      <c r="N146" s="115"/>
      <c r="O146" s="115"/>
      <c r="P146" s="116"/>
      <c r="Q146" s="160" t="s">
        <v>561</v>
      </c>
      <c r="R146" s="136" t="s">
        <v>38</v>
      </c>
      <c r="S146" s="153"/>
    </row>
    <row r="147" spans="1:19" ht="29.25" customHeight="1">
      <c r="A147" s="148" t="s">
        <v>59</v>
      </c>
      <c r="B147" s="124" t="s">
        <v>562</v>
      </c>
      <c r="C147" s="150" t="s">
        <v>556</v>
      </c>
      <c r="D147" s="157" t="s">
        <v>560</v>
      </c>
      <c r="E147" s="149" t="s">
        <v>62</v>
      </c>
      <c r="F147" s="152" t="s">
        <v>37</v>
      </c>
      <c r="G147" s="135">
        <v>100</v>
      </c>
      <c r="H147" s="70">
        <f>IF(OR(J147="",K147="",K147&lt;J147),0,NETWORKDAYS(J147,K147,fESTIVOS!$A$2:$A$53))</f>
        <v>1</v>
      </c>
      <c r="I147" s="146">
        <v>46087</v>
      </c>
      <c r="J147" s="121">
        <v>46087</v>
      </c>
      <c r="K147" s="121">
        <v>46087</v>
      </c>
      <c r="L147" s="121">
        <v>46087</v>
      </c>
      <c r="M147" s="25">
        <f ca="1">IF(OR(J147="",AND(L147="",TODAY()&lt;J147),AND(L147&lt;&gt;"",L147&lt;J147)),0,
   IF(L147="",
      NETWORKDAYS(J147,TODAY(),fESTIVOS!$A$2:$A$53),
      NETWORKDAYS(J147,L147,fESTIVOS!$A$2:$A$53)
   )
)</f>
        <v>1</v>
      </c>
      <c r="N147" s="115"/>
      <c r="O147" s="115"/>
      <c r="P147" s="116"/>
      <c r="Q147" s="160" t="s">
        <v>563</v>
      </c>
      <c r="R147" s="136" t="s">
        <v>38</v>
      </c>
      <c r="S147" s="153"/>
    </row>
    <row r="148" spans="1:19" ht="29.25" customHeight="1">
      <c r="A148" s="148" t="s">
        <v>59</v>
      </c>
      <c r="B148" s="149" t="s">
        <v>564</v>
      </c>
      <c r="C148" s="150" t="s">
        <v>427</v>
      </c>
      <c r="D148" s="170" t="s">
        <v>565</v>
      </c>
      <c r="E148" s="151" t="s">
        <v>143</v>
      </c>
      <c r="F148" s="137" t="s">
        <v>37</v>
      </c>
      <c r="G148" s="138">
        <v>100</v>
      </c>
      <c r="H148" s="171" t="e">
        <f>IF(OR(#REF!="",K148="",K148&lt;#REF!),0,NETWORKDAYS(#REF!,K148,fESTIVOS!$A$2:$A$53))</f>
        <v>#REF!</v>
      </c>
      <c r="I148" s="158">
        <v>46090</v>
      </c>
      <c r="J148" s="159">
        <v>46091</v>
      </c>
      <c r="K148" s="159">
        <v>46091</v>
      </c>
      <c r="L148" s="159">
        <v>46091</v>
      </c>
      <c r="M148" s="172" t="e">
        <f ca="1">IF(OR(#REF!="",AND(L148="",TODAY()&lt;#REF!),AND(L148&lt;&gt;"",L148&lt;#REF!)),0,
   IF(L148="",
      NETWORKDAYS(#REF!,TODAY(),fESTIVOS!$A$2:$A$53),
      NETWORKDAYS(#REF!,L148,fESTIVOS!$A$2:$A$53)
   )
)</f>
        <v>#REF!</v>
      </c>
      <c r="N148" s="115"/>
      <c r="O148" s="115"/>
      <c r="P148" s="116"/>
      <c r="Q148" s="173" t="s">
        <v>566</v>
      </c>
      <c r="R148" s="136" t="s">
        <v>38</v>
      </c>
      <c r="S148" s="153"/>
    </row>
    <row r="149" spans="1:19" ht="29.25" customHeight="1">
      <c r="A149" s="148" t="s">
        <v>59</v>
      </c>
      <c r="B149" s="149" t="s">
        <v>567</v>
      </c>
      <c r="C149" s="150" t="s">
        <v>568</v>
      </c>
      <c r="D149" s="170" t="s">
        <v>569</v>
      </c>
      <c r="E149" s="151" t="s">
        <v>143</v>
      </c>
      <c r="F149" s="137" t="s">
        <v>37</v>
      </c>
      <c r="G149" s="138">
        <v>100</v>
      </c>
      <c r="H149" s="171" t="e">
        <f>IF(OR(#REF!="",K149="",K149&lt;#REF!),0,NETWORKDAYS(#REF!,K149,fESTIVOS!$A$2:$A$53))</f>
        <v>#REF!</v>
      </c>
      <c r="I149" s="158">
        <v>46092</v>
      </c>
      <c r="J149" s="159">
        <v>46092</v>
      </c>
      <c r="K149" s="159">
        <v>46092</v>
      </c>
      <c r="L149" s="159">
        <v>46092</v>
      </c>
      <c r="M149" s="172" t="e">
        <f ca="1">IF(OR(#REF!="",AND(L149="",TODAY()&lt;#REF!),AND(L149&lt;&gt;"",L149&lt;#REF!)),0,
   IF(L149="",
      NETWORKDAYS(#REF!,TODAY(),fESTIVOS!$A$2:$A$53),
      NETWORKDAYS(#REF!,L149,fESTIVOS!$A$2:$A$53)
   )
)</f>
        <v>#REF!</v>
      </c>
      <c r="N149" s="115"/>
      <c r="O149" s="115"/>
      <c r="P149" s="116"/>
      <c r="Q149" s="173" t="s">
        <v>570</v>
      </c>
      <c r="R149" s="136" t="s">
        <v>38</v>
      </c>
      <c r="S149" s="153"/>
    </row>
    <row r="150" spans="1:19" ht="29.25" customHeight="1">
      <c r="A150" s="148" t="s">
        <v>59</v>
      </c>
      <c r="B150" s="149" t="s">
        <v>571</v>
      </c>
      <c r="C150" s="150" t="s">
        <v>572</v>
      </c>
      <c r="D150" s="170" t="s">
        <v>573</v>
      </c>
      <c r="E150" s="151" t="s">
        <v>143</v>
      </c>
      <c r="F150" s="137" t="s">
        <v>37</v>
      </c>
      <c r="G150" s="138">
        <v>100</v>
      </c>
      <c r="H150" s="171" t="e">
        <f>IF(OR(#REF!="",K150="",K150&lt;#REF!),0,NETWORKDAYS(#REF!,K150,fESTIVOS!$A$2:$A$53))</f>
        <v>#REF!</v>
      </c>
      <c r="I150" s="158">
        <v>46093</v>
      </c>
      <c r="J150" s="159">
        <v>46093</v>
      </c>
      <c r="K150" s="159">
        <v>46093</v>
      </c>
      <c r="L150" s="159">
        <v>46093</v>
      </c>
      <c r="M150" s="172" t="e">
        <f ca="1">IF(OR(#REF!="",AND(L150="",TODAY()&lt;#REF!),AND(L150&lt;&gt;"",L150&lt;#REF!)),0,
   IF(L150="",
      NETWORKDAYS(#REF!,TODAY(),fESTIVOS!$A$2:$A$53),
      NETWORKDAYS(#REF!,L150,fESTIVOS!$A$2:$A$53)
   )
)</f>
        <v>#REF!</v>
      </c>
      <c r="N150" s="115"/>
      <c r="O150" s="115"/>
      <c r="P150" s="116"/>
      <c r="Q150" s="173" t="s">
        <v>574</v>
      </c>
      <c r="R150" s="136" t="s">
        <v>38</v>
      </c>
      <c r="S150" s="153"/>
    </row>
    <row r="151" spans="1:19" ht="29.25" customHeight="1">
      <c r="A151" s="148" t="s">
        <v>59</v>
      </c>
      <c r="B151" s="124" t="s">
        <v>575</v>
      </c>
      <c r="C151" s="150" t="s">
        <v>576</v>
      </c>
      <c r="D151" s="157" t="s">
        <v>577</v>
      </c>
      <c r="E151" s="149" t="s">
        <v>62</v>
      </c>
      <c r="F151" s="152" t="s">
        <v>37</v>
      </c>
      <c r="G151" s="135">
        <v>100</v>
      </c>
      <c r="H151" s="70">
        <f>IF(OR(J151="",K151="",K151&lt;J151),0,NETWORKDAYS(J151,K151,fESTIVOS!$A$2:$A$53))</f>
        <v>1</v>
      </c>
      <c r="I151" s="146">
        <v>46093</v>
      </c>
      <c r="J151" s="121">
        <v>46093</v>
      </c>
      <c r="K151" s="121">
        <v>46093</v>
      </c>
      <c r="L151" s="121">
        <v>46093</v>
      </c>
      <c r="M151" s="25">
        <f ca="1">IF(OR(J151="",AND(L151="",TODAY()&lt;J151),AND(L151&lt;&gt;"",L151&lt;J151)),0,
   IF(L151="",
      NETWORKDAYS(J151,TODAY(),fESTIVOS!$A$2:$A$53),
      NETWORKDAYS(J151,L151,fESTIVOS!$A$2:$A$53)
   )
)</f>
        <v>1</v>
      </c>
      <c r="N151" s="115"/>
      <c r="O151" s="115"/>
      <c r="P151" s="116"/>
      <c r="Q151" s="160" t="s">
        <v>578</v>
      </c>
      <c r="R151" s="136" t="s">
        <v>38</v>
      </c>
      <c r="S151" s="153"/>
    </row>
    <row r="152" spans="1:19" ht="29.25" customHeight="1">
      <c r="A152" s="148" t="s">
        <v>59</v>
      </c>
      <c r="B152" s="124" t="s">
        <v>579</v>
      </c>
      <c r="C152" s="150" t="s">
        <v>580</v>
      </c>
      <c r="D152" s="157" t="s">
        <v>581</v>
      </c>
      <c r="E152" s="149" t="s">
        <v>62</v>
      </c>
      <c r="F152" s="152" t="s">
        <v>37</v>
      </c>
      <c r="G152" s="135">
        <v>100</v>
      </c>
      <c r="H152" s="70">
        <f>IF(OR(J152="",K152="",K152&lt;J152),0,NETWORKDAYS(J152,K152,fESTIVOS!$A$2:$A$53))</f>
        <v>1</v>
      </c>
      <c r="I152" s="146">
        <v>46094</v>
      </c>
      <c r="J152" s="121">
        <v>46094</v>
      </c>
      <c r="K152" s="121">
        <v>46094</v>
      </c>
      <c r="L152" s="121">
        <v>46094</v>
      </c>
      <c r="M152" s="25">
        <f ca="1">IF(OR(J152="",AND(L152="",TODAY()&lt;J152),AND(L152&lt;&gt;"",L152&lt;J152)),0,
   IF(L152="",
      NETWORKDAYS(J152,TODAY(),fESTIVOS!$A$2:$A$53),
      NETWORKDAYS(J152,L152,fESTIVOS!$A$2:$A$53)
   )
)</f>
        <v>1</v>
      </c>
      <c r="N152" s="115"/>
      <c r="O152" s="115"/>
      <c r="P152" s="116"/>
      <c r="Q152" s="160" t="s">
        <v>582</v>
      </c>
      <c r="R152" s="136" t="s">
        <v>38</v>
      </c>
      <c r="S152" s="153"/>
    </row>
    <row r="153" spans="1:19" ht="29.25" customHeight="1">
      <c r="A153" s="148" t="s">
        <v>59</v>
      </c>
      <c r="B153" s="149" t="s">
        <v>583</v>
      </c>
      <c r="C153" s="150" t="s">
        <v>584</v>
      </c>
      <c r="D153" s="157" t="s">
        <v>585</v>
      </c>
      <c r="E153" s="149" t="s">
        <v>126</v>
      </c>
      <c r="F153" s="152" t="s">
        <v>37</v>
      </c>
      <c r="G153" s="135">
        <v>100</v>
      </c>
      <c r="H153" s="70">
        <f>IF(OR(J153="",K153="",K153&lt;J153),0,NETWORKDAYS(J153,K153,fESTIVOS!$A$2:$A$53))</f>
        <v>1</v>
      </c>
      <c r="I153" s="158">
        <v>46093</v>
      </c>
      <c r="J153" s="159">
        <v>46093</v>
      </c>
      <c r="K153" s="159">
        <v>46093</v>
      </c>
      <c r="L153" s="159">
        <v>46093</v>
      </c>
      <c r="M153" s="25">
        <f ca="1">IF(OR(J153="",AND(L153="",TODAY()&lt;J153),AND(L153&lt;&gt;"",L153&lt;J153)),0,
   IF(L153="",
      NETWORKDAYS(J153,TODAY(),fESTIVOS!$A$2:$A$53),
      NETWORKDAYS(J153,L153,fESTIVOS!$A$2:$A$53)
   )
)</f>
        <v>1</v>
      </c>
      <c r="N153" s="115"/>
      <c r="O153" s="115"/>
      <c r="P153" s="116"/>
      <c r="Q153" s="160" t="s">
        <v>586</v>
      </c>
      <c r="R153" s="136" t="s">
        <v>38</v>
      </c>
      <c r="S153" s="153"/>
    </row>
    <row r="154" spans="1:19" ht="29.25" customHeight="1">
      <c r="A154" s="148" t="s">
        <v>59</v>
      </c>
      <c r="B154" s="149" t="s">
        <v>587</v>
      </c>
      <c r="C154" s="150" t="s">
        <v>588</v>
      </c>
      <c r="D154" s="157" t="s">
        <v>589</v>
      </c>
      <c r="E154" s="151" t="s">
        <v>143</v>
      </c>
      <c r="F154" s="152" t="s">
        <v>37</v>
      </c>
      <c r="G154" s="135">
        <v>100</v>
      </c>
      <c r="H154" s="70">
        <f>IF(OR(J154="",K154="",K154&lt;J154),0,NETWORKDAYS(J154,K154,fESTIVOS!$A$2:$A$53))</f>
        <v>1</v>
      </c>
      <c r="I154" s="158">
        <v>46093</v>
      </c>
      <c r="J154" s="159">
        <v>46093</v>
      </c>
      <c r="K154" s="159">
        <v>46093</v>
      </c>
      <c r="L154" s="159">
        <v>46093</v>
      </c>
      <c r="M154" s="25">
        <f ca="1">IF(OR(J154="",AND(L154="",TODAY()&lt;J154),AND(L154&lt;&gt;"",L154&lt;J154)),0,
   IF(L154="",
      NETWORKDAYS(J154,TODAY(),fESTIVOS!$A$2:$A$53),
      NETWORKDAYS(J154,L154,fESTIVOS!$A$2:$A$53)
   )
)</f>
        <v>1</v>
      </c>
      <c r="N154" s="115"/>
      <c r="O154" s="115"/>
      <c r="P154" s="116"/>
      <c r="Q154" s="160" t="s">
        <v>590</v>
      </c>
      <c r="R154" s="136" t="s">
        <v>38</v>
      </c>
      <c r="S154" s="153"/>
    </row>
    <row r="155" spans="1:19" ht="29.25" customHeight="1">
      <c r="A155" s="148" t="s">
        <v>59</v>
      </c>
      <c r="B155" s="149" t="s">
        <v>591</v>
      </c>
      <c r="C155" s="150" t="s">
        <v>592</v>
      </c>
      <c r="D155" s="157" t="s">
        <v>593</v>
      </c>
      <c r="E155" s="151" t="s">
        <v>143</v>
      </c>
      <c r="F155" s="137" t="s">
        <v>37</v>
      </c>
      <c r="G155" s="138">
        <v>100</v>
      </c>
      <c r="H155" s="171">
        <f>IF(OR(J155="",K155="",K155&lt;J155),0,NETWORKDAYS(J155,K155,fESTIVOS!$A$2:$A$53))</f>
        <v>1</v>
      </c>
      <c r="I155" s="158">
        <v>46097</v>
      </c>
      <c r="J155" s="159">
        <v>46097</v>
      </c>
      <c r="K155" s="159">
        <v>46097</v>
      </c>
      <c r="L155" s="159">
        <v>46097</v>
      </c>
      <c r="M155" s="172">
        <f ca="1">IF(OR(J155="",AND(L155="",TODAY()&lt;J155),AND(L155&lt;&gt;"",L155&lt;J155)),0,
   IF(L155="",
      NETWORKDAYS(J155,TODAY(),fESTIVOS!$A$2:$A$53),
      NETWORKDAYS(J155,L155,fESTIVOS!$A$2:$A$53)
   )
)</f>
        <v>1</v>
      </c>
      <c r="N155" s="115"/>
      <c r="O155" s="115"/>
      <c r="P155" s="116"/>
      <c r="Q155" s="160" t="s">
        <v>594</v>
      </c>
      <c r="R155" s="136" t="s">
        <v>38</v>
      </c>
      <c r="S155" s="153"/>
    </row>
    <row r="156" spans="1:19" ht="29.25" customHeight="1">
      <c r="A156" s="148" t="s">
        <v>59</v>
      </c>
      <c r="B156" s="149" t="s">
        <v>595</v>
      </c>
      <c r="C156" s="150" t="s">
        <v>596</v>
      </c>
      <c r="D156" s="150" t="s">
        <v>596</v>
      </c>
      <c r="E156" s="151" t="s">
        <v>143</v>
      </c>
      <c r="F156" s="134" t="s">
        <v>37</v>
      </c>
      <c r="G156" s="135">
        <v>100</v>
      </c>
      <c r="H156" s="171">
        <f>IF(OR(J156="",K156="",K156&lt;J156),0,NETWORKDAYS(J156,K156,fESTIVOS!$A$2:$A$53))</f>
        <v>11</v>
      </c>
      <c r="I156" s="158">
        <v>46098</v>
      </c>
      <c r="J156" s="159">
        <v>46098</v>
      </c>
      <c r="K156" s="159">
        <v>46113</v>
      </c>
      <c r="L156" s="159">
        <v>46113</v>
      </c>
      <c r="M156" s="172">
        <f ca="1">IF(OR(J156="",AND(L156="",TODAY()&lt;J156),AND(L156&lt;&gt;"",L156&lt;J156)),0,
   IF(L156="",
      NETWORKDAYS(J156,TODAY(),fESTIVOS!$A$2:$A$53),
      NETWORKDAYS(J156,L156,fESTIVOS!$A$2:$A$53)
   )
)</f>
        <v>11</v>
      </c>
      <c r="N156" s="115"/>
      <c r="O156" s="115"/>
      <c r="P156" s="116"/>
      <c r="Q156" s="160" t="s">
        <v>597</v>
      </c>
      <c r="R156" s="136" t="s">
        <v>38</v>
      </c>
      <c r="S156" s="153"/>
    </row>
    <row r="157" spans="1:19" ht="29.25" customHeight="1">
      <c r="A157" s="148" t="s">
        <v>59</v>
      </c>
      <c r="B157" s="124" t="s">
        <v>598</v>
      </c>
      <c r="C157" s="150" t="s">
        <v>592</v>
      </c>
      <c r="D157" s="157" t="s">
        <v>599</v>
      </c>
      <c r="E157" s="149" t="s">
        <v>62</v>
      </c>
      <c r="F157" s="152" t="s">
        <v>37</v>
      </c>
      <c r="G157" s="135">
        <v>100</v>
      </c>
      <c r="H157" s="70">
        <f>IF(OR(J157="",K157="",K157&lt;J157),0,NETWORKDAYS(J157,K157,fESTIVOS!$A$2:$A$53))</f>
        <v>3</v>
      </c>
      <c r="I157" s="146">
        <v>46098</v>
      </c>
      <c r="J157" s="121">
        <v>46098</v>
      </c>
      <c r="K157" s="121">
        <v>46100</v>
      </c>
      <c r="L157" s="121">
        <v>46100</v>
      </c>
      <c r="M157" s="25">
        <f ca="1">IF(OR(J157="",AND(L157="",TODAY()&lt;J157),AND(L157&lt;&gt;"",L157&lt;J157)),0,
   IF(L157="",
      NETWORKDAYS(J157,TODAY(),fESTIVOS!$A$2:$A$53),
      NETWORKDAYS(J157,L157,fESTIVOS!$A$2:$A$53)
   )
)</f>
        <v>3</v>
      </c>
      <c r="N157" s="115"/>
      <c r="O157" s="115"/>
      <c r="P157" s="116"/>
      <c r="Q157" s="160" t="s">
        <v>600</v>
      </c>
      <c r="R157" s="136" t="s">
        <v>38</v>
      </c>
      <c r="S157" s="153"/>
    </row>
    <row r="158" spans="1:19" ht="29.25" customHeight="1">
      <c r="A158" s="148" t="s">
        <v>59</v>
      </c>
      <c r="B158" s="149" t="s">
        <v>601</v>
      </c>
      <c r="C158" s="150" t="s">
        <v>602</v>
      </c>
      <c r="D158" s="150" t="s">
        <v>603</v>
      </c>
      <c r="E158" s="151" t="s">
        <v>143</v>
      </c>
      <c r="F158" s="134" t="s">
        <v>37</v>
      </c>
      <c r="G158" s="135">
        <v>100</v>
      </c>
      <c r="H158" s="171">
        <f>IF(OR(J158="",K158="",K158&lt;J158),0,NETWORKDAYS(J158,K158,fESTIVOS!$A$2:$A$53))</f>
        <v>4</v>
      </c>
      <c r="I158" s="158">
        <v>46098</v>
      </c>
      <c r="J158" s="159">
        <v>46098</v>
      </c>
      <c r="K158" s="159">
        <v>46101</v>
      </c>
      <c r="L158" s="159">
        <v>46101</v>
      </c>
      <c r="M158" s="172">
        <f ca="1">IF(OR(J158="",AND(L158="",TODAY()&lt;J158),AND(L158&lt;&gt;"",L158&lt;J158)),0,
   IF(L158="",
      NETWORKDAYS(J158,TODAY(),fESTIVOS!$A$2:$A$53),
      NETWORKDAYS(J158,L158,fESTIVOS!$A$2:$A$53)
   )
)</f>
        <v>4</v>
      </c>
      <c r="N158" s="115"/>
      <c r="O158" s="115"/>
      <c r="P158" s="116"/>
      <c r="Q158" s="160" t="s">
        <v>604</v>
      </c>
      <c r="R158" s="136" t="s">
        <v>38</v>
      </c>
      <c r="S158" s="153"/>
    </row>
    <row r="159" spans="1:19" ht="29.25" customHeight="1">
      <c r="A159" s="148" t="s">
        <v>59</v>
      </c>
      <c r="B159" s="124" t="s">
        <v>605</v>
      </c>
      <c r="C159" s="150" t="s">
        <v>602</v>
      </c>
      <c r="D159" s="150" t="s">
        <v>603</v>
      </c>
      <c r="E159" s="149" t="s">
        <v>62</v>
      </c>
      <c r="F159" s="152" t="s">
        <v>37</v>
      </c>
      <c r="G159" s="135">
        <v>100</v>
      </c>
      <c r="H159" s="70">
        <f>IF(OR(J159="",K159="",K159&lt;J159),0,NETWORKDAYS(J159,K159,fESTIVOS!$A$2:$A$53))</f>
        <v>4</v>
      </c>
      <c r="I159" s="158">
        <v>46098</v>
      </c>
      <c r="J159" s="159">
        <v>46098</v>
      </c>
      <c r="K159" s="159">
        <v>46101</v>
      </c>
      <c r="L159" s="159">
        <v>46101</v>
      </c>
      <c r="M159" s="25">
        <f ca="1">IF(OR(J159="",AND(L159="",TODAY()&lt;J159),AND(L159&lt;&gt;"",L159&lt;J159)),0,
   IF(L159="",
      NETWORKDAYS(J159,TODAY(),fESTIVOS!$A$2:$A$53),
      NETWORKDAYS(J159,L159,fESTIVOS!$A$2:$A$53)
   )
)</f>
        <v>4</v>
      </c>
      <c r="N159" s="115"/>
      <c r="O159" s="115"/>
      <c r="P159" s="116"/>
      <c r="Q159" s="160" t="s">
        <v>606</v>
      </c>
      <c r="R159" s="136" t="s">
        <v>38</v>
      </c>
      <c r="S159" s="153"/>
    </row>
    <row r="160" spans="1:19" ht="29.25" customHeight="1">
      <c r="A160" s="148" t="s">
        <v>59</v>
      </c>
      <c r="B160" s="149" t="s">
        <v>607</v>
      </c>
      <c r="C160" s="150" t="s">
        <v>608</v>
      </c>
      <c r="D160" s="157" t="s">
        <v>609</v>
      </c>
      <c r="E160" s="149" t="s">
        <v>126</v>
      </c>
      <c r="F160" s="152" t="s">
        <v>37</v>
      </c>
      <c r="G160" s="135">
        <v>100</v>
      </c>
      <c r="H160" s="70">
        <f>IF(OR(J160="",K160="",K160&lt;J160),0,NETWORKDAYS(J160,K160,fESTIVOS!$A$2:$A$53))</f>
        <v>2</v>
      </c>
      <c r="I160" s="158">
        <v>46100</v>
      </c>
      <c r="J160" s="159">
        <v>46100</v>
      </c>
      <c r="K160" s="159">
        <v>46101</v>
      </c>
      <c r="L160" s="159">
        <v>46101</v>
      </c>
      <c r="M160" s="25">
        <f ca="1">IF(OR(J160="",AND(L160="",TODAY()&lt;J160),AND(L160&lt;&gt;"",L160&lt;J160)),0,
   IF(L160="",
      NETWORKDAYS(J160,TODAY(),fESTIVOS!$A$2:$A$53),
      NETWORKDAYS(J160,L160,fESTIVOS!$A$2:$A$53)
   )
)</f>
        <v>2</v>
      </c>
      <c r="N160" s="115"/>
      <c r="O160" s="115"/>
      <c r="P160" s="116"/>
      <c r="Q160" s="160" t="s">
        <v>610</v>
      </c>
      <c r="R160" s="136" t="s">
        <v>38</v>
      </c>
      <c r="S160" s="153"/>
    </row>
    <row r="161" spans="1:19" ht="29.25" customHeight="1">
      <c r="A161" s="148" t="s">
        <v>59</v>
      </c>
      <c r="B161" s="149" t="s">
        <v>611</v>
      </c>
      <c r="C161" s="150" t="s">
        <v>612</v>
      </c>
      <c r="D161" s="150" t="s">
        <v>613</v>
      </c>
      <c r="E161" s="151" t="s">
        <v>143</v>
      </c>
      <c r="F161" s="134" t="s">
        <v>37</v>
      </c>
      <c r="G161" s="135">
        <v>100</v>
      </c>
      <c r="H161" s="171">
        <f>IF(OR(J161="",K161="",K161&lt;J161),0,NETWORKDAYS(J161,K161,fESTIVOS!$A$2:$A$53))</f>
        <v>9</v>
      </c>
      <c r="I161" s="158">
        <v>46099</v>
      </c>
      <c r="J161" s="159">
        <v>46099</v>
      </c>
      <c r="K161" s="159">
        <v>46112</v>
      </c>
      <c r="L161" s="159">
        <v>46112</v>
      </c>
      <c r="M161" s="172">
        <f ca="1">IF(OR(J161="",AND(L161="",TODAY()&lt;J161),AND(L161&lt;&gt;"",L161&lt;J161)),0,
   IF(L161="",
      NETWORKDAYS(J161,TODAY(),fESTIVOS!$A$2:$A$53),
      NETWORKDAYS(J161,L161,fESTIVOS!$A$2:$A$53)
   )
)</f>
        <v>9</v>
      </c>
      <c r="N161" s="115"/>
      <c r="O161" s="115"/>
      <c r="P161" s="116"/>
      <c r="Q161" s="160" t="s">
        <v>614</v>
      </c>
      <c r="R161" s="136" t="s">
        <v>38</v>
      </c>
      <c r="S161" s="153"/>
    </row>
    <row r="162" spans="1:19" ht="29.25" customHeight="1">
      <c r="A162" s="148" t="s">
        <v>59</v>
      </c>
      <c r="B162" s="149" t="s">
        <v>615</v>
      </c>
      <c r="C162" s="150" t="s">
        <v>616</v>
      </c>
      <c r="D162" s="150"/>
      <c r="E162" s="151" t="s">
        <v>143</v>
      </c>
      <c r="F162" s="134" t="s">
        <v>37</v>
      </c>
      <c r="G162" s="135">
        <v>100</v>
      </c>
      <c r="H162" s="171">
        <f>IF(OR(J162="",K162="",K162&lt;J162),0,NETWORKDAYS(J162,K162,fESTIVOS!$A$2:$A$53))</f>
        <v>7</v>
      </c>
      <c r="I162" s="158">
        <v>46102</v>
      </c>
      <c r="J162" s="159">
        <v>46102</v>
      </c>
      <c r="K162" s="159">
        <v>46113</v>
      </c>
      <c r="L162" s="159">
        <v>46113</v>
      </c>
      <c r="M162" s="172">
        <f ca="1">IF(OR(J162="",AND(L162="",TODAY()&lt;J162),AND(L162&lt;&gt;"",L162&lt;J162)),0,
   IF(L162="",
      NETWORKDAYS(J162,TODAY(),fESTIVOS!$A$2:$A$53),
      NETWORKDAYS(J162,L162,fESTIVOS!$A$2:$A$53)
   )
)</f>
        <v>7</v>
      </c>
      <c r="N162" s="115"/>
      <c r="O162" s="115"/>
      <c r="P162" s="116"/>
      <c r="Q162" s="160" t="s">
        <v>617</v>
      </c>
      <c r="R162" s="136" t="s">
        <v>38</v>
      </c>
      <c r="S162" s="153"/>
    </row>
    <row r="163" spans="1:19" ht="29.25" customHeight="1">
      <c r="A163" s="148" t="s">
        <v>59</v>
      </c>
      <c r="B163" s="149" t="s">
        <v>618</v>
      </c>
      <c r="C163" s="150" t="s">
        <v>619</v>
      </c>
      <c r="D163" s="150"/>
      <c r="E163" s="151" t="s">
        <v>143</v>
      </c>
      <c r="F163" s="134" t="s">
        <v>37</v>
      </c>
      <c r="G163" s="135">
        <v>100</v>
      </c>
      <c r="H163" s="171">
        <f>IF(OR(J163="",K163="",K163&lt;J163),0,NETWORKDAYS(J163,K163,fESTIVOS!$A$2:$A$53))</f>
        <v>7</v>
      </c>
      <c r="I163" s="158">
        <v>46102</v>
      </c>
      <c r="J163" s="159">
        <v>46102</v>
      </c>
      <c r="K163" s="159">
        <v>46113</v>
      </c>
      <c r="L163" s="159">
        <v>46113</v>
      </c>
      <c r="M163" s="172">
        <f ca="1">IF(OR(J163="",AND(L163="",TODAY()&lt;J163),AND(L163&lt;&gt;"",L163&lt;J163)),0,
   IF(L163="",
      NETWORKDAYS(J163,TODAY(),fESTIVOS!$A$2:$A$53),
      NETWORKDAYS(J163,L163,fESTIVOS!$A$2:$A$53)
   )
)</f>
        <v>7</v>
      </c>
      <c r="N163" s="115"/>
      <c r="O163" s="115"/>
      <c r="P163" s="116"/>
      <c r="Q163" s="160" t="s">
        <v>620</v>
      </c>
      <c r="R163" s="136" t="s">
        <v>38</v>
      </c>
      <c r="S163" s="153"/>
    </row>
    <row r="164" spans="1:19" ht="29.25" customHeight="1">
      <c r="A164" s="148" t="s">
        <v>59</v>
      </c>
      <c r="B164" s="124" t="s">
        <v>621</v>
      </c>
      <c r="C164" s="150" t="s">
        <v>622</v>
      </c>
      <c r="D164" s="150" t="s">
        <v>623</v>
      </c>
      <c r="E164" s="149" t="s">
        <v>62</v>
      </c>
      <c r="F164" s="134" t="s">
        <v>37</v>
      </c>
      <c r="G164" s="135">
        <v>100</v>
      </c>
      <c r="H164" s="171">
        <f>IF(OR(J164="",K164="",K164&lt;J164),0,NETWORKDAYS(J164,K164,fESTIVOS!$A$2:$A$53))</f>
        <v>4</v>
      </c>
      <c r="I164" s="158">
        <v>46104</v>
      </c>
      <c r="J164" s="159">
        <v>46104</v>
      </c>
      <c r="K164" s="159">
        <v>46109</v>
      </c>
      <c r="L164" s="159">
        <v>46109</v>
      </c>
      <c r="M164" s="172">
        <f ca="1">IF(OR(J164="",AND(L164="",TODAY()&lt;J164),AND(L164&lt;&gt;"",L164&lt;J164)),0,
   IF(L164="",
      NETWORKDAYS(J164,TODAY(),fESTIVOS!$A$2:$A$53),
      NETWORKDAYS(J164,L164,fESTIVOS!$A$2:$A$53)
   )
)</f>
        <v>4</v>
      </c>
      <c r="N164" s="115"/>
      <c r="O164" s="115"/>
      <c r="P164" s="116"/>
      <c r="Q164" s="160" t="s">
        <v>624</v>
      </c>
      <c r="R164" s="136" t="s">
        <v>38</v>
      </c>
      <c r="S164" s="153"/>
    </row>
    <row r="165" spans="1:19" ht="29.25" customHeight="1">
      <c r="A165" s="148" t="s">
        <v>59</v>
      </c>
      <c r="B165" s="124" t="s">
        <v>625</v>
      </c>
      <c r="C165" s="150" t="s">
        <v>626</v>
      </c>
      <c r="D165" s="150" t="s">
        <v>623</v>
      </c>
      <c r="E165" s="149" t="s">
        <v>62</v>
      </c>
      <c r="F165" s="134" t="s">
        <v>37</v>
      </c>
      <c r="G165" s="135">
        <v>100</v>
      </c>
      <c r="H165" s="171">
        <f>IF(OR(J165="",K165="",K165&lt;J165),0,NETWORKDAYS(J165,K165,fESTIVOS!$A$2:$A$53))</f>
        <v>8</v>
      </c>
      <c r="I165" s="158">
        <v>46110</v>
      </c>
      <c r="J165" s="159">
        <v>46110</v>
      </c>
      <c r="K165" s="159">
        <v>46122</v>
      </c>
      <c r="L165" s="159">
        <v>46122</v>
      </c>
      <c r="M165" s="172">
        <f ca="1">IF(OR(J165="",AND(L165="",TODAY()&lt;J165),AND(L165&lt;&gt;"",L165&lt;J165)),0,
   IF(L165="",
      NETWORKDAYS(J165,TODAY(),fESTIVOS!$A$2:$A$53),
      NETWORKDAYS(J165,L165,fESTIVOS!$A$2:$A$53)
   )
)</f>
        <v>8</v>
      </c>
      <c r="N165" s="115"/>
      <c r="O165" s="115"/>
      <c r="P165" s="116"/>
      <c r="Q165" s="160" t="s">
        <v>627</v>
      </c>
      <c r="R165" s="136" t="s">
        <v>38</v>
      </c>
      <c r="S165" s="153"/>
    </row>
    <row r="166" spans="1:19" ht="29.25" customHeight="1">
      <c r="A166" s="148" t="s">
        <v>59</v>
      </c>
      <c r="B166" s="149" t="s">
        <v>628</v>
      </c>
      <c r="C166" s="150" t="s">
        <v>629</v>
      </c>
      <c r="D166" s="157" t="s">
        <v>630</v>
      </c>
      <c r="E166" s="149" t="s">
        <v>126</v>
      </c>
      <c r="F166" s="152" t="s">
        <v>39</v>
      </c>
      <c r="G166" s="135">
        <v>30</v>
      </c>
      <c r="H166" s="70">
        <f>IF(OR(J166="",K166="",K166&lt;J166),0,NETWORKDAYS(J166,K166,fESTIVOS!$A$2:$A$53))</f>
        <v>0</v>
      </c>
      <c r="I166" s="158">
        <v>46105</v>
      </c>
      <c r="J166" s="159">
        <v>46105</v>
      </c>
      <c r="K166" s="159"/>
      <c r="L166" s="159"/>
      <c r="M166" s="25">
        <f ca="1">IF(OR(J166="",AND(L166="",TODAY()&lt;J166),AND(L166&lt;&gt;"",L166&lt;J166)),0,
   IF(L166="",
      NETWORKDAYS(J166,TODAY(),fESTIVOS!$A$2:$A$53),
      NETWORKDAYS(J166,L166,fESTIVOS!$A$2:$A$53)
   )
)</f>
        <v>61</v>
      </c>
      <c r="N166" s="115"/>
      <c r="O166" s="115"/>
      <c r="P166" s="116"/>
      <c r="Q166" s="160" t="s">
        <v>631</v>
      </c>
      <c r="R166" s="136" t="s">
        <v>38</v>
      </c>
      <c r="S166" s="153"/>
    </row>
    <row r="167" spans="1:19" ht="29.25" customHeight="1">
      <c r="A167" s="148" t="s">
        <v>59</v>
      </c>
      <c r="B167" s="149" t="s">
        <v>632</v>
      </c>
      <c r="C167" s="150" t="s">
        <v>633</v>
      </c>
      <c r="D167" s="157"/>
      <c r="E167" s="149" t="s">
        <v>126</v>
      </c>
      <c r="F167" s="152" t="s">
        <v>39</v>
      </c>
      <c r="G167" s="135">
        <v>70</v>
      </c>
      <c r="H167" s="70">
        <f>IF(OR(J167="",K167="",K167&lt;J167),0,NETWORKDAYS(J167,K167,fESTIVOS!$A$2:$A$53))</f>
        <v>0</v>
      </c>
      <c r="I167" s="158">
        <v>46113</v>
      </c>
      <c r="J167" s="159">
        <v>46113</v>
      </c>
      <c r="K167" s="159"/>
      <c r="L167" s="159"/>
      <c r="M167" s="25">
        <f ca="1">IF(OR(J167="",AND(L167="",TODAY()&lt;J167),AND(L167&lt;&gt;"",L167&lt;J167)),0,
   IF(L167="",
      NETWORKDAYS(J167,TODAY(),fESTIVOS!$A$2:$A$53),
      NETWORKDAYS(J167,L167,fESTIVOS!$A$2:$A$53)
   )
)</f>
        <v>55</v>
      </c>
      <c r="N167" s="115"/>
      <c r="O167" s="115"/>
      <c r="P167" s="116"/>
      <c r="Q167" s="160" t="s">
        <v>634</v>
      </c>
      <c r="R167" s="136" t="s">
        <v>38</v>
      </c>
      <c r="S167" s="153"/>
    </row>
    <row r="168" spans="1:19" ht="29.25" customHeight="1">
      <c r="A168" s="148" t="s">
        <v>59</v>
      </c>
      <c r="B168" s="149" t="s">
        <v>635</v>
      </c>
      <c r="C168" s="150" t="s">
        <v>636</v>
      </c>
      <c r="D168" s="157" t="s">
        <v>637</v>
      </c>
      <c r="E168" s="149" t="s">
        <v>126</v>
      </c>
      <c r="F168" s="152" t="s">
        <v>37</v>
      </c>
      <c r="G168" s="135">
        <v>100</v>
      </c>
      <c r="H168" s="70">
        <f>IF(OR(J168="",K168="",K168&lt;J168),0,NETWORKDAYS(J168,K168,fESTIVOS!$A$2:$A$53))</f>
        <v>7</v>
      </c>
      <c r="I168" s="158">
        <v>46102</v>
      </c>
      <c r="J168" s="159">
        <v>46102</v>
      </c>
      <c r="K168" s="159">
        <v>46113</v>
      </c>
      <c r="L168" s="159">
        <v>46113</v>
      </c>
      <c r="M168" s="25">
        <f ca="1">IF(OR(J168="",AND(L168="",TODAY()&lt;J168),AND(L168&lt;&gt;"",L168&lt;J168)),0,
   IF(L168="",
      NETWORKDAYS(J168,TODAY(),fESTIVOS!$A$2:$A$53),
      NETWORKDAYS(J168,L168,fESTIVOS!$A$2:$A$53)
   )
)</f>
        <v>7</v>
      </c>
      <c r="N168" s="115"/>
      <c r="O168" s="115"/>
      <c r="P168" s="116"/>
      <c r="Q168" s="160" t="s">
        <v>638</v>
      </c>
      <c r="R168" s="136" t="s">
        <v>38</v>
      </c>
      <c r="S168" s="153"/>
    </row>
    <row r="169" spans="1:19" ht="29.25" customHeight="1">
      <c r="A169" s="148" t="s">
        <v>59</v>
      </c>
      <c r="B169" s="124" t="s">
        <v>639</v>
      </c>
      <c r="C169" s="150" t="s">
        <v>640</v>
      </c>
      <c r="D169" s="150" t="s">
        <v>641</v>
      </c>
      <c r="E169" s="149" t="s">
        <v>62</v>
      </c>
      <c r="F169" s="134" t="s">
        <v>37</v>
      </c>
      <c r="G169" s="135">
        <v>100</v>
      </c>
      <c r="H169" s="171">
        <f>IF(OR(J169="",K169="",K169&lt;J169),0,NETWORKDAYS(J169,K169,fESTIVOS!$A$2:$A$53))</f>
        <v>8</v>
      </c>
      <c r="I169" s="158">
        <v>46118</v>
      </c>
      <c r="J169" s="159">
        <v>46118</v>
      </c>
      <c r="K169" s="159">
        <v>46127</v>
      </c>
      <c r="L169" s="159">
        <v>46127</v>
      </c>
      <c r="M169" s="172">
        <f ca="1">IF(OR(J169="",AND(L169="",TODAY()&lt;J169),AND(L169&lt;&gt;"",L169&lt;J169)),0,
   IF(L169="",
      NETWORKDAYS(J169,TODAY(),fESTIVOS!$A$2:$A$53),
      NETWORKDAYS(J169,L169,fESTIVOS!$A$2:$A$53)
   )
)</f>
        <v>8</v>
      </c>
      <c r="N169" s="115"/>
      <c r="O169" s="115"/>
      <c r="P169" s="116"/>
      <c r="Q169" s="160" t="s">
        <v>642</v>
      </c>
      <c r="R169" s="136" t="s">
        <v>38</v>
      </c>
      <c r="S169" s="153"/>
    </row>
    <row r="170" spans="1:19" ht="29.25" customHeight="1">
      <c r="A170" s="148" t="s">
        <v>59</v>
      </c>
      <c r="B170" s="124" t="s">
        <v>643</v>
      </c>
      <c r="C170" s="150" t="s">
        <v>640</v>
      </c>
      <c r="D170" s="150" t="s">
        <v>644</v>
      </c>
      <c r="E170" s="149" t="s">
        <v>62</v>
      </c>
      <c r="F170" s="134" t="s">
        <v>37</v>
      </c>
      <c r="G170" s="135">
        <v>100</v>
      </c>
      <c r="H170" s="171">
        <f>IF(OR(J170="",K170="",K170&lt;J170),0,NETWORKDAYS(J170,K170,fESTIVOS!$A$2:$A$53))</f>
        <v>19</v>
      </c>
      <c r="I170" s="158">
        <v>46119</v>
      </c>
      <c r="J170" s="159">
        <v>46119</v>
      </c>
      <c r="K170" s="159">
        <v>46146</v>
      </c>
      <c r="L170" s="159">
        <v>46146</v>
      </c>
      <c r="M170" s="172">
        <f ca="1">IF(OR(J170="",AND(L170="",TODAY()&lt;J170),AND(L170&lt;&gt;"",L170&lt;J170)),0,
   IF(L170="",
      NETWORKDAYS(J170,TODAY(),fESTIVOS!$A$2:$A$53),
      NETWORKDAYS(J170,L170,fESTIVOS!$A$2:$A$53)
   )
)</f>
        <v>19</v>
      </c>
      <c r="N170" s="115"/>
      <c r="O170" s="115"/>
      <c r="P170" s="116"/>
      <c r="Q170" s="160" t="s">
        <v>645</v>
      </c>
      <c r="R170" s="136" t="s">
        <v>38</v>
      </c>
      <c r="S170" s="153"/>
    </row>
    <row r="171" spans="1:19" ht="29.25" customHeight="1">
      <c r="A171" s="148" t="s">
        <v>59</v>
      </c>
      <c r="B171" s="124" t="s">
        <v>646</v>
      </c>
      <c r="C171" s="150" t="s">
        <v>647</v>
      </c>
      <c r="D171" s="150" t="s">
        <v>648</v>
      </c>
      <c r="E171" s="149" t="s">
        <v>62</v>
      </c>
      <c r="F171" s="134" t="s">
        <v>37</v>
      </c>
      <c r="G171" s="135">
        <v>100</v>
      </c>
      <c r="H171" s="171">
        <f>IF(OR(J171="",K171="",K171&lt;J171),0,NETWORKDAYS(J171,K171,fESTIVOS!$A$2:$A$53))</f>
        <v>20</v>
      </c>
      <c r="I171" s="158">
        <v>46123</v>
      </c>
      <c r="J171" s="159">
        <v>46123</v>
      </c>
      <c r="K171" s="159">
        <v>46153</v>
      </c>
      <c r="L171" s="159">
        <v>46153</v>
      </c>
      <c r="M171" s="172">
        <f ca="1">IF(OR(J171="",AND(L171="",TODAY()&lt;J171),AND(L171&lt;&gt;"",L171&lt;J171)),0,
   IF(L171="",
      NETWORKDAYS(J171,TODAY(),fESTIVOS!$A$2:$A$53),
      NETWORKDAYS(J171,L171,fESTIVOS!$A$2:$A$53)
   )
)</f>
        <v>20</v>
      </c>
      <c r="N171" s="115"/>
      <c r="O171" s="115"/>
      <c r="P171" s="116"/>
      <c r="Q171" s="160" t="s">
        <v>649</v>
      </c>
      <c r="R171" s="136" t="s">
        <v>38</v>
      </c>
      <c r="S171" s="153"/>
    </row>
    <row r="172" spans="1:19" ht="29.25" customHeight="1">
      <c r="A172" s="174" t="s">
        <v>59</v>
      </c>
      <c r="B172" s="149" t="s">
        <v>650</v>
      </c>
      <c r="C172" s="150" t="s">
        <v>651</v>
      </c>
      <c r="D172" s="157" t="s">
        <v>652</v>
      </c>
      <c r="E172" s="149" t="s">
        <v>126</v>
      </c>
      <c r="F172" s="152" t="s">
        <v>37</v>
      </c>
      <c r="G172" s="135">
        <v>100</v>
      </c>
      <c r="H172" s="70">
        <f>IF(OR(J172="",K172="",K172&lt;J172),0,NETWORKDAYS(J172,K172,fESTIVOS!$A$2:$A$53))</f>
        <v>3</v>
      </c>
      <c r="I172" s="158">
        <v>46125</v>
      </c>
      <c r="J172" s="159">
        <v>46125</v>
      </c>
      <c r="K172" s="159">
        <v>46127</v>
      </c>
      <c r="L172" s="159">
        <v>46127</v>
      </c>
      <c r="M172" s="25">
        <f ca="1">IF(OR(J172="",AND(L172="",TODAY()&lt;J172),AND(L172&lt;&gt;"",L172&lt;J172)),0,
   IF(L172="",
      NETWORKDAYS(J172,TODAY(),fESTIVOS!$A$2:$A$53),
      NETWORKDAYS(J172,L172,fESTIVOS!$A$2:$A$53)
   )
)</f>
        <v>3</v>
      </c>
      <c r="N172" s="115"/>
      <c r="O172" s="115"/>
      <c r="P172" s="116"/>
      <c r="Q172" s="160" t="s">
        <v>653</v>
      </c>
      <c r="R172" s="136" t="s">
        <v>38</v>
      </c>
      <c r="S172" s="153"/>
    </row>
    <row r="173" spans="1:19" ht="29.25" customHeight="1">
      <c r="A173" s="148" t="s">
        <v>59</v>
      </c>
      <c r="B173" s="124" t="s">
        <v>654</v>
      </c>
      <c r="C173" s="150" t="s">
        <v>655</v>
      </c>
      <c r="D173" s="150" t="s">
        <v>656</v>
      </c>
      <c r="E173" s="149" t="s">
        <v>62</v>
      </c>
      <c r="F173" s="134" t="s">
        <v>37</v>
      </c>
      <c r="G173" s="135">
        <v>100</v>
      </c>
      <c r="H173" s="171">
        <f>IF(OR(J173="",K173="",K173&lt;J173),0,NETWORKDAYS(J173,K173,fESTIVOS!$A$2:$A$53))</f>
        <v>15</v>
      </c>
      <c r="I173" s="158">
        <v>46128</v>
      </c>
      <c r="J173" s="159">
        <v>46128</v>
      </c>
      <c r="K173" s="159">
        <v>46149</v>
      </c>
      <c r="L173" s="159">
        <v>46149</v>
      </c>
      <c r="M173" s="172">
        <f ca="1">IF(OR(J173="",AND(L173="",TODAY()&lt;J173),AND(L173&lt;&gt;"",L173&lt;J173)),0,
   IF(L173="",
      NETWORKDAYS(J173,TODAY(),fESTIVOS!$A$2:$A$53),
      NETWORKDAYS(J173,L173,fESTIVOS!$A$2:$A$53)
   )
)</f>
        <v>15</v>
      </c>
      <c r="N173" s="115"/>
      <c r="O173" s="115"/>
      <c r="P173" s="116"/>
      <c r="Q173" s="160" t="s">
        <v>657</v>
      </c>
      <c r="R173" s="136" t="s">
        <v>38</v>
      </c>
      <c r="S173" s="153"/>
    </row>
    <row r="174" spans="1:19" ht="29.25" customHeight="1">
      <c r="A174" s="148" t="s">
        <v>59</v>
      </c>
      <c r="B174" s="149" t="s">
        <v>658</v>
      </c>
      <c r="C174" s="150" t="s">
        <v>619</v>
      </c>
      <c r="D174" s="150" t="s">
        <v>659</v>
      </c>
      <c r="E174" s="151" t="s">
        <v>143</v>
      </c>
      <c r="F174" s="134" t="s">
        <v>37</v>
      </c>
      <c r="G174" s="135">
        <v>100</v>
      </c>
      <c r="H174" s="171">
        <f>IF(OR(J174="",K174="",K174&lt;J174),0,NETWORKDAYS(J174,K174,fESTIVOS!$A$2:$A$53))</f>
        <v>2</v>
      </c>
      <c r="I174" s="158">
        <v>46130</v>
      </c>
      <c r="J174" s="159">
        <v>46130</v>
      </c>
      <c r="K174" s="159">
        <v>46133</v>
      </c>
      <c r="L174" s="159">
        <v>46133</v>
      </c>
      <c r="M174" s="172">
        <f ca="1">IF(OR(J174="",AND(L174="",TODAY()&lt;J174),AND(L174&lt;&gt;"",L174&lt;J174)),0,
   IF(L174="",
      NETWORKDAYS(J174,TODAY(),fESTIVOS!$A$2:$A$53),
      NETWORKDAYS(J174,L174,fESTIVOS!$A$2:$A$53)
   )
)</f>
        <v>2</v>
      </c>
      <c r="N174" s="115"/>
      <c r="O174" s="115"/>
      <c r="P174" s="116"/>
      <c r="Q174" s="160" t="s">
        <v>660</v>
      </c>
      <c r="R174" s="136" t="s">
        <v>38</v>
      </c>
      <c r="S174" s="153"/>
    </row>
    <row r="175" spans="1:19" ht="29.25" customHeight="1">
      <c r="A175" s="139" t="s">
        <v>59</v>
      </c>
      <c r="B175" s="124" t="s">
        <v>661</v>
      </c>
      <c r="C175" s="161" t="s">
        <v>619</v>
      </c>
      <c r="D175" s="175" t="s">
        <v>662</v>
      </c>
      <c r="E175" s="110" t="s">
        <v>143</v>
      </c>
      <c r="F175" s="163" t="s">
        <v>37</v>
      </c>
      <c r="G175" s="142">
        <v>100</v>
      </c>
      <c r="H175" s="176">
        <f>IF(OR(J175="",K175="",K175&lt;J175),0,NETWORKDAYS(J175,K175,fESTIVOS!$A$2:$A$53))</f>
        <v>13</v>
      </c>
      <c r="I175" s="146">
        <v>46131</v>
      </c>
      <c r="J175" s="121">
        <v>46131</v>
      </c>
      <c r="K175" s="121">
        <v>46149</v>
      </c>
      <c r="L175" s="121">
        <v>46149</v>
      </c>
      <c r="M175" s="177">
        <f ca="1">IF(OR(J175="",AND(L175="",TODAY()&lt;J175),AND(L175&lt;&gt;"",L175&lt;J175)),0,
   IF(L175="",
      NETWORKDAYS(J175,TODAY(),fESTIVOS!$A$2:$A$53),
      NETWORKDAYS(J175,L175,fESTIVOS!$A$2:$A$53)
   )
)</f>
        <v>13</v>
      </c>
      <c r="N175" s="143"/>
      <c r="O175" s="143"/>
      <c r="P175" s="144"/>
      <c r="Q175" s="122" t="s">
        <v>663</v>
      </c>
      <c r="R175" s="118" t="s">
        <v>38</v>
      </c>
      <c r="S175" s="119"/>
    </row>
    <row r="176" spans="1:19" ht="29.25" customHeight="1">
      <c r="A176" s="174" t="s">
        <v>59</v>
      </c>
      <c r="B176" s="149" t="s">
        <v>664</v>
      </c>
      <c r="C176" s="150" t="s">
        <v>665</v>
      </c>
      <c r="D176" s="157" t="s">
        <v>666</v>
      </c>
      <c r="E176" s="151" t="s">
        <v>126</v>
      </c>
      <c r="F176" s="137" t="s">
        <v>37</v>
      </c>
      <c r="G176" s="138">
        <v>100</v>
      </c>
      <c r="H176" s="171">
        <f>IF(OR(J176="",K176="",K176&lt;J176),0,NETWORKDAYS(J176,K176,fESTIVOS!$A$2:$A$53))</f>
        <v>1</v>
      </c>
      <c r="I176" s="158">
        <v>46130</v>
      </c>
      <c r="J176" s="159">
        <v>46130</v>
      </c>
      <c r="K176" s="159">
        <v>46132</v>
      </c>
      <c r="L176" s="159">
        <v>46132</v>
      </c>
      <c r="M176" s="172">
        <f ca="1">IF(OR(J176="",AND(L176="",TODAY()&lt;J176),AND(L176&lt;&gt;"",L176&lt;J176)),0,
   IF(L176="",
      NETWORKDAYS(J176,TODAY(),fESTIVOS!$A$2:$A$53),
      NETWORKDAYS(J176,L176,fESTIVOS!$A$2:$A$53)
   )
)</f>
        <v>1</v>
      </c>
      <c r="N176" s="115"/>
      <c r="O176" s="115"/>
      <c r="P176" s="116"/>
      <c r="Q176" s="160" t="s">
        <v>667</v>
      </c>
      <c r="R176" s="136" t="s">
        <v>38</v>
      </c>
      <c r="S176" s="153"/>
    </row>
    <row r="177" spans="1:19" ht="29.25" customHeight="1">
      <c r="A177" s="148" t="s">
        <v>59</v>
      </c>
      <c r="B177" s="124" t="s">
        <v>668</v>
      </c>
      <c r="C177" s="150" t="s">
        <v>669</v>
      </c>
      <c r="D177" s="150" t="s">
        <v>670</v>
      </c>
      <c r="E177" s="149" t="s">
        <v>62</v>
      </c>
      <c r="F177" s="134" t="s">
        <v>37</v>
      </c>
      <c r="G177" s="135">
        <v>100</v>
      </c>
      <c r="H177" s="171">
        <f>IF(OR(J177="",K177="",K177&lt;J177),0,NETWORKDAYS(J177,K177,fESTIVOS!$A$2:$A$53))</f>
        <v>10</v>
      </c>
      <c r="I177" s="158">
        <v>46135</v>
      </c>
      <c r="J177" s="159">
        <v>46135</v>
      </c>
      <c r="K177" s="159">
        <v>46149</v>
      </c>
      <c r="L177" s="159">
        <v>46149</v>
      </c>
      <c r="M177" s="172">
        <f ca="1">IF(OR(J177="",AND(L177="",TODAY()&lt;J177),AND(L177&lt;&gt;"",L177&lt;J177)),0,
   IF(L177="",
      NETWORKDAYS(J177,TODAY(),fESTIVOS!$A$2:$A$53),
      NETWORKDAYS(J177,L177,fESTIVOS!$A$2:$A$53)
   )
)</f>
        <v>10</v>
      </c>
      <c r="N177" s="115"/>
      <c r="O177" s="115"/>
      <c r="P177" s="116"/>
      <c r="Q177" s="160" t="s">
        <v>671</v>
      </c>
      <c r="R177" s="136" t="s">
        <v>38</v>
      </c>
      <c r="S177" s="153"/>
    </row>
    <row r="178" spans="1:19" ht="29.25" customHeight="1">
      <c r="A178" s="148" t="s">
        <v>59</v>
      </c>
      <c r="B178" s="124" t="s">
        <v>672</v>
      </c>
      <c r="C178" s="150" t="s">
        <v>673</v>
      </c>
      <c r="D178" s="150" t="s">
        <v>674</v>
      </c>
      <c r="E178" s="149" t="s">
        <v>62</v>
      </c>
      <c r="F178" s="134" t="s">
        <v>37</v>
      </c>
      <c r="G178" s="135">
        <v>100</v>
      </c>
      <c r="H178" s="171">
        <f>IF(OR(J178="",K178="",K178&lt;J178),0,NETWORKDAYS(J178,K178,fESTIVOS!$A$2:$A$53))</f>
        <v>10</v>
      </c>
      <c r="I178" s="158">
        <v>46135</v>
      </c>
      <c r="J178" s="159">
        <v>46135</v>
      </c>
      <c r="K178" s="159">
        <v>46149</v>
      </c>
      <c r="L178" s="159">
        <v>46149</v>
      </c>
      <c r="M178" s="172">
        <f ca="1">IF(OR(J178="",AND(L178="",TODAY()&lt;J178),AND(L178&lt;&gt;"",L178&lt;J178)),0,
   IF(L178="",
      NETWORKDAYS(J178,TODAY(),fESTIVOS!$A$2:$A$53),
      NETWORKDAYS(J178,L178,fESTIVOS!$A$2:$A$53)
   )
)</f>
        <v>10</v>
      </c>
      <c r="N178" s="115"/>
      <c r="O178" s="115"/>
      <c r="P178" s="116"/>
      <c r="Q178" s="160" t="s">
        <v>675</v>
      </c>
      <c r="R178" s="136" t="s">
        <v>38</v>
      </c>
      <c r="S178" s="153"/>
    </row>
    <row r="179" spans="1:19" ht="29.25" customHeight="1">
      <c r="A179" s="139" t="s">
        <v>59</v>
      </c>
      <c r="B179" s="124" t="s">
        <v>676</v>
      </c>
      <c r="C179" s="140" t="s">
        <v>677</v>
      </c>
      <c r="D179" s="175" t="s">
        <v>678</v>
      </c>
      <c r="E179" s="110" t="s">
        <v>143</v>
      </c>
      <c r="F179" s="163" t="s">
        <v>39</v>
      </c>
      <c r="G179" s="142">
        <v>85</v>
      </c>
      <c r="H179" s="176">
        <f>IF(OR(J179="",K179="",K179&lt;J179),0,NETWORKDAYS(J179,K179,fESTIVOS!$A$2:$A$53))</f>
        <v>0</v>
      </c>
      <c r="I179" s="158">
        <v>46135</v>
      </c>
      <c r="J179" s="159">
        <v>46135</v>
      </c>
      <c r="K179" s="159"/>
      <c r="L179" s="159"/>
      <c r="M179" s="177">
        <f ca="1">IF(OR(J179="",AND(L179="",TODAY()&lt;J179),AND(L179&lt;&gt;"",L179&lt;J179)),0,
   IF(L179="",
      NETWORKDAYS(J179,TODAY(),fESTIVOS!$A$2:$A$53),
      NETWORKDAYS(J179,L179,fESTIVOS!$A$2:$A$53)
   )
)</f>
        <v>41</v>
      </c>
      <c r="N179" s="143"/>
      <c r="O179" s="143"/>
      <c r="P179" s="144"/>
      <c r="Q179" s="160" t="s">
        <v>679</v>
      </c>
      <c r="R179" s="118" t="s">
        <v>38</v>
      </c>
      <c r="S179" s="119"/>
    </row>
    <row r="180" spans="1:19" ht="29.25" customHeight="1">
      <c r="A180" s="174" t="s">
        <v>59</v>
      </c>
      <c r="B180" s="149" t="s">
        <v>680</v>
      </c>
      <c r="C180" s="150" t="s">
        <v>681</v>
      </c>
      <c r="D180" s="157" t="s">
        <v>682</v>
      </c>
      <c r="E180" s="151" t="s">
        <v>126</v>
      </c>
      <c r="F180" s="137" t="s">
        <v>37</v>
      </c>
      <c r="G180" s="138">
        <v>100</v>
      </c>
      <c r="H180" s="171">
        <f>IF(OR(J180="",K180="",K180&lt;J180),0,NETWORKDAYS(J180,K180,fESTIVOS!$A$2:$A$53))</f>
        <v>10</v>
      </c>
      <c r="I180" s="158">
        <v>46135</v>
      </c>
      <c r="J180" s="159">
        <v>46135</v>
      </c>
      <c r="K180" s="159">
        <v>46149</v>
      </c>
      <c r="L180" s="159">
        <v>46149</v>
      </c>
      <c r="M180" s="172">
        <f ca="1">IF(OR(J180="",AND(L180="",TODAY()&lt;J180),AND(L180&lt;&gt;"",L180&lt;J180)),0,
   IF(L180="",
      NETWORKDAYS(J180,TODAY(),fESTIVOS!$A$2:$A$53),
      NETWORKDAYS(J180,L180,fESTIVOS!$A$2:$A$53)
   )
)</f>
        <v>10</v>
      </c>
      <c r="N180" s="115"/>
      <c r="O180" s="115"/>
      <c r="P180" s="116"/>
      <c r="Q180" s="160" t="s">
        <v>683</v>
      </c>
      <c r="R180" s="136" t="s">
        <v>38</v>
      </c>
      <c r="S180" s="153"/>
    </row>
    <row r="181" spans="1:19" ht="29.25" customHeight="1">
      <c r="A181" s="10" t="s">
        <v>59</v>
      </c>
      <c r="B181" s="81" t="s">
        <v>684</v>
      </c>
      <c r="C181" s="58" t="s">
        <v>685</v>
      </c>
      <c r="D181" s="147" t="s">
        <v>686</v>
      </c>
      <c r="E181" s="83" t="s">
        <v>80</v>
      </c>
      <c r="F181" s="12" t="s">
        <v>37</v>
      </c>
      <c r="G181" s="32">
        <v>100</v>
      </c>
      <c r="H181" s="70">
        <f>IF(OR(J181="",K181="",K181&lt;J181),0,NETWORKDAYS(J181,K181,fESTIVOS!$A$2:$A$53))</f>
        <v>10</v>
      </c>
      <c r="I181" s="158">
        <v>46135</v>
      </c>
      <c r="J181" s="159">
        <v>46135</v>
      </c>
      <c r="K181" s="159">
        <v>46149</v>
      </c>
      <c r="L181" s="159">
        <v>46149</v>
      </c>
      <c r="M181" s="25">
        <f ca="1">IF(OR(J181="",AND(L181="",TODAY()&lt;J181),AND(L181&lt;&gt;"",L181&lt;J181)),0,
   IF(L181="",
      NETWORKDAYS(J181,TODAY(),fESTIVOS!$A$2:$A$53),
      NETWORKDAYS(J181,L181,fESTIVOS!$A$2:$A$53)
   )
)</f>
        <v>10</v>
      </c>
      <c r="N181" s="85"/>
      <c r="O181" s="85"/>
      <c r="P181" s="72"/>
      <c r="Q181" s="160" t="s">
        <v>687</v>
      </c>
      <c r="R181" s="74" t="s">
        <v>38</v>
      </c>
      <c r="S181" s="29" t="s">
        <v>98</v>
      </c>
    </row>
    <row r="182" spans="1:19" ht="29.25" customHeight="1">
      <c r="A182" s="10" t="s">
        <v>688</v>
      </c>
      <c r="B182" s="81" t="s">
        <v>689</v>
      </c>
      <c r="C182" s="58" t="s">
        <v>685</v>
      </c>
      <c r="D182" s="147" t="s">
        <v>690</v>
      </c>
      <c r="E182" s="83" t="s">
        <v>80</v>
      </c>
      <c r="F182" s="12" t="s">
        <v>37</v>
      </c>
      <c r="G182" s="32">
        <v>100</v>
      </c>
      <c r="H182" s="70">
        <f>IF(OR(J182="",K182="",K182&lt;J182),0,NETWORKDAYS(J182,K182,fESTIVOS!$A$2:$A$53))</f>
        <v>10</v>
      </c>
      <c r="I182" s="158">
        <v>46135</v>
      </c>
      <c r="J182" s="159">
        <v>46135</v>
      </c>
      <c r="K182" s="159">
        <v>46149</v>
      </c>
      <c r="L182" s="159">
        <v>46149</v>
      </c>
      <c r="M182" s="25">
        <f ca="1">IF(OR(J182="",AND(L182="",TODAY()&lt;J182),AND(L182&lt;&gt;"",L182&lt;J182)),0,
   IF(L182="",
      NETWORKDAYS(J182,TODAY(),fESTIVOS!$A$2:$A$53),
      NETWORKDAYS(J182,L182,fESTIVOS!$A$2:$A$53)
   )
)</f>
        <v>10</v>
      </c>
      <c r="N182" s="85"/>
      <c r="O182" s="85"/>
      <c r="P182" s="72"/>
      <c r="Q182" s="160" t="s">
        <v>691</v>
      </c>
      <c r="R182" s="74" t="s">
        <v>38</v>
      </c>
      <c r="S182" s="29" t="s">
        <v>98</v>
      </c>
    </row>
    <row r="183" spans="1:19" ht="29.25" customHeight="1">
      <c r="A183" s="139" t="s">
        <v>59</v>
      </c>
      <c r="B183" s="124" t="s">
        <v>692</v>
      </c>
      <c r="C183" s="140" t="s">
        <v>693</v>
      </c>
      <c r="D183" s="175" t="s">
        <v>694</v>
      </c>
      <c r="E183" s="110" t="s">
        <v>143</v>
      </c>
      <c r="F183" s="163" t="s">
        <v>37</v>
      </c>
      <c r="G183" s="142">
        <v>100</v>
      </c>
      <c r="H183" s="176">
        <f>IF(OR(J183="",K183="",K183&lt;J183),0,NETWORKDAYS(J183,K183,fESTIVOS!$A$2:$A$53))</f>
        <v>7</v>
      </c>
      <c r="I183" s="158">
        <v>46149</v>
      </c>
      <c r="J183" s="159">
        <v>46149</v>
      </c>
      <c r="K183" s="159">
        <v>46157</v>
      </c>
      <c r="L183" s="159">
        <v>46157</v>
      </c>
      <c r="M183" s="177">
        <f ca="1">IF(OR(J183="",AND(L183="",TODAY()&lt;J183),AND(L183&lt;&gt;"",L183&lt;J183)),0,
   IF(L183="",
      NETWORKDAYS(J183,TODAY(),fESTIVOS!$A$2:$A$53),
      NETWORKDAYS(J183,L183,fESTIVOS!$A$2:$A$53)
   )
)</f>
        <v>7</v>
      </c>
      <c r="N183" s="143"/>
      <c r="O183" s="143"/>
      <c r="P183" s="144"/>
      <c r="Q183" s="160" t="s">
        <v>695</v>
      </c>
      <c r="R183" s="118" t="s">
        <v>38</v>
      </c>
      <c r="S183" s="119"/>
    </row>
    <row r="184" spans="1:19" ht="29.25" customHeight="1">
      <c r="A184" s="148" t="s">
        <v>59</v>
      </c>
      <c r="B184" s="124" t="s">
        <v>696</v>
      </c>
      <c r="C184" s="150" t="s">
        <v>697</v>
      </c>
      <c r="D184" s="150" t="s">
        <v>698</v>
      </c>
      <c r="E184" s="149" t="s">
        <v>62</v>
      </c>
      <c r="F184" s="134" t="s">
        <v>37</v>
      </c>
      <c r="G184" s="135">
        <v>100</v>
      </c>
      <c r="H184" s="171">
        <f>IF(OR(J184="",K184="",K184&lt;J184),0,NETWORKDAYS(J184,K184,fESTIVOS!$A$2:$A$53))</f>
        <v>7</v>
      </c>
      <c r="I184" s="158">
        <v>46149</v>
      </c>
      <c r="J184" s="159">
        <v>46149</v>
      </c>
      <c r="K184" s="159">
        <v>46157</v>
      </c>
      <c r="L184" s="159">
        <v>46157</v>
      </c>
      <c r="M184" s="172">
        <f ca="1">IF(OR(J184="",AND(L184="",TODAY()&lt;J184),AND(L184&lt;&gt;"",L184&lt;J184)),0,
   IF(L184="",
      NETWORKDAYS(J184,TODAY(),fESTIVOS!$A$2:$A$53),
      NETWORKDAYS(J184,L184,fESTIVOS!$A$2:$A$53)
   )
)</f>
        <v>7</v>
      </c>
      <c r="N184" s="115"/>
      <c r="O184" s="115"/>
      <c r="P184" s="116"/>
      <c r="Q184" s="160" t="s">
        <v>699</v>
      </c>
      <c r="R184" s="136" t="s">
        <v>38</v>
      </c>
      <c r="S184" s="153"/>
    </row>
    <row r="185" spans="1:19" ht="29.25" customHeight="1">
      <c r="A185" s="174" t="s">
        <v>59</v>
      </c>
      <c r="B185" s="149" t="s">
        <v>700</v>
      </c>
      <c r="C185" s="150" t="s">
        <v>701</v>
      </c>
      <c r="D185" s="157" t="s">
        <v>702</v>
      </c>
      <c r="E185" s="151" t="s">
        <v>126</v>
      </c>
      <c r="F185" s="137" t="s">
        <v>37</v>
      </c>
      <c r="G185" s="138">
        <v>100</v>
      </c>
      <c r="H185" s="171">
        <f>IF(OR(J185="",K185="",K185&lt;J185),0,NETWORKDAYS(J185,K185,fESTIVOS!$A$2:$A$53))</f>
        <v>7</v>
      </c>
      <c r="I185" s="158">
        <v>46149</v>
      </c>
      <c r="J185" s="159">
        <v>46149</v>
      </c>
      <c r="K185" s="159">
        <v>46158</v>
      </c>
      <c r="L185" s="159">
        <v>46158</v>
      </c>
      <c r="M185" s="172">
        <f ca="1">IF(OR(J185="",AND(L185="",TODAY()&lt;J185),AND(L185&lt;&gt;"",L185&lt;J185)),0,
   IF(L185="",
      NETWORKDAYS(J185,TODAY(),fESTIVOS!$A$2:$A$53),
      NETWORKDAYS(J185,L185,fESTIVOS!$A$2:$A$53)
   )
)</f>
        <v>7</v>
      </c>
      <c r="N185" s="115"/>
      <c r="O185" s="115"/>
      <c r="P185" s="116"/>
      <c r="Q185" s="160" t="s">
        <v>703</v>
      </c>
      <c r="R185" s="136" t="s">
        <v>38</v>
      </c>
      <c r="S185" s="153"/>
    </row>
    <row r="186" spans="1:19" ht="29.25" customHeight="1">
      <c r="A186" s="148" t="s">
        <v>59</v>
      </c>
      <c r="B186" s="124" t="s">
        <v>704</v>
      </c>
      <c r="C186" s="150" t="s">
        <v>705</v>
      </c>
      <c r="D186" s="150" t="s">
        <v>706</v>
      </c>
      <c r="E186" s="149" t="s">
        <v>62</v>
      </c>
      <c r="F186" s="134" t="s">
        <v>37</v>
      </c>
      <c r="G186" s="135">
        <v>100</v>
      </c>
      <c r="H186" s="171">
        <f>IF(OR(J186="",K186="",K186&lt;J186),0,NETWORKDAYS(J186,K186,fESTIVOS!$A$2:$A$53))</f>
        <v>14</v>
      </c>
      <c r="I186" s="158">
        <v>46158</v>
      </c>
      <c r="J186" s="159">
        <v>46158</v>
      </c>
      <c r="K186" s="159">
        <v>46179</v>
      </c>
      <c r="L186" s="159">
        <v>46179</v>
      </c>
      <c r="M186" s="172">
        <f ca="1">IF(OR(J186="",AND(L186="",TODAY()&lt;J186),AND(L186&lt;&gt;"",L186&lt;J186)),0,
   IF(L186="",
      NETWORKDAYS(J186,TODAY(),fESTIVOS!$A$2:$A$53),
      NETWORKDAYS(J186,L186,fESTIVOS!$A$2:$A$53)
   )
)</f>
        <v>14</v>
      </c>
      <c r="N186" s="115"/>
      <c r="O186" s="115"/>
      <c r="P186" s="116"/>
      <c r="Q186" s="160" t="s">
        <v>707</v>
      </c>
      <c r="R186" s="136" t="s">
        <v>38</v>
      </c>
      <c r="S186" s="153"/>
    </row>
    <row r="187" spans="1:19" ht="29.25" customHeight="1">
      <c r="A187" s="139" t="s">
        <v>59</v>
      </c>
      <c r="B187" s="124" t="s">
        <v>708</v>
      </c>
      <c r="C187" s="140" t="s">
        <v>709</v>
      </c>
      <c r="D187" s="175" t="s">
        <v>710</v>
      </c>
      <c r="E187" s="110" t="s">
        <v>143</v>
      </c>
      <c r="F187" s="163" t="s">
        <v>37</v>
      </c>
      <c r="G187" s="142">
        <v>100</v>
      </c>
      <c r="H187" s="176">
        <f>IF(OR(J187="",K187="",K187&lt;J187),0,NETWORKDAYS(J187,K187,fESTIVOS!$A$2:$A$53))</f>
        <v>2</v>
      </c>
      <c r="I187" s="158">
        <v>46160</v>
      </c>
      <c r="J187" s="159">
        <v>46160</v>
      </c>
      <c r="K187" s="159">
        <v>46162</v>
      </c>
      <c r="L187" s="159">
        <v>46162</v>
      </c>
      <c r="M187" s="177">
        <f ca="1">IF(OR(J187="",AND(L187="",TODAY()&lt;J187),AND(L187&lt;&gt;"",L187&lt;J187)),0,
   IF(L187="",
      NETWORKDAYS(J187,TODAY(),fESTIVOS!$A$2:$A$53),
      NETWORKDAYS(J187,L187,fESTIVOS!$A$2:$A$53)
   )
)</f>
        <v>2</v>
      </c>
      <c r="N187" s="143"/>
      <c r="O187" s="143"/>
      <c r="P187" s="144"/>
      <c r="Q187" s="160" t="s">
        <v>711</v>
      </c>
      <c r="R187" s="118" t="s">
        <v>38</v>
      </c>
      <c r="S187" s="119"/>
    </row>
    <row r="188" spans="1:19" ht="29.25" customHeight="1">
      <c r="A188" s="139" t="s">
        <v>59</v>
      </c>
      <c r="B188" s="124" t="s">
        <v>712</v>
      </c>
      <c r="C188" s="140" t="s">
        <v>713</v>
      </c>
      <c r="D188" s="156" t="s">
        <v>714</v>
      </c>
      <c r="E188" s="110" t="s">
        <v>143</v>
      </c>
      <c r="F188" s="154" t="s">
        <v>37</v>
      </c>
      <c r="G188" s="155">
        <v>100</v>
      </c>
      <c r="H188" s="176">
        <f>IF(OR(J188="",K188="",K188&lt;J188),0,NETWORKDAYS(J188,K188,fESTIVOS!$A$2:$A$53))</f>
        <v>4</v>
      </c>
      <c r="I188" s="146">
        <v>46161</v>
      </c>
      <c r="J188" s="121">
        <v>46161</v>
      </c>
      <c r="K188" s="121">
        <v>46164</v>
      </c>
      <c r="L188" s="121">
        <v>46164</v>
      </c>
      <c r="M188" s="177">
        <f ca="1">IF(OR(J188="",AND(L188="",TODAY()&lt;J188),AND(L188&lt;&gt;"",L188&lt;J188)),0,
   IF(L188="",
      NETWORKDAYS(J188,TODAY(),fESTIVOS!$A$2:$A$53),
      NETWORKDAYS(J188,L188,fESTIVOS!$A$2:$A$53)
   )
)</f>
        <v>4</v>
      </c>
      <c r="N188" s="143"/>
      <c r="O188" s="143"/>
      <c r="P188" s="144"/>
      <c r="Q188" s="122" t="s">
        <v>715</v>
      </c>
      <c r="R188" s="118" t="s">
        <v>38</v>
      </c>
      <c r="S188" s="119"/>
    </row>
    <row r="189" spans="1:19" ht="29.25" customHeight="1">
      <c r="A189" s="139" t="s">
        <v>59</v>
      </c>
      <c r="B189" s="124" t="s">
        <v>716</v>
      </c>
      <c r="C189" s="140" t="s">
        <v>713</v>
      </c>
      <c r="D189" s="156" t="s">
        <v>717</v>
      </c>
      <c r="E189" s="110" t="s">
        <v>143</v>
      </c>
      <c r="F189" s="154" t="s">
        <v>37</v>
      </c>
      <c r="G189" s="155">
        <v>100</v>
      </c>
      <c r="H189" s="176">
        <f>IF(OR(J189="",K189="",K189&lt;J189),0,NETWORKDAYS(J189,K189,fESTIVOS!$A$2:$A$53))</f>
        <v>1</v>
      </c>
      <c r="I189" s="146">
        <v>46164</v>
      </c>
      <c r="J189" s="121">
        <v>46164</v>
      </c>
      <c r="K189" s="121">
        <v>46164</v>
      </c>
      <c r="L189" s="121">
        <v>46164</v>
      </c>
      <c r="M189" s="177">
        <f ca="1">IF(OR(J189="",AND(L189="",TODAY()&lt;J189),AND(L189&lt;&gt;"",L189&lt;J189)),0,
   IF(L189="",
      NETWORKDAYS(J189,TODAY(),fESTIVOS!$A$2:$A$53),
      NETWORKDAYS(J189,L189,fESTIVOS!$A$2:$A$53)
   )
)</f>
        <v>1</v>
      </c>
      <c r="N189" s="143"/>
      <c r="O189" s="143"/>
      <c r="P189" s="144"/>
      <c r="Q189" s="122" t="s">
        <v>718</v>
      </c>
      <c r="R189" s="118" t="s">
        <v>38</v>
      </c>
      <c r="S189" s="119"/>
    </row>
    <row r="190" spans="1:19" ht="29.25" customHeight="1">
      <c r="A190" s="174" t="s">
        <v>59</v>
      </c>
      <c r="B190" s="149" t="s">
        <v>719</v>
      </c>
      <c r="C190" s="150" t="s">
        <v>720</v>
      </c>
      <c r="D190" s="157" t="s">
        <v>721</v>
      </c>
      <c r="E190" s="151" t="s">
        <v>126</v>
      </c>
      <c r="F190" s="134" t="s">
        <v>39</v>
      </c>
      <c r="G190" s="135">
        <v>55</v>
      </c>
      <c r="H190" s="171">
        <f>IF(OR(J190="",K190="",K190&lt;J190),0,NETWORKDAYS(J190,K190,fESTIVOS!$A$2:$A$53))</f>
        <v>0</v>
      </c>
      <c r="I190" s="158">
        <v>46162</v>
      </c>
      <c r="J190" s="159">
        <v>46162</v>
      </c>
      <c r="K190" s="159"/>
      <c r="L190" s="159"/>
      <c r="M190" s="172">
        <f ca="1">IF(OR(J190="",AND(L190="",TODAY()&lt;J190),AND(L190&lt;&gt;"",L190&lt;J190)),0,
   IF(L190="",
      NETWORKDAYS(J190,TODAY(),fESTIVOS!$A$2:$A$53),
      NETWORKDAYS(J190,L190,fESTIVOS!$A$2:$A$53)
   )
)</f>
        <v>24</v>
      </c>
      <c r="N190" s="115"/>
      <c r="O190" s="115"/>
      <c r="P190" s="116"/>
      <c r="Q190" s="160" t="s">
        <v>722</v>
      </c>
      <c r="R190" s="136" t="s">
        <v>38</v>
      </c>
      <c r="S190" s="153"/>
    </row>
    <row r="191" spans="1:19" ht="29.25" customHeight="1">
      <c r="A191" s="148" t="s">
        <v>59</v>
      </c>
      <c r="B191" s="124" t="s">
        <v>723</v>
      </c>
      <c r="C191" s="150" t="s">
        <v>724</v>
      </c>
      <c r="D191" s="150" t="s">
        <v>725</v>
      </c>
      <c r="E191" s="149" t="s">
        <v>62</v>
      </c>
      <c r="F191" s="134" t="s">
        <v>37</v>
      </c>
      <c r="G191" s="135">
        <v>100</v>
      </c>
      <c r="H191" s="171">
        <f>IF(OR(J191="",K191="",K191&lt;J191),0,NETWORKDAYS(J191,K191,fESTIVOS!$A$2:$A$53))</f>
        <v>7</v>
      </c>
      <c r="I191" s="158">
        <v>46170</v>
      </c>
      <c r="J191" s="159">
        <v>46170</v>
      </c>
      <c r="K191" s="159">
        <v>46179</v>
      </c>
      <c r="L191" s="159">
        <v>46179</v>
      </c>
      <c r="M191" s="172">
        <f ca="1">IF(OR(J191="",AND(L191="",TODAY()&lt;J191),AND(L191&lt;&gt;"",L191&lt;J191)),0,
   IF(L191="",
      NETWORKDAYS(J191,TODAY(),fESTIVOS!$A$2:$A$53),
      NETWORKDAYS(J191,L191,fESTIVOS!$A$2:$A$53)
   )
)</f>
        <v>7</v>
      </c>
      <c r="N191" s="115"/>
      <c r="O191" s="115"/>
      <c r="P191" s="116"/>
      <c r="Q191" s="160" t="s">
        <v>726</v>
      </c>
      <c r="R191" s="136" t="s">
        <v>38</v>
      </c>
      <c r="S191" s="153"/>
    </row>
    <row r="192" spans="1:19" ht="29.25" customHeight="1">
      <c r="A192" s="148" t="s">
        <v>59</v>
      </c>
      <c r="B192" s="124" t="s">
        <v>727</v>
      </c>
      <c r="C192" s="150" t="s">
        <v>728</v>
      </c>
      <c r="D192" s="150" t="s">
        <v>729</v>
      </c>
      <c r="E192" s="149" t="s">
        <v>62</v>
      </c>
      <c r="F192" s="134" t="s">
        <v>37</v>
      </c>
      <c r="G192" s="135">
        <v>100</v>
      </c>
      <c r="H192" s="171">
        <f>IF(OR(J192="",K192="",K192&lt;J192),0,NETWORKDAYS(J192,K192,fESTIVOS!$A$2:$A$53))</f>
        <v>0</v>
      </c>
      <c r="I192" s="158">
        <v>46179</v>
      </c>
      <c r="J192" s="159">
        <v>46179</v>
      </c>
      <c r="K192" s="159">
        <v>46179</v>
      </c>
      <c r="L192" s="159">
        <v>46179</v>
      </c>
      <c r="M192" s="172">
        <f ca="1">IF(OR(J192="",AND(L192="",TODAY()&lt;J192),AND(L192&lt;&gt;"",L192&lt;J192)),0,
   IF(L192="",
      NETWORKDAYS(J192,TODAY(),fESTIVOS!$A$2:$A$53),
      NETWORKDAYS(J192,L192,fESTIVOS!$A$2:$A$53)
   )
)</f>
        <v>0</v>
      </c>
      <c r="N192" s="115"/>
      <c r="O192" s="115"/>
      <c r="P192" s="116"/>
      <c r="Q192" s="160" t="s">
        <v>730</v>
      </c>
      <c r="R192" s="136" t="s">
        <v>38</v>
      </c>
      <c r="S192" s="153"/>
    </row>
    <row r="193" spans="1:19" ht="29.25" customHeight="1">
      <c r="A193" s="174" t="s">
        <v>59</v>
      </c>
      <c r="B193" s="149" t="s">
        <v>731</v>
      </c>
      <c r="C193" s="150" t="s">
        <v>431</v>
      </c>
      <c r="D193" s="157" t="s">
        <v>732</v>
      </c>
      <c r="E193" s="151" t="s">
        <v>126</v>
      </c>
      <c r="F193" s="134" t="s">
        <v>37</v>
      </c>
      <c r="G193" s="135">
        <v>100</v>
      </c>
      <c r="H193" s="171">
        <f>IF(OR(J193="",K193="",K193&lt;J193),0,NETWORKDAYS(J193,K193,fESTIVOS!$A$2:$A$53))</f>
        <v>7</v>
      </c>
      <c r="I193" s="158">
        <v>46170</v>
      </c>
      <c r="J193" s="159">
        <v>46170</v>
      </c>
      <c r="K193" s="159">
        <v>46178</v>
      </c>
      <c r="L193" s="159">
        <v>46178</v>
      </c>
      <c r="M193" s="172">
        <f ca="1">IF(OR(J193="",AND(L193="",TODAY()&lt;J193),AND(L193&lt;&gt;"",L193&lt;J193)),0,
   IF(L193="",
      NETWORKDAYS(J193,TODAY(),fESTIVOS!$A$2:$A$53),
      NETWORKDAYS(J193,L193,fESTIVOS!$A$2:$A$53)
   )
)</f>
        <v>7</v>
      </c>
      <c r="N193" s="115"/>
      <c r="O193" s="115"/>
      <c r="P193" s="116"/>
      <c r="Q193" s="160" t="s">
        <v>733</v>
      </c>
      <c r="R193" s="136" t="s">
        <v>38</v>
      </c>
      <c r="S193" s="153"/>
    </row>
    <row r="194" spans="1:19" ht="29.25" customHeight="1">
      <c r="A194" s="139" t="s">
        <v>59</v>
      </c>
      <c r="B194" s="124" t="s">
        <v>734</v>
      </c>
      <c r="C194" s="140" t="s">
        <v>735</v>
      </c>
      <c r="D194" s="156" t="s">
        <v>736</v>
      </c>
      <c r="E194" s="110" t="s">
        <v>143</v>
      </c>
      <c r="F194" s="154" t="s">
        <v>37</v>
      </c>
      <c r="G194" s="155">
        <v>100</v>
      </c>
      <c r="H194" s="176">
        <f>IF(OR(J194="",K194="",K194&lt;J194),0,NETWORKDAYS(J194,K194,fESTIVOS!$A$2:$A$53))</f>
        <v>4</v>
      </c>
      <c r="I194" s="146">
        <v>46174</v>
      </c>
      <c r="J194" s="121">
        <v>46174</v>
      </c>
      <c r="K194" s="121">
        <v>46177</v>
      </c>
      <c r="L194" s="121">
        <v>46177</v>
      </c>
      <c r="M194" s="177">
        <f ca="1">IF(OR(J194="",AND(L194="",TODAY()&lt;J194),AND(L194&lt;&gt;"",L194&lt;J194)),0,
   IF(L194="",
      NETWORKDAYS(J194,TODAY(),fESTIVOS!$A$2:$A$53),
      NETWORKDAYS(J194,L194,fESTIVOS!$A$2:$A$53)
   )
)</f>
        <v>4</v>
      </c>
      <c r="N194" s="143"/>
      <c r="O194" s="143"/>
      <c r="P194" s="144"/>
      <c r="Q194" s="122" t="s">
        <v>737</v>
      </c>
      <c r="R194" s="118" t="s">
        <v>38</v>
      </c>
      <c r="S194" s="119"/>
    </row>
    <row r="195" spans="1:19" ht="29.25" customHeight="1">
      <c r="A195" s="174" t="s">
        <v>59</v>
      </c>
      <c r="B195" s="149" t="s">
        <v>738</v>
      </c>
      <c r="C195" s="150" t="s">
        <v>739</v>
      </c>
      <c r="D195" s="157" t="s">
        <v>740</v>
      </c>
      <c r="E195" s="151" t="s">
        <v>126</v>
      </c>
      <c r="F195" s="134" t="s">
        <v>37</v>
      </c>
      <c r="G195" s="135">
        <v>100</v>
      </c>
      <c r="H195" s="171">
        <f>IF(OR(J195="",K195="",K195&lt;J195),0,NETWORKDAYS(J195,K195,fESTIVOS!$A$2:$A$53))</f>
        <v>5</v>
      </c>
      <c r="I195" s="158">
        <v>46174</v>
      </c>
      <c r="J195" s="159">
        <v>46174</v>
      </c>
      <c r="K195" s="159">
        <v>46178</v>
      </c>
      <c r="L195" s="159">
        <v>46178</v>
      </c>
      <c r="M195" s="172">
        <f ca="1">IF(OR(J195="",AND(L195="",TODAY()&lt;J195),AND(L195&lt;&gt;"",L195&lt;J195)),0,
   IF(L195="",
      NETWORKDAYS(J195,TODAY(),fESTIVOS!$A$2:$A$53),
      NETWORKDAYS(J195,L195,fESTIVOS!$A$2:$A$53)
   )
)</f>
        <v>5</v>
      </c>
      <c r="N195" s="115"/>
      <c r="O195" s="115"/>
      <c r="P195" s="116"/>
      <c r="Q195" s="160" t="s">
        <v>741</v>
      </c>
      <c r="R195" s="136" t="s">
        <v>38</v>
      </c>
      <c r="S195" s="153"/>
    </row>
    <row r="196" spans="1:19" ht="29.25" customHeight="1">
      <c r="A196" s="174" t="s">
        <v>59</v>
      </c>
      <c r="B196" s="149" t="s">
        <v>742</v>
      </c>
      <c r="C196" s="150" t="s">
        <v>739</v>
      </c>
      <c r="D196" s="157" t="s">
        <v>743</v>
      </c>
      <c r="E196" s="151" t="s">
        <v>126</v>
      </c>
      <c r="F196" s="134" t="s">
        <v>37</v>
      </c>
      <c r="G196" s="135">
        <v>100</v>
      </c>
      <c r="H196" s="171">
        <f>IF(OR(J196="",K196="",K196&lt;J196),0,NETWORKDAYS(J196,K196,fESTIVOS!$A$2:$A$53))</f>
        <v>1</v>
      </c>
      <c r="I196" s="158">
        <v>46178</v>
      </c>
      <c r="J196" s="159">
        <v>46178</v>
      </c>
      <c r="K196" s="159">
        <v>46178</v>
      </c>
      <c r="L196" s="159">
        <v>46178</v>
      </c>
      <c r="M196" s="172">
        <f ca="1">IF(OR(J196="",AND(L196="",TODAY()&lt;J196),AND(L196&lt;&gt;"",L196&lt;J196)),0,
   IF(L196="",
      NETWORKDAYS(J196,TODAY(),fESTIVOS!$A$2:$A$53),
      NETWORKDAYS(J196,L196,fESTIVOS!$A$2:$A$53)
   )
)</f>
        <v>1</v>
      </c>
      <c r="N196" s="115"/>
      <c r="O196" s="115"/>
      <c r="P196" s="116"/>
      <c r="Q196" s="160" t="s">
        <v>744</v>
      </c>
      <c r="R196" s="136" t="s">
        <v>38</v>
      </c>
      <c r="S196" s="153"/>
    </row>
    <row r="197" spans="1:19" ht="29.25" customHeight="1">
      <c r="A197" s="139" t="s">
        <v>59</v>
      </c>
      <c r="B197" s="124" t="s">
        <v>745</v>
      </c>
      <c r="C197" s="140" t="s">
        <v>746</v>
      </c>
      <c r="D197" s="156" t="s">
        <v>747</v>
      </c>
      <c r="E197" s="110" t="s">
        <v>143</v>
      </c>
      <c r="F197" s="154" t="s">
        <v>37</v>
      </c>
      <c r="G197" s="155">
        <v>100</v>
      </c>
      <c r="H197" s="176">
        <f>IF(OR(J197="",K197="",K197&lt;J197),0,NETWORKDAYS(J197,K197,fESTIVOS!$A$2:$A$53))</f>
        <v>5</v>
      </c>
      <c r="I197" s="146">
        <v>46185</v>
      </c>
      <c r="J197" s="121">
        <v>46185</v>
      </c>
      <c r="K197" s="121">
        <v>46192</v>
      </c>
      <c r="L197" s="121">
        <v>46192</v>
      </c>
      <c r="M197" s="177">
        <f ca="1">IF(OR(J197="",AND(L197="",TODAY()&lt;J197),AND(L197&lt;&gt;"",L197&lt;J197)),0,
   IF(L197="",
      NETWORKDAYS(J197,TODAY(),fESTIVOS!$A$2:$A$53),
      NETWORKDAYS(J197,L197,fESTIVOS!$A$2:$A$53)
   )
)</f>
        <v>5</v>
      </c>
      <c r="N197" s="143"/>
      <c r="O197" s="143"/>
      <c r="P197" s="144"/>
      <c r="Q197" s="122" t="s">
        <v>748</v>
      </c>
      <c r="R197" s="118" t="s">
        <v>38</v>
      </c>
      <c r="S197" s="119"/>
    </row>
    <row r="198" spans="1:19" ht="29.25" customHeight="1">
      <c r="A198" s="148" t="s">
        <v>59</v>
      </c>
      <c r="B198" s="124" t="s">
        <v>749</v>
      </c>
      <c r="C198" s="150" t="s">
        <v>750</v>
      </c>
      <c r="D198" s="150" t="s">
        <v>751</v>
      </c>
      <c r="E198" s="149" t="s">
        <v>62</v>
      </c>
      <c r="F198" s="134" t="s">
        <v>37</v>
      </c>
      <c r="G198" s="135">
        <v>100</v>
      </c>
      <c r="H198" s="171">
        <f>IF(OR(J198="",K198="",K198&lt;J198),0,NETWORKDAYS(J198,K198,fESTIVOS!$A$2:$A$53))</f>
        <v>8</v>
      </c>
      <c r="I198" s="158">
        <v>46181</v>
      </c>
      <c r="J198" s="159">
        <v>46181</v>
      </c>
      <c r="K198" s="159">
        <v>46192</v>
      </c>
      <c r="L198" s="159">
        <v>46192</v>
      </c>
      <c r="M198" s="172">
        <f ca="1">IF(OR(J198="",AND(L198="",TODAY()&lt;J198),AND(L198&lt;&gt;"",L198&lt;J198)),0,
   IF(L198="",
      NETWORKDAYS(J198,TODAY(),fESTIVOS!$A$2:$A$53),
      NETWORKDAYS(J198,L198,fESTIVOS!$A$2:$A$53)
   )
)</f>
        <v>8</v>
      </c>
      <c r="N198" s="115"/>
      <c r="O198" s="115"/>
      <c r="P198" s="116"/>
      <c r="Q198" s="160" t="s">
        <v>752</v>
      </c>
      <c r="R198" s="136" t="s">
        <v>38</v>
      </c>
      <c r="S198" s="153"/>
    </row>
    <row r="199" spans="1:19" ht="29.25" customHeight="1">
      <c r="A199" s="10" t="s">
        <v>688</v>
      </c>
      <c r="B199" s="81" t="s">
        <v>753</v>
      </c>
      <c r="C199" s="58" t="s">
        <v>754</v>
      </c>
      <c r="D199" s="147" t="s">
        <v>755</v>
      </c>
      <c r="E199" s="83" t="s">
        <v>80</v>
      </c>
      <c r="F199" s="12" t="s">
        <v>39</v>
      </c>
      <c r="G199" s="32">
        <v>90</v>
      </c>
      <c r="H199" s="70">
        <f>IF(OR(J199="",K199="",K199&lt;J199),0,NETWORKDAYS(J199,K199,fESTIVOS!$A$2:$A$53))</f>
        <v>13</v>
      </c>
      <c r="I199" s="158">
        <v>46180</v>
      </c>
      <c r="J199" s="159">
        <v>46180</v>
      </c>
      <c r="K199" s="159">
        <v>46200</v>
      </c>
      <c r="L199" s="159"/>
      <c r="M199" s="25">
        <f ca="1">IF(OR(J199="",AND(L199="",TODAY()&lt;J199),AND(L199&lt;&gt;"",L199&lt;J199)),0,
   IF(L199="",
      NETWORKDAYS(J199,TODAY(),fESTIVOS!$A$2:$A$53),
      NETWORKDAYS(J199,L199,fESTIVOS!$A$2:$A$53)
   )
)</f>
        <v>11</v>
      </c>
      <c r="N199" s="105">
        <v>46200</v>
      </c>
      <c r="O199" s="85"/>
      <c r="P199" s="72"/>
      <c r="Q199" s="160" t="s">
        <v>756</v>
      </c>
      <c r="R199" s="74" t="s">
        <v>38</v>
      </c>
      <c r="S199" s="29" t="s">
        <v>98</v>
      </c>
    </row>
    <row r="200" spans="1:19" ht="29.25" customHeight="1"/>
    <row r="201" spans="1:19" ht="29.25" customHeight="1"/>
    <row r="202" spans="1:19" ht="29.25" customHeight="1"/>
    <row r="203" spans="1:19" ht="29.25" customHeight="1"/>
    <row r="204" spans="1:19" ht="29.25" customHeight="1"/>
    <row r="205" spans="1:19" ht="29.25" customHeight="1"/>
    <row r="206" spans="1:19" ht="29.25" customHeight="1"/>
    <row r="207" spans="1:19" ht="29.25" customHeight="1"/>
    <row r="208" spans="1:19" ht="29.25" customHeight="1"/>
    <row r="209" ht="29.25" customHeight="1"/>
    <row r="210" ht="29.25" customHeight="1"/>
    <row r="211" ht="29.25" customHeight="1"/>
    <row r="212" ht="29.25" customHeight="1"/>
    <row r="213" ht="29.25" customHeight="1"/>
    <row r="214" ht="29.25" customHeight="1"/>
    <row r="215" ht="29.25" customHeight="1"/>
    <row r="216" ht="29.25" customHeight="1"/>
    <row r="217" ht="29.25" customHeight="1"/>
    <row r="218" ht="29.25" customHeight="1"/>
    <row r="219" ht="29.25" customHeight="1"/>
    <row r="220" ht="29.25" customHeight="1"/>
    <row r="221" ht="29.25" customHeight="1"/>
    <row r="222" ht="29.25" customHeight="1"/>
    <row r="223" ht="29.25" customHeight="1"/>
    <row r="224" ht="29.25" customHeight="1"/>
    <row r="225" ht="29.25" customHeight="1"/>
    <row r="226" ht="29.25" customHeight="1"/>
    <row r="227" ht="29.25" customHeight="1"/>
    <row r="228" ht="29.25" customHeight="1"/>
    <row r="229" ht="29.25" customHeight="1"/>
    <row r="230" ht="29.25" customHeight="1"/>
    <row r="231" ht="29.25" customHeight="1"/>
    <row r="232" ht="29.25" customHeight="1"/>
    <row r="233" ht="29.25" customHeight="1"/>
    <row r="234" ht="29.25" customHeight="1"/>
    <row r="235" ht="29.25" customHeight="1"/>
    <row r="236" ht="29.25" customHeight="1"/>
    <row r="237" ht="29.25" customHeight="1"/>
    <row r="238" ht="29.25" customHeight="1"/>
    <row r="239" ht="29.25" customHeight="1"/>
    <row r="240" ht="29.25" customHeight="1"/>
    <row r="241" ht="29.25" customHeight="1"/>
    <row r="242" ht="29.25" customHeight="1"/>
    <row r="243" ht="29.25" customHeight="1"/>
    <row r="244" ht="29.25" customHeight="1"/>
    <row r="245" ht="29.25" customHeight="1"/>
    <row r="246" ht="29.25" customHeight="1"/>
    <row r="247" ht="29.25" customHeight="1"/>
    <row r="248" ht="29.25" customHeight="1"/>
    <row r="249" ht="29.25" customHeight="1"/>
    <row r="250" ht="29.25" customHeight="1"/>
    <row r="251" ht="29.25" customHeight="1"/>
    <row r="252" ht="29.25" customHeight="1"/>
    <row r="253" ht="29.25" customHeight="1"/>
    <row r="254" ht="29.25" customHeight="1"/>
    <row r="255" ht="29.25" customHeight="1"/>
    <row r="256" ht="29.25" customHeight="1"/>
    <row r="257" ht="29.25" customHeight="1"/>
    <row r="258" ht="29.25" customHeight="1"/>
    <row r="259" ht="29.25" customHeight="1"/>
    <row r="260" ht="29.25" customHeight="1"/>
    <row r="261" ht="29.25" customHeight="1"/>
    <row r="262" ht="29.25" customHeight="1"/>
    <row r="263" ht="29.25" customHeight="1"/>
    <row r="264" ht="29.25" customHeight="1"/>
    <row r="265" ht="29.25" customHeight="1"/>
    <row r="266" ht="29.25" customHeight="1"/>
    <row r="267" ht="29.25" customHeight="1"/>
    <row r="268" ht="29.25" customHeight="1"/>
    <row r="269" ht="29.25" customHeight="1"/>
    <row r="270" ht="29.25" customHeight="1"/>
    <row r="271" ht="29.25" customHeight="1"/>
    <row r="272" ht="29.25" customHeight="1"/>
    <row r="273" ht="29.25" customHeight="1"/>
    <row r="274" ht="29.25" customHeight="1"/>
    <row r="275" ht="29.25" customHeight="1"/>
    <row r="276" ht="29.25" customHeight="1"/>
    <row r="277" ht="29.25" customHeight="1"/>
    <row r="278" ht="29.25" customHeight="1"/>
    <row r="279" ht="29.25" customHeight="1"/>
    <row r="280" ht="29.25" customHeight="1"/>
    <row r="281" ht="29.25" customHeight="1"/>
    <row r="282" ht="29.25" customHeight="1"/>
    <row r="283" ht="29.25" customHeight="1"/>
    <row r="284" ht="29.25" customHeight="1"/>
    <row r="285" ht="29.25" customHeight="1"/>
    <row r="286" ht="29.25" customHeight="1"/>
    <row r="287" ht="29.25" customHeight="1"/>
    <row r="288" ht="29.25" customHeight="1"/>
    <row r="289" ht="29.25" customHeight="1"/>
    <row r="290" ht="29.25" customHeight="1"/>
    <row r="291" ht="29.25" customHeight="1"/>
    <row r="292" ht="29.25" customHeight="1"/>
    <row r="293" ht="29.25" customHeight="1"/>
    <row r="294" ht="29.25" customHeight="1"/>
    <row r="295" ht="29.25" customHeight="1"/>
    <row r="296" ht="29.25" customHeight="1"/>
    <row r="297" ht="29.25" customHeight="1"/>
    <row r="298" ht="29.25" customHeight="1"/>
    <row r="299" ht="29.25" customHeight="1"/>
    <row r="300" ht="29.25" customHeight="1"/>
    <row r="301" ht="29.25" customHeight="1"/>
    <row r="302" ht="29.25" customHeight="1"/>
    <row r="303" ht="29.25" customHeight="1"/>
    <row r="304" ht="29.25" customHeight="1"/>
    <row r="305" ht="29.25" customHeight="1"/>
    <row r="306" ht="29.25" customHeight="1"/>
    <row r="307" ht="29.25" customHeight="1"/>
    <row r="308" ht="29.25" customHeight="1"/>
    <row r="309" ht="29.25" customHeight="1"/>
    <row r="310" ht="29.25" customHeight="1"/>
    <row r="311" ht="29.25" customHeight="1"/>
    <row r="312" ht="29.25" customHeight="1"/>
    <row r="313" ht="29.25" customHeight="1"/>
    <row r="314" ht="29.25" customHeight="1"/>
    <row r="315" ht="29.25" customHeight="1"/>
    <row r="316" ht="29.25" customHeight="1"/>
    <row r="317" ht="29.25" customHeight="1"/>
    <row r="318" ht="29.25" customHeight="1"/>
    <row r="319" ht="29.25" customHeight="1"/>
    <row r="320" ht="29.25" customHeight="1"/>
    <row r="321" ht="29.25" customHeight="1"/>
    <row r="322" ht="29.25" customHeight="1"/>
    <row r="323" ht="29.25" customHeight="1"/>
    <row r="324" ht="29.25" customHeight="1"/>
    <row r="325" ht="29.25" customHeight="1"/>
    <row r="326" ht="29.25" customHeight="1"/>
    <row r="327" ht="29.25" customHeight="1"/>
    <row r="328" ht="29.25" customHeight="1"/>
    <row r="329" ht="29.25" customHeight="1"/>
    <row r="330" ht="29.25" customHeight="1"/>
    <row r="331" ht="29.25" customHeight="1"/>
    <row r="332" ht="29.25" customHeight="1"/>
    <row r="333" ht="29.25" customHeight="1"/>
    <row r="334" ht="29.25" customHeight="1"/>
    <row r="335" ht="29.25" customHeight="1"/>
    <row r="336" ht="29.25" customHeight="1"/>
    <row r="337" ht="29.25" customHeight="1"/>
    <row r="338" ht="29.25" customHeight="1"/>
    <row r="339" ht="29.25" customHeight="1"/>
    <row r="340" ht="29.25" customHeight="1"/>
    <row r="341" ht="29.25" customHeight="1"/>
    <row r="342" ht="29.25" customHeight="1"/>
    <row r="343" ht="29.25" customHeight="1"/>
    <row r="344" ht="29.25" customHeight="1"/>
    <row r="345" ht="29.25" customHeight="1"/>
    <row r="346" ht="29.25" customHeight="1"/>
    <row r="347" ht="29.25" customHeight="1"/>
    <row r="348" ht="29.25" customHeight="1"/>
    <row r="349" ht="29.25" customHeight="1"/>
    <row r="350" ht="29.25" customHeight="1"/>
    <row r="351" ht="29.25" customHeight="1"/>
    <row r="352" ht="29.25" customHeight="1"/>
    <row r="353" ht="29.25" customHeight="1"/>
    <row r="354" ht="29.25" customHeight="1"/>
    <row r="355" ht="29.25" customHeight="1"/>
    <row r="356" ht="29.25" customHeight="1"/>
    <row r="357" ht="29.25" customHeight="1"/>
    <row r="358" ht="29.25" customHeight="1"/>
    <row r="359" ht="29.25" customHeight="1"/>
    <row r="360" ht="29.25" customHeight="1"/>
    <row r="361" ht="29.25" customHeight="1"/>
    <row r="362" ht="29.25" customHeight="1"/>
    <row r="363" ht="29.25" customHeight="1"/>
    <row r="364" ht="29.25" customHeight="1"/>
    <row r="365" ht="29.25" customHeight="1"/>
    <row r="366" ht="29.25" customHeight="1"/>
    <row r="367" ht="29.25" customHeight="1"/>
    <row r="368" ht="29.25" customHeight="1"/>
    <row r="369" ht="29.25" customHeight="1"/>
    <row r="370" ht="29.25" customHeight="1"/>
    <row r="371" ht="29.25" customHeight="1"/>
    <row r="372" ht="29.25" customHeight="1"/>
    <row r="373" ht="29.25" customHeight="1"/>
    <row r="374" ht="29.25" customHeight="1"/>
    <row r="375" ht="29.25" customHeight="1"/>
    <row r="376" ht="29.25" customHeight="1"/>
    <row r="377" ht="29.25" customHeight="1"/>
    <row r="378" ht="29.25" customHeight="1"/>
    <row r="379" ht="29.25" customHeight="1"/>
    <row r="380" ht="29.25" customHeight="1"/>
    <row r="381" ht="29.25" customHeight="1"/>
    <row r="382" ht="29.25" customHeight="1"/>
    <row r="383" ht="29.25" customHeight="1"/>
    <row r="384" ht="29.25" customHeight="1"/>
    <row r="385" ht="29.25" customHeight="1"/>
    <row r="386" ht="29.25" customHeight="1"/>
    <row r="387" ht="29.25" customHeight="1"/>
    <row r="388" ht="29.25" customHeight="1"/>
    <row r="389" ht="29.25" customHeight="1"/>
    <row r="390" ht="29.25" customHeight="1"/>
    <row r="391" ht="29.25" customHeight="1"/>
    <row r="392" ht="29.25" customHeight="1"/>
    <row r="393" ht="29.25" customHeight="1"/>
    <row r="394" ht="29.25" customHeight="1"/>
    <row r="395" ht="29.25" customHeight="1"/>
    <row r="396" ht="29.25" customHeight="1"/>
    <row r="397" ht="29.25" customHeight="1"/>
    <row r="398" ht="29.25" customHeight="1"/>
    <row r="399" ht="29.25" customHeight="1"/>
    <row r="400" ht="29.25" customHeight="1"/>
    <row r="401" ht="29.25" customHeight="1"/>
    <row r="402" ht="29.25" customHeight="1"/>
    <row r="403" ht="29.25" customHeight="1"/>
    <row r="404" ht="29.25" customHeight="1"/>
    <row r="405" ht="29.25" customHeight="1"/>
    <row r="406" ht="29.25" customHeight="1"/>
    <row r="407" ht="29.25" customHeight="1"/>
    <row r="408" ht="29.25" customHeight="1"/>
    <row r="409" ht="29.25" customHeight="1"/>
    <row r="410" ht="29.25" customHeight="1"/>
    <row r="411" ht="29.25" customHeight="1"/>
    <row r="412" ht="29.25" customHeight="1"/>
    <row r="413" ht="29.25" customHeight="1"/>
    <row r="414" ht="29.25" customHeight="1"/>
    <row r="415" ht="29.25" customHeight="1"/>
    <row r="416" ht="29.25" customHeight="1"/>
    <row r="417" ht="29.25" customHeight="1"/>
    <row r="418" ht="29.25" customHeight="1"/>
    <row r="419" ht="29.25" customHeight="1"/>
    <row r="420" ht="29.25" customHeight="1"/>
    <row r="421" ht="29.25" customHeight="1"/>
    <row r="422" ht="29.25" customHeight="1"/>
    <row r="423" ht="29.25" customHeight="1"/>
    <row r="424" ht="29.25" customHeight="1"/>
    <row r="425" ht="29.25" customHeight="1"/>
    <row r="426" ht="29.25" customHeight="1"/>
    <row r="427" ht="29.25" customHeight="1"/>
    <row r="428" ht="29.25" customHeight="1"/>
    <row r="429" ht="29.25" customHeight="1"/>
    <row r="430" ht="29.25" customHeight="1"/>
    <row r="431" ht="29.25" customHeight="1"/>
    <row r="432" ht="29.25" customHeight="1"/>
    <row r="433" ht="29.25" customHeight="1"/>
    <row r="434" ht="29.25" customHeight="1"/>
    <row r="435" ht="29.25" customHeight="1"/>
    <row r="436" ht="29.25" customHeight="1"/>
    <row r="437" ht="29.25" customHeight="1"/>
    <row r="438" ht="29.25" customHeight="1"/>
    <row r="439" ht="29.25" customHeight="1"/>
    <row r="440" ht="29.25" customHeight="1"/>
    <row r="441" ht="29.25" customHeight="1"/>
    <row r="442" ht="29.25" customHeight="1"/>
    <row r="443" ht="29.25" customHeight="1"/>
    <row r="444" ht="29.25" customHeight="1"/>
    <row r="445" ht="29.25" customHeight="1"/>
    <row r="446" ht="29.25" customHeight="1"/>
    <row r="447" ht="29.25" customHeight="1"/>
    <row r="448" ht="29.25" customHeight="1"/>
    <row r="449" ht="29.25" customHeight="1"/>
    <row r="450" ht="29.25" customHeight="1"/>
    <row r="451" ht="29.25" customHeight="1"/>
    <row r="452" ht="29.25" customHeight="1"/>
    <row r="453" ht="29.25" customHeight="1"/>
    <row r="454" ht="29.25" customHeight="1"/>
    <row r="455" ht="29.25" customHeight="1"/>
    <row r="456" ht="29.25" customHeight="1"/>
    <row r="457" ht="29.25" customHeight="1"/>
    <row r="458" ht="29.25" customHeight="1"/>
    <row r="459" ht="29.25" customHeight="1"/>
    <row r="460" ht="29.25" customHeight="1"/>
    <row r="461" ht="29.25" customHeight="1"/>
    <row r="462" ht="29.25" customHeight="1"/>
    <row r="463" ht="29.25" customHeight="1"/>
    <row r="464" ht="29.25" customHeight="1"/>
    <row r="465" ht="29.25" customHeight="1"/>
    <row r="466" ht="29.25" customHeight="1"/>
    <row r="467" ht="29.25" customHeight="1"/>
    <row r="468" ht="29.25" customHeight="1"/>
    <row r="469" ht="29.25" customHeight="1"/>
    <row r="470" ht="29.25" customHeight="1"/>
    <row r="471" ht="29.25" customHeight="1"/>
    <row r="472" ht="29.25" customHeight="1"/>
    <row r="473" ht="29.25" customHeight="1"/>
    <row r="474" ht="29.25" customHeight="1"/>
    <row r="475" ht="29.25" customHeight="1"/>
    <row r="476" ht="29.25" customHeight="1"/>
    <row r="477" ht="29.25" customHeight="1"/>
    <row r="478" ht="29.25" customHeight="1"/>
    <row r="479" ht="29.25" customHeight="1"/>
    <row r="480" ht="29.25" customHeight="1"/>
    <row r="481" ht="29.25" customHeight="1"/>
    <row r="482" ht="29.25" customHeight="1"/>
    <row r="483" ht="29.25" customHeight="1"/>
    <row r="484" ht="29.25" customHeight="1"/>
    <row r="485" ht="29.25" customHeight="1"/>
    <row r="486" ht="29.25" customHeight="1"/>
    <row r="487" ht="29.25" customHeight="1"/>
    <row r="488" ht="29.25" customHeight="1"/>
    <row r="489" ht="29.25" customHeight="1"/>
    <row r="490" ht="29.25" customHeight="1"/>
    <row r="491" ht="29.25" customHeight="1"/>
    <row r="492" ht="29.25" customHeight="1"/>
    <row r="493" ht="29.25" customHeight="1"/>
    <row r="494" ht="29.25" customHeight="1"/>
    <row r="495" ht="29.25" customHeight="1"/>
    <row r="496" ht="29.25" customHeight="1"/>
    <row r="497" ht="29.25" customHeight="1"/>
    <row r="498" ht="29.25" customHeight="1"/>
    <row r="499" ht="29.25" customHeight="1"/>
    <row r="500" ht="29.25" customHeight="1"/>
    <row r="501" ht="29.25" customHeight="1"/>
    <row r="502" ht="29.25" customHeight="1"/>
    <row r="503" ht="29.25" customHeight="1"/>
    <row r="504" ht="29.25" customHeight="1"/>
    <row r="505" ht="29.25" customHeight="1"/>
    <row r="506" ht="29.25" customHeight="1"/>
    <row r="507" ht="29.25" customHeight="1"/>
    <row r="508" ht="29.25" customHeight="1"/>
    <row r="509" ht="29.25" customHeight="1"/>
    <row r="510" ht="29.25" customHeight="1"/>
    <row r="511" ht="29.25" customHeight="1"/>
    <row r="512" ht="29.25" customHeight="1"/>
    <row r="513" ht="29.25" customHeight="1"/>
    <row r="514" ht="29.25" customHeight="1"/>
    <row r="515" ht="29.25" customHeight="1"/>
    <row r="516" ht="29.25" customHeight="1"/>
    <row r="517" ht="29.25" customHeight="1"/>
    <row r="518" ht="29.25" customHeight="1"/>
    <row r="519" ht="29.25" customHeight="1"/>
    <row r="520" ht="29.25" customHeight="1"/>
    <row r="521" ht="29.25" customHeight="1"/>
    <row r="522" ht="29.25" customHeight="1"/>
    <row r="523" ht="29.25" customHeight="1"/>
    <row r="524" ht="29.25" customHeight="1"/>
    <row r="525" ht="29.25" customHeight="1"/>
    <row r="526" ht="29.25" customHeight="1"/>
    <row r="527" ht="29.25" customHeight="1"/>
    <row r="528" ht="29.25" customHeight="1"/>
    <row r="529" ht="29.25" customHeight="1"/>
    <row r="530" ht="29.25" customHeight="1"/>
    <row r="531" ht="29.25" customHeight="1"/>
    <row r="532" ht="29.25" customHeight="1"/>
    <row r="533" ht="29.25" customHeight="1"/>
    <row r="534" ht="29.25" customHeight="1"/>
    <row r="535" ht="29.25" customHeight="1"/>
    <row r="536" ht="29.25" customHeight="1"/>
    <row r="537" ht="29.25" customHeight="1"/>
    <row r="538" ht="29.25" customHeight="1"/>
    <row r="539" ht="29.25" customHeight="1"/>
    <row r="540" ht="29.25" customHeight="1"/>
    <row r="541" ht="29.25" customHeight="1"/>
    <row r="542" ht="29.25" customHeight="1"/>
    <row r="543" ht="29.25" customHeight="1"/>
    <row r="544" ht="29.25" customHeight="1"/>
    <row r="545" ht="29.25" customHeight="1"/>
    <row r="546" ht="29.25" customHeight="1"/>
    <row r="547" ht="29.25" customHeight="1"/>
    <row r="548" ht="29.25" customHeight="1"/>
    <row r="549" ht="29.25" customHeight="1"/>
    <row r="550" ht="29.25" customHeight="1"/>
    <row r="551" ht="29.25" customHeight="1"/>
    <row r="552" ht="29.25" customHeight="1"/>
    <row r="553" ht="29.25" customHeight="1"/>
    <row r="554" ht="29.25" customHeight="1"/>
    <row r="555" ht="29.25" customHeight="1"/>
    <row r="556" ht="29.25" customHeight="1"/>
    <row r="557" ht="29.25" customHeight="1"/>
    <row r="558" ht="29.25" customHeight="1"/>
    <row r="559" ht="29.25" customHeight="1"/>
    <row r="560" ht="29.25" customHeight="1"/>
    <row r="561" ht="29.25" customHeight="1"/>
    <row r="562" ht="29.25" customHeight="1"/>
    <row r="563" ht="29.25" customHeight="1"/>
    <row r="564" ht="29.25" customHeight="1"/>
    <row r="565" ht="29.25" customHeight="1"/>
    <row r="566" ht="29.25" customHeight="1"/>
    <row r="567" ht="29.25" customHeight="1"/>
    <row r="568" ht="29.25" customHeight="1"/>
    <row r="569" ht="29.25" customHeight="1"/>
    <row r="570" ht="29.25" customHeight="1"/>
    <row r="571" ht="29.25" customHeight="1"/>
    <row r="572" ht="29.25" customHeight="1"/>
    <row r="573" ht="29.25" customHeight="1"/>
    <row r="574" ht="29.25" customHeight="1"/>
    <row r="575" ht="29.25" customHeight="1"/>
    <row r="576" ht="29.25" customHeight="1"/>
    <row r="577" ht="29.25" customHeight="1"/>
    <row r="578" ht="29.25" customHeight="1"/>
    <row r="579" ht="29.25" customHeight="1"/>
    <row r="580" ht="29.25" customHeight="1"/>
    <row r="581" ht="29.25" customHeight="1"/>
    <row r="582" ht="29.25" customHeight="1"/>
    <row r="583" ht="29.25" customHeight="1"/>
    <row r="584" ht="29.25" customHeight="1"/>
    <row r="585" ht="29.25" customHeight="1"/>
    <row r="586" ht="29.25" customHeight="1"/>
    <row r="587" ht="29.25" customHeight="1"/>
    <row r="588" ht="29.25" customHeight="1"/>
    <row r="589" ht="29.25" customHeight="1"/>
    <row r="590" ht="29.25" customHeight="1"/>
    <row r="591" ht="29.25" customHeight="1"/>
    <row r="592" ht="29.25" customHeight="1"/>
    <row r="593" ht="29.25" customHeight="1"/>
    <row r="594" ht="29.25" customHeight="1"/>
    <row r="595" ht="29.25" customHeight="1"/>
    <row r="596" ht="29.25" customHeight="1"/>
    <row r="597" ht="29.25" customHeight="1"/>
    <row r="598" ht="29.25" customHeight="1"/>
    <row r="599" ht="29.25" customHeight="1"/>
    <row r="600" ht="29.25" customHeight="1"/>
    <row r="601" ht="29.25" customHeight="1"/>
    <row r="602" ht="29.25" customHeight="1"/>
    <row r="603" ht="29.25" customHeight="1"/>
    <row r="604" ht="29.25" customHeight="1"/>
    <row r="605" ht="29.25" customHeight="1"/>
    <row r="606" ht="29.25" customHeight="1"/>
    <row r="607" ht="29.25" customHeight="1"/>
    <row r="608" ht="29.25" customHeight="1"/>
    <row r="609" ht="29.25" customHeight="1"/>
    <row r="610" ht="29.25" customHeight="1"/>
    <row r="611" ht="29.25" customHeight="1"/>
    <row r="612" ht="29.25" customHeight="1"/>
    <row r="613" ht="29.25" customHeight="1"/>
    <row r="614" ht="29.25" customHeight="1"/>
    <row r="615" ht="29.25" customHeight="1"/>
    <row r="616" ht="29.25" customHeight="1"/>
    <row r="617" ht="29.25" customHeight="1"/>
    <row r="618" ht="29.25" customHeight="1"/>
    <row r="619" ht="29.25" customHeight="1"/>
    <row r="620" ht="29.25" customHeight="1"/>
    <row r="621" ht="29.25" customHeight="1"/>
    <row r="622" ht="29.25" customHeight="1"/>
    <row r="623" ht="29.25" customHeight="1"/>
    <row r="624" ht="29.25" customHeight="1"/>
    <row r="625" ht="29.25" customHeight="1"/>
    <row r="626" ht="29.25" customHeight="1"/>
    <row r="627" ht="29.25" customHeight="1"/>
    <row r="628" ht="29.25" customHeight="1"/>
    <row r="629" ht="29.25" customHeight="1"/>
    <row r="630" ht="29.25" customHeight="1"/>
    <row r="631" ht="29.25" customHeight="1"/>
    <row r="632" ht="29.25" customHeight="1"/>
    <row r="633" ht="29.25" customHeight="1"/>
    <row r="634" ht="29.25" customHeight="1"/>
    <row r="635" ht="29.25" customHeight="1"/>
    <row r="636" ht="29.25" customHeight="1"/>
    <row r="637" ht="29.25" customHeight="1"/>
    <row r="638" ht="29.25" customHeight="1"/>
    <row r="639" ht="29.25" customHeight="1"/>
    <row r="640" ht="29.25" customHeight="1"/>
    <row r="641" ht="29.25" customHeight="1"/>
    <row r="642" ht="29.25" customHeight="1"/>
    <row r="643" ht="29.25" customHeight="1"/>
    <row r="644" ht="29.25" customHeight="1"/>
    <row r="645" ht="29.25" customHeight="1"/>
    <row r="646" ht="29.25" customHeight="1"/>
    <row r="647" ht="29.25" customHeight="1"/>
    <row r="648" ht="29.25" customHeight="1"/>
    <row r="649" ht="29.25" customHeight="1"/>
    <row r="650" ht="29.25" customHeight="1"/>
    <row r="651" ht="29.25" customHeight="1"/>
    <row r="652" ht="29.25" customHeight="1"/>
    <row r="653" ht="29.25" customHeight="1"/>
    <row r="654" ht="29.25" customHeight="1"/>
    <row r="655" ht="29.25" customHeight="1"/>
    <row r="656" ht="29.25" customHeight="1"/>
    <row r="657" ht="29.25" customHeight="1"/>
    <row r="658" ht="29.25" customHeight="1"/>
    <row r="659" ht="29.25" customHeight="1"/>
    <row r="660" ht="29.25" customHeight="1"/>
    <row r="661" ht="29.25" customHeight="1"/>
    <row r="662" ht="29.25" customHeight="1"/>
    <row r="663" ht="29.25" customHeight="1"/>
    <row r="664" ht="29.25" customHeight="1"/>
    <row r="665" ht="29.25" customHeight="1"/>
    <row r="666" ht="29.25" customHeight="1"/>
    <row r="667" ht="29.25" customHeight="1"/>
    <row r="668" ht="29.25" customHeight="1"/>
    <row r="669" ht="29.25" customHeight="1"/>
    <row r="670" ht="29.25" customHeight="1"/>
    <row r="671" ht="29.25" customHeight="1"/>
    <row r="672" ht="29.25" customHeight="1"/>
    <row r="673" ht="29.25" customHeight="1"/>
    <row r="674" ht="29.25" customHeight="1"/>
    <row r="675" ht="29.25" customHeight="1"/>
    <row r="676" ht="29.25" customHeight="1"/>
    <row r="677" ht="29.25" customHeight="1"/>
    <row r="678" ht="29.25" customHeight="1"/>
    <row r="679" ht="29.25" customHeight="1"/>
    <row r="680" ht="29.25" customHeight="1"/>
    <row r="681" ht="29.25" customHeight="1"/>
    <row r="682" ht="29.25" customHeight="1"/>
    <row r="683" ht="29.25" customHeight="1"/>
    <row r="684" ht="29.25" customHeight="1"/>
    <row r="685" ht="29.25" customHeight="1"/>
    <row r="686" ht="29.25" customHeight="1"/>
    <row r="687" ht="29.25" customHeight="1"/>
    <row r="688" ht="29.25" customHeight="1"/>
    <row r="689" ht="29.25" customHeight="1"/>
    <row r="690" ht="29.25" customHeight="1"/>
    <row r="691" ht="29.25" customHeight="1"/>
    <row r="692" ht="29.25" customHeight="1"/>
    <row r="693" ht="29.25" customHeight="1"/>
    <row r="694" ht="29.25" customHeight="1"/>
    <row r="695" ht="29.25" customHeight="1"/>
    <row r="696" ht="29.25" customHeight="1"/>
    <row r="697" ht="29.25" customHeight="1"/>
    <row r="698" ht="29.25" customHeight="1"/>
    <row r="699" ht="29.25" customHeight="1"/>
    <row r="700" ht="29.25" customHeight="1"/>
    <row r="701" ht="29.25" customHeight="1"/>
    <row r="702" ht="29.25" customHeight="1"/>
    <row r="703" ht="29.25" customHeight="1"/>
    <row r="704" ht="29.25" customHeight="1"/>
    <row r="705" ht="29.25" customHeight="1"/>
    <row r="706" ht="29.25" customHeight="1"/>
    <row r="707" ht="29.25" customHeight="1"/>
    <row r="708" ht="29.25" customHeight="1"/>
    <row r="709" ht="29.25" customHeight="1"/>
    <row r="710" ht="29.25" customHeight="1"/>
    <row r="711" ht="29.25" customHeight="1"/>
    <row r="712" ht="29.25" customHeight="1"/>
    <row r="713" ht="29.25" customHeight="1"/>
    <row r="714" ht="29.25" customHeight="1"/>
    <row r="715" ht="29.25" customHeight="1"/>
    <row r="716" ht="29.25" customHeight="1"/>
    <row r="717" ht="29.25" customHeight="1"/>
    <row r="718" ht="29.25" customHeight="1"/>
    <row r="719" ht="29.25" customHeight="1"/>
    <row r="720" ht="29.25" customHeight="1"/>
    <row r="721" ht="29.25" customHeight="1"/>
    <row r="722" ht="29.25" customHeight="1"/>
    <row r="723" ht="29.25" customHeight="1"/>
    <row r="724" ht="29.25" customHeight="1"/>
    <row r="725" ht="29.25" customHeight="1"/>
    <row r="726" ht="29.25" customHeight="1"/>
    <row r="727" ht="29.25" customHeight="1"/>
    <row r="728" ht="29.25" customHeight="1"/>
    <row r="729" ht="29.25" customHeight="1"/>
    <row r="730" ht="29.25" customHeight="1"/>
    <row r="731" ht="29.25" customHeight="1"/>
    <row r="732" ht="29.25" customHeight="1"/>
    <row r="733" ht="29.25" customHeight="1"/>
    <row r="734" ht="29.25" customHeight="1"/>
    <row r="735" ht="29.25" customHeight="1"/>
    <row r="736" ht="29.25" customHeight="1"/>
    <row r="737" ht="29.25" customHeight="1"/>
    <row r="738" ht="29.25" customHeight="1"/>
    <row r="739" ht="29.25" customHeight="1"/>
    <row r="740" ht="29.25" customHeight="1"/>
    <row r="741" ht="29.25" customHeight="1"/>
    <row r="742" ht="29.25" customHeight="1"/>
    <row r="743" ht="29.25" customHeight="1"/>
    <row r="744" ht="29.25" customHeight="1"/>
    <row r="745" ht="29.25" customHeight="1"/>
    <row r="746" ht="29.25" customHeight="1"/>
    <row r="747" ht="29.25" customHeight="1"/>
    <row r="748" ht="29.25" customHeight="1"/>
    <row r="749" ht="29.25" customHeight="1"/>
    <row r="750" ht="29.25" customHeight="1"/>
    <row r="751" ht="29.25" customHeight="1"/>
    <row r="752" ht="29.25" customHeight="1"/>
    <row r="753" ht="29.25" customHeight="1"/>
    <row r="754" ht="29.25" customHeight="1"/>
    <row r="755" ht="29.25" customHeight="1"/>
    <row r="756" ht="29.25" customHeight="1"/>
    <row r="757" ht="29.25" customHeight="1"/>
    <row r="758" ht="29.25" customHeight="1"/>
    <row r="759" ht="29.25" customHeight="1"/>
    <row r="760" ht="29.25" customHeight="1"/>
    <row r="761" ht="29.25" customHeight="1"/>
    <row r="762" ht="29.25" customHeight="1"/>
    <row r="763" ht="29.25" customHeight="1"/>
    <row r="764" ht="29.25" customHeight="1"/>
    <row r="765" ht="29.25" customHeight="1"/>
    <row r="766" ht="29.25" customHeight="1"/>
    <row r="767" ht="29.25" customHeight="1"/>
    <row r="768" ht="29.25" customHeight="1"/>
    <row r="769" ht="29.25" customHeight="1"/>
    <row r="770" ht="29.25" customHeight="1"/>
    <row r="771" ht="29.25" customHeight="1"/>
    <row r="772" ht="29.25" customHeight="1"/>
    <row r="773" ht="29.25" customHeight="1"/>
    <row r="774" ht="29.25" customHeight="1"/>
    <row r="775" ht="29.25" customHeight="1"/>
    <row r="776" ht="29.25" customHeight="1"/>
    <row r="777" ht="29.25" customHeight="1"/>
    <row r="778" ht="29.25" customHeight="1"/>
    <row r="779" ht="29.25" customHeight="1"/>
    <row r="780" ht="29.25" customHeight="1"/>
    <row r="781" ht="29.25" customHeight="1"/>
    <row r="782" ht="29.25" customHeight="1"/>
    <row r="783" ht="29.25" customHeight="1"/>
    <row r="784" ht="29.25" customHeight="1"/>
    <row r="785" ht="29.25" customHeight="1"/>
    <row r="786" ht="29.25" customHeight="1"/>
    <row r="787" ht="29.25" customHeight="1"/>
    <row r="788" ht="29.25" customHeight="1"/>
    <row r="789" ht="29.25" customHeight="1"/>
    <row r="790" ht="29.25" customHeight="1"/>
    <row r="791" ht="29.25" customHeight="1"/>
    <row r="792" ht="29.25" customHeight="1"/>
    <row r="793" ht="29.25" customHeight="1"/>
    <row r="794" ht="29.25" customHeight="1"/>
    <row r="795" ht="29.25" customHeight="1"/>
    <row r="796" ht="29.25" customHeight="1"/>
    <row r="797" ht="29.25" customHeight="1"/>
    <row r="798" ht="29.25" customHeight="1"/>
    <row r="799" ht="29.25" customHeight="1"/>
    <row r="800" ht="29.25" customHeight="1"/>
    <row r="801" ht="29.25" customHeight="1"/>
    <row r="802" ht="29.25" customHeight="1"/>
    <row r="803" ht="29.25" customHeight="1"/>
    <row r="804" ht="29.25" customHeight="1"/>
    <row r="805" ht="29.25" customHeight="1"/>
    <row r="806" ht="29.25" customHeight="1"/>
    <row r="807" ht="29.25" customHeight="1"/>
    <row r="808" ht="29.25" customHeight="1"/>
    <row r="809" ht="29.25" customHeight="1"/>
    <row r="810" ht="29.25" customHeight="1"/>
    <row r="811" ht="29.25" customHeight="1"/>
    <row r="812" ht="29.25" customHeight="1"/>
    <row r="813" ht="29.25" customHeight="1"/>
    <row r="814" ht="29.25" customHeight="1"/>
    <row r="815" ht="29.25" customHeight="1"/>
    <row r="816" ht="29.25" customHeight="1"/>
    <row r="817" ht="29.25" customHeight="1"/>
    <row r="818" ht="29.25" customHeight="1"/>
    <row r="819" ht="29.25" customHeight="1"/>
    <row r="820" ht="29.25" customHeight="1"/>
    <row r="821" ht="29.25" customHeight="1"/>
    <row r="822" ht="29.25" customHeight="1"/>
    <row r="823" ht="29.25" customHeight="1"/>
    <row r="824" ht="29.25" customHeight="1"/>
    <row r="825" ht="29.25" customHeight="1"/>
    <row r="826" ht="29.25" customHeight="1"/>
    <row r="827" ht="29.25" customHeight="1"/>
    <row r="828" ht="29.25" customHeight="1"/>
    <row r="829" ht="29.25" customHeight="1"/>
    <row r="830" ht="29.25" customHeight="1"/>
    <row r="831" ht="29.25" customHeight="1"/>
    <row r="832" ht="29.25" customHeight="1"/>
    <row r="833" ht="29.25" customHeight="1"/>
    <row r="834" ht="29.25" customHeight="1"/>
    <row r="835" ht="29.25" customHeight="1"/>
    <row r="836" ht="29.25" customHeight="1"/>
    <row r="837" ht="29.25" customHeight="1"/>
    <row r="838" ht="29.25" customHeight="1"/>
    <row r="839" ht="29.25" customHeight="1"/>
    <row r="840" ht="29.25" customHeight="1"/>
    <row r="841" ht="29.25" customHeight="1"/>
    <row r="842" ht="29.25" customHeight="1"/>
    <row r="843" ht="29.25" customHeight="1"/>
    <row r="844" ht="29.25" customHeight="1"/>
    <row r="845" ht="29.25" customHeight="1"/>
    <row r="846" ht="29.25" customHeight="1"/>
    <row r="847" ht="29.25" customHeight="1"/>
    <row r="848" ht="29.25" customHeight="1"/>
    <row r="849" ht="29.25" customHeight="1"/>
    <row r="850" ht="29.25" customHeight="1"/>
    <row r="851" ht="29.25" customHeight="1"/>
    <row r="852" ht="29.25" customHeight="1"/>
    <row r="853" ht="29.25" customHeight="1"/>
    <row r="854" ht="29.25" customHeight="1"/>
    <row r="855" ht="29.25" customHeight="1"/>
    <row r="856" ht="29.25" customHeight="1"/>
    <row r="857" ht="29.25" customHeight="1"/>
    <row r="858" ht="29.25" customHeight="1"/>
    <row r="859" ht="29.25" customHeight="1"/>
    <row r="860" ht="29.25" customHeight="1"/>
    <row r="861" ht="29.25" customHeight="1"/>
    <row r="862" ht="29.25" customHeight="1"/>
    <row r="863" ht="29.25" customHeight="1"/>
    <row r="864" ht="29.25" customHeight="1"/>
    <row r="865" ht="29.25" customHeight="1"/>
    <row r="866" ht="29.25" customHeight="1"/>
    <row r="867" ht="29.25" customHeight="1"/>
    <row r="868" ht="29.25" customHeight="1"/>
    <row r="869" ht="29.25" customHeight="1"/>
    <row r="870" ht="29.25" customHeight="1"/>
    <row r="871" ht="29.25" customHeight="1"/>
    <row r="872" ht="29.25" customHeight="1"/>
    <row r="873" ht="29.25" customHeight="1"/>
    <row r="874" ht="29.25" customHeight="1"/>
    <row r="875" ht="29.25" customHeight="1"/>
    <row r="876" ht="29.25" customHeight="1"/>
    <row r="877" ht="29.25" customHeight="1"/>
    <row r="878" ht="29.25" customHeight="1"/>
    <row r="879" ht="29.25" customHeight="1"/>
    <row r="880" ht="29.25" customHeight="1"/>
    <row r="881" ht="29.25" customHeight="1"/>
    <row r="882" ht="29.25" customHeight="1"/>
    <row r="883" ht="29.25" customHeight="1"/>
    <row r="884" ht="29.25" customHeight="1"/>
    <row r="885" ht="29.25" customHeight="1"/>
    <row r="886" ht="29.25" customHeight="1"/>
    <row r="887" ht="29.25" customHeight="1"/>
    <row r="888" ht="29.25" customHeight="1"/>
    <row r="889" ht="29.25" customHeight="1"/>
    <row r="890" ht="29.25" customHeight="1"/>
    <row r="891" ht="29.25" customHeight="1"/>
    <row r="892" ht="29.25" customHeight="1"/>
    <row r="893" ht="29.25" customHeight="1"/>
    <row r="894" ht="29.25" customHeight="1"/>
    <row r="895" ht="29.25" customHeight="1"/>
    <row r="896" ht="29.25" customHeight="1"/>
    <row r="897" ht="29.25" customHeight="1"/>
    <row r="898" ht="29.25" customHeight="1"/>
    <row r="899" ht="29.25" customHeight="1"/>
    <row r="900" ht="29.25" customHeight="1"/>
    <row r="901" ht="29.25" customHeight="1"/>
    <row r="902" ht="29.25" customHeight="1"/>
    <row r="903" ht="29.25" customHeight="1"/>
    <row r="904" ht="29.25" customHeight="1"/>
    <row r="905" ht="29.25" customHeight="1"/>
    <row r="906" ht="29.25" customHeight="1"/>
    <row r="907" ht="29.25" customHeight="1"/>
    <row r="908" ht="29.25" customHeight="1"/>
    <row r="909" ht="29.25" customHeight="1"/>
    <row r="910" ht="29.25" customHeight="1"/>
    <row r="911" ht="29.25" customHeight="1"/>
    <row r="912" ht="29.25" customHeight="1"/>
    <row r="913" ht="29.25" customHeight="1"/>
    <row r="914" ht="29.25" customHeight="1"/>
    <row r="915" ht="29.25" customHeight="1"/>
    <row r="916" ht="29.25" customHeight="1"/>
    <row r="917" ht="29.25" customHeight="1"/>
    <row r="918" ht="29.25" customHeight="1"/>
    <row r="919" ht="29.25" customHeight="1"/>
    <row r="920" ht="29.25" customHeight="1"/>
    <row r="921" ht="29.25" customHeight="1"/>
    <row r="922" ht="29.25" customHeight="1"/>
    <row r="923" ht="29.25" customHeight="1"/>
    <row r="924" ht="29.25" customHeight="1"/>
    <row r="925" ht="29.25" customHeight="1"/>
    <row r="926" ht="29.25" customHeight="1"/>
    <row r="927" ht="29.25" customHeight="1"/>
    <row r="928" ht="29.25" customHeight="1"/>
    <row r="929" ht="29.25" customHeight="1"/>
    <row r="930" ht="29.25" customHeight="1"/>
    <row r="931" ht="29.25" customHeight="1"/>
    <row r="932" ht="29.25" customHeight="1"/>
    <row r="933" ht="29.25" customHeight="1"/>
    <row r="934" ht="29.25" customHeight="1"/>
    <row r="935" ht="29.25" customHeight="1"/>
    <row r="936" ht="29.25" customHeight="1"/>
    <row r="937" ht="29.25" customHeight="1"/>
    <row r="938" ht="29.25" customHeight="1"/>
    <row r="939" ht="29.25" customHeight="1"/>
    <row r="940" ht="29.25" customHeight="1"/>
    <row r="941" ht="29.25" customHeight="1"/>
    <row r="942" ht="29.25" customHeight="1"/>
    <row r="943" ht="29.25" customHeight="1"/>
    <row r="944" ht="29.25" customHeight="1"/>
    <row r="945" ht="29.25" customHeight="1"/>
    <row r="946" ht="29.25" customHeight="1"/>
    <row r="947" ht="29.25" customHeight="1"/>
    <row r="948" ht="29.25" customHeight="1"/>
    <row r="949" ht="29.25" customHeight="1"/>
    <row r="950" ht="29.25" customHeight="1"/>
    <row r="951" ht="29.25" customHeight="1"/>
    <row r="952" ht="29.25" customHeight="1"/>
    <row r="953" ht="29.25" customHeight="1"/>
    <row r="954" ht="29.25" customHeight="1"/>
    <row r="955" ht="29.25" customHeight="1"/>
    <row r="956" ht="29.25" customHeight="1"/>
    <row r="957" ht="29.25" customHeight="1"/>
    <row r="958" ht="29.25" customHeight="1"/>
    <row r="959" ht="29.25" customHeight="1"/>
    <row r="960" ht="29.25" customHeight="1"/>
    <row r="961" ht="29.25" customHeight="1"/>
    <row r="962" ht="29.25" customHeight="1"/>
    <row r="963" ht="29.25" customHeight="1"/>
    <row r="964" ht="29.25" customHeight="1"/>
    <row r="965" ht="29.25" customHeight="1"/>
    <row r="966" ht="29.25" customHeight="1"/>
    <row r="967" ht="29.25" customHeight="1"/>
    <row r="968" ht="29.25" customHeight="1"/>
    <row r="969" ht="29.25" customHeight="1"/>
    <row r="970" ht="29.25" customHeight="1"/>
    <row r="971" ht="29.25" customHeight="1"/>
    <row r="972" ht="29.25" customHeight="1"/>
    <row r="973" ht="29.25" customHeight="1"/>
    <row r="974" ht="29.25" customHeight="1"/>
    <row r="975" ht="29.25" customHeight="1"/>
    <row r="976" ht="29.25" customHeight="1"/>
    <row r="977" ht="29.25" customHeight="1"/>
    <row r="978" ht="29.25" customHeight="1"/>
    <row r="979" ht="29.25" customHeight="1"/>
    <row r="980" ht="29.25" customHeight="1"/>
    <row r="981" ht="29.25" customHeight="1"/>
    <row r="982" ht="29.25" customHeight="1"/>
    <row r="983" ht="29.25" customHeight="1"/>
    <row r="984" ht="29.25" customHeight="1"/>
    <row r="985" ht="29.25" customHeight="1"/>
    <row r="986" ht="29.25" customHeight="1"/>
    <row r="987" ht="29.25" customHeight="1"/>
    <row r="988" ht="29.25" customHeight="1"/>
    <row r="989" ht="29.25" customHeight="1"/>
    <row r="990" ht="29.25" customHeight="1"/>
    <row r="991" ht="29.25" customHeight="1"/>
    <row r="992" ht="29.25" customHeight="1"/>
    <row r="993" ht="29.25" customHeight="1"/>
    <row r="994" ht="29.25" customHeight="1"/>
    <row r="995" ht="29.25" customHeight="1"/>
    <row r="996" ht="29.25" customHeight="1"/>
    <row r="997" ht="29.25" customHeight="1"/>
    <row r="998" ht="29.25" customHeight="1"/>
    <row r="999" ht="29.25" customHeight="1"/>
    <row r="1000" ht="29.25" customHeight="1"/>
    <row r="1001" ht="29.25" customHeight="1"/>
    <row r="1002" ht="29.25" customHeight="1"/>
    <row r="1003" ht="29.25" customHeight="1"/>
    <row r="1004" ht="29.25" customHeight="1"/>
    <row r="1005" ht="29.25" customHeight="1"/>
    <row r="1006" ht="29.25" customHeight="1"/>
    <row r="1007" ht="29.25" customHeight="1"/>
    <row r="1008" ht="29.25" customHeight="1"/>
    <row r="1009" ht="29.25" customHeight="1"/>
    <row r="1010" ht="29.25" customHeight="1"/>
    <row r="1011" ht="29.25" customHeight="1"/>
    <row r="1012" ht="29.25" customHeight="1"/>
    <row r="1013" ht="29.25" customHeight="1"/>
    <row r="1014" ht="29.25" customHeight="1"/>
    <row r="1015" ht="29.25" customHeight="1"/>
    <row r="1016" ht="29.25" customHeight="1"/>
    <row r="1017" ht="29.25" customHeight="1"/>
    <row r="1018" ht="29.25" customHeight="1"/>
    <row r="1019" ht="29.25" customHeight="1"/>
    <row r="1020" ht="29.25" customHeight="1"/>
    <row r="1021" ht="29.25" customHeight="1"/>
    <row r="1022" ht="29.25" customHeight="1"/>
    <row r="1023" ht="29.25" customHeight="1"/>
    <row r="1024" ht="29.25" customHeight="1"/>
    <row r="1025" ht="29.25" customHeight="1"/>
    <row r="1026" ht="29.25" customHeight="1"/>
    <row r="1027" ht="29.25" customHeight="1"/>
    <row r="1028" ht="29.25" customHeight="1"/>
    <row r="1029" ht="29.25" customHeight="1"/>
    <row r="1030" ht="29.25" customHeight="1"/>
    <row r="1031" ht="29.25" customHeight="1"/>
    <row r="1032" ht="29.25" customHeight="1"/>
    <row r="1033" ht="29.25" customHeight="1"/>
    <row r="1034" ht="29.25" customHeight="1"/>
    <row r="1035" ht="29.25" customHeight="1"/>
    <row r="1036" ht="29.25" customHeight="1"/>
    <row r="1037" ht="29.25" customHeight="1"/>
    <row r="1038" ht="29.25" customHeight="1"/>
    <row r="1039" ht="29.25" customHeight="1"/>
    <row r="1040" ht="29.25" customHeight="1"/>
    <row r="1041" ht="29.25" customHeight="1"/>
    <row r="1042" ht="29.25" customHeight="1"/>
    <row r="1043" ht="29.25" customHeight="1"/>
    <row r="1044" ht="29.25" customHeight="1"/>
    <row r="1045" ht="29.25" customHeight="1"/>
    <row r="1046" ht="29.25" customHeight="1"/>
    <row r="1047" ht="29.25" customHeight="1"/>
    <row r="1048" ht="29.25" customHeight="1"/>
    <row r="1049" ht="29.25" customHeight="1"/>
    <row r="1050" ht="29.25" customHeight="1"/>
    <row r="1051" ht="29.25" customHeight="1"/>
    <row r="1052" ht="29.25" customHeight="1"/>
    <row r="1053" ht="29.25" customHeight="1"/>
    <row r="1054" ht="29.25" customHeight="1"/>
    <row r="1055" ht="29.25" customHeight="1"/>
    <row r="1056" ht="29.25" customHeight="1"/>
    <row r="1057" ht="29.25" customHeight="1"/>
    <row r="1058" ht="29.25" customHeight="1"/>
    <row r="1059" ht="29.25" customHeight="1"/>
    <row r="1060" ht="29.25" customHeight="1"/>
    <row r="1061" ht="29.25" customHeight="1"/>
    <row r="1062" ht="29.25" customHeight="1"/>
    <row r="1063" ht="29.25" customHeight="1"/>
    <row r="1064" ht="29.25" customHeight="1"/>
    <row r="1065" ht="29.25" customHeight="1"/>
    <row r="1066" ht="29.25" customHeight="1"/>
    <row r="1067" ht="29.25" customHeight="1"/>
    <row r="1068" ht="29.25" customHeight="1"/>
    <row r="1069" ht="29.25" customHeight="1"/>
    <row r="1070" ht="29.25" customHeight="1"/>
    <row r="1071" ht="29.25" customHeight="1"/>
    <row r="1072" ht="29.25" customHeight="1"/>
    <row r="1073" ht="29.25" customHeight="1"/>
    <row r="1074" ht="29.25" customHeight="1"/>
    <row r="1075" ht="29.25" customHeight="1"/>
    <row r="1076" ht="29.25" customHeight="1"/>
    <row r="1077" ht="29.25" customHeight="1"/>
    <row r="1078" ht="29.25" customHeight="1"/>
    <row r="1079" ht="29.25" customHeight="1"/>
    <row r="1080" ht="29.25" customHeight="1"/>
    <row r="1081" ht="29.25" customHeight="1"/>
    <row r="1082" ht="29.25" customHeight="1"/>
    <row r="1083" ht="29.25" customHeight="1"/>
    <row r="1084" ht="29.25" customHeight="1"/>
    <row r="1085" ht="29.25" customHeight="1"/>
    <row r="1086" ht="29.25" customHeight="1"/>
    <row r="1087" ht="29.25" customHeight="1"/>
    <row r="1088" ht="29.25" customHeight="1"/>
    <row r="1089" ht="29.25" customHeight="1"/>
    <row r="1090" ht="29.25" customHeight="1"/>
    <row r="1091" ht="29.25" customHeight="1"/>
    <row r="1092" ht="29.25" customHeight="1"/>
    <row r="1093" ht="29.25" customHeight="1"/>
    <row r="1094" ht="29.25" customHeight="1"/>
    <row r="1095" ht="29.25" customHeight="1"/>
    <row r="1096" ht="29.25" customHeight="1"/>
    <row r="1097" ht="29.25" customHeight="1"/>
    <row r="1098" ht="29.25" customHeight="1"/>
    <row r="1099" ht="29.25" customHeight="1"/>
    <row r="1100" ht="29.25" customHeight="1"/>
    <row r="1101" ht="29.25" customHeight="1"/>
    <row r="1102" ht="29.25" customHeight="1"/>
    <row r="1103" ht="29.25" customHeight="1"/>
    <row r="1104" ht="29.25" customHeight="1"/>
    <row r="1105" ht="29.25" customHeight="1"/>
    <row r="1106" ht="29.25" customHeight="1"/>
    <row r="1107" ht="29.25" customHeight="1"/>
    <row r="1108" ht="29.25" customHeight="1"/>
    <row r="1109" ht="29.25" customHeight="1"/>
    <row r="1110" ht="29.25" customHeight="1"/>
    <row r="1111" ht="29.25" customHeight="1"/>
    <row r="1112" ht="29.25" customHeight="1"/>
    <row r="1113" ht="29.25" customHeight="1"/>
    <row r="1114" ht="29.25" customHeight="1"/>
    <row r="1115" ht="29.25" customHeight="1"/>
    <row r="1116" ht="29.25" customHeight="1"/>
    <row r="1117" ht="29.25" customHeight="1"/>
    <row r="1118" ht="29.25" customHeight="1"/>
    <row r="1119" ht="29.25" customHeight="1"/>
  </sheetData>
  <conditionalFormatting sqref="B2:B200">
    <cfRule type="expression" dxfId="0" priority="2">
      <formula>COUNTIF($B$2:$B$199,B2)&gt;1</formula>
    </cfRule>
  </conditionalFormatting>
  <dataValidations count="3">
    <dataValidation type="list" allowBlank="1" sqref="F2:F199">
      <formula1>"FINALIZADO,EN PROCESO,PAUSADO,EN TEST,PENDIENTE,PRUEBAS CLIENTE,PENDIENTE CLIENTE,PRUEBAS IMAGINE,PASO A PRODUCCION"</formula1>
    </dataValidation>
    <dataValidation type="custom" allowBlank="1" showDropDown="1" sqref="I2:L199 O2:P199">
      <formula1>OR(NOT(ISERROR(DATEVALUE(I2))), AND(ISNUMBER(I2), LEFT(CELL("format", I2))="D"))</formula1>
    </dataValidation>
    <dataValidation allowBlank="1" showDropDown="1" sqref="R2:R199"/>
  </dataValidations>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5B5"/>
  </sheetPr>
  <dimension ref="A1:Z1000"/>
  <sheetViews>
    <sheetView workbookViewId="0"/>
  </sheetViews>
  <sheetFormatPr baseColWidth="10" defaultColWidth="11.21875" defaultRowHeight="15" customHeight="1"/>
  <cols>
    <col min="1" max="1" width="10.5546875" customWidth="1"/>
    <col min="2" max="2" width="32" customWidth="1"/>
    <col min="3" max="3" width="21.6640625" customWidth="1"/>
    <col min="4" max="4" width="10.88671875" customWidth="1"/>
    <col min="5" max="5" width="10.33203125" customWidth="1"/>
    <col min="6" max="6" width="11.109375" customWidth="1"/>
    <col min="7" max="7" width="10.5546875" customWidth="1"/>
    <col min="8" max="8" width="10.33203125" customWidth="1"/>
    <col min="9" max="9" width="4.6640625" customWidth="1"/>
    <col min="10" max="10" width="10.33203125" customWidth="1"/>
    <col min="11" max="11" width="12.77734375" customWidth="1"/>
    <col min="12" max="12" width="47.44140625" customWidth="1"/>
    <col min="13" max="26" width="10.5546875" customWidth="1"/>
  </cols>
  <sheetData>
    <row r="1" spans="1:26" ht="30">
      <c r="A1" s="178" t="s">
        <v>757</v>
      </c>
      <c r="B1" s="178" t="s">
        <v>2</v>
      </c>
      <c r="C1" s="178" t="s">
        <v>3</v>
      </c>
      <c r="D1" s="178" t="s">
        <v>4</v>
      </c>
      <c r="E1" s="179" t="s">
        <v>6</v>
      </c>
      <c r="F1" s="179" t="s">
        <v>7</v>
      </c>
      <c r="G1" s="180" t="s">
        <v>758</v>
      </c>
      <c r="H1" s="179" t="s">
        <v>9</v>
      </c>
      <c r="I1" s="179" t="s">
        <v>759</v>
      </c>
      <c r="J1" s="181" t="s">
        <v>12</v>
      </c>
      <c r="K1" s="178" t="s">
        <v>13</v>
      </c>
      <c r="L1" s="182" t="s">
        <v>760</v>
      </c>
      <c r="M1" s="183"/>
      <c r="N1" s="183"/>
      <c r="O1" s="183"/>
      <c r="P1" s="183"/>
      <c r="Q1" s="183"/>
      <c r="R1" s="183"/>
      <c r="S1" s="183"/>
      <c r="T1" s="183"/>
      <c r="U1" s="183"/>
      <c r="V1" s="183"/>
      <c r="W1" s="183"/>
      <c r="X1" s="183"/>
      <c r="Y1" s="183"/>
      <c r="Z1" s="183"/>
    </row>
    <row r="2" spans="1:26" ht="30">
      <c r="A2" s="184" t="s">
        <v>761</v>
      </c>
      <c r="B2" s="185" t="s">
        <v>762</v>
      </c>
      <c r="C2" s="186"/>
      <c r="D2" s="187" t="s">
        <v>763</v>
      </c>
      <c r="E2" s="188">
        <v>45526</v>
      </c>
      <c r="F2" s="188">
        <v>45526</v>
      </c>
      <c r="G2" s="186"/>
      <c r="H2" s="186"/>
      <c r="I2" s="186"/>
      <c r="J2" s="186"/>
      <c r="K2" s="186"/>
      <c r="L2" s="186" t="s">
        <v>764</v>
      </c>
      <c r="M2" s="189"/>
      <c r="N2" s="189"/>
      <c r="O2" s="189"/>
      <c r="P2" s="189"/>
      <c r="Q2" s="189"/>
      <c r="R2" s="189"/>
      <c r="S2" s="189"/>
      <c r="T2" s="189"/>
      <c r="U2" s="189"/>
      <c r="V2" s="189"/>
      <c r="W2" s="189"/>
      <c r="X2" s="189"/>
      <c r="Y2" s="189"/>
      <c r="Z2" s="189"/>
    </row>
    <row r="3" spans="1:26" ht="28.5">
      <c r="A3" s="190" t="s">
        <v>761</v>
      </c>
      <c r="B3" s="191" t="s">
        <v>765</v>
      </c>
      <c r="C3" s="192" t="s">
        <v>766</v>
      </c>
      <c r="D3" s="192" t="s">
        <v>37</v>
      </c>
      <c r="E3" s="193">
        <v>45560</v>
      </c>
      <c r="F3" s="193">
        <v>45560</v>
      </c>
      <c r="G3" s="194"/>
      <c r="H3" s="193">
        <v>45567</v>
      </c>
      <c r="I3" s="195">
        <f ca="1">IF(ISBLANK(H3), NETWORKDAYS(F3, TODAY(),fESTIVOS!$A$1:$A$18), NETWORKDAYS(F3, H3, fESTIVOS!$A$1:$A$18))</f>
        <v>6</v>
      </c>
      <c r="J3" s="193">
        <v>45567</v>
      </c>
      <c r="K3" s="194"/>
      <c r="L3" s="196" t="s">
        <v>767</v>
      </c>
      <c r="M3" s="183"/>
      <c r="N3" s="183"/>
      <c r="O3" s="183"/>
      <c r="P3" s="183"/>
      <c r="Q3" s="183"/>
      <c r="R3" s="183"/>
      <c r="S3" s="183"/>
      <c r="T3" s="183"/>
      <c r="U3" s="183"/>
      <c r="V3" s="183"/>
      <c r="W3" s="183"/>
      <c r="X3" s="183"/>
      <c r="Y3" s="183"/>
      <c r="Z3" s="183"/>
    </row>
    <row r="4" spans="1:26" ht="186">
      <c r="A4" s="197" t="s">
        <v>768</v>
      </c>
      <c r="B4" s="198" t="s">
        <v>769</v>
      </c>
      <c r="C4" s="199" t="s">
        <v>770</v>
      </c>
      <c r="D4" s="200" t="s">
        <v>771</v>
      </c>
      <c r="E4" s="201">
        <v>45581</v>
      </c>
      <c r="F4" s="201">
        <v>45581</v>
      </c>
      <c r="G4" s="201">
        <v>45582</v>
      </c>
      <c r="H4" s="202">
        <v>45590</v>
      </c>
      <c r="I4" s="203">
        <f ca="1">IF(ISBLANK(H4), NETWORKDAYS(F4, TODAY(),fESTIVOS!$A$1:$A$18), NETWORKDAYS(F4, H4, fESTIVOS!$A$1:$A$18))</f>
        <v>8</v>
      </c>
      <c r="J4" s="202">
        <v>45590</v>
      </c>
      <c r="K4" s="201"/>
      <c r="L4" s="197" t="s">
        <v>772</v>
      </c>
      <c r="M4" s="204"/>
      <c r="N4" s="204"/>
      <c r="O4" s="204"/>
      <c r="P4" s="204"/>
      <c r="Q4" s="204"/>
      <c r="R4" s="204"/>
      <c r="S4" s="204"/>
      <c r="T4" s="204"/>
      <c r="U4" s="204"/>
      <c r="V4" s="204"/>
      <c r="W4" s="204"/>
      <c r="X4" s="204"/>
      <c r="Y4" s="204"/>
      <c r="Z4" s="204"/>
    </row>
    <row r="5" spans="1:26" ht="30">
      <c r="A5" s="182" t="s">
        <v>761</v>
      </c>
      <c r="B5" s="198" t="s">
        <v>773</v>
      </c>
      <c r="C5" s="192" t="s">
        <v>774</v>
      </c>
      <c r="D5" s="205" t="s">
        <v>46</v>
      </c>
      <c r="E5" s="193">
        <v>45572</v>
      </c>
      <c r="F5" s="193">
        <v>45590</v>
      </c>
      <c r="G5" s="193"/>
      <c r="H5" s="193">
        <v>45594</v>
      </c>
      <c r="I5" s="195">
        <f ca="1">IF(ISBLANK(H5), NETWORKDAYS(F5, TODAY(),fESTIVOS!$A$1:$A$18), NETWORKDAYS(F5, H5, fESTIVOS!$A$1:$A$18))</f>
        <v>3</v>
      </c>
      <c r="J5" s="193">
        <v>45594</v>
      </c>
      <c r="K5" s="193"/>
      <c r="L5" s="196" t="s">
        <v>775</v>
      </c>
      <c r="M5" s="183"/>
      <c r="N5" s="183"/>
      <c r="O5" s="183"/>
      <c r="P5" s="183"/>
      <c r="Q5" s="183"/>
      <c r="R5" s="183"/>
      <c r="S5" s="183"/>
      <c r="T5" s="183"/>
      <c r="U5" s="183"/>
      <c r="V5" s="183"/>
      <c r="W5" s="183"/>
      <c r="X5" s="183"/>
      <c r="Y5" s="183"/>
      <c r="Z5" s="183"/>
    </row>
    <row r="6" spans="1:26" ht="117">
      <c r="A6" s="206" t="s">
        <v>776</v>
      </c>
      <c r="B6" s="206" t="s">
        <v>777</v>
      </c>
      <c r="C6" s="200" t="s">
        <v>778</v>
      </c>
      <c r="D6" s="206" t="s">
        <v>779</v>
      </c>
      <c r="E6" s="207">
        <v>45602</v>
      </c>
      <c r="F6" s="207">
        <v>45602</v>
      </c>
      <c r="G6" s="206"/>
      <c r="H6" s="207">
        <v>45602</v>
      </c>
      <c r="I6" s="203">
        <f ca="1">IF(ISBLANK(H6), NETWORKDAYS(F6, TODAY(),fESTIVOS!$A$1:$A$18), NETWORKDAYS(F6, H6, fESTIVOS!$A$1:$A$18))</f>
        <v>1</v>
      </c>
      <c r="J6" s="207"/>
      <c r="K6" s="207">
        <v>45602</v>
      </c>
      <c r="L6" s="208" t="s">
        <v>780</v>
      </c>
      <c r="M6" s="209"/>
      <c r="N6" s="210"/>
      <c r="O6" s="210"/>
      <c r="P6" s="210"/>
      <c r="Q6" s="210"/>
      <c r="R6" s="210"/>
      <c r="S6" s="210"/>
      <c r="T6" s="210"/>
      <c r="U6" s="210"/>
      <c r="V6" s="210"/>
      <c r="W6" s="210"/>
      <c r="X6" s="210"/>
      <c r="Y6" s="210"/>
      <c r="Z6" s="210"/>
    </row>
    <row r="7" spans="1:26" ht="99.75">
      <c r="A7" s="182" t="s">
        <v>761</v>
      </c>
      <c r="B7" s="191" t="s">
        <v>765</v>
      </c>
      <c r="C7" s="211" t="s">
        <v>781</v>
      </c>
      <c r="D7" s="205" t="s">
        <v>46</v>
      </c>
      <c r="E7" s="193">
        <v>45589</v>
      </c>
      <c r="F7" s="193">
        <v>45589</v>
      </c>
      <c r="G7" s="205"/>
      <c r="H7" s="212">
        <v>45603</v>
      </c>
      <c r="I7" s="195">
        <f ca="1">IF(ISBLANK(H7), NETWORKDAYS(F7, TODAY(),fESTIVOS!$A$1:$A$18), NETWORKDAYS(F7, H7, fESTIVOS!$A$1:$A$18))</f>
        <v>10</v>
      </c>
      <c r="J7" s="212">
        <v>45603</v>
      </c>
      <c r="K7" s="205"/>
      <c r="L7" s="213" t="s">
        <v>782</v>
      </c>
      <c r="M7" s="214"/>
      <c r="N7" s="214"/>
      <c r="O7" s="214"/>
      <c r="P7" s="214"/>
      <c r="Q7" s="214"/>
      <c r="R7" s="214"/>
      <c r="S7" s="214"/>
      <c r="T7" s="214"/>
      <c r="U7" s="214"/>
      <c r="V7" s="214"/>
      <c r="W7" s="214"/>
      <c r="X7" s="214"/>
      <c r="Y7" s="214"/>
      <c r="Z7" s="214"/>
    </row>
    <row r="8" spans="1:26" ht="71.25">
      <c r="A8" s="215" t="s">
        <v>761</v>
      </c>
      <c r="B8" s="216" t="s">
        <v>783</v>
      </c>
      <c r="C8" s="217"/>
      <c r="D8" s="217" t="s">
        <v>784</v>
      </c>
      <c r="E8" s="218">
        <v>45603</v>
      </c>
      <c r="F8" s="218">
        <v>45603</v>
      </c>
      <c r="G8" s="218"/>
      <c r="H8" s="218">
        <v>45610</v>
      </c>
      <c r="I8" s="219">
        <f ca="1">IF(ISBLANK(H8), NETWORKDAYS(F8, TODAY(),fESTIVOS!$A$1:$A$18), NETWORKDAYS(F8, H8, fESTIVOS!$A$1:$A$18))</f>
        <v>5</v>
      </c>
      <c r="J8" s="218">
        <v>45610</v>
      </c>
      <c r="K8" s="218"/>
      <c r="L8" s="220" t="s">
        <v>785</v>
      </c>
      <c r="M8" s="183"/>
      <c r="N8" s="183"/>
      <c r="O8" s="183"/>
      <c r="P8" s="183"/>
      <c r="Q8" s="183"/>
      <c r="R8" s="183"/>
      <c r="S8" s="183"/>
      <c r="T8" s="183"/>
      <c r="U8" s="183"/>
      <c r="V8" s="183"/>
      <c r="W8" s="183"/>
      <c r="X8" s="183"/>
      <c r="Y8" s="183"/>
      <c r="Z8" s="183"/>
    </row>
    <row r="9" spans="1:26" ht="42.75">
      <c r="A9" s="221" t="s">
        <v>786</v>
      </c>
      <c r="B9" s="222" t="s">
        <v>787</v>
      </c>
      <c r="C9" s="223" t="s">
        <v>788</v>
      </c>
      <c r="D9" s="224" t="s">
        <v>789</v>
      </c>
      <c r="E9" s="225">
        <v>45671</v>
      </c>
      <c r="F9" s="226">
        <v>45673</v>
      </c>
      <c r="G9" s="223" t="s">
        <v>790</v>
      </c>
      <c r="H9" s="225">
        <v>45680</v>
      </c>
      <c r="I9" s="203">
        <f ca="1">IF(ISBLANK(H9), NETWORKDAYS(F9, TODAY(),fESTIVOS!$A$1:$A$18), NETWORKDAYS(F9, H9, fESTIVOS!$A$1:$A$18))</f>
        <v>6</v>
      </c>
      <c r="J9" s="225">
        <v>45680</v>
      </c>
      <c r="K9" s="223"/>
      <c r="L9" s="227" t="s">
        <v>791</v>
      </c>
      <c r="M9" s="228"/>
      <c r="N9" s="228"/>
      <c r="O9" s="228"/>
      <c r="P9" s="228"/>
      <c r="Q9" s="228"/>
      <c r="R9" s="228"/>
      <c r="S9" s="228"/>
      <c r="T9" s="228"/>
      <c r="U9" s="228"/>
      <c r="V9" s="228"/>
      <c r="W9" s="228"/>
      <c r="X9" s="228"/>
      <c r="Y9" s="228"/>
      <c r="Z9" s="228"/>
    </row>
    <row r="10" spans="1:26" ht="57">
      <c r="A10" s="221" t="s">
        <v>786</v>
      </c>
      <c r="B10" s="229"/>
      <c r="C10" s="227" t="s">
        <v>792</v>
      </c>
      <c r="D10" s="224" t="s">
        <v>789</v>
      </c>
      <c r="E10" s="225">
        <v>45671</v>
      </c>
      <c r="F10" s="226">
        <v>45673</v>
      </c>
      <c r="G10" s="223"/>
      <c r="H10" s="225">
        <v>45674</v>
      </c>
      <c r="I10" s="203">
        <f ca="1">IF(ISBLANK(H10), NETWORKDAYS(F10, TODAY(),fESTIVOS!$A$1:$A$18), NETWORKDAYS(F10, H10, fESTIVOS!$A$1:$A$18))</f>
        <v>2</v>
      </c>
      <c r="J10" s="223"/>
      <c r="K10" s="223"/>
      <c r="L10" s="227" t="s">
        <v>793</v>
      </c>
      <c r="M10" s="228"/>
      <c r="N10" s="228"/>
      <c r="O10" s="228"/>
      <c r="P10" s="228"/>
      <c r="Q10" s="228"/>
      <c r="R10" s="228"/>
      <c r="S10" s="228"/>
      <c r="T10" s="228"/>
      <c r="U10" s="228"/>
      <c r="V10" s="228"/>
      <c r="W10" s="228"/>
      <c r="X10" s="228"/>
      <c r="Y10" s="228"/>
      <c r="Z10" s="228"/>
    </row>
    <row r="11" spans="1:26" ht="42.75">
      <c r="A11" s="221" t="s">
        <v>786</v>
      </c>
      <c r="B11" s="229"/>
      <c r="C11" s="227" t="s">
        <v>794</v>
      </c>
      <c r="D11" s="224" t="s">
        <v>789</v>
      </c>
      <c r="E11" s="225">
        <v>45671</v>
      </c>
      <c r="F11" s="226">
        <v>45673</v>
      </c>
      <c r="G11" s="223"/>
      <c r="H11" s="225">
        <v>45674</v>
      </c>
      <c r="I11" s="203">
        <f ca="1">IF(ISBLANK(H11), NETWORKDAYS(F11, TODAY(),fESTIVOS!$A$1:$A$18), NETWORKDAYS(F11, H11, fESTIVOS!$A$1:$A$18))</f>
        <v>2</v>
      </c>
      <c r="J11" s="223"/>
      <c r="K11" s="223"/>
      <c r="L11" s="227" t="s">
        <v>793</v>
      </c>
      <c r="M11" s="228"/>
      <c r="N11" s="228"/>
      <c r="O11" s="228"/>
      <c r="P11" s="228"/>
      <c r="Q11" s="228"/>
      <c r="R11" s="228"/>
      <c r="S11" s="228"/>
      <c r="T11" s="228"/>
      <c r="U11" s="228"/>
      <c r="V11" s="228"/>
      <c r="W11" s="228"/>
      <c r="X11" s="228"/>
      <c r="Y11" s="228"/>
      <c r="Z11" s="228"/>
    </row>
    <row r="12" spans="1:26" ht="42.75">
      <c r="A12" s="221" t="s">
        <v>786</v>
      </c>
      <c r="B12" s="229"/>
      <c r="C12" s="227" t="s">
        <v>795</v>
      </c>
      <c r="D12" s="224" t="s">
        <v>789</v>
      </c>
      <c r="E12" s="225">
        <v>45671</v>
      </c>
      <c r="F12" s="226">
        <v>45673</v>
      </c>
      <c r="G12" s="223"/>
      <c r="H12" s="225">
        <v>45674</v>
      </c>
      <c r="I12" s="203">
        <f ca="1">IF(ISBLANK(H12), NETWORKDAYS(F12, TODAY(),fESTIVOS!$A$1:$A$18), NETWORKDAYS(F12, H12, fESTIVOS!$A$1:$A$18))</f>
        <v>2</v>
      </c>
      <c r="J12" s="223"/>
      <c r="K12" s="223"/>
      <c r="L12" s="227" t="s">
        <v>793</v>
      </c>
      <c r="M12" s="228"/>
      <c r="N12" s="228"/>
      <c r="O12" s="228"/>
      <c r="P12" s="228"/>
      <c r="Q12" s="228"/>
      <c r="R12" s="228"/>
      <c r="S12" s="228"/>
      <c r="T12" s="228"/>
      <c r="U12" s="228"/>
      <c r="V12" s="228"/>
      <c r="W12" s="228"/>
      <c r="X12" s="228"/>
      <c r="Y12" s="228"/>
      <c r="Z12" s="228"/>
    </row>
    <row r="13" spans="1:26" ht="42.75">
      <c r="A13" s="221" t="s">
        <v>786</v>
      </c>
      <c r="B13" s="229"/>
      <c r="C13" s="227" t="s">
        <v>796</v>
      </c>
      <c r="D13" s="224" t="s">
        <v>789</v>
      </c>
      <c r="E13" s="225">
        <v>45671</v>
      </c>
      <c r="F13" s="226">
        <v>45673</v>
      </c>
      <c r="G13" s="223"/>
      <c r="H13" s="225">
        <v>45677</v>
      </c>
      <c r="I13" s="203">
        <f ca="1">IF(ISBLANK(H13), NETWORKDAYS(F13, TODAY(),fESTIVOS!$A$1:$A$18), NETWORKDAYS(F13, H13, fESTIVOS!$A$1:$A$18))</f>
        <v>3</v>
      </c>
      <c r="J13" s="223"/>
      <c r="K13" s="223"/>
      <c r="L13" s="227" t="s">
        <v>793</v>
      </c>
      <c r="M13" s="228"/>
      <c r="N13" s="228"/>
      <c r="O13" s="228"/>
      <c r="P13" s="228"/>
      <c r="Q13" s="228"/>
      <c r="R13" s="228"/>
      <c r="S13" s="228"/>
      <c r="T13" s="228"/>
      <c r="U13" s="228"/>
      <c r="V13" s="228"/>
      <c r="W13" s="228"/>
      <c r="X13" s="228"/>
      <c r="Y13" s="228"/>
      <c r="Z13" s="228"/>
    </row>
    <row r="14" spans="1:26" ht="42.75">
      <c r="A14" s="221" t="s">
        <v>786</v>
      </c>
      <c r="B14" s="229"/>
      <c r="C14" s="227" t="s">
        <v>797</v>
      </c>
      <c r="D14" s="224" t="s">
        <v>789</v>
      </c>
      <c r="E14" s="225">
        <v>45671</v>
      </c>
      <c r="F14" s="226">
        <v>45678</v>
      </c>
      <c r="G14" s="223"/>
      <c r="H14" s="226">
        <v>45678</v>
      </c>
      <c r="I14" s="203">
        <f ca="1">IF(ISBLANK(H14), NETWORKDAYS(F14, TODAY(),fESTIVOS!$A$1:$A$18), NETWORKDAYS(F14, H14, fESTIVOS!$A$1:$A$18))</f>
        <v>1</v>
      </c>
      <c r="J14" s="223"/>
      <c r="K14" s="223"/>
      <c r="L14" s="223" t="s">
        <v>798</v>
      </c>
      <c r="M14" s="228"/>
      <c r="N14" s="228"/>
      <c r="O14" s="228"/>
      <c r="P14" s="228"/>
      <c r="Q14" s="228"/>
      <c r="R14" s="228"/>
      <c r="S14" s="228"/>
      <c r="T14" s="228"/>
      <c r="U14" s="228"/>
      <c r="V14" s="228"/>
      <c r="W14" s="228"/>
      <c r="X14" s="228"/>
      <c r="Y14" s="228"/>
      <c r="Z14" s="228"/>
    </row>
    <row r="15" spans="1:26" ht="42.75">
      <c r="A15" s="221" t="s">
        <v>786</v>
      </c>
      <c r="B15" s="229"/>
      <c r="C15" s="227" t="s">
        <v>799</v>
      </c>
      <c r="D15" s="224" t="s">
        <v>789</v>
      </c>
      <c r="E15" s="225">
        <v>45671</v>
      </c>
      <c r="F15" s="226">
        <v>45679</v>
      </c>
      <c r="G15" s="223"/>
      <c r="H15" s="226">
        <v>45679</v>
      </c>
      <c r="I15" s="203">
        <f ca="1">IF(ISBLANK(H15), NETWORKDAYS(F15, TODAY(),fESTIVOS!$A$1:$A$18), NETWORKDAYS(F15, H15, fESTIVOS!$A$1:$A$18))</f>
        <v>1</v>
      </c>
      <c r="J15" s="223"/>
      <c r="K15" s="223"/>
      <c r="L15" s="223" t="s">
        <v>798</v>
      </c>
      <c r="M15" s="228"/>
      <c r="N15" s="228"/>
      <c r="O15" s="228"/>
      <c r="P15" s="228"/>
      <c r="Q15" s="228"/>
      <c r="R15" s="228"/>
      <c r="S15" s="228"/>
      <c r="T15" s="228"/>
      <c r="U15" s="228"/>
      <c r="V15" s="228"/>
      <c r="W15" s="228"/>
      <c r="X15" s="228"/>
      <c r="Y15" s="228"/>
      <c r="Z15" s="228"/>
    </row>
    <row r="16" spans="1:26" ht="71.25">
      <c r="A16" s="221" t="s">
        <v>786</v>
      </c>
      <c r="B16" s="230"/>
      <c r="C16" s="231" t="s">
        <v>800</v>
      </c>
      <c r="D16" s="224" t="s">
        <v>789</v>
      </c>
      <c r="E16" s="225">
        <v>45681</v>
      </c>
      <c r="F16" s="226">
        <v>45684</v>
      </c>
      <c r="G16" s="223"/>
      <c r="H16" s="225">
        <v>45685</v>
      </c>
      <c r="I16" s="203">
        <f ca="1">IF(ISBLANK(H16), NETWORKDAYS(F16, TODAY(),fESTIVOS!$A$1:$A$18), NETWORKDAYS(F16, H16, fESTIVOS!$A$1:$A$18))</f>
        <v>2</v>
      </c>
      <c r="J16" s="223"/>
      <c r="K16" s="223"/>
      <c r="L16" s="227" t="s">
        <v>801</v>
      </c>
      <c r="M16" s="228"/>
      <c r="N16" s="228"/>
      <c r="O16" s="228"/>
      <c r="P16" s="228"/>
      <c r="Q16" s="228"/>
      <c r="R16" s="228"/>
      <c r="S16" s="228"/>
      <c r="T16" s="228"/>
      <c r="U16" s="228"/>
      <c r="V16" s="228"/>
      <c r="W16" s="228"/>
      <c r="X16" s="228"/>
      <c r="Y16" s="228"/>
      <c r="Z16" s="228"/>
    </row>
    <row r="17" spans="1:26" ht="15.75" customHeight="1">
      <c r="A17" s="189"/>
      <c r="B17" s="189"/>
      <c r="C17" s="189"/>
      <c r="D17" s="189"/>
      <c r="E17" s="189"/>
      <c r="F17" s="189"/>
      <c r="G17" s="189"/>
      <c r="H17" s="189"/>
      <c r="I17" s="189"/>
      <c r="J17" s="189"/>
      <c r="K17" s="189"/>
      <c r="L17" s="189"/>
      <c r="M17" s="189"/>
      <c r="N17" s="189"/>
      <c r="O17" s="189"/>
      <c r="P17" s="189"/>
      <c r="Q17" s="189"/>
      <c r="R17" s="189"/>
      <c r="S17" s="189"/>
      <c r="T17" s="189"/>
      <c r="U17" s="189"/>
      <c r="V17" s="189"/>
      <c r="W17" s="189"/>
      <c r="X17" s="189"/>
      <c r="Y17" s="189"/>
      <c r="Z17" s="189"/>
    </row>
    <row r="18" spans="1:26" ht="15.75" customHeight="1">
      <c r="A18" s="189"/>
      <c r="B18" s="189"/>
      <c r="C18" s="189"/>
      <c r="D18" s="189"/>
      <c r="E18" s="189"/>
      <c r="F18" s="189"/>
      <c r="G18" s="189"/>
      <c r="H18" s="189"/>
      <c r="I18" s="189"/>
      <c r="J18" s="189"/>
      <c r="K18" s="189"/>
      <c r="L18" s="189"/>
      <c r="M18" s="189"/>
      <c r="N18" s="189"/>
      <c r="O18" s="189"/>
      <c r="P18" s="189"/>
      <c r="Q18" s="189"/>
      <c r="R18" s="189"/>
      <c r="S18" s="189"/>
      <c r="T18" s="189"/>
      <c r="U18" s="189"/>
      <c r="V18" s="189"/>
      <c r="W18" s="189"/>
      <c r="X18" s="189"/>
      <c r="Y18" s="189"/>
      <c r="Z18" s="189"/>
    </row>
    <row r="19" spans="1:26" ht="15.75" customHeight="1">
      <c r="A19" s="189"/>
      <c r="B19" s="189"/>
      <c r="C19" s="189"/>
      <c r="D19" s="189"/>
      <c r="E19" s="189"/>
      <c r="F19" s="189"/>
      <c r="G19" s="189"/>
      <c r="H19" s="189"/>
      <c r="I19" s="189"/>
      <c r="J19" s="189"/>
      <c r="K19" s="189"/>
      <c r="L19" s="189"/>
      <c r="M19" s="189"/>
      <c r="N19" s="189"/>
      <c r="O19" s="189"/>
      <c r="P19" s="189"/>
      <c r="Q19" s="189"/>
      <c r="R19" s="189"/>
      <c r="S19" s="189"/>
      <c r="T19" s="189"/>
      <c r="U19" s="189"/>
      <c r="V19" s="189"/>
      <c r="W19" s="189"/>
      <c r="X19" s="189"/>
      <c r="Y19" s="189"/>
      <c r="Z19" s="189"/>
    </row>
    <row r="20" spans="1:26" ht="15.75" customHeight="1">
      <c r="A20" s="189"/>
      <c r="B20" s="189"/>
      <c r="C20" s="189"/>
      <c r="D20" s="189"/>
      <c r="E20" s="189"/>
      <c r="F20" s="189"/>
      <c r="G20" s="189"/>
      <c r="H20" s="189"/>
      <c r="I20" s="189"/>
      <c r="J20" s="189"/>
      <c r="K20" s="189"/>
      <c r="L20" s="189"/>
      <c r="M20" s="189"/>
      <c r="N20" s="189"/>
      <c r="O20" s="189"/>
      <c r="P20" s="189"/>
      <c r="Q20" s="189"/>
      <c r="R20" s="189"/>
      <c r="S20" s="189"/>
      <c r="T20" s="189"/>
      <c r="U20" s="189"/>
      <c r="V20" s="189"/>
      <c r="W20" s="189"/>
      <c r="X20" s="189"/>
      <c r="Y20" s="189"/>
      <c r="Z20" s="189"/>
    </row>
    <row r="21" spans="1:26" ht="15.75" customHeight="1">
      <c r="A21" s="189"/>
      <c r="B21" s="189"/>
      <c r="C21" s="189"/>
      <c r="D21" s="189"/>
      <c r="E21" s="189"/>
      <c r="F21" s="189"/>
      <c r="G21" s="189"/>
      <c r="H21" s="189"/>
      <c r="I21" s="189"/>
      <c r="J21" s="189"/>
      <c r="K21" s="189"/>
      <c r="L21" s="189"/>
      <c r="M21" s="189"/>
      <c r="N21" s="189"/>
      <c r="O21" s="189"/>
      <c r="P21" s="189"/>
      <c r="Q21" s="189"/>
      <c r="R21" s="189"/>
      <c r="S21" s="189"/>
      <c r="T21" s="189"/>
      <c r="U21" s="189"/>
      <c r="V21" s="189"/>
      <c r="W21" s="189"/>
      <c r="X21" s="189"/>
      <c r="Y21" s="189"/>
      <c r="Z21" s="189"/>
    </row>
    <row r="22" spans="1:26" ht="15.75" customHeight="1">
      <c r="A22" s="189"/>
      <c r="B22" s="189"/>
      <c r="C22" s="189"/>
      <c r="D22" s="189"/>
      <c r="E22" s="189"/>
      <c r="F22" s="189"/>
      <c r="G22" s="189"/>
      <c r="H22" s="189"/>
      <c r="I22" s="189"/>
      <c r="J22" s="189"/>
      <c r="K22" s="189"/>
      <c r="L22" s="189"/>
      <c r="M22" s="189"/>
      <c r="N22" s="189"/>
      <c r="O22" s="189"/>
      <c r="P22" s="189"/>
      <c r="Q22" s="189"/>
      <c r="R22" s="189"/>
      <c r="S22" s="189"/>
      <c r="T22" s="189"/>
      <c r="U22" s="189"/>
      <c r="V22" s="189"/>
      <c r="W22" s="189"/>
      <c r="X22" s="189"/>
      <c r="Y22" s="189"/>
      <c r="Z22" s="189"/>
    </row>
    <row r="23" spans="1:26" ht="15.75" customHeight="1">
      <c r="A23" s="189"/>
      <c r="B23" s="189"/>
      <c r="C23" s="189"/>
      <c r="D23" s="189"/>
      <c r="E23" s="189"/>
      <c r="F23" s="189"/>
      <c r="G23" s="189"/>
      <c r="H23" s="189"/>
      <c r="I23" s="189"/>
      <c r="J23" s="189"/>
      <c r="K23" s="189"/>
      <c r="L23" s="189"/>
      <c r="M23" s="189"/>
      <c r="N23" s="189"/>
      <c r="O23" s="189"/>
      <c r="P23" s="189"/>
      <c r="Q23" s="189"/>
      <c r="R23" s="189"/>
      <c r="S23" s="189"/>
      <c r="T23" s="189"/>
      <c r="U23" s="189"/>
      <c r="V23" s="189"/>
      <c r="W23" s="189"/>
      <c r="X23" s="189"/>
      <c r="Y23" s="189"/>
      <c r="Z23" s="189"/>
    </row>
    <row r="24" spans="1:26" ht="15.75" customHeight="1">
      <c r="A24" s="189"/>
      <c r="B24" s="189"/>
      <c r="C24" s="189"/>
      <c r="D24" s="189"/>
      <c r="E24" s="189"/>
      <c r="F24" s="189"/>
      <c r="G24" s="189"/>
      <c r="H24" s="189"/>
      <c r="I24" s="189"/>
      <c r="J24" s="189"/>
      <c r="K24" s="189"/>
      <c r="L24" s="189"/>
      <c r="M24" s="189"/>
      <c r="N24" s="189"/>
      <c r="O24" s="189"/>
      <c r="P24" s="189"/>
      <c r="Q24" s="189"/>
      <c r="R24" s="189"/>
      <c r="S24" s="189"/>
      <c r="T24" s="189"/>
      <c r="U24" s="189"/>
      <c r="V24" s="189"/>
      <c r="W24" s="189"/>
      <c r="X24" s="189"/>
      <c r="Y24" s="189"/>
      <c r="Z24" s="189"/>
    </row>
    <row r="25" spans="1:26" ht="15.75" customHeight="1">
      <c r="A25" s="189"/>
      <c r="B25" s="189"/>
      <c r="C25" s="189"/>
      <c r="D25" s="189"/>
      <c r="E25" s="189"/>
      <c r="F25" s="189"/>
      <c r="G25" s="189"/>
      <c r="H25" s="189"/>
      <c r="I25" s="189"/>
      <c r="J25" s="189"/>
      <c r="K25" s="189"/>
      <c r="L25" s="189"/>
      <c r="M25" s="189"/>
      <c r="N25" s="189"/>
      <c r="O25" s="189"/>
      <c r="P25" s="189"/>
      <c r="Q25" s="189"/>
      <c r="R25" s="189"/>
      <c r="S25" s="189"/>
      <c r="T25" s="189"/>
      <c r="U25" s="189"/>
      <c r="V25" s="189"/>
      <c r="W25" s="189"/>
      <c r="X25" s="189"/>
      <c r="Y25" s="189"/>
      <c r="Z25" s="189"/>
    </row>
    <row r="26" spans="1:26" ht="15.75" customHeight="1">
      <c r="A26" s="189"/>
      <c r="B26" s="189"/>
      <c r="C26" s="189"/>
      <c r="D26" s="189"/>
      <c r="E26" s="189"/>
      <c r="F26" s="189"/>
      <c r="G26" s="189"/>
      <c r="H26" s="189"/>
      <c r="I26" s="189"/>
      <c r="J26" s="189"/>
      <c r="K26" s="189"/>
      <c r="L26" s="189"/>
      <c r="M26" s="189"/>
      <c r="N26" s="189"/>
      <c r="O26" s="189"/>
      <c r="P26" s="189"/>
      <c r="Q26" s="189"/>
      <c r="R26" s="189"/>
      <c r="S26" s="189"/>
      <c r="T26" s="189"/>
      <c r="U26" s="189"/>
      <c r="V26" s="189"/>
      <c r="W26" s="189"/>
      <c r="X26" s="189"/>
      <c r="Y26" s="189"/>
      <c r="Z26" s="189"/>
    </row>
    <row r="27" spans="1:26" ht="15.75" customHeight="1">
      <c r="A27" s="189"/>
      <c r="B27" s="189"/>
      <c r="C27" s="189"/>
      <c r="D27" s="189"/>
      <c r="E27" s="189"/>
      <c r="F27" s="189"/>
      <c r="G27" s="189"/>
      <c r="H27" s="189"/>
      <c r="I27" s="189"/>
      <c r="J27" s="189"/>
      <c r="K27" s="189"/>
      <c r="L27" s="189"/>
      <c r="M27" s="189"/>
      <c r="N27" s="189"/>
      <c r="O27" s="189"/>
      <c r="P27" s="189"/>
      <c r="Q27" s="189"/>
      <c r="R27" s="189"/>
      <c r="S27" s="189"/>
      <c r="T27" s="189"/>
      <c r="U27" s="189"/>
      <c r="V27" s="189"/>
      <c r="W27" s="189"/>
      <c r="X27" s="189"/>
      <c r="Y27" s="189"/>
      <c r="Z27" s="189"/>
    </row>
    <row r="28" spans="1:26" ht="15.75" customHeight="1">
      <c r="A28" s="189"/>
      <c r="B28" s="189"/>
      <c r="C28" s="189"/>
      <c r="D28" s="189"/>
      <c r="E28" s="189"/>
      <c r="F28" s="189"/>
      <c r="G28" s="189"/>
      <c r="H28" s="189"/>
      <c r="I28" s="189"/>
      <c r="J28" s="189"/>
      <c r="K28" s="189"/>
      <c r="L28" s="189"/>
      <c r="M28" s="189"/>
      <c r="N28" s="189"/>
      <c r="O28" s="189"/>
      <c r="P28" s="189"/>
      <c r="Q28" s="189"/>
      <c r="R28" s="189"/>
      <c r="S28" s="189"/>
      <c r="T28" s="189"/>
      <c r="U28" s="189"/>
      <c r="V28" s="189"/>
      <c r="W28" s="189"/>
      <c r="X28" s="189"/>
      <c r="Y28" s="189"/>
      <c r="Z28" s="189"/>
    </row>
    <row r="29" spans="1:26" ht="15.75" customHeight="1">
      <c r="A29" s="189"/>
      <c r="B29" s="189"/>
      <c r="C29" s="189"/>
      <c r="D29" s="189"/>
      <c r="E29" s="189"/>
      <c r="F29" s="189"/>
      <c r="G29" s="189"/>
      <c r="H29" s="189"/>
      <c r="I29" s="189"/>
      <c r="J29" s="189"/>
      <c r="K29" s="189"/>
      <c r="L29" s="189"/>
      <c r="M29" s="189"/>
      <c r="N29" s="189"/>
      <c r="O29" s="189"/>
      <c r="P29" s="189"/>
      <c r="Q29" s="189"/>
      <c r="R29" s="189"/>
      <c r="S29" s="189"/>
      <c r="T29" s="189"/>
      <c r="U29" s="189"/>
      <c r="V29" s="189"/>
      <c r="W29" s="189"/>
      <c r="X29" s="189"/>
      <c r="Y29" s="189"/>
      <c r="Z29" s="189"/>
    </row>
    <row r="30" spans="1:26" ht="15.75" customHeight="1">
      <c r="A30" s="189"/>
      <c r="B30" s="189"/>
      <c r="C30" s="189"/>
      <c r="D30" s="189"/>
      <c r="E30" s="189"/>
      <c r="F30" s="189"/>
      <c r="G30" s="189"/>
      <c r="H30" s="189"/>
      <c r="I30" s="189"/>
      <c r="J30" s="189"/>
      <c r="K30" s="189"/>
      <c r="L30" s="189"/>
      <c r="M30" s="189"/>
      <c r="N30" s="189"/>
      <c r="O30" s="189"/>
      <c r="P30" s="189"/>
      <c r="Q30" s="189"/>
      <c r="R30" s="189"/>
      <c r="S30" s="189"/>
      <c r="T30" s="189"/>
      <c r="U30" s="189"/>
      <c r="V30" s="189"/>
      <c r="W30" s="189"/>
      <c r="X30" s="189"/>
      <c r="Y30" s="189"/>
      <c r="Z30" s="189"/>
    </row>
    <row r="31" spans="1:26" ht="15.75" customHeight="1">
      <c r="A31" s="189"/>
      <c r="B31" s="189"/>
      <c r="C31" s="189"/>
      <c r="D31" s="189"/>
      <c r="E31" s="189"/>
      <c r="F31" s="189"/>
      <c r="G31" s="189"/>
      <c r="H31" s="189"/>
      <c r="I31" s="189"/>
      <c r="J31" s="189"/>
      <c r="K31" s="189"/>
      <c r="L31" s="189"/>
      <c r="M31" s="189"/>
      <c r="N31" s="189"/>
      <c r="O31" s="189"/>
      <c r="P31" s="189"/>
      <c r="Q31" s="189"/>
      <c r="R31" s="189"/>
      <c r="S31" s="189"/>
      <c r="T31" s="189"/>
      <c r="U31" s="189"/>
      <c r="V31" s="189"/>
      <c r="W31" s="189"/>
      <c r="X31" s="189"/>
      <c r="Y31" s="189"/>
      <c r="Z31" s="189"/>
    </row>
    <row r="32" spans="1:26" ht="15.75" customHeight="1">
      <c r="A32" s="189"/>
      <c r="B32" s="189"/>
      <c r="C32" s="189"/>
      <c r="D32" s="189"/>
      <c r="E32" s="189"/>
      <c r="F32" s="189"/>
      <c r="G32" s="189"/>
      <c r="H32" s="189"/>
      <c r="I32" s="189"/>
      <c r="J32" s="189"/>
      <c r="K32" s="189"/>
      <c r="L32" s="189"/>
      <c r="M32" s="189"/>
      <c r="N32" s="189"/>
      <c r="O32" s="189"/>
      <c r="P32" s="189"/>
      <c r="Q32" s="189"/>
      <c r="R32" s="189"/>
      <c r="S32" s="189"/>
      <c r="T32" s="189"/>
      <c r="U32" s="189"/>
      <c r="V32" s="189"/>
      <c r="W32" s="189"/>
      <c r="X32" s="189"/>
      <c r="Y32" s="189"/>
      <c r="Z32" s="189"/>
    </row>
    <row r="33" spans="1:26" ht="15.75" customHeight="1">
      <c r="A33" s="189"/>
      <c r="B33" s="189"/>
      <c r="C33" s="189"/>
      <c r="D33" s="189"/>
      <c r="E33" s="189"/>
      <c r="F33" s="189"/>
      <c r="G33" s="189"/>
      <c r="H33" s="189"/>
      <c r="I33" s="189"/>
      <c r="J33" s="189"/>
      <c r="K33" s="189"/>
      <c r="L33" s="189"/>
      <c r="M33" s="189"/>
      <c r="N33" s="189"/>
      <c r="O33" s="189"/>
      <c r="P33" s="189"/>
      <c r="Q33" s="189"/>
      <c r="R33" s="189"/>
      <c r="S33" s="189"/>
      <c r="T33" s="189"/>
      <c r="U33" s="189"/>
      <c r="V33" s="189"/>
      <c r="W33" s="189"/>
      <c r="X33" s="189"/>
      <c r="Y33" s="189"/>
      <c r="Z33" s="189"/>
    </row>
    <row r="34" spans="1:26" ht="15.75" customHeight="1">
      <c r="A34" s="189"/>
      <c r="B34" s="189"/>
      <c r="C34" s="189"/>
      <c r="D34" s="189"/>
      <c r="E34" s="189"/>
      <c r="F34" s="189"/>
      <c r="G34" s="189"/>
      <c r="H34" s="189"/>
      <c r="I34" s="189"/>
      <c r="J34" s="189"/>
      <c r="K34" s="189"/>
      <c r="L34" s="189"/>
      <c r="M34" s="189"/>
      <c r="N34" s="189"/>
      <c r="O34" s="189"/>
      <c r="P34" s="189"/>
      <c r="Q34" s="189"/>
      <c r="R34" s="189"/>
      <c r="S34" s="189"/>
      <c r="T34" s="189"/>
      <c r="U34" s="189"/>
      <c r="V34" s="189"/>
      <c r="W34" s="189"/>
      <c r="X34" s="189"/>
      <c r="Y34" s="189"/>
      <c r="Z34" s="189"/>
    </row>
    <row r="35" spans="1:26" ht="15.75" customHeight="1">
      <c r="A35" s="189"/>
      <c r="B35" s="189"/>
      <c r="C35" s="189"/>
      <c r="D35" s="189"/>
      <c r="E35" s="189"/>
      <c r="F35" s="189"/>
      <c r="G35" s="189"/>
      <c r="H35" s="189"/>
      <c r="I35" s="189"/>
      <c r="J35" s="189"/>
      <c r="K35" s="189"/>
      <c r="L35" s="189"/>
      <c r="M35" s="189"/>
      <c r="N35" s="189"/>
      <c r="O35" s="189"/>
      <c r="P35" s="189"/>
      <c r="Q35" s="189"/>
      <c r="R35" s="189"/>
      <c r="S35" s="189"/>
      <c r="T35" s="189"/>
      <c r="U35" s="189"/>
      <c r="V35" s="189"/>
      <c r="W35" s="189"/>
      <c r="X35" s="189"/>
      <c r="Y35" s="189"/>
      <c r="Z35" s="189"/>
    </row>
    <row r="36" spans="1:26" ht="15.75" customHeight="1">
      <c r="A36" s="189"/>
      <c r="B36" s="189"/>
      <c r="C36" s="189"/>
      <c r="D36" s="189"/>
      <c r="E36" s="189"/>
      <c r="F36" s="189"/>
      <c r="G36" s="189"/>
      <c r="H36" s="189"/>
      <c r="I36" s="189"/>
      <c r="J36" s="189"/>
      <c r="K36" s="189"/>
      <c r="L36" s="189"/>
      <c r="M36" s="189"/>
      <c r="N36" s="189"/>
      <c r="O36" s="189"/>
      <c r="P36" s="189"/>
      <c r="Q36" s="189"/>
      <c r="R36" s="189"/>
      <c r="S36" s="189"/>
      <c r="T36" s="189"/>
      <c r="U36" s="189"/>
      <c r="V36" s="189"/>
      <c r="W36" s="189"/>
      <c r="X36" s="189"/>
      <c r="Y36" s="189"/>
      <c r="Z36" s="189"/>
    </row>
    <row r="37" spans="1:26" ht="15.75" customHeight="1">
      <c r="A37" s="189"/>
      <c r="B37" s="189"/>
      <c r="C37" s="189"/>
      <c r="D37" s="189"/>
      <c r="E37" s="189"/>
      <c r="F37" s="189"/>
      <c r="G37" s="189"/>
      <c r="H37" s="189"/>
      <c r="I37" s="189"/>
      <c r="J37" s="189"/>
      <c r="K37" s="189"/>
      <c r="L37" s="189"/>
      <c r="M37" s="189"/>
      <c r="N37" s="189"/>
      <c r="O37" s="189"/>
      <c r="P37" s="189"/>
      <c r="Q37" s="189"/>
      <c r="R37" s="189"/>
      <c r="S37" s="189"/>
      <c r="T37" s="189"/>
      <c r="U37" s="189"/>
      <c r="V37" s="189"/>
      <c r="W37" s="189"/>
      <c r="X37" s="189"/>
      <c r="Y37" s="189"/>
      <c r="Z37" s="189"/>
    </row>
    <row r="38" spans="1:26" ht="15.75" customHeight="1">
      <c r="A38" s="189"/>
      <c r="B38" s="189"/>
      <c r="C38" s="189"/>
      <c r="D38" s="189"/>
      <c r="E38" s="189"/>
      <c r="F38" s="189"/>
      <c r="G38" s="189"/>
      <c r="H38" s="189"/>
      <c r="I38" s="189"/>
      <c r="J38" s="189"/>
      <c r="K38" s="189"/>
      <c r="L38" s="189"/>
      <c r="M38" s="189"/>
      <c r="N38" s="189"/>
      <c r="O38" s="189"/>
      <c r="P38" s="189"/>
      <c r="Q38" s="189"/>
      <c r="R38" s="189"/>
      <c r="S38" s="189"/>
      <c r="T38" s="189"/>
      <c r="U38" s="189"/>
      <c r="V38" s="189"/>
      <c r="W38" s="189"/>
      <c r="X38" s="189"/>
      <c r="Y38" s="189"/>
      <c r="Z38" s="189"/>
    </row>
    <row r="39" spans="1:26" ht="15.75" customHeight="1">
      <c r="A39" s="189"/>
      <c r="B39" s="189"/>
      <c r="C39" s="189"/>
      <c r="D39" s="189"/>
      <c r="E39" s="189"/>
      <c r="F39" s="189"/>
      <c r="G39" s="189"/>
      <c r="H39" s="189"/>
      <c r="I39" s="189"/>
      <c r="J39" s="189"/>
      <c r="K39" s="189"/>
      <c r="L39" s="189"/>
      <c r="M39" s="189"/>
      <c r="N39" s="189"/>
      <c r="O39" s="189"/>
      <c r="P39" s="189"/>
      <c r="Q39" s="189"/>
      <c r="R39" s="189"/>
      <c r="S39" s="189"/>
      <c r="T39" s="189"/>
      <c r="U39" s="189"/>
      <c r="V39" s="189"/>
      <c r="W39" s="189"/>
      <c r="X39" s="189"/>
      <c r="Y39" s="189"/>
      <c r="Z39" s="189"/>
    </row>
    <row r="40" spans="1:26" ht="15.75" customHeight="1">
      <c r="A40" s="189"/>
      <c r="B40" s="189"/>
      <c r="C40" s="189"/>
      <c r="D40" s="189"/>
      <c r="E40" s="189"/>
      <c r="F40" s="189"/>
      <c r="G40" s="189"/>
      <c r="H40" s="189"/>
      <c r="I40" s="189"/>
      <c r="J40" s="189"/>
      <c r="K40" s="189"/>
      <c r="L40" s="189"/>
      <c r="M40" s="189"/>
      <c r="N40" s="189"/>
      <c r="O40" s="189"/>
      <c r="P40" s="189"/>
      <c r="Q40" s="189"/>
      <c r="R40" s="189"/>
      <c r="S40" s="189"/>
      <c r="T40" s="189"/>
      <c r="U40" s="189"/>
      <c r="V40" s="189"/>
      <c r="W40" s="189"/>
      <c r="X40" s="189"/>
      <c r="Y40" s="189"/>
      <c r="Z40" s="189"/>
    </row>
    <row r="41" spans="1:26" ht="15.75" customHeight="1">
      <c r="A41" s="189"/>
      <c r="B41" s="189"/>
      <c r="C41" s="189"/>
      <c r="D41" s="189"/>
      <c r="E41" s="189"/>
      <c r="F41" s="189"/>
      <c r="G41" s="189"/>
      <c r="H41" s="189"/>
      <c r="I41" s="189"/>
      <c r="J41" s="189"/>
      <c r="K41" s="189"/>
      <c r="L41" s="189"/>
      <c r="M41" s="189"/>
      <c r="N41" s="189"/>
      <c r="O41" s="189"/>
      <c r="P41" s="189"/>
      <c r="Q41" s="189"/>
      <c r="R41" s="189"/>
      <c r="S41" s="189"/>
      <c r="T41" s="189"/>
      <c r="U41" s="189"/>
      <c r="V41" s="189"/>
      <c r="W41" s="189"/>
      <c r="X41" s="189"/>
      <c r="Y41" s="189"/>
      <c r="Z41" s="189"/>
    </row>
    <row r="42" spans="1:26" ht="15.75" customHeight="1">
      <c r="A42" s="189"/>
      <c r="B42" s="189"/>
      <c r="C42" s="189"/>
      <c r="D42" s="189"/>
      <c r="E42" s="189"/>
      <c r="F42" s="189"/>
      <c r="G42" s="189"/>
      <c r="H42" s="189"/>
      <c r="I42" s="189"/>
      <c r="J42" s="189"/>
      <c r="K42" s="189"/>
      <c r="L42" s="189"/>
      <c r="M42" s="189"/>
      <c r="N42" s="189"/>
      <c r="O42" s="189"/>
      <c r="P42" s="189"/>
      <c r="Q42" s="189"/>
      <c r="R42" s="189"/>
      <c r="S42" s="189"/>
      <c r="T42" s="189"/>
      <c r="U42" s="189"/>
      <c r="V42" s="189"/>
      <c r="W42" s="189"/>
      <c r="X42" s="189"/>
      <c r="Y42" s="189"/>
      <c r="Z42" s="189"/>
    </row>
    <row r="43" spans="1:26" ht="15.75" customHeight="1">
      <c r="A43" s="189"/>
      <c r="B43" s="189"/>
      <c r="C43" s="189"/>
      <c r="D43" s="189"/>
      <c r="E43" s="189"/>
      <c r="F43" s="189"/>
      <c r="G43" s="189"/>
      <c r="H43" s="189"/>
      <c r="I43" s="189"/>
      <c r="J43" s="189"/>
      <c r="K43" s="189"/>
      <c r="L43" s="189"/>
      <c r="M43" s="189"/>
      <c r="N43" s="189"/>
      <c r="O43" s="189"/>
      <c r="P43" s="189"/>
      <c r="Q43" s="189"/>
      <c r="R43" s="189"/>
      <c r="S43" s="189"/>
      <c r="T43" s="189"/>
      <c r="U43" s="189"/>
      <c r="V43" s="189"/>
      <c r="W43" s="189"/>
      <c r="X43" s="189"/>
      <c r="Y43" s="189"/>
      <c r="Z43" s="189"/>
    </row>
    <row r="44" spans="1:26" ht="15.75" customHeight="1">
      <c r="A44" s="189"/>
      <c r="B44" s="189"/>
      <c r="C44" s="189"/>
      <c r="D44" s="189"/>
      <c r="E44" s="189"/>
      <c r="F44" s="189"/>
      <c r="G44" s="189"/>
      <c r="H44" s="189"/>
      <c r="I44" s="189"/>
      <c r="J44" s="189"/>
      <c r="K44" s="189"/>
      <c r="L44" s="189"/>
      <c r="M44" s="189"/>
      <c r="N44" s="189"/>
      <c r="O44" s="189"/>
      <c r="P44" s="189"/>
      <c r="Q44" s="189"/>
      <c r="R44" s="189"/>
      <c r="S44" s="189"/>
      <c r="T44" s="189"/>
      <c r="U44" s="189"/>
      <c r="V44" s="189"/>
      <c r="W44" s="189"/>
      <c r="X44" s="189"/>
      <c r="Y44" s="189"/>
      <c r="Z44" s="189"/>
    </row>
    <row r="45" spans="1:26" ht="15.75" customHeight="1">
      <c r="A45" s="189"/>
      <c r="B45" s="189"/>
      <c r="C45" s="189"/>
      <c r="D45" s="189"/>
      <c r="E45" s="189"/>
      <c r="F45" s="189"/>
      <c r="G45" s="189"/>
      <c r="H45" s="189"/>
      <c r="I45" s="189"/>
      <c r="J45" s="189"/>
      <c r="K45" s="189"/>
      <c r="L45" s="189"/>
      <c r="M45" s="189"/>
      <c r="N45" s="189"/>
      <c r="O45" s="189"/>
      <c r="P45" s="189"/>
      <c r="Q45" s="189"/>
      <c r="R45" s="189"/>
      <c r="S45" s="189"/>
      <c r="T45" s="189"/>
      <c r="U45" s="189"/>
      <c r="V45" s="189"/>
      <c r="W45" s="189"/>
      <c r="X45" s="189"/>
      <c r="Y45" s="189"/>
      <c r="Z45" s="189"/>
    </row>
    <row r="46" spans="1:26" ht="15.75" customHeight="1">
      <c r="A46" s="189"/>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row>
    <row r="47" spans="1:26" ht="15.75" customHeight="1">
      <c r="A47" s="189"/>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c r="Z47" s="189"/>
    </row>
    <row r="48" spans="1:26" ht="15.75" customHeight="1">
      <c r="A48" s="189"/>
      <c r="B48" s="189"/>
      <c r="C48" s="189"/>
      <c r="D48" s="189"/>
      <c r="E48" s="189"/>
      <c r="F48" s="189"/>
      <c r="G48" s="189"/>
      <c r="H48" s="189"/>
      <c r="I48" s="189"/>
      <c r="J48" s="189"/>
      <c r="K48" s="189"/>
      <c r="L48" s="189"/>
      <c r="M48" s="189"/>
      <c r="N48" s="189"/>
      <c r="O48" s="189"/>
      <c r="P48" s="189"/>
      <c r="Q48" s="189"/>
      <c r="R48" s="189"/>
      <c r="S48" s="189"/>
      <c r="T48" s="189"/>
      <c r="U48" s="189"/>
      <c r="V48" s="189"/>
      <c r="W48" s="189"/>
      <c r="X48" s="189"/>
      <c r="Y48" s="189"/>
      <c r="Z48" s="189"/>
    </row>
    <row r="49" spans="1:26" ht="15.75" customHeight="1">
      <c r="A49" s="189"/>
      <c r="B49" s="189"/>
      <c r="C49" s="189"/>
      <c r="D49" s="189"/>
      <c r="E49" s="189"/>
      <c r="F49" s="189"/>
      <c r="G49" s="189"/>
      <c r="H49" s="189"/>
      <c r="I49" s="189"/>
      <c r="J49" s="189"/>
      <c r="K49" s="189"/>
      <c r="L49" s="189"/>
      <c r="M49" s="189"/>
      <c r="N49" s="189"/>
      <c r="O49" s="189"/>
      <c r="P49" s="189"/>
      <c r="Q49" s="189"/>
      <c r="R49" s="189"/>
      <c r="S49" s="189"/>
      <c r="T49" s="189"/>
      <c r="U49" s="189"/>
      <c r="V49" s="189"/>
      <c r="W49" s="189"/>
      <c r="X49" s="189"/>
      <c r="Y49" s="189"/>
      <c r="Z49" s="189"/>
    </row>
    <row r="50" spans="1:26" ht="15.75" customHeight="1">
      <c r="A50" s="189"/>
      <c r="B50" s="189"/>
      <c r="C50" s="189"/>
      <c r="D50" s="189"/>
      <c r="E50" s="189"/>
      <c r="F50" s="189"/>
      <c r="G50" s="189"/>
      <c r="H50" s="189"/>
      <c r="I50" s="189"/>
      <c r="J50" s="189"/>
      <c r="K50" s="189"/>
      <c r="L50" s="189"/>
      <c r="M50" s="189"/>
      <c r="N50" s="189"/>
      <c r="O50" s="189"/>
      <c r="P50" s="189"/>
      <c r="Q50" s="189"/>
      <c r="R50" s="189"/>
      <c r="S50" s="189"/>
      <c r="T50" s="189"/>
      <c r="U50" s="189"/>
      <c r="V50" s="189"/>
      <c r="W50" s="189"/>
      <c r="X50" s="189"/>
      <c r="Y50" s="189"/>
      <c r="Z50" s="189"/>
    </row>
    <row r="51" spans="1:26" ht="15.75" customHeight="1">
      <c r="A51" s="189"/>
      <c r="B51" s="189"/>
      <c r="C51" s="189"/>
      <c r="D51" s="189"/>
      <c r="E51" s="189"/>
      <c r="F51" s="189"/>
      <c r="G51" s="189"/>
      <c r="H51" s="189"/>
      <c r="I51" s="189"/>
      <c r="J51" s="189"/>
      <c r="K51" s="189"/>
      <c r="L51" s="189"/>
      <c r="M51" s="189"/>
      <c r="N51" s="189"/>
      <c r="O51" s="189"/>
      <c r="P51" s="189"/>
      <c r="Q51" s="189"/>
      <c r="R51" s="189"/>
      <c r="S51" s="189"/>
      <c r="T51" s="189"/>
      <c r="U51" s="189"/>
      <c r="V51" s="189"/>
      <c r="W51" s="189"/>
      <c r="X51" s="189"/>
      <c r="Y51" s="189"/>
      <c r="Z51" s="189"/>
    </row>
    <row r="52" spans="1:26" ht="15.75" customHeight="1">
      <c r="A52" s="189"/>
      <c r="B52" s="189"/>
      <c r="C52" s="189"/>
      <c r="D52" s="189"/>
      <c r="E52" s="189"/>
      <c r="F52" s="189"/>
      <c r="G52" s="189"/>
      <c r="H52" s="189"/>
      <c r="I52" s="189"/>
      <c r="J52" s="189"/>
      <c r="K52" s="189"/>
      <c r="L52" s="189"/>
      <c r="M52" s="189"/>
      <c r="N52" s="189"/>
      <c r="O52" s="189"/>
      <c r="P52" s="189"/>
      <c r="Q52" s="189"/>
      <c r="R52" s="189"/>
      <c r="S52" s="189"/>
      <c r="T52" s="189"/>
      <c r="U52" s="189"/>
      <c r="V52" s="189"/>
      <c r="W52" s="189"/>
      <c r="X52" s="189"/>
      <c r="Y52" s="189"/>
      <c r="Z52" s="189"/>
    </row>
    <row r="53" spans="1:26" ht="15.75" customHeight="1">
      <c r="A53" s="189"/>
      <c r="B53" s="189"/>
      <c r="C53" s="189"/>
      <c r="D53" s="189"/>
      <c r="E53" s="189"/>
      <c r="F53" s="189"/>
      <c r="G53" s="189"/>
      <c r="H53" s="189"/>
      <c r="I53" s="189"/>
      <c r="J53" s="189"/>
      <c r="K53" s="189"/>
      <c r="L53" s="189"/>
      <c r="M53" s="189"/>
      <c r="N53" s="189"/>
      <c r="O53" s="189"/>
      <c r="P53" s="189"/>
      <c r="Q53" s="189"/>
      <c r="R53" s="189"/>
      <c r="S53" s="189"/>
      <c r="T53" s="189"/>
      <c r="U53" s="189"/>
      <c r="V53" s="189"/>
      <c r="W53" s="189"/>
      <c r="X53" s="189"/>
      <c r="Y53" s="189"/>
      <c r="Z53" s="189"/>
    </row>
    <row r="54" spans="1:26" ht="15.75" customHeight="1">
      <c r="A54" s="189"/>
      <c r="B54" s="189"/>
      <c r="C54" s="189"/>
      <c r="D54" s="189"/>
      <c r="E54" s="189"/>
      <c r="F54" s="189"/>
      <c r="G54" s="189"/>
      <c r="H54" s="189"/>
      <c r="I54" s="189"/>
      <c r="J54" s="189"/>
      <c r="K54" s="189"/>
      <c r="L54" s="189"/>
      <c r="M54" s="189"/>
      <c r="N54" s="189"/>
      <c r="O54" s="189"/>
      <c r="P54" s="189"/>
      <c r="Q54" s="189"/>
      <c r="R54" s="189"/>
      <c r="S54" s="189"/>
      <c r="T54" s="189"/>
      <c r="U54" s="189"/>
      <c r="V54" s="189"/>
      <c r="W54" s="189"/>
      <c r="X54" s="189"/>
      <c r="Y54" s="189"/>
      <c r="Z54" s="189"/>
    </row>
    <row r="55" spans="1:26" ht="15.75" customHeight="1">
      <c r="A55" s="189"/>
      <c r="B55" s="189"/>
      <c r="C55" s="189"/>
      <c r="D55" s="189"/>
      <c r="E55" s="189"/>
      <c r="F55" s="189"/>
      <c r="G55" s="189"/>
      <c r="H55" s="189"/>
      <c r="I55" s="189"/>
      <c r="J55" s="189"/>
      <c r="K55" s="189"/>
      <c r="L55" s="189"/>
      <c r="M55" s="189"/>
      <c r="N55" s="189"/>
      <c r="O55" s="189"/>
      <c r="P55" s="189"/>
      <c r="Q55" s="189"/>
      <c r="R55" s="189"/>
      <c r="S55" s="189"/>
      <c r="T55" s="189"/>
      <c r="U55" s="189"/>
      <c r="V55" s="189"/>
      <c r="W55" s="189"/>
      <c r="X55" s="189"/>
      <c r="Y55" s="189"/>
      <c r="Z55" s="189"/>
    </row>
    <row r="56" spans="1:26" ht="15.75" customHeight="1">
      <c r="A56" s="189"/>
      <c r="B56" s="189"/>
      <c r="C56" s="189"/>
      <c r="D56" s="189"/>
      <c r="E56" s="189"/>
      <c r="F56" s="189"/>
      <c r="G56" s="189"/>
      <c r="H56" s="189"/>
      <c r="I56" s="189"/>
      <c r="J56" s="189"/>
      <c r="K56" s="189"/>
      <c r="L56" s="189"/>
      <c r="M56" s="189"/>
      <c r="N56" s="189"/>
      <c r="O56" s="189"/>
      <c r="P56" s="189"/>
      <c r="Q56" s="189"/>
      <c r="R56" s="189"/>
      <c r="S56" s="189"/>
      <c r="T56" s="189"/>
      <c r="U56" s="189"/>
      <c r="V56" s="189"/>
      <c r="W56" s="189"/>
      <c r="X56" s="189"/>
      <c r="Y56" s="189"/>
      <c r="Z56" s="189"/>
    </row>
    <row r="57" spans="1:26" ht="15.75" customHeight="1">
      <c r="A57" s="189"/>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row>
    <row r="58" spans="1:26" ht="15.75" customHeight="1">
      <c r="A58" s="189"/>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row>
    <row r="59" spans="1:26" ht="15.75" customHeight="1">
      <c r="A59" s="189"/>
      <c r="B59" s="189"/>
      <c r="C59" s="189"/>
      <c r="D59" s="189"/>
      <c r="E59" s="189"/>
      <c r="F59" s="189"/>
      <c r="G59" s="189"/>
      <c r="H59" s="189"/>
      <c r="I59" s="189"/>
      <c r="J59" s="189"/>
      <c r="K59" s="189"/>
      <c r="L59" s="189"/>
      <c r="M59" s="189"/>
      <c r="N59" s="189"/>
      <c r="O59" s="189"/>
      <c r="P59" s="189"/>
      <c r="Q59" s="189"/>
      <c r="R59" s="189"/>
      <c r="S59" s="189"/>
      <c r="T59" s="189"/>
      <c r="U59" s="189"/>
      <c r="V59" s="189"/>
      <c r="W59" s="189"/>
      <c r="X59" s="189"/>
      <c r="Y59" s="189"/>
      <c r="Z59" s="189"/>
    </row>
    <row r="60" spans="1:26" ht="15.75" customHeight="1">
      <c r="A60" s="189"/>
      <c r="B60" s="189"/>
      <c r="C60" s="189"/>
      <c r="D60" s="189"/>
      <c r="E60" s="189"/>
      <c r="F60" s="189"/>
      <c r="G60" s="189"/>
      <c r="H60" s="189"/>
      <c r="I60" s="189"/>
      <c r="J60" s="189"/>
      <c r="K60" s="189"/>
      <c r="L60" s="189"/>
      <c r="M60" s="189"/>
      <c r="N60" s="189"/>
      <c r="O60" s="189"/>
      <c r="P60" s="189"/>
      <c r="Q60" s="189"/>
      <c r="R60" s="189"/>
      <c r="S60" s="189"/>
      <c r="T60" s="189"/>
      <c r="U60" s="189"/>
      <c r="V60" s="189"/>
      <c r="W60" s="189"/>
      <c r="X60" s="189"/>
      <c r="Y60" s="189"/>
      <c r="Z60" s="189"/>
    </row>
    <row r="61" spans="1:26" ht="15.75" customHeight="1">
      <c r="A61" s="189"/>
      <c r="B61" s="189"/>
      <c r="C61" s="189"/>
      <c r="D61" s="189"/>
      <c r="E61" s="189"/>
      <c r="F61" s="189"/>
      <c r="G61" s="189"/>
      <c r="H61" s="189"/>
      <c r="I61" s="189"/>
      <c r="J61" s="189"/>
      <c r="K61" s="189"/>
      <c r="L61" s="189"/>
      <c r="M61" s="189"/>
      <c r="N61" s="189"/>
      <c r="O61" s="189"/>
      <c r="P61" s="189"/>
      <c r="Q61" s="189"/>
      <c r="R61" s="189"/>
      <c r="S61" s="189"/>
      <c r="T61" s="189"/>
      <c r="U61" s="189"/>
      <c r="V61" s="189"/>
      <c r="W61" s="189"/>
      <c r="X61" s="189"/>
      <c r="Y61" s="189"/>
      <c r="Z61" s="189"/>
    </row>
    <row r="62" spans="1:26" ht="15.75" customHeight="1">
      <c r="A62" s="189"/>
      <c r="B62" s="189"/>
      <c r="C62" s="189"/>
      <c r="D62" s="189"/>
      <c r="E62" s="189"/>
      <c r="F62" s="189"/>
      <c r="G62" s="189"/>
      <c r="H62" s="189"/>
      <c r="I62" s="189"/>
      <c r="J62" s="189"/>
      <c r="K62" s="189"/>
      <c r="L62" s="189"/>
      <c r="M62" s="189"/>
      <c r="N62" s="189"/>
      <c r="O62" s="189"/>
      <c r="P62" s="189"/>
      <c r="Q62" s="189"/>
      <c r="R62" s="189"/>
      <c r="S62" s="189"/>
      <c r="T62" s="189"/>
      <c r="U62" s="189"/>
      <c r="V62" s="189"/>
      <c r="W62" s="189"/>
      <c r="X62" s="189"/>
      <c r="Y62" s="189"/>
      <c r="Z62" s="189"/>
    </row>
    <row r="63" spans="1:26" ht="15.75" customHeight="1">
      <c r="A63" s="189"/>
      <c r="B63" s="189"/>
      <c r="C63" s="189"/>
      <c r="D63" s="189"/>
      <c r="E63" s="189"/>
      <c r="F63" s="189"/>
      <c r="G63" s="189"/>
      <c r="H63" s="189"/>
      <c r="I63" s="189"/>
      <c r="J63" s="189"/>
      <c r="K63" s="189"/>
      <c r="L63" s="189"/>
      <c r="M63" s="189"/>
      <c r="N63" s="189"/>
      <c r="O63" s="189"/>
      <c r="P63" s="189"/>
      <c r="Q63" s="189"/>
      <c r="R63" s="189"/>
      <c r="S63" s="189"/>
      <c r="T63" s="189"/>
      <c r="U63" s="189"/>
      <c r="V63" s="189"/>
      <c r="W63" s="189"/>
      <c r="X63" s="189"/>
      <c r="Y63" s="189"/>
      <c r="Z63" s="189"/>
    </row>
    <row r="64" spans="1:26" ht="15.75" customHeight="1">
      <c r="A64" s="189"/>
      <c r="B64" s="189"/>
      <c r="C64" s="189"/>
      <c r="D64" s="189"/>
      <c r="E64" s="189"/>
      <c r="F64" s="189"/>
      <c r="G64" s="189"/>
      <c r="H64" s="189"/>
      <c r="I64" s="189"/>
      <c r="J64" s="189"/>
      <c r="K64" s="189"/>
      <c r="L64" s="189"/>
      <c r="M64" s="189"/>
      <c r="N64" s="189"/>
      <c r="O64" s="189"/>
      <c r="P64" s="189"/>
      <c r="Q64" s="189"/>
      <c r="R64" s="189"/>
      <c r="S64" s="189"/>
      <c r="T64" s="189"/>
      <c r="U64" s="189"/>
      <c r="V64" s="189"/>
      <c r="W64" s="189"/>
      <c r="X64" s="189"/>
      <c r="Y64" s="189"/>
      <c r="Z64" s="189"/>
    </row>
    <row r="65" spans="1:26" ht="15.75" customHeight="1">
      <c r="A65" s="189"/>
      <c r="B65" s="189"/>
      <c r="C65" s="189"/>
      <c r="D65" s="189"/>
      <c r="E65" s="189"/>
      <c r="F65" s="189"/>
      <c r="G65" s="189"/>
      <c r="H65" s="189"/>
      <c r="I65" s="189"/>
      <c r="J65" s="189"/>
      <c r="K65" s="189"/>
      <c r="L65" s="189"/>
      <c r="M65" s="189"/>
      <c r="N65" s="189"/>
      <c r="O65" s="189"/>
      <c r="P65" s="189"/>
      <c r="Q65" s="189"/>
      <c r="R65" s="189"/>
      <c r="S65" s="189"/>
      <c r="T65" s="189"/>
      <c r="U65" s="189"/>
      <c r="V65" s="189"/>
      <c r="W65" s="189"/>
      <c r="X65" s="189"/>
      <c r="Y65" s="189"/>
      <c r="Z65" s="189"/>
    </row>
    <row r="66" spans="1:26" ht="15.75" customHeight="1">
      <c r="A66" s="189"/>
      <c r="B66" s="189"/>
      <c r="C66" s="189"/>
      <c r="D66" s="189"/>
      <c r="E66" s="189"/>
      <c r="F66" s="189"/>
      <c r="G66" s="189"/>
      <c r="H66" s="189"/>
      <c r="I66" s="189"/>
      <c r="J66" s="189"/>
      <c r="K66" s="189"/>
      <c r="L66" s="189"/>
      <c r="M66" s="189"/>
      <c r="N66" s="189"/>
      <c r="O66" s="189"/>
      <c r="P66" s="189"/>
      <c r="Q66" s="189"/>
      <c r="R66" s="189"/>
      <c r="S66" s="189"/>
      <c r="T66" s="189"/>
      <c r="U66" s="189"/>
      <c r="V66" s="189"/>
      <c r="W66" s="189"/>
      <c r="X66" s="189"/>
      <c r="Y66" s="189"/>
      <c r="Z66" s="189"/>
    </row>
    <row r="67" spans="1:26" ht="15.75" customHeight="1">
      <c r="A67" s="189"/>
      <c r="B67" s="189"/>
      <c r="C67" s="189"/>
      <c r="D67" s="189"/>
      <c r="E67" s="189"/>
      <c r="F67" s="189"/>
      <c r="G67" s="189"/>
      <c r="H67" s="189"/>
      <c r="I67" s="189"/>
      <c r="J67" s="189"/>
      <c r="K67" s="189"/>
      <c r="L67" s="189"/>
      <c r="M67" s="189"/>
      <c r="N67" s="189"/>
      <c r="O67" s="189"/>
      <c r="P67" s="189"/>
      <c r="Q67" s="189"/>
      <c r="R67" s="189"/>
      <c r="S67" s="189"/>
      <c r="T67" s="189"/>
      <c r="U67" s="189"/>
      <c r="V67" s="189"/>
      <c r="W67" s="189"/>
      <c r="X67" s="189"/>
      <c r="Y67" s="189"/>
      <c r="Z67" s="189"/>
    </row>
    <row r="68" spans="1:26" ht="15.75" customHeight="1">
      <c r="A68" s="189"/>
      <c r="B68" s="189"/>
      <c r="C68" s="189"/>
      <c r="D68" s="189"/>
      <c r="E68" s="189"/>
      <c r="F68" s="189"/>
      <c r="G68" s="189"/>
      <c r="H68" s="189"/>
      <c r="I68" s="189"/>
      <c r="J68" s="189"/>
      <c r="K68" s="189"/>
      <c r="L68" s="189"/>
      <c r="M68" s="189"/>
      <c r="N68" s="189"/>
      <c r="O68" s="189"/>
      <c r="P68" s="189"/>
      <c r="Q68" s="189"/>
      <c r="R68" s="189"/>
      <c r="S68" s="189"/>
      <c r="T68" s="189"/>
      <c r="U68" s="189"/>
      <c r="V68" s="189"/>
      <c r="W68" s="189"/>
      <c r="X68" s="189"/>
      <c r="Y68" s="189"/>
      <c r="Z68" s="189"/>
    </row>
    <row r="69" spans="1:26" ht="15.75" customHeight="1">
      <c r="A69" s="189"/>
      <c r="B69" s="189"/>
      <c r="C69" s="189"/>
      <c r="D69" s="189"/>
      <c r="E69" s="189"/>
      <c r="F69" s="189"/>
      <c r="G69" s="189"/>
      <c r="H69" s="189"/>
      <c r="I69" s="189"/>
      <c r="J69" s="189"/>
      <c r="K69" s="189"/>
      <c r="L69" s="189"/>
      <c r="M69" s="189"/>
      <c r="N69" s="189"/>
      <c r="O69" s="189"/>
      <c r="P69" s="189"/>
      <c r="Q69" s="189"/>
      <c r="R69" s="189"/>
      <c r="S69" s="189"/>
      <c r="T69" s="189"/>
      <c r="U69" s="189"/>
      <c r="V69" s="189"/>
      <c r="W69" s="189"/>
      <c r="X69" s="189"/>
      <c r="Y69" s="189"/>
      <c r="Z69" s="189"/>
    </row>
    <row r="70" spans="1:26" ht="15.75" customHeight="1">
      <c r="A70" s="189"/>
      <c r="B70" s="189"/>
      <c r="C70" s="189"/>
      <c r="D70" s="189"/>
      <c r="E70" s="189"/>
      <c r="F70" s="189"/>
      <c r="G70" s="189"/>
      <c r="H70" s="189"/>
      <c r="I70" s="189"/>
      <c r="J70" s="189"/>
      <c r="K70" s="189"/>
      <c r="L70" s="189"/>
      <c r="M70" s="189"/>
      <c r="N70" s="189"/>
      <c r="O70" s="189"/>
      <c r="P70" s="189"/>
      <c r="Q70" s="189"/>
      <c r="R70" s="189"/>
      <c r="S70" s="189"/>
      <c r="T70" s="189"/>
      <c r="U70" s="189"/>
      <c r="V70" s="189"/>
      <c r="W70" s="189"/>
      <c r="X70" s="189"/>
      <c r="Y70" s="189"/>
      <c r="Z70" s="189"/>
    </row>
    <row r="71" spans="1:26" ht="15.75" customHeight="1">
      <c r="A71" s="189"/>
      <c r="B71" s="189"/>
      <c r="C71" s="189"/>
      <c r="D71" s="189"/>
      <c r="E71" s="189"/>
      <c r="F71" s="189"/>
      <c r="G71" s="189"/>
      <c r="H71" s="189"/>
      <c r="I71" s="189"/>
      <c r="J71" s="189"/>
      <c r="K71" s="189"/>
      <c r="L71" s="189"/>
      <c r="M71" s="189"/>
      <c r="N71" s="189"/>
      <c r="O71" s="189"/>
      <c r="P71" s="189"/>
      <c r="Q71" s="189"/>
      <c r="R71" s="189"/>
      <c r="S71" s="189"/>
      <c r="T71" s="189"/>
      <c r="U71" s="189"/>
      <c r="V71" s="189"/>
      <c r="W71" s="189"/>
      <c r="X71" s="189"/>
      <c r="Y71" s="189"/>
      <c r="Z71" s="189"/>
    </row>
    <row r="72" spans="1:26" ht="15.75" customHeight="1">
      <c r="A72" s="189"/>
      <c r="B72" s="189"/>
      <c r="C72" s="189"/>
      <c r="D72" s="189"/>
      <c r="E72" s="189"/>
      <c r="F72" s="189"/>
      <c r="G72" s="189"/>
      <c r="H72" s="189"/>
      <c r="I72" s="189"/>
      <c r="J72" s="189"/>
      <c r="K72" s="189"/>
      <c r="L72" s="189"/>
      <c r="M72" s="189"/>
      <c r="N72" s="189"/>
      <c r="O72" s="189"/>
      <c r="P72" s="189"/>
      <c r="Q72" s="189"/>
      <c r="R72" s="189"/>
      <c r="S72" s="189"/>
      <c r="T72" s="189"/>
      <c r="U72" s="189"/>
      <c r="V72" s="189"/>
      <c r="W72" s="189"/>
      <c r="X72" s="189"/>
      <c r="Y72" s="189"/>
      <c r="Z72" s="189"/>
    </row>
    <row r="73" spans="1:26" ht="15.75" customHeight="1">
      <c r="A73" s="189"/>
      <c r="B73" s="189"/>
      <c r="C73" s="189"/>
      <c r="D73" s="189"/>
      <c r="E73" s="189"/>
      <c r="F73" s="189"/>
      <c r="G73" s="189"/>
      <c r="H73" s="189"/>
      <c r="I73" s="189"/>
      <c r="J73" s="189"/>
      <c r="K73" s="189"/>
      <c r="L73" s="189"/>
      <c r="M73" s="189"/>
      <c r="N73" s="189"/>
      <c r="O73" s="189"/>
      <c r="P73" s="189"/>
      <c r="Q73" s="189"/>
      <c r="R73" s="189"/>
      <c r="S73" s="189"/>
      <c r="T73" s="189"/>
      <c r="U73" s="189"/>
      <c r="V73" s="189"/>
      <c r="W73" s="189"/>
      <c r="X73" s="189"/>
      <c r="Y73" s="189"/>
      <c r="Z73" s="189"/>
    </row>
    <row r="74" spans="1:26" ht="15.75" customHeight="1">
      <c r="A74" s="189"/>
      <c r="B74" s="189"/>
      <c r="C74" s="189"/>
      <c r="D74" s="189"/>
      <c r="E74" s="189"/>
      <c r="F74" s="189"/>
      <c r="G74" s="189"/>
      <c r="H74" s="189"/>
      <c r="I74" s="189"/>
      <c r="J74" s="189"/>
      <c r="K74" s="189"/>
      <c r="L74" s="189"/>
      <c r="M74" s="189"/>
      <c r="N74" s="189"/>
      <c r="O74" s="189"/>
      <c r="P74" s="189"/>
      <c r="Q74" s="189"/>
      <c r="R74" s="189"/>
      <c r="S74" s="189"/>
      <c r="T74" s="189"/>
      <c r="U74" s="189"/>
      <c r="V74" s="189"/>
      <c r="W74" s="189"/>
      <c r="X74" s="189"/>
      <c r="Y74" s="189"/>
      <c r="Z74" s="189"/>
    </row>
    <row r="75" spans="1:26" ht="15.75" customHeight="1">
      <c r="A75" s="189"/>
      <c r="B75" s="189"/>
      <c r="C75" s="189"/>
      <c r="D75" s="189"/>
      <c r="E75" s="189"/>
      <c r="F75" s="189"/>
      <c r="G75" s="189"/>
      <c r="H75" s="189"/>
      <c r="I75" s="189"/>
      <c r="J75" s="189"/>
      <c r="K75" s="189"/>
      <c r="L75" s="189"/>
      <c r="M75" s="189"/>
      <c r="N75" s="189"/>
      <c r="O75" s="189"/>
      <c r="P75" s="189"/>
      <c r="Q75" s="189"/>
      <c r="R75" s="189"/>
      <c r="S75" s="189"/>
      <c r="T75" s="189"/>
      <c r="U75" s="189"/>
      <c r="V75" s="189"/>
      <c r="W75" s="189"/>
      <c r="X75" s="189"/>
      <c r="Y75" s="189"/>
      <c r="Z75" s="189"/>
    </row>
    <row r="76" spans="1:26" ht="15.75" customHeight="1">
      <c r="A76" s="189"/>
      <c r="B76" s="189"/>
      <c r="C76" s="189"/>
      <c r="D76" s="189"/>
      <c r="E76" s="189"/>
      <c r="F76" s="189"/>
      <c r="G76" s="189"/>
      <c r="H76" s="189"/>
      <c r="I76" s="189"/>
      <c r="J76" s="189"/>
      <c r="K76" s="189"/>
      <c r="L76" s="189"/>
      <c r="M76" s="189"/>
      <c r="N76" s="189"/>
      <c r="O76" s="189"/>
      <c r="P76" s="189"/>
      <c r="Q76" s="189"/>
      <c r="R76" s="189"/>
      <c r="S76" s="189"/>
      <c r="T76" s="189"/>
      <c r="U76" s="189"/>
      <c r="V76" s="189"/>
      <c r="W76" s="189"/>
      <c r="X76" s="189"/>
      <c r="Y76" s="189"/>
      <c r="Z76" s="189"/>
    </row>
    <row r="77" spans="1:26" ht="15.75" customHeight="1">
      <c r="A77" s="189"/>
      <c r="B77" s="189"/>
      <c r="C77" s="189"/>
      <c r="D77" s="189"/>
      <c r="E77" s="189"/>
      <c r="F77" s="189"/>
      <c r="G77" s="189"/>
      <c r="H77" s="189"/>
      <c r="I77" s="189"/>
      <c r="J77" s="189"/>
      <c r="K77" s="189"/>
      <c r="L77" s="189"/>
      <c r="M77" s="189"/>
      <c r="N77" s="189"/>
      <c r="O77" s="189"/>
      <c r="P77" s="189"/>
      <c r="Q77" s="189"/>
      <c r="R77" s="189"/>
      <c r="S77" s="189"/>
      <c r="T77" s="189"/>
      <c r="U77" s="189"/>
      <c r="V77" s="189"/>
      <c r="W77" s="189"/>
      <c r="X77" s="189"/>
      <c r="Y77" s="189"/>
      <c r="Z77" s="189"/>
    </row>
    <row r="78" spans="1:26" ht="15.75" customHeight="1">
      <c r="A78" s="189"/>
      <c r="B78" s="189"/>
      <c r="C78" s="189"/>
      <c r="D78" s="189"/>
      <c r="E78" s="189"/>
      <c r="F78" s="189"/>
      <c r="G78" s="189"/>
      <c r="H78" s="189"/>
      <c r="I78" s="189"/>
      <c r="J78" s="189"/>
      <c r="K78" s="189"/>
      <c r="L78" s="189"/>
      <c r="M78" s="189"/>
      <c r="N78" s="189"/>
      <c r="O78" s="189"/>
      <c r="P78" s="189"/>
      <c r="Q78" s="189"/>
      <c r="R78" s="189"/>
      <c r="S78" s="189"/>
      <c r="T78" s="189"/>
      <c r="U78" s="189"/>
      <c r="V78" s="189"/>
      <c r="W78" s="189"/>
      <c r="X78" s="189"/>
      <c r="Y78" s="189"/>
      <c r="Z78" s="189"/>
    </row>
    <row r="79" spans="1:26" ht="15.75" customHeight="1">
      <c r="A79" s="189"/>
      <c r="B79" s="189"/>
      <c r="C79" s="189"/>
      <c r="D79" s="189"/>
      <c r="E79" s="189"/>
      <c r="F79" s="189"/>
      <c r="G79" s="189"/>
      <c r="H79" s="189"/>
      <c r="I79" s="189"/>
      <c r="J79" s="189"/>
      <c r="K79" s="189"/>
      <c r="L79" s="189"/>
      <c r="M79" s="189"/>
      <c r="N79" s="189"/>
      <c r="O79" s="189"/>
      <c r="P79" s="189"/>
      <c r="Q79" s="189"/>
      <c r="R79" s="189"/>
      <c r="S79" s="189"/>
      <c r="T79" s="189"/>
      <c r="U79" s="189"/>
      <c r="V79" s="189"/>
      <c r="W79" s="189"/>
      <c r="X79" s="189"/>
      <c r="Y79" s="189"/>
      <c r="Z79" s="189"/>
    </row>
    <row r="80" spans="1:26" ht="15.75" customHeight="1">
      <c r="A80" s="189"/>
      <c r="B80" s="189"/>
      <c r="C80" s="189"/>
      <c r="D80" s="189"/>
      <c r="E80" s="189"/>
      <c r="F80" s="189"/>
      <c r="G80" s="189"/>
      <c r="H80" s="189"/>
      <c r="I80" s="189"/>
      <c r="J80" s="189"/>
      <c r="K80" s="189"/>
      <c r="L80" s="189"/>
      <c r="M80" s="189"/>
      <c r="N80" s="189"/>
      <c r="O80" s="189"/>
      <c r="P80" s="189"/>
      <c r="Q80" s="189"/>
      <c r="R80" s="189"/>
      <c r="S80" s="189"/>
      <c r="T80" s="189"/>
      <c r="U80" s="189"/>
      <c r="V80" s="189"/>
      <c r="W80" s="189"/>
      <c r="X80" s="189"/>
      <c r="Y80" s="189"/>
      <c r="Z80" s="189"/>
    </row>
    <row r="81" spans="1:26" ht="15.75" customHeight="1">
      <c r="A81" s="189"/>
      <c r="B81" s="189"/>
      <c r="C81" s="189"/>
      <c r="D81" s="189"/>
      <c r="E81" s="189"/>
      <c r="F81" s="189"/>
      <c r="G81" s="189"/>
      <c r="H81" s="189"/>
      <c r="I81" s="189"/>
      <c r="J81" s="189"/>
      <c r="K81" s="189"/>
      <c r="L81" s="189"/>
      <c r="M81" s="189"/>
      <c r="N81" s="189"/>
      <c r="O81" s="189"/>
      <c r="P81" s="189"/>
      <c r="Q81" s="189"/>
      <c r="R81" s="189"/>
      <c r="S81" s="189"/>
      <c r="T81" s="189"/>
      <c r="U81" s="189"/>
      <c r="V81" s="189"/>
      <c r="W81" s="189"/>
      <c r="X81" s="189"/>
      <c r="Y81" s="189"/>
      <c r="Z81" s="189"/>
    </row>
    <row r="82" spans="1:26" ht="15.75" customHeight="1">
      <c r="A82" s="189"/>
      <c r="B82" s="189"/>
      <c r="C82" s="189"/>
      <c r="D82" s="189"/>
      <c r="E82" s="189"/>
      <c r="F82" s="189"/>
      <c r="G82" s="189"/>
      <c r="H82" s="189"/>
      <c r="I82" s="189"/>
      <c r="J82" s="189"/>
      <c r="K82" s="189"/>
      <c r="L82" s="189"/>
      <c r="M82" s="189"/>
      <c r="N82" s="189"/>
      <c r="O82" s="189"/>
      <c r="P82" s="189"/>
      <c r="Q82" s="189"/>
      <c r="R82" s="189"/>
      <c r="S82" s="189"/>
      <c r="T82" s="189"/>
      <c r="U82" s="189"/>
      <c r="V82" s="189"/>
      <c r="W82" s="189"/>
      <c r="X82" s="189"/>
      <c r="Y82" s="189"/>
      <c r="Z82" s="189"/>
    </row>
    <row r="83" spans="1:26" ht="15.75" customHeight="1">
      <c r="A83" s="189"/>
      <c r="B83" s="189"/>
      <c r="C83" s="189"/>
      <c r="D83" s="189"/>
      <c r="E83" s="189"/>
      <c r="F83" s="189"/>
      <c r="G83" s="189"/>
      <c r="H83" s="189"/>
      <c r="I83" s="189"/>
      <c r="J83" s="189"/>
      <c r="K83" s="189"/>
      <c r="L83" s="189"/>
      <c r="M83" s="189"/>
      <c r="N83" s="189"/>
      <c r="O83" s="189"/>
      <c r="P83" s="189"/>
      <c r="Q83" s="189"/>
      <c r="R83" s="189"/>
      <c r="S83" s="189"/>
      <c r="T83" s="189"/>
      <c r="U83" s="189"/>
      <c r="V83" s="189"/>
      <c r="W83" s="189"/>
      <c r="X83" s="189"/>
      <c r="Y83" s="189"/>
      <c r="Z83" s="189"/>
    </row>
    <row r="84" spans="1:26" ht="15.75" customHeight="1">
      <c r="A84" s="189"/>
      <c r="B84" s="189"/>
      <c r="C84" s="189"/>
      <c r="D84" s="189"/>
      <c r="E84" s="189"/>
      <c r="F84" s="189"/>
      <c r="G84" s="189"/>
      <c r="H84" s="189"/>
      <c r="I84" s="189"/>
      <c r="J84" s="189"/>
      <c r="K84" s="189"/>
      <c r="L84" s="189"/>
      <c r="M84" s="189"/>
      <c r="N84" s="189"/>
      <c r="O84" s="189"/>
      <c r="P84" s="189"/>
      <c r="Q84" s="189"/>
      <c r="R84" s="189"/>
      <c r="S84" s="189"/>
      <c r="T84" s="189"/>
      <c r="U84" s="189"/>
      <c r="V84" s="189"/>
      <c r="W84" s="189"/>
      <c r="X84" s="189"/>
      <c r="Y84" s="189"/>
      <c r="Z84" s="189"/>
    </row>
    <row r="85" spans="1:26" ht="15.75" customHeight="1">
      <c r="A85" s="189"/>
      <c r="B85" s="189"/>
      <c r="C85" s="189"/>
      <c r="D85" s="189"/>
      <c r="E85" s="189"/>
      <c r="F85" s="189"/>
      <c r="G85" s="189"/>
      <c r="H85" s="189"/>
      <c r="I85" s="189"/>
      <c r="J85" s="189"/>
      <c r="K85" s="189"/>
      <c r="L85" s="189"/>
      <c r="M85" s="189"/>
      <c r="N85" s="189"/>
      <c r="O85" s="189"/>
      <c r="P85" s="189"/>
      <c r="Q85" s="189"/>
      <c r="R85" s="189"/>
      <c r="S85" s="189"/>
      <c r="T85" s="189"/>
      <c r="U85" s="189"/>
      <c r="V85" s="189"/>
      <c r="W85" s="189"/>
      <c r="X85" s="189"/>
      <c r="Y85" s="189"/>
      <c r="Z85" s="189"/>
    </row>
    <row r="86" spans="1:26" ht="15.75" customHeight="1">
      <c r="A86" s="189"/>
      <c r="B86" s="189"/>
      <c r="C86" s="189"/>
      <c r="D86" s="189"/>
      <c r="E86" s="189"/>
      <c r="F86" s="189"/>
      <c r="G86" s="189"/>
      <c r="H86" s="189"/>
      <c r="I86" s="189"/>
      <c r="J86" s="189"/>
      <c r="K86" s="189"/>
      <c r="L86" s="189"/>
      <c r="M86" s="189"/>
      <c r="N86" s="189"/>
      <c r="O86" s="189"/>
      <c r="P86" s="189"/>
      <c r="Q86" s="189"/>
      <c r="R86" s="189"/>
      <c r="S86" s="189"/>
      <c r="T86" s="189"/>
      <c r="U86" s="189"/>
      <c r="V86" s="189"/>
      <c r="W86" s="189"/>
      <c r="X86" s="189"/>
      <c r="Y86" s="189"/>
      <c r="Z86" s="189"/>
    </row>
    <row r="87" spans="1:26" ht="15.75" customHeight="1">
      <c r="A87" s="189"/>
      <c r="B87" s="189"/>
      <c r="C87" s="189"/>
      <c r="D87" s="189"/>
      <c r="E87" s="189"/>
      <c r="F87" s="189"/>
      <c r="G87" s="189"/>
      <c r="H87" s="189"/>
      <c r="I87" s="189"/>
      <c r="J87" s="189"/>
      <c r="K87" s="189"/>
      <c r="L87" s="189"/>
      <c r="M87" s="189"/>
      <c r="N87" s="189"/>
      <c r="O87" s="189"/>
      <c r="P87" s="189"/>
      <c r="Q87" s="189"/>
      <c r="R87" s="189"/>
      <c r="S87" s="189"/>
      <c r="T87" s="189"/>
      <c r="U87" s="189"/>
      <c r="V87" s="189"/>
      <c r="W87" s="189"/>
      <c r="X87" s="189"/>
      <c r="Y87" s="189"/>
      <c r="Z87" s="189"/>
    </row>
    <row r="88" spans="1:26" ht="15.75" customHeight="1">
      <c r="A88" s="189"/>
      <c r="B88" s="189"/>
      <c r="C88" s="189"/>
      <c r="D88" s="189"/>
      <c r="E88" s="189"/>
      <c r="F88" s="189"/>
      <c r="G88" s="189"/>
      <c r="H88" s="189"/>
      <c r="I88" s="189"/>
      <c r="J88" s="189"/>
      <c r="K88" s="189"/>
      <c r="L88" s="189"/>
      <c r="M88" s="189"/>
      <c r="N88" s="189"/>
      <c r="O88" s="189"/>
      <c r="P88" s="189"/>
      <c r="Q88" s="189"/>
      <c r="R88" s="189"/>
      <c r="S88" s="189"/>
      <c r="T88" s="189"/>
      <c r="U88" s="189"/>
      <c r="V88" s="189"/>
      <c r="W88" s="189"/>
      <c r="X88" s="189"/>
      <c r="Y88" s="189"/>
      <c r="Z88" s="189"/>
    </row>
    <row r="89" spans="1:26" ht="15.75" customHeight="1">
      <c r="A89" s="189"/>
      <c r="B89" s="189"/>
      <c r="C89" s="189"/>
      <c r="D89" s="189"/>
      <c r="E89" s="189"/>
      <c r="F89" s="189"/>
      <c r="G89" s="189"/>
      <c r="H89" s="189"/>
      <c r="I89" s="189"/>
      <c r="J89" s="189"/>
      <c r="K89" s="189"/>
      <c r="L89" s="189"/>
      <c r="M89" s="189"/>
      <c r="N89" s="189"/>
      <c r="O89" s="189"/>
      <c r="P89" s="189"/>
      <c r="Q89" s="189"/>
      <c r="R89" s="189"/>
      <c r="S89" s="189"/>
      <c r="T89" s="189"/>
      <c r="U89" s="189"/>
      <c r="V89" s="189"/>
      <c r="W89" s="189"/>
      <c r="X89" s="189"/>
      <c r="Y89" s="189"/>
      <c r="Z89" s="189"/>
    </row>
    <row r="90" spans="1:26" ht="15.75" customHeight="1">
      <c r="A90" s="189"/>
      <c r="B90" s="189"/>
      <c r="C90" s="189"/>
      <c r="D90" s="189"/>
      <c r="E90" s="189"/>
      <c r="F90" s="189"/>
      <c r="G90" s="189"/>
      <c r="H90" s="189"/>
      <c r="I90" s="189"/>
      <c r="J90" s="189"/>
      <c r="K90" s="189"/>
      <c r="L90" s="189"/>
      <c r="M90" s="189"/>
      <c r="N90" s="189"/>
      <c r="O90" s="189"/>
      <c r="P90" s="189"/>
      <c r="Q90" s="189"/>
      <c r="R90" s="189"/>
      <c r="S90" s="189"/>
      <c r="T90" s="189"/>
      <c r="U90" s="189"/>
      <c r="V90" s="189"/>
      <c r="W90" s="189"/>
      <c r="X90" s="189"/>
      <c r="Y90" s="189"/>
      <c r="Z90" s="189"/>
    </row>
    <row r="91" spans="1:26" ht="15.75" customHeight="1">
      <c r="A91" s="189"/>
      <c r="B91" s="189"/>
      <c r="C91" s="189"/>
      <c r="D91" s="189"/>
      <c r="E91" s="189"/>
      <c r="F91" s="189"/>
      <c r="G91" s="189"/>
      <c r="H91" s="189"/>
      <c r="I91" s="189"/>
      <c r="J91" s="189"/>
      <c r="K91" s="189"/>
      <c r="L91" s="189"/>
      <c r="M91" s="189"/>
      <c r="N91" s="189"/>
      <c r="O91" s="189"/>
      <c r="P91" s="189"/>
      <c r="Q91" s="189"/>
      <c r="R91" s="189"/>
      <c r="S91" s="189"/>
      <c r="T91" s="189"/>
      <c r="U91" s="189"/>
      <c r="V91" s="189"/>
      <c r="W91" s="189"/>
      <c r="X91" s="189"/>
      <c r="Y91" s="189"/>
      <c r="Z91" s="189"/>
    </row>
    <row r="92" spans="1:26" ht="15.75" customHeight="1">
      <c r="A92" s="189"/>
      <c r="B92" s="189"/>
      <c r="C92" s="189"/>
      <c r="D92" s="189"/>
      <c r="E92" s="189"/>
      <c r="F92" s="189"/>
      <c r="G92" s="189"/>
      <c r="H92" s="189"/>
      <c r="I92" s="189"/>
      <c r="J92" s="189"/>
      <c r="K92" s="189"/>
      <c r="L92" s="189"/>
      <c r="M92" s="189"/>
      <c r="N92" s="189"/>
      <c r="O92" s="189"/>
      <c r="P92" s="189"/>
      <c r="Q92" s="189"/>
      <c r="R92" s="189"/>
      <c r="S92" s="189"/>
      <c r="T92" s="189"/>
      <c r="U92" s="189"/>
      <c r="V92" s="189"/>
      <c r="W92" s="189"/>
      <c r="X92" s="189"/>
      <c r="Y92" s="189"/>
      <c r="Z92" s="189"/>
    </row>
    <row r="93" spans="1:26" ht="15.75" customHeight="1">
      <c r="A93" s="189"/>
      <c r="B93" s="189"/>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row>
    <row r="94" spans="1:26" ht="15.75" customHeight="1">
      <c r="A94" s="189"/>
      <c r="B94" s="189"/>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row>
    <row r="95" spans="1:26" ht="15.75" customHeight="1">
      <c r="A95" s="189"/>
      <c r="B95" s="189"/>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row>
    <row r="96" spans="1:26" ht="15.75" customHeight="1">
      <c r="A96" s="189"/>
      <c r="B96" s="189"/>
      <c r="C96" s="189"/>
      <c r="D96" s="189"/>
      <c r="E96" s="189"/>
      <c r="F96" s="189"/>
      <c r="G96" s="189"/>
      <c r="H96" s="189"/>
      <c r="I96" s="189"/>
      <c r="J96" s="189"/>
      <c r="K96" s="189"/>
      <c r="L96" s="189"/>
      <c r="M96" s="189"/>
      <c r="N96" s="189"/>
      <c r="O96" s="189"/>
      <c r="P96" s="189"/>
      <c r="Q96" s="189"/>
      <c r="R96" s="189"/>
      <c r="S96" s="189"/>
      <c r="T96" s="189"/>
      <c r="U96" s="189"/>
      <c r="V96" s="189"/>
      <c r="W96" s="189"/>
      <c r="X96" s="189"/>
      <c r="Y96" s="189"/>
      <c r="Z96" s="189"/>
    </row>
    <row r="97" spans="1:26" ht="15.75" customHeight="1">
      <c r="A97" s="189"/>
      <c r="B97" s="189"/>
      <c r="C97" s="189"/>
      <c r="D97" s="189"/>
      <c r="E97" s="189"/>
      <c r="F97" s="189"/>
      <c r="G97" s="189"/>
      <c r="H97" s="189"/>
      <c r="I97" s="189"/>
      <c r="J97" s="189"/>
      <c r="K97" s="189"/>
      <c r="L97" s="189"/>
      <c r="M97" s="189"/>
      <c r="N97" s="189"/>
      <c r="O97" s="189"/>
      <c r="P97" s="189"/>
      <c r="Q97" s="189"/>
      <c r="R97" s="189"/>
      <c r="S97" s="189"/>
      <c r="T97" s="189"/>
      <c r="U97" s="189"/>
      <c r="V97" s="189"/>
      <c r="W97" s="189"/>
      <c r="X97" s="189"/>
      <c r="Y97" s="189"/>
      <c r="Z97" s="189"/>
    </row>
    <row r="98" spans="1:26" ht="15.75" customHeight="1">
      <c r="A98" s="189"/>
      <c r="B98" s="189"/>
      <c r="C98" s="189"/>
      <c r="D98" s="189"/>
      <c r="E98" s="189"/>
      <c r="F98" s="189"/>
      <c r="G98" s="189"/>
      <c r="H98" s="189"/>
      <c r="I98" s="189"/>
      <c r="J98" s="189"/>
      <c r="K98" s="189"/>
      <c r="L98" s="189"/>
      <c r="M98" s="189"/>
      <c r="N98" s="189"/>
      <c r="O98" s="189"/>
      <c r="P98" s="189"/>
      <c r="Q98" s="189"/>
      <c r="R98" s="189"/>
      <c r="S98" s="189"/>
      <c r="T98" s="189"/>
      <c r="U98" s="189"/>
      <c r="V98" s="189"/>
      <c r="W98" s="189"/>
      <c r="X98" s="189"/>
      <c r="Y98" s="189"/>
      <c r="Z98" s="189"/>
    </row>
    <row r="99" spans="1:26" ht="15.75" customHeight="1">
      <c r="A99" s="189"/>
      <c r="B99" s="189"/>
      <c r="C99" s="189"/>
      <c r="D99" s="189"/>
      <c r="E99" s="189"/>
      <c r="F99" s="189"/>
      <c r="G99" s="189"/>
      <c r="H99" s="189"/>
      <c r="I99" s="189"/>
      <c r="J99" s="189"/>
      <c r="K99" s="189"/>
      <c r="L99" s="189"/>
      <c r="M99" s="189"/>
      <c r="N99" s="189"/>
      <c r="O99" s="189"/>
      <c r="P99" s="189"/>
      <c r="Q99" s="189"/>
      <c r="R99" s="189"/>
      <c r="S99" s="189"/>
      <c r="T99" s="189"/>
      <c r="U99" s="189"/>
      <c r="V99" s="189"/>
      <c r="W99" s="189"/>
      <c r="X99" s="189"/>
      <c r="Y99" s="189"/>
      <c r="Z99" s="189"/>
    </row>
    <row r="100" spans="1:26" ht="15.75" customHeight="1">
      <c r="A100" s="189"/>
      <c r="B100" s="189"/>
      <c r="C100" s="189"/>
      <c r="D100" s="189"/>
      <c r="E100" s="189"/>
      <c r="F100" s="189"/>
      <c r="G100" s="189"/>
      <c r="H100" s="189"/>
      <c r="I100" s="189"/>
      <c r="J100" s="189"/>
      <c r="K100" s="189"/>
      <c r="L100" s="189"/>
      <c r="M100" s="189"/>
      <c r="N100" s="189"/>
      <c r="O100" s="189"/>
      <c r="P100" s="189"/>
      <c r="Q100" s="189"/>
      <c r="R100" s="189"/>
      <c r="S100" s="189"/>
      <c r="T100" s="189"/>
      <c r="U100" s="189"/>
      <c r="V100" s="189"/>
      <c r="W100" s="189"/>
      <c r="X100" s="189"/>
      <c r="Y100" s="189"/>
      <c r="Z100" s="189"/>
    </row>
    <row r="101" spans="1:26" ht="15.75" customHeight="1">
      <c r="A101" s="189"/>
      <c r="B101" s="189"/>
      <c r="C101" s="189"/>
      <c r="D101" s="189"/>
      <c r="E101" s="189"/>
      <c r="F101" s="189"/>
      <c r="G101" s="189"/>
      <c r="H101" s="189"/>
      <c r="I101" s="189"/>
      <c r="J101" s="189"/>
      <c r="K101" s="189"/>
      <c r="L101" s="189"/>
      <c r="M101" s="189"/>
      <c r="N101" s="189"/>
      <c r="O101" s="189"/>
      <c r="P101" s="189"/>
      <c r="Q101" s="189"/>
      <c r="R101" s="189"/>
      <c r="S101" s="189"/>
      <c r="T101" s="189"/>
      <c r="U101" s="189"/>
      <c r="V101" s="189"/>
      <c r="W101" s="189"/>
      <c r="X101" s="189"/>
      <c r="Y101" s="189"/>
      <c r="Z101" s="189"/>
    </row>
    <row r="102" spans="1:26" ht="15.75" customHeight="1">
      <c r="A102" s="189"/>
      <c r="B102" s="189"/>
      <c r="C102" s="189"/>
      <c r="D102" s="189"/>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189"/>
    </row>
    <row r="103" spans="1:26" ht="15.75" customHeight="1">
      <c r="A103" s="189"/>
      <c r="B103" s="189"/>
      <c r="C103" s="189"/>
      <c r="D103" s="189"/>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189"/>
    </row>
    <row r="104" spans="1:26" ht="15.75" customHeight="1">
      <c r="A104" s="189"/>
      <c r="B104" s="189"/>
      <c r="C104" s="189"/>
      <c r="D104" s="189"/>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189"/>
    </row>
    <row r="105" spans="1:26" ht="15.75" customHeight="1">
      <c r="A105" s="189"/>
      <c r="B105" s="189"/>
      <c r="C105" s="189"/>
      <c r="D105" s="189"/>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189"/>
    </row>
    <row r="106" spans="1:26" ht="15.75" customHeight="1">
      <c r="A106" s="189"/>
      <c r="B106" s="189"/>
      <c r="C106" s="189"/>
      <c r="D106" s="189"/>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189"/>
    </row>
    <row r="107" spans="1:26" ht="15.75" customHeight="1">
      <c r="A107" s="189"/>
      <c r="B107" s="189"/>
      <c r="C107" s="189"/>
      <c r="D107" s="189"/>
      <c r="E107" s="189"/>
      <c r="F107" s="189"/>
      <c r="G107" s="189"/>
      <c r="H107" s="189"/>
      <c r="I107" s="189"/>
      <c r="J107" s="189"/>
      <c r="K107" s="189"/>
      <c r="L107" s="189"/>
      <c r="M107" s="189"/>
      <c r="N107" s="189"/>
      <c r="O107" s="189"/>
      <c r="P107" s="189"/>
      <c r="Q107" s="189"/>
      <c r="R107" s="189"/>
      <c r="S107" s="189"/>
      <c r="T107" s="189"/>
      <c r="U107" s="189"/>
      <c r="V107" s="189"/>
      <c r="W107" s="189"/>
      <c r="X107" s="189"/>
      <c r="Y107" s="189"/>
      <c r="Z107" s="189"/>
    </row>
    <row r="108" spans="1:26" ht="15.75" customHeight="1">
      <c r="A108" s="189"/>
      <c r="B108" s="189"/>
      <c r="C108" s="189"/>
      <c r="D108" s="189"/>
      <c r="E108" s="189"/>
      <c r="F108" s="189"/>
      <c r="G108" s="189"/>
      <c r="H108" s="189"/>
      <c r="I108" s="189"/>
      <c r="J108" s="189"/>
      <c r="K108" s="189"/>
      <c r="L108" s="189"/>
      <c r="M108" s="189"/>
      <c r="N108" s="189"/>
      <c r="O108" s="189"/>
      <c r="P108" s="189"/>
      <c r="Q108" s="189"/>
      <c r="R108" s="189"/>
      <c r="S108" s="189"/>
      <c r="T108" s="189"/>
      <c r="U108" s="189"/>
      <c r="V108" s="189"/>
      <c r="W108" s="189"/>
      <c r="X108" s="189"/>
      <c r="Y108" s="189"/>
      <c r="Z108" s="189"/>
    </row>
    <row r="109" spans="1:26" ht="15.75" customHeight="1">
      <c r="A109" s="189"/>
      <c r="B109" s="189"/>
      <c r="C109" s="189"/>
      <c r="D109" s="189"/>
      <c r="E109" s="189"/>
      <c r="F109" s="189"/>
      <c r="G109" s="189"/>
      <c r="H109" s="189"/>
      <c r="I109" s="189"/>
      <c r="J109" s="189"/>
      <c r="K109" s="189"/>
      <c r="L109" s="189"/>
      <c r="M109" s="189"/>
      <c r="N109" s="189"/>
      <c r="O109" s="189"/>
      <c r="P109" s="189"/>
      <c r="Q109" s="189"/>
      <c r="R109" s="189"/>
      <c r="S109" s="189"/>
      <c r="T109" s="189"/>
      <c r="U109" s="189"/>
      <c r="V109" s="189"/>
      <c r="W109" s="189"/>
      <c r="X109" s="189"/>
      <c r="Y109" s="189"/>
      <c r="Z109" s="189"/>
    </row>
    <row r="110" spans="1:26" ht="15.75" customHeight="1">
      <c r="A110" s="189"/>
      <c r="B110" s="189"/>
      <c r="C110" s="189"/>
      <c r="D110" s="189"/>
      <c r="E110" s="189"/>
      <c r="F110" s="189"/>
      <c r="G110" s="189"/>
      <c r="H110" s="189"/>
      <c r="I110" s="189"/>
      <c r="J110" s="189"/>
      <c r="K110" s="189"/>
      <c r="L110" s="189"/>
      <c r="M110" s="189"/>
      <c r="N110" s="189"/>
      <c r="O110" s="189"/>
      <c r="P110" s="189"/>
      <c r="Q110" s="189"/>
      <c r="R110" s="189"/>
      <c r="S110" s="189"/>
      <c r="T110" s="189"/>
      <c r="U110" s="189"/>
      <c r="V110" s="189"/>
      <c r="W110" s="189"/>
      <c r="X110" s="189"/>
      <c r="Y110" s="189"/>
      <c r="Z110" s="189"/>
    </row>
    <row r="111" spans="1:26" ht="15.75" customHeight="1">
      <c r="A111" s="189"/>
      <c r="B111" s="189"/>
      <c r="C111" s="189"/>
      <c r="D111" s="189"/>
      <c r="E111" s="189"/>
      <c r="F111" s="189"/>
      <c r="G111" s="189"/>
      <c r="H111" s="189"/>
      <c r="I111" s="189"/>
      <c r="J111" s="189"/>
      <c r="K111" s="189"/>
      <c r="L111" s="189"/>
      <c r="M111" s="189"/>
      <c r="N111" s="189"/>
      <c r="O111" s="189"/>
      <c r="P111" s="189"/>
      <c r="Q111" s="189"/>
      <c r="R111" s="189"/>
      <c r="S111" s="189"/>
      <c r="T111" s="189"/>
      <c r="U111" s="189"/>
      <c r="V111" s="189"/>
      <c r="W111" s="189"/>
      <c r="X111" s="189"/>
      <c r="Y111" s="189"/>
      <c r="Z111" s="189"/>
    </row>
    <row r="112" spans="1:26" ht="15.75" customHeight="1">
      <c r="A112" s="189"/>
      <c r="B112" s="189"/>
      <c r="C112" s="189"/>
      <c r="D112" s="189"/>
      <c r="E112" s="189"/>
      <c r="F112" s="189"/>
      <c r="G112" s="189"/>
      <c r="H112" s="189"/>
      <c r="I112" s="189"/>
      <c r="J112" s="189"/>
      <c r="K112" s="189"/>
      <c r="L112" s="189"/>
      <c r="M112" s="189"/>
      <c r="N112" s="189"/>
      <c r="O112" s="189"/>
      <c r="P112" s="189"/>
      <c r="Q112" s="189"/>
      <c r="R112" s="189"/>
      <c r="S112" s="189"/>
      <c r="T112" s="189"/>
      <c r="U112" s="189"/>
      <c r="V112" s="189"/>
      <c r="W112" s="189"/>
      <c r="X112" s="189"/>
      <c r="Y112" s="189"/>
      <c r="Z112" s="189"/>
    </row>
    <row r="113" spans="1:26" ht="15.75" customHeight="1">
      <c r="A113" s="189"/>
      <c r="B113" s="189"/>
      <c r="C113" s="189"/>
      <c r="D113" s="189"/>
      <c r="E113" s="189"/>
      <c r="F113" s="189"/>
      <c r="G113" s="189"/>
      <c r="H113" s="189"/>
      <c r="I113" s="189"/>
      <c r="J113" s="189"/>
      <c r="K113" s="189"/>
      <c r="L113" s="189"/>
      <c r="M113" s="189"/>
      <c r="N113" s="189"/>
      <c r="O113" s="189"/>
      <c r="P113" s="189"/>
      <c r="Q113" s="189"/>
      <c r="R113" s="189"/>
      <c r="S113" s="189"/>
      <c r="T113" s="189"/>
      <c r="U113" s="189"/>
      <c r="V113" s="189"/>
      <c r="W113" s="189"/>
      <c r="X113" s="189"/>
      <c r="Y113" s="189"/>
      <c r="Z113" s="189"/>
    </row>
    <row r="114" spans="1:26" ht="15.75" customHeight="1">
      <c r="A114" s="189"/>
      <c r="B114" s="189"/>
      <c r="C114" s="189"/>
      <c r="D114" s="189"/>
      <c r="E114" s="189"/>
      <c r="F114" s="189"/>
      <c r="G114" s="189"/>
      <c r="H114" s="189"/>
      <c r="I114" s="189"/>
      <c r="J114" s="189"/>
      <c r="K114" s="189"/>
      <c r="L114" s="189"/>
      <c r="M114" s="189"/>
      <c r="N114" s="189"/>
      <c r="O114" s="189"/>
      <c r="P114" s="189"/>
      <c r="Q114" s="189"/>
      <c r="R114" s="189"/>
      <c r="S114" s="189"/>
      <c r="T114" s="189"/>
      <c r="U114" s="189"/>
      <c r="V114" s="189"/>
      <c r="W114" s="189"/>
      <c r="X114" s="189"/>
      <c r="Y114" s="189"/>
      <c r="Z114" s="189"/>
    </row>
    <row r="115" spans="1:26" ht="15.75" customHeight="1">
      <c r="A115" s="189"/>
      <c r="B115" s="189"/>
      <c r="C115" s="189"/>
      <c r="D115" s="189"/>
      <c r="E115" s="189"/>
      <c r="F115" s="189"/>
      <c r="G115" s="189"/>
      <c r="H115" s="189"/>
      <c r="I115" s="189"/>
      <c r="J115" s="189"/>
      <c r="K115" s="189"/>
      <c r="L115" s="189"/>
      <c r="M115" s="189"/>
      <c r="N115" s="189"/>
      <c r="O115" s="189"/>
      <c r="P115" s="189"/>
      <c r="Q115" s="189"/>
      <c r="R115" s="189"/>
      <c r="S115" s="189"/>
      <c r="T115" s="189"/>
      <c r="U115" s="189"/>
      <c r="V115" s="189"/>
      <c r="W115" s="189"/>
      <c r="X115" s="189"/>
      <c r="Y115" s="189"/>
      <c r="Z115" s="189"/>
    </row>
    <row r="116" spans="1:26" ht="15.75" customHeight="1">
      <c r="A116" s="189"/>
      <c r="B116" s="189"/>
      <c r="C116" s="189"/>
      <c r="D116" s="189"/>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189"/>
    </row>
    <row r="117" spans="1:26" ht="15.75" customHeight="1">
      <c r="A117" s="189"/>
      <c r="B117" s="189"/>
      <c r="C117" s="189"/>
      <c r="D117" s="189"/>
      <c r="E117" s="189"/>
      <c r="F117" s="189"/>
      <c r="G117" s="189"/>
      <c r="H117" s="189"/>
      <c r="I117" s="189"/>
      <c r="J117" s="189"/>
      <c r="K117" s="189"/>
      <c r="L117" s="189"/>
      <c r="M117" s="189"/>
      <c r="N117" s="189"/>
      <c r="O117" s="189"/>
      <c r="P117" s="189"/>
      <c r="Q117" s="189"/>
      <c r="R117" s="189"/>
      <c r="S117" s="189"/>
      <c r="T117" s="189"/>
      <c r="U117" s="189"/>
      <c r="V117" s="189"/>
      <c r="W117" s="189"/>
      <c r="X117" s="189"/>
      <c r="Y117" s="189"/>
      <c r="Z117" s="189"/>
    </row>
    <row r="118" spans="1:26" ht="15.75" customHeight="1">
      <c r="A118" s="189"/>
      <c r="B118" s="189"/>
      <c r="C118" s="189"/>
      <c r="D118" s="189"/>
      <c r="E118" s="189"/>
      <c r="F118" s="189"/>
      <c r="G118" s="189"/>
      <c r="H118" s="189"/>
      <c r="I118" s="189"/>
      <c r="J118" s="189"/>
      <c r="K118" s="189"/>
      <c r="L118" s="189"/>
      <c r="M118" s="189"/>
      <c r="N118" s="189"/>
      <c r="O118" s="189"/>
      <c r="P118" s="189"/>
      <c r="Q118" s="189"/>
      <c r="R118" s="189"/>
      <c r="S118" s="189"/>
      <c r="T118" s="189"/>
      <c r="U118" s="189"/>
      <c r="V118" s="189"/>
      <c r="W118" s="189"/>
      <c r="X118" s="189"/>
      <c r="Y118" s="189"/>
      <c r="Z118" s="189"/>
    </row>
    <row r="119" spans="1:26" ht="15.75" customHeight="1">
      <c r="A119" s="189"/>
      <c r="B119" s="189"/>
      <c r="C119" s="189"/>
      <c r="D119" s="189"/>
      <c r="E119" s="189"/>
      <c r="F119" s="189"/>
      <c r="G119" s="189"/>
      <c r="H119" s="189"/>
      <c r="I119" s="189"/>
      <c r="J119" s="189"/>
      <c r="K119" s="189"/>
      <c r="L119" s="189"/>
      <c r="M119" s="189"/>
      <c r="N119" s="189"/>
      <c r="O119" s="189"/>
      <c r="P119" s="189"/>
      <c r="Q119" s="189"/>
      <c r="R119" s="189"/>
      <c r="S119" s="189"/>
      <c r="T119" s="189"/>
      <c r="U119" s="189"/>
      <c r="V119" s="189"/>
      <c r="W119" s="189"/>
      <c r="X119" s="189"/>
      <c r="Y119" s="189"/>
      <c r="Z119" s="189"/>
    </row>
    <row r="120" spans="1:26" ht="15.75" customHeight="1">
      <c r="A120" s="189"/>
      <c r="B120" s="189"/>
      <c r="C120" s="189"/>
      <c r="D120" s="189"/>
      <c r="E120" s="189"/>
      <c r="F120" s="189"/>
      <c r="G120" s="189"/>
      <c r="H120" s="189"/>
      <c r="I120" s="189"/>
      <c r="J120" s="189"/>
      <c r="K120" s="189"/>
      <c r="L120" s="189"/>
      <c r="M120" s="189"/>
      <c r="N120" s="189"/>
      <c r="O120" s="189"/>
      <c r="P120" s="189"/>
      <c r="Q120" s="189"/>
      <c r="R120" s="189"/>
      <c r="S120" s="189"/>
      <c r="T120" s="189"/>
      <c r="U120" s="189"/>
      <c r="V120" s="189"/>
      <c r="W120" s="189"/>
      <c r="X120" s="189"/>
      <c r="Y120" s="189"/>
      <c r="Z120" s="189"/>
    </row>
    <row r="121" spans="1:26" ht="15.75" customHeight="1">
      <c r="A121" s="189"/>
      <c r="B121" s="189"/>
      <c r="C121" s="189"/>
      <c r="D121" s="189"/>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189"/>
    </row>
    <row r="122" spans="1:26" ht="15.75" customHeight="1">
      <c r="A122" s="189"/>
      <c r="B122" s="189"/>
      <c r="C122" s="189"/>
      <c r="D122" s="189"/>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189"/>
    </row>
    <row r="123" spans="1:26" ht="15.75" customHeight="1">
      <c r="A123" s="189"/>
      <c r="B123" s="189"/>
      <c r="C123" s="189"/>
      <c r="D123" s="189"/>
      <c r="E123" s="189"/>
      <c r="F123" s="189"/>
      <c r="G123" s="189"/>
      <c r="H123" s="189"/>
      <c r="I123" s="189"/>
      <c r="J123" s="189"/>
      <c r="K123" s="189"/>
      <c r="L123" s="189"/>
      <c r="M123" s="189"/>
      <c r="N123" s="189"/>
      <c r="O123" s="189"/>
      <c r="P123" s="189"/>
      <c r="Q123" s="189"/>
      <c r="R123" s="189"/>
      <c r="S123" s="189"/>
      <c r="T123" s="189"/>
      <c r="U123" s="189"/>
      <c r="V123" s="189"/>
      <c r="W123" s="189"/>
      <c r="X123" s="189"/>
      <c r="Y123" s="189"/>
      <c r="Z123" s="189"/>
    </row>
    <row r="124" spans="1:26" ht="15.75" customHeight="1">
      <c r="A124" s="189"/>
      <c r="B124" s="189"/>
      <c r="C124" s="189"/>
      <c r="D124" s="189"/>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189"/>
    </row>
    <row r="125" spans="1:26" ht="15.75" customHeight="1">
      <c r="A125" s="189"/>
      <c r="B125" s="189"/>
      <c r="C125" s="189"/>
      <c r="D125" s="189"/>
      <c r="E125" s="189"/>
      <c r="F125" s="189"/>
      <c r="G125" s="189"/>
      <c r="H125" s="189"/>
      <c r="I125" s="189"/>
      <c r="J125" s="189"/>
      <c r="K125" s="189"/>
      <c r="L125" s="189"/>
      <c r="M125" s="189"/>
      <c r="N125" s="189"/>
      <c r="O125" s="189"/>
      <c r="P125" s="189"/>
      <c r="Q125" s="189"/>
      <c r="R125" s="189"/>
      <c r="S125" s="189"/>
      <c r="T125" s="189"/>
      <c r="U125" s="189"/>
      <c r="V125" s="189"/>
      <c r="W125" s="189"/>
      <c r="X125" s="189"/>
      <c r="Y125" s="189"/>
      <c r="Z125" s="189"/>
    </row>
    <row r="126" spans="1:26" ht="15.75" customHeight="1">
      <c r="A126" s="189"/>
      <c r="B126" s="189"/>
      <c r="C126" s="189"/>
      <c r="D126" s="189"/>
      <c r="E126" s="189"/>
      <c r="F126" s="189"/>
      <c r="G126" s="189"/>
      <c r="H126" s="189"/>
      <c r="I126" s="189"/>
      <c r="J126" s="189"/>
      <c r="K126" s="189"/>
      <c r="L126" s="189"/>
      <c r="M126" s="189"/>
      <c r="N126" s="189"/>
      <c r="O126" s="189"/>
      <c r="P126" s="189"/>
      <c r="Q126" s="189"/>
      <c r="R126" s="189"/>
      <c r="S126" s="189"/>
      <c r="T126" s="189"/>
      <c r="U126" s="189"/>
      <c r="V126" s="189"/>
      <c r="W126" s="189"/>
      <c r="X126" s="189"/>
      <c r="Y126" s="189"/>
      <c r="Z126" s="189"/>
    </row>
    <row r="127" spans="1:26" ht="15.75" customHeight="1">
      <c r="A127" s="189"/>
      <c r="B127" s="189"/>
      <c r="C127" s="189"/>
      <c r="D127" s="189"/>
      <c r="E127" s="189"/>
      <c r="F127" s="189"/>
      <c r="G127" s="189"/>
      <c r="H127" s="189"/>
      <c r="I127" s="189"/>
      <c r="J127" s="189"/>
      <c r="K127" s="189"/>
      <c r="L127" s="189"/>
      <c r="M127" s="189"/>
      <c r="N127" s="189"/>
      <c r="O127" s="189"/>
      <c r="P127" s="189"/>
      <c r="Q127" s="189"/>
      <c r="R127" s="189"/>
      <c r="S127" s="189"/>
      <c r="T127" s="189"/>
      <c r="U127" s="189"/>
      <c r="V127" s="189"/>
      <c r="W127" s="189"/>
      <c r="X127" s="189"/>
      <c r="Y127" s="189"/>
      <c r="Z127" s="189"/>
    </row>
    <row r="128" spans="1:26" ht="15.75" customHeight="1">
      <c r="A128" s="189"/>
      <c r="B128" s="189"/>
      <c r="C128" s="189"/>
      <c r="D128" s="189"/>
      <c r="E128" s="189"/>
      <c r="F128" s="189"/>
      <c r="G128" s="189"/>
      <c r="H128" s="189"/>
      <c r="I128" s="189"/>
      <c r="J128" s="189"/>
      <c r="K128" s="189"/>
      <c r="L128" s="189"/>
      <c r="M128" s="189"/>
      <c r="N128" s="189"/>
      <c r="O128" s="189"/>
      <c r="P128" s="189"/>
      <c r="Q128" s="189"/>
      <c r="R128" s="189"/>
      <c r="S128" s="189"/>
      <c r="T128" s="189"/>
      <c r="U128" s="189"/>
      <c r="V128" s="189"/>
      <c r="W128" s="189"/>
      <c r="X128" s="189"/>
      <c r="Y128" s="189"/>
      <c r="Z128" s="189"/>
    </row>
    <row r="129" spans="1:26" ht="15.75" customHeight="1">
      <c r="A129" s="189"/>
      <c r="B129" s="189"/>
      <c r="C129" s="189"/>
      <c r="D129" s="189"/>
      <c r="E129" s="189"/>
      <c r="F129" s="189"/>
      <c r="G129" s="189"/>
      <c r="H129" s="189"/>
      <c r="I129" s="189"/>
      <c r="J129" s="189"/>
      <c r="K129" s="189"/>
      <c r="L129" s="189"/>
      <c r="M129" s="189"/>
      <c r="N129" s="189"/>
      <c r="O129" s="189"/>
      <c r="P129" s="189"/>
      <c r="Q129" s="189"/>
      <c r="R129" s="189"/>
      <c r="S129" s="189"/>
      <c r="T129" s="189"/>
      <c r="U129" s="189"/>
      <c r="V129" s="189"/>
      <c r="W129" s="189"/>
      <c r="X129" s="189"/>
      <c r="Y129" s="189"/>
      <c r="Z129" s="189"/>
    </row>
    <row r="130" spans="1:26" ht="15.75" customHeight="1">
      <c r="A130" s="189"/>
      <c r="B130" s="189"/>
      <c r="C130" s="189"/>
      <c r="D130" s="189"/>
      <c r="E130" s="189"/>
      <c r="F130" s="189"/>
      <c r="G130" s="189"/>
      <c r="H130" s="189"/>
      <c r="I130" s="189"/>
      <c r="J130" s="189"/>
      <c r="K130" s="189"/>
      <c r="L130" s="189"/>
      <c r="M130" s="189"/>
      <c r="N130" s="189"/>
      <c r="O130" s="189"/>
      <c r="P130" s="189"/>
      <c r="Q130" s="189"/>
      <c r="R130" s="189"/>
      <c r="S130" s="189"/>
      <c r="T130" s="189"/>
      <c r="U130" s="189"/>
      <c r="V130" s="189"/>
      <c r="W130" s="189"/>
      <c r="X130" s="189"/>
      <c r="Y130" s="189"/>
      <c r="Z130" s="189"/>
    </row>
    <row r="131" spans="1:26" ht="15.75" customHeight="1">
      <c r="A131" s="189"/>
      <c r="B131" s="189"/>
      <c r="C131" s="189"/>
      <c r="D131" s="189"/>
      <c r="E131" s="189"/>
      <c r="F131" s="189"/>
      <c r="G131" s="189"/>
      <c r="H131" s="189"/>
      <c r="I131" s="189"/>
      <c r="J131" s="189"/>
      <c r="K131" s="189"/>
      <c r="L131" s="189"/>
      <c r="M131" s="189"/>
      <c r="N131" s="189"/>
      <c r="O131" s="189"/>
      <c r="P131" s="189"/>
      <c r="Q131" s="189"/>
      <c r="R131" s="189"/>
      <c r="S131" s="189"/>
      <c r="T131" s="189"/>
      <c r="U131" s="189"/>
      <c r="V131" s="189"/>
      <c r="W131" s="189"/>
      <c r="X131" s="189"/>
      <c r="Y131" s="189"/>
      <c r="Z131" s="189"/>
    </row>
    <row r="132" spans="1:26" ht="15.75" customHeight="1">
      <c r="A132" s="189"/>
      <c r="B132" s="189"/>
      <c r="C132" s="189"/>
      <c r="D132" s="189"/>
      <c r="E132" s="189"/>
      <c r="F132" s="189"/>
      <c r="G132" s="189"/>
      <c r="H132" s="189"/>
      <c r="I132" s="189"/>
      <c r="J132" s="189"/>
      <c r="K132" s="189"/>
      <c r="L132" s="189"/>
      <c r="M132" s="189"/>
      <c r="N132" s="189"/>
      <c r="O132" s="189"/>
      <c r="P132" s="189"/>
      <c r="Q132" s="189"/>
      <c r="R132" s="189"/>
      <c r="S132" s="189"/>
      <c r="T132" s="189"/>
      <c r="U132" s="189"/>
      <c r="V132" s="189"/>
      <c r="W132" s="189"/>
      <c r="X132" s="189"/>
      <c r="Y132" s="189"/>
      <c r="Z132" s="189"/>
    </row>
    <row r="133" spans="1:26" ht="15.75" customHeight="1">
      <c r="A133" s="189"/>
      <c r="B133" s="189"/>
      <c r="C133" s="189"/>
      <c r="D133" s="189"/>
      <c r="E133" s="189"/>
      <c r="F133" s="189"/>
      <c r="G133" s="189"/>
      <c r="H133" s="189"/>
      <c r="I133" s="189"/>
      <c r="J133" s="189"/>
      <c r="K133" s="189"/>
      <c r="L133" s="189"/>
      <c r="M133" s="189"/>
      <c r="N133" s="189"/>
      <c r="O133" s="189"/>
      <c r="P133" s="189"/>
      <c r="Q133" s="189"/>
      <c r="R133" s="189"/>
      <c r="S133" s="189"/>
      <c r="T133" s="189"/>
      <c r="U133" s="189"/>
      <c r="V133" s="189"/>
      <c r="W133" s="189"/>
      <c r="X133" s="189"/>
      <c r="Y133" s="189"/>
      <c r="Z133" s="189"/>
    </row>
    <row r="134" spans="1:26" ht="15.75" customHeight="1">
      <c r="A134" s="189"/>
      <c r="B134" s="189"/>
      <c r="C134" s="189"/>
      <c r="D134" s="189"/>
      <c r="E134" s="189"/>
      <c r="F134" s="189"/>
      <c r="G134" s="189"/>
      <c r="H134" s="189"/>
      <c r="I134" s="189"/>
      <c r="J134" s="189"/>
      <c r="K134" s="189"/>
      <c r="L134" s="189"/>
      <c r="M134" s="189"/>
      <c r="N134" s="189"/>
      <c r="O134" s="189"/>
      <c r="P134" s="189"/>
      <c r="Q134" s="189"/>
      <c r="R134" s="189"/>
      <c r="S134" s="189"/>
      <c r="T134" s="189"/>
      <c r="U134" s="189"/>
      <c r="V134" s="189"/>
      <c r="W134" s="189"/>
      <c r="X134" s="189"/>
      <c r="Y134" s="189"/>
      <c r="Z134" s="189"/>
    </row>
    <row r="135" spans="1:26" ht="15.75" customHeight="1">
      <c r="A135" s="189"/>
      <c r="B135" s="189"/>
      <c r="C135" s="189"/>
      <c r="D135" s="189"/>
      <c r="E135" s="189"/>
      <c r="F135" s="189"/>
      <c r="G135" s="189"/>
      <c r="H135" s="189"/>
      <c r="I135" s="189"/>
      <c r="J135" s="189"/>
      <c r="K135" s="189"/>
      <c r="L135" s="189"/>
      <c r="M135" s="189"/>
      <c r="N135" s="189"/>
      <c r="O135" s="189"/>
      <c r="P135" s="189"/>
      <c r="Q135" s="189"/>
      <c r="R135" s="189"/>
      <c r="S135" s="189"/>
      <c r="T135" s="189"/>
      <c r="U135" s="189"/>
      <c r="V135" s="189"/>
      <c r="W135" s="189"/>
      <c r="X135" s="189"/>
      <c r="Y135" s="189"/>
      <c r="Z135" s="189"/>
    </row>
    <row r="136" spans="1:26" ht="15.75" customHeight="1">
      <c r="A136" s="189"/>
      <c r="B136" s="189"/>
      <c r="C136" s="189"/>
      <c r="D136" s="189"/>
      <c r="E136" s="189"/>
      <c r="F136" s="189"/>
      <c r="G136" s="189"/>
      <c r="H136" s="189"/>
      <c r="I136" s="189"/>
      <c r="J136" s="189"/>
      <c r="K136" s="189"/>
      <c r="L136" s="189"/>
      <c r="M136" s="189"/>
      <c r="N136" s="189"/>
      <c r="O136" s="189"/>
      <c r="P136" s="189"/>
      <c r="Q136" s="189"/>
      <c r="R136" s="189"/>
      <c r="S136" s="189"/>
      <c r="T136" s="189"/>
      <c r="U136" s="189"/>
      <c r="V136" s="189"/>
      <c r="W136" s="189"/>
      <c r="X136" s="189"/>
      <c r="Y136" s="189"/>
      <c r="Z136" s="189"/>
    </row>
    <row r="137" spans="1:26" ht="15.75" customHeight="1">
      <c r="A137" s="189"/>
      <c r="B137" s="189"/>
      <c r="C137" s="189"/>
      <c r="D137" s="189"/>
      <c r="E137" s="189"/>
      <c r="F137" s="189"/>
      <c r="G137" s="189"/>
      <c r="H137" s="189"/>
      <c r="I137" s="189"/>
      <c r="J137" s="189"/>
      <c r="K137" s="189"/>
      <c r="L137" s="189"/>
      <c r="M137" s="189"/>
      <c r="N137" s="189"/>
      <c r="O137" s="189"/>
      <c r="P137" s="189"/>
      <c r="Q137" s="189"/>
      <c r="R137" s="189"/>
      <c r="S137" s="189"/>
      <c r="T137" s="189"/>
      <c r="U137" s="189"/>
      <c r="V137" s="189"/>
      <c r="W137" s="189"/>
      <c r="X137" s="189"/>
      <c r="Y137" s="189"/>
      <c r="Z137" s="189"/>
    </row>
    <row r="138" spans="1:26" ht="15.75" customHeight="1">
      <c r="A138" s="189"/>
      <c r="B138" s="189"/>
      <c r="C138" s="189"/>
      <c r="D138" s="189"/>
      <c r="E138" s="189"/>
      <c r="F138" s="189"/>
      <c r="G138" s="189"/>
      <c r="H138" s="189"/>
      <c r="I138" s="189"/>
      <c r="J138" s="189"/>
      <c r="K138" s="189"/>
      <c r="L138" s="189"/>
      <c r="M138" s="189"/>
      <c r="N138" s="189"/>
      <c r="O138" s="189"/>
      <c r="P138" s="189"/>
      <c r="Q138" s="189"/>
      <c r="R138" s="189"/>
      <c r="S138" s="189"/>
      <c r="T138" s="189"/>
      <c r="U138" s="189"/>
      <c r="V138" s="189"/>
      <c r="W138" s="189"/>
      <c r="X138" s="189"/>
      <c r="Y138" s="189"/>
      <c r="Z138" s="189"/>
    </row>
    <row r="139" spans="1:26" ht="15.75" customHeight="1">
      <c r="A139" s="189"/>
      <c r="B139" s="189"/>
      <c r="C139" s="189"/>
      <c r="D139" s="189"/>
      <c r="E139" s="189"/>
      <c r="F139" s="189"/>
      <c r="G139" s="189"/>
      <c r="H139" s="189"/>
      <c r="I139" s="189"/>
      <c r="J139" s="189"/>
      <c r="K139" s="189"/>
      <c r="L139" s="189"/>
      <c r="M139" s="189"/>
      <c r="N139" s="189"/>
      <c r="O139" s="189"/>
      <c r="P139" s="189"/>
      <c r="Q139" s="189"/>
      <c r="R139" s="189"/>
      <c r="S139" s="189"/>
      <c r="T139" s="189"/>
      <c r="U139" s="189"/>
      <c r="V139" s="189"/>
      <c r="W139" s="189"/>
      <c r="X139" s="189"/>
      <c r="Y139" s="189"/>
      <c r="Z139" s="189"/>
    </row>
    <row r="140" spans="1:26" ht="15.75" customHeight="1">
      <c r="A140" s="189"/>
      <c r="B140" s="189"/>
      <c r="C140" s="189"/>
      <c r="D140" s="189"/>
      <c r="E140" s="189"/>
      <c r="F140" s="189"/>
      <c r="G140" s="189"/>
      <c r="H140" s="189"/>
      <c r="I140" s="189"/>
      <c r="J140" s="189"/>
      <c r="K140" s="189"/>
      <c r="L140" s="189"/>
      <c r="M140" s="189"/>
      <c r="N140" s="189"/>
      <c r="O140" s="189"/>
      <c r="P140" s="189"/>
      <c r="Q140" s="189"/>
      <c r="R140" s="189"/>
      <c r="S140" s="189"/>
      <c r="T140" s="189"/>
      <c r="U140" s="189"/>
      <c r="V140" s="189"/>
      <c r="W140" s="189"/>
      <c r="X140" s="189"/>
      <c r="Y140" s="189"/>
      <c r="Z140" s="189"/>
    </row>
    <row r="141" spans="1:26" ht="15.75" customHeight="1">
      <c r="A141" s="189"/>
      <c r="B141" s="189"/>
      <c r="C141" s="189"/>
      <c r="D141" s="189"/>
      <c r="E141" s="189"/>
      <c r="F141" s="189"/>
      <c r="G141" s="189"/>
      <c r="H141" s="189"/>
      <c r="I141" s="189"/>
      <c r="J141" s="189"/>
      <c r="K141" s="189"/>
      <c r="L141" s="189"/>
      <c r="M141" s="189"/>
      <c r="N141" s="189"/>
      <c r="O141" s="189"/>
      <c r="P141" s="189"/>
      <c r="Q141" s="189"/>
      <c r="R141" s="189"/>
      <c r="S141" s="189"/>
      <c r="T141" s="189"/>
      <c r="U141" s="189"/>
      <c r="V141" s="189"/>
      <c r="W141" s="189"/>
      <c r="X141" s="189"/>
      <c r="Y141" s="189"/>
      <c r="Z141" s="189"/>
    </row>
    <row r="142" spans="1:26" ht="15.75" customHeight="1">
      <c r="A142" s="189"/>
      <c r="B142" s="189"/>
      <c r="C142" s="189"/>
      <c r="D142" s="189"/>
      <c r="E142" s="189"/>
      <c r="F142" s="189"/>
      <c r="G142" s="189"/>
      <c r="H142" s="189"/>
      <c r="I142" s="189"/>
      <c r="J142" s="189"/>
      <c r="K142" s="189"/>
      <c r="L142" s="189"/>
      <c r="M142" s="189"/>
      <c r="N142" s="189"/>
      <c r="O142" s="189"/>
      <c r="P142" s="189"/>
      <c r="Q142" s="189"/>
      <c r="R142" s="189"/>
      <c r="S142" s="189"/>
      <c r="T142" s="189"/>
      <c r="U142" s="189"/>
      <c r="V142" s="189"/>
      <c r="W142" s="189"/>
      <c r="X142" s="189"/>
      <c r="Y142" s="189"/>
      <c r="Z142" s="189"/>
    </row>
    <row r="143" spans="1:26" ht="15.75" customHeight="1">
      <c r="A143" s="189"/>
      <c r="B143" s="189"/>
      <c r="C143" s="189"/>
      <c r="D143" s="189"/>
      <c r="E143" s="189"/>
      <c r="F143" s="189"/>
      <c r="G143" s="189"/>
      <c r="H143" s="189"/>
      <c r="I143" s="189"/>
      <c r="J143" s="189"/>
      <c r="K143" s="189"/>
      <c r="L143" s="189"/>
      <c r="M143" s="189"/>
      <c r="N143" s="189"/>
      <c r="O143" s="189"/>
      <c r="P143" s="189"/>
      <c r="Q143" s="189"/>
      <c r="R143" s="189"/>
      <c r="S143" s="189"/>
      <c r="T143" s="189"/>
      <c r="U143" s="189"/>
      <c r="V143" s="189"/>
      <c r="W143" s="189"/>
      <c r="X143" s="189"/>
      <c r="Y143" s="189"/>
      <c r="Z143" s="189"/>
    </row>
    <row r="144" spans="1:26" ht="15.75" customHeight="1">
      <c r="A144" s="189"/>
      <c r="B144" s="189"/>
      <c r="C144" s="189"/>
      <c r="D144" s="189"/>
      <c r="E144" s="189"/>
      <c r="F144" s="189"/>
      <c r="G144" s="189"/>
      <c r="H144" s="189"/>
      <c r="I144" s="189"/>
      <c r="J144" s="189"/>
      <c r="K144" s="189"/>
      <c r="L144" s="189"/>
      <c r="M144" s="189"/>
      <c r="N144" s="189"/>
      <c r="O144" s="189"/>
      <c r="P144" s="189"/>
      <c r="Q144" s="189"/>
      <c r="R144" s="189"/>
      <c r="S144" s="189"/>
      <c r="T144" s="189"/>
      <c r="U144" s="189"/>
      <c r="V144" s="189"/>
      <c r="W144" s="189"/>
      <c r="X144" s="189"/>
      <c r="Y144" s="189"/>
      <c r="Z144" s="189"/>
    </row>
    <row r="145" spans="1:26" ht="15.75" customHeight="1">
      <c r="A145" s="189"/>
      <c r="B145" s="189"/>
      <c r="C145" s="189"/>
      <c r="D145" s="189"/>
      <c r="E145" s="189"/>
      <c r="F145" s="189"/>
      <c r="G145" s="189"/>
      <c r="H145" s="189"/>
      <c r="I145" s="189"/>
      <c r="J145" s="189"/>
      <c r="K145" s="189"/>
      <c r="L145" s="189"/>
      <c r="M145" s="189"/>
      <c r="N145" s="189"/>
      <c r="O145" s="189"/>
      <c r="P145" s="189"/>
      <c r="Q145" s="189"/>
      <c r="R145" s="189"/>
      <c r="S145" s="189"/>
      <c r="T145" s="189"/>
      <c r="U145" s="189"/>
      <c r="V145" s="189"/>
      <c r="W145" s="189"/>
      <c r="X145" s="189"/>
      <c r="Y145" s="189"/>
      <c r="Z145" s="189"/>
    </row>
    <row r="146" spans="1:26" ht="15.75" customHeight="1">
      <c r="A146" s="189"/>
      <c r="B146" s="189"/>
      <c r="C146" s="189"/>
      <c r="D146" s="189"/>
      <c r="E146" s="189"/>
      <c r="F146" s="189"/>
      <c r="G146" s="189"/>
      <c r="H146" s="189"/>
      <c r="I146" s="189"/>
      <c r="J146" s="189"/>
      <c r="K146" s="189"/>
      <c r="L146" s="189"/>
      <c r="M146" s="189"/>
      <c r="N146" s="189"/>
      <c r="O146" s="189"/>
      <c r="P146" s="189"/>
      <c r="Q146" s="189"/>
      <c r="R146" s="189"/>
      <c r="S146" s="189"/>
      <c r="T146" s="189"/>
      <c r="U146" s="189"/>
      <c r="V146" s="189"/>
      <c r="W146" s="189"/>
      <c r="X146" s="189"/>
      <c r="Y146" s="189"/>
      <c r="Z146" s="189"/>
    </row>
    <row r="147" spans="1:26" ht="15.75" customHeight="1">
      <c r="A147" s="189"/>
      <c r="B147" s="189"/>
      <c r="C147" s="189"/>
      <c r="D147" s="189"/>
      <c r="E147" s="189"/>
      <c r="F147" s="189"/>
      <c r="G147" s="189"/>
      <c r="H147" s="189"/>
      <c r="I147" s="189"/>
      <c r="J147" s="189"/>
      <c r="K147" s="189"/>
      <c r="L147" s="189"/>
      <c r="M147" s="189"/>
      <c r="N147" s="189"/>
      <c r="O147" s="189"/>
      <c r="P147" s="189"/>
      <c r="Q147" s="189"/>
      <c r="R147" s="189"/>
      <c r="S147" s="189"/>
      <c r="T147" s="189"/>
      <c r="U147" s="189"/>
      <c r="V147" s="189"/>
      <c r="W147" s="189"/>
      <c r="X147" s="189"/>
      <c r="Y147" s="189"/>
      <c r="Z147" s="189"/>
    </row>
    <row r="148" spans="1:26" ht="15.75" customHeight="1">
      <c r="A148" s="189"/>
      <c r="B148" s="189"/>
      <c r="C148" s="189"/>
      <c r="D148" s="189"/>
      <c r="E148" s="189"/>
      <c r="F148" s="189"/>
      <c r="G148" s="189"/>
      <c r="H148" s="189"/>
      <c r="I148" s="189"/>
      <c r="J148" s="189"/>
      <c r="K148" s="189"/>
      <c r="L148" s="189"/>
      <c r="M148" s="189"/>
      <c r="N148" s="189"/>
      <c r="O148" s="189"/>
      <c r="P148" s="189"/>
      <c r="Q148" s="189"/>
      <c r="R148" s="189"/>
      <c r="S148" s="189"/>
      <c r="T148" s="189"/>
      <c r="U148" s="189"/>
      <c r="V148" s="189"/>
      <c r="W148" s="189"/>
      <c r="X148" s="189"/>
      <c r="Y148" s="189"/>
      <c r="Z148" s="189"/>
    </row>
    <row r="149" spans="1:26" ht="15.75" customHeight="1">
      <c r="A149" s="189"/>
      <c r="B149" s="189"/>
      <c r="C149" s="189"/>
      <c r="D149" s="189"/>
      <c r="E149" s="189"/>
      <c r="F149" s="189"/>
      <c r="G149" s="189"/>
      <c r="H149" s="189"/>
      <c r="I149" s="189"/>
      <c r="J149" s="189"/>
      <c r="K149" s="189"/>
      <c r="L149" s="189"/>
      <c r="M149" s="189"/>
      <c r="N149" s="189"/>
      <c r="O149" s="189"/>
      <c r="P149" s="189"/>
      <c r="Q149" s="189"/>
      <c r="R149" s="189"/>
      <c r="S149" s="189"/>
      <c r="T149" s="189"/>
      <c r="U149" s="189"/>
      <c r="V149" s="189"/>
      <c r="W149" s="189"/>
      <c r="X149" s="189"/>
      <c r="Y149" s="189"/>
      <c r="Z149" s="189"/>
    </row>
    <row r="150" spans="1:26" ht="15.75" customHeight="1">
      <c r="A150" s="189"/>
      <c r="B150" s="189"/>
      <c r="C150" s="189"/>
      <c r="D150" s="189"/>
      <c r="E150" s="189"/>
      <c r="F150" s="189"/>
      <c r="G150" s="189"/>
      <c r="H150" s="189"/>
      <c r="I150" s="189"/>
      <c r="J150" s="189"/>
      <c r="K150" s="189"/>
      <c r="L150" s="189"/>
      <c r="M150" s="189"/>
      <c r="N150" s="189"/>
      <c r="O150" s="189"/>
      <c r="P150" s="189"/>
      <c r="Q150" s="189"/>
      <c r="R150" s="189"/>
      <c r="S150" s="189"/>
      <c r="T150" s="189"/>
      <c r="U150" s="189"/>
      <c r="V150" s="189"/>
      <c r="W150" s="189"/>
      <c r="X150" s="189"/>
      <c r="Y150" s="189"/>
      <c r="Z150" s="189"/>
    </row>
    <row r="151" spans="1:26" ht="15.75" customHeight="1">
      <c r="A151" s="189"/>
      <c r="B151" s="189"/>
      <c r="C151" s="189"/>
      <c r="D151" s="189"/>
      <c r="E151" s="189"/>
      <c r="F151" s="189"/>
      <c r="G151" s="189"/>
      <c r="H151" s="189"/>
      <c r="I151" s="189"/>
      <c r="J151" s="189"/>
      <c r="K151" s="189"/>
      <c r="L151" s="189"/>
      <c r="M151" s="189"/>
      <c r="N151" s="189"/>
      <c r="O151" s="189"/>
      <c r="P151" s="189"/>
      <c r="Q151" s="189"/>
      <c r="R151" s="189"/>
      <c r="S151" s="189"/>
      <c r="T151" s="189"/>
      <c r="U151" s="189"/>
      <c r="V151" s="189"/>
      <c r="W151" s="189"/>
      <c r="X151" s="189"/>
      <c r="Y151" s="189"/>
      <c r="Z151" s="189"/>
    </row>
    <row r="152" spans="1:26" ht="15.75" customHeight="1">
      <c r="A152" s="189"/>
      <c r="B152" s="189"/>
      <c r="C152" s="189"/>
      <c r="D152" s="189"/>
      <c r="E152" s="189"/>
      <c r="F152" s="189"/>
      <c r="G152" s="189"/>
      <c r="H152" s="189"/>
      <c r="I152" s="189"/>
      <c r="J152" s="189"/>
      <c r="K152" s="189"/>
      <c r="L152" s="189"/>
      <c r="M152" s="189"/>
      <c r="N152" s="189"/>
      <c r="O152" s="189"/>
      <c r="P152" s="189"/>
      <c r="Q152" s="189"/>
      <c r="R152" s="189"/>
      <c r="S152" s="189"/>
      <c r="T152" s="189"/>
      <c r="U152" s="189"/>
      <c r="V152" s="189"/>
      <c r="W152" s="189"/>
      <c r="X152" s="189"/>
      <c r="Y152" s="189"/>
      <c r="Z152" s="189"/>
    </row>
    <row r="153" spans="1:26" ht="15.75" customHeight="1">
      <c r="A153" s="189"/>
      <c r="B153" s="189"/>
      <c r="C153" s="189"/>
      <c r="D153" s="189"/>
      <c r="E153" s="189"/>
      <c r="F153" s="189"/>
      <c r="G153" s="189"/>
      <c r="H153" s="189"/>
      <c r="I153" s="189"/>
      <c r="J153" s="189"/>
      <c r="K153" s="189"/>
      <c r="L153" s="189"/>
      <c r="M153" s="189"/>
      <c r="N153" s="189"/>
      <c r="O153" s="189"/>
      <c r="P153" s="189"/>
      <c r="Q153" s="189"/>
      <c r="R153" s="189"/>
      <c r="S153" s="189"/>
      <c r="T153" s="189"/>
      <c r="U153" s="189"/>
      <c r="V153" s="189"/>
      <c r="W153" s="189"/>
      <c r="X153" s="189"/>
      <c r="Y153" s="189"/>
      <c r="Z153" s="189"/>
    </row>
    <row r="154" spans="1:26" ht="15.75" customHeight="1">
      <c r="A154" s="189"/>
      <c r="B154" s="189"/>
      <c r="C154" s="189"/>
      <c r="D154" s="189"/>
      <c r="E154" s="189"/>
      <c r="F154" s="189"/>
      <c r="G154" s="189"/>
      <c r="H154" s="189"/>
      <c r="I154" s="189"/>
      <c r="J154" s="189"/>
      <c r="K154" s="189"/>
      <c r="L154" s="189"/>
      <c r="M154" s="189"/>
      <c r="N154" s="189"/>
      <c r="O154" s="189"/>
      <c r="P154" s="189"/>
      <c r="Q154" s="189"/>
      <c r="R154" s="189"/>
      <c r="S154" s="189"/>
      <c r="T154" s="189"/>
      <c r="U154" s="189"/>
      <c r="V154" s="189"/>
      <c r="W154" s="189"/>
      <c r="X154" s="189"/>
      <c r="Y154" s="189"/>
      <c r="Z154" s="189"/>
    </row>
    <row r="155" spans="1:26" ht="15.75" customHeight="1">
      <c r="A155" s="189"/>
      <c r="B155" s="189"/>
      <c r="C155" s="189"/>
      <c r="D155" s="189"/>
      <c r="E155" s="189"/>
      <c r="F155" s="189"/>
      <c r="G155" s="189"/>
      <c r="H155" s="189"/>
      <c r="I155" s="189"/>
      <c r="J155" s="189"/>
      <c r="K155" s="189"/>
      <c r="L155" s="189"/>
      <c r="M155" s="189"/>
      <c r="N155" s="189"/>
      <c r="O155" s="189"/>
      <c r="P155" s="189"/>
      <c r="Q155" s="189"/>
      <c r="R155" s="189"/>
      <c r="S155" s="189"/>
      <c r="T155" s="189"/>
      <c r="U155" s="189"/>
      <c r="V155" s="189"/>
      <c r="W155" s="189"/>
      <c r="X155" s="189"/>
      <c r="Y155" s="189"/>
      <c r="Z155" s="189"/>
    </row>
    <row r="156" spans="1:26" ht="15.75" customHeight="1">
      <c r="A156" s="189"/>
      <c r="B156" s="189"/>
      <c r="C156" s="189"/>
      <c r="D156" s="189"/>
      <c r="E156" s="189"/>
      <c r="F156" s="189"/>
      <c r="G156" s="189"/>
      <c r="H156" s="189"/>
      <c r="I156" s="189"/>
      <c r="J156" s="189"/>
      <c r="K156" s="189"/>
      <c r="L156" s="189"/>
      <c r="M156" s="189"/>
      <c r="N156" s="189"/>
      <c r="O156" s="189"/>
      <c r="P156" s="189"/>
      <c r="Q156" s="189"/>
      <c r="R156" s="189"/>
      <c r="S156" s="189"/>
      <c r="T156" s="189"/>
      <c r="U156" s="189"/>
      <c r="V156" s="189"/>
      <c r="W156" s="189"/>
      <c r="X156" s="189"/>
      <c r="Y156" s="189"/>
      <c r="Z156" s="189"/>
    </row>
    <row r="157" spans="1:26" ht="15.75" customHeight="1">
      <c r="A157" s="189"/>
      <c r="B157" s="189"/>
      <c r="C157" s="189"/>
      <c r="D157" s="189"/>
      <c r="E157" s="189"/>
      <c r="F157" s="189"/>
      <c r="G157" s="189"/>
      <c r="H157" s="189"/>
      <c r="I157" s="189"/>
      <c r="J157" s="189"/>
      <c r="K157" s="189"/>
      <c r="L157" s="189"/>
      <c r="M157" s="189"/>
      <c r="N157" s="189"/>
      <c r="O157" s="189"/>
      <c r="P157" s="189"/>
      <c r="Q157" s="189"/>
      <c r="R157" s="189"/>
      <c r="S157" s="189"/>
      <c r="T157" s="189"/>
      <c r="U157" s="189"/>
      <c r="V157" s="189"/>
      <c r="W157" s="189"/>
      <c r="X157" s="189"/>
      <c r="Y157" s="189"/>
      <c r="Z157" s="189"/>
    </row>
    <row r="158" spans="1:26" ht="15.75" customHeight="1">
      <c r="A158" s="189"/>
      <c r="B158" s="189"/>
      <c r="C158" s="189"/>
      <c r="D158" s="189"/>
      <c r="E158" s="189"/>
      <c r="F158" s="189"/>
      <c r="G158" s="189"/>
      <c r="H158" s="189"/>
      <c r="I158" s="189"/>
      <c r="J158" s="189"/>
      <c r="K158" s="189"/>
      <c r="L158" s="189"/>
      <c r="M158" s="189"/>
      <c r="N158" s="189"/>
      <c r="O158" s="189"/>
      <c r="P158" s="189"/>
      <c r="Q158" s="189"/>
      <c r="R158" s="189"/>
      <c r="S158" s="189"/>
      <c r="T158" s="189"/>
      <c r="U158" s="189"/>
      <c r="V158" s="189"/>
      <c r="W158" s="189"/>
      <c r="X158" s="189"/>
      <c r="Y158" s="189"/>
      <c r="Z158" s="189"/>
    </row>
    <row r="159" spans="1:26" ht="15.75" customHeight="1">
      <c r="A159" s="189"/>
      <c r="B159" s="189"/>
      <c r="C159" s="189"/>
      <c r="D159" s="189"/>
      <c r="E159" s="189"/>
      <c r="F159" s="189"/>
      <c r="G159" s="189"/>
      <c r="H159" s="189"/>
      <c r="I159" s="189"/>
      <c r="J159" s="189"/>
      <c r="K159" s="189"/>
      <c r="L159" s="189"/>
      <c r="M159" s="189"/>
      <c r="N159" s="189"/>
      <c r="O159" s="189"/>
      <c r="P159" s="189"/>
      <c r="Q159" s="189"/>
      <c r="R159" s="189"/>
      <c r="S159" s="189"/>
      <c r="T159" s="189"/>
      <c r="U159" s="189"/>
      <c r="V159" s="189"/>
      <c r="W159" s="189"/>
      <c r="X159" s="189"/>
      <c r="Y159" s="189"/>
      <c r="Z159" s="189"/>
    </row>
    <row r="160" spans="1:26" ht="15.75" customHeight="1">
      <c r="A160" s="189"/>
      <c r="B160" s="189"/>
      <c r="C160" s="189"/>
      <c r="D160" s="189"/>
      <c r="E160" s="189"/>
      <c r="F160" s="189"/>
      <c r="G160" s="189"/>
      <c r="H160" s="189"/>
      <c r="I160" s="189"/>
      <c r="J160" s="189"/>
      <c r="K160" s="189"/>
      <c r="L160" s="189"/>
      <c r="M160" s="189"/>
      <c r="N160" s="189"/>
      <c r="O160" s="189"/>
      <c r="P160" s="189"/>
      <c r="Q160" s="189"/>
      <c r="R160" s="189"/>
      <c r="S160" s="189"/>
      <c r="T160" s="189"/>
      <c r="U160" s="189"/>
      <c r="V160" s="189"/>
      <c r="W160" s="189"/>
      <c r="X160" s="189"/>
      <c r="Y160" s="189"/>
      <c r="Z160" s="189"/>
    </row>
    <row r="161" spans="1:26" ht="15.75" customHeight="1">
      <c r="A161" s="189"/>
      <c r="B161" s="189"/>
      <c r="C161" s="189"/>
      <c r="D161" s="189"/>
      <c r="E161" s="189"/>
      <c r="F161" s="189"/>
      <c r="G161" s="189"/>
      <c r="H161" s="189"/>
      <c r="I161" s="189"/>
      <c r="J161" s="189"/>
      <c r="K161" s="189"/>
      <c r="L161" s="189"/>
      <c r="M161" s="189"/>
      <c r="N161" s="189"/>
      <c r="O161" s="189"/>
      <c r="P161" s="189"/>
      <c r="Q161" s="189"/>
      <c r="R161" s="189"/>
      <c r="S161" s="189"/>
      <c r="T161" s="189"/>
      <c r="U161" s="189"/>
      <c r="V161" s="189"/>
      <c r="W161" s="189"/>
      <c r="X161" s="189"/>
      <c r="Y161" s="189"/>
      <c r="Z161" s="189"/>
    </row>
    <row r="162" spans="1:26" ht="15.75" customHeight="1">
      <c r="A162" s="189"/>
      <c r="B162" s="189"/>
      <c r="C162" s="189"/>
      <c r="D162" s="189"/>
      <c r="E162" s="189"/>
      <c r="F162" s="189"/>
      <c r="G162" s="189"/>
      <c r="H162" s="189"/>
      <c r="I162" s="189"/>
      <c r="J162" s="189"/>
      <c r="K162" s="189"/>
      <c r="L162" s="189"/>
      <c r="M162" s="189"/>
      <c r="N162" s="189"/>
      <c r="O162" s="189"/>
      <c r="P162" s="189"/>
      <c r="Q162" s="189"/>
      <c r="R162" s="189"/>
      <c r="S162" s="189"/>
      <c r="T162" s="189"/>
      <c r="U162" s="189"/>
      <c r="V162" s="189"/>
      <c r="W162" s="189"/>
      <c r="X162" s="189"/>
      <c r="Y162" s="189"/>
      <c r="Z162" s="189"/>
    </row>
    <row r="163" spans="1:26" ht="15.75" customHeight="1">
      <c r="A163" s="189"/>
      <c r="B163" s="189"/>
      <c r="C163" s="189"/>
      <c r="D163" s="189"/>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189"/>
    </row>
    <row r="164" spans="1:26" ht="15.75" customHeight="1">
      <c r="A164" s="189"/>
      <c r="B164" s="189"/>
      <c r="C164" s="189"/>
      <c r="D164" s="189"/>
      <c r="E164" s="189"/>
      <c r="F164" s="189"/>
      <c r="G164" s="189"/>
      <c r="H164" s="189"/>
      <c r="I164" s="189"/>
      <c r="J164" s="189"/>
      <c r="K164" s="189"/>
      <c r="L164" s="189"/>
      <c r="M164" s="189"/>
      <c r="N164" s="189"/>
      <c r="O164" s="189"/>
      <c r="P164" s="189"/>
      <c r="Q164" s="189"/>
      <c r="R164" s="189"/>
      <c r="S164" s="189"/>
      <c r="T164" s="189"/>
      <c r="U164" s="189"/>
      <c r="V164" s="189"/>
      <c r="W164" s="189"/>
      <c r="X164" s="189"/>
      <c r="Y164" s="189"/>
      <c r="Z164" s="189"/>
    </row>
    <row r="165" spans="1:26" ht="15.75" customHeight="1">
      <c r="A165" s="189"/>
      <c r="B165" s="189"/>
      <c r="C165" s="189"/>
      <c r="D165" s="189"/>
      <c r="E165" s="189"/>
      <c r="F165" s="189"/>
      <c r="G165" s="189"/>
      <c r="H165" s="189"/>
      <c r="I165" s="189"/>
      <c r="J165" s="189"/>
      <c r="K165" s="189"/>
      <c r="L165" s="189"/>
      <c r="M165" s="189"/>
      <c r="N165" s="189"/>
      <c r="O165" s="189"/>
      <c r="P165" s="189"/>
      <c r="Q165" s="189"/>
      <c r="R165" s="189"/>
      <c r="S165" s="189"/>
      <c r="T165" s="189"/>
      <c r="U165" s="189"/>
      <c r="V165" s="189"/>
      <c r="W165" s="189"/>
      <c r="X165" s="189"/>
      <c r="Y165" s="189"/>
      <c r="Z165" s="189"/>
    </row>
    <row r="166" spans="1:26" ht="15.75" customHeight="1">
      <c r="A166" s="189"/>
      <c r="B166" s="189"/>
      <c r="C166" s="189"/>
      <c r="D166" s="189"/>
      <c r="E166" s="189"/>
      <c r="F166" s="189"/>
      <c r="G166" s="189"/>
      <c r="H166" s="189"/>
      <c r="I166" s="189"/>
      <c r="J166" s="189"/>
      <c r="K166" s="189"/>
      <c r="L166" s="189"/>
      <c r="M166" s="189"/>
      <c r="N166" s="189"/>
      <c r="O166" s="189"/>
      <c r="P166" s="189"/>
      <c r="Q166" s="189"/>
      <c r="R166" s="189"/>
      <c r="S166" s="189"/>
      <c r="T166" s="189"/>
      <c r="U166" s="189"/>
      <c r="V166" s="189"/>
      <c r="W166" s="189"/>
      <c r="X166" s="189"/>
      <c r="Y166" s="189"/>
      <c r="Z166" s="189"/>
    </row>
    <row r="167" spans="1:26" ht="15.75" customHeight="1">
      <c r="A167" s="189"/>
      <c r="B167" s="189"/>
      <c r="C167" s="189"/>
      <c r="D167" s="189"/>
      <c r="E167" s="189"/>
      <c r="F167" s="189"/>
      <c r="G167" s="189"/>
      <c r="H167" s="189"/>
      <c r="I167" s="189"/>
      <c r="J167" s="189"/>
      <c r="K167" s="189"/>
      <c r="L167" s="189"/>
      <c r="M167" s="189"/>
      <c r="N167" s="189"/>
      <c r="O167" s="189"/>
      <c r="P167" s="189"/>
      <c r="Q167" s="189"/>
      <c r="R167" s="189"/>
      <c r="S167" s="189"/>
      <c r="T167" s="189"/>
      <c r="U167" s="189"/>
      <c r="V167" s="189"/>
      <c r="W167" s="189"/>
      <c r="X167" s="189"/>
      <c r="Y167" s="189"/>
      <c r="Z167" s="189"/>
    </row>
    <row r="168" spans="1:26" ht="15.75" customHeight="1">
      <c r="A168" s="189"/>
      <c r="B168" s="189"/>
      <c r="C168" s="189"/>
      <c r="D168" s="189"/>
      <c r="E168" s="189"/>
      <c r="F168" s="189"/>
      <c r="G168" s="189"/>
      <c r="H168" s="189"/>
      <c r="I168" s="189"/>
      <c r="J168" s="189"/>
      <c r="K168" s="189"/>
      <c r="L168" s="189"/>
      <c r="M168" s="189"/>
      <c r="N168" s="189"/>
      <c r="O168" s="189"/>
      <c r="P168" s="189"/>
      <c r="Q168" s="189"/>
      <c r="R168" s="189"/>
      <c r="S168" s="189"/>
      <c r="T168" s="189"/>
      <c r="U168" s="189"/>
      <c r="V168" s="189"/>
      <c r="W168" s="189"/>
      <c r="X168" s="189"/>
      <c r="Y168" s="189"/>
      <c r="Z168" s="189"/>
    </row>
    <row r="169" spans="1:26" ht="15.75" customHeight="1">
      <c r="A169" s="189"/>
      <c r="B169" s="189"/>
      <c r="C169" s="189"/>
      <c r="D169" s="189"/>
      <c r="E169" s="189"/>
      <c r="F169" s="189"/>
      <c r="G169" s="189"/>
      <c r="H169" s="189"/>
      <c r="I169" s="189"/>
      <c r="J169" s="189"/>
      <c r="K169" s="189"/>
      <c r="L169" s="189"/>
      <c r="M169" s="189"/>
      <c r="N169" s="189"/>
      <c r="O169" s="189"/>
      <c r="P169" s="189"/>
      <c r="Q169" s="189"/>
      <c r="R169" s="189"/>
      <c r="S169" s="189"/>
      <c r="T169" s="189"/>
      <c r="U169" s="189"/>
      <c r="V169" s="189"/>
      <c r="W169" s="189"/>
      <c r="X169" s="189"/>
      <c r="Y169" s="189"/>
      <c r="Z169" s="189"/>
    </row>
    <row r="170" spans="1:26" ht="15.75" customHeight="1">
      <c r="A170" s="189"/>
      <c r="B170" s="189"/>
      <c r="C170" s="189"/>
      <c r="D170" s="189"/>
      <c r="E170" s="189"/>
      <c r="F170" s="189"/>
      <c r="G170" s="189"/>
      <c r="H170" s="189"/>
      <c r="I170" s="189"/>
      <c r="J170" s="189"/>
      <c r="K170" s="189"/>
      <c r="L170" s="189"/>
      <c r="M170" s="189"/>
      <c r="N170" s="189"/>
      <c r="O170" s="189"/>
      <c r="P170" s="189"/>
      <c r="Q170" s="189"/>
      <c r="R170" s="189"/>
      <c r="S170" s="189"/>
      <c r="T170" s="189"/>
      <c r="U170" s="189"/>
      <c r="V170" s="189"/>
      <c r="W170" s="189"/>
      <c r="X170" s="189"/>
      <c r="Y170" s="189"/>
      <c r="Z170" s="189"/>
    </row>
    <row r="171" spans="1:26" ht="15.75" customHeight="1">
      <c r="A171" s="189"/>
      <c r="B171" s="189"/>
      <c r="C171" s="189"/>
      <c r="D171" s="189"/>
      <c r="E171" s="189"/>
      <c r="F171" s="189"/>
      <c r="G171" s="189"/>
      <c r="H171" s="189"/>
      <c r="I171" s="189"/>
      <c r="J171" s="189"/>
      <c r="K171" s="189"/>
      <c r="L171" s="189"/>
      <c r="M171" s="189"/>
      <c r="N171" s="189"/>
      <c r="O171" s="189"/>
      <c r="P171" s="189"/>
      <c r="Q171" s="189"/>
      <c r="R171" s="189"/>
      <c r="S171" s="189"/>
      <c r="T171" s="189"/>
      <c r="U171" s="189"/>
      <c r="V171" s="189"/>
      <c r="W171" s="189"/>
      <c r="X171" s="189"/>
      <c r="Y171" s="189"/>
      <c r="Z171" s="189"/>
    </row>
    <row r="172" spans="1:26" ht="15.75" customHeight="1">
      <c r="A172" s="189"/>
      <c r="B172" s="189"/>
      <c r="C172" s="189"/>
      <c r="D172" s="189"/>
      <c r="E172" s="189"/>
      <c r="F172" s="189"/>
      <c r="G172" s="189"/>
      <c r="H172" s="189"/>
      <c r="I172" s="189"/>
      <c r="J172" s="189"/>
      <c r="K172" s="189"/>
      <c r="L172" s="189"/>
      <c r="M172" s="189"/>
      <c r="N172" s="189"/>
      <c r="O172" s="189"/>
      <c r="P172" s="189"/>
      <c r="Q172" s="189"/>
      <c r="R172" s="189"/>
      <c r="S172" s="189"/>
      <c r="T172" s="189"/>
      <c r="U172" s="189"/>
      <c r="V172" s="189"/>
      <c r="W172" s="189"/>
      <c r="X172" s="189"/>
      <c r="Y172" s="189"/>
      <c r="Z172" s="189"/>
    </row>
    <row r="173" spans="1:26" ht="15.75" customHeight="1">
      <c r="A173" s="189"/>
      <c r="B173" s="189"/>
      <c r="C173" s="189"/>
      <c r="D173" s="189"/>
      <c r="E173" s="189"/>
      <c r="F173" s="189"/>
      <c r="G173" s="189"/>
      <c r="H173" s="189"/>
      <c r="I173" s="189"/>
      <c r="J173" s="189"/>
      <c r="K173" s="189"/>
      <c r="L173" s="189"/>
      <c r="M173" s="189"/>
      <c r="N173" s="189"/>
      <c r="O173" s="189"/>
      <c r="P173" s="189"/>
      <c r="Q173" s="189"/>
      <c r="R173" s="189"/>
      <c r="S173" s="189"/>
      <c r="T173" s="189"/>
      <c r="U173" s="189"/>
      <c r="V173" s="189"/>
      <c r="W173" s="189"/>
      <c r="X173" s="189"/>
      <c r="Y173" s="189"/>
      <c r="Z173" s="189"/>
    </row>
    <row r="174" spans="1:26" ht="15.75" customHeight="1">
      <c r="A174" s="189"/>
      <c r="B174" s="189"/>
      <c r="C174" s="189"/>
      <c r="D174" s="189"/>
      <c r="E174" s="189"/>
      <c r="F174" s="189"/>
      <c r="G174" s="189"/>
      <c r="H174" s="189"/>
      <c r="I174" s="189"/>
      <c r="J174" s="189"/>
      <c r="K174" s="189"/>
      <c r="L174" s="189"/>
      <c r="M174" s="189"/>
      <c r="N174" s="189"/>
      <c r="O174" s="189"/>
      <c r="P174" s="189"/>
      <c r="Q174" s="189"/>
      <c r="R174" s="189"/>
      <c r="S174" s="189"/>
      <c r="T174" s="189"/>
      <c r="U174" s="189"/>
      <c r="V174" s="189"/>
      <c r="W174" s="189"/>
      <c r="X174" s="189"/>
      <c r="Y174" s="189"/>
      <c r="Z174" s="189"/>
    </row>
    <row r="175" spans="1:26" ht="15.75" customHeight="1">
      <c r="A175" s="189"/>
      <c r="B175" s="189"/>
      <c r="C175" s="189"/>
      <c r="D175" s="189"/>
      <c r="E175" s="189"/>
      <c r="F175" s="189"/>
      <c r="G175" s="189"/>
      <c r="H175" s="189"/>
      <c r="I175" s="189"/>
      <c r="J175" s="189"/>
      <c r="K175" s="189"/>
      <c r="L175" s="189"/>
      <c r="M175" s="189"/>
      <c r="N175" s="189"/>
      <c r="O175" s="189"/>
      <c r="P175" s="189"/>
      <c r="Q175" s="189"/>
      <c r="R175" s="189"/>
      <c r="S175" s="189"/>
      <c r="T175" s="189"/>
      <c r="U175" s="189"/>
      <c r="V175" s="189"/>
      <c r="W175" s="189"/>
      <c r="X175" s="189"/>
      <c r="Y175" s="189"/>
      <c r="Z175" s="189"/>
    </row>
    <row r="176" spans="1:26" ht="15.75" customHeight="1">
      <c r="A176" s="189"/>
      <c r="B176" s="189"/>
      <c r="C176" s="189"/>
      <c r="D176" s="189"/>
      <c r="E176" s="189"/>
      <c r="F176" s="189"/>
      <c r="G176" s="189"/>
      <c r="H176" s="189"/>
      <c r="I176" s="189"/>
      <c r="J176" s="189"/>
      <c r="K176" s="189"/>
      <c r="L176" s="189"/>
      <c r="M176" s="189"/>
      <c r="N176" s="189"/>
      <c r="O176" s="189"/>
      <c r="P176" s="189"/>
      <c r="Q176" s="189"/>
      <c r="R176" s="189"/>
      <c r="S176" s="189"/>
      <c r="T176" s="189"/>
      <c r="U176" s="189"/>
      <c r="V176" s="189"/>
      <c r="W176" s="189"/>
      <c r="X176" s="189"/>
      <c r="Y176" s="189"/>
      <c r="Z176" s="189"/>
    </row>
    <row r="177" spans="1:26" ht="15.75" customHeight="1">
      <c r="A177" s="189"/>
      <c r="B177" s="189"/>
      <c r="C177" s="189"/>
      <c r="D177" s="189"/>
      <c r="E177" s="189"/>
      <c r="F177" s="189"/>
      <c r="G177" s="189"/>
      <c r="H177" s="189"/>
      <c r="I177" s="189"/>
      <c r="J177" s="189"/>
      <c r="K177" s="189"/>
      <c r="L177" s="189"/>
      <c r="M177" s="189"/>
      <c r="N177" s="189"/>
      <c r="O177" s="189"/>
      <c r="P177" s="189"/>
      <c r="Q177" s="189"/>
      <c r="R177" s="189"/>
      <c r="S177" s="189"/>
      <c r="T177" s="189"/>
      <c r="U177" s="189"/>
      <c r="V177" s="189"/>
      <c r="W177" s="189"/>
      <c r="X177" s="189"/>
      <c r="Y177" s="189"/>
      <c r="Z177" s="189"/>
    </row>
    <row r="178" spans="1:26" ht="15.75" customHeight="1">
      <c r="A178" s="189"/>
      <c r="B178" s="189"/>
      <c r="C178" s="189"/>
      <c r="D178" s="189"/>
      <c r="E178" s="189"/>
      <c r="F178" s="189"/>
      <c r="G178" s="189"/>
      <c r="H178" s="189"/>
      <c r="I178" s="189"/>
      <c r="J178" s="189"/>
      <c r="K178" s="189"/>
      <c r="L178" s="189"/>
      <c r="M178" s="189"/>
      <c r="N178" s="189"/>
      <c r="O178" s="189"/>
      <c r="P178" s="189"/>
      <c r="Q178" s="189"/>
      <c r="R178" s="189"/>
      <c r="S178" s="189"/>
      <c r="T178" s="189"/>
      <c r="U178" s="189"/>
      <c r="V178" s="189"/>
      <c r="W178" s="189"/>
      <c r="X178" s="189"/>
      <c r="Y178" s="189"/>
      <c r="Z178" s="189"/>
    </row>
    <row r="179" spans="1:26" ht="15.75" customHeight="1">
      <c r="A179" s="189"/>
      <c r="B179" s="189"/>
      <c r="C179" s="189"/>
      <c r="D179" s="189"/>
      <c r="E179" s="189"/>
      <c r="F179" s="189"/>
      <c r="G179" s="189"/>
      <c r="H179" s="189"/>
      <c r="I179" s="189"/>
      <c r="J179" s="189"/>
      <c r="K179" s="189"/>
      <c r="L179" s="189"/>
      <c r="M179" s="189"/>
      <c r="N179" s="189"/>
      <c r="O179" s="189"/>
      <c r="P179" s="189"/>
      <c r="Q179" s="189"/>
      <c r="R179" s="189"/>
      <c r="S179" s="189"/>
      <c r="T179" s="189"/>
      <c r="U179" s="189"/>
      <c r="V179" s="189"/>
      <c r="W179" s="189"/>
      <c r="X179" s="189"/>
      <c r="Y179" s="189"/>
      <c r="Z179" s="189"/>
    </row>
    <row r="180" spans="1:26" ht="15.75" customHeight="1">
      <c r="A180" s="189"/>
      <c r="B180" s="189"/>
      <c r="C180" s="189"/>
      <c r="D180" s="189"/>
      <c r="E180" s="189"/>
      <c r="F180" s="189"/>
      <c r="G180" s="189"/>
      <c r="H180" s="189"/>
      <c r="I180" s="189"/>
      <c r="J180" s="189"/>
      <c r="K180" s="189"/>
      <c r="L180" s="189"/>
      <c r="M180" s="189"/>
      <c r="N180" s="189"/>
      <c r="O180" s="189"/>
      <c r="P180" s="189"/>
      <c r="Q180" s="189"/>
      <c r="R180" s="189"/>
      <c r="S180" s="189"/>
      <c r="T180" s="189"/>
      <c r="U180" s="189"/>
      <c r="V180" s="189"/>
      <c r="W180" s="189"/>
      <c r="X180" s="189"/>
      <c r="Y180" s="189"/>
      <c r="Z180" s="189"/>
    </row>
    <row r="181" spans="1:26" ht="15.75" customHeight="1">
      <c r="A181" s="189"/>
      <c r="B181" s="189"/>
      <c r="C181" s="189"/>
      <c r="D181" s="189"/>
      <c r="E181" s="189"/>
      <c r="F181" s="189"/>
      <c r="G181" s="189"/>
      <c r="H181" s="189"/>
      <c r="I181" s="189"/>
      <c r="J181" s="189"/>
      <c r="K181" s="189"/>
      <c r="L181" s="189"/>
      <c r="M181" s="189"/>
      <c r="N181" s="189"/>
      <c r="O181" s="189"/>
      <c r="P181" s="189"/>
      <c r="Q181" s="189"/>
      <c r="R181" s="189"/>
      <c r="S181" s="189"/>
      <c r="T181" s="189"/>
      <c r="U181" s="189"/>
      <c r="V181" s="189"/>
      <c r="W181" s="189"/>
      <c r="X181" s="189"/>
      <c r="Y181" s="189"/>
      <c r="Z181" s="189"/>
    </row>
    <row r="182" spans="1:26" ht="15.75" customHeight="1">
      <c r="A182" s="189"/>
      <c r="B182" s="189"/>
      <c r="C182" s="189"/>
      <c r="D182" s="189"/>
      <c r="E182" s="189"/>
      <c r="F182" s="189"/>
      <c r="G182" s="189"/>
      <c r="H182" s="189"/>
      <c r="I182" s="189"/>
      <c r="J182" s="189"/>
      <c r="K182" s="189"/>
      <c r="L182" s="189"/>
      <c r="M182" s="189"/>
      <c r="N182" s="189"/>
      <c r="O182" s="189"/>
      <c r="P182" s="189"/>
      <c r="Q182" s="189"/>
      <c r="R182" s="189"/>
      <c r="S182" s="189"/>
      <c r="T182" s="189"/>
      <c r="U182" s="189"/>
      <c r="V182" s="189"/>
      <c r="W182" s="189"/>
      <c r="X182" s="189"/>
      <c r="Y182" s="189"/>
      <c r="Z182" s="189"/>
    </row>
    <row r="183" spans="1:26" ht="15.75" customHeight="1">
      <c r="A183" s="189"/>
      <c r="B183" s="189"/>
      <c r="C183" s="189"/>
      <c r="D183" s="189"/>
      <c r="E183" s="189"/>
      <c r="F183" s="189"/>
      <c r="G183" s="189"/>
      <c r="H183" s="189"/>
      <c r="I183" s="189"/>
      <c r="J183" s="189"/>
      <c r="K183" s="189"/>
      <c r="L183" s="189"/>
      <c r="M183" s="189"/>
      <c r="N183" s="189"/>
      <c r="O183" s="189"/>
      <c r="P183" s="189"/>
      <c r="Q183" s="189"/>
      <c r="R183" s="189"/>
      <c r="S183" s="189"/>
      <c r="T183" s="189"/>
      <c r="U183" s="189"/>
      <c r="V183" s="189"/>
      <c r="W183" s="189"/>
      <c r="X183" s="189"/>
      <c r="Y183" s="189"/>
      <c r="Z183" s="189"/>
    </row>
    <row r="184" spans="1:26" ht="15.75" customHeight="1">
      <c r="A184" s="189"/>
      <c r="B184" s="189"/>
      <c r="C184" s="189"/>
      <c r="D184" s="189"/>
      <c r="E184" s="189"/>
      <c r="F184" s="189"/>
      <c r="G184" s="189"/>
      <c r="H184" s="189"/>
      <c r="I184" s="189"/>
      <c r="J184" s="189"/>
      <c r="K184" s="189"/>
      <c r="L184" s="189"/>
      <c r="M184" s="189"/>
      <c r="N184" s="189"/>
      <c r="O184" s="189"/>
      <c r="P184" s="189"/>
      <c r="Q184" s="189"/>
      <c r="R184" s="189"/>
      <c r="S184" s="189"/>
      <c r="T184" s="189"/>
      <c r="U184" s="189"/>
      <c r="V184" s="189"/>
      <c r="W184" s="189"/>
      <c r="X184" s="189"/>
      <c r="Y184" s="189"/>
      <c r="Z184" s="189"/>
    </row>
    <row r="185" spans="1:26" ht="15.75" customHeight="1">
      <c r="A185" s="189"/>
      <c r="B185" s="189"/>
      <c r="C185" s="189"/>
      <c r="D185" s="189"/>
      <c r="E185" s="189"/>
      <c r="F185" s="189"/>
      <c r="G185" s="189"/>
      <c r="H185" s="189"/>
      <c r="I185" s="189"/>
      <c r="J185" s="189"/>
      <c r="K185" s="189"/>
      <c r="L185" s="189"/>
      <c r="M185" s="189"/>
      <c r="N185" s="189"/>
      <c r="O185" s="189"/>
      <c r="P185" s="189"/>
      <c r="Q185" s="189"/>
      <c r="R185" s="189"/>
      <c r="S185" s="189"/>
      <c r="T185" s="189"/>
      <c r="U185" s="189"/>
      <c r="V185" s="189"/>
      <c r="W185" s="189"/>
      <c r="X185" s="189"/>
      <c r="Y185" s="189"/>
      <c r="Z185" s="189"/>
    </row>
    <row r="186" spans="1:26" ht="15.75" customHeight="1">
      <c r="A186" s="189"/>
      <c r="B186" s="189"/>
      <c r="C186" s="189"/>
      <c r="D186" s="189"/>
      <c r="E186" s="189"/>
      <c r="F186" s="189"/>
      <c r="G186" s="189"/>
      <c r="H186" s="189"/>
      <c r="I186" s="189"/>
      <c r="J186" s="189"/>
      <c r="K186" s="189"/>
      <c r="L186" s="189"/>
      <c r="M186" s="189"/>
      <c r="N186" s="189"/>
      <c r="O186" s="189"/>
      <c r="P186" s="189"/>
      <c r="Q186" s="189"/>
      <c r="R186" s="189"/>
      <c r="S186" s="189"/>
      <c r="T186" s="189"/>
      <c r="U186" s="189"/>
      <c r="V186" s="189"/>
      <c r="W186" s="189"/>
      <c r="X186" s="189"/>
      <c r="Y186" s="189"/>
      <c r="Z186" s="189"/>
    </row>
    <row r="187" spans="1:26" ht="15.75" customHeight="1">
      <c r="A187" s="189"/>
      <c r="B187" s="189"/>
      <c r="C187" s="189"/>
      <c r="D187" s="189"/>
      <c r="E187" s="189"/>
      <c r="F187" s="189"/>
      <c r="G187" s="189"/>
      <c r="H187" s="189"/>
      <c r="I187" s="189"/>
      <c r="J187" s="189"/>
      <c r="K187" s="189"/>
      <c r="L187" s="189"/>
      <c r="M187" s="189"/>
      <c r="N187" s="189"/>
      <c r="O187" s="189"/>
      <c r="P187" s="189"/>
      <c r="Q187" s="189"/>
      <c r="R187" s="189"/>
      <c r="S187" s="189"/>
      <c r="T187" s="189"/>
      <c r="U187" s="189"/>
      <c r="V187" s="189"/>
      <c r="W187" s="189"/>
      <c r="X187" s="189"/>
      <c r="Y187" s="189"/>
      <c r="Z187" s="189"/>
    </row>
    <row r="188" spans="1:26" ht="15.75" customHeight="1">
      <c r="A188" s="189"/>
      <c r="B188" s="189"/>
      <c r="C188" s="189"/>
      <c r="D188" s="189"/>
      <c r="E188" s="189"/>
      <c r="F188" s="189"/>
      <c r="G188" s="189"/>
      <c r="H188" s="189"/>
      <c r="I188" s="189"/>
      <c r="J188" s="189"/>
      <c r="K188" s="189"/>
      <c r="L188" s="189"/>
      <c r="M188" s="189"/>
      <c r="N188" s="189"/>
      <c r="O188" s="189"/>
      <c r="P188" s="189"/>
      <c r="Q188" s="189"/>
      <c r="R188" s="189"/>
      <c r="S188" s="189"/>
      <c r="T188" s="189"/>
      <c r="U188" s="189"/>
      <c r="V188" s="189"/>
      <c r="W188" s="189"/>
      <c r="X188" s="189"/>
      <c r="Y188" s="189"/>
      <c r="Z188" s="189"/>
    </row>
    <row r="189" spans="1:26" ht="15.75" customHeight="1">
      <c r="A189" s="189"/>
      <c r="B189" s="189"/>
      <c r="C189" s="189"/>
      <c r="D189" s="189"/>
      <c r="E189" s="189"/>
      <c r="F189" s="189"/>
      <c r="G189" s="189"/>
      <c r="H189" s="189"/>
      <c r="I189" s="189"/>
      <c r="J189" s="189"/>
      <c r="K189" s="189"/>
      <c r="L189" s="189"/>
      <c r="M189" s="189"/>
      <c r="N189" s="189"/>
      <c r="O189" s="189"/>
      <c r="P189" s="189"/>
      <c r="Q189" s="189"/>
      <c r="R189" s="189"/>
      <c r="S189" s="189"/>
      <c r="T189" s="189"/>
      <c r="U189" s="189"/>
      <c r="V189" s="189"/>
      <c r="W189" s="189"/>
      <c r="X189" s="189"/>
      <c r="Y189" s="189"/>
      <c r="Z189" s="189"/>
    </row>
    <row r="190" spans="1:26" ht="15.75" customHeight="1">
      <c r="A190" s="189"/>
      <c r="B190" s="189"/>
      <c r="C190" s="189"/>
      <c r="D190" s="189"/>
      <c r="E190" s="189"/>
      <c r="F190" s="189"/>
      <c r="G190" s="189"/>
      <c r="H190" s="189"/>
      <c r="I190" s="189"/>
      <c r="J190" s="189"/>
      <c r="K190" s="189"/>
      <c r="L190" s="189"/>
      <c r="M190" s="189"/>
      <c r="N190" s="189"/>
      <c r="O190" s="189"/>
      <c r="P190" s="189"/>
      <c r="Q190" s="189"/>
      <c r="R190" s="189"/>
      <c r="S190" s="189"/>
      <c r="T190" s="189"/>
      <c r="U190" s="189"/>
      <c r="V190" s="189"/>
      <c r="W190" s="189"/>
      <c r="X190" s="189"/>
      <c r="Y190" s="189"/>
      <c r="Z190" s="189"/>
    </row>
    <row r="191" spans="1:26" ht="15.75" customHeight="1">
      <c r="A191" s="189"/>
      <c r="B191" s="189"/>
      <c r="C191" s="189"/>
      <c r="D191" s="189"/>
      <c r="E191" s="189"/>
      <c r="F191" s="189"/>
      <c r="G191" s="189"/>
      <c r="H191" s="189"/>
      <c r="I191" s="189"/>
      <c r="J191" s="189"/>
      <c r="K191" s="189"/>
      <c r="L191" s="189"/>
      <c r="M191" s="189"/>
      <c r="N191" s="189"/>
      <c r="O191" s="189"/>
      <c r="P191" s="189"/>
      <c r="Q191" s="189"/>
      <c r="R191" s="189"/>
      <c r="S191" s="189"/>
      <c r="T191" s="189"/>
      <c r="U191" s="189"/>
      <c r="V191" s="189"/>
      <c r="W191" s="189"/>
      <c r="X191" s="189"/>
      <c r="Y191" s="189"/>
      <c r="Z191" s="189"/>
    </row>
    <row r="192" spans="1:26" ht="15.75" customHeight="1">
      <c r="A192" s="189"/>
      <c r="B192" s="189"/>
      <c r="C192" s="189"/>
      <c r="D192" s="189"/>
      <c r="E192" s="189"/>
      <c r="F192" s="189"/>
      <c r="G192" s="189"/>
      <c r="H192" s="189"/>
      <c r="I192" s="189"/>
      <c r="J192" s="189"/>
      <c r="K192" s="189"/>
      <c r="L192" s="189"/>
      <c r="M192" s="189"/>
      <c r="N192" s="189"/>
      <c r="O192" s="189"/>
      <c r="P192" s="189"/>
      <c r="Q192" s="189"/>
      <c r="R192" s="189"/>
      <c r="S192" s="189"/>
      <c r="T192" s="189"/>
      <c r="U192" s="189"/>
      <c r="V192" s="189"/>
      <c r="W192" s="189"/>
      <c r="X192" s="189"/>
      <c r="Y192" s="189"/>
      <c r="Z192" s="189"/>
    </row>
    <row r="193" spans="1:26" ht="15.75" customHeight="1">
      <c r="A193" s="189"/>
      <c r="B193" s="189"/>
      <c r="C193" s="189"/>
      <c r="D193" s="189"/>
      <c r="E193" s="189"/>
      <c r="F193" s="189"/>
      <c r="G193" s="189"/>
      <c r="H193" s="189"/>
      <c r="I193" s="189"/>
      <c r="J193" s="189"/>
      <c r="K193" s="189"/>
      <c r="L193" s="189"/>
      <c r="M193" s="189"/>
      <c r="N193" s="189"/>
      <c r="O193" s="189"/>
      <c r="P193" s="189"/>
      <c r="Q193" s="189"/>
      <c r="R193" s="189"/>
      <c r="S193" s="189"/>
      <c r="T193" s="189"/>
      <c r="U193" s="189"/>
      <c r="V193" s="189"/>
      <c r="W193" s="189"/>
      <c r="X193" s="189"/>
      <c r="Y193" s="189"/>
      <c r="Z193" s="189"/>
    </row>
    <row r="194" spans="1:26" ht="15.75" customHeight="1">
      <c r="A194" s="189"/>
      <c r="B194" s="189"/>
      <c r="C194" s="189"/>
      <c r="D194" s="189"/>
      <c r="E194" s="189"/>
      <c r="F194" s="189"/>
      <c r="G194" s="189"/>
      <c r="H194" s="189"/>
      <c r="I194" s="189"/>
      <c r="J194" s="189"/>
      <c r="K194" s="189"/>
      <c r="L194" s="189"/>
      <c r="M194" s="189"/>
      <c r="N194" s="189"/>
      <c r="O194" s="189"/>
      <c r="P194" s="189"/>
      <c r="Q194" s="189"/>
      <c r="R194" s="189"/>
      <c r="S194" s="189"/>
      <c r="T194" s="189"/>
      <c r="U194" s="189"/>
      <c r="V194" s="189"/>
      <c r="W194" s="189"/>
      <c r="X194" s="189"/>
      <c r="Y194" s="189"/>
      <c r="Z194" s="189"/>
    </row>
    <row r="195" spans="1:26" ht="15.75" customHeight="1">
      <c r="A195" s="189"/>
      <c r="B195" s="189"/>
      <c r="C195" s="189"/>
      <c r="D195" s="189"/>
      <c r="E195" s="189"/>
      <c r="F195" s="189"/>
      <c r="G195" s="189"/>
      <c r="H195" s="189"/>
      <c r="I195" s="189"/>
      <c r="J195" s="189"/>
      <c r="K195" s="189"/>
      <c r="L195" s="189"/>
      <c r="M195" s="189"/>
      <c r="N195" s="189"/>
      <c r="O195" s="189"/>
      <c r="P195" s="189"/>
      <c r="Q195" s="189"/>
      <c r="R195" s="189"/>
      <c r="S195" s="189"/>
      <c r="T195" s="189"/>
      <c r="U195" s="189"/>
      <c r="V195" s="189"/>
      <c r="W195" s="189"/>
      <c r="X195" s="189"/>
      <c r="Y195" s="189"/>
      <c r="Z195" s="189"/>
    </row>
    <row r="196" spans="1:26" ht="15.75" customHeight="1">
      <c r="A196" s="189"/>
      <c r="B196" s="189"/>
      <c r="C196" s="189"/>
      <c r="D196" s="189"/>
      <c r="E196" s="189"/>
      <c r="F196" s="189"/>
      <c r="G196" s="189"/>
      <c r="H196" s="189"/>
      <c r="I196" s="189"/>
      <c r="J196" s="189"/>
      <c r="K196" s="189"/>
      <c r="L196" s="189"/>
      <c r="M196" s="189"/>
      <c r="N196" s="189"/>
      <c r="O196" s="189"/>
      <c r="P196" s="189"/>
      <c r="Q196" s="189"/>
      <c r="R196" s="189"/>
      <c r="S196" s="189"/>
      <c r="T196" s="189"/>
      <c r="U196" s="189"/>
      <c r="V196" s="189"/>
      <c r="W196" s="189"/>
      <c r="X196" s="189"/>
      <c r="Y196" s="189"/>
      <c r="Z196" s="189"/>
    </row>
    <row r="197" spans="1:26" ht="15.75" customHeight="1">
      <c r="A197" s="189"/>
      <c r="B197" s="189"/>
      <c r="C197" s="189"/>
      <c r="D197" s="189"/>
      <c r="E197" s="189"/>
      <c r="F197" s="189"/>
      <c r="G197" s="189"/>
      <c r="H197" s="189"/>
      <c r="I197" s="189"/>
      <c r="J197" s="189"/>
      <c r="K197" s="189"/>
      <c r="L197" s="189"/>
      <c r="M197" s="189"/>
      <c r="N197" s="189"/>
      <c r="O197" s="189"/>
      <c r="P197" s="189"/>
      <c r="Q197" s="189"/>
      <c r="R197" s="189"/>
      <c r="S197" s="189"/>
      <c r="T197" s="189"/>
      <c r="U197" s="189"/>
      <c r="V197" s="189"/>
      <c r="W197" s="189"/>
      <c r="X197" s="189"/>
      <c r="Y197" s="189"/>
      <c r="Z197" s="189"/>
    </row>
    <row r="198" spans="1:26" ht="15.75" customHeight="1">
      <c r="A198" s="189"/>
      <c r="B198" s="189"/>
      <c r="C198" s="189"/>
      <c r="D198" s="189"/>
      <c r="E198" s="189"/>
      <c r="F198" s="189"/>
      <c r="G198" s="189"/>
      <c r="H198" s="189"/>
      <c r="I198" s="189"/>
      <c r="J198" s="189"/>
      <c r="K198" s="189"/>
      <c r="L198" s="189"/>
      <c r="M198" s="189"/>
      <c r="N198" s="189"/>
      <c r="O198" s="189"/>
      <c r="P198" s="189"/>
      <c r="Q198" s="189"/>
      <c r="R198" s="189"/>
      <c r="S198" s="189"/>
      <c r="T198" s="189"/>
      <c r="U198" s="189"/>
      <c r="V198" s="189"/>
      <c r="W198" s="189"/>
      <c r="X198" s="189"/>
      <c r="Y198" s="189"/>
      <c r="Z198" s="189"/>
    </row>
    <row r="199" spans="1:26" ht="15.75" customHeight="1">
      <c r="A199" s="189"/>
      <c r="B199" s="189"/>
      <c r="C199" s="189"/>
      <c r="D199" s="189"/>
      <c r="E199" s="189"/>
      <c r="F199" s="189"/>
      <c r="G199" s="189"/>
      <c r="H199" s="189"/>
      <c r="I199" s="189"/>
      <c r="J199" s="189"/>
      <c r="K199" s="189"/>
      <c r="L199" s="189"/>
      <c r="M199" s="189"/>
      <c r="N199" s="189"/>
      <c r="O199" s="189"/>
      <c r="P199" s="189"/>
      <c r="Q199" s="189"/>
      <c r="R199" s="189"/>
      <c r="S199" s="189"/>
      <c r="T199" s="189"/>
      <c r="U199" s="189"/>
      <c r="V199" s="189"/>
      <c r="W199" s="189"/>
      <c r="X199" s="189"/>
      <c r="Y199" s="189"/>
      <c r="Z199" s="189"/>
    </row>
    <row r="200" spans="1:26" ht="15.75" customHeight="1">
      <c r="A200" s="189"/>
      <c r="B200" s="189"/>
      <c r="C200" s="189"/>
      <c r="D200" s="189"/>
      <c r="E200" s="189"/>
      <c r="F200" s="189"/>
      <c r="G200" s="189"/>
      <c r="H200" s="189"/>
      <c r="I200" s="189"/>
      <c r="J200" s="189"/>
      <c r="K200" s="189"/>
      <c r="L200" s="189"/>
      <c r="M200" s="189"/>
      <c r="N200" s="189"/>
      <c r="O200" s="189"/>
      <c r="P200" s="189"/>
      <c r="Q200" s="189"/>
      <c r="R200" s="189"/>
      <c r="S200" s="189"/>
      <c r="T200" s="189"/>
      <c r="U200" s="189"/>
      <c r="V200" s="189"/>
      <c r="W200" s="189"/>
      <c r="X200" s="189"/>
      <c r="Y200" s="189"/>
      <c r="Z200" s="189"/>
    </row>
    <row r="201" spans="1:26" ht="15.75" customHeight="1">
      <c r="A201" s="189"/>
      <c r="B201" s="189"/>
      <c r="C201" s="189"/>
      <c r="D201" s="189"/>
      <c r="E201" s="189"/>
      <c r="F201" s="189"/>
      <c r="G201" s="189"/>
      <c r="H201" s="189"/>
      <c r="I201" s="189"/>
      <c r="J201" s="189"/>
      <c r="K201" s="189"/>
      <c r="L201" s="189"/>
      <c r="M201" s="189"/>
      <c r="N201" s="189"/>
      <c r="O201" s="189"/>
      <c r="P201" s="189"/>
      <c r="Q201" s="189"/>
      <c r="R201" s="189"/>
      <c r="S201" s="189"/>
      <c r="T201" s="189"/>
      <c r="U201" s="189"/>
      <c r="V201" s="189"/>
      <c r="W201" s="189"/>
      <c r="X201" s="189"/>
      <c r="Y201" s="189"/>
      <c r="Z201" s="189"/>
    </row>
    <row r="202" spans="1:26" ht="15.75" customHeight="1">
      <c r="A202" s="189"/>
      <c r="B202" s="189"/>
      <c r="C202" s="189"/>
      <c r="D202" s="189"/>
      <c r="E202" s="189"/>
      <c r="F202" s="189"/>
      <c r="G202" s="189"/>
      <c r="H202" s="189"/>
      <c r="I202" s="189"/>
      <c r="J202" s="189"/>
      <c r="K202" s="189"/>
      <c r="L202" s="189"/>
      <c r="M202" s="189"/>
      <c r="N202" s="189"/>
      <c r="O202" s="189"/>
      <c r="P202" s="189"/>
      <c r="Q202" s="189"/>
      <c r="R202" s="189"/>
      <c r="S202" s="189"/>
      <c r="T202" s="189"/>
      <c r="U202" s="189"/>
      <c r="V202" s="189"/>
      <c r="W202" s="189"/>
      <c r="X202" s="189"/>
      <c r="Y202" s="189"/>
      <c r="Z202" s="189"/>
    </row>
    <row r="203" spans="1:26" ht="15.75" customHeight="1">
      <c r="A203" s="189"/>
      <c r="B203" s="189"/>
      <c r="C203" s="189"/>
      <c r="D203" s="189"/>
      <c r="E203" s="189"/>
      <c r="F203" s="189"/>
      <c r="G203" s="189"/>
      <c r="H203" s="189"/>
      <c r="I203" s="189"/>
      <c r="J203" s="189"/>
      <c r="K203" s="189"/>
      <c r="L203" s="189"/>
      <c r="M203" s="189"/>
      <c r="N203" s="189"/>
      <c r="O203" s="189"/>
      <c r="P203" s="189"/>
      <c r="Q203" s="189"/>
      <c r="R203" s="189"/>
      <c r="S203" s="189"/>
      <c r="T203" s="189"/>
      <c r="U203" s="189"/>
      <c r="V203" s="189"/>
      <c r="W203" s="189"/>
      <c r="X203" s="189"/>
      <c r="Y203" s="189"/>
      <c r="Z203" s="189"/>
    </row>
    <row r="204" spans="1:26" ht="15.75" customHeight="1">
      <c r="A204" s="189"/>
      <c r="B204" s="189"/>
      <c r="C204" s="189"/>
      <c r="D204" s="189"/>
      <c r="E204" s="189"/>
      <c r="F204" s="189"/>
      <c r="G204" s="189"/>
      <c r="H204" s="189"/>
      <c r="I204" s="189"/>
      <c r="J204" s="189"/>
      <c r="K204" s="189"/>
      <c r="L204" s="189"/>
      <c r="M204" s="189"/>
      <c r="N204" s="189"/>
      <c r="O204" s="189"/>
      <c r="P204" s="189"/>
      <c r="Q204" s="189"/>
      <c r="R204" s="189"/>
      <c r="S204" s="189"/>
      <c r="T204" s="189"/>
      <c r="U204" s="189"/>
      <c r="V204" s="189"/>
      <c r="W204" s="189"/>
      <c r="X204" s="189"/>
      <c r="Y204" s="189"/>
      <c r="Z204" s="189"/>
    </row>
    <row r="205" spans="1:26" ht="15.75" customHeight="1">
      <c r="A205" s="189"/>
      <c r="B205" s="189"/>
      <c r="C205" s="189"/>
      <c r="D205" s="189"/>
      <c r="E205" s="189"/>
      <c r="F205" s="189"/>
      <c r="G205" s="189"/>
      <c r="H205" s="189"/>
      <c r="I205" s="189"/>
      <c r="J205" s="189"/>
      <c r="K205" s="189"/>
      <c r="L205" s="189"/>
      <c r="M205" s="189"/>
      <c r="N205" s="189"/>
      <c r="O205" s="189"/>
      <c r="P205" s="189"/>
      <c r="Q205" s="189"/>
      <c r="R205" s="189"/>
      <c r="S205" s="189"/>
      <c r="T205" s="189"/>
      <c r="U205" s="189"/>
      <c r="V205" s="189"/>
      <c r="W205" s="189"/>
      <c r="X205" s="189"/>
      <c r="Y205" s="189"/>
      <c r="Z205" s="189"/>
    </row>
    <row r="206" spans="1:26" ht="15.75" customHeight="1">
      <c r="A206" s="189"/>
      <c r="B206" s="189"/>
      <c r="C206" s="189"/>
      <c r="D206" s="189"/>
      <c r="E206" s="189"/>
      <c r="F206" s="189"/>
      <c r="G206" s="189"/>
      <c r="H206" s="189"/>
      <c r="I206" s="189"/>
      <c r="J206" s="189"/>
      <c r="K206" s="189"/>
      <c r="L206" s="189"/>
      <c r="M206" s="189"/>
      <c r="N206" s="189"/>
      <c r="O206" s="189"/>
      <c r="P206" s="189"/>
      <c r="Q206" s="189"/>
      <c r="R206" s="189"/>
      <c r="S206" s="189"/>
      <c r="T206" s="189"/>
      <c r="U206" s="189"/>
      <c r="V206" s="189"/>
      <c r="W206" s="189"/>
      <c r="X206" s="189"/>
      <c r="Y206" s="189"/>
      <c r="Z206" s="189"/>
    </row>
    <row r="207" spans="1:26" ht="15.75" customHeight="1">
      <c r="A207" s="189"/>
      <c r="B207" s="189"/>
      <c r="C207" s="189"/>
      <c r="D207" s="189"/>
      <c r="E207" s="189"/>
      <c r="F207" s="189"/>
      <c r="G207" s="189"/>
      <c r="H207" s="189"/>
      <c r="I207" s="189"/>
      <c r="J207" s="189"/>
      <c r="K207" s="189"/>
      <c r="L207" s="189"/>
      <c r="M207" s="189"/>
      <c r="N207" s="189"/>
      <c r="O207" s="189"/>
      <c r="P207" s="189"/>
      <c r="Q207" s="189"/>
      <c r="R207" s="189"/>
      <c r="S207" s="189"/>
      <c r="T207" s="189"/>
      <c r="U207" s="189"/>
      <c r="V207" s="189"/>
      <c r="W207" s="189"/>
      <c r="X207" s="189"/>
      <c r="Y207" s="189"/>
      <c r="Z207" s="189"/>
    </row>
    <row r="208" spans="1:26" ht="15.75" customHeight="1">
      <c r="A208" s="189"/>
      <c r="B208" s="189"/>
      <c r="C208" s="189"/>
      <c r="D208" s="189"/>
      <c r="E208" s="189"/>
      <c r="F208" s="189"/>
      <c r="G208" s="189"/>
      <c r="H208" s="189"/>
      <c r="I208" s="189"/>
      <c r="J208" s="189"/>
      <c r="K208" s="189"/>
      <c r="L208" s="189"/>
      <c r="M208" s="189"/>
      <c r="N208" s="189"/>
      <c r="O208" s="189"/>
      <c r="P208" s="189"/>
      <c r="Q208" s="189"/>
      <c r="R208" s="189"/>
      <c r="S208" s="189"/>
      <c r="T208" s="189"/>
      <c r="U208" s="189"/>
      <c r="V208" s="189"/>
      <c r="W208" s="189"/>
      <c r="X208" s="189"/>
      <c r="Y208" s="189"/>
      <c r="Z208" s="189"/>
    </row>
    <row r="209" spans="1:26" ht="15.75" customHeight="1">
      <c r="A209" s="189"/>
      <c r="B209" s="189"/>
      <c r="C209" s="189"/>
      <c r="D209" s="189"/>
      <c r="E209" s="189"/>
      <c r="F209" s="189"/>
      <c r="G209" s="189"/>
      <c r="H209" s="189"/>
      <c r="I209" s="189"/>
      <c r="J209" s="189"/>
      <c r="K209" s="189"/>
      <c r="L209" s="189"/>
      <c r="M209" s="189"/>
      <c r="N209" s="189"/>
      <c r="O209" s="189"/>
      <c r="P209" s="189"/>
      <c r="Q209" s="189"/>
      <c r="R209" s="189"/>
      <c r="S209" s="189"/>
      <c r="T209" s="189"/>
      <c r="U209" s="189"/>
      <c r="V209" s="189"/>
      <c r="W209" s="189"/>
      <c r="X209" s="189"/>
      <c r="Y209" s="189"/>
      <c r="Z209" s="189"/>
    </row>
    <row r="210" spans="1:26" ht="15.75" customHeight="1">
      <c r="A210" s="189"/>
      <c r="B210" s="189"/>
      <c r="C210" s="189"/>
      <c r="D210" s="189"/>
      <c r="E210" s="189"/>
      <c r="F210" s="189"/>
      <c r="G210" s="189"/>
      <c r="H210" s="189"/>
      <c r="I210" s="189"/>
      <c r="J210" s="189"/>
      <c r="K210" s="189"/>
      <c r="L210" s="189"/>
      <c r="M210" s="189"/>
      <c r="N210" s="189"/>
      <c r="O210" s="189"/>
      <c r="P210" s="189"/>
      <c r="Q210" s="189"/>
      <c r="R210" s="189"/>
      <c r="S210" s="189"/>
      <c r="T210" s="189"/>
      <c r="U210" s="189"/>
      <c r="V210" s="189"/>
      <c r="W210" s="189"/>
      <c r="X210" s="189"/>
      <c r="Y210" s="189"/>
      <c r="Z210" s="189"/>
    </row>
    <row r="211" spans="1:26" ht="15.75" customHeight="1">
      <c r="A211" s="189"/>
      <c r="B211" s="189"/>
      <c r="C211" s="189"/>
      <c r="D211" s="189"/>
      <c r="E211" s="189"/>
      <c r="F211" s="189"/>
      <c r="G211" s="189"/>
      <c r="H211" s="189"/>
      <c r="I211" s="189"/>
      <c r="J211" s="189"/>
      <c r="K211" s="189"/>
      <c r="L211" s="189"/>
      <c r="M211" s="189"/>
      <c r="N211" s="189"/>
      <c r="O211" s="189"/>
      <c r="P211" s="189"/>
      <c r="Q211" s="189"/>
      <c r="R211" s="189"/>
      <c r="S211" s="189"/>
      <c r="T211" s="189"/>
      <c r="U211" s="189"/>
      <c r="V211" s="189"/>
      <c r="W211" s="189"/>
      <c r="X211" s="189"/>
      <c r="Y211" s="189"/>
      <c r="Z211" s="189"/>
    </row>
    <row r="212" spans="1:26" ht="15.75" customHeight="1">
      <c r="A212" s="189"/>
      <c r="B212" s="189"/>
      <c r="C212" s="189"/>
      <c r="D212" s="189"/>
      <c r="E212" s="189"/>
      <c r="F212" s="189"/>
      <c r="G212" s="189"/>
      <c r="H212" s="189"/>
      <c r="I212" s="189"/>
      <c r="J212" s="189"/>
      <c r="K212" s="189"/>
      <c r="L212" s="189"/>
      <c r="M212" s="189"/>
      <c r="N212" s="189"/>
      <c r="O212" s="189"/>
      <c r="P212" s="189"/>
      <c r="Q212" s="189"/>
      <c r="R212" s="189"/>
      <c r="S212" s="189"/>
      <c r="T212" s="189"/>
      <c r="U212" s="189"/>
      <c r="V212" s="189"/>
      <c r="W212" s="189"/>
      <c r="X212" s="189"/>
      <c r="Y212" s="189"/>
      <c r="Z212" s="189"/>
    </row>
    <row r="213" spans="1:26" ht="15.75" customHeight="1">
      <c r="A213" s="189"/>
      <c r="B213" s="189"/>
      <c r="C213" s="189"/>
      <c r="D213" s="189"/>
      <c r="E213" s="189"/>
      <c r="F213" s="189"/>
      <c r="G213" s="189"/>
      <c r="H213" s="189"/>
      <c r="I213" s="189"/>
      <c r="J213" s="189"/>
      <c r="K213" s="189"/>
      <c r="L213" s="189"/>
      <c r="M213" s="189"/>
      <c r="N213" s="189"/>
      <c r="O213" s="189"/>
      <c r="P213" s="189"/>
      <c r="Q213" s="189"/>
      <c r="R213" s="189"/>
      <c r="S213" s="189"/>
      <c r="T213" s="189"/>
      <c r="U213" s="189"/>
      <c r="V213" s="189"/>
      <c r="W213" s="189"/>
      <c r="X213" s="189"/>
      <c r="Y213" s="189"/>
      <c r="Z213" s="189"/>
    </row>
    <row r="214" spans="1:26" ht="15.75" customHeight="1">
      <c r="A214" s="189"/>
      <c r="B214" s="189"/>
      <c r="C214" s="189"/>
      <c r="D214" s="189"/>
      <c r="E214" s="189"/>
      <c r="F214" s="189"/>
      <c r="G214" s="189"/>
      <c r="H214" s="189"/>
      <c r="I214" s="189"/>
      <c r="J214" s="189"/>
      <c r="K214" s="189"/>
      <c r="L214" s="189"/>
      <c r="M214" s="189"/>
      <c r="N214" s="189"/>
      <c r="O214" s="189"/>
      <c r="P214" s="189"/>
      <c r="Q214" s="189"/>
      <c r="R214" s="189"/>
      <c r="S214" s="189"/>
      <c r="T214" s="189"/>
      <c r="U214" s="189"/>
      <c r="V214" s="189"/>
      <c r="W214" s="189"/>
      <c r="X214" s="189"/>
      <c r="Y214" s="189"/>
      <c r="Z214" s="189"/>
    </row>
    <row r="215" spans="1:26" ht="15.75" customHeight="1">
      <c r="A215" s="189"/>
      <c r="B215" s="189"/>
      <c r="C215" s="189"/>
      <c r="D215" s="189"/>
      <c r="E215" s="189"/>
      <c r="F215" s="189"/>
      <c r="G215" s="189"/>
      <c r="H215" s="189"/>
      <c r="I215" s="189"/>
      <c r="J215" s="189"/>
      <c r="K215" s="189"/>
      <c r="L215" s="189"/>
      <c r="M215" s="189"/>
      <c r="N215" s="189"/>
      <c r="O215" s="189"/>
      <c r="P215" s="189"/>
      <c r="Q215" s="189"/>
      <c r="R215" s="189"/>
      <c r="S215" s="189"/>
      <c r="T215" s="189"/>
      <c r="U215" s="189"/>
      <c r="V215" s="189"/>
      <c r="W215" s="189"/>
      <c r="X215" s="189"/>
      <c r="Y215" s="189"/>
      <c r="Z215" s="189"/>
    </row>
    <row r="216" spans="1:26" ht="15.75" customHeight="1">
      <c r="A216" s="189"/>
      <c r="B216" s="189"/>
      <c r="C216" s="189"/>
      <c r="D216" s="189"/>
      <c r="E216" s="189"/>
      <c r="F216" s="189"/>
      <c r="G216" s="189"/>
      <c r="H216" s="189"/>
      <c r="I216" s="189"/>
      <c r="J216" s="189"/>
      <c r="K216" s="189"/>
      <c r="L216" s="189"/>
      <c r="M216" s="189"/>
      <c r="N216" s="189"/>
      <c r="O216" s="189"/>
      <c r="P216" s="189"/>
      <c r="Q216" s="189"/>
      <c r="R216" s="189"/>
      <c r="S216" s="189"/>
      <c r="T216" s="189"/>
      <c r="U216" s="189"/>
      <c r="V216" s="189"/>
      <c r="W216" s="189"/>
      <c r="X216" s="189"/>
      <c r="Y216" s="189"/>
      <c r="Z216" s="189"/>
    </row>
    <row r="217" spans="1:26" ht="15.75" customHeight="1">
      <c r="A217" s="189"/>
      <c r="B217" s="189"/>
      <c r="C217" s="189"/>
      <c r="D217" s="189"/>
      <c r="E217" s="189"/>
      <c r="F217" s="189"/>
      <c r="G217" s="189"/>
      <c r="H217" s="189"/>
      <c r="I217" s="189"/>
      <c r="J217" s="189"/>
      <c r="K217" s="189"/>
      <c r="L217" s="189"/>
      <c r="M217" s="189"/>
      <c r="N217" s="189"/>
      <c r="O217" s="189"/>
      <c r="P217" s="189"/>
      <c r="Q217" s="189"/>
      <c r="R217" s="189"/>
      <c r="S217" s="189"/>
      <c r="T217" s="189"/>
      <c r="U217" s="189"/>
      <c r="V217" s="189"/>
      <c r="W217" s="189"/>
      <c r="X217" s="189"/>
      <c r="Y217" s="189"/>
      <c r="Z217" s="189"/>
    </row>
    <row r="218" spans="1:26" ht="15.75" customHeight="1">
      <c r="A218" s="189"/>
      <c r="B218" s="189"/>
      <c r="C218" s="189"/>
      <c r="D218" s="189"/>
      <c r="E218" s="189"/>
      <c r="F218" s="189"/>
      <c r="G218" s="189"/>
      <c r="H218" s="189"/>
      <c r="I218" s="189"/>
      <c r="J218" s="189"/>
      <c r="K218" s="189"/>
      <c r="L218" s="189"/>
      <c r="M218" s="189"/>
      <c r="N218" s="189"/>
      <c r="O218" s="189"/>
      <c r="P218" s="189"/>
      <c r="Q218" s="189"/>
      <c r="R218" s="189"/>
      <c r="S218" s="189"/>
      <c r="T218" s="189"/>
      <c r="U218" s="189"/>
      <c r="V218" s="189"/>
      <c r="W218" s="189"/>
      <c r="X218" s="189"/>
      <c r="Y218" s="189"/>
      <c r="Z218" s="189"/>
    </row>
    <row r="219" spans="1:26" ht="15.75" customHeight="1">
      <c r="A219" s="189"/>
      <c r="B219" s="189"/>
      <c r="C219" s="189"/>
      <c r="D219" s="189"/>
      <c r="E219" s="189"/>
      <c r="F219" s="189"/>
      <c r="G219" s="189"/>
      <c r="H219" s="189"/>
      <c r="I219" s="189"/>
      <c r="J219" s="189"/>
      <c r="K219" s="189"/>
      <c r="L219" s="189"/>
      <c r="M219" s="189"/>
      <c r="N219" s="189"/>
      <c r="O219" s="189"/>
      <c r="P219" s="189"/>
      <c r="Q219" s="189"/>
      <c r="R219" s="189"/>
      <c r="S219" s="189"/>
      <c r="T219" s="189"/>
      <c r="U219" s="189"/>
      <c r="V219" s="189"/>
      <c r="W219" s="189"/>
      <c r="X219" s="189"/>
      <c r="Y219" s="189"/>
      <c r="Z219" s="189"/>
    </row>
    <row r="220" spans="1:26" ht="15.75" customHeight="1">
      <c r="A220" s="189"/>
      <c r="B220" s="189"/>
      <c r="C220" s="189"/>
      <c r="D220" s="189"/>
      <c r="E220" s="189"/>
      <c r="F220" s="189"/>
      <c r="G220" s="189"/>
      <c r="H220" s="189"/>
      <c r="I220" s="189"/>
      <c r="J220" s="189"/>
      <c r="K220" s="189"/>
      <c r="L220" s="189"/>
      <c r="M220" s="189"/>
      <c r="N220" s="189"/>
      <c r="O220" s="189"/>
      <c r="P220" s="189"/>
      <c r="Q220" s="189"/>
      <c r="R220" s="189"/>
      <c r="S220" s="189"/>
      <c r="T220" s="189"/>
      <c r="U220" s="189"/>
      <c r="V220" s="189"/>
      <c r="W220" s="189"/>
      <c r="X220" s="189"/>
      <c r="Y220" s="189"/>
      <c r="Z220" s="189"/>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6"/>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N68"/>
  <sheetViews>
    <sheetView workbookViewId="0"/>
  </sheetViews>
  <sheetFormatPr baseColWidth="10" defaultColWidth="11.21875" defaultRowHeight="15" customHeight="1"/>
  <cols>
    <col min="1" max="1" width="11.21875" customWidth="1"/>
    <col min="2" max="2" width="11.77734375" customWidth="1"/>
    <col min="3" max="3" width="65.88671875" customWidth="1"/>
    <col min="4" max="4" width="13.5546875" customWidth="1"/>
    <col min="5" max="5" width="6.109375" customWidth="1"/>
    <col min="6" max="6" width="10.109375" customWidth="1"/>
    <col min="7" max="7" width="14.6640625" customWidth="1"/>
    <col min="8" max="8" width="15.33203125" customWidth="1"/>
    <col min="9" max="9" width="13.5546875" customWidth="1"/>
    <col min="10" max="10" width="14.21875" customWidth="1"/>
    <col min="11" max="11" width="7.6640625" customWidth="1"/>
    <col min="12" max="12" width="10.5546875" customWidth="1"/>
    <col min="13" max="13" width="11" customWidth="1"/>
    <col min="14" max="14" width="11.109375" customWidth="1"/>
    <col min="15" max="15" width="17.109375" customWidth="1"/>
    <col min="16" max="16" width="156.44140625" customWidth="1"/>
    <col min="17" max="17" width="38" customWidth="1"/>
    <col min="18" max="18" width="30.44140625" customWidth="1"/>
    <col min="19" max="19" width="19.21875" customWidth="1"/>
    <col min="20" max="20" width="13.5546875" customWidth="1"/>
    <col min="21" max="23" width="10.5546875" customWidth="1"/>
  </cols>
  <sheetData>
    <row r="1" spans="1:40" ht="29.25" customHeight="1">
      <c r="A1" s="232" t="s">
        <v>0</v>
      </c>
      <c r="B1" s="233" t="s">
        <v>1</v>
      </c>
      <c r="C1" s="234" t="s">
        <v>2</v>
      </c>
      <c r="D1" s="235" t="s">
        <v>4</v>
      </c>
      <c r="E1" s="4" t="s">
        <v>56</v>
      </c>
      <c r="F1" s="5" t="s">
        <v>802</v>
      </c>
      <c r="G1" s="6" t="s">
        <v>6</v>
      </c>
      <c r="H1" s="6" t="s">
        <v>7</v>
      </c>
      <c r="I1" s="7" t="s">
        <v>758</v>
      </c>
      <c r="J1" s="7" t="s">
        <v>9</v>
      </c>
      <c r="K1" s="6" t="s">
        <v>759</v>
      </c>
      <c r="L1" s="4" t="s">
        <v>15</v>
      </c>
      <c r="M1" s="6" t="s">
        <v>12</v>
      </c>
      <c r="N1" s="4" t="s">
        <v>16</v>
      </c>
      <c r="O1" s="6" t="s">
        <v>13</v>
      </c>
      <c r="P1" s="8" t="s">
        <v>14</v>
      </c>
      <c r="Q1" s="9" t="s">
        <v>803</v>
      </c>
      <c r="R1" s="9" t="s">
        <v>804</v>
      </c>
      <c r="S1" s="9" t="s">
        <v>17</v>
      </c>
      <c r="T1" s="9" t="s">
        <v>18</v>
      </c>
      <c r="U1" s="9" t="s">
        <v>19</v>
      </c>
      <c r="V1" s="9" t="s">
        <v>20</v>
      </c>
      <c r="W1" s="9" t="s">
        <v>21</v>
      </c>
      <c r="X1" s="236" t="s">
        <v>22</v>
      </c>
      <c r="Y1" s="236" t="s">
        <v>23</v>
      </c>
      <c r="Z1" s="236" t="s">
        <v>24</v>
      </c>
      <c r="AA1" s="236" t="s">
        <v>25</v>
      </c>
      <c r="AB1" s="236" t="s">
        <v>26</v>
      </c>
      <c r="AC1" s="236" t="s">
        <v>27</v>
      </c>
      <c r="AD1" s="236" t="s">
        <v>28</v>
      </c>
      <c r="AE1" s="236" t="s">
        <v>29</v>
      </c>
      <c r="AF1" s="236" t="s">
        <v>30</v>
      </c>
      <c r="AG1" s="236" t="s">
        <v>31</v>
      </c>
      <c r="AH1" s="236" t="s">
        <v>32</v>
      </c>
      <c r="AI1" s="236" t="s">
        <v>33</v>
      </c>
      <c r="AJ1" s="9" t="s">
        <v>34</v>
      </c>
      <c r="AK1" s="9" t="s">
        <v>35</v>
      </c>
      <c r="AL1" s="9" t="s">
        <v>36</v>
      </c>
      <c r="AM1" s="9" t="s">
        <v>805</v>
      </c>
      <c r="AN1" s="9" t="s">
        <v>806</v>
      </c>
    </row>
    <row r="2" spans="1:40" ht="22.5" customHeight="1">
      <c r="A2" s="237" t="s">
        <v>776</v>
      </c>
      <c r="B2" s="238" t="s">
        <v>49</v>
      </c>
      <c r="C2" s="52" t="s">
        <v>50</v>
      </c>
      <c r="D2" s="51" t="s">
        <v>37</v>
      </c>
      <c r="E2" s="20"/>
      <c r="F2" s="239"/>
      <c r="G2" s="14">
        <v>45751</v>
      </c>
      <c r="H2" s="15">
        <v>45756</v>
      </c>
      <c r="I2" s="30">
        <v>45760</v>
      </c>
      <c r="J2" s="17">
        <v>45759</v>
      </c>
      <c r="K2" s="25">
        <f ca="1">IF(ISBLANK(J2), NETWORKDAYS(H2, TODAY(),fESTIVOS!$A$1:$A$18), NETWORKDAYS(H2, J2, fESTIVOS!$A$1:$A$18))</f>
        <v>3</v>
      </c>
      <c r="L2" s="25"/>
      <c r="M2" s="14"/>
      <c r="N2" s="240"/>
      <c r="O2" s="18"/>
      <c r="P2" s="45" t="s">
        <v>51</v>
      </c>
      <c r="Q2" s="241"/>
      <c r="R2" s="241"/>
      <c r="S2" s="241"/>
      <c r="T2" s="241"/>
      <c r="U2" s="241"/>
      <c r="V2" s="241"/>
      <c r="W2" s="241"/>
    </row>
    <row r="3" spans="1:40" ht="22.5" customHeight="1">
      <c r="A3" s="237" t="s">
        <v>776</v>
      </c>
      <c r="B3" s="242"/>
      <c r="C3" s="52" t="s">
        <v>807</v>
      </c>
      <c r="D3" s="51" t="s">
        <v>37</v>
      </c>
      <c r="E3" s="13">
        <v>90</v>
      </c>
      <c r="F3" s="239"/>
      <c r="G3" s="14">
        <v>45749</v>
      </c>
      <c r="H3" s="15">
        <v>45754</v>
      </c>
      <c r="I3" s="17">
        <v>45772</v>
      </c>
      <c r="J3" s="17">
        <v>45783</v>
      </c>
      <c r="K3" s="25">
        <f ca="1">IF(ISBLANK(J3), NETWORKDAYS(H3, TODAY(),fESTIVOS!$A$1:$A$18), NETWORKDAYS(H3, J3, fESTIVOS!$A$1:$A$18))</f>
        <v>22</v>
      </c>
      <c r="L3" s="20"/>
      <c r="M3" s="14">
        <v>45755</v>
      </c>
      <c r="N3" s="240"/>
      <c r="O3" s="18"/>
      <c r="P3" s="31" t="s">
        <v>808</v>
      </c>
      <c r="Q3" s="23" t="s">
        <v>809</v>
      </c>
      <c r="R3" s="23" t="s">
        <v>810</v>
      </c>
      <c r="S3" s="23" t="s">
        <v>811</v>
      </c>
      <c r="T3" s="23" t="s">
        <v>812</v>
      </c>
      <c r="U3" s="22"/>
      <c r="V3" s="22"/>
      <c r="W3" s="22"/>
    </row>
    <row r="4" spans="1:40" ht="22.5" customHeight="1">
      <c r="A4" s="237" t="s">
        <v>776</v>
      </c>
      <c r="B4" s="242"/>
      <c r="C4" s="52" t="s">
        <v>813</v>
      </c>
      <c r="D4" s="51" t="s">
        <v>37</v>
      </c>
      <c r="E4" s="13">
        <v>60</v>
      </c>
      <c r="F4" s="239"/>
      <c r="G4" s="14">
        <v>45749</v>
      </c>
      <c r="H4" s="15">
        <v>45749</v>
      </c>
      <c r="I4" s="17">
        <v>45779</v>
      </c>
      <c r="J4" s="17">
        <v>45783</v>
      </c>
      <c r="K4" s="25">
        <f ca="1">IF(ISBLANK(J4), NETWORKDAYS(H4, TODAY(),fESTIVOS!$A$1:$A$18), NETWORKDAYS(H4, J4, fESTIVOS!$A$1:$A$18))</f>
        <v>25</v>
      </c>
      <c r="L4" s="20"/>
      <c r="M4" s="14">
        <v>45754</v>
      </c>
      <c r="N4" s="240"/>
      <c r="O4" s="18"/>
      <c r="P4" s="31" t="s">
        <v>814</v>
      </c>
      <c r="Q4" s="23" t="s">
        <v>809</v>
      </c>
      <c r="R4" s="23" t="s">
        <v>815</v>
      </c>
      <c r="S4" s="23" t="s">
        <v>811</v>
      </c>
      <c r="T4" s="23" t="s">
        <v>816</v>
      </c>
      <c r="U4" s="22"/>
      <c r="V4" s="22"/>
      <c r="W4" s="22"/>
    </row>
    <row r="5" spans="1:40" ht="22.5" customHeight="1">
      <c r="A5" s="237" t="s">
        <v>776</v>
      </c>
      <c r="B5" s="242"/>
      <c r="C5" s="243" t="s">
        <v>817</v>
      </c>
      <c r="D5" s="51" t="s">
        <v>37</v>
      </c>
      <c r="E5" s="32">
        <v>100</v>
      </c>
      <c r="F5" s="239"/>
      <c r="G5" s="43">
        <v>45770</v>
      </c>
      <c r="H5" s="34">
        <v>45770</v>
      </c>
      <c r="I5" s="34">
        <v>45770</v>
      </c>
      <c r="J5" s="34">
        <v>45770</v>
      </c>
      <c r="K5" s="25">
        <f ca="1">IF(ISBLANK(J5), NETWORKDAYS(H5, TODAY(),fESTIVOS!$A$1:$A$18), NETWORKDAYS(H5, J5, fESTIVOS!$A$1:$A$18))</f>
        <v>1</v>
      </c>
      <c r="L5" s="25"/>
      <c r="M5" s="14"/>
      <c r="N5" s="240"/>
      <c r="O5" s="18"/>
      <c r="P5" s="31" t="s">
        <v>818</v>
      </c>
      <c r="Q5" s="50"/>
      <c r="R5" s="50"/>
      <c r="S5" s="50"/>
      <c r="T5" s="50"/>
      <c r="U5" s="50"/>
      <c r="V5" s="50"/>
      <c r="W5" s="50"/>
    </row>
    <row r="6" spans="1:40" ht="22.5" customHeight="1">
      <c r="A6" s="237" t="s">
        <v>776</v>
      </c>
      <c r="B6" s="70" t="s">
        <v>819</v>
      </c>
      <c r="C6" s="244" t="s">
        <v>820</v>
      </c>
      <c r="D6" s="245" t="s">
        <v>37</v>
      </c>
      <c r="E6" s="246">
        <v>50</v>
      </c>
      <c r="F6" s="247"/>
      <c r="G6" s="248"/>
      <c r="H6" s="249"/>
      <c r="I6" s="249"/>
      <c r="J6" s="249"/>
      <c r="K6" s="25">
        <f ca="1">IF(ISBLANK(J6), NETWORKDAYS(H6, TODAY(),fESTIVOS!$A$1:$A$18), NETWORKDAYS(H6, J6, fESTIVOS!$A$1:$A$18))</f>
        <v>32982</v>
      </c>
      <c r="L6" s="250"/>
      <c r="M6" s="248"/>
      <c r="N6" s="247"/>
      <c r="O6" s="251"/>
      <c r="P6" s="247"/>
      <c r="Q6" s="252" t="s">
        <v>821</v>
      </c>
      <c r="R6" s="252" t="s">
        <v>822</v>
      </c>
      <c r="S6" s="253"/>
      <c r="T6" s="253"/>
      <c r="U6" s="253"/>
      <c r="V6" s="253"/>
      <c r="W6" s="253"/>
    </row>
    <row r="7" spans="1:40" ht="22.5" customHeight="1">
      <c r="A7" s="237" t="s">
        <v>776</v>
      </c>
      <c r="B7" s="70" t="s">
        <v>819</v>
      </c>
      <c r="C7" s="254" t="s">
        <v>823</v>
      </c>
      <c r="D7" s="51" t="s">
        <v>37</v>
      </c>
      <c r="E7" s="57"/>
      <c r="F7" s="40"/>
      <c r="G7" s="33">
        <v>45666</v>
      </c>
      <c r="H7" s="30">
        <v>45684</v>
      </c>
      <c r="I7" s="38"/>
      <c r="J7" s="30">
        <v>45685</v>
      </c>
      <c r="K7" s="25">
        <f ca="1">IF(ISBLANK(J7), NETWORKDAYS(H7, TODAY(),fESTIVOS!$A$1:$A$18), NETWORKDAYS(H7, J7, fESTIVOS!$A$1:$A$18))</f>
        <v>2</v>
      </c>
      <c r="L7" s="239"/>
      <c r="M7" s="85">
        <v>45685</v>
      </c>
      <c r="N7" s="240"/>
      <c r="O7" s="18"/>
      <c r="P7" s="61" t="s">
        <v>824</v>
      </c>
      <c r="Q7" s="47" t="s">
        <v>825</v>
      </c>
      <c r="R7" s="252" t="s">
        <v>822</v>
      </c>
      <c r="S7" s="253"/>
      <c r="T7" s="253"/>
      <c r="U7" s="253"/>
      <c r="V7" s="253"/>
      <c r="W7" s="253"/>
    </row>
    <row r="8" spans="1:40" ht="29.25" customHeight="1">
      <c r="A8" s="255" t="s">
        <v>761</v>
      </c>
      <c r="B8" s="256"/>
      <c r="C8" s="257" t="s">
        <v>826</v>
      </c>
      <c r="D8" s="51" t="s">
        <v>37</v>
      </c>
      <c r="E8" s="258"/>
      <c r="F8" s="258"/>
      <c r="G8" s="259">
        <v>45756</v>
      </c>
      <c r="H8" s="260">
        <v>45756</v>
      </c>
      <c r="I8" s="260"/>
      <c r="J8" s="260">
        <v>45756</v>
      </c>
      <c r="K8" s="261">
        <f ca="1">IF(ISBLANK(J8), NETWORKDAYS(H8, TODAY(),fESTIVOS!$A$1:$A$18), NETWORKDAYS(H8, J8, fESTIVOS!$A$1:$A$18))</f>
        <v>1</v>
      </c>
      <c r="L8" s="258"/>
      <c r="M8" s="259"/>
      <c r="N8" s="258"/>
      <c r="O8" s="262"/>
      <c r="P8" s="263" t="s">
        <v>827</v>
      </c>
      <c r="Q8" s="264"/>
      <c r="R8" s="264"/>
      <c r="S8" s="264"/>
      <c r="T8" s="264"/>
      <c r="U8" s="264"/>
      <c r="V8" s="264"/>
      <c r="W8" s="264"/>
      <c r="X8" s="265"/>
      <c r="Y8" s="265"/>
      <c r="Z8" s="265"/>
      <c r="AA8" s="265"/>
      <c r="AB8" s="265"/>
      <c r="AC8" s="265"/>
      <c r="AD8" s="265"/>
      <c r="AE8" s="265"/>
      <c r="AF8" s="265"/>
      <c r="AG8" s="265"/>
      <c r="AH8" s="265"/>
      <c r="AI8" s="265"/>
      <c r="AJ8" s="265"/>
      <c r="AK8" s="265"/>
      <c r="AL8" s="265"/>
      <c r="AM8" s="265"/>
      <c r="AN8" s="265"/>
    </row>
    <row r="9" spans="1:40" ht="29.25" customHeight="1">
      <c r="A9" s="255" t="s">
        <v>761</v>
      </c>
      <c r="B9" s="256"/>
      <c r="C9" s="257" t="s">
        <v>828</v>
      </c>
      <c r="D9" s="266" t="s">
        <v>37</v>
      </c>
      <c r="E9" s="258"/>
      <c r="F9" s="258"/>
      <c r="G9" s="259">
        <v>45750</v>
      </c>
      <c r="H9" s="260">
        <v>45750</v>
      </c>
      <c r="I9" s="260"/>
      <c r="J9" s="260">
        <v>45755</v>
      </c>
      <c r="K9" s="261">
        <f ca="1">IF(ISBLANK(J9), NETWORKDAYS(H9, TODAY(),fESTIVOS!$A$1:$A$18), NETWORKDAYS(H9, J9, fESTIVOS!$A$1:$A$18))</f>
        <v>4</v>
      </c>
      <c r="L9" s="258"/>
      <c r="M9" s="259">
        <v>45755</v>
      </c>
      <c r="N9" s="258"/>
      <c r="O9" s="262">
        <v>45761</v>
      </c>
      <c r="P9" s="267" t="s">
        <v>829</v>
      </c>
      <c r="Q9" s="268"/>
      <c r="R9" s="268"/>
      <c r="S9" s="268"/>
      <c r="T9" s="268"/>
      <c r="U9" s="268"/>
      <c r="V9" s="268"/>
      <c r="W9" s="268"/>
      <c r="X9" s="265"/>
      <c r="Y9" s="265"/>
      <c r="Z9" s="265"/>
      <c r="AA9" s="265"/>
      <c r="AB9" s="265"/>
      <c r="AC9" s="265"/>
      <c r="AD9" s="265"/>
      <c r="AE9" s="265"/>
      <c r="AF9" s="265"/>
      <c r="AG9" s="265"/>
      <c r="AH9" s="265"/>
      <c r="AI9" s="265"/>
      <c r="AJ9" s="265"/>
      <c r="AK9" s="265"/>
      <c r="AL9" s="265"/>
      <c r="AM9" s="265"/>
      <c r="AN9" s="265"/>
    </row>
    <row r="10" spans="1:40" ht="29.25" customHeight="1">
      <c r="A10" s="255" t="s">
        <v>761</v>
      </c>
      <c r="B10" s="256"/>
      <c r="C10" s="269" t="s">
        <v>830</v>
      </c>
      <c r="D10" s="51" t="s">
        <v>37</v>
      </c>
      <c r="E10" s="258"/>
      <c r="F10" s="258"/>
      <c r="G10" s="259">
        <v>45750</v>
      </c>
      <c r="H10" s="260">
        <v>45751</v>
      </c>
      <c r="I10" s="260"/>
      <c r="J10" s="260"/>
      <c r="K10" s="261">
        <f ca="1">IF(ISBLANK(J10), NETWORKDAYS(H10, TODAY(),fESTIVOS!$A$1:$A$18), NETWORKDAYS(H10, J10, fESTIVOS!$A$1:$A$18))</f>
        <v>319</v>
      </c>
      <c r="L10" s="258"/>
      <c r="M10" s="259"/>
      <c r="N10" s="270" t="s">
        <v>831</v>
      </c>
      <c r="O10" s="262"/>
      <c r="P10" s="267" t="s">
        <v>832</v>
      </c>
      <c r="Q10" s="268"/>
      <c r="R10" s="271"/>
      <c r="S10" s="271"/>
      <c r="T10" s="271"/>
      <c r="U10" s="271"/>
      <c r="V10" s="271"/>
      <c r="W10" s="271"/>
      <c r="X10" s="272"/>
      <c r="Y10" s="272"/>
      <c r="Z10" s="272"/>
      <c r="AA10" s="272"/>
      <c r="AB10" s="272"/>
      <c r="AC10" s="272"/>
      <c r="AD10" s="272"/>
      <c r="AE10" s="272"/>
      <c r="AF10" s="272"/>
      <c r="AG10" s="272"/>
      <c r="AH10" s="272"/>
      <c r="AI10" s="272"/>
      <c r="AJ10" s="272"/>
      <c r="AK10" s="272"/>
      <c r="AL10" s="272"/>
      <c r="AM10" s="272"/>
      <c r="AN10" s="272"/>
    </row>
    <row r="11" spans="1:40" ht="29.25" customHeight="1">
      <c r="Q11" s="273" t="s">
        <v>833</v>
      </c>
      <c r="R11" s="273" t="s">
        <v>834</v>
      </c>
      <c r="S11" s="273" t="s">
        <v>835</v>
      </c>
      <c r="T11" s="274"/>
      <c r="U11" s="274"/>
      <c r="V11" s="274"/>
      <c r="W11" s="274"/>
      <c r="X11" s="275"/>
      <c r="Y11" s="275"/>
      <c r="Z11" s="275"/>
      <c r="AA11" s="275"/>
      <c r="AB11" s="275"/>
      <c r="AC11" s="275"/>
      <c r="AD11" s="275"/>
      <c r="AE11" s="275"/>
      <c r="AF11" s="275"/>
      <c r="AG11" s="275"/>
      <c r="AH11" s="275"/>
      <c r="AI11" s="275"/>
      <c r="AJ11" s="275"/>
      <c r="AK11" s="275"/>
      <c r="AL11" s="275"/>
      <c r="AM11" s="275"/>
      <c r="AN11" s="275"/>
    </row>
    <row r="12" spans="1:40" ht="29.25" customHeight="1">
      <c r="A12" s="255" t="s">
        <v>786</v>
      </c>
      <c r="B12" s="276" t="s">
        <v>836</v>
      </c>
      <c r="C12" s="269" t="s">
        <v>837</v>
      </c>
      <c r="D12" s="266" t="s">
        <v>37</v>
      </c>
      <c r="E12" s="258"/>
      <c r="F12" s="277"/>
      <c r="G12" s="259">
        <v>45751</v>
      </c>
      <c r="H12" s="260">
        <v>45755</v>
      </c>
      <c r="I12" s="278"/>
      <c r="J12" s="279">
        <v>45758</v>
      </c>
      <c r="K12" s="261">
        <f ca="1">IF(ISBLANK(J12), NETWORKDAYS(H12, TODAY(),fESTIVOS!$A$1:$A$18), NETWORKDAYS(H12, J12, fESTIVOS!$A$1:$A$18))</f>
        <v>4</v>
      </c>
      <c r="L12" s="280"/>
      <c r="M12" s="281"/>
      <c r="N12" s="282"/>
      <c r="O12" s="283"/>
      <c r="P12" s="284" t="s">
        <v>838</v>
      </c>
      <c r="Q12" s="264"/>
      <c r="R12" s="285"/>
      <c r="S12" s="285"/>
      <c r="T12" s="285"/>
      <c r="U12" s="285"/>
      <c r="V12" s="285"/>
      <c r="W12" s="285"/>
      <c r="X12" s="272"/>
      <c r="Y12" s="272"/>
      <c r="Z12" s="272"/>
      <c r="AA12" s="272"/>
      <c r="AB12" s="272"/>
      <c r="AC12" s="272"/>
      <c r="AD12" s="272"/>
      <c r="AE12" s="272"/>
      <c r="AF12" s="272"/>
      <c r="AG12" s="272"/>
      <c r="AH12" s="272"/>
      <c r="AI12" s="272"/>
      <c r="AJ12" s="272"/>
      <c r="AK12" s="272"/>
      <c r="AL12" s="272"/>
      <c r="AM12" s="272"/>
      <c r="AN12" s="272"/>
    </row>
    <row r="13" spans="1:40" ht="29.25" customHeight="1">
      <c r="A13" s="255" t="s">
        <v>786</v>
      </c>
      <c r="B13" s="256"/>
      <c r="C13" s="257" t="s">
        <v>839</v>
      </c>
      <c r="D13" s="51" t="s">
        <v>37</v>
      </c>
      <c r="E13" s="258"/>
      <c r="F13" s="286"/>
      <c r="G13" s="259">
        <v>45757</v>
      </c>
      <c r="H13" s="287"/>
      <c r="I13" s="288"/>
      <c r="J13" s="288"/>
      <c r="K13" s="261">
        <f ca="1">IF(ISBLANK(J13), NETWORKDAYS(H13, TODAY(),fESTIVOS!$A$1:$A$18), NETWORKDAYS(H13, J13, fESTIVOS!$A$1:$A$18))</f>
        <v>32982</v>
      </c>
      <c r="L13" s="289"/>
      <c r="M13" s="290"/>
      <c r="N13" s="291"/>
      <c r="O13" s="292"/>
      <c r="P13" s="282" t="s">
        <v>840</v>
      </c>
      <c r="Q13" s="293"/>
      <c r="R13" s="293"/>
      <c r="S13" s="293"/>
      <c r="T13" s="293"/>
      <c r="U13" s="293"/>
      <c r="V13" s="293"/>
      <c r="W13" s="293"/>
      <c r="X13" s="272"/>
      <c r="Y13" s="272"/>
      <c r="Z13" s="272"/>
      <c r="AA13" s="272"/>
      <c r="AB13" s="272"/>
      <c r="AC13" s="272"/>
      <c r="AD13" s="272"/>
      <c r="AE13" s="272"/>
      <c r="AF13" s="272"/>
      <c r="AG13" s="272"/>
      <c r="AH13" s="272"/>
      <c r="AI13" s="272"/>
      <c r="AJ13" s="272"/>
      <c r="AK13" s="272"/>
      <c r="AL13" s="272"/>
      <c r="AM13" s="272"/>
      <c r="AN13" s="272"/>
    </row>
    <row r="14" spans="1:40" ht="29.25" customHeight="1">
      <c r="A14" s="255" t="s">
        <v>786</v>
      </c>
      <c r="B14" s="294" t="s">
        <v>841</v>
      </c>
      <c r="C14" s="295" t="s">
        <v>842</v>
      </c>
      <c r="D14" s="51" t="s">
        <v>37</v>
      </c>
      <c r="E14" s="258"/>
      <c r="F14" s="277"/>
      <c r="G14" s="259">
        <v>45748</v>
      </c>
      <c r="H14" s="260">
        <v>45749</v>
      </c>
      <c r="I14" s="278"/>
      <c r="J14" s="278">
        <v>45755</v>
      </c>
      <c r="K14" s="261">
        <f ca="1">IF(ISBLANK(J14), NETWORKDAYS(H14, TODAY(),fESTIVOS!$A$1:$A$18), NETWORKDAYS(H14, J14, fESTIVOS!$A$1:$A$18))</f>
        <v>5</v>
      </c>
      <c r="L14" s="296"/>
      <c r="M14" s="281">
        <v>45755</v>
      </c>
      <c r="N14" s="282"/>
      <c r="O14" s="283"/>
      <c r="P14" s="297" t="s">
        <v>843</v>
      </c>
      <c r="Q14" s="298"/>
      <c r="R14" s="299"/>
      <c r="S14" s="299"/>
      <c r="T14" s="299"/>
      <c r="U14" s="299"/>
      <c r="V14" s="299"/>
      <c r="W14" s="299"/>
      <c r="X14" s="275"/>
      <c r="Y14" s="275"/>
      <c r="Z14" s="275"/>
      <c r="AA14" s="275"/>
      <c r="AB14" s="275"/>
      <c r="AC14" s="275"/>
      <c r="AD14" s="275"/>
      <c r="AE14" s="275"/>
      <c r="AF14" s="275"/>
      <c r="AG14" s="275"/>
      <c r="AH14" s="275"/>
      <c r="AI14" s="275"/>
      <c r="AJ14" s="275"/>
      <c r="AK14" s="275"/>
      <c r="AL14" s="275"/>
      <c r="AM14" s="275"/>
      <c r="AN14" s="275"/>
    </row>
    <row r="15" spans="1:40" ht="29.25" customHeight="1">
      <c r="A15" s="255" t="s">
        <v>761</v>
      </c>
      <c r="B15" s="270" t="s">
        <v>844</v>
      </c>
      <c r="C15" s="295" t="s">
        <v>845</v>
      </c>
      <c r="D15" s="266" t="s">
        <v>37</v>
      </c>
      <c r="E15" s="258"/>
      <c r="F15" s="258"/>
      <c r="G15" s="259">
        <v>45754</v>
      </c>
      <c r="H15" s="260">
        <v>45757</v>
      </c>
      <c r="I15" s="260"/>
      <c r="J15" s="260">
        <v>45761</v>
      </c>
      <c r="K15" s="261">
        <f ca="1">IF(ISBLANK(J15), NETWORKDAYS(H15, TODAY(),fESTIVOS!$A$1:$A$18), NETWORKDAYS(H15, J15, fESTIVOS!$A$1:$A$18))</f>
        <v>3</v>
      </c>
      <c r="L15" s="258"/>
      <c r="M15" s="259"/>
      <c r="N15" s="258"/>
      <c r="O15" s="262">
        <v>45761</v>
      </c>
      <c r="P15" s="263" t="s">
        <v>846</v>
      </c>
      <c r="Q15" s="264"/>
      <c r="R15" s="264"/>
      <c r="S15" s="264"/>
      <c r="T15" s="264"/>
      <c r="U15" s="264"/>
      <c r="V15" s="264"/>
      <c r="W15" s="264"/>
      <c r="X15" s="265"/>
      <c r="Y15" s="265"/>
      <c r="Z15" s="265"/>
      <c r="AA15" s="265"/>
      <c r="AB15" s="265"/>
      <c r="AC15" s="265"/>
      <c r="AD15" s="265"/>
      <c r="AE15" s="265"/>
      <c r="AF15" s="265"/>
      <c r="AG15" s="265"/>
      <c r="AH15" s="265"/>
      <c r="AI15" s="265"/>
      <c r="AJ15" s="265"/>
      <c r="AK15" s="265"/>
      <c r="AL15" s="265"/>
      <c r="AM15" s="265"/>
      <c r="AN15" s="265"/>
    </row>
    <row r="16" spans="1:40" ht="29.25" customHeight="1">
      <c r="A16" s="255" t="s">
        <v>761</v>
      </c>
      <c r="B16" s="270" t="s">
        <v>847</v>
      </c>
      <c r="C16" s="295" t="s">
        <v>848</v>
      </c>
      <c r="D16" s="266" t="s">
        <v>37</v>
      </c>
      <c r="E16" s="258"/>
      <c r="F16" s="258"/>
      <c r="G16" s="259">
        <v>45754</v>
      </c>
      <c r="H16" s="260">
        <v>45757</v>
      </c>
      <c r="I16" s="260"/>
      <c r="J16" s="260">
        <v>45761</v>
      </c>
      <c r="K16" s="261">
        <f ca="1">IF(ISBLANK(J16), NETWORKDAYS(H16, TODAY(),fESTIVOS!$A$1:$A$18), NETWORKDAYS(H16, J16, fESTIVOS!$A$1:$A$18))</f>
        <v>3</v>
      </c>
      <c r="L16" s="258"/>
      <c r="M16" s="259"/>
      <c r="N16" s="258"/>
      <c r="O16" s="262">
        <v>45761</v>
      </c>
      <c r="P16" s="263" t="s">
        <v>849</v>
      </c>
      <c r="Q16" s="264"/>
      <c r="R16" s="264"/>
      <c r="S16" s="264"/>
      <c r="T16" s="264"/>
      <c r="U16" s="264"/>
      <c r="V16" s="264"/>
      <c r="W16" s="264"/>
      <c r="X16" s="265"/>
      <c r="Y16" s="265"/>
      <c r="Z16" s="265"/>
      <c r="AA16" s="265"/>
      <c r="AB16" s="265"/>
      <c r="AC16" s="265"/>
      <c r="AD16" s="265"/>
      <c r="AE16" s="265"/>
      <c r="AF16" s="265"/>
      <c r="AG16" s="265"/>
      <c r="AH16" s="265"/>
      <c r="AI16" s="265"/>
      <c r="AJ16" s="265"/>
      <c r="AK16" s="265"/>
      <c r="AL16" s="265"/>
      <c r="AM16" s="265"/>
      <c r="AN16" s="265"/>
    </row>
    <row r="17" spans="1:40" ht="29.25" customHeight="1">
      <c r="A17" s="255" t="s">
        <v>761</v>
      </c>
      <c r="B17" s="270" t="s">
        <v>850</v>
      </c>
      <c r="C17" s="295" t="s">
        <v>851</v>
      </c>
      <c r="D17" s="266" t="s">
        <v>37</v>
      </c>
      <c r="E17" s="258"/>
      <c r="F17" s="258"/>
      <c r="G17" s="259">
        <v>45754</v>
      </c>
      <c r="H17" s="260">
        <v>45761</v>
      </c>
      <c r="I17" s="260"/>
      <c r="J17" s="260">
        <v>45761</v>
      </c>
      <c r="K17" s="261">
        <f ca="1">IF(ISBLANK(J17), NETWORKDAYS(H17, TODAY(),fESTIVOS!$A$1:$A$18), NETWORKDAYS(H17, J17, fESTIVOS!$A$1:$A$18))</f>
        <v>1</v>
      </c>
      <c r="L17" s="258"/>
      <c r="M17" s="259"/>
      <c r="N17" s="258"/>
      <c r="O17" s="262">
        <v>45761</v>
      </c>
      <c r="P17" s="263" t="s">
        <v>852</v>
      </c>
      <c r="Q17" s="264"/>
      <c r="R17" s="264"/>
      <c r="S17" s="264"/>
      <c r="T17" s="264"/>
      <c r="U17" s="264"/>
      <c r="V17" s="264"/>
      <c r="W17" s="264"/>
      <c r="X17" s="265"/>
      <c r="Y17" s="265"/>
      <c r="Z17" s="265"/>
      <c r="AA17" s="265"/>
      <c r="AB17" s="265"/>
      <c r="AC17" s="265"/>
      <c r="AD17" s="265"/>
      <c r="AE17" s="265"/>
      <c r="AF17" s="265"/>
      <c r="AG17" s="265"/>
      <c r="AH17" s="265"/>
      <c r="AI17" s="265"/>
      <c r="AJ17" s="265"/>
      <c r="AK17" s="265"/>
      <c r="AL17" s="265"/>
      <c r="AM17" s="265"/>
      <c r="AN17" s="265"/>
    </row>
    <row r="18" spans="1:40" ht="29.25" customHeight="1">
      <c r="A18" s="255" t="s">
        <v>761</v>
      </c>
      <c r="B18" s="270" t="s">
        <v>853</v>
      </c>
      <c r="C18" s="295" t="s">
        <v>854</v>
      </c>
      <c r="D18" s="266" t="s">
        <v>37</v>
      </c>
      <c r="E18" s="258"/>
      <c r="F18" s="258"/>
      <c r="G18" s="259">
        <v>45754</v>
      </c>
      <c r="H18" s="260">
        <v>45757</v>
      </c>
      <c r="I18" s="260"/>
      <c r="J18" s="260">
        <v>45761</v>
      </c>
      <c r="K18" s="261">
        <f ca="1">IF(ISBLANK(J18), NETWORKDAYS(H18, TODAY(),fESTIVOS!$A$1:$A$18), NETWORKDAYS(H18, J18, fESTIVOS!$A$1:$A$18))</f>
        <v>3</v>
      </c>
      <c r="L18" s="258"/>
      <c r="M18" s="259"/>
      <c r="N18" s="258"/>
      <c r="O18" s="262">
        <v>45761</v>
      </c>
      <c r="P18" s="263" t="s">
        <v>855</v>
      </c>
      <c r="Q18" s="264"/>
      <c r="R18" s="264"/>
      <c r="S18" s="264"/>
      <c r="T18" s="264"/>
      <c r="U18" s="264"/>
      <c r="V18" s="264"/>
      <c r="W18" s="264"/>
      <c r="X18" s="265"/>
      <c r="Y18" s="265"/>
      <c r="Z18" s="265"/>
      <c r="AA18" s="265"/>
      <c r="AB18" s="265"/>
      <c r="AC18" s="265"/>
      <c r="AD18" s="265"/>
      <c r="AE18" s="265"/>
      <c r="AF18" s="265"/>
      <c r="AG18" s="265"/>
      <c r="AH18" s="265"/>
      <c r="AI18" s="265"/>
      <c r="AJ18" s="265"/>
      <c r="AK18" s="265"/>
      <c r="AL18" s="265"/>
      <c r="AM18" s="265"/>
      <c r="AN18" s="265"/>
    </row>
    <row r="19" spans="1:40" ht="29.25" customHeight="1">
      <c r="A19" s="300" t="s">
        <v>761</v>
      </c>
      <c r="B19" s="270" t="s">
        <v>856</v>
      </c>
      <c r="C19" s="295" t="s">
        <v>857</v>
      </c>
      <c r="D19" s="266" t="s">
        <v>37</v>
      </c>
      <c r="E19" s="301"/>
      <c r="F19" s="301"/>
      <c r="G19" s="302">
        <v>45793</v>
      </c>
      <c r="H19" s="303">
        <v>45793</v>
      </c>
      <c r="I19" s="303">
        <v>45793</v>
      </c>
      <c r="J19" s="303">
        <v>45793</v>
      </c>
      <c r="K19" s="270">
        <v>1</v>
      </c>
      <c r="L19" s="258"/>
      <c r="M19" s="259"/>
      <c r="N19" s="258"/>
      <c r="O19" s="262"/>
      <c r="P19" s="267"/>
      <c r="Q19" s="268"/>
      <c r="R19" s="268"/>
      <c r="S19" s="268"/>
      <c r="T19" s="268"/>
      <c r="U19" s="268"/>
      <c r="V19" s="268"/>
      <c r="W19" s="268"/>
      <c r="X19" s="265"/>
      <c r="Y19" s="265"/>
      <c r="Z19" s="265"/>
      <c r="AA19" s="265"/>
      <c r="AB19" s="265"/>
      <c r="AC19" s="265"/>
      <c r="AD19" s="265"/>
      <c r="AE19" s="265"/>
      <c r="AF19" s="265"/>
      <c r="AG19" s="265"/>
      <c r="AH19" s="265"/>
      <c r="AI19" s="265"/>
      <c r="AJ19" s="265"/>
      <c r="AK19" s="265"/>
      <c r="AL19" s="265"/>
      <c r="AM19" s="265"/>
      <c r="AN19" s="265"/>
    </row>
    <row r="20" spans="1:40" ht="29.25" customHeight="1">
      <c r="A20" s="300" t="s">
        <v>858</v>
      </c>
      <c r="B20" s="304" t="s">
        <v>859</v>
      </c>
      <c r="C20" s="295" t="s">
        <v>860</v>
      </c>
      <c r="D20" s="305" t="s">
        <v>37</v>
      </c>
      <c r="E20" s="306"/>
      <c r="F20" s="306"/>
      <c r="G20" s="302">
        <v>45763</v>
      </c>
      <c r="H20" s="303">
        <v>45763</v>
      </c>
      <c r="I20" s="303">
        <v>45763</v>
      </c>
      <c r="J20" s="303">
        <v>45763</v>
      </c>
      <c r="K20" s="270">
        <v>1</v>
      </c>
      <c r="L20" s="258"/>
      <c r="M20" s="302">
        <v>45763</v>
      </c>
      <c r="N20" s="306"/>
      <c r="O20" s="307">
        <v>45763</v>
      </c>
      <c r="P20" s="268"/>
      <c r="Q20" s="268"/>
      <c r="R20" s="268"/>
      <c r="S20" s="268"/>
      <c r="T20" s="268"/>
      <c r="U20" s="268"/>
      <c r="V20" s="268"/>
      <c r="W20" s="268"/>
      <c r="X20" s="265"/>
      <c r="Y20" s="265"/>
      <c r="Z20" s="265"/>
      <c r="AA20" s="265"/>
      <c r="AB20" s="265"/>
      <c r="AC20" s="265"/>
      <c r="AD20" s="265"/>
      <c r="AE20" s="265"/>
      <c r="AF20" s="265"/>
      <c r="AG20" s="265"/>
      <c r="AH20" s="265"/>
      <c r="AI20" s="265"/>
      <c r="AJ20" s="265"/>
      <c r="AK20" s="265"/>
      <c r="AL20" s="265"/>
      <c r="AM20" s="265"/>
      <c r="AN20" s="265"/>
    </row>
    <row r="21" spans="1:40" ht="29.25" customHeight="1">
      <c r="A21" s="300" t="s">
        <v>858</v>
      </c>
      <c r="B21" s="304" t="s">
        <v>861</v>
      </c>
      <c r="C21" s="295" t="s">
        <v>860</v>
      </c>
      <c r="D21" s="305" t="s">
        <v>37</v>
      </c>
      <c r="E21" s="306"/>
      <c r="F21" s="306"/>
      <c r="G21" s="302">
        <v>45763</v>
      </c>
      <c r="H21" s="303">
        <v>45763</v>
      </c>
      <c r="I21" s="303">
        <v>45763</v>
      </c>
      <c r="J21" s="303">
        <v>45763</v>
      </c>
      <c r="K21" s="270">
        <v>1</v>
      </c>
      <c r="L21" s="258"/>
      <c r="M21" s="302">
        <v>45763</v>
      </c>
      <c r="N21" s="306"/>
      <c r="O21" s="307">
        <v>45763</v>
      </c>
      <c r="P21" s="268"/>
      <c r="Q21" s="268"/>
      <c r="R21" s="268"/>
      <c r="S21" s="268"/>
      <c r="T21" s="268"/>
      <c r="U21" s="268"/>
      <c r="V21" s="268"/>
      <c r="W21" s="268"/>
      <c r="X21" s="265"/>
      <c r="Y21" s="265"/>
      <c r="Z21" s="265"/>
      <c r="AA21" s="265"/>
      <c r="AB21" s="265"/>
      <c r="AC21" s="265"/>
      <c r="AD21" s="265"/>
      <c r="AE21" s="265"/>
      <c r="AF21" s="265"/>
      <c r="AG21" s="265"/>
      <c r="AH21" s="265"/>
      <c r="AI21" s="265"/>
      <c r="AJ21" s="265"/>
      <c r="AK21" s="265"/>
      <c r="AL21" s="265"/>
      <c r="AM21" s="265"/>
      <c r="AN21" s="265"/>
    </row>
    <row r="22" spans="1:40" ht="29.25" customHeight="1">
      <c r="A22" s="300" t="s">
        <v>858</v>
      </c>
      <c r="B22" s="304" t="s">
        <v>862</v>
      </c>
      <c r="C22" s="295" t="s">
        <v>860</v>
      </c>
      <c r="D22" s="305" t="s">
        <v>37</v>
      </c>
      <c r="E22" s="306"/>
      <c r="F22" s="306"/>
      <c r="G22" s="302">
        <v>45763</v>
      </c>
      <c r="H22" s="303">
        <v>45763</v>
      </c>
      <c r="I22" s="303">
        <v>45763</v>
      </c>
      <c r="J22" s="303">
        <v>45763</v>
      </c>
      <c r="K22" s="270">
        <v>1</v>
      </c>
      <c r="L22" s="258"/>
      <c r="M22" s="302">
        <v>45763</v>
      </c>
      <c r="N22" s="306"/>
      <c r="O22" s="307">
        <v>45763</v>
      </c>
      <c r="P22" s="268"/>
      <c r="Q22" s="268"/>
      <c r="R22" s="268"/>
      <c r="S22" s="268"/>
      <c r="T22" s="268"/>
      <c r="U22" s="268"/>
      <c r="V22" s="268"/>
      <c r="W22" s="268"/>
      <c r="X22" s="265"/>
      <c r="Y22" s="265"/>
      <c r="Z22" s="265"/>
      <c r="AA22" s="265"/>
      <c r="AB22" s="265"/>
      <c r="AC22" s="265"/>
      <c r="AD22" s="265"/>
      <c r="AE22" s="265"/>
      <c r="AF22" s="265"/>
      <c r="AG22" s="265"/>
      <c r="AH22" s="265"/>
      <c r="AI22" s="265"/>
      <c r="AJ22" s="265"/>
      <c r="AK22" s="265"/>
      <c r="AL22" s="265"/>
      <c r="AM22" s="265"/>
      <c r="AN22" s="265"/>
    </row>
    <row r="23" spans="1:40" ht="29.25" customHeight="1">
      <c r="A23" s="300" t="s">
        <v>858</v>
      </c>
      <c r="B23" s="304" t="s">
        <v>863</v>
      </c>
      <c r="C23" s="295" t="s">
        <v>860</v>
      </c>
      <c r="D23" s="305" t="s">
        <v>37</v>
      </c>
      <c r="E23" s="306"/>
      <c r="F23" s="306"/>
      <c r="G23" s="302">
        <v>45763</v>
      </c>
      <c r="H23" s="303">
        <v>45763</v>
      </c>
      <c r="I23" s="303">
        <v>45763</v>
      </c>
      <c r="J23" s="303">
        <v>45763</v>
      </c>
      <c r="K23" s="270">
        <v>1</v>
      </c>
      <c r="L23" s="258"/>
      <c r="M23" s="302">
        <v>45763</v>
      </c>
      <c r="N23" s="306"/>
      <c r="O23" s="307">
        <v>45763</v>
      </c>
      <c r="P23" s="268"/>
      <c r="Q23" s="268"/>
      <c r="R23" s="268"/>
      <c r="S23" s="268"/>
      <c r="T23" s="268"/>
      <c r="U23" s="268"/>
      <c r="V23" s="268"/>
      <c r="W23" s="268"/>
      <c r="X23" s="265"/>
      <c r="Y23" s="265"/>
      <c r="Z23" s="265"/>
      <c r="AA23" s="265"/>
      <c r="AB23" s="265"/>
      <c r="AC23" s="265"/>
      <c r="AD23" s="265"/>
      <c r="AE23" s="265"/>
      <c r="AF23" s="265"/>
      <c r="AG23" s="265"/>
      <c r="AH23" s="265"/>
      <c r="AI23" s="265"/>
      <c r="AJ23" s="265"/>
      <c r="AK23" s="265"/>
      <c r="AL23" s="265"/>
      <c r="AM23" s="265"/>
      <c r="AN23" s="265"/>
    </row>
    <row r="24" spans="1:40" ht="29.25" customHeight="1">
      <c r="A24" s="300" t="s">
        <v>858</v>
      </c>
      <c r="B24" s="304" t="s">
        <v>864</v>
      </c>
      <c r="C24" s="295" t="s">
        <v>860</v>
      </c>
      <c r="D24" s="305" t="s">
        <v>37</v>
      </c>
      <c r="E24" s="306"/>
      <c r="F24" s="306"/>
      <c r="G24" s="302">
        <v>45763</v>
      </c>
      <c r="H24" s="303">
        <v>45763</v>
      </c>
      <c r="I24" s="303">
        <v>45763</v>
      </c>
      <c r="J24" s="303">
        <v>45763</v>
      </c>
      <c r="K24" s="270">
        <v>1</v>
      </c>
      <c r="L24" s="258"/>
      <c r="M24" s="302">
        <v>45763</v>
      </c>
      <c r="N24" s="306"/>
      <c r="O24" s="307">
        <v>45763</v>
      </c>
      <c r="P24" s="268"/>
      <c r="Q24" s="268"/>
      <c r="R24" s="268"/>
      <c r="S24" s="268"/>
      <c r="T24" s="268"/>
      <c r="U24" s="268"/>
      <c r="V24" s="268"/>
      <c r="W24" s="268"/>
      <c r="X24" s="265"/>
      <c r="Y24" s="265"/>
      <c r="Z24" s="265"/>
      <c r="AA24" s="265"/>
      <c r="AB24" s="265"/>
      <c r="AC24" s="265"/>
      <c r="AD24" s="265"/>
      <c r="AE24" s="265"/>
      <c r="AF24" s="265"/>
      <c r="AG24" s="265"/>
      <c r="AH24" s="265"/>
      <c r="AI24" s="265"/>
      <c r="AJ24" s="265"/>
      <c r="AK24" s="265"/>
      <c r="AL24" s="265"/>
      <c r="AM24" s="265"/>
      <c r="AN24" s="265"/>
    </row>
    <row r="25" spans="1:40" ht="29.25" customHeight="1">
      <c r="A25" s="300" t="s">
        <v>858</v>
      </c>
      <c r="B25" s="304" t="s">
        <v>865</v>
      </c>
      <c r="C25" s="295" t="s">
        <v>860</v>
      </c>
      <c r="D25" s="305" t="s">
        <v>37</v>
      </c>
      <c r="E25" s="306"/>
      <c r="F25" s="306"/>
      <c r="G25" s="302">
        <v>45763</v>
      </c>
      <c r="H25" s="303">
        <v>45763</v>
      </c>
      <c r="I25" s="303">
        <v>45763</v>
      </c>
      <c r="J25" s="303">
        <v>45763</v>
      </c>
      <c r="K25" s="270">
        <v>1</v>
      </c>
      <c r="L25" s="258"/>
      <c r="M25" s="302">
        <v>45763</v>
      </c>
      <c r="N25" s="306"/>
      <c r="O25" s="307">
        <v>45763</v>
      </c>
      <c r="P25" s="268"/>
      <c r="Q25" s="268"/>
      <c r="R25" s="268"/>
      <c r="S25" s="268"/>
      <c r="T25" s="268"/>
      <c r="U25" s="268"/>
      <c r="V25" s="268"/>
      <c r="W25" s="268"/>
      <c r="X25" s="265"/>
      <c r="Y25" s="265"/>
      <c r="Z25" s="265"/>
      <c r="AA25" s="265"/>
      <c r="AB25" s="265"/>
      <c r="AC25" s="265"/>
      <c r="AD25" s="265"/>
      <c r="AE25" s="265"/>
      <c r="AF25" s="265"/>
      <c r="AG25" s="265"/>
      <c r="AH25" s="265"/>
      <c r="AI25" s="265"/>
      <c r="AJ25" s="265"/>
      <c r="AK25" s="265"/>
      <c r="AL25" s="265"/>
      <c r="AM25" s="265"/>
      <c r="AN25" s="265"/>
    </row>
    <row r="26" spans="1:40" ht="29.25" customHeight="1">
      <c r="A26" s="300" t="s">
        <v>858</v>
      </c>
      <c r="B26" s="304" t="s">
        <v>866</v>
      </c>
      <c r="C26" s="295" t="s">
        <v>860</v>
      </c>
      <c r="D26" s="305" t="s">
        <v>37</v>
      </c>
      <c r="E26" s="306"/>
      <c r="F26" s="306"/>
      <c r="G26" s="302">
        <v>45763</v>
      </c>
      <c r="H26" s="303">
        <v>45763</v>
      </c>
      <c r="I26" s="303">
        <v>45763</v>
      </c>
      <c r="J26" s="303">
        <v>45763</v>
      </c>
      <c r="K26" s="270">
        <v>1</v>
      </c>
      <c r="L26" s="258"/>
      <c r="M26" s="302">
        <v>45763</v>
      </c>
      <c r="N26" s="306"/>
      <c r="O26" s="307">
        <v>45763</v>
      </c>
      <c r="P26" s="268"/>
      <c r="Q26" s="268"/>
      <c r="R26" s="268"/>
      <c r="S26" s="268"/>
      <c r="T26" s="268"/>
      <c r="U26" s="268"/>
      <c r="V26" s="268"/>
      <c r="W26" s="268"/>
      <c r="X26" s="265"/>
      <c r="Y26" s="265"/>
      <c r="Z26" s="265"/>
      <c r="AA26" s="265"/>
      <c r="AB26" s="265"/>
      <c r="AC26" s="265"/>
      <c r="AD26" s="265"/>
      <c r="AE26" s="265"/>
      <c r="AF26" s="265"/>
      <c r="AG26" s="265"/>
      <c r="AH26" s="265"/>
      <c r="AI26" s="265"/>
      <c r="AJ26" s="265"/>
      <c r="AK26" s="265"/>
      <c r="AL26" s="265"/>
      <c r="AM26" s="265"/>
      <c r="AN26" s="265"/>
    </row>
    <row r="27" spans="1:40" ht="29.25" customHeight="1">
      <c r="A27" s="300" t="s">
        <v>858</v>
      </c>
      <c r="B27" s="304" t="s">
        <v>867</v>
      </c>
      <c r="C27" s="295" t="s">
        <v>860</v>
      </c>
      <c r="D27" s="305" t="s">
        <v>37</v>
      </c>
      <c r="E27" s="306"/>
      <c r="F27" s="306"/>
      <c r="G27" s="302">
        <v>45763</v>
      </c>
      <c r="H27" s="303">
        <v>45763</v>
      </c>
      <c r="I27" s="303">
        <v>45763</v>
      </c>
      <c r="J27" s="303">
        <v>45763</v>
      </c>
      <c r="K27" s="270">
        <v>1</v>
      </c>
      <c r="L27" s="258"/>
      <c r="M27" s="302">
        <v>45763</v>
      </c>
      <c r="N27" s="306"/>
      <c r="O27" s="307">
        <v>45763</v>
      </c>
      <c r="P27" s="268"/>
      <c r="Q27" s="268"/>
      <c r="R27" s="268"/>
      <c r="S27" s="268"/>
      <c r="T27" s="268"/>
      <c r="U27" s="268"/>
      <c r="V27" s="268"/>
      <c r="W27" s="268"/>
      <c r="X27" s="265"/>
      <c r="Y27" s="265"/>
      <c r="Z27" s="265"/>
      <c r="AA27" s="265"/>
      <c r="AB27" s="265"/>
      <c r="AC27" s="265"/>
      <c r="AD27" s="265"/>
      <c r="AE27" s="265"/>
      <c r="AF27" s="265"/>
      <c r="AG27" s="265"/>
      <c r="AH27" s="265"/>
      <c r="AI27" s="265"/>
      <c r="AJ27" s="265"/>
      <c r="AK27" s="265"/>
      <c r="AL27" s="265"/>
      <c r="AM27" s="265"/>
      <c r="AN27" s="265"/>
    </row>
    <row r="28" spans="1:40" ht="29.25" customHeight="1">
      <c r="A28" s="300" t="s">
        <v>858</v>
      </c>
      <c r="B28" s="304" t="s">
        <v>856</v>
      </c>
      <c r="C28" s="295" t="s">
        <v>860</v>
      </c>
      <c r="D28" s="305" t="s">
        <v>37</v>
      </c>
      <c r="E28" s="306"/>
      <c r="F28" s="306"/>
      <c r="G28" s="302">
        <v>45763</v>
      </c>
      <c r="H28" s="303">
        <v>45763</v>
      </c>
      <c r="I28" s="303">
        <v>45763</v>
      </c>
      <c r="J28" s="303">
        <v>45763</v>
      </c>
      <c r="K28" s="270">
        <v>1</v>
      </c>
      <c r="L28" s="258"/>
      <c r="M28" s="302">
        <v>45763</v>
      </c>
      <c r="N28" s="306"/>
      <c r="O28" s="307">
        <v>45763</v>
      </c>
      <c r="P28" s="268"/>
      <c r="Q28" s="268"/>
      <c r="R28" s="268"/>
      <c r="S28" s="268"/>
      <c r="T28" s="268"/>
      <c r="U28" s="268"/>
      <c r="V28" s="268"/>
      <c r="W28" s="268"/>
      <c r="X28" s="265"/>
      <c r="Y28" s="265"/>
      <c r="Z28" s="265"/>
      <c r="AA28" s="265"/>
      <c r="AB28" s="265"/>
      <c r="AC28" s="265"/>
      <c r="AD28" s="265"/>
      <c r="AE28" s="265"/>
      <c r="AF28" s="265"/>
      <c r="AG28" s="265"/>
      <c r="AH28" s="265"/>
      <c r="AI28" s="265"/>
      <c r="AJ28" s="265"/>
      <c r="AK28" s="265"/>
      <c r="AL28" s="265"/>
      <c r="AM28" s="265"/>
      <c r="AN28" s="265"/>
    </row>
    <row r="29" spans="1:40" ht="29.25" customHeight="1">
      <c r="A29" s="300" t="s">
        <v>858</v>
      </c>
      <c r="B29" s="304" t="s">
        <v>868</v>
      </c>
      <c r="C29" s="295" t="s">
        <v>869</v>
      </c>
      <c r="D29" s="305" t="s">
        <v>37</v>
      </c>
      <c r="E29" s="306"/>
      <c r="F29" s="306"/>
      <c r="G29" s="302">
        <v>45770</v>
      </c>
      <c r="H29" s="303">
        <v>45771</v>
      </c>
      <c r="I29" s="303">
        <v>45772</v>
      </c>
      <c r="J29" s="303"/>
      <c r="K29" s="270"/>
      <c r="L29" s="258"/>
      <c r="M29" s="302"/>
      <c r="N29" s="308"/>
      <c r="O29" s="309"/>
      <c r="P29" s="268"/>
      <c r="Q29" s="310" t="s">
        <v>870</v>
      </c>
      <c r="R29" s="311"/>
      <c r="S29" s="311"/>
      <c r="T29" s="311"/>
      <c r="U29" s="311"/>
      <c r="V29" s="311"/>
      <c r="W29" s="311"/>
      <c r="X29" s="265"/>
      <c r="Y29" s="265"/>
      <c r="Z29" s="265"/>
      <c r="AA29" s="265"/>
      <c r="AB29" s="265"/>
      <c r="AC29" s="265"/>
      <c r="AD29" s="265"/>
      <c r="AE29" s="265"/>
      <c r="AF29" s="265"/>
      <c r="AG29" s="265"/>
      <c r="AH29" s="265"/>
      <c r="AI29" s="265"/>
      <c r="AJ29" s="265"/>
      <c r="AK29" s="265"/>
      <c r="AL29" s="265"/>
      <c r="AM29" s="265"/>
      <c r="AN29" s="265"/>
    </row>
    <row r="30" spans="1:40" ht="29.25" customHeight="1">
      <c r="A30" s="300" t="s">
        <v>858</v>
      </c>
      <c r="B30" s="312" t="s">
        <v>871</v>
      </c>
      <c r="C30" s="295" t="s">
        <v>872</v>
      </c>
      <c r="D30" s="305" t="s">
        <v>37</v>
      </c>
      <c r="E30" s="306"/>
      <c r="F30" s="270">
        <v>1</v>
      </c>
      <c r="G30" s="302">
        <v>45775</v>
      </c>
      <c r="H30" s="303">
        <v>45775</v>
      </c>
      <c r="I30" s="303">
        <v>45775</v>
      </c>
      <c r="J30" s="303">
        <v>45775</v>
      </c>
      <c r="K30" s="270"/>
      <c r="L30" s="258"/>
      <c r="M30" s="302"/>
      <c r="N30" s="308"/>
      <c r="O30" s="309"/>
      <c r="P30" s="268"/>
      <c r="Q30" s="310" t="s">
        <v>873</v>
      </c>
      <c r="R30" s="311"/>
      <c r="S30" s="311"/>
      <c r="T30" s="311"/>
      <c r="U30" s="311"/>
      <c r="V30" s="311"/>
      <c r="W30" s="311"/>
      <c r="X30" s="265"/>
      <c r="Y30" s="265"/>
      <c r="Z30" s="265"/>
      <c r="AA30" s="265"/>
      <c r="AB30" s="265"/>
      <c r="AC30" s="265"/>
      <c r="AD30" s="265"/>
      <c r="AE30" s="265"/>
      <c r="AF30" s="265"/>
      <c r="AG30" s="265"/>
      <c r="AH30" s="265"/>
      <c r="AI30" s="265"/>
      <c r="AJ30" s="265"/>
      <c r="AK30" s="265"/>
      <c r="AL30" s="265"/>
      <c r="AM30" s="265"/>
      <c r="AN30" s="265"/>
    </row>
    <row r="31" spans="1:40" ht="29.25" customHeight="1">
      <c r="A31" s="300" t="s">
        <v>858</v>
      </c>
      <c r="B31" s="312" t="s">
        <v>868</v>
      </c>
      <c r="C31" s="295" t="s">
        <v>874</v>
      </c>
      <c r="D31" s="305" t="s">
        <v>37</v>
      </c>
      <c r="E31" s="270">
        <v>100</v>
      </c>
      <c r="F31" s="306"/>
      <c r="G31" s="302">
        <v>45770</v>
      </c>
      <c r="H31" s="303">
        <v>45770</v>
      </c>
      <c r="I31" s="303">
        <v>45770</v>
      </c>
      <c r="J31" s="303">
        <v>45770</v>
      </c>
      <c r="K31" s="270">
        <v>1</v>
      </c>
      <c r="L31" s="258"/>
      <c r="M31" s="302"/>
      <c r="N31" s="308"/>
      <c r="O31" s="309"/>
      <c r="P31" s="268"/>
      <c r="Q31" s="268"/>
      <c r="R31" s="268"/>
      <c r="S31" s="268"/>
      <c r="T31" s="268"/>
      <c r="U31" s="268"/>
      <c r="V31" s="268"/>
      <c r="W31" s="268"/>
      <c r="X31" s="265"/>
      <c r="Y31" s="265"/>
      <c r="Z31" s="265"/>
      <c r="AA31" s="265"/>
      <c r="AB31" s="265"/>
      <c r="AC31" s="265"/>
      <c r="AD31" s="265"/>
      <c r="AE31" s="265"/>
      <c r="AF31" s="265"/>
      <c r="AG31" s="265"/>
      <c r="AH31" s="265"/>
      <c r="AI31" s="265"/>
      <c r="AJ31" s="265"/>
      <c r="AK31" s="265"/>
      <c r="AL31" s="265"/>
      <c r="AM31" s="265"/>
      <c r="AN31" s="265"/>
    </row>
    <row r="32" spans="1:40" ht="29.25" customHeight="1">
      <c r="A32" s="300" t="s">
        <v>858</v>
      </c>
      <c r="B32" s="312" t="s">
        <v>868</v>
      </c>
      <c r="C32" s="295" t="s">
        <v>875</v>
      </c>
      <c r="D32" s="305" t="s">
        <v>37</v>
      </c>
      <c r="E32" s="270">
        <v>100</v>
      </c>
      <c r="F32" s="306"/>
      <c r="G32" s="302">
        <v>45770</v>
      </c>
      <c r="H32" s="303">
        <v>45770</v>
      </c>
      <c r="I32" s="303">
        <v>45770</v>
      </c>
      <c r="J32" s="303">
        <v>45770</v>
      </c>
      <c r="K32" s="270">
        <v>1</v>
      </c>
      <c r="L32" s="258"/>
      <c r="M32" s="302"/>
      <c r="N32" s="308"/>
      <c r="O32" s="309"/>
      <c r="P32" s="268"/>
      <c r="Q32" s="268"/>
      <c r="R32" s="268"/>
      <c r="S32" s="268"/>
      <c r="T32" s="268"/>
      <c r="U32" s="268"/>
      <c r="V32" s="268"/>
      <c r="W32" s="268"/>
      <c r="X32" s="265"/>
      <c r="Y32" s="265"/>
      <c r="Z32" s="265"/>
      <c r="AA32" s="265"/>
      <c r="AB32" s="265"/>
      <c r="AC32" s="265"/>
      <c r="AD32" s="265"/>
      <c r="AE32" s="265"/>
      <c r="AF32" s="265"/>
      <c r="AG32" s="265"/>
      <c r="AH32" s="265"/>
      <c r="AI32" s="265"/>
      <c r="AJ32" s="265"/>
      <c r="AK32" s="265"/>
      <c r="AL32" s="265"/>
      <c r="AM32" s="265"/>
      <c r="AN32" s="265"/>
    </row>
    <row r="33" spans="1:40" ht="29.25" customHeight="1">
      <c r="A33" s="313" t="s">
        <v>876</v>
      </c>
      <c r="B33" s="312" t="s">
        <v>877</v>
      </c>
      <c r="C33" s="295" t="s">
        <v>878</v>
      </c>
      <c r="D33" s="305" t="s">
        <v>37</v>
      </c>
      <c r="E33" s="270">
        <v>90</v>
      </c>
      <c r="F33" s="270">
        <v>2</v>
      </c>
      <c r="G33" s="302">
        <v>45773</v>
      </c>
      <c r="H33" s="303">
        <v>45776</v>
      </c>
      <c r="I33" s="303">
        <v>45783</v>
      </c>
      <c r="J33" s="303">
        <v>45785</v>
      </c>
      <c r="K33" s="270"/>
      <c r="L33" s="258"/>
      <c r="M33" s="302"/>
      <c r="N33" s="308"/>
      <c r="O33" s="309"/>
      <c r="P33" s="268"/>
      <c r="Q33" s="268"/>
      <c r="R33" s="268"/>
      <c r="S33" s="268"/>
      <c r="T33" s="268"/>
      <c r="U33" s="268"/>
      <c r="V33" s="310" t="s">
        <v>879</v>
      </c>
      <c r="W33" s="311"/>
      <c r="X33" s="265"/>
      <c r="Y33" s="265"/>
      <c r="Z33" s="265"/>
      <c r="AA33" s="265"/>
      <c r="AB33" s="265"/>
      <c r="AC33" s="265"/>
      <c r="AD33" s="265"/>
      <c r="AE33" s="265"/>
      <c r="AF33" s="265"/>
      <c r="AG33" s="265"/>
      <c r="AH33" s="265"/>
      <c r="AI33" s="265"/>
      <c r="AJ33" s="265"/>
      <c r="AK33" s="265"/>
      <c r="AL33" s="265"/>
      <c r="AM33" s="265"/>
      <c r="AN33" s="265"/>
    </row>
    <row r="34" spans="1:40" ht="29.25" customHeight="1">
      <c r="A34" s="255" t="s">
        <v>761</v>
      </c>
      <c r="B34" s="312" t="s">
        <v>877</v>
      </c>
      <c r="C34" s="295" t="s">
        <v>880</v>
      </c>
      <c r="D34" s="305" t="s">
        <v>37</v>
      </c>
      <c r="E34" s="306"/>
      <c r="F34" s="306"/>
      <c r="G34" s="302">
        <v>45779</v>
      </c>
      <c r="H34" s="303">
        <v>45779</v>
      </c>
      <c r="I34" s="303">
        <v>45782</v>
      </c>
      <c r="J34" s="303">
        <v>45782</v>
      </c>
      <c r="K34" s="270"/>
      <c r="L34" s="258"/>
      <c r="M34" s="302"/>
      <c r="N34" s="308"/>
      <c r="O34" s="309"/>
      <c r="P34" s="268"/>
      <c r="Q34" s="268"/>
      <c r="R34" s="268"/>
      <c r="S34" s="310" t="s">
        <v>881</v>
      </c>
      <c r="T34" s="310" t="s">
        <v>882</v>
      </c>
      <c r="U34" s="311"/>
      <c r="V34" s="311"/>
      <c r="W34" s="311"/>
      <c r="X34" s="265"/>
      <c r="Y34" s="265"/>
      <c r="Z34" s="265"/>
      <c r="AA34" s="265"/>
      <c r="AB34" s="265"/>
      <c r="AC34" s="265"/>
      <c r="AD34" s="265"/>
      <c r="AE34" s="265"/>
      <c r="AF34" s="265"/>
      <c r="AG34" s="265"/>
      <c r="AH34" s="265"/>
      <c r="AI34" s="265"/>
      <c r="AJ34" s="265"/>
      <c r="AK34" s="265"/>
      <c r="AL34" s="265"/>
      <c r="AM34" s="265"/>
      <c r="AN34" s="265"/>
    </row>
    <row r="35" spans="1:40" ht="29.25" customHeight="1">
      <c r="A35" s="314" t="s">
        <v>883</v>
      </c>
      <c r="B35" s="315"/>
      <c r="C35" s="257" t="s">
        <v>884</v>
      </c>
      <c r="D35" s="51" t="s">
        <v>37</v>
      </c>
      <c r="E35" s="258"/>
      <c r="F35" s="258"/>
      <c r="G35" s="259">
        <v>45714</v>
      </c>
      <c r="H35" s="303">
        <v>45784</v>
      </c>
      <c r="I35" s="260"/>
      <c r="J35" s="303">
        <v>45785</v>
      </c>
      <c r="K35" s="316"/>
      <c r="L35" s="258"/>
      <c r="M35" s="259"/>
      <c r="N35" s="258"/>
      <c r="O35" s="262"/>
      <c r="P35" s="263" t="s">
        <v>885</v>
      </c>
      <c r="Q35" s="264"/>
      <c r="R35" s="264"/>
      <c r="S35" s="264"/>
      <c r="T35" s="264"/>
      <c r="U35" s="264"/>
      <c r="V35" s="264"/>
      <c r="W35" s="264"/>
      <c r="X35" s="265"/>
      <c r="Y35" s="265"/>
      <c r="Z35" s="265"/>
      <c r="AA35" s="265"/>
      <c r="AB35" s="265"/>
      <c r="AC35" s="265"/>
      <c r="AD35" s="265"/>
      <c r="AE35" s="265"/>
      <c r="AF35" s="265"/>
      <c r="AG35" s="265"/>
      <c r="AH35" s="265"/>
      <c r="AI35" s="265"/>
      <c r="AJ35" s="265"/>
      <c r="AK35" s="265"/>
      <c r="AL35" s="265"/>
      <c r="AM35" s="265"/>
      <c r="AN35" s="265"/>
    </row>
    <row r="36" spans="1:40" ht="29.25" customHeight="1">
      <c r="A36" s="313" t="s">
        <v>776</v>
      </c>
      <c r="B36" s="312" t="s">
        <v>877</v>
      </c>
      <c r="C36" s="295" t="s">
        <v>886</v>
      </c>
      <c r="D36" s="305" t="s">
        <v>37</v>
      </c>
      <c r="E36" s="270">
        <v>80</v>
      </c>
      <c r="F36" s="270">
        <v>15</v>
      </c>
      <c r="G36" s="302">
        <v>45778</v>
      </c>
      <c r="H36" s="303">
        <v>45778</v>
      </c>
      <c r="I36" s="303"/>
      <c r="J36" s="303">
        <v>45793</v>
      </c>
      <c r="K36" s="261">
        <f ca="1">IF(ISBLANK(J36), NETWORKDAYS(H36, TODAY(),fESTIVOS!$A$1:$A$18), NETWORKDAYS(H36, J36, fESTIVOS!$A$1:$A$18))</f>
        <v>12</v>
      </c>
      <c r="L36" s="258"/>
      <c r="M36" s="302"/>
      <c r="N36" s="317"/>
      <c r="O36" s="309"/>
      <c r="P36" s="268"/>
      <c r="Q36" s="268"/>
      <c r="R36" s="268"/>
      <c r="S36" s="268"/>
      <c r="T36" s="268"/>
      <c r="U36" s="268"/>
      <c r="V36" s="310" t="s">
        <v>887</v>
      </c>
      <c r="W36" s="310" t="s">
        <v>888</v>
      </c>
      <c r="X36" s="273" t="s">
        <v>889</v>
      </c>
      <c r="Y36" s="274"/>
      <c r="Z36" s="273" t="s">
        <v>890</v>
      </c>
      <c r="AA36" s="274"/>
      <c r="AB36" s="274"/>
      <c r="AC36" s="273" t="s">
        <v>891</v>
      </c>
      <c r="AD36" s="274"/>
      <c r="AE36" s="274"/>
      <c r="AF36" s="274"/>
      <c r="AG36" s="274"/>
      <c r="AH36" s="274"/>
      <c r="AI36" s="274"/>
      <c r="AJ36" s="274"/>
      <c r="AK36" s="274"/>
      <c r="AL36" s="274"/>
      <c r="AM36" s="274"/>
      <c r="AN36" s="274"/>
    </row>
    <row r="37" spans="1:40" ht="29.25" customHeight="1">
      <c r="A37" s="313" t="s">
        <v>776</v>
      </c>
      <c r="B37" s="312" t="s">
        <v>877</v>
      </c>
      <c r="C37" s="295" t="s">
        <v>892</v>
      </c>
      <c r="D37" s="305" t="s">
        <v>37</v>
      </c>
      <c r="E37" s="306"/>
      <c r="F37" s="270">
        <v>1</v>
      </c>
      <c r="G37" s="302">
        <v>45785</v>
      </c>
      <c r="H37" s="303">
        <v>45785</v>
      </c>
      <c r="I37" s="303">
        <v>45786</v>
      </c>
      <c r="J37" s="303">
        <v>45786</v>
      </c>
      <c r="K37" s="261">
        <f ca="1">IF(ISBLANK(J37), NETWORKDAYS(H37, TODAY(),fESTIVOS!$A$1:$A$18), NETWORKDAYS(H37, J37, fESTIVOS!$A$1:$A$18))</f>
        <v>2</v>
      </c>
      <c r="L37" s="258"/>
      <c r="M37" s="302"/>
      <c r="N37" s="317"/>
      <c r="O37" s="307">
        <v>45786</v>
      </c>
      <c r="P37" s="268"/>
      <c r="Q37" s="268"/>
      <c r="R37" s="268"/>
      <c r="S37" s="268"/>
      <c r="T37" s="268"/>
      <c r="U37" s="268"/>
      <c r="V37" s="310" t="s">
        <v>893</v>
      </c>
      <c r="W37" s="310" t="s">
        <v>894</v>
      </c>
      <c r="X37" s="311"/>
      <c r="Y37" s="311"/>
      <c r="Z37" s="311"/>
      <c r="AA37" s="311"/>
      <c r="AB37" s="311"/>
      <c r="AC37" s="311"/>
      <c r="AD37" s="311"/>
      <c r="AE37" s="311"/>
      <c r="AF37" s="311"/>
      <c r="AG37" s="311"/>
      <c r="AH37" s="311"/>
      <c r="AI37" s="311"/>
      <c r="AJ37" s="311"/>
      <c r="AK37" s="311"/>
      <c r="AL37" s="311"/>
      <c r="AM37" s="311"/>
      <c r="AN37" s="311"/>
    </row>
    <row r="38" spans="1:40" ht="29.25" customHeight="1">
      <c r="A38" s="313" t="s">
        <v>776</v>
      </c>
      <c r="B38" s="312" t="s">
        <v>877</v>
      </c>
      <c r="C38" s="318" t="s">
        <v>895</v>
      </c>
      <c r="D38" s="319" t="s">
        <v>37</v>
      </c>
      <c r="E38" s="308"/>
      <c r="F38" s="308"/>
      <c r="G38" s="302">
        <v>45791</v>
      </c>
      <c r="H38" s="303">
        <v>45791</v>
      </c>
      <c r="I38" s="303"/>
      <c r="J38" s="303">
        <v>45791</v>
      </c>
      <c r="K38" s="261">
        <f ca="1">IF(ISBLANK(J38), NETWORKDAYS(H38, TODAY(),fESTIVOS!$A$1:$A$18), NETWORKDAYS(H38, J38, fESTIVOS!$A$1:$A$18))</f>
        <v>1</v>
      </c>
      <c r="L38" s="320"/>
      <c r="M38" s="321"/>
      <c r="N38" s="322"/>
      <c r="O38" s="323"/>
      <c r="P38" s="268"/>
      <c r="Q38" s="268"/>
      <c r="R38" s="271"/>
      <c r="S38" s="271"/>
      <c r="T38" s="271"/>
      <c r="U38" s="271"/>
      <c r="V38" s="271"/>
      <c r="W38" s="271"/>
      <c r="X38" s="310" t="s">
        <v>896</v>
      </c>
      <c r="Y38" s="271"/>
      <c r="Z38" s="310" t="s">
        <v>897</v>
      </c>
      <c r="AA38" s="324"/>
      <c r="AB38" s="324"/>
      <c r="AC38" s="324"/>
      <c r="AD38" s="324"/>
      <c r="AE38" s="324"/>
      <c r="AF38" s="324"/>
      <c r="AG38" s="324"/>
      <c r="AH38" s="324"/>
      <c r="AI38" s="324"/>
      <c r="AJ38" s="324"/>
      <c r="AK38" s="324"/>
      <c r="AL38" s="324"/>
      <c r="AM38" s="324"/>
      <c r="AN38" s="324"/>
    </row>
    <row r="39" spans="1:40" ht="29.25" customHeight="1">
      <c r="A39" s="255" t="s">
        <v>786</v>
      </c>
      <c r="B39" s="325" t="s">
        <v>898</v>
      </c>
      <c r="C39" s="269" t="s">
        <v>52</v>
      </c>
      <c r="D39" s="305" t="s">
        <v>37</v>
      </c>
      <c r="E39" s="258"/>
      <c r="F39" s="270">
        <v>1</v>
      </c>
      <c r="G39" s="302">
        <v>45779</v>
      </c>
      <c r="H39" s="303">
        <v>45779</v>
      </c>
      <c r="I39" s="303">
        <v>45779</v>
      </c>
      <c r="J39" s="303">
        <v>45779</v>
      </c>
      <c r="K39" s="326">
        <f ca="1">IF(ISBLANK(J39), NETWORKDAYS(H39, TODAY(),fESTIVOS!$A$1:$A$18), NETWORKDAYS(H39, J39, fESTIVOS!$A$1:$A$18))</f>
        <v>1</v>
      </c>
      <c r="L39" s="258"/>
      <c r="M39" s="302">
        <v>45782</v>
      </c>
      <c r="N39" s="327"/>
      <c r="O39" s="307">
        <v>45789</v>
      </c>
      <c r="P39" s="263"/>
      <c r="Q39" s="264"/>
      <c r="R39" s="264"/>
      <c r="S39" s="273" t="s">
        <v>43</v>
      </c>
      <c r="T39" s="274"/>
      <c r="U39" s="274"/>
      <c r="V39" s="274"/>
      <c r="W39" s="273" t="s">
        <v>899</v>
      </c>
      <c r="X39" s="273" t="s">
        <v>900</v>
      </c>
      <c r="Y39" s="274"/>
      <c r="Z39" s="274"/>
      <c r="AA39" s="274"/>
      <c r="AB39" s="274"/>
      <c r="AC39" s="274"/>
      <c r="AD39" s="274"/>
      <c r="AE39" s="274"/>
      <c r="AF39" s="274"/>
      <c r="AG39" s="274"/>
      <c r="AH39" s="274"/>
      <c r="AI39" s="274"/>
      <c r="AJ39" s="274"/>
      <c r="AK39" s="274"/>
      <c r="AL39" s="274"/>
      <c r="AM39" s="274"/>
      <c r="AN39" s="274"/>
    </row>
    <row r="40" spans="1:40" ht="29.25" customHeight="1">
      <c r="A40" s="328" t="s">
        <v>858</v>
      </c>
      <c r="B40" s="312" t="s">
        <v>901</v>
      </c>
      <c r="C40" s="295" t="s">
        <v>902</v>
      </c>
      <c r="D40" s="305" t="s">
        <v>37</v>
      </c>
      <c r="E40" s="306"/>
      <c r="F40" s="306"/>
      <c r="G40" s="302">
        <v>45789</v>
      </c>
      <c r="H40" s="303">
        <v>45789</v>
      </c>
      <c r="I40" s="303"/>
      <c r="J40" s="303">
        <v>45790</v>
      </c>
      <c r="K40" s="261">
        <f ca="1">IF(ISBLANK(J40), NETWORKDAYS(H40, TODAY(),fESTIVOS!$A$1:$A$18), NETWORKDAYS(H40, J40, fESTIVOS!$A$1:$A$18))</f>
        <v>2</v>
      </c>
      <c r="L40" s="258"/>
      <c r="M40" s="302"/>
      <c r="N40" s="317"/>
      <c r="O40" s="307"/>
      <c r="P40" s="268"/>
      <c r="Q40" s="268"/>
      <c r="R40" s="268"/>
      <c r="S40" s="268"/>
      <c r="T40" s="268"/>
      <c r="U40" s="268"/>
      <c r="V40" s="268"/>
      <c r="W40" s="310" t="s">
        <v>903</v>
      </c>
      <c r="X40" s="310" t="s">
        <v>904</v>
      </c>
      <c r="Y40" s="311"/>
      <c r="Z40" s="311"/>
      <c r="AA40" s="311"/>
      <c r="AB40" s="311"/>
      <c r="AC40" s="311"/>
      <c r="AD40" s="311"/>
      <c r="AE40" s="311"/>
      <c r="AF40" s="311"/>
      <c r="AG40" s="311"/>
      <c r="AH40" s="311"/>
      <c r="AI40" s="311"/>
      <c r="AJ40" s="311"/>
      <c r="AK40" s="311"/>
      <c r="AL40" s="311"/>
      <c r="AM40" s="311"/>
      <c r="AN40" s="311"/>
    </row>
    <row r="41" spans="1:40" ht="29.25" customHeight="1">
      <c r="A41" s="300" t="s">
        <v>905</v>
      </c>
      <c r="B41" s="312" t="s">
        <v>906</v>
      </c>
      <c r="C41" s="269" t="s">
        <v>907</v>
      </c>
      <c r="D41" s="305" t="s">
        <v>37</v>
      </c>
      <c r="E41" s="306"/>
      <c r="F41" s="306"/>
      <c r="G41" s="302">
        <v>45789</v>
      </c>
      <c r="H41" s="303">
        <v>45789</v>
      </c>
      <c r="I41" s="303"/>
      <c r="J41" s="303">
        <v>45790</v>
      </c>
      <c r="K41" s="261">
        <f ca="1">IF(ISBLANK(J41), NETWORKDAYS(H41, TODAY(),fESTIVOS!$A$1:$A$18), NETWORKDAYS(H41, J41, fESTIVOS!$A$1:$A$18))</f>
        <v>2</v>
      </c>
      <c r="L41" s="258"/>
      <c r="M41" s="302"/>
      <c r="N41" s="317"/>
      <c r="O41" s="307"/>
      <c r="P41" s="268"/>
      <c r="Q41" s="268"/>
      <c r="R41" s="268"/>
      <c r="S41" s="268"/>
      <c r="T41" s="268"/>
      <c r="U41" s="268"/>
      <c r="V41" s="268"/>
      <c r="W41" s="310" t="s">
        <v>903</v>
      </c>
      <c r="X41" s="310" t="s">
        <v>908</v>
      </c>
      <c r="Y41" s="311"/>
      <c r="Z41" s="311"/>
      <c r="AA41" s="311"/>
      <c r="AB41" s="311"/>
      <c r="AC41" s="311"/>
      <c r="AD41" s="311"/>
      <c r="AE41" s="311"/>
      <c r="AF41" s="311"/>
      <c r="AG41" s="311"/>
      <c r="AH41" s="311"/>
      <c r="AI41" s="311"/>
      <c r="AJ41" s="311"/>
      <c r="AK41" s="311"/>
      <c r="AL41" s="311"/>
      <c r="AM41" s="311"/>
      <c r="AN41" s="311"/>
    </row>
    <row r="42" spans="1:40" ht="29.25" customHeight="1">
      <c r="A42" s="300" t="s">
        <v>858</v>
      </c>
      <c r="B42" s="329" t="s">
        <v>909</v>
      </c>
      <c r="C42" s="295" t="s">
        <v>910</v>
      </c>
      <c r="D42" s="305" t="s">
        <v>37</v>
      </c>
      <c r="E42" s="270">
        <v>90</v>
      </c>
      <c r="F42" s="306"/>
      <c r="G42" s="302">
        <v>45791</v>
      </c>
      <c r="H42" s="303">
        <v>45792</v>
      </c>
      <c r="I42" s="303">
        <v>45793</v>
      </c>
      <c r="J42" s="303">
        <v>45793</v>
      </c>
      <c r="K42" s="261">
        <f ca="1">IF(ISBLANK(J42), NETWORKDAYS(H42, TODAY(),fESTIVOS!$A$1:$A$18), NETWORKDAYS(H42, J42, fESTIVOS!$A$1:$A$18))</f>
        <v>2</v>
      </c>
      <c r="L42" s="258"/>
      <c r="M42" s="302">
        <v>45793</v>
      </c>
      <c r="N42" s="317"/>
      <c r="O42" s="309"/>
      <c r="P42" s="268"/>
      <c r="Q42" s="268"/>
      <c r="R42" s="268"/>
      <c r="S42" s="268"/>
      <c r="T42" s="268"/>
      <c r="U42" s="268"/>
      <c r="V42" s="268"/>
      <c r="W42" s="268"/>
      <c r="X42" s="268"/>
      <c r="Y42" s="268"/>
      <c r="Z42" s="310" t="s">
        <v>911</v>
      </c>
      <c r="AA42" s="310" t="s">
        <v>912</v>
      </c>
      <c r="AB42" s="311"/>
      <c r="AC42" s="311"/>
      <c r="AD42" s="311"/>
      <c r="AE42" s="311"/>
      <c r="AF42" s="311"/>
      <c r="AG42" s="311"/>
      <c r="AH42" s="311"/>
      <c r="AI42" s="311"/>
      <c r="AJ42" s="311"/>
      <c r="AK42" s="311"/>
      <c r="AL42" s="311"/>
      <c r="AM42" s="311"/>
      <c r="AN42" s="311"/>
    </row>
    <row r="43" spans="1:40" ht="29.25" customHeight="1">
      <c r="A43" s="300" t="s">
        <v>858</v>
      </c>
      <c r="B43" s="330" t="s">
        <v>913</v>
      </c>
      <c r="C43" s="295" t="s">
        <v>914</v>
      </c>
      <c r="D43" s="305" t="s">
        <v>37</v>
      </c>
      <c r="E43" s="270">
        <v>0</v>
      </c>
      <c r="F43" s="306"/>
      <c r="G43" s="302">
        <v>45796</v>
      </c>
      <c r="H43" s="303">
        <v>45796</v>
      </c>
      <c r="I43" s="303"/>
      <c r="J43" s="303">
        <v>45796</v>
      </c>
      <c r="K43" s="261">
        <f ca="1">IF(ISBLANK(J43), NETWORKDAYS(H43, TODAY(),fESTIVOS!$A$1:$A$18), NETWORKDAYS(H43, J43, fESTIVOS!$A$1:$A$18))</f>
        <v>1</v>
      </c>
      <c r="L43" s="258"/>
      <c r="M43" s="302"/>
      <c r="N43" s="317"/>
      <c r="O43" s="309"/>
      <c r="P43" s="268"/>
      <c r="Q43" s="268"/>
      <c r="R43" s="268"/>
      <c r="S43" s="268"/>
      <c r="T43" s="268"/>
      <c r="U43" s="268"/>
      <c r="V43" s="268"/>
      <c r="W43" s="268"/>
      <c r="X43" s="268"/>
      <c r="Y43" s="268"/>
      <c r="Z43" s="310"/>
      <c r="AA43" s="310" t="s">
        <v>915</v>
      </c>
      <c r="AB43" s="311"/>
      <c r="AC43" s="311"/>
      <c r="AD43" s="311"/>
      <c r="AE43" s="311"/>
      <c r="AF43" s="311"/>
      <c r="AG43" s="311"/>
      <c r="AH43" s="311"/>
      <c r="AI43" s="311"/>
      <c r="AJ43" s="311"/>
      <c r="AK43" s="311"/>
      <c r="AL43" s="311"/>
      <c r="AM43" s="311"/>
      <c r="AN43" s="311"/>
    </row>
    <row r="44" spans="1:40" ht="29.25" customHeight="1">
      <c r="A44" s="300" t="s">
        <v>858</v>
      </c>
      <c r="B44" s="330" t="s">
        <v>916</v>
      </c>
      <c r="C44" s="295" t="s">
        <v>917</v>
      </c>
      <c r="D44" s="305" t="s">
        <v>37</v>
      </c>
      <c r="E44" s="270">
        <v>80</v>
      </c>
      <c r="F44" s="306"/>
      <c r="G44" s="302">
        <v>45796</v>
      </c>
      <c r="H44" s="303">
        <v>45796</v>
      </c>
      <c r="I44" s="303"/>
      <c r="J44" s="303">
        <v>45796</v>
      </c>
      <c r="K44" s="261">
        <f ca="1">IF(ISBLANK(J44), NETWORKDAYS(H44, TODAY(),fESTIVOS!$A$1:$A$18), NETWORKDAYS(H44, J44, fESTIVOS!$A$1:$A$18))</f>
        <v>1</v>
      </c>
      <c r="L44" s="258"/>
      <c r="M44" s="302"/>
      <c r="N44" s="317"/>
      <c r="O44" s="309"/>
      <c r="P44" s="268"/>
      <c r="Q44" s="268"/>
      <c r="R44" s="268"/>
      <c r="S44" s="268"/>
      <c r="T44" s="268"/>
      <c r="U44" s="268"/>
      <c r="V44" s="268"/>
      <c r="W44" s="268"/>
      <c r="X44" s="268"/>
      <c r="Y44" s="268"/>
      <c r="Z44" s="310"/>
      <c r="AA44" s="310" t="s">
        <v>918</v>
      </c>
      <c r="AB44" s="310" t="s">
        <v>919</v>
      </c>
      <c r="AC44" s="311"/>
      <c r="AD44" s="311"/>
      <c r="AE44" s="311"/>
      <c r="AF44" s="311"/>
      <c r="AG44" s="311"/>
      <c r="AH44" s="311"/>
      <c r="AI44" s="311"/>
      <c r="AJ44" s="311"/>
      <c r="AK44" s="311"/>
      <c r="AL44" s="311"/>
      <c r="AM44" s="311"/>
      <c r="AN44" s="311"/>
    </row>
    <row r="45" spans="1:40" ht="29.25" customHeight="1">
      <c r="A45" s="300" t="s">
        <v>858</v>
      </c>
      <c r="B45" s="330" t="s">
        <v>920</v>
      </c>
      <c r="C45" s="269" t="s">
        <v>921</v>
      </c>
      <c r="D45" s="305" t="s">
        <v>37</v>
      </c>
      <c r="E45" s="270"/>
      <c r="F45" s="306"/>
      <c r="G45" s="302">
        <v>45797</v>
      </c>
      <c r="H45" s="303">
        <v>45798</v>
      </c>
      <c r="I45" s="303"/>
      <c r="J45" s="303">
        <v>45799</v>
      </c>
      <c r="K45" s="261">
        <f ca="1">IF(ISBLANK(J45), NETWORKDAYS(H45, TODAY(),fESTIVOS!$A$1:$A$18), NETWORKDAYS(H45, J45, fESTIVOS!$A$1:$A$18))</f>
        <v>2</v>
      </c>
      <c r="L45" s="258"/>
      <c r="M45" s="302">
        <v>45799</v>
      </c>
      <c r="N45" s="317"/>
      <c r="O45" s="309"/>
      <c r="P45" s="268"/>
      <c r="Q45" s="268"/>
      <c r="R45" s="268"/>
      <c r="S45" s="268"/>
      <c r="T45" s="268"/>
      <c r="U45" s="268"/>
      <c r="V45" s="268"/>
      <c r="W45" s="268"/>
      <c r="X45" s="268"/>
      <c r="Y45" s="268"/>
      <c r="Z45" s="310"/>
      <c r="AA45" s="310"/>
      <c r="AB45" s="310" t="s">
        <v>922</v>
      </c>
      <c r="AC45" s="310" t="s">
        <v>923</v>
      </c>
    </row>
    <row r="46" spans="1:40" ht="29.25" customHeight="1">
      <c r="A46" s="300" t="s">
        <v>858</v>
      </c>
      <c r="B46" s="330" t="s">
        <v>920</v>
      </c>
      <c r="C46" s="269" t="s">
        <v>924</v>
      </c>
      <c r="D46" s="305" t="s">
        <v>37</v>
      </c>
      <c r="E46" s="270"/>
      <c r="F46" s="306"/>
      <c r="G46" s="302">
        <v>45797</v>
      </c>
      <c r="H46" s="303">
        <v>45797</v>
      </c>
      <c r="I46" s="303"/>
      <c r="J46" s="303">
        <v>45799</v>
      </c>
      <c r="K46" s="261">
        <f ca="1">IF(ISBLANK(J46), NETWORKDAYS(H46, TODAY(),fESTIVOS!$A$1:$A$18), NETWORKDAYS(H46, J46, fESTIVOS!$A$1:$A$18))</f>
        <v>3</v>
      </c>
      <c r="L46" s="258"/>
      <c r="M46" s="302"/>
      <c r="N46" s="317"/>
      <c r="O46" s="309"/>
      <c r="P46" s="268"/>
      <c r="Q46" s="268"/>
      <c r="R46" s="268"/>
      <c r="S46" s="268"/>
      <c r="T46" s="268"/>
      <c r="U46" s="268"/>
      <c r="V46" s="268"/>
      <c r="W46" s="268"/>
      <c r="X46" s="268"/>
      <c r="Y46" s="268"/>
      <c r="Z46" s="310"/>
      <c r="AA46" s="310"/>
      <c r="AB46" s="310" t="s">
        <v>925</v>
      </c>
      <c r="AC46" s="310" t="s">
        <v>926</v>
      </c>
      <c r="AD46" s="311"/>
      <c r="AE46" s="311"/>
      <c r="AF46" s="311"/>
      <c r="AG46" s="311"/>
      <c r="AH46" s="311"/>
      <c r="AI46" s="311"/>
      <c r="AJ46" s="311"/>
      <c r="AK46" s="311"/>
      <c r="AL46" s="311"/>
      <c r="AM46" s="311"/>
      <c r="AN46" s="311"/>
    </row>
    <row r="47" spans="1:40" ht="29.25" customHeight="1">
      <c r="A47" s="300" t="s">
        <v>858</v>
      </c>
      <c r="B47" s="330" t="s">
        <v>927</v>
      </c>
      <c r="C47" s="269" t="s">
        <v>928</v>
      </c>
      <c r="D47" s="305" t="s">
        <v>37</v>
      </c>
      <c r="E47" s="270"/>
      <c r="F47" s="306"/>
      <c r="G47" s="302">
        <v>45799</v>
      </c>
      <c r="H47" s="303">
        <v>45799</v>
      </c>
      <c r="I47" s="303"/>
      <c r="J47" s="303">
        <v>45799</v>
      </c>
      <c r="K47" s="261">
        <f ca="1">IF(ISBLANK(J47), NETWORKDAYS(H47, TODAY(),fESTIVOS!$A$1:$A$18), NETWORKDAYS(H47, J47, fESTIVOS!$A$1:$A$18))</f>
        <v>1</v>
      </c>
      <c r="L47" s="258"/>
      <c r="M47" s="302"/>
      <c r="N47" s="317"/>
      <c r="O47" s="309"/>
      <c r="P47" s="268"/>
      <c r="Q47" s="268"/>
      <c r="R47" s="268"/>
      <c r="S47" s="268"/>
      <c r="T47" s="268"/>
      <c r="U47" s="268"/>
      <c r="V47" s="268"/>
      <c r="W47" s="268"/>
      <c r="X47" s="268"/>
      <c r="Y47" s="268"/>
      <c r="Z47" s="310"/>
      <c r="AA47" s="310"/>
      <c r="AB47" s="310"/>
      <c r="AC47" s="310" t="s">
        <v>929</v>
      </c>
      <c r="AD47" s="311"/>
      <c r="AE47" s="311"/>
      <c r="AF47" s="311"/>
      <c r="AG47" s="311"/>
      <c r="AH47" s="311"/>
      <c r="AI47" s="311"/>
      <c r="AJ47" s="311"/>
      <c r="AK47" s="311"/>
      <c r="AL47" s="311"/>
      <c r="AM47" s="311"/>
      <c r="AN47" s="311"/>
    </row>
    <row r="48" spans="1:40" ht="29.25" customHeight="1">
      <c r="A48" s="300" t="s">
        <v>858</v>
      </c>
      <c r="B48" s="330" t="s">
        <v>930</v>
      </c>
      <c r="C48" s="269" t="s">
        <v>931</v>
      </c>
      <c r="D48" s="305" t="s">
        <v>37</v>
      </c>
      <c r="E48" s="270"/>
      <c r="F48" s="306"/>
      <c r="G48" s="302">
        <v>45798</v>
      </c>
      <c r="H48" s="303">
        <v>45799</v>
      </c>
      <c r="I48" s="303"/>
      <c r="J48" s="303">
        <v>45799</v>
      </c>
      <c r="K48" s="261">
        <f ca="1">IF(ISBLANK(J48), NETWORKDAYS(H48, TODAY(),fESTIVOS!$A$1:$A$18), NETWORKDAYS(H48, J48, fESTIVOS!$A$1:$A$18))</f>
        <v>1</v>
      </c>
      <c r="L48" s="258"/>
      <c r="M48" s="302"/>
      <c r="N48" s="317"/>
      <c r="O48" s="309"/>
      <c r="P48" s="268"/>
      <c r="Q48" s="268"/>
      <c r="R48" s="268"/>
      <c r="S48" s="268"/>
      <c r="T48" s="268"/>
      <c r="U48" s="268"/>
      <c r="V48" s="268"/>
      <c r="W48" s="268"/>
      <c r="X48" s="268"/>
      <c r="Y48" s="268"/>
      <c r="Z48" s="310"/>
      <c r="AA48" s="310"/>
      <c r="AB48" s="310"/>
      <c r="AC48" s="311"/>
      <c r="AD48" s="311"/>
      <c r="AE48" s="311"/>
      <c r="AF48" s="311"/>
      <c r="AG48" s="311"/>
      <c r="AH48" s="311"/>
      <c r="AI48" s="311"/>
      <c r="AJ48" s="311"/>
      <c r="AK48" s="311"/>
      <c r="AL48" s="311"/>
      <c r="AM48" s="311"/>
      <c r="AN48" s="311"/>
    </row>
    <row r="49" spans="1:40" ht="29.25" customHeight="1">
      <c r="A49" s="300" t="s">
        <v>858</v>
      </c>
      <c r="B49" s="330" t="s">
        <v>932</v>
      </c>
      <c r="C49" s="269" t="s">
        <v>933</v>
      </c>
      <c r="D49" s="305" t="s">
        <v>37</v>
      </c>
      <c r="E49" s="270"/>
      <c r="F49" s="306"/>
      <c r="G49" s="302">
        <v>45799</v>
      </c>
      <c r="H49" s="303">
        <v>45799</v>
      </c>
      <c r="I49" s="303"/>
      <c r="J49" s="303">
        <v>45799</v>
      </c>
      <c r="K49" s="261">
        <f ca="1">IF(ISBLANK(J49), NETWORKDAYS(H49, TODAY(),fESTIVOS!$A$1:$A$18), NETWORKDAYS(H49, J49, fESTIVOS!$A$1:$A$18))</f>
        <v>1</v>
      </c>
      <c r="L49" s="258"/>
      <c r="M49" s="302"/>
      <c r="N49" s="317"/>
      <c r="O49" s="309"/>
      <c r="P49" s="268"/>
      <c r="Q49" s="268"/>
      <c r="R49" s="268"/>
      <c r="S49" s="268"/>
      <c r="T49" s="268"/>
      <c r="U49" s="268"/>
      <c r="V49" s="268"/>
      <c r="W49" s="268"/>
      <c r="X49" s="268"/>
      <c r="Y49" s="268"/>
      <c r="Z49" s="310"/>
      <c r="AA49" s="310"/>
      <c r="AB49" s="310"/>
      <c r="AC49" s="311"/>
      <c r="AD49" s="311"/>
      <c r="AE49" s="311"/>
      <c r="AF49" s="311"/>
      <c r="AG49" s="311"/>
      <c r="AH49" s="311"/>
      <c r="AI49" s="311"/>
      <c r="AJ49" s="311"/>
      <c r="AK49" s="311"/>
      <c r="AL49" s="311"/>
      <c r="AM49" s="311"/>
      <c r="AN49" s="311"/>
    </row>
    <row r="50" spans="1:40" ht="29.25" customHeight="1">
      <c r="A50" s="300" t="s">
        <v>858</v>
      </c>
      <c r="B50" s="330" t="s">
        <v>868</v>
      </c>
      <c r="C50" s="269" t="s">
        <v>934</v>
      </c>
      <c r="D50" s="305" t="s">
        <v>37</v>
      </c>
      <c r="E50" s="270"/>
      <c r="F50" s="306"/>
      <c r="G50" s="302">
        <v>45796</v>
      </c>
      <c r="H50" s="303">
        <v>45798</v>
      </c>
      <c r="I50" s="303"/>
      <c r="J50" s="303">
        <v>45798</v>
      </c>
      <c r="K50" s="261">
        <f ca="1">IF(ISBLANK(J50), NETWORKDAYS(H50, TODAY(),fESTIVOS!$A$1:$A$18), NETWORKDAYS(H50, J50, fESTIVOS!$A$1:$A$18))</f>
        <v>1</v>
      </c>
      <c r="L50" s="258"/>
      <c r="M50" s="302"/>
      <c r="N50" s="317"/>
      <c r="O50" s="309"/>
      <c r="P50" s="268"/>
      <c r="Q50" s="268"/>
      <c r="R50" s="268"/>
      <c r="S50" s="268"/>
      <c r="T50" s="268"/>
      <c r="U50" s="268"/>
      <c r="V50" s="268"/>
      <c r="W50" s="268"/>
      <c r="X50" s="268"/>
      <c r="Y50" s="268"/>
      <c r="Z50" s="310"/>
      <c r="AA50" s="310"/>
      <c r="AB50" s="310" t="s">
        <v>935</v>
      </c>
      <c r="AC50" s="311"/>
      <c r="AD50" s="311"/>
      <c r="AE50" s="311"/>
      <c r="AF50" s="311"/>
      <c r="AG50" s="311"/>
      <c r="AH50" s="311"/>
      <c r="AI50" s="311"/>
      <c r="AJ50" s="311"/>
      <c r="AK50" s="311"/>
      <c r="AL50" s="311"/>
      <c r="AM50" s="311"/>
      <c r="AN50" s="311"/>
    </row>
    <row r="51" spans="1:40" ht="29.25" customHeight="1">
      <c r="A51" s="300" t="s">
        <v>858</v>
      </c>
      <c r="B51" s="312" t="s">
        <v>936</v>
      </c>
      <c r="C51" s="295" t="s">
        <v>937</v>
      </c>
      <c r="D51" s="305" t="s">
        <v>37</v>
      </c>
      <c r="E51" s="306"/>
      <c r="F51" s="306"/>
      <c r="G51" s="302">
        <v>45791</v>
      </c>
      <c r="H51" s="303">
        <v>45792</v>
      </c>
      <c r="I51" s="303"/>
      <c r="J51" s="303">
        <v>45792</v>
      </c>
      <c r="K51" s="261">
        <f ca="1">IF(ISBLANK(J51), NETWORKDAYS(H51, TODAY(),fESTIVOS!$A$1:$A$18), NETWORKDAYS(H51, J51, fESTIVOS!$A$1:$A$18))</f>
        <v>1</v>
      </c>
      <c r="L51" s="258"/>
      <c r="M51" s="302"/>
      <c r="N51" s="317"/>
      <c r="O51" s="309"/>
      <c r="P51" s="268"/>
      <c r="Q51" s="268"/>
      <c r="R51" s="268"/>
      <c r="S51" s="268"/>
      <c r="T51" s="268"/>
      <c r="U51" s="268"/>
      <c r="V51" s="268"/>
      <c r="W51" s="268"/>
      <c r="X51" s="268"/>
      <c r="Y51" s="310" t="s">
        <v>938</v>
      </c>
      <c r="Z51" s="311"/>
      <c r="AA51" s="311"/>
      <c r="AB51" s="311"/>
      <c r="AC51" s="311"/>
      <c r="AD51" s="311"/>
      <c r="AE51" s="311"/>
      <c r="AF51" s="311"/>
      <c r="AG51" s="311"/>
      <c r="AH51" s="311"/>
      <c r="AI51" s="311"/>
      <c r="AJ51" s="311"/>
      <c r="AK51" s="311"/>
      <c r="AL51" s="311"/>
      <c r="AM51" s="311"/>
      <c r="AN51" s="311"/>
    </row>
    <row r="52" spans="1:40" ht="29.25" customHeight="1">
      <c r="A52" s="255" t="s">
        <v>761</v>
      </c>
      <c r="B52" s="270" t="s">
        <v>939</v>
      </c>
      <c r="C52" s="295" t="s">
        <v>940</v>
      </c>
      <c r="D52" s="305" t="s">
        <v>37</v>
      </c>
      <c r="E52" s="270">
        <v>80</v>
      </c>
      <c r="F52" s="258"/>
      <c r="G52" s="302">
        <v>45763</v>
      </c>
      <c r="H52" s="303">
        <v>45779</v>
      </c>
      <c r="I52" s="303">
        <v>45776</v>
      </c>
      <c r="J52" s="303">
        <v>45799</v>
      </c>
      <c r="K52" s="261">
        <f ca="1">IF(ISBLANK(J52), NETWORKDAYS(H52, TODAY(),fESTIVOS!$A$1:$A$18), NETWORKDAYS(H52, J52, fESTIVOS!$A$1:$A$18))</f>
        <v>15</v>
      </c>
      <c r="L52" s="331" t="s">
        <v>941</v>
      </c>
      <c r="M52" s="302">
        <v>45777</v>
      </c>
      <c r="N52" s="305" t="s">
        <v>942</v>
      </c>
      <c r="O52" s="307">
        <v>45799</v>
      </c>
      <c r="P52" s="267"/>
      <c r="Q52" s="310" t="s">
        <v>943</v>
      </c>
      <c r="R52" s="310" t="s">
        <v>944</v>
      </c>
      <c r="S52" s="310" t="s">
        <v>945</v>
      </c>
      <c r="T52" s="311"/>
      <c r="U52" s="311"/>
      <c r="V52" s="311"/>
      <c r="W52" s="310" t="s">
        <v>946</v>
      </c>
      <c r="X52" s="310" t="s">
        <v>947</v>
      </c>
      <c r="Y52" s="311"/>
      <c r="Z52" s="310" t="s">
        <v>948</v>
      </c>
      <c r="AA52" s="310" t="s">
        <v>949</v>
      </c>
      <c r="AB52" s="310" t="s">
        <v>950</v>
      </c>
      <c r="AC52" s="310" t="s">
        <v>951</v>
      </c>
      <c r="AD52" s="311"/>
      <c r="AE52" s="311"/>
      <c r="AF52" s="311"/>
      <c r="AG52" s="311"/>
      <c r="AH52" s="311"/>
      <c r="AI52" s="311"/>
      <c r="AJ52" s="311"/>
      <c r="AK52" s="311"/>
      <c r="AL52" s="311"/>
      <c r="AM52" s="311"/>
      <c r="AN52" s="311"/>
    </row>
    <row r="53" spans="1:40" ht="29.25" customHeight="1">
      <c r="A53" s="314" t="s">
        <v>883</v>
      </c>
      <c r="B53" s="315"/>
      <c r="C53" s="257" t="s">
        <v>884</v>
      </c>
      <c r="D53" s="51" t="s">
        <v>37</v>
      </c>
      <c r="E53" s="258"/>
      <c r="F53" s="258"/>
      <c r="G53" s="259">
        <v>45714</v>
      </c>
      <c r="H53" s="303">
        <v>45784</v>
      </c>
      <c r="I53" s="260"/>
      <c r="J53" s="303">
        <v>45785</v>
      </c>
      <c r="K53" s="316"/>
      <c r="L53" s="258"/>
      <c r="M53" s="259"/>
      <c r="N53" s="327"/>
      <c r="O53" s="262"/>
      <c r="P53" s="263" t="s">
        <v>885</v>
      </c>
      <c r="Q53" s="264"/>
      <c r="R53" s="264"/>
      <c r="S53" s="264"/>
      <c r="T53" s="264"/>
      <c r="U53" s="264"/>
      <c r="V53" s="264"/>
      <c r="W53" s="264"/>
      <c r="X53" s="264"/>
      <c r="Y53" s="264"/>
      <c r="Z53" s="264"/>
      <c r="AA53" s="264"/>
      <c r="AB53" s="264"/>
      <c r="AC53" s="264"/>
      <c r="AD53" s="264"/>
      <c r="AE53" s="264"/>
      <c r="AF53" s="264"/>
      <c r="AG53" s="264"/>
      <c r="AH53" s="264"/>
      <c r="AI53" s="264"/>
      <c r="AJ53" s="264"/>
      <c r="AK53" s="264"/>
      <c r="AL53" s="264"/>
      <c r="AM53" s="264"/>
      <c r="AN53" s="264"/>
    </row>
    <row r="54" spans="1:40" ht="29.25" customHeight="1">
      <c r="A54" s="332" t="s">
        <v>761</v>
      </c>
      <c r="B54" s="333" t="s">
        <v>952</v>
      </c>
      <c r="C54" s="334" t="s">
        <v>953</v>
      </c>
      <c r="D54" s="335" t="s">
        <v>37</v>
      </c>
      <c r="E54" s="270">
        <v>100</v>
      </c>
      <c r="F54" s="270"/>
      <c r="G54" s="336">
        <v>45800</v>
      </c>
      <c r="H54" s="303"/>
      <c r="I54" s="303"/>
      <c r="J54" s="303">
        <v>45804</v>
      </c>
      <c r="K54" s="270"/>
      <c r="L54" s="258"/>
      <c r="M54" s="302"/>
      <c r="N54" s="317"/>
      <c r="O54" s="309"/>
      <c r="P54" s="337"/>
      <c r="Q54" s="337"/>
      <c r="R54" s="337"/>
      <c r="S54" s="338"/>
      <c r="T54" s="339"/>
      <c r="U54" s="339"/>
      <c r="V54" s="338"/>
      <c r="W54" s="338"/>
      <c r="X54" s="338"/>
      <c r="Y54" s="339"/>
      <c r="Z54" s="339"/>
      <c r="AA54" s="338"/>
      <c r="AB54" s="338"/>
      <c r="AC54" s="338" t="s">
        <v>954</v>
      </c>
      <c r="AD54" s="339"/>
      <c r="AE54" s="310" t="s">
        <v>955</v>
      </c>
      <c r="AF54" s="310"/>
      <c r="AG54" s="310"/>
      <c r="AH54" s="310"/>
      <c r="AI54" s="310"/>
      <c r="AJ54" s="310"/>
      <c r="AK54" s="310"/>
      <c r="AL54" s="310"/>
      <c r="AM54" s="310"/>
      <c r="AN54" s="310"/>
    </row>
    <row r="55" spans="1:40" ht="29.25" customHeight="1">
      <c r="A55" s="340" t="s">
        <v>858</v>
      </c>
      <c r="B55" s="341" t="s">
        <v>920</v>
      </c>
      <c r="C55" s="342" t="s">
        <v>956</v>
      </c>
      <c r="D55" s="335" t="s">
        <v>37</v>
      </c>
      <c r="E55" s="270">
        <v>100</v>
      </c>
      <c r="F55" s="306"/>
      <c r="G55" s="302">
        <v>45798</v>
      </c>
      <c r="H55" s="303">
        <v>45803</v>
      </c>
      <c r="I55" s="303"/>
      <c r="J55" s="303">
        <v>45803</v>
      </c>
      <c r="K55" s="261">
        <f ca="1">IF(ISBLANK(J55), NETWORKDAYS(H55, TODAY(),fESTIVOS!$A$1:$A$18), NETWORKDAYS(H55, J55, fESTIVOS!$A$1:$A$18))</f>
        <v>1</v>
      </c>
      <c r="L55" s="258"/>
      <c r="M55" s="302"/>
      <c r="N55" s="317"/>
      <c r="O55" s="309">
        <v>45803</v>
      </c>
      <c r="P55" s="337"/>
      <c r="Q55" s="337"/>
      <c r="R55" s="337"/>
      <c r="S55" s="337"/>
      <c r="T55" s="337"/>
      <c r="U55" s="337"/>
      <c r="V55" s="337"/>
      <c r="W55" s="337"/>
      <c r="X55" s="337"/>
      <c r="Y55" s="337"/>
      <c r="Z55" s="338"/>
      <c r="AA55" s="338"/>
      <c r="AB55" s="338"/>
      <c r="AC55" s="338" t="s">
        <v>957</v>
      </c>
      <c r="AD55" s="338" t="s">
        <v>958</v>
      </c>
      <c r="AE55" s="310" t="s">
        <v>959</v>
      </c>
      <c r="AF55" s="310"/>
      <c r="AG55" s="310"/>
      <c r="AH55" s="310"/>
      <c r="AI55" s="310"/>
      <c r="AJ55" s="310"/>
      <c r="AK55" s="310"/>
      <c r="AL55" s="310"/>
      <c r="AM55" s="310"/>
      <c r="AN55" s="310"/>
    </row>
    <row r="56" spans="1:40" ht="29.25" customHeight="1">
      <c r="A56" s="340" t="s">
        <v>858</v>
      </c>
      <c r="B56" s="343" t="s">
        <v>960</v>
      </c>
      <c r="C56" s="342" t="s">
        <v>961</v>
      </c>
      <c r="D56" s="335" t="s">
        <v>37</v>
      </c>
      <c r="E56" s="306"/>
      <c r="F56" s="306"/>
      <c r="G56" s="302">
        <v>45804</v>
      </c>
      <c r="H56" s="303">
        <v>45804</v>
      </c>
      <c r="I56" s="303"/>
      <c r="J56" s="303">
        <v>45804</v>
      </c>
      <c r="K56" s="261">
        <f ca="1">IF(ISBLANK(J56), NETWORKDAYS(H56, TODAY(),fESTIVOS!$A$1:$A$18), NETWORKDAYS(H56, J56, fESTIVOS!$A$1:$A$18))</f>
        <v>1</v>
      </c>
      <c r="L56" s="258"/>
      <c r="M56" s="302"/>
      <c r="N56" s="317"/>
      <c r="O56" s="309"/>
      <c r="P56" s="337"/>
      <c r="Q56" s="337"/>
      <c r="R56" s="337"/>
      <c r="S56" s="337"/>
      <c r="T56" s="337"/>
      <c r="U56" s="337"/>
      <c r="V56" s="337"/>
      <c r="W56" s="337"/>
      <c r="X56" s="337"/>
      <c r="Y56" s="337"/>
      <c r="Z56" s="337"/>
      <c r="AA56" s="337"/>
      <c r="AB56" s="337"/>
      <c r="AC56" s="337"/>
      <c r="AD56" s="337"/>
      <c r="AE56" s="310" t="s">
        <v>962</v>
      </c>
      <c r="AF56" s="310"/>
      <c r="AG56" s="310"/>
      <c r="AH56" s="310"/>
      <c r="AI56" s="310"/>
      <c r="AJ56" s="310"/>
      <c r="AK56" s="310"/>
      <c r="AL56" s="310"/>
      <c r="AM56" s="310"/>
      <c r="AN56" s="310"/>
    </row>
    <row r="57" spans="1:40" ht="29.25" customHeight="1">
      <c r="A57" s="340" t="s">
        <v>858</v>
      </c>
      <c r="B57" s="312" t="s">
        <v>868</v>
      </c>
      <c r="C57" s="295" t="s">
        <v>963</v>
      </c>
      <c r="D57" s="305" t="s">
        <v>37</v>
      </c>
      <c r="E57" s="306"/>
      <c r="F57" s="306"/>
      <c r="G57" s="302">
        <v>45805</v>
      </c>
      <c r="H57" s="303">
        <v>45806</v>
      </c>
      <c r="I57" s="303"/>
      <c r="J57" s="303">
        <v>45806</v>
      </c>
      <c r="K57" s="261">
        <f ca="1">IF(ISBLANK(J57), NETWORKDAYS(H57, TODAY(),fESTIVOS!$A$1:$A$18), NETWORKDAYS(H57, J57, fESTIVOS!$A$1:$A$18))</f>
        <v>1</v>
      </c>
      <c r="L57" s="258"/>
      <c r="M57" s="302"/>
      <c r="N57" s="317"/>
      <c r="O57" s="309"/>
      <c r="P57" s="337"/>
      <c r="Q57" s="337"/>
      <c r="R57" s="337"/>
      <c r="S57" s="337"/>
      <c r="T57" s="337"/>
      <c r="U57" s="337"/>
      <c r="V57" s="337"/>
      <c r="W57" s="337"/>
      <c r="X57" s="337"/>
      <c r="Y57" s="337"/>
      <c r="Z57" s="337"/>
      <c r="AA57" s="337"/>
      <c r="AB57" s="337"/>
      <c r="AC57" s="337"/>
      <c r="AD57" s="337"/>
      <c r="AE57" s="268"/>
      <c r="AF57" s="310" t="s">
        <v>964</v>
      </c>
      <c r="AG57" s="310"/>
      <c r="AH57" s="310"/>
      <c r="AI57" s="310"/>
      <c r="AJ57" s="310"/>
      <c r="AK57" s="310"/>
      <c r="AL57" s="310"/>
      <c r="AM57" s="310"/>
      <c r="AN57" s="310"/>
    </row>
    <row r="58" spans="1:40" ht="29.25" customHeight="1">
      <c r="A58" s="340" t="s">
        <v>858</v>
      </c>
      <c r="B58" s="312" t="s">
        <v>965</v>
      </c>
      <c r="C58" s="295" t="s">
        <v>966</v>
      </c>
      <c r="D58" s="305" t="s">
        <v>37</v>
      </c>
      <c r="E58" s="306"/>
      <c r="F58" s="306"/>
      <c r="G58" s="302">
        <v>45807</v>
      </c>
      <c r="H58" s="303">
        <v>45807</v>
      </c>
      <c r="I58" s="303"/>
      <c r="J58" s="303">
        <v>45811</v>
      </c>
      <c r="K58" s="261">
        <f ca="1">IF(ISBLANK(J58), NETWORKDAYS(H58, TODAY(),fESTIVOS!$A$1:$A$18), NETWORKDAYS(H58, J58, fESTIVOS!$A$1:$A$18))</f>
        <v>3</v>
      </c>
      <c r="L58" s="258"/>
      <c r="M58" s="302"/>
      <c r="N58" s="317"/>
      <c r="O58" s="309"/>
      <c r="P58" s="337"/>
      <c r="Q58" s="337"/>
      <c r="R58" s="337"/>
      <c r="S58" s="337"/>
      <c r="T58" s="337"/>
      <c r="U58" s="337"/>
      <c r="V58" s="337"/>
      <c r="W58" s="337"/>
      <c r="X58" s="337"/>
      <c r="Y58" s="337"/>
      <c r="Z58" s="337"/>
      <c r="AA58" s="337"/>
      <c r="AB58" s="337"/>
      <c r="AC58" s="337"/>
      <c r="AD58" s="337"/>
      <c r="AE58" s="337"/>
      <c r="AF58" s="338" t="s">
        <v>967</v>
      </c>
      <c r="AG58" s="310"/>
      <c r="AH58" s="310"/>
      <c r="AI58" s="310"/>
      <c r="AJ58" s="310"/>
      <c r="AK58" s="310"/>
      <c r="AL58" s="310"/>
      <c r="AM58" s="310"/>
      <c r="AN58" s="310"/>
    </row>
    <row r="59" spans="1:40" ht="29.25" customHeight="1">
      <c r="A59" s="340" t="s">
        <v>858</v>
      </c>
      <c r="B59" s="312" t="s">
        <v>868</v>
      </c>
      <c r="C59" s="295" t="s">
        <v>968</v>
      </c>
      <c r="D59" s="305" t="s">
        <v>37</v>
      </c>
      <c r="E59" s="306"/>
      <c r="F59" s="306"/>
      <c r="G59" s="302">
        <v>45811</v>
      </c>
      <c r="H59" s="303">
        <v>45812</v>
      </c>
      <c r="I59" s="303"/>
      <c r="J59" s="303">
        <v>45812</v>
      </c>
      <c r="K59" s="261">
        <f ca="1">IF(ISBLANK(J59), NETWORKDAYS(H59, TODAY(),fESTIVOS!$A$1:$A$18), NETWORKDAYS(H59, J59, fESTIVOS!$A$1:$A$18))</f>
        <v>1</v>
      </c>
      <c r="L59" s="258"/>
      <c r="M59" s="302"/>
      <c r="N59" s="317"/>
      <c r="O59" s="309"/>
      <c r="P59" s="337"/>
      <c r="Q59" s="337"/>
      <c r="R59" s="337"/>
      <c r="S59" s="337"/>
      <c r="T59" s="337"/>
      <c r="U59" s="337"/>
      <c r="V59" s="337"/>
      <c r="W59" s="337"/>
      <c r="X59" s="337"/>
      <c r="Y59" s="337"/>
      <c r="Z59" s="337"/>
      <c r="AA59" s="337"/>
      <c r="AB59" s="337"/>
      <c r="AC59" s="337"/>
      <c r="AD59" s="337"/>
      <c r="AE59" s="337"/>
      <c r="AF59" s="337"/>
      <c r="AG59" s="310" t="s">
        <v>969</v>
      </c>
      <c r="AH59" s="310"/>
      <c r="AI59" s="310"/>
      <c r="AJ59" s="310"/>
      <c r="AK59" s="310"/>
      <c r="AL59" s="310"/>
      <c r="AM59" s="310"/>
      <c r="AN59" s="310"/>
    </row>
    <row r="60" spans="1:40" ht="29.25" customHeight="1">
      <c r="A60" s="340" t="s">
        <v>858</v>
      </c>
      <c r="B60" s="343" t="s">
        <v>44</v>
      </c>
      <c r="C60" s="342" t="s">
        <v>970</v>
      </c>
      <c r="D60" s="305" t="s">
        <v>37</v>
      </c>
      <c r="E60" s="306"/>
      <c r="F60" s="306"/>
      <c r="G60" s="302">
        <v>45811</v>
      </c>
      <c r="H60" s="303">
        <v>45811</v>
      </c>
      <c r="I60" s="303"/>
      <c r="J60" s="303">
        <v>45814</v>
      </c>
      <c r="K60" s="261">
        <f ca="1">IF(ISBLANK(J60), NETWORKDAYS(H60, TODAY(),fESTIVOS!$A$1:$A$18), NETWORKDAYS(H60, J60, fESTIVOS!$A$1:$A$18))</f>
        <v>4</v>
      </c>
      <c r="L60" s="258"/>
      <c r="M60" s="302">
        <v>45811</v>
      </c>
      <c r="N60" s="317"/>
      <c r="O60" s="309">
        <v>45814</v>
      </c>
      <c r="P60" s="337"/>
      <c r="Q60" s="337"/>
      <c r="R60" s="337"/>
      <c r="S60" s="337"/>
      <c r="T60" s="337"/>
      <c r="U60" s="337"/>
      <c r="V60" s="337"/>
      <c r="W60" s="337"/>
      <c r="X60" s="337"/>
      <c r="Y60" s="337"/>
      <c r="Z60" s="337"/>
      <c r="AA60" s="337"/>
      <c r="AB60" s="337"/>
      <c r="AC60" s="337"/>
      <c r="AD60" s="337"/>
      <c r="AE60" s="268"/>
      <c r="AF60" s="310" t="s">
        <v>971</v>
      </c>
      <c r="AG60" s="310" t="s">
        <v>972</v>
      </c>
      <c r="AH60" s="310" t="s">
        <v>973</v>
      </c>
      <c r="AI60" s="310" t="s">
        <v>974</v>
      </c>
      <c r="AJ60" s="310"/>
      <c r="AK60" s="310"/>
      <c r="AL60" s="310"/>
      <c r="AM60" s="310"/>
      <c r="AN60" s="310"/>
    </row>
    <row r="61" spans="1:40" ht="29.25" customHeight="1">
      <c r="A61" s="340" t="s">
        <v>786</v>
      </c>
      <c r="B61" s="344" t="s">
        <v>975</v>
      </c>
      <c r="C61" s="334" t="s">
        <v>976</v>
      </c>
      <c r="D61" s="335" t="s">
        <v>37</v>
      </c>
      <c r="E61" s="270">
        <v>95</v>
      </c>
      <c r="F61" s="270">
        <v>3</v>
      </c>
      <c r="G61" s="302">
        <v>45784</v>
      </c>
      <c r="H61" s="303">
        <v>45784</v>
      </c>
      <c r="I61" s="303">
        <v>45786</v>
      </c>
      <c r="J61" s="303">
        <v>45803</v>
      </c>
      <c r="K61" s="326">
        <f ca="1">IF(ISBLANK(J61), NETWORKDAYS(H61, TODAY(),fESTIVOS!$A$1:$A$18), NETWORKDAYS(H61, J61, fESTIVOS!$A$1:$A$18))</f>
        <v>14</v>
      </c>
      <c r="L61" s="258"/>
      <c r="M61" s="302">
        <v>45786</v>
      </c>
      <c r="N61" s="327"/>
      <c r="O61" s="307">
        <v>45814</v>
      </c>
      <c r="P61" s="263"/>
      <c r="Q61" s="345"/>
      <c r="R61" s="345"/>
      <c r="S61" s="345"/>
      <c r="T61" s="346" t="s">
        <v>977</v>
      </c>
      <c r="U61" s="347"/>
      <c r="V61" s="346" t="s">
        <v>978</v>
      </c>
      <c r="W61" s="346" t="s">
        <v>979</v>
      </c>
      <c r="X61" s="346" t="s">
        <v>980</v>
      </c>
      <c r="Y61" s="347"/>
      <c r="Z61" s="347"/>
      <c r="AA61" s="347"/>
      <c r="AB61" s="347"/>
      <c r="AC61" s="347"/>
      <c r="AD61" s="347"/>
      <c r="AE61" s="274"/>
      <c r="AF61" s="274"/>
      <c r="AG61" s="273" t="s">
        <v>981</v>
      </c>
      <c r="AH61" s="273" t="s">
        <v>982</v>
      </c>
      <c r="AI61" s="273" t="s">
        <v>983</v>
      </c>
      <c r="AJ61" s="273"/>
      <c r="AK61" s="273"/>
      <c r="AL61" s="273"/>
      <c r="AM61" s="273"/>
      <c r="AN61" s="273"/>
    </row>
    <row r="62" spans="1:40" ht="29.25" customHeight="1">
      <c r="A62" s="340" t="s">
        <v>858</v>
      </c>
      <c r="B62" s="312" t="s">
        <v>984</v>
      </c>
      <c r="C62" s="295" t="s">
        <v>985</v>
      </c>
      <c r="D62" s="305" t="s">
        <v>37</v>
      </c>
      <c r="E62" s="306"/>
      <c r="F62" s="306"/>
      <c r="G62" s="302">
        <v>45818</v>
      </c>
      <c r="H62" s="303">
        <v>45818</v>
      </c>
      <c r="I62" s="303"/>
      <c r="J62" s="303">
        <v>45818</v>
      </c>
      <c r="K62" s="261">
        <f ca="1">IF(ISBLANK(J62), NETWORKDAYS(H62, TODAY(),fESTIVOS!$A$1:$A$18), NETWORKDAYS(H62, J62, fESTIVOS!$A$1:$A$18))</f>
        <v>1</v>
      </c>
      <c r="L62" s="258"/>
      <c r="M62" s="302"/>
      <c r="N62" s="317"/>
      <c r="O62" s="309"/>
      <c r="P62" s="337"/>
      <c r="Q62" s="337"/>
      <c r="R62" s="337"/>
      <c r="S62" s="337"/>
      <c r="T62" s="337"/>
      <c r="U62" s="337"/>
      <c r="V62" s="337"/>
      <c r="W62" s="337"/>
      <c r="X62" s="337"/>
      <c r="Y62" s="337"/>
      <c r="Z62" s="337"/>
      <c r="AA62" s="337"/>
      <c r="AB62" s="337"/>
      <c r="AC62" s="337"/>
      <c r="AD62" s="337"/>
      <c r="AE62" s="337"/>
      <c r="AF62" s="337"/>
      <c r="AG62" s="337"/>
      <c r="AH62" s="337"/>
      <c r="AI62" s="337"/>
      <c r="AJ62" s="310" t="s">
        <v>986</v>
      </c>
      <c r="AK62" s="310"/>
      <c r="AL62" s="310"/>
      <c r="AM62" s="310"/>
      <c r="AN62" s="310"/>
    </row>
    <row r="63" spans="1:40" ht="29.25" customHeight="1">
      <c r="A63" s="300" t="s">
        <v>776</v>
      </c>
      <c r="B63" s="312" t="s">
        <v>45</v>
      </c>
      <c r="C63" s="269" t="s">
        <v>987</v>
      </c>
      <c r="D63" s="305" t="s">
        <v>37</v>
      </c>
      <c r="E63" s="270">
        <v>100</v>
      </c>
      <c r="F63" s="270">
        <v>1</v>
      </c>
      <c r="G63" s="302">
        <v>45818</v>
      </c>
      <c r="H63" s="303">
        <v>45819</v>
      </c>
      <c r="I63" s="303">
        <v>45819</v>
      </c>
      <c r="J63" s="303">
        <v>45819</v>
      </c>
      <c r="K63" s="261">
        <f ca="1">IF(ISBLANK(J63), NETWORKDAYS(H63, TODAY(),fESTIVOS!$A$1:$A$18), NETWORKDAYS(H63, J63, fESTIVOS!$A$1:$A$18))</f>
        <v>1</v>
      </c>
      <c r="L63" s="258"/>
      <c r="M63" s="302"/>
      <c r="N63" s="317"/>
      <c r="O63" s="309"/>
      <c r="P63" s="337"/>
      <c r="Q63" s="337"/>
      <c r="R63" s="337"/>
      <c r="S63" s="337"/>
      <c r="T63" s="337"/>
      <c r="U63" s="337"/>
      <c r="V63" s="337"/>
      <c r="W63" s="337"/>
      <c r="X63" s="337"/>
      <c r="Y63" s="337"/>
      <c r="Z63" s="337"/>
      <c r="AA63" s="337"/>
      <c r="AB63" s="337"/>
      <c r="AC63" s="337"/>
      <c r="AD63" s="337"/>
      <c r="AE63" s="337"/>
      <c r="AF63" s="337"/>
      <c r="AG63" s="337"/>
      <c r="AH63" s="337"/>
      <c r="AI63" s="337"/>
      <c r="AJ63" s="338" t="s">
        <v>988</v>
      </c>
      <c r="AK63" s="310" t="s">
        <v>989</v>
      </c>
      <c r="AL63" s="310"/>
      <c r="AM63" s="310"/>
      <c r="AN63" s="310"/>
    </row>
    <row r="64" spans="1:40" ht="29.25" customHeight="1">
      <c r="A64" s="300" t="s">
        <v>776</v>
      </c>
      <c r="B64" s="312" t="s">
        <v>45</v>
      </c>
      <c r="C64" s="269" t="s">
        <v>990</v>
      </c>
      <c r="D64" s="305" t="s">
        <v>37</v>
      </c>
      <c r="E64" s="270">
        <v>100</v>
      </c>
      <c r="F64" s="270">
        <v>1</v>
      </c>
      <c r="G64" s="302">
        <v>45818</v>
      </c>
      <c r="H64" s="303">
        <v>45820</v>
      </c>
      <c r="I64" s="303">
        <v>45820</v>
      </c>
      <c r="J64" s="303">
        <v>45821</v>
      </c>
      <c r="K64" s="261">
        <f ca="1">IF(ISBLANK(J64), NETWORKDAYS(H64, TODAY(),fESTIVOS!$A$1:$A$18), NETWORKDAYS(H64, J64, fESTIVOS!$A$1:$A$18))</f>
        <v>2</v>
      </c>
      <c r="L64" s="258"/>
      <c r="M64" s="302"/>
      <c r="N64" s="317"/>
      <c r="O64" s="309"/>
      <c r="P64" s="337"/>
      <c r="Q64" s="337"/>
      <c r="R64" s="337"/>
      <c r="S64" s="337"/>
      <c r="T64" s="337"/>
      <c r="U64" s="337"/>
      <c r="V64" s="337"/>
      <c r="W64" s="337"/>
      <c r="X64" s="337"/>
      <c r="Y64" s="337"/>
      <c r="Z64" s="337"/>
      <c r="AA64" s="337"/>
      <c r="AB64" s="337"/>
      <c r="AC64" s="337"/>
      <c r="AD64" s="337"/>
      <c r="AE64" s="337"/>
      <c r="AF64" s="337"/>
      <c r="AG64" s="337"/>
      <c r="AH64" s="337"/>
      <c r="AI64" s="337"/>
      <c r="AJ64" s="338" t="s">
        <v>991</v>
      </c>
      <c r="AK64" s="310" t="s">
        <v>992</v>
      </c>
      <c r="AL64" s="310"/>
      <c r="AM64" s="310"/>
      <c r="AN64" s="310"/>
    </row>
    <row r="65" spans="1:40" ht="29.25" customHeight="1">
      <c r="A65" s="332" t="s">
        <v>761</v>
      </c>
      <c r="B65" s="343" t="s">
        <v>877</v>
      </c>
      <c r="C65" s="348" t="s">
        <v>993</v>
      </c>
      <c r="D65" s="335" t="s">
        <v>37</v>
      </c>
      <c r="E65" s="270">
        <v>100</v>
      </c>
      <c r="F65" s="349">
        <v>1</v>
      </c>
      <c r="G65" s="302">
        <v>45786</v>
      </c>
      <c r="H65" s="303">
        <v>45786</v>
      </c>
      <c r="I65" s="303"/>
      <c r="J65" s="303">
        <v>45825</v>
      </c>
      <c r="K65" s="261">
        <f ca="1">IF(ISBLANK(J65), NETWORKDAYS(H65, TODAY(),fESTIVOS!$A$1:$A$18), NETWORKDAYS(H65, J65, fESTIVOS!$A$1:$A$18))</f>
        <v>28</v>
      </c>
      <c r="L65" s="258"/>
      <c r="M65" s="302"/>
      <c r="N65" s="317"/>
      <c r="O65" s="309"/>
      <c r="P65" s="337"/>
      <c r="Q65" s="337"/>
      <c r="R65" s="337"/>
      <c r="S65" s="338" t="s">
        <v>994</v>
      </c>
      <c r="T65" s="339"/>
      <c r="U65" s="339"/>
      <c r="V65" s="338" t="s">
        <v>995</v>
      </c>
      <c r="W65" s="338" t="s">
        <v>996</v>
      </c>
      <c r="X65" s="338" t="s">
        <v>997</v>
      </c>
      <c r="Y65" s="339"/>
      <c r="Z65" s="339"/>
      <c r="AA65" s="338" t="s">
        <v>998</v>
      </c>
      <c r="AB65" s="338" t="s">
        <v>999</v>
      </c>
      <c r="AC65" s="338" t="s">
        <v>1000</v>
      </c>
      <c r="AD65" s="338" t="s">
        <v>1001</v>
      </c>
      <c r="AE65" s="310" t="s">
        <v>42</v>
      </c>
      <c r="AF65" s="310" t="s">
        <v>1002</v>
      </c>
      <c r="AG65" s="310"/>
      <c r="AH65" s="310"/>
      <c r="AI65" s="310"/>
      <c r="AJ65" s="310" t="s">
        <v>1003</v>
      </c>
      <c r="AK65" s="310" t="s">
        <v>1004</v>
      </c>
      <c r="AL65" s="310" t="s">
        <v>1005</v>
      </c>
      <c r="AM65" s="310" t="s">
        <v>1006</v>
      </c>
      <c r="AN65" s="310"/>
    </row>
    <row r="66" spans="1:40" ht="29.25" customHeight="1">
      <c r="A66" s="340" t="s">
        <v>858</v>
      </c>
      <c r="B66" s="312" t="s">
        <v>1007</v>
      </c>
      <c r="C66" s="350" t="s">
        <v>1008</v>
      </c>
      <c r="D66" s="305" t="s">
        <v>37</v>
      </c>
      <c r="E66" s="270">
        <v>100</v>
      </c>
      <c r="F66" s="306"/>
      <c r="G66" s="302">
        <v>45805</v>
      </c>
      <c r="H66" s="303">
        <v>45825</v>
      </c>
      <c r="I66" s="303"/>
      <c r="J66" s="303">
        <v>45825</v>
      </c>
      <c r="K66" s="261">
        <f ca="1">IF(ISBLANK(J66), NETWORKDAYS(H66, TODAY(),fESTIVOS!$A$1:$A$18), NETWORKDAYS(H66, J66, fESTIVOS!$A$1:$A$18))</f>
        <v>1</v>
      </c>
      <c r="L66" s="258"/>
      <c r="M66" s="302"/>
      <c r="N66" s="317"/>
      <c r="O66" s="309"/>
      <c r="P66" s="337"/>
      <c r="Q66" s="337"/>
      <c r="R66" s="337"/>
      <c r="S66" s="337"/>
      <c r="T66" s="337"/>
      <c r="U66" s="337"/>
      <c r="V66" s="337"/>
      <c r="W66" s="337"/>
      <c r="X66" s="337"/>
      <c r="Y66" s="337"/>
      <c r="Z66" s="337"/>
      <c r="AA66" s="337"/>
      <c r="AB66" s="337"/>
      <c r="AC66" s="337"/>
      <c r="AD66" s="337"/>
      <c r="AE66" s="268"/>
      <c r="AF66" s="310" t="s">
        <v>1009</v>
      </c>
      <c r="AG66" s="310"/>
      <c r="AH66" s="310"/>
      <c r="AI66" s="310"/>
      <c r="AJ66" s="310"/>
      <c r="AK66" s="310"/>
      <c r="AL66" s="310" t="s">
        <v>1010</v>
      </c>
      <c r="AM66" s="310" t="s">
        <v>1011</v>
      </c>
      <c r="AN66" s="310"/>
    </row>
    <row r="67" spans="1:40" ht="29.25" customHeight="1">
      <c r="A67" s="340" t="s">
        <v>858</v>
      </c>
      <c r="B67" s="304"/>
      <c r="C67" s="269" t="s">
        <v>1012</v>
      </c>
      <c r="D67" s="305" t="s">
        <v>37</v>
      </c>
      <c r="E67" s="306"/>
      <c r="F67" s="270">
        <v>1</v>
      </c>
      <c r="G67" s="302">
        <v>45825</v>
      </c>
      <c r="H67" s="303">
        <v>45825</v>
      </c>
      <c r="I67" s="303">
        <v>45825</v>
      </c>
      <c r="J67" s="303"/>
      <c r="K67" s="261">
        <f ca="1">IF(ISBLANK(J67), NETWORKDAYS(H67, TODAY(),fESTIVOS!$A$1:$A$18), NETWORKDAYS(H67, J67, fESTIVOS!$A$1:$A$18))</f>
        <v>267</v>
      </c>
      <c r="L67" s="258"/>
      <c r="M67" s="302"/>
      <c r="N67" s="317"/>
      <c r="O67" s="309"/>
      <c r="P67" s="337"/>
      <c r="Q67" s="337"/>
      <c r="R67" s="337"/>
      <c r="S67" s="337"/>
      <c r="T67" s="337"/>
      <c r="U67" s="337"/>
      <c r="V67" s="337"/>
      <c r="W67" s="337"/>
      <c r="X67" s="337"/>
      <c r="Y67" s="337"/>
      <c r="Z67" s="337"/>
      <c r="AA67" s="337"/>
      <c r="AB67" s="337"/>
      <c r="AC67" s="337"/>
      <c r="AD67" s="337"/>
      <c r="AE67" s="337"/>
      <c r="AF67" s="337"/>
      <c r="AG67" s="337"/>
      <c r="AH67" s="337"/>
      <c r="AI67" s="337"/>
      <c r="AJ67" s="337"/>
      <c r="AK67" s="337"/>
      <c r="AL67" s="337"/>
      <c r="AM67" s="338" t="s">
        <v>1013</v>
      </c>
      <c r="AN67" s="310"/>
    </row>
    <row r="68" spans="1:40" ht="29.25" customHeight="1">
      <c r="A68" s="351" t="s">
        <v>761</v>
      </c>
      <c r="B68" s="312" t="s">
        <v>868</v>
      </c>
      <c r="C68" s="295" t="s">
        <v>1014</v>
      </c>
      <c r="D68" s="305" t="s">
        <v>37</v>
      </c>
      <c r="E68" s="270">
        <v>100</v>
      </c>
      <c r="F68" s="352"/>
      <c r="G68" s="302">
        <v>45825</v>
      </c>
      <c r="H68" s="303">
        <v>45825</v>
      </c>
      <c r="I68" s="303"/>
      <c r="J68" s="303">
        <v>45825</v>
      </c>
      <c r="K68" s="261">
        <f ca="1">IF(ISBLANK(J68), NETWORKDAYS(H68, TODAY(),fESTIVOS!$A$1:$A$18), NETWORKDAYS(H68, J68, fESTIVOS!$A$1:$A$18))</f>
        <v>1</v>
      </c>
      <c r="L68" s="258"/>
      <c r="M68" s="302"/>
      <c r="N68" s="317"/>
      <c r="O68" s="309">
        <v>45825</v>
      </c>
      <c r="P68" s="337"/>
      <c r="Q68" s="337"/>
      <c r="R68" s="337"/>
      <c r="S68" s="337"/>
      <c r="T68" s="337"/>
      <c r="U68" s="337"/>
      <c r="V68" s="337"/>
      <c r="W68" s="337"/>
      <c r="X68" s="337"/>
      <c r="Y68" s="337"/>
      <c r="Z68" s="337"/>
      <c r="AA68" s="337"/>
      <c r="AB68" s="337"/>
      <c r="AC68" s="337"/>
      <c r="AD68" s="337"/>
      <c r="AE68" s="337"/>
      <c r="AF68" s="337"/>
      <c r="AG68" s="337"/>
      <c r="AH68" s="337"/>
      <c r="AI68" s="337"/>
      <c r="AJ68" s="337"/>
      <c r="AK68" s="337"/>
      <c r="AL68" s="337"/>
      <c r="AM68" s="338" t="s">
        <v>1015</v>
      </c>
      <c r="AN68" s="310"/>
    </row>
  </sheetData>
  <dataValidations count="7">
    <dataValidation type="list" allowBlank="1" sqref="D2:D7">
      <formula1>"ENTRENAMIENTO,DETENIDO BOL,FINALIZADO,EN PROCESO ,PAUSADO ,EN TEST,CONTROL DE CAMBIOS PRODUCCION,PENDIENTE,PRUEBAS BOLIVAR,PENDIENTE BOLIVAR"</formula1>
    </dataValidation>
    <dataValidation type="list" allowBlank="1" sqref="D8:D10 D12:D34">
      <formula1>"ENTRENAMIENTO,DETENIDO BOL,FINALIZADO,EN PROCESO ,PAUSADO ,EN TEST,CONTROL DE CAMBIOS PRODUCCION,PENDIENTE,PRUEBAS BOLIVAR,PENDIENTE BOLIVAR"</formula1>
    </dataValidation>
    <dataValidation type="list" allowBlank="1" sqref="D35">
      <formula1>"ENTRENAMIENTO,DETENIDO BOL,FINALIZADO,EN PROCESO ,PAUSADO ,EN TEST,CONTROL DE CAMBIOS PRODUCCION,PENDIENTE,PRUEBAS BOLIVAR,PENDIENTE BOLIVAR,PRUEBAS IMAGINE,PASO A PRODUCCION"</formula1>
    </dataValidation>
    <dataValidation type="list" allowBlank="1" sqref="D54:D68">
      <formula1>"ENTRENAMIENTO,DETENIDO BOL,FINALIZADO,EN PROCESO ,PAUSADO ,EN TEST,CONTROL DE CAMBIOS PRODUCCION,PENDIENTE,PRUEBAS BOLIVAR,PENDIENTE BOLIVAR,PRUEBAS IMAGINE,PASO A PRODUCCION,CONTROL CAMBIOS TEST,ESTIMAR"</formula1>
    </dataValidation>
    <dataValidation type="list" allowBlank="1" sqref="N36:N68">
      <formula1>"Opción 1,Opción 2"</formula1>
    </dataValidation>
    <dataValidation type="custom" allowBlank="1" showDropDown="1" sqref="G2:J7 M2:M7 O2:O7">
      <formula1>OR(NOT(ISERROR(DATEVALUE(G2))), AND(ISNUMBER(G2), LEFT(CELL("format", G2))="D"))</formula1>
    </dataValidation>
    <dataValidation type="list" allowBlank="1" sqref="D36:D53">
      <formula1>"ENTRENAMIENTO,DETENIDO BOL,FINALIZADO,EN PROCESO ,PAUSADO ,EN TEST,CONTROL DE CAMBIOS PRODUCCION,PENDIENTE,PRUEBAS BOLIVAR,PENDIENTE BOLIVAR,PRUEBAS IMAGINE,PASO A PRODUCCION,CONTROL CAMBIOS TEST"</formula1>
    </dataValidation>
  </dataValidations>
  <hyperlinks>
    <hyperlink ref="B39" r:id="rId1"/>
    <hyperlink ref="B42" r:id="rId2"/>
    <hyperlink ref="L52" r:id="rId3"/>
    <hyperlink ref="B61" r:id="rId4"/>
  </hyperlinks>
  <pageMargins left="0.7" right="0.7" top="0.75" bottom="0.75" header="0.3" footer="0.3"/>
  <tableParts count="20">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AG1000"/>
  <sheetViews>
    <sheetView workbookViewId="0">
      <pane ySplit="1" topLeftCell="A2" activePane="bottomLeft" state="frozen"/>
      <selection pane="bottomLeft" activeCell="B3" sqref="B3"/>
    </sheetView>
  </sheetViews>
  <sheetFormatPr baseColWidth="10" defaultColWidth="11.21875" defaultRowHeight="15" customHeight="1"/>
  <cols>
    <col min="1" max="1" width="14.77734375" customWidth="1"/>
    <col min="2" max="2" width="36.21875" customWidth="1"/>
    <col min="3" max="3" width="41.109375" customWidth="1"/>
    <col min="4" max="4" width="14.44140625" customWidth="1"/>
    <col min="5" max="5" width="8.77734375" customWidth="1"/>
    <col min="6" max="6" width="9.44140625" customWidth="1"/>
    <col min="7" max="7" width="16.33203125" customWidth="1"/>
    <col min="8" max="8" width="8.77734375" customWidth="1"/>
    <col min="9" max="9" width="4.6640625" customWidth="1"/>
    <col min="10" max="10" width="8.77734375" customWidth="1"/>
    <col min="11" max="11" width="10.44140625" customWidth="1"/>
    <col min="12" max="12" width="83.33203125" customWidth="1"/>
    <col min="13" max="13" width="67.6640625" customWidth="1"/>
    <col min="14" max="26" width="10.5546875" customWidth="1"/>
  </cols>
  <sheetData>
    <row r="1" spans="1:26" ht="15" customHeight="1">
      <c r="A1" s="353" t="s">
        <v>757</v>
      </c>
      <c r="B1" s="353" t="s">
        <v>2</v>
      </c>
      <c r="C1" s="353" t="s">
        <v>3</v>
      </c>
      <c r="D1" s="353" t="s">
        <v>4</v>
      </c>
      <c r="E1" s="354" t="s">
        <v>6</v>
      </c>
      <c r="F1" s="354" t="s">
        <v>7</v>
      </c>
      <c r="G1" s="355" t="s">
        <v>1016</v>
      </c>
      <c r="H1" s="354" t="s">
        <v>9</v>
      </c>
      <c r="I1" s="354" t="s">
        <v>759</v>
      </c>
      <c r="J1" s="356" t="s">
        <v>12</v>
      </c>
      <c r="K1" s="357" t="s">
        <v>13</v>
      </c>
      <c r="L1" s="358" t="s">
        <v>760</v>
      </c>
      <c r="M1" s="275"/>
      <c r="N1" s="275"/>
      <c r="O1" s="275"/>
      <c r="P1" s="275"/>
      <c r="Q1" s="275"/>
      <c r="R1" s="275"/>
      <c r="S1" s="275"/>
      <c r="T1" s="275"/>
      <c r="U1" s="275"/>
      <c r="V1" s="275"/>
      <c r="W1" s="275"/>
      <c r="X1" s="275"/>
      <c r="Y1" s="275"/>
      <c r="Z1" s="275"/>
    </row>
    <row r="2" spans="1:26" ht="15" customHeight="1">
      <c r="A2" s="359" t="s">
        <v>776</v>
      </c>
      <c r="B2" s="360" t="s">
        <v>1017</v>
      </c>
      <c r="C2" s="361" t="s">
        <v>1018</v>
      </c>
      <c r="D2" s="362"/>
      <c r="E2" s="363">
        <v>45561</v>
      </c>
      <c r="F2" s="363">
        <v>45561</v>
      </c>
      <c r="G2" s="362"/>
      <c r="H2" s="364">
        <v>45565</v>
      </c>
      <c r="I2" s="365">
        <f ca="1">IF(ISBLANK(H2), NETWORKDAYS(F2, TODAY(),fESTIVOS!$A$1:$A$18), NETWORKDAYS(F2, H2, fESTIVOS!$A$1:$A$18))</f>
        <v>3</v>
      </c>
      <c r="J2" s="363">
        <v>45565</v>
      </c>
      <c r="K2" s="363">
        <v>45566</v>
      </c>
      <c r="L2" s="366" t="s">
        <v>1019</v>
      </c>
      <c r="M2" s="275"/>
      <c r="N2" s="275"/>
      <c r="O2" s="275"/>
      <c r="P2" s="275"/>
      <c r="Q2" s="275"/>
      <c r="R2" s="275"/>
      <c r="S2" s="275"/>
      <c r="T2" s="275"/>
      <c r="U2" s="275"/>
      <c r="V2" s="275"/>
      <c r="W2" s="275"/>
      <c r="X2" s="275"/>
      <c r="Y2" s="275"/>
      <c r="Z2" s="275"/>
    </row>
    <row r="3" spans="1:26" ht="15" customHeight="1">
      <c r="A3" s="359" t="s">
        <v>776</v>
      </c>
      <c r="B3" s="367"/>
      <c r="C3" s="361" t="s">
        <v>1020</v>
      </c>
      <c r="D3" s="362"/>
      <c r="E3" s="363">
        <v>45561</v>
      </c>
      <c r="F3" s="363">
        <v>45562</v>
      </c>
      <c r="G3" s="362"/>
      <c r="H3" s="363">
        <v>45565</v>
      </c>
      <c r="I3" s="365">
        <f ca="1">IF(ISBLANK(H3), NETWORKDAYS(F3, TODAY(),fESTIVOS!$A$1:$A$18), NETWORKDAYS(F3, H3, fESTIVOS!$A$1:$A$18))</f>
        <v>2</v>
      </c>
      <c r="J3" s="363">
        <v>45565</v>
      </c>
      <c r="K3" s="363">
        <v>45566</v>
      </c>
      <c r="L3" s="366" t="s">
        <v>1021</v>
      </c>
      <c r="M3" s="275"/>
      <c r="N3" s="275"/>
      <c r="O3" s="275"/>
      <c r="P3" s="275"/>
      <c r="Q3" s="275"/>
      <c r="R3" s="275"/>
      <c r="S3" s="275"/>
      <c r="T3" s="275"/>
      <c r="U3" s="275"/>
      <c r="V3" s="275"/>
      <c r="W3" s="275"/>
      <c r="X3" s="275"/>
      <c r="Y3" s="275"/>
      <c r="Z3" s="275"/>
    </row>
    <row r="4" spans="1:26" ht="15" customHeight="1">
      <c r="A4" s="359" t="s">
        <v>776</v>
      </c>
      <c r="B4" s="368" t="s">
        <v>1022</v>
      </c>
      <c r="C4" s="361" t="s">
        <v>1023</v>
      </c>
      <c r="D4" s="362"/>
      <c r="E4" s="363">
        <v>45566</v>
      </c>
      <c r="F4" s="363">
        <v>45566</v>
      </c>
      <c r="G4" s="362"/>
      <c r="H4" s="363">
        <v>45566</v>
      </c>
      <c r="I4" s="365">
        <f ca="1">IF(ISBLANK(H4), NETWORKDAYS(F4, TODAY(),fESTIVOS!$A$1:$A$18), NETWORKDAYS(F4, H4, fESTIVOS!$A$1:$A$18))</f>
        <v>1</v>
      </c>
      <c r="J4" s="363">
        <v>45566</v>
      </c>
      <c r="K4" s="363">
        <v>45566</v>
      </c>
      <c r="L4" s="366" t="s">
        <v>1024</v>
      </c>
      <c r="M4" s="275"/>
      <c r="N4" s="275"/>
      <c r="O4" s="275"/>
      <c r="P4" s="275"/>
      <c r="Q4" s="275"/>
      <c r="R4" s="275"/>
      <c r="S4" s="275"/>
      <c r="T4" s="275"/>
      <c r="U4" s="275"/>
      <c r="V4" s="275"/>
      <c r="W4" s="275"/>
      <c r="X4" s="275"/>
      <c r="Y4" s="275"/>
      <c r="Z4" s="275"/>
    </row>
    <row r="5" spans="1:26" ht="15" customHeight="1">
      <c r="A5" s="359" t="s">
        <v>776</v>
      </c>
      <c r="B5" s="369"/>
      <c r="C5" s="361" t="s">
        <v>1025</v>
      </c>
      <c r="D5" s="362"/>
      <c r="E5" s="363">
        <v>45566</v>
      </c>
      <c r="F5" s="363">
        <v>45566</v>
      </c>
      <c r="G5" s="362"/>
      <c r="H5" s="363">
        <v>45566</v>
      </c>
      <c r="I5" s="365">
        <f ca="1">IF(ISBLANK(H5), NETWORKDAYS(F5, TODAY(),fESTIVOS!$A$1:$A$18), NETWORKDAYS(F5, H5, fESTIVOS!$A$1:$A$18))</f>
        <v>1</v>
      </c>
      <c r="J5" s="363">
        <v>45566</v>
      </c>
      <c r="K5" s="363">
        <v>45566</v>
      </c>
      <c r="L5" s="366" t="s">
        <v>1024</v>
      </c>
      <c r="M5" s="275"/>
      <c r="N5" s="275"/>
      <c r="O5" s="275"/>
      <c r="P5" s="275"/>
      <c r="Q5" s="275"/>
      <c r="R5" s="275"/>
      <c r="S5" s="275"/>
      <c r="T5" s="275"/>
      <c r="U5" s="275"/>
      <c r="V5" s="275"/>
      <c r="W5" s="275"/>
      <c r="X5" s="275"/>
      <c r="Y5" s="275"/>
      <c r="Z5" s="275"/>
    </row>
    <row r="6" spans="1:26" ht="15" customHeight="1">
      <c r="A6" s="359" t="s">
        <v>776</v>
      </c>
      <c r="B6" s="369"/>
      <c r="C6" s="361" t="s">
        <v>1026</v>
      </c>
      <c r="D6" s="362"/>
      <c r="E6" s="363">
        <v>45566</v>
      </c>
      <c r="F6" s="363">
        <v>45566</v>
      </c>
      <c r="G6" s="362"/>
      <c r="H6" s="363">
        <v>45566</v>
      </c>
      <c r="I6" s="365">
        <f ca="1">IF(ISBLANK(H6), NETWORKDAYS(F6, TODAY(),fESTIVOS!$A$1:$A$18), NETWORKDAYS(F6, H6, fESTIVOS!$A$1:$A$18))</f>
        <v>1</v>
      </c>
      <c r="J6" s="363">
        <v>45566</v>
      </c>
      <c r="K6" s="363">
        <v>45566</v>
      </c>
      <c r="L6" s="366" t="s">
        <v>1024</v>
      </c>
      <c r="M6" s="275"/>
      <c r="N6" s="275"/>
      <c r="O6" s="275"/>
      <c r="P6" s="275"/>
      <c r="Q6" s="275"/>
      <c r="R6" s="275"/>
      <c r="S6" s="275"/>
      <c r="T6" s="275"/>
      <c r="U6" s="275"/>
      <c r="V6" s="275"/>
      <c r="W6" s="275"/>
      <c r="X6" s="275"/>
      <c r="Y6" s="275"/>
      <c r="Z6" s="275"/>
    </row>
    <row r="7" spans="1:26" ht="15" customHeight="1">
      <c r="A7" s="361" t="s">
        <v>761</v>
      </c>
      <c r="B7" s="370" t="s">
        <v>1027</v>
      </c>
      <c r="C7" s="361"/>
      <c r="D7" s="362" t="s">
        <v>37</v>
      </c>
      <c r="E7" s="363">
        <v>45566</v>
      </c>
      <c r="F7" s="363">
        <v>45566</v>
      </c>
      <c r="G7" s="362"/>
      <c r="H7" s="363">
        <v>45567</v>
      </c>
      <c r="I7" s="365">
        <f ca="1">IF(ISBLANK(H7), NETWORKDAYS(F7, TODAY(),fESTIVOS!$A$1:$A$18), NETWORKDAYS(F7, H7, fESTIVOS!$A$1:$A$18))</f>
        <v>2</v>
      </c>
      <c r="J7" s="362"/>
      <c r="K7" s="362"/>
      <c r="L7" s="366" t="s">
        <v>1028</v>
      </c>
      <c r="M7" s="265"/>
      <c r="N7" s="265"/>
      <c r="O7" s="265"/>
      <c r="P7" s="265"/>
      <c r="Q7" s="265"/>
      <c r="R7" s="265"/>
      <c r="S7" s="265"/>
      <c r="T7" s="265"/>
      <c r="U7" s="265"/>
      <c r="V7" s="265"/>
      <c r="W7" s="265"/>
      <c r="X7" s="265"/>
      <c r="Y7" s="265"/>
      <c r="Z7" s="265"/>
    </row>
    <row r="8" spans="1:26" ht="15" customHeight="1">
      <c r="A8" s="362" t="s">
        <v>768</v>
      </c>
      <c r="B8" s="371" t="s">
        <v>1029</v>
      </c>
      <c r="C8" s="361"/>
      <c r="D8" s="362" t="s">
        <v>37</v>
      </c>
      <c r="E8" s="363">
        <v>45566</v>
      </c>
      <c r="F8" s="363">
        <v>45566</v>
      </c>
      <c r="G8" s="362"/>
      <c r="H8" s="363">
        <v>45566</v>
      </c>
      <c r="I8" s="365">
        <f ca="1">IF(ISBLANK(H8), NETWORKDAYS(F8, TODAY(),fESTIVOS!$A$1:$A$18), NETWORKDAYS(F8, H8, fESTIVOS!$A$1:$A$18))</f>
        <v>1</v>
      </c>
      <c r="J8" s="362"/>
      <c r="K8" s="363">
        <v>45566</v>
      </c>
      <c r="L8" s="366" t="s">
        <v>1030</v>
      </c>
      <c r="M8" s="265"/>
      <c r="N8" s="265"/>
      <c r="O8" s="265"/>
      <c r="P8" s="265"/>
      <c r="Q8" s="265"/>
      <c r="R8" s="265"/>
      <c r="S8" s="265"/>
      <c r="T8" s="265"/>
      <c r="U8" s="265"/>
      <c r="V8" s="265"/>
      <c r="W8" s="265"/>
      <c r="X8" s="265"/>
      <c r="Y8" s="265"/>
      <c r="Z8" s="265"/>
    </row>
    <row r="9" spans="1:26" ht="15" customHeight="1">
      <c r="A9" s="362" t="s">
        <v>768</v>
      </c>
      <c r="B9" s="371" t="s">
        <v>1031</v>
      </c>
      <c r="C9" s="361"/>
      <c r="D9" s="362" t="s">
        <v>1032</v>
      </c>
      <c r="E9" s="363">
        <v>45566</v>
      </c>
      <c r="F9" s="363">
        <v>45566</v>
      </c>
      <c r="G9" s="363">
        <v>45567</v>
      </c>
      <c r="H9" s="363">
        <v>45566</v>
      </c>
      <c r="I9" s="365">
        <f ca="1">IF(ISBLANK(H9), NETWORKDAYS(F9, TODAY(),fESTIVOS!$A$1:$A$18), NETWORKDAYS(F9, H9, fESTIVOS!$A$1:$A$18))</f>
        <v>1</v>
      </c>
      <c r="J9" s="363">
        <v>45568</v>
      </c>
      <c r="K9" s="362"/>
      <c r="L9" s="366" t="s">
        <v>1033</v>
      </c>
      <c r="M9" s="265"/>
      <c r="N9" s="265"/>
      <c r="O9" s="265"/>
      <c r="P9" s="265"/>
      <c r="Q9" s="265"/>
      <c r="R9" s="265"/>
      <c r="S9" s="265"/>
      <c r="T9" s="265"/>
      <c r="U9" s="265"/>
      <c r="V9" s="265"/>
      <c r="W9" s="265"/>
      <c r="X9" s="265"/>
      <c r="Y9" s="265"/>
      <c r="Z9" s="265"/>
    </row>
    <row r="10" spans="1:26" ht="15" customHeight="1">
      <c r="A10" s="372" t="s">
        <v>1034</v>
      </c>
      <c r="B10" s="371" t="s">
        <v>1035</v>
      </c>
      <c r="C10" s="361"/>
      <c r="D10" s="362" t="s">
        <v>37</v>
      </c>
      <c r="E10" s="363">
        <v>45567</v>
      </c>
      <c r="F10" s="363">
        <v>45567</v>
      </c>
      <c r="G10" s="362"/>
      <c r="H10" s="363">
        <v>45567</v>
      </c>
      <c r="I10" s="365">
        <f ca="1">IF(ISBLANK(H10), NETWORKDAYS(F10, TODAY(),fESTIVOS!$A$1:$A$18), NETWORKDAYS(F10, H10, fESTIVOS!$A$1:$A$18))</f>
        <v>1</v>
      </c>
      <c r="J10" s="362"/>
      <c r="K10" s="363">
        <v>45568</v>
      </c>
      <c r="L10" s="366" t="s">
        <v>1036</v>
      </c>
      <c r="M10" s="265"/>
      <c r="N10" s="265"/>
      <c r="O10" s="265"/>
      <c r="P10" s="265"/>
      <c r="Q10" s="265"/>
      <c r="R10" s="265"/>
      <c r="S10" s="265"/>
      <c r="T10" s="265"/>
      <c r="U10" s="265"/>
      <c r="V10" s="265"/>
      <c r="W10" s="265"/>
      <c r="X10" s="265"/>
      <c r="Y10" s="265"/>
      <c r="Z10" s="265"/>
    </row>
    <row r="11" spans="1:26" ht="15" customHeight="1">
      <c r="A11" s="362" t="s">
        <v>786</v>
      </c>
      <c r="B11" s="373" t="s">
        <v>1022</v>
      </c>
      <c r="C11" s="361" t="s">
        <v>1037</v>
      </c>
      <c r="D11" s="362" t="s">
        <v>37</v>
      </c>
      <c r="E11" s="363">
        <v>45566</v>
      </c>
      <c r="F11" s="363">
        <v>45566</v>
      </c>
      <c r="G11" s="363">
        <v>45567</v>
      </c>
      <c r="H11" s="363">
        <v>45567</v>
      </c>
      <c r="I11" s="365">
        <f ca="1">IF(ISBLANK(H11), NETWORKDAYS(F11, TODAY(),fESTIVOS!$A$1:$A$18), NETWORKDAYS(F11, H11, fESTIVOS!$A$1:$A$18))</f>
        <v>2</v>
      </c>
      <c r="J11" s="363">
        <v>45567</v>
      </c>
      <c r="K11" s="363">
        <v>45568</v>
      </c>
      <c r="L11" s="366" t="s">
        <v>1038</v>
      </c>
      <c r="M11" s="265"/>
      <c r="N11" s="265"/>
      <c r="O11" s="265"/>
      <c r="P11" s="265"/>
      <c r="Q11" s="265"/>
      <c r="R11" s="265"/>
      <c r="S11" s="265"/>
      <c r="T11" s="265"/>
      <c r="U11" s="265"/>
      <c r="V11" s="265"/>
      <c r="W11" s="265"/>
      <c r="X11" s="265"/>
      <c r="Y11" s="265"/>
      <c r="Z11" s="265"/>
    </row>
    <row r="12" spans="1:26" ht="15" customHeight="1">
      <c r="A12" s="362" t="s">
        <v>786</v>
      </c>
      <c r="B12" s="374" t="s">
        <v>1017</v>
      </c>
      <c r="C12" s="361" t="s">
        <v>1039</v>
      </c>
      <c r="D12" s="362" t="s">
        <v>37</v>
      </c>
      <c r="E12" s="363">
        <v>45566</v>
      </c>
      <c r="F12" s="363">
        <v>45566</v>
      </c>
      <c r="G12" s="363">
        <v>45567</v>
      </c>
      <c r="H12" s="363">
        <v>45567</v>
      </c>
      <c r="I12" s="365">
        <f ca="1">IF(ISBLANK(H12), NETWORKDAYS(F12, TODAY(),fESTIVOS!$A$1:$A$18), NETWORKDAYS(F12, H12, fESTIVOS!$A$1:$A$18))</f>
        <v>2</v>
      </c>
      <c r="J12" s="363">
        <v>45567</v>
      </c>
      <c r="K12" s="363">
        <v>45568</v>
      </c>
      <c r="L12" s="366" t="s">
        <v>1038</v>
      </c>
      <c r="M12" s="265"/>
      <c r="N12" s="265"/>
      <c r="O12" s="265"/>
      <c r="P12" s="265"/>
      <c r="Q12" s="265"/>
      <c r="R12" s="265"/>
      <c r="S12" s="265"/>
      <c r="T12" s="265"/>
      <c r="U12" s="265"/>
      <c r="V12" s="265"/>
      <c r="W12" s="265"/>
      <c r="X12" s="265"/>
      <c r="Y12" s="265"/>
      <c r="Z12" s="265"/>
    </row>
    <row r="13" spans="1:26" ht="15" customHeight="1">
      <c r="A13" s="375" t="s">
        <v>1034</v>
      </c>
      <c r="B13" s="376" t="s">
        <v>1040</v>
      </c>
      <c r="C13" s="361"/>
      <c r="D13" s="362" t="s">
        <v>40</v>
      </c>
      <c r="E13" s="363">
        <v>45567</v>
      </c>
      <c r="F13" s="363"/>
      <c r="G13" s="362"/>
      <c r="H13" s="363">
        <v>45569</v>
      </c>
      <c r="I13" s="365">
        <f ca="1">IF(ISBLANK(H13), NETWORKDAYS(F13, TODAY(),fESTIVOS!$A$1:$A$18), NETWORKDAYS(F13, H13, fESTIVOS!$A$1:$A$18))</f>
        <v>32538</v>
      </c>
      <c r="J13" s="362"/>
      <c r="K13" s="362"/>
      <c r="L13" s="377" t="s">
        <v>1041</v>
      </c>
      <c r="M13" s="265"/>
      <c r="N13" s="265"/>
      <c r="O13" s="265"/>
      <c r="P13" s="265"/>
      <c r="Q13" s="265"/>
      <c r="R13" s="265"/>
      <c r="S13" s="265"/>
      <c r="T13" s="265"/>
      <c r="U13" s="265"/>
      <c r="V13" s="265"/>
      <c r="W13" s="265"/>
      <c r="X13" s="265"/>
      <c r="Y13" s="265"/>
      <c r="Z13" s="265"/>
    </row>
    <row r="14" spans="1:26" ht="15" customHeight="1">
      <c r="A14" s="359" t="s">
        <v>786</v>
      </c>
      <c r="B14" s="378" t="s">
        <v>1042</v>
      </c>
      <c r="C14" s="379"/>
      <c r="D14" s="372" t="s">
        <v>763</v>
      </c>
      <c r="E14" s="380">
        <v>45561</v>
      </c>
      <c r="F14" s="380">
        <v>45561</v>
      </c>
      <c r="G14" s="379"/>
      <c r="H14" s="380">
        <v>45562</v>
      </c>
      <c r="I14" s="365">
        <f ca="1">IF(ISBLANK(H14), NETWORKDAYS(F14, TODAY(),fESTIVOS!$A$1:$A$18), NETWORKDAYS(F14, H14, fESTIVOS!$A$1:$A$18))</f>
        <v>2</v>
      </c>
      <c r="J14" s="380">
        <v>45562</v>
      </c>
      <c r="K14" s="380">
        <v>45569</v>
      </c>
      <c r="L14" s="381" t="s">
        <v>1043</v>
      </c>
      <c r="M14" s="382" t="s">
        <v>1044</v>
      </c>
      <c r="N14" s="275"/>
      <c r="O14" s="275"/>
      <c r="P14" s="275"/>
      <c r="Q14" s="275"/>
      <c r="R14" s="275"/>
      <c r="S14" s="275"/>
      <c r="T14" s="275"/>
      <c r="U14" s="275"/>
      <c r="V14" s="275"/>
      <c r="W14" s="275"/>
      <c r="X14" s="275"/>
      <c r="Y14" s="275"/>
      <c r="Z14" s="275"/>
    </row>
    <row r="15" spans="1:26" ht="15" customHeight="1">
      <c r="A15" s="372" t="s">
        <v>883</v>
      </c>
      <c r="B15" s="371" t="s">
        <v>1035</v>
      </c>
      <c r="C15" s="374" t="s">
        <v>1045</v>
      </c>
      <c r="D15" s="362" t="s">
        <v>37</v>
      </c>
      <c r="E15" s="363">
        <v>45568</v>
      </c>
      <c r="F15" s="363">
        <v>45568</v>
      </c>
      <c r="G15" s="363">
        <v>45568</v>
      </c>
      <c r="H15" s="363">
        <v>45568</v>
      </c>
      <c r="I15" s="365">
        <f ca="1">IF(ISBLANK(H15), NETWORKDAYS(F15, TODAY(),fESTIVOS!$A$1:$A$18), NETWORKDAYS(F15, H15, fESTIVOS!$A$1:$A$18))</f>
        <v>1</v>
      </c>
      <c r="J15" s="362"/>
      <c r="K15" s="363"/>
      <c r="L15" s="366" t="s">
        <v>1046</v>
      </c>
      <c r="M15" s="265"/>
      <c r="N15" s="265"/>
      <c r="O15" s="265"/>
      <c r="P15" s="265"/>
      <c r="Q15" s="265"/>
      <c r="R15" s="265"/>
      <c r="S15" s="265"/>
      <c r="T15" s="265"/>
      <c r="U15" s="265"/>
      <c r="V15" s="265"/>
      <c r="W15" s="265"/>
      <c r="X15" s="265"/>
      <c r="Y15" s="265"/>
      <c r="Z15" s="265"/>
    </row>
    <row r="16" spans="1:26" ht="15" customHeight="1">
      <c r="A16" s="383" t="s">
        <v>776</v>
      </c>
      <c r="B16" s="384" t="s">
        <v>1047</v>
      </c>
      <c r="C16" s="371" t="s">
        <v>1048</v>
      </c>
      <c r="D16" s="372" t="s">
        <v>37</v>
      </c>
      <c r="E16" s="363">
        <v>45569</v>
      </c>
      <c r="F16" s="363">
        <v>45569</v>
      </c>
      <c r="G16" s="363"/>
      <c r="H16" s="363">
        <v>45569</v>
      </c>
      <c r="I16" s="365">
        <f ca="1">IF(ISBLANK(H16), NETWORKDAYS(F16, TODAY(),fESTIVOS!$A$1:$A$18), NETWORKDAYS(F16, H16, fESTIVOS!$A$1:$A$18))</f>
        <v>1</v>
      </c>
      <c r="J16" s="363"/>
      <c r="K16" s="363">
        <v>45569</v>
      </c>
      <c r="L16" s="366" t="s">
        <v>1049</v>
      </c>
      <c r="M16" s="265"/>
      <c r="N16" s="265"/>
      <c r="O16" s="265"/>
      <c r="P16" s="265"/>
      <c r="Q16" s="265"/>
      <c r="R16" s="265"/>
      <c r="S16" s="265"/>
      <c r="T16" s="265"/>
      <c r="U16" s="265"/>
      <c r="V16" s="265"/>
      <c r="W16" s="265"/>
      <c r="X16" s="265"/>
      <c r="Y16" s="265"/>
      <c r="Z16" s="265"/>
    </row>
    <row r="17" spans="1:26" ht="15" customHeight="1">
      <c r="A17" s="383" t="s">
        <v>776</v>
      </c>
      <c r="B17" s="367"/>
      <c r="C17" s="371" t="s">
        <v>1050</v>
      </c>
      <c r="D17" s="372" t="s">
        <v>37</v>
      </c>
      <c r="E17" s="363">
        <v>45569</v>
      </c>
      <c r="F17" s="363">
        <v>45569</v>
      </c>
      <c r="G17" s="363"/>
      <c r="H17" s="363">
        <v>45569</v>
      </c>
      <c r="I17" s="365">
        <f ca="1">IF(ISBLANK(H17), NETWORKDAYS(F17, TODAY(),fESTIVOS!$A$1:$A$18), NETWORKDAYS(F17, H17, fESTIVOS!$A$1:$A$18))</f>
        <v>1</v>
      </c>
      <c r="J17" s="363"/>
      <c r="K17" s="362"/>
      <c r="L17" s="366"/>
      <c r="M17" s="265"/>
      <c r="N17" s="265"/>
      <c r="O17" s="265"/>
      <c r="P17" s="265"/>
      <c r="Q17" s="265"/>
      <c r="R17" s="265"/>
      <c r="S17" s="265"/>
      <c r="T17" s="265"/>
      <c r="U17" s="265"/>
      <c r="V17" s="265"/>
      <c r="W17" s="265"/>
      <c r="X17" s="265"/>
      <c r="Y17" s="265"/>
      <c r="Z17" s="265"/>
    </row>
    <row r="18" spans="1:26" ht="15" customHeight="1">
      <c r="A18" s="383" t="s">
        <v>776</v>
      </c>
      <c r="B18" s="385" t="s">
        <v>1051</v>
      </c>
      <c r="C18" s="385" t="s">
        <v>1052</v>
      </c>
      <c r="D18" s="386" t="s">
        <v>39</v>
      </c>
      <c r="E18" s="387">
        <v>45567</v>
      </c>
      <c r="F18" s="387">
        <v>45567</v>
      </c>
      <c r="G18" s="387">
        <v>45568</v>
      </c>
      <c r="H18" s="387">
        <v>45568</v>
      </c>
      <c r="I18" s="388">
        <f ca="1">IF(ISBLANK(H18), NETWORKDAYS(F18, TODAY(),fESTIVOS!$A$1:$A$18), NETWORKDAYS(F18, H18, fESTIVOS!$A$1:$A$18))</f>
        <v>2</v>
      </c>
      <c r="J18" s="387">
        <v>45568</v>
      </c>
      <c r="K18" s="389"/>
      <c r="L18" s="390" t="s">
        <v>1053</v>
      </c>
      <c r="M18" s="265"/>
      <c r="N18" s="265"/>
      <c r="O18" s="265"/>
      <c r="P18" s="265"/>
      <c r="Q18" s="265"/>
      <c r="R18" s="265"/>
      <c r="S18" s="265"/>
      <c r="T18" s="265"/>
      <c r="U18" s="265"/>
      <c r="V18" s="265"/>
      <c r="W18" s="265"/>
      <c r="X18" s="265"/>
      <c r="Y18" s="265"/>
      <c r="Z18" s="265"/>
    </row>
    <row r="19" spans="1:26" ht="15" customHeight="1">
      <c r="A19" s="375" t="s">
        <v>1034</v>
      </c>
      <c r="B19" s="391" t="s">
        <v>1054</v>
      </c>
      <c r="C19" s="377" t="s">
        <v>1055</v>
      </c>
      <c r="D19" s="372" t="s">
        <v>1056</v>
      </c>
      <c r="E19" s="363">
        <v>45566</v>
      </c>
      <c r="F19" s="363">
        <v>45566</v>
      </c>
      <c r="G19" s="363">
        <v>45567</v>
      </c>
      <c r="H19" s="363">
        <v>45567</v>
      </c>
      <c r="I19" s="365">
        <f ca="1">IF(ISBLANK(H19), NETWORKDAYS(F19, TODAY(),fESTIVOS!$A$1:$A$18), NETWORKDAYS(F19, H19, fESTIVOS!$A$1:$A$18))</f>
        <v>2</v>
      </c>
      <c r="J19" s="363">
        <v>45568</v>
      </c>
      <c r="K19" s="362"/>
      <c r="L19" s="366" t="s">
        <v>1057</v>
      </c>
      <c r="M19" s="265"/>
      <c r="N19" s="265"/>
      <c r="O19" s="265"/>
      <c r="P19" s="265"/>
      <c r="Q19" s="265"/>
      <c r="R19" s="265"/>
      <c r="S19" s="265"/>
      <c r="T19" s="265"/>
      <c r="U19" s="265"/>
      <c r="V19" s="265"/>
      <c r="W19" s="265"/>
      <c r="X19" s="265"/>
      <c r="Y19" s="265"/>
      <c r="Z19" s="265"/>
    </row>
    <row r="20" spans="1:26" ht="15" customHeight="1">
      <c r="A20" s="375" t="s">
        <v>1034</v>
      </c>
      <c r="B20" s="228"/>
      <c r="C20" s="371" t="s">
        <v>1058</v>
      </c>
      <c r="D20" s="372" t="s">
        <v>1056</v>
      </c>
      <c r="E20" s="363">
        <v>45561</v>
      </c>
      <c r="F20" s="363">
        <v>45561</v>
      </c>
      <c r="G20" s="363">
        <v>45567</v>
      </c>
      <c r="H20" s="363">
        <v>45568</v>
      </c>
      <c r="I20" s="365">
        <f ca="1">IF(ISBLANK(H20), NETWORKDAYS(F20, TODAY(),fESTIVOS!$A$1:$A$18), NETWORKDAYS(F20, H20, fESTIVOS!$A$1:$A$18))</f>
        <v>6</v>
      </c>
      <c r="J20" s="363">
        <v>45568</v>
      </c>
      <c r="K20" s="362"/>
      <c r="L20" s="392" t="s">
        <v>1059</v>
      </c>
      <c r="M20" s="265"/>
      <c r="N20" s="265"/>
      <c r="O20" s="265"/>
      <c r="P20" s="265"/>
      <c r="Q20" s="265"/>
      <c r="R20" s="265"/>
      <c r="S20" s="265"/>
      <c r="T20" s="265"/>
      <c r="U20" s="265"/>
      <c r="V20" s="265"/>
      <c r="W20" s="265"/>
      <c r="X20" s="265"/>
      <c r="Y20" s="265"/>
      <c r="Z20" s="265"/>
    </row>
    <row r="21" spans="1:26" ht="15" customHeight="1">
      <c r="A21" s="375" t="s">
        <v>1034</v>
      </c>
      <c r="B21" s="393"/>
      <c r="C21" s="374" t="s">
        <v>1060</v>
      </c>
      <c r="D21" s="362" t="s">
        <v>1056</v>
      </c>
      <c r="E21" s="363">
        <v>45561</v>
      </c>
      <c r="F21" s="363">
        <v>45568</v>
      </c>
      <c r="G21" s="362"/>
      <c r="H21" s="363">
        <v>45568</v>
      </c>
      <c r="I21" s="365">
        <f ca="1">IF(ISBLANK(H21), NETWORKDAYS(F21, TODAY(),fESTIVOS!$A$1:$A$18), NETWORKDAYS(F21, H21, fESTIVOS!$A$1:$A$18))</f>
        <v>1</v>
      </c>
      <c r="J21" s="363">
        <v>45568</v>
      </c>
      <c r="K21" s="362"/>
      <c r="L21" s="366" t="s">
        <v>1061</v>
      </c>
      <c r="M21" s="265"/>
      <c r="N21" s="265"/>
      <c r="O21" s="265"/>
      <c r="P21" s="265"/>
      <c r="Q21" s="265"/>
      <c r="R21" s="265"/>
      <c r="S21" s="265"/>
      <c r="T21" s="265"/>
      <c r="U21" s="265"/>
      <c r="V21" s="265"/>
      <c r="W21" s="265"/>
      <c r="X21" s="265"/>
      <c r="Y21" s="265"/>
      <c r="Z21" s="265"/>
    </row>
    <row r="22" spans="1:26" ht="15" customHeight="1">
      <c r="A22" s="394" t="s">
        <v>1062</v>
      </c>
      <c r="B22" s="371" t="s">
        <v>1029</v>
      </c>
      <c r="C22" s="374" t="s">
        <v>1063</v>
      </c>
      <c r="D22" s="362" t="s">
        <v>37</v>
      </c>
      <c r="E22" s="363">
        <v>45567</v>
      </c>
      <c r="F22" s="363">
        <v>45567</v>
      </c>
      <c r="G22" s="363">
        <v>45567</v>
      </c>
      <c r="H22" s="363">
        <v>45569</v>
      </c>
      <c r="I22" s="365">
        <f ca="1">IF(ISBLANK(H22), NETWORKDAYS(F22, TODAY(),fESTIVOS!$A$1:$A$18), NETWORKDAYS(F22, H22, fESTIVOS!$A$1:$A$18))</f>
        <v>3</v>
      </c>
      <c r="J22" s="362"/>
      <c r="K22" s="362"/>
      <c r="L22" s="377" t="s">
        <v>1064</v>
      </c>
      <c r="M22" s="265"/>
      <c r="N22" s="265"/>
      <c r="O22" s="265"/>
      <c r="P22" s="265"/>
      <c r="Q22" s="265"/>
      <c r="R22" s="265"/>
      <c r="S22" s="265"/>
      <c r="T22" s="265"/>
      <c r="U22" s="265"/>
      <c r="V22" s="265"/>
      <c r="W22" s="265"/>
      <c r="X22" s="265"/>
      <c r="Y22" s="265"/>
      <c r="Z22" s="265"/>
    </row>
    <row r="23" spans="1:26" ht="15" customHeight="1">
      <c r="A23" s="395" t="s">
        <v>1034</v>
      </c>
      <c r="B23" s="396" t="s">
        <v>1054</v>
      </c>
      <c r="C23" s="371" t="s">
        <v>1065</v>
      </c>
      <c r="D23" s="362" t="s">
        <v>37</v>
      </c>
      <c r="E23" s="363">
        <v>45569</v>
      </c>
      <c r="F23" s="363">
        <v>45572</v>
      </c>
      <c r="G23" s="363"/>
      <c r="H23" s="363">
        <v>45572</v>
      </c>
      <c r="I23" s="365">
        <f ca="1">IF(ISBLANK(H23), NETWORKDAYS(F23, TODAY(),fESTIVOS!$A$1:$A$18), NETWORKDAYS(F23, H23, fESTIVOS!$A$1:$A$18))</f>
        <v>1</v>
      </c>
      <c r="J23" s="363">
        <v>45572</v>
      </c>
      <c r="K23" s="363"/>
      <c r="L23" s="366"/>
      <c r="M23" s="275"/>
      <c r="N23" s="275"/>
      <c r="O23" s="275"/>
      <c r="P23" s="275"/>
      <c r="Q23" s="275"/>
      <c r="R23" s="275"/>
      <c r="S23" s="275"/>
      <c r="T23" s="275"/>
      <c r="U23" s="275"/>
      <c r="V23" s="275"/>
      <c r="W23" s="275"/>
      <c r="X23" s="275"/>
      <c r="Y23" s="275"/>
      <c r="Z23" s="275"/>
    </row>
    <row r="24" spans="1:26" ht="15" customHeight="1">
      <c r="A24" s="362" t="s">
        <v>883</v>
      </c>
      <c r="B24" s="371" t="s">
        <v>1031</v>
      </c>
      <c r="C24" s="374" t="s">
        <v>1066</v>
      </c>
      <c r="D24" s="362" t="s">
        <v>37</v>
      </c>
      <c r="E24" s="363">
        <v>45568</v>
      </c>
      <c r="F24" s="363">
        <v>45568</v>
      </c>
      <c r="G24" s="363">
        <v>45568</v>
      </c>
      <c r="H24" s="363">
        <v>45568</v>
      </c>
      <c r="I24" s="365">
        <f ca="1">IF(ISBLANK(H24), NETWORKDAYS(F24, TODAY(),fESTIVOS!$A$1:$A$18), NETWORKDAYS(F24, H24, fESTIVOS!$A$1:$A$18))</f>
        <v>1</v>
      </c>
      <c r="J24" s="363"/>
      <c r="K24" s="363"/>
      <c r="L24" s="366" t="s">
        <v>1067</v>
      </c>
      <c r="M24" s="265"/>
      <c r="N24" s="265"/>
      <c r="O24" s="265"/>
      <c r="P24" s="265"/>
      <c r="Q24" s="265"/>
      <c r="R24" s="265"/>
      <c r="S24" s="265"/>
      <c r="T24" s="265"/>
      <c r="U24" s="265"/>
      <c r="V24" s="265"/>
      <c r="W24" s="265"/>
      <c r="X24" s="265"/>
      <c r="Y24" s="265"/>
      <c r="Z24" s="265"/>
    </row>
    <row r="25" spans="1:26" ht="15" customHeight="1">
      <c r="A25" s="397" t="s">
        <v>786</v>
      </c>
      <c r="B25" s="384" t="s">
        <v>1068</v>
      </c>
      <c r="C25" s="398"/>
      <c r="D25" s="389" t="s">
        <v>40</v>
      </c>
      <c r="E25" s="387">
        <v>45572</v>
      </c>
      <c r="F25" s="387">
        <v>45573</v>
      </c>
      <c r="G25" s="389"/>
      <c r="H25" s="387">
        <v>45573</v>
      </c>
      <c r="I25" s="388">
        <f ca="1">IF(ISBLANK(H25), NETWORKDAYS(F25, TODAY(),fESTIVOS!$A$1:$A$18), NETWORKDAYS(F25, H25, fESTIVOS!$A$1:$A$18))</f>
        <v>1</v>
      </c>
      <c r="J25" s="387"/>
      <c r="K25" s="387">
        <v>45573</v>
      </c>
      <c r="L25" s="390" t="s">
        <v>1069</v>
      </c>
      <c r="M25" s="275"/>
      <c r="N25" s="275"/>
      <c r="O25" s="275"/>
      <c r="P25" s="275"/>
      <c r="Q25" s="275"/>
      <c r="R25" s="275"/>
      <c r="S25" s="275"/>
      <c r="T25" s="275"/>
      <c r="U25" s="275"/>
      <c r="V25" s="275"/>
      <c r="W25" s="275"/>
      <c r="X25" s="275"/>
      <c r="Y25" s="275"/>
      <c r="Z25" s="275"/>
    </row>
    <row r="26" spans="1:26" ht="15" customHeight="1">
      <c r="A26" s="394" t="s">
        <v>761</v>
      </c>
      <c r="B26" s="379"/>
      <c r="C26" s="361" t="s">
        <v>1070</v>
      </c>
      <c r="D26" s="362" t="s">
        <v>37</v>
      </c>
      <c r="E26" s="363">
        <v>45572</v>
      </c>
      <c r="F26" s="363">
        <v>45572</v>
      </c>
      <c r="G26" s="363"/>
      <c r="H26" s="363">
        <v>45572</v>
      </c>
      <c r="I26" s="365">
        <f ca="1">IF(ISBLANK(H26), NETWORKDAYS(F26, TODAY(),fESTIVOS!$A$1:$A$18), NETWORKDAYS(F26, H26, fESTIVOS!$A$1:$A$18))</f>
        <v>1</v>
      </c>
      <c r="J26" s="363">
        <v>45573</v>
      </c>
      <c r="K26" s="363"/>
      <c r="L26" s="377" t="s">
        <v>1071</v>
      </c>
      <c r="M26" s="265"/>
      <c r="N26" s="265"/>
      <c r="O26" s="265"/>
      <c r="P26" s="265"/>
      <c r="Q26" s="265"/>
      <c r="R26" s="265"/>
      <c r="S26" s="265"/>
      <c r="T26" s="265"/>
      <c r="U26" s="265"/>
      <c r="V26" s="265"/>
      <c r="W26" s="265"/>
      <c r="X26" s="265"/>
      <c r="Y26" s="265"/>
      <c r="Z26" s="265"/>
    </row>
    <row r="27" spans="1:26" ht="15" customHeight="1">
      <c r="A27" s="399" t="s">
        <v>768</v>
      </c>
      <c r="B27" s="400" t="s">
        <v>1072</v>
      </c>
      <c r="C27" s="401" t="s">
        <v>1073</v>
      </c>
      <c r="D27" s="194" t="s">
        <v>37</v>
      </c>
      <c r="E27" s="193">
        <v>45566</v>
      </c>
      <c r="F27" s="193">
        <v>45568</v>
      </c>
      <c r="G27" s="193">
        <v>45568</v>
      </c>
      <c r="H27" s="193">
        <v>45569</v>
      </c>
      <c r="I27" s="195">
        <f ca="1">IF(ISBLANK(H27), NETWORKDAYS(F27, TODAY(),fESTIVOS!$A$1:$A$18), NETWORKDAYS(F27, H27, fESTIVOS!$A$1:$A$18))</f>
        <v>2</v>
      </c>
      <c r="J27" s="193"/>
      <c r="K27" s="193"/>
      <c r="L27" s="196" t="s">
        <v>1074</v>
      </c>
      <c r="M27" s="183"/>
      <c r="N27" s="183"/>
      <c r="O27" s="183"/>
      <c r="P27" s="183"/>
      <c r="Q27" s="183"/>
      <c r="R27" s="183"/>
      <c r="S27" s="183"/>
      <c r="T27" s="183"/>
      <c r="U27" s="183"/>
      <c r="V27" s="183"/>
      <c r="W27" s="183"/>
      <c r="X27" s="183"/>
      <c r="Y27" s="183"/>
      <c r="Z27" s="183"/>
    </row>
    <row r="28" spans="1:26" ht="15" customHeight="1">
      <c r="A28" s="402" t="s">
        <v>1034</v>
      </c>
      <c r="B28" s="403" t="s">
        <v>1075</v>
      </c>
      <c r="C28" s="404"/>
      <c r="D28" s="405" t="s">
        <v>37</v>
      </c>
      <c r="E28" s="406">
        <v>45572</v>
      </c>
      <c r="F28" s="407">
        <v>45573</v>
      </c>
      <c r="G28" s="406"/>
      <c r="H28" s="407">
        <v>45573</v>
      </c>
      <c r="I28" s="408">
        <f ca="1">IF(ISBLANK(H28), NETWORKDAYS(F28, TODAY(),fESTIVOS!$A$1:$A$18), NETWORKDAYS(F28, H28, fESTIVOS!$A$1:$A$18))</f>
        <v>1</v>
      </c>
      <c r="J28" s="406"/>
      <c r="K28" s="406"/>
      <c r="L28" s="409" t="s">
        <v>1076</v>
      </c>
      <c r="M28" s="183"/>
      <c r="N28" s="183"/>
      <c r="O28" s="183"/>
      <c r="P28" s="183"/>
      <c r="Q28" s="183"/>
      <c r="R28" s="183"/>
      <c r="S28" s="183"/>
      <c r="T28" s="183"/>
      <c r="U28" s="183"/>
      <c r="V28" s="183"/>
      <c r="W28" s="183"/>
      <c r="X28" s="183"/>
      <c r="Y28" s="183"/>
      <c r="Z28" s="183"/>
    </row>
    <row r="29" spans="1:26" ht="15" customHeight="1">
      <c r="A29" s="402" t="s">
        <v>1034</v>
      </c>
      <c r="B29" s="410" t="s">
        <v>1054</v>
      </c>
      <c r="C29" s="411" t="s">
        <v>1077</v>
      </c>
      <c r="D29" s="194" t="s">
        <v>39</v>
      </c>
      <c r="E29" s="412">
        <v>45573</v>
      </c>
      <c r="F29" s="412">
        <v>45573</v>
      </c>
      <c r="G29" s="412">
        <v>45573</v>
      </c>
      <c r="H29" s="412">
        <v>45573</v>
      </c>
      <c r="I29" s="195">
        <f ca="1">IF(ISBLANK(H29), NETWORKDAYS(F29, TODAY(),fESTIVOS!$A$1:$A$18), NETWORKDAYS(F29, H29, fESTIVOS!$A$1:$A$18))</f>
        <v>1</v>
      </c>
      <c r="J29" s="412"/>
      <c r="K29" s="412"/>
      <c r="L29" s="413" t="s">
        <v>1078</v>
      </c>
      <c r="M29" s="189"/>
      <c r="N29" s="189"/>
      <c r="O29" s="189"/>
      <c r="P29" s="189"/>
      <c r="Q29" s="189"/>
      <c r="R29" s="189"/>
      <c r="S29" s="189"/>
      <c r="T29" s="189"/>
      <c r="U29" s="189"/>
      <c r="V29" s="189"/>
      <c r="W29" s="189"/>
      <c r="X29" s="189"/>
      <c r="Y29" s="189"/>
      <c r="Z29" s="189"/>
    </row>
    <row r="30" spans="1:26" ht="15.75" customHeight="1">
      <c r="A30" s="414" t="s">
        <v>776</v>
      </c>
      <c r="B30" s="411"/>
      <c r="C30" s="192" t="s">
        <v>1079</v>
      </c>
      <c r="D30" s="415" t="s">
        <v>1080</v>
      </c>
      <c r="E30" s="193">
        <v>45573</v>
      </c>
      <c r="F30" s="193">
        <v>45573</v>
      </c>
      <c r="G30" s="193"/>
      <c r="H30" s="193"/>
      <c r="I30" s="195"/>
      <c r="J30" s="193"/>
      <c r="K30" s="193"/>
      <c r="L30" s="416" t="s">
        <v>1081</v>
      </c>
      <c r="M30" s="183"/>
      <c r="N30" s="183"/>
      <c r="O30" s="183"/>
      <c r="P30" s="183"/>
      <c r="Q30" s="183"/>
      <c r="R30" s="183"/>
      <c r="S30" s="183"/>
      <c r="T30" s="183"/>
      <c r="U30" s="183"/>
      <c r="V30" s="183"/>
      <c r="W30" s="183"/>
      <c r="X30" s="183"/>
      <c r="Y30" s="183"/>
      <c r="Z30" s="183"/>
    </row>
    <row r="31" spans="1:26" ht="15.75" customHeight="1">
      <c r="A31" s="399" t="s">
        <v>786</v>
      </c>
      <c r="B31" s="417" t="s">
        <v>1082</v>
      </c>
      <c r="C31" s="401"/>
      <c r="D31" s="194" t="s">
        <v>37</v>
      </c>
      <c r="E31" s="193">
        <v>45574</v>
      </c>
      <c r="F31" s="193">
        <v>45574</v>
      </c>
      <c r="G31" s="193"/>
      <c r="H31" s="193">
        <v>45574</v>
      </c>
      <c r="I31" s="195">
        <f ca="1">IF(ISBLANK(H31), NETWORKDAYS(F31, TODAY(),fESTIVOS!$A$1:$A$18), NETWORKDAYS(F31, H31, fESTIVOS!$A$1:$A$18))</f>
        <v>1</v>
      </c>
      <c r="J31" s="193">
        <v>45574</v>
      </c>
      <c r="K31" s="193">
        <v>45574</v>
      </c>
      <c r="L31" s="196" t="s">
        <v>1083</v>
      </c>
      <c r="M31" s="418"/>
      <c r="N31" s="183"/>
      <c r="O31" s="183"/>
      <c r="P31" s="183"/>
      <c r="Q31" s="183"/>
      <c r="R31" s="183"/>
      <c r="S31" s="183"/>
      <c r="T31" s="183"/>
      <c r="U31" s="183"/>
      <c r="V31" s="183"/>
      <c r="W31" s="183"/>
      <c r="X31" s="183"/>
      <c r="Y31" s="183"/>
      <c r="Z31" s="183"/>
    </row>
    <row r="32" spans="1:26" ht="15.75" customHeight="1">
      <c r="A32" s="399" t="s">
        <v>786</v>
      </c>
      <c r="B32" s="411" t="s">
        <v>1084</v>
      </c>
      <c r="C32" s="401"/>
      <c r="D32" s="194" t="s">
        <v>37</v>
      </c>
      <c r="E32" s="193">
        <v>45574</v>
      </c>
      <c r="F32" s="193">
        <v>45574</v>
      </c>
      <c r="G32" s="193"/>
      <c r="H32" s="193">
        <v>45574</v>
      </c>
      <c r="I32" s="195">
        <f ca="1">IF(ISBLANK(H32), NETWORKDAYS(F32, TODAY(),fESTIVOS!$A$1:$A$18), NETWORKDAYS(F32, H32, fESTIVOS!$A$1:$A$18))</f>
        <v>1</v>
      </c>
      <c r="J32" s="193">
        <v>45574</v>
      </c>
      <c r="K32" s="193">
        <v>45574</v>
      </c>
      <c r="L32" s="196" t="s">
        <v>1085</v>
      </c>
      <c r="M32" s="419" t="s">
        <v>1086</v>
      </c>
      <c r="N32" s="183"/>
      <c r="O32" s="183"/>
      <c r="P32" s="183"/>
      <c r="Q32" s="183"/>
      <c r="R32" s="183"/>
      <c r="S32" s="183"/>
      <c r="T32" s="183"/>
      <c r="U32" s="183"/>
      <c r="V32" s="183"/>
      <c r="W32" s="183"/>
      <c r="X32" s="183"/>
      <c r="Y32" s="183"/>
      <c r="Z32" s="183"/>
    </row>
    <row r="33" spans="1:26" ht="15.75" customHeight="1">
      <c r="A33" s="399" t="s">
        <v>786</v>
      </c>
      <c r="B33" s="420" t="s">
        <v>1087</v>
      </c>
      <c r="C33" s="192" t="s">
        <v>1088</v>
      </c>
      <c r="D33" s="194" t="s">
        <v>37</v>
      </c>
      <c r="E33" s="193">
        <v>45572</v>
      </c>
      <c r="F33" s="193">
        <v>45572</v>
      </c>
      <c r="G33" s="193"/>
      <c r="H33" s="193">
        <v>45572</v>
      </c>
      <c r="I33" s="195">
        <f ca="1">IF(ISBLANK(H33), NETWORKDAYS(F33, TODAY(),fESTIVOS!$A$1:$A$18), NETWORKDAYS(F33, H33, fESTIVOS!$A$1:$A$18))</f>
        <v>1</v>
      </c>
      <c r="J33" s="193">
        <v>45574</v>
      </c>
      <c r="K33" s="193">
        <v>45574</v>
      </c>
      <c r="L33" s="196" t="s">
        <v>1089</v>
      </c>
      <c r="M33" s="419" t="s">
        <v>1090</v>
      </c>
      <c r="N33" s="183"/>
      <c r="O33" s="183"/>
      <c r="P33" s="183"/>
      <c r="Q33" s="183"/>
      <c r="R33" s="183"/>
      <c r="S33" s="183"/>
      <c r="T33" s="183"/>
      <c r="U33" s="183"/>
      <c r="V33" s="183"/>
      <c r="W33" s="183"/>
      <c r="X33" s="183"/>
      <c r="Y33" s="183"/>
      <c r="Z33" s="183"/>
    </row>
    <row r="34" spans="1:26" ht="15.75" customHeight="1">
      <c r="A34" s="399" t="s">
        <v>786</v>
      </c>
      <c r="B34" s="421" t="s">
        <v>1091</v>
      </c>
      <c r="C34" s="192" t="s">
        <v>1092</v>
      </c>
      <c r="D34" s="194" t="s">
        <v>37</v>
      </c>
      <c r="E34" s="193">
        <v>45567</v>
      </c>
      <c r="F34" s="193">
        <v>45567</v>
      </c>
      <c r="G34" s="193">
        <v>45569</v>
      </c>
      <c r="H34" s="193">
        <v>45568</v>
      </c>
      <c r="I34" s="195">
        <f ca="1">IF(ISBLANK(H34), NETWORKDAYS(F34, TODAY(),fESTIVOS!$A$1:$A$18), NETWORKDAYS(F34, H34, fESTIVOS!$A$1:$A$18))</f>
        <v>2</v>
      </c>
      <c r="J34" s="193">
        <v>45569</v>
      </c>
      <c r="K34" s="193"/>
      <c r="L34" s="196" t="s">
        <v>1093</v>
      </c>
      <c r="M34" s="418"/>
      <c r="N34" s="183"/>
      <c r="O34" s="183"/>
      <c r="P34" s="183"/>
      <c r="Q34" s="183"/>
      <c r="R34" s="183"/>
      <c r="S34" s="183"/>
      <c r="T34" s="183"/>
      <c r="U34" s="183"/>
      <c r="V34" s="183"/>
      <c r="W34" s="183"/>
      <c r="X34" s="183"/>
      <c r="Y34" s="183"/>
      <c r="Z34" s="183"/>
    </row>
    <row r="35" spans="1:26" ht="15.75" customHeight="1">
      <c r="A35" s="422" t="s">
        <v>786</v>
      </c>
      <c r="B35" s="423"/>
      <c r="C35" s="424" t="s">
        <v>1094</v>
      </c>
      <c r="D35" s="425" t="s">
        <v>37</v>
      </c>
      <c r="E35" s="426">
        <v>45567</v>
      </c>
      <c r="F35" s="426">
        <v>45567</v>
      </c>
      <c r="G35" s="426">
        <v>45569</v>
      </c>
      <c r="H35" s="426">
        <v>45568</v>
      </c>
      <c r="I35" s="427">
        <f ca="1">IF(ISBLANK(H35), NETWORKDAYS(F35, TODAY(),fESTIVOS!$A$1:$A$18), NETWORKDAYS(F35, H35, fESTIVOS!$A$1:$A$18))</f>
        <v>2</v>
      </c>
      <c r="J35" s="426">
        <v>45569</v>
      </c>
      <c r="K35" s="426"/>
      <c r="L35" s="428" t="s">
        <v>1095</v>
      </c>
      <c r="M35" s="418"/>
      <c r="N35" s="183"/>
      <c r="O35" s="183"/>
      <c r="P35" s="183"/>
      <c r="Q35" s="183"/>
      <c r="R35" s="183"/>
      <c r="S35" s="183"/>
      <c r="T35" s="183"/>
      <c r="U35" s="183"/>
      <c r="V35" s="183"/>
      <c r="W35" s="183"/>
      <c r="X35" s="183"/>
      <c r="Y35" s="183"/>
      <c r="Z35" s="183"/>
    </row>
    <row r="36" spans="1:26" ht="15.75" customHeight="1">
      <c r="A36" s="399" t="s">
        <v>786</v>
      </c>
      <c r="B36" s="182" t="s">
        <v>1022</v>
      </c>
      <c r="C36" s="401" t="s">
        <v>1096</v>
      </c>
      <c r="D36" s="194" t="s">
        <v>37</v>
      </c>
      <c r="E36" s="193">
        <v>45567</v>
      </c>
      <c r="F36" s="193">
        <v>45567</v>
      </c>
      <c r="G36" s="193">
        <v>45569</v>
      </c>
      <c r="H36" s="193">
        <v>45569</v>
      </c>
      <c r="I36" s="195">
        <f ca="1">IF(ISBLANK(H36), NETWORKDAYS(F36, TODAY(),fESTIVOS!$A$1:$A$18), NETWORKDAYS(F36, H36, fESTIVOS!$A$1:$A$18))</f>
        <v>3</v>
      </c>
      <c r="J36" s="193">
        <v>45569</v>
      </c>
      <c r="K36" s="193"/>
      <c r="L36" s="196" t="s">
        <v>1095</v>
      </c>
      <c r="M36" s="418"/>
      <c r="N36" s="183"/>
      <c r="O36" s="183"/>
      <c r="P36" s="183"/>
      <c r="Q36" s="183"/>
      <c r="R36" s="183"/>
      <c r="S36" s="183"/>
      <c r="T36" s="183"/>
      <c r="U36" s="183"/>
      <c r="V36" s="183"/>
      <c r="W36" s="183"/>
      <c r="X36" s="183"/>
      <c r="Y36" s="183"/>
      <c r="Z36" s="183"/>
    </row>
    <row r="37" spans="1:26" ht="15.75" customHeight="1">
      <c r="A37" s="402" t="s">
        <v>1034</v>
      </c>
      <c r="B37" s="429" t="s">
        <v>1054</v>
      </c>
      <c r="C37" s="430" t="s">
        <v>1097</v>
      </c>
      <c r="D37" s="431" t="s">
        <v>37</v>
      </c>
      <c r="E37" s="432">
        <v>45572</v>
      </c>
      <c r="F37" s="432">
        <v>45572</v>
      </c>
      <c r="G37" s="407"/>
      <c r="H37" s="432">
        <v>45574</v>
      </c>
      <c r="I37" s="408">
        <f ca="1">IF(ISBLANK(H37), NETWORKDAYS(F37, TODAY(),fESTIVOS!$A$1:$A$18), NETWORKDAYS(F37, H37, fESTIVOS!$A$1:$A$18))</f>
        <v>3</v>
      </c>
      <c r="J37" s="432">
        <v>45574</v>
      </c>
      <c r="K37" s="407"/>
      <c r="L37" s="433" t="s">
        <v>1098</v>
      </c>
      <c r="M37" s="189"/>
      <c r="N37" s="189"/>
      <c r="O37" s="189"/>
      <c r="P37" s="189"/>
      <c r="Q37" s="189"/>
      <c r="R37" s="189"/>
      <c r="S37" s="189"/>
      <c r="T37" s="189"/>
      <c r="U37" s="189"/>
      <c r="V37" s="189"/>
      <c r="W37" s="189"/>
      <c r="X37" s="189"/>
      <c r="Y37" s="189"/>
      <c r="Z37" s="189"/>
    </row>
    <row r="38" spans="1:26" ht="15.75" customHeight="1">
      <c r="A38" s="434" t="s">
        <v>1034</v>
      </c>
      <c r="B38" s="429" t="s">
        <v>1054</v>
      </c>
      <c r="C38" s="404" t="s">
        <v>1099</v>
      </c>
      <c r="D38" s="425" t="s">
        <v>37</v>
      </c>
      <c r="E38" s="188">
        <v>45572</v>
      </c>
      <c r="F38" s="188">
        <v>45572</v>
      </c>
      <c r="G38" s="188">
        <v>45573</v>
      </c>
      <c r="H38" s="188">
        <v>45575</v>
      </c>
      <c r="I38" s="427">
        <f ca="1">IF(ISBLANK(H38), NETWORKDAYS(F38, TODAY(),fESTIVOS!$A$1:$A$18), NETWORKDAYS(F38, H38, fESTIVOS!$A$1:$A$18))</f>
        <v>4</v>
      </c>
      <c r="J38" s="435"/>
      <c r="K38" s="435"/>
      <c r="L38" s="436" t="s">
        <v>1100</v>
      </c>
      <c r="M38" s="189"/>
      <c r="N38" s="189"/>
      <c r="O38" s="189"/>
      <c r="P38" s="189"/>
      <c r="Q38" s="189"/>
      <c r="R38" s="189"/>
      <c r="S38" s="189"/>
      <c r="T38" s="189"/>
      <c r="U38" s="189"/>
      <c r="V38" s="189"/>
      <c r="W38" s="189"/>
      <c r="X38" s="189"/>
      <c r="Y38" s="189"/>
      <c r="Z38" s="189"/>
    </row>
    <row r="39" spans="1:26" ht="15.75" customHeight="1">
      <c r="A39" s="437" t="s">
        <v>776</v>
      </c>
      <c r="B39" s="191" t="s">
        <v>1101</v>
      </c>
      <c r="C39" s="401" t="s">
        <v>1102</v>
      </c>
      <c r="D39" s="194" t="s">
        <v>37</v>
      </c>
      <c r="E39" s="193">
        <v>45574</v>
      </c>
      <c r="F39" s="193">
        <v>45576</v>
      </c>
      <c r="G39" s="193"/>
      <c r="H39" s="193">
        <v>45576</v>
      </c>
      <c r="I39" s="195">
        <f ca="1">IF(ISBLANK(H39), NETWORKDAYS(F39, TODAY(),fESTIVOS!$A$1:$A$18), NETWORKDAYS(F39, H39, fESTIVOS!$A$1:$A$18))</f>
        <v>1</v>
      </c>
      <c r="J39" s="193"/>
      <c r="K39" s="193"/>
      <c r="L39" s="196" t="s">
        <v>1103</v>
      </c>
      <c r="M39" s="183"/>
      <c r="N39" s="183"/>
      <c r="O39" s="183"/>
      <c r="P39" s="183"/>
      <c r="Q39" s="183"/>
      <c r="R39" s="183"/>
      <c r="S39" s="183"/>
      <c r="T39" s="183"/>
      <c r="U39" s="183"/>
      <c r="V39" s="183"/>
      <c r="W39" s="183"/>
      <c r="X39" s="183"/>
      <c r="Y39" s="183"/>
      <c r="Z39" s="183"/>
    </row>
    <row r="40" spans="1:26" ht="15.75" customHeight="1">
      <c r="A40" s="399" t="s">
        <v>761</v>
      </c>
      <c r="B40" s="191" t="s">
        <v>765</v>
      </c>
      <c r="C40" s="401" t="s">
        <v>1104</v>
      </c>
      <c r="D40" s="415" t="s">
        <v>37</v>
      </c>
      <c r="E40" s="193">
        <v>45560</v>
      </c>
      <c r="F40" s="193">
        <v>45572</v>
      </c>
      <c r="G40" s="193"/>
      <c r="H40" s="193">
        <v>45573</v>
      </c>
      <c r="I40" s="195">
        <f ca="1">IF(ISBLANK(H40), NETWORKDAYS(F40, TODAY(),fESTIVOS!$A$1:$A$18), NETWORKDAYS(F40, H40, fESTIVOS!$A$1:$A$18))</f>
        <v>2</v>
      </c>
      <c r="J40" s="193">
        <v>45573</v>
      </c>
      <c r="K40" s="193"/>
      <c r="L40" s="416" t="s">
        <v>1105</v>
      </c>
      <c r="M40" s="183"/>
      <c r="N40" s="183"/>
      <c r="O40" s="183"/>
      <c r="P40" s="183"/>
      <c r="Q40" s="183"/>
      <c r="R40" s="183"/>
      <c r="S40" s="183"/>
      <c r="T40" s="183"/>
      <c r="U40" s="183"/>
      <c r="V40" s="183"/>
      <c r="W40" s="183"/>
      <c r="X40" s="183"/>
      <c r="Y40" s="183"/>
      <c r="Z40" s="183"/>
    </row>
    <row r="41" spans="1:26" ht="15.75" customHeight="1">
      <c r="A41" s="399" t="s">
        <v>761</v>
      </c>
      <c r="B41" s="438" t="s">
        <v>1106</v>
      </c>
      <c r="C41" s="192" t="s">
        <v>1107</v>
      </c>
      <c r="D41" s="439" t="s">
        <v>37</v>
      </c>
      <c r="E41" s="193">
        <v>45575</v>
      </c>
      <c r="F41" s="193">
        <v>45576</v>
      </c>
      <c r="G41" s="193">
        <v>45581</v>
      </c>
      <c r="H41" s="193">
        <v>45576</v>
      </c>
      <c r="I41" s="195">
        <f ca="1">IF(ISBLANK(H41), NETWORKDAYS(F41, TODAY(),fESTIVOS!$A$1:$A$18), NETWORKDAYS(F41, H41, fESTIVOS!$A$1:$A$18))</f>
        <v>1</v>
      </c>
      <c r="J41" s="193">
        <v>45576</v>
      </c>
      <c r="K41" s="193">
        <v>45576</v>
      </c>
      <c r="L41" s="196" t="s">
        <v>1108</v>
      </c>
      <c r="M41" s="183"/>
      <c r="N41" s="183"/>
      <c r="O41" s="183"/>
      <c r="P41" s="183"/>
      <c r="Q41" s="183"/>
      <c r="R41" s="183"/>
      <c r="S41" s="183"/>
      <c r="T41" s="183"/>
      <c r="U41" s="183"/>
      <c r="V41" s="183"/>
      <c r="W41" s="183"/>
      <c r="X41" s="183"/>
      <c r="Y41" s="183"/>
      <c r="Z41" s="183"/>
    </row>
    <row r="42" spans="1:26" ht="15.75" customHeight="1">
      <c r="A42" s="402" t="s">
        <v>1034</v>
      </c>
      <c r="B42" s="440" t="s">
        <v>1109</v>
      </c>
      <c r="C42" s="441"/>
      <c r="D42" s="442" t="s">
        <v>1110</v>
      </c>
      <c r="E42" s="407">
        <v>45573</v>
      </c>
      <c r="F42" s="407">
        <v>45574</v>
      </c>
      <c r="G42" s="441"/>
      <c r="H42" s="407">
        <v>45574</v>
      </c>
      <c r="I42" s="408">
        <f ca="1">IF(ISBLANK(H42), NETWORKDAYS(F42, TODAY(),fESTIVOS!$A$1:$A$18), NETWORKDAYS(F42, H42, fESTIVOS!$A$1:$A$18))</f>
        <v>1</v>
      </c>
      <c r="J42" s="407">
        <v>45574</v>
      </c>
      <c r="K42" s="407">
        <v>45575</v>
      </c>
      <c r="L42" s="443" t="s">
        <v>1111</v>
      </c>
      <c r="M42" s="189"/>
      <c r="N42" s="189"/>
      <c r="O42" s="189"/>
      <c r="P42" s="189"/>
      <c r="Q42" s="189"/>
      <c r="R42" s="189"/>
      <c r="S42" s="189"/>
      <c r="T42" s="189"/>
      <c r="U42" s="189"/>
      <c r="V42" s="189"/>
      <c r="W42" s="189"/>
      <c r="X42" s="189"/>
      <c r="Y42" s="189"/>
      <c r="Z42" s="189"/>
    </row>
    <row r="43" spans="1:26" ht="15.75" customHeight="1">
      <c r="A43" s="444" t="s">
        <v>776</v>
      </c>
      <c r="B43" s="445" t="s">
        <v>1101</v>
      </c>
      <c r="C43" s="446" t="s">
        <v>1112</v>
      </c>
      <c r="D43" s="447" t="s">
        <v>37</v>
      </c>
      <c r="E43" s="225">
        <v>45576</v>
      </c>
      <c r="F43" s="225">
        <v>45576</v>
      </c>
      <c r="G43" s="225"/>
      <c r="H43" s="225">
        <v>45576</v>
      </c>
      <c r="I43" s="203">
        <f ca="1">IF(ISBLANK(H43), NETWORKDAYS(F43, TODAY(),fESTIVOS!$A$1:$A$18), NETWORKDAYS(F43, H43, fESTIVOS!$A$1:$A$18))</f>
        <v>1</v>
      </c>
      <c r="J43" s="225">
        <v>45580</v>
      </c>
      <c r="K43" s="225"/>
      <c r="L43" s="448" t="s">
        <v>1113</v>
      </c>
      <c r="M43" s="183"/>
      <c r="N43" s="183"/>
      <c r="O43" s="183"/>
      <c r="P43" s="183"/>
      <c r="Q43" s="183"/>
      <c r="R43" s="183"/>
      <c r="S43" s="183"/>
      <c r="T43" s="183"/>
      <c r="U43" s="183"/>
      <c r="V43" s="183"/>
      <c r="W43" s="183"/>
      <c r="X43" s="183"/>
      <c r="Y43" s="183"/>
      <c r="Z43" s="183"/>
    </row>
    <row r="44" spans="1:26" ht="15.75" customHeight="1">
      <c r="A44" s="444" t="s">
        <v>776</v>
      </c>
      <c r="B44" s="449" t="s">
        <v>1114</v>
      </c>
      <c r="C44" s="447" t="s">
        <v>1115</v>
      </c>
      <c r="D44" s="200" t="s">
        <v>37</v>
      </c>
      <c r="E44" s="225">
        <v>45561</v>
      </c>
      <c r="F44" s="225">
        <v>45569</v>
      </c>
      <c r="G44" s="225">
        <v>45572</v>
      </c>
      <c r="H44" s="225">
        <v>45572</v>
      </c>
      <c r="I44" s="203">
        <f ca="1">IF(ISBLANK(H44), NETWORKDAYS(F44, TODAY(),fESTIVOS!$A$1:$A$18), NETWORKDAYS(F44, H44, fESTIVOS!$A$1:$A$18))</f>
        <v>2</v>
      </c>
      <c r="J44" s="225">
        <v>45580</v>
      </c>
      <c r="K44" s="225"/>
      <c r="L44" s="448" t="s">
        <v>1116</v>
      </c>
      <c r="M44" s="183"/>
      <c r="N44" s="183"/>
      <c r="O44" s="183"/>
      <c r="P44" s="183"/>
      <c r="Q44" s="183"/>
      <c r="R44" s="183"/>
      <c r="S44" s="183"/>
      <c r="T44" s="183"/>
      <c r="U44" s="183"/>
      <c r="V44" s="183"/>
      <c r="W44" s="183"/>
      <c r="X44" s="183"/>
      <c r="Y44" s="183"/>
      <c r="Z44" s="183"/>
    </row>
    <row r="45" spans="1:26" ht="15.75" customHeight="1">
      <c r="A45" s="437" t="s">
        <v>1034</v>
      </c>
      <c r="B45" s="450" t="s">
        <v>1054</v>
      </c>
      <c r="C45" s="192" t="s">
        <v>1117</v>
      </c>
      <c r="D45" s="194" t="s">
        <v>37</v>
      </c>
      <c r="E45" s="193">
        <v>45576</v>
      </c>
      <c r="F45" s="193">
        <v>45576</v>
      </c>
      <c r="G45" s="193">
        <v>45580</v>
      </c>
      <c r="H45" s="193">
        <v>45576</v>
      </c>
      <c r="I45" s="195">
        <f ca="1">IF(ISBLANK(H45), NETWORKDAYS(F45, TODAY(),fESTIVOS!$A$1:$A$18), NETWORKDAYS(F45, H45, fESTIVOS!$A$1:$A$18))</f>
        <v>1</v>
      </c>
      <c r="J45" s="193">
        <v>45580</v>
      </c>
      <c r="K45" s="193"/>
      <c r="L45" s="196"/>
      <c r="M45" s="418"/>
      <c r="N45" s="183"/>
      <c r="O45" s="183"/>
      <c r="P45" s="183"/>
      <c r="Q45" s="183"/>
      <c r="R45" s="183"/>
      <c r="S45" s="183"/>
      <c r="T45" s="183"/>
      <c r="U45" s="183"/>
      <c r="V45" s="183"/>
      <c r="W45" s="183"/>
      <c r="X45" s="183"/>
      <c r="Y45" s="183"/>
      <c r="Z45" s="183"/>
    </row>
    <row r="46" spans="1:26" ht="15.75" customHeight="1">
      <c r="A46" s="437" t="s">
        <v>1034</v>
      </c>
      <c r="B46" s="450" t="s">
        <v>1054</v>
      </c>
      <c r="C46" s="451" t="s">
        <v>1118</v>
      </c>
      <c r="D46" s="194" t="s">
        <v>37</v>
      </c>
      <c r="E46" s="193">
        <v>45576</v>
      </c>
      <c r="F46" s="193">
        <v>45576</v>
      </c>
      <c r="G46" s="193">
        <v>45580</v>
      </c>
      <c r="H46" s="193">
        <v>45576</v>
      </c>
      <c r="I46" s="195">
        <f ca="1">IF(ISBLANK(H46), NETWORKDAYS(F46, TODAY(),fESTIVOS!$A$1:$A$18), NETWORKDAYS(F46, H46, fESTIVOS!$A$1:$A$18))</f>
        <v>1</v>
      </c>
      <c r="J46" s="412">
        <v>45580</v>
      </c>
      <c r="K46" s="452"/>
      <c r="L46" s="452" t="s">
        <v>1119</v>
      </c>
      <c r="M46" s="453"/>
      <c r="N46" s="189"/>
      <c r="O46" s="189"/>
      <c r="P46" s="189"/>
      <c r="Q46" s="189"/>
      <c r="R46" s="189"/>
      <c r="S46" s="189"/>
      <c r="T46" s="189"/>
      <c r="U46" s="189"/>
      <c r="V46" s="189"/>
      <c r="W46" s="189"/>
      <c r="X46" s="189"/>
      <c r="Y46" s="189"/>
      <c r="Z46" s="189"/>
    </row>
    <row r="47" spans="1:26" ht="15.75" customHeight="1">
      <c r="A47" s="444" t="s">
        <v>776</v>
      </c>
      <c r="B47" s="445" t="s">
        <v>1120</v>
      </c>
      <c r="C47" s="446" t="s">
        <v>1121</v>
      </c>
      <c r="D47" s="447" t="s">
        <v>37</v>
      </c>
      <c r="E47" s="225">
        <v>45580</v>
      </c>
      <c r="F47" s="225">
        <v>45580</v>
      </c>
      <c r="G47" s="225"/>
      <c r="H47" s="225">
        <v>45580</v>
      </c>
      <c r="I47" s="203">
        <f ca="1">IF(ISBLANK(H47), NETWORKDAYS(F47, TODAY(),fESTIVOS!$A$1:$A$18), NETWORKDAYS(F47, H47, fESTIVOS!$A$1:$A$18))</f>
        <v>1</v>
      </c>
      <c r="J47" s="225">
        <v>45580</v>
      </c>
      <c r="K47" s="225"/>
      <c r="L47" s="448" t="s">
        <v>1122</v>
      </c>
      <c r="M47" s="183"/>
      <c r="N47" s="183"/>
      <c r="O47" s="183"/>
      <c r="P47" s="183"/>
      <c r="Q47" s="183"/>
      <c r="R47" s="183"/>
      <c r="S47" s="183"/>
      <c r="T47" s="183"/>
      <c r="U47" s="183"/>
      <c r="V47" s="183"/>
      <c r="W47" s="183"/>
      <c r="X47" s="183"/>
      <c r="Y47" s="183"/>
      <c r="Z47" s="183"/>
    </row>
    <row r="48" spans="1:26" ht="15.75" customHeight="1">
      <c r="A48" s="437" t="s">
        <v>1034</v>
      </c>
      <c r="B48" s="450" t="s">
        <v>1054</v>
      </c>
      <c r="C48" s="451" t="s">
        <v>1123</v>
      </c>
      <c r="D48" s="194" t="s">
        <v>37</v>
      </c>
      <c r="E48" s="426">
        <v>45576</v>
      </c>
      <c r="F48" s="426">
        <v>45576</v>
      </c>
      <c r="G48" s="426">
        <v>45580</v>
      </c>
      <c r="H48" s="426">
        <v>45576</v>
      </c>
      <c r="I48" s="427">
        <f ca="1">IF(ISBLANK(H48), NETWORKDAYS(F48, TODAY(),fESTIVOS!$A$1:$A$18), NETWORKDAYS(F48, H48, fESTIVOS!$A$1:$A$18))</f>
        <v>1</v>
      </c>
      <c r="J48" s="186"/>
      <c r="K48" s="186"/>
      <c r="L48" s="454" t="s">
        <v>1124</v>
      </c>
      <c r="M48" s="453"/>
      <c r="N48" s="189"/>
      <c r="O48" s="189"/>
      <c r="P48" s="189"/>
      <c r="Q48" s="189"/>
      <c r="R48" s="189"/>
      <c r="S48" s="189"/>
      <c r="T48" s="189"/>
      <c r="U48" s="189"/>
      <c r="V48" s="189"/>
      <c r="W48" s="189"/>
      <c r="X48" s="189"/>
      <c r="Y48" s="189"/>
      <c r="Z48" s="189"/>
    </row>
    <row r="49" spans="1:33" ht="15.75" customHeight="1">
      <c r="A49" s="437" t="s">
        <v>1034</v>
      </c>
      <c r="B49" s="450" t="s">
        <v>1054</v>
      </c>
      <c r="C49" s="455" t="s">
        <v>1125</v>
      </c>
      <c r="D49" s="456" t="s">
        <v>37</v>
      </c>
      <c r="E49" s="193">
        <v>45580</v>
      </c>
      <c r="F49" s="193">
        <v>45580</v>
      </c>
      <c r="G49" s="193"/>
      <c r="H49" s="193">
        <v>45581</v>
      </c>
      <c r="I49" s="195">
        <f ca="1">IF(ISBLANK(H49), NETWORKDAYS(F49, TODAY(),fESTIVOS!$A$1:$A$18), NETWORKDAYS(F49, H49, fESTIVOS!$A$1:$A$18))</f>
        <v>2</v>
      </c>
      <c r="J49" s="452"/>
      <c r="K49" s="452"/>
      <c r="L49" s="452"/>
      <c r="M49" s="453"/>
      <c r="N49" s="189"/>
      <c r="O49" s="189"/>
      <c r="P49" s="189"/>
      <c r="Q49" s="189"/>
      <c r="R49" s="189"/>
      <c r="S49" s="189"/>
      <c r="T49" s="189"/>
      <c r="U49" s="189"/>
      <c r="V49" s="189"/>
      <c r="W49" s="189"/>
      <c r="X49" s="189"/>
      <c r="Y49" s="189"/>
      <c r="Z49" s="189"/>
    </row>
    <row r="50" spans="1:33" ht="15.75" customHeight="1">
      <c r="A50" s="414" t="s">
        <v>1034</v>
      </c>
      <c r="B50" s="410" t="s">
        <v>1054</v>
      </c>
      <c r="C50" s="454" t="s">
        <v>1126</v>
      </c>
      <c r="D50" s="187" t="s">
        <v>37</v>
      </c>
      <c r="E50" s="426">
        <v>45576</v>
      </c>
      <c r="F50" s="426">
        <v>45581</v>
      </c>
      <c r="G50" s="426"/>
      <c r="H50" s="426">
        <v>45582</v>
      </c>
      <c r="I50" s="427">
        <f ca="1">IF(ISBLANK(H50), NETWORKDAYS(F50, TODAY(),fESTIVOS!$A$1:$A$18), NETWORKDAYS(F50, H50, fESTIVOS!$A$1:$A$18))</f>
        <v>2</v>
      </c>
      <c r="J50" s="426">
        <v>45582</v>
      </c>
      <c r="K50" s="186"/>
      <c r="L50" s="186" t="s">
        <v>1127</v>
      </c>
      <c r="M50" s="453"/>
      <c r="N50" s="189"/>
      <c r="O50" s="189"/>
      <c r="P50" s="189"/>
      <c r="Q50" s="189"/>
      <c r="R50" s="189"/>
      <c r="S50" s="189"/>
      <c r="T50" s="189"/>
      <c r="U50" s="189"/>
      <c r="V50" s="189"/>
      <c r="W50" s="189"/>
      <c r="X50" s="189"/>
      <c r="Y50" s="189"/>
      <c r="Z50" s="189"/>
      <c r="AA50" s="228"/>
      <c r="AB50" s="228"/>
      <c r="AC50" s="228"/>
      <c r="AD50" s="228"/>
      <c r="AE50" s="228"/>
      <c r="AF50" s="228"/>
      <c r="AG50" s="228"/>
    </row>
    <row r="51" spans="1:33" ht="15.75" customHeight="1">
      <c r="A51" s="221" t="s">
        <v>768</v>
      </c>
      <c r="B51" s="449" t="s">
        <v>1101</v>
      </c>
      <c r="C51" s="446" t="s">
        <v>1128</v>
      </c>
      <c r="D51" s="447" t="s">
        <v>37</v>
      </c>
      <c r="E51" s="225">
        <v>45581</v>
      </c>
      <c r="F51" s="225">
        <v>45582</v>
      </c>
      <c r="G51" s="225"/>
      <c r="H51" s="225">
        <v>45583</v>
      </c>
      <c r="I51" s="203">
        <f ca="1">IF(ISBLANK(H51), NETWORKDAYS(F51, TODAY(),fESTIVOS!$A$1:$A$18), NETWORKDAYS(F51, H51, fESTIVOS!$A$1:$A$18))</f>
        <v>2</v>
      </c>
      <c r="J51" s="225"/>
      <c r="K51" s="225"/>
      <c r="L51" s="448" t="s">
        <v>1129</v>
      </c>
      <c r="M51" s="418"/>
      <c r="N51" s="183"/>
      <c r="O51" s="183"/>
      <c r="P51" s="183"/>
      <c r="Q51" s="183"/>
      <c r="R51" s="183"/>
      <c r="S51" s="183"/>
      <c r="T51" s="183"/>
      <c r="U51" s="183"/>
      <c r="V51" s="183"/>
      <c r="W51" s="183"/>
      <c r="X51" s="183"/>
      <c r="Y51" s="183"/>
      <c r="Z51" s="183"/>
    </row>
    <row r="52" spans="1:33" ht="15.75" customHeight="1">
      <c r="A52" s="182" t="s">
        <v>761</v>
      </c>
      <c r="B52" s="400" t="s">
        <v>765</v>
      </c>
      <c r="C52" s="457" t="s">
        <v>1130</v>
      </c>
      <c r="D52" s="458" t="s">
        <v>39</v>
      </c>
      <c r="E52" s="459">
        <v>45582</v>
      </c>
      <c r="F52" s="460">
        <v>45582</v>
      </c>
      <c r="G52" s="460"/>
      <c r="H52" s="460">
        <v>45582</v>
      </c>
      <c r="I52" s="408">
        <f ca="1">IF(ISBLANK(H52), NETWORKDAYS(F52, TODAY(),fESTIVOS!$A$1:$A$18), NETWORKDAYS(F52, H52, fESTIVOS!$A$1:$A$18))</f>
        <v>1</v>
      </c>
      <c r="J52" s="460">
        <v>45582</v>
      </c>
      <c r="K52" s="460"/>
      <c r="L52" s="461" t="s">
        <v>1131</v>
      </c>
      <c r="M52" s="183"/>
      <c r="N52" s="183"/>
      <c r="O52" s="183"/>
      <c r="P52" s="183"/>
      <c r="Q52" s="183"/>
      <c r="R52" s="183"/>
      <c r="S52" s="183"/>
      <c r="T52" s="183"/>
      <c r="U52" s="183"/>
      <c r="V52" s="183"/>
      <c r="W52" s="183"/>
      <c r="X52" s="183"/>
      <c r="Y52" s="183"/>
      <c r="Z52" s="183"/>
      <c r="AA52" s="228"/>
      <c r="AB52" s="228"/>
      <c r="AC52" s="228"/>
      <c r="AD52" s="228"/>
      <c r="AE52" s="228"/>
      <c r="AF52" s="228"/>
      <c r="AG52" s="228"/>
    </row>
    <row r="53" spans="1:33" ht="15.75" customHeight="1">
      <c r="A53" s="182" t="s">
        <v>761</v>
      </c>
      <c r="B53" s="400" t="s">
        <v>765</v>
      </c>
      <c r="C53" s="457" t="s">
        <v>1132</v>
      </c>
      <c r="D53" s="431" t="s">
        <v>37</v>
      </c>
      <c r="E53" s="462">
        <v>45560</v>
      </c>
      <c r="F53" s="463">
        <v>45572</v>
      </c>
      <c r="G53" s="463"/>
      <c r="H53" s="463">
        <v>45574</v>
      </c>
      <c r="I53" s="408">
        <f ca="1">IF(ISBLANK(H53), NETWORKDAYS(F53, TODAY(),fESTIVOS!$A$1:$A$18), NETWORKDAYS(F53, H53, fESTIVOS!$A$1:$A$18))</f>
        <v>3</v>
      </c>
      <c r="J53" s="460">
        <v>45582</v>
      </c>
      <c r="K53" s="463"/>
      <c r="L53" s="464" t="s">
        <v>1133</v>
      </c>
      <c r="M53" s="183"/>
      <c r="N53" s="183"/>
      <c r="O53" s="183"/>
      <c r="P53" s="183"/>
      <c r="Q53" s="183"/>
      <c r="R53" s="183"/>
      <c r="S53" s="183"/>
      <c r="T53" s="183"/>
      <c r="U53" s="183"/>
      <c r="V53" s="183"/>
      <c r="W53" s="183"/>
      <c r="X53" s="183"/>
      <c r="Y53" s="183"/>
      <c r="Z53" s="183"/>
    </row>
    <row r="54" spans="1:33" ht="15.75" customHeight="1">
      <c r="A54" s="417" t="s">
        <v>1034</v>
      </c>
      <c r="B54" s="191" t="s">
        <v>1054</v>
      </c>
      <c r="C54" s="443" t="s">
        <v>1134</v>
      </c>
      <c r="D54" s="415" t="s">
        <v>37</v>
      </c>
      <c r="E54" s="193">
        <v>45583</v>
      </c>
      <c r="F54" s="465">
        <v>45583</v>
      </c>
      <c r="G54" s="193"/>
      <c r="H54" s="193">
        <v>45586</v>
      </c>
      <c r="I54" s="195">
        <f ca="1">IF(ISBLANK(H54), NETWORKDAYS(F54, TODAY(),fESTIVOS!$A$1:$A$18), NETWORKDAYS(F54, H54, fESTIVOS!$A$1:$A$18))</f>
        <v>2</v>
      </c>
      <c r="J54" s="193">
        <v>45586</v>
      </c>
      <c r="K54" s="452"/>
      <c r="L54" s="452" t="s">
        <v>1135</v>
      </c>
      <c r="M54" s="453"/>
      <c r="N54" s="189"/>
      <c r="O54" s="189"/>
      <c r="P54" s="189"/>
      <c r="Q54" s="189"/>
      <c r="R54" s="189"/>
      <c r="S54" s="189"/>
      <c r="T54" s="189"/>
      <c r="U54" s="189"/>
      <c r="V54" s="189"/>
      <c r="W54" s="189"/>
      <c r="X54" s="189"/>
      <c r="Y54" s="189"/>
      <c r="Z54" s="189"/>
    </row>
    <row r="55" spans="1:33" ht="15.75" customHeight="1">
      <c r="A55" s="420" t="s">
        <v>1034</v>
      </c>
      <c r="B55" s="450" t="s">
        <v>1054</v>
      </c>
      <c r="C55" s="466" t="s">
        <v>1136</v>
      </c>
      <c r="D55" s="187" t="s">
        <v>37</v>
      </c>
      <c r="E55" s="462">
        <v>45583</v>
      </c>
      <c r="F55" s="463">
        <v>45583</v>
      </c>
      <c r="G55" s="463"/>
      <c r="H55" s="463">
        <v>45583</v>
      </c>
      <c r="I55" s="408">
        <f ca="1">IF(ISBLANK(H55), NETWORKDAYS(F55, TODAY(),fESTIVOS!$A$1:$A$18), NETWORKDAYS(F55, H55, fESTIVOS!$A$1:$A$18))</f>
        <v>1</v>
      </c>
      <c r="J55" s="463">
        <v>45583</v>
      </c>
      <c r="K55" s="441"/>
      <c r="L55" s="441"/>
      <c r="M55" s="453"/>
      <c r="N55" s="189"/>
      <c r="O55" s="189"/>
      <c r="P55" s="189"/>
      <c r="Q55" s="189"/>
      <c r="R55" s="189"/>
      <c r="S55" s="189"/>
      <c r="T55" s="189"/>
      <c r="U55" s="189"/>
      <c r="V55" s="189"/>
      <c r="W55" s="189"/>
      <c r="X55" s="189"/>
      <c r="Y55" s="189"/>
      <c r="Z55" s="189"/>
      <c r="AA55" s="228"/>
      <c r="AB55" s="228"/>
      <c r="AC55" s="228"/>
      <c r="AD55" s="228"/>
      <c r="AE55" s="228"/>
      <c r="AF55" s="228"/>
      <c r="AG55" s="228"/>
    </row>
    <row r="56" spans="1:33" ht="15.75" customHeight="1">
      <c r="A56" s="417" t="s">
        <v>1034</v>
      </c>
      <c r="B56" s="191" t="s">
        <v>1054</v>
      </c>
      <c r="C56" s="213" t="s">
        <v>1137</v>
      </c>
      <c r="D56" s="415" t="s">
        <v>37</v>
      </c>
      <c r="E56" s="462">
        <v>45586</v>
      </c>
      <c r="F56" s="462">
        <v>45586</v>
      </c>
      <c r="G56" s="463"/>
      <c r="H56" s="463">
        <v>45587</v>
      </c>
      <c r="I56" s="408">
        <f ca="1">IF(ISBLANK(H56), NETWORKDAYS(F56, TODAY(),fESTIVOS!$A$1:$A$18), NETWORKDAYS(F56, H56, fESTIVOS!$A$1:$A$18))</f>
        <v>2</v>
      </c>
      <c r="J56" s="463">
        <v>45587</v>
      </c>
      <c r="K56" s="441"/>
      <c r="L56" s="443" t="s">
        <v>1138</v>
      </c>
      <c r="M56" s="453"/>
      <c r="N56" s="189"/>
      <c r="O56" s="189"/>
      <c r="P56" s="189"/>
      <c r="Q56" s="189"/>
      <c r="R56" s="189"/>
      <c r="S56" s="189"/>
      <c r="T56" s="189"/>
      <c r="U56" s="189"/>
      <c r="V56" s="189"/>
      <c r="W56" s="189"/>
      <c r="X56" s="189"/>
      <c r="Y56" s="189"/>
      <c r="Z56" s="189"/>
      <c r="AA56" s="228"/>
      <c r="AB56" s="228"/>
      <c r="AC56" s="228"/>
      <c r="AD56" s="228"/>
      <c r="AE56" s="228"/>
      <c r="AF56" s="228"/>
      <c r="AG56" s="228"/>
    </row>
    <row r="57" spans="1:33" ht="15.75" customHeight="1">
      <c r="A57" s="417" t="s">
        <v>1034</v>
      </c>
      <c r="B57" s="450" t="s">
        <v>1054</v>
      </c>
      <c r="C57" s="467" t="s">
        <v>1139</v>
      </c>
      <c r="D57" s="415" t="s">
        <v>37</v>
      </c>
      <c r="E57" s="462">
        <v>45586</v>
      </c>
      <c r="F57" s="462">
        <v>45587</v>
      </c>
      <c r="G57" s="463"/>
      <c r="H57" s="463">
        <v>45587</v>
      </c>
      <c r="I57" s="408">
        <f ca="1">IF(ISBLANK(H57), NETWORKDAYS(F57, TODAY(),fESTIVOS!$A$1:$A$18), NETWORKDAYS(F57, H57, fESTIVOS!$A$1:$A$18))</f>
        <v>1</v>
      </c>
      <c r="J57" s="463">
        <v>45587</v>
      </c>
      <c r="K57" s="441"/>
      <c r="L57" s="441" t="s">
        <v>1140</v>
      </c>
      <c r="M57" s="453"/>
      <c r="N57" s="189"/>
      <c r="O57" s="189"/>
      <c r="P57" s="189"/>
      <c r="Q57" s="189"/>
      <c r="R57" s="189"/>
      <c r="S57" s="189"/>
      <c r="T57" s="189"/>
      <c r="U57" s="189"/>
      <c r="V57" s="189"/>
      <c r="W57" s="189"/>
      <c r="X57" s="189"/>
      <c r="Y57" s="189"/>
      <c r="Z57" s="189"/>
      <c r="AA57" s="228"/>
      <c r="AB57" s="228"/>
      <c r="AC57" s="228"/>
      <c r="AD57" s="228"/>
      <c r="AE57" s="228"/>
      <c r="AF57" s="228"/>
      <c r="AG57" s="228"/>
    </row>
    <row r="58" spans="1:33" ht="15.75" customHeight="1">
      <c r="A58" s="444" t="s">
        <v>776</v>
      </c>
      <c r="B58" s="445" t="s">
        <v>1101</v>
      </c>
      <c r="C58" s="446" t="s">
        <v>1141</v>
      </c>
      <c r="D58" s="447" t="s">
        <v>37</v>
      </c>
      <c r="E58" s="225">
        <v>45561</v>
      </c>
      <c r="F58" s="225">
        <v>45572</v>
      </c>
      <c r="G58" s="225"/>
      <c r="H58" s="225">
        <v>45587</v>
      </c>
      <c r="I58" s="203">
        <f ca="1">IF(ISBLANK(H58), NETWORKDAYS(F58, TODAY(),fESTIVOS!$A$1:$A$18), NETWORKDAYS(F58, H58, fESTIVOS!$A$1:$A$18))</f>
        <v>11</v>
      </c>
      <c r="J58" s="225">
        <v>45587</v>
      </c>
      <c r="K58" s="225"/>
      <c r="L58" s="448" t="s">
        <v>1142</v>
      </c>
      <c r="M58" s="183"/>
      <c r="N58" s="183"/>
      <c r="O58" s="183"/>
      <c r="P58" s="183"/>
      <c r="Q58" s="183"/>
      <c r="R58" s="183"/>
      <c r="S58" s="183"/>
      <c r="T58" s="183"/>
      <c r="U58" s="183"/>
      <c r="V58" s="183"/>
      <c r="W58" s="183"/>
      <c r="X58" s="183"/>
      <c r="Y58" s="183"/>
      <c r="Z58" s="183"/>
    </row>
    <row r="59" spans="1:33" ht="15.75" customHeight="1">
      <c r="A59" s="414" t="s">
        <v>761</v>
      </c>
      <c r="B59" s="404" t="s">
        <v>1143</v>
      </c>
      <c r="C59" s="468" t="s">
        <v>1144</v>
      </c>
      <c r="D59" s="405" t="s">
        <v>37</v>
      </c>
      <c r="E59" s="406">
        <v>45576</v>
      </c>
      <c r="F59" s="406">
        <v>45576</v>
      </c>
      <c r="G59" s="406"/>
      <c r="H59" s="406">
        <v>45576</v>
      </c>
      <c r="I59" s="469">
        <f ca="1">IF(ISBLANK(H59), NETWORKDAYS(F59, TODAY(),fESTIVOS!$A$1:$A$18), NETWORKDAYS(F59, H59, fESTIVOS!$A$1:$A$18))</f>
        <v>1</v>
      </c>
      <c r="J59" s="406">
        <v>45576</v>
      </c>
      <c r="K59" s="406">
        <v>45587</v>
      </c>
      <c r="L59" s="470" t="s">
        <v>1145</v>
      </c>
      <c r="M59" s="183"/>
      <c r="N59" s="183"/>
      <c r="O59" s="183"/>
      <c r="P59" s="183"/>
      <c r="Q59" s="183"/>
      <c r="R59" s="183"/>
      <c r="S59" s="183"/>
      <c r="T59" s="183"/>
      <c r="U59" s="183"/>
      <c r="V59" s="183"/>
      <c r="W59" s="183"/>
      <c r="X59" s="183"/>
      <c r="Y59" s="183"/>
      <c r="Z59" s="183"/>
    </row>
    <row r="60" spans="1:33" ht="15.75" customHeight="1">
      <c r="A60" s="444" t="s">
        <v>776</v>
      </c>
      <c r="B60" s="444" t="s">
        <v>1146</v>
      </c>
      <c r="C60" s="444" t="s">
        <v>1147</v>
      </c>
      <c r="D60" s="444" t="s">
        <v>37</v>
      </c>
      <c r="E60" s="471">
        <v>45587</v>
      </c>
      <c r="F60" s="471">
        <v>45588</v>
      </c>
      <c r="G60" s="444"/>
      <c r="H60" s="471">
        <v>45588</v>
      </c>
      <c r="I60" s="203">
        <f ca="1">IF(ISBLANK(H60), NETWORKDAYS(F60, TODAY(),fESTIVOS!$A$1:$A$18), NETWORKDAYS(F60, H60, fESTIVOS!$A$1:$A$18))</f>
        <v>1</v>
      </c>
      <c r="J60" s="444"/>
      <c r="K60" s="444"/>
      <c r="L60" s="472" t="s">
        <v>1148</v>
      </c>
      <c r="M60" s="473"/>
      <c r="N60" s="473"/>
      <c r="O60" s="473"/>
      <c r="P60" s="473"/>
      <c r="Q60" s="473"/>
      <c r="R60" s="473"/>
      <c r="S60" s="473"/>
      <c r="T60" s="473"/>
      <c r="U60" s="473"/>
      <c r="V60" s="473"/>
      <c r="W60" s="473"/>
      <c r="X60" s="473"/>
      <c r="Y60" s="473"/>
      <c r="Z60" s="473"/>
      <c r="AA60" s="473"/>
      <c r="AB60" s="473"/>
      <c r="AC60" s="473"/>
      <c r="AD60" s="473"/>
      <c r="AE60" s="473"/>
      <c r="AF60" s="473"/>
      <c r="AG60" s="473"/>
    </row>
    <row r="61" spans="1:33" ht="15.75" customHeight="1">
      <c r="A61" s="444" t="s">
        <v>776</v>
      </c>
      <c r="B61" s="444" t="s">
        <v>1146</v>
      </c>
      <c r="C61" s="444" t="s">
        <v>1149</v>
      </c>
      <c r="D61" s="444" t="s">
        <v>37</v>
      </c>
      <c r="E61" s="471">
        <v>45587</v>
      </c>
      <c r="F61" s="471">
        <v>45588</v>
      </c>
      <c r="G61" s="444"/>
      <c r="H61" s="471">
        <v>45588</v>
      </c>
      <c r="I61" s="203">
        <f ca="1">IF(ISBLANK(H61), NETWORKDAYS(F61, TODAY(),fESTIVOS!$A$1:$A$18), NETWORKDAYS(F61, H61, fESTIVOS!$A$1:$A$18))</f>
        <v>1</v>
      </c>
      <c r="J61" s="444"/>
      <c r="K61" s="444"/>
      <c r="L61" s="472" t="s">
        <v>1150</v>
      </c>
      <c r="M61" s="473"/>
      <c r="N61" s="473"/>
      <c r="O61" s="473"/>
      <c r="P61" s="473"/>
      <c r="Q61" s="473"/>
      <c r="R61" s="473"/>
      <c r="S61" s="473"/>
      <c r="T61" s="473"/>
      <c r="U61" s="473"/>
      <c r="V61" s="473"/>
      <c r="W61" s="473"/>
      <c r="X61" s="473"/>
      <c r="Y61" s="473"/>
      <c r="Z61" s="473"/>
      <c r="AA61" s="473"/>
      <c r="AB61" s="473"/>
      <c r="AC61" s="473"/>
      <c r="AD61" s="473"/>
      <c r="AE61" s="473"/>
      <c r="AF61" s="473"/>
      <c r="AG61" s="473"/>
    </row>
    <row r="62" spans="1:33" ht="15.75" customHeight="1">
      <c r="A62" s="444" t="s">
        <v>776</v>
      </c>
      <c r="B62" s="444" t="s">
        <v>1146</v>
      </c>
      <c r="C62" s="444" t="s">
        <v>1151</v>
      </c>
      <c r="D62" s="444" t="s">
        <v>37</v>
      </c>
      <c r="E62" s="471">
        <v>45587</v>
      </c>
      <c r="F62" s="471">
        <v>45588</v>
      </c>
      <c r="G62" s="444"/>
      <c r="H62" s="471">
        <v>45588</v>
      </c>
      <c r="I62" s="203">
        <f ca="1">IF(ISBLANK(H62), NETWORKDAYS(F62, TODAY(),fESTIVOS!$A$1:$A$18), NETWORKDAYS(F62, H62, fESTIVOS!$A$1:$A$18))</f>
        <v>1</v>
      </c>
      <c r="J62" s="444"/>
      <c r="K62" s="444"/>
      <c r="L62" s="472" t="s">
        <v>1152</v>
      </c>
      <c r="M62" s="473"/>
      <c r="N62" s="473"/>
      <c r="O62" s="473"/>
      <c r="P62" s="473"/>
      <c r="Q62" s="473"/>
      <c r="R62" s="473"/>
      <c r="S62" s="473"/>
      <c r="T62" s="473"/>
      <c r="U62" s="473"/>
      <c r="V62" s="473"/>
      <c r="W62" s="473"/>
      <c r="X62" s="473"/>
      <c r="Y62" s="473"/>
      <c r="Z62" s="473"/>
      <c r="AA62" s="473"/>
      <c r="AB62" s="473"/>
      <c r="AC62" s="473"/>
      <c r="AD62" s="473"/>
      <c r="AE62" s="473"/>
      <c r="AF62" s="473"/>
      <c r="AG62" s="473"/>
    </row>
    <row r="63" spans="1:33" ht="15.75" customHeight="1">
      <c r="A63" s="474" t="s">
        <v>768</v>
      </c>
      <c r="B63" s="475" t="s">
        <v>1153</v>
      </c>
      <c r="C63" s="476" t="s">
        <v>1154</v>
      </c>
      <c r="D63" s="477" t="s">
        <v>1155</v>
      </c>
      <c r="E63" s="478">
        <v>45559</v>
      </c>
      <c r="F63" s="478">
        <v>45576</v>
      </c>
      <c r="G63" s="479"/>
      <c r="H63" s="480">
        <v>45581</v>
      </c>
      <c r="I63" s="481">
        <f ca="1">IF(ISBLANK(H63), NETWORKDAYS(F63, TODAY(),fESTIVOS!$A$1:$A$18), NETWORKDAYS(F63, H63, fESTIVOS!$A$1:$A$18))</f>
        <v>3</v>
      </c>
      <c r="J63" s="480">
        <v>45581</v>
      </c>
      <c r="K63" s="482">
        <v>45583</v>
      </c>
      <c r="L63" s="483" t="s">
        <v>1156</v>
      </c>
      <c r="M63" s="189"/>
      <c r="N63" s="189"/>
      <c r="O63" s="189"/>
      <c r="P63" s="189"/>
      <c r="Q63" s="189"/>
      <c r="R63" s="189"/>
      <c r="S63" s="189"/>
      <c r="T63" s="189"/>
      <c r="U63" s="189"/>
      <c r="V63" s="189"/>
      <c r="W63" s="189"/>
      <c r="X63" s="189"/>
      <c r="Y63" s="189"/>
      <c r="Z63" s="189"/>
    </row>
    <row r="64" spans="1:33" ht="15.75" customHeight="1">
      <c r="A64" s="194" t="s">
        <v>786</v>
      </c>
      <c r="B64" s="411" t="s">
        <v>1157</v>
      </c>
      <c r="C64" s="401"/>
      <c r="D64" s="372" t="s">
        <v>1158</v>
      </c>
      <c r="E64" s="193">
        <v>45562</v>
      </c>
      <c r="F64" s="193">
        <v>45562</v>
      </c>
      <c r="G64" s="194"/>
      <c r="H64" s="193">
        <v>45566</v>
      </c>
      <c r="I64" s="195">
        <f ca="1">IF(ISBLANK(H64), NETWORKDAYS(F64, TODAY(),fESTIVOS!$A$1:$A$18), NETWORKDAYS(F64, H64, fESTIVOS!$A$1:$A$18))</f>
        <v>3</v>
      </c>
      <c r="J64" s="193">
        <v>45566</v>
      </c>
      <c r="K64" s="193">
        <v>45590</v>
      </c>
      <c r="L64" s="196" t="s">
        <v>1159</v>
      </c>
      <c r="M64" s="183"/>
      <c r="N64" s="183"/>
      <c r="O64" s="183"/>
      <c r="P64" s="183"/>
      <c r="Q64" s="183"/>
      <c r="R64" s="183"/>
      <c r="S64" s="183"/>
      <c r="T64" s="183"/>
      <c r="U64" s="183"/>
      <c r="V64" s="183"/>
      <c r="W64" s="183"/>
      <c r="X64" s="183"/>
      <c r="Y64" s="183"/>
      <c r="Z64" s="183"/>
    </row>
    <row r="65" spans="1:33" ht="15.75" customHeight="1">
      <c r="A65" s="421" t="s">
        <v>761</v>
      </c>
      <c r="B65" s="400" t="s">
        <v>765</v>
      </c>
      <c r="C65" s="484" t="s">
        <v>1160</v>
      </c>
      <c r="D65" s="405" t="s">
        <v>37</v>
      </c>
      <c r="E65" s="485">
        <v>45587</v>
      </c>
      <c r="F65" s="406">
        <v>45587</v>
      </c>
      <c r="G65" s="406"/>
      <c r="H65" s="406">
        <v>45589</v>
      </c>
      <c r="I65" s="469">
        <f ca="1">IF(ISBLANK(H65), NETWORKDAYS(F65, TODAY(),fESTIVOS!$A$1:$A$18), NETWORKDAYS(F65, H65, fESTIVOS!$A$1:$A$18))</f>
        <v>3</v>
      </c>
      <c r="J65" s="406">
        <v>45589</v>
      </c>
      <c r="K65" s="406"/>
      <c r="L65" s="409" t="s">
        <v>1161</v>
      </c>
      <c r="M65" s="183"/>
      <c r="N65" s="183"/>
      <c r="O65" s="183"/>
      <c r="P65" s="183"/>
      <c r="Q65" s="183"/>
      <c r="R65" s="183"/>
      <c r="S65" s="183"/>
      <c r="T65" s="183"/>
      <c r="U65" s="183"/>
      <c r="V65" s="183"/>
      <c r="W65" s="183"/>
      <c r="X65" s="183"/>
      <c r="Y65" s="183"/>
      <c r="Z65" s="183"/>
      <c r="AA65" s="228"/>
      <c r="AB65" s="228"/>
      <c r="AC65" s="228"/>
      <c r="AD65" s="228"/>
      <c r="AE65" s="228"/>
      <c r="AF65" s="228"/>
      <c r="AG65" s="228"/>
    </row>
    <row r="66" spans="1:33" ht="15.75" customHeight="1">
      <c r="A66" s="182" t="s">
        <v>761</v>
      </c>
      <c r="B66" s="191" t="s">
        <v>773</v>
      </c>
      <c r="C66" s="192" t="s">
        <v>1162</v>
      </c>
      <c r="D66" s="415" t="s">
        <v>1163</v>
      </c>
      <c r="E66" s="193">
        <v>45572</v>
      </c>
      <c r="F66" s="193">
        <v>45574</v>
      </c>
      <c r="G66" s="193"/>
      <c r="H66" s="193">
        <v>45574</v>
      </c>
      <c r="I66" s="195">
        <f ca="1">IF(ISBLANK(H66), NETWORKDAYS(F66, TODAY(),fESTIVOS!$A$1:$A$18), NETWORKDAYS(F66, H66, fESTIVOS!$A$1:$A$18))</f>
        <v>1</v>
      </c>
      <c r="J66" s="193">
        <v>45574</v>
      </c>
      <c r="K66" s="193"/>
      <c r="L66" s="196" t="s">
        <v>1164</v>
      </c>
      <c r="M66" s="183"/>
      <c r="N66" s="183"/>
      <c r="O66" s="183"/>
      <c r="P66" s="183"/>
      <c r="Q66" s="183"/>
      <c r="R66" s="183"/>
      <c r="S66" s="183"/>
      <c r="T66" s="183"/>
      <c r="U66" s="183"/>
      <c r="V66" s="183"/>
      <c r="W66" s="183"/>
      <c r="X66" s="183"/>
      <c r="Y66" s="183"/>
      <c r="Z66" s="183"/>
    </row>
    <row r="67" spans="1:33" ht="15.75" customHeight="1">
      <c r="A67" s="417" t="s">
        <v>1034</v>
      </c>
      <c r="B67" s="191" t="s">
        <v>1165</v>
      </c>
      <c r="C67" s="231" t="s">
        <v>1166</v>
      </c>
      <c r="D67" s="194" t="s">
        <v>37</v>
      </c>
      <c r="E67" s="193">
        <v>45588</v>
      </c>
      <c r="F67" s="465">
        <v>45589</v>
      </c>
      <c r="G67" s="193"/>
      <c r="H67" s="193">
        <v>45589</v>
      </c>
      <c r="I67" s="195">
        <f ca="1">IF(ISBLANK(H67), NETWORKDAYS(F67, TODAY(),fESTIVOS!$A$1:$A$18), NETWORKDAYS(F67, H67, fESTIVOS!$A$1:$A$18))</f>
        <v>1</v>
      </c>
      <c r="J67" s="452"/>
      <c r="K67" s="452"/>
      <c r="L67" s="486" t="s">
        <v>1167</v>
      </c>
      <c r="M67" s="453"/>
      <c r="N67" s="189"/>
      <c r="O67" s="189"/>
      <c r="P67" s="189"/>
      <c r="Q67" s="189"/>
      <c r="R67" s="189"/>
      <c r="S67" s="189"/>
      <c r="T67" s="189"/>
      <c r="U67" s="189"/>
      <c r="V67" s="189"/>
      <c r="W67" s="189"/>
      <c r="X67" s="189"/>
      <c r="Y67" s="189"/>
      <c r="Z67" s="189"/>
      <c r="AA67" s="228"/>
      <c r="AB67" s="228"/>
      <c r="AC67" s="228"/>
      <c r="AD67" s="228"/>
      <c r="AE67" s="228"/>
      <c r="AF67" s="228"/>
      <c r="AG67" s="228"/>
    </row>
    <row r="68" spans="1:33" ht="15.75" customHeight="1">
      <c r="A68" s="422" t="s">
        <v>1168</v>
      </c>
      <c r="B68" s="487" t="s">
        <v>1169</v>
      </c>
      <c r="C68" s="487" t="s">
        <v>1170</v>
      </c>
      <c r="D68" s="425" t="s">
        <v>37</v>
      </c>
      <c r="E68" s="426">
        <v>45568</v>
      </c>
      <c r="F68" s="426">
        <v>45568</v>
      </c>
      <c r="H68" s="426">
        <v>45589</v>
      </c>
      <c r="I68" s="195">
        <f ca="1">IF(ISBLANK(H68), NETWORKDAYS(F68, TODAY(),fESTIVOS!$A$1:$A$18), NETWORKDAYS(F68, H68, fESTIVOS!$A$1:$A$18))</f>
        <v>15</v>
      </c>
      <c r="J68" s="426">
        <v>45589</v>
      </c>
      <c r="K68" s="426"/>
      <c r="L68" s="428" t="s">
        <v>1171</v>
      </c>
      <c r="M68" s="183"/>
      <c r="N68" s="183"/>
      <c r="O68" s="183"/>
      <c r="P68" s="183"/>
      <c r="Q68" s="183"/>
      <c r="R68" s="183"/>
      <c r="S68" s="183"/>
      <c r="T68" s="183"/>
      <c r="U68" s="183"/>
      <c r="V68" s="183"/>
      <c r="W68" s="183"/>
      <c r="X68" s="183"/>
      <c r="Y68" s="183"/>
      <c r="Z68" s="183"/>
    </row>
    <row r="69" spans="1:33" ht="15.75" customHeight="1">
      <c r="A69" s="197" t="s">
        <v>768</v>
      </c>
      <c r="B69" s="488" t="s">
        <v>1172</v>
      </c>
      <c r="C69" s="200" t="s">
        <v>1173</v>
      </c>
      <c r="D69" s="200" t="s">
        <v>37</v>
      </c>
      <c r="E69" s="225">
        <v>45588</v>
      </c>
      <c r="F69" s="225">
        <v>45588</v>
      </c>
      <c r="G69" s="225">
        <v>45590</v>
      </c>
      <c r="H69" s="225">
        <v>45590</v>
      </c>
      <c r="I69" s="203">
        <f ca="1">IF(ISBLANK(H69), NETWORKDAYS(F69, TODAY(),fESTIVOS!$A$1:$A$18), NETWORKDAYS(F69, H69, fESTIVOS!$A$1:$A$18))</f>
        <v>3</v>
      </c>
      <c r="J69" s="225">
        <v>45590</v>
      </c>
      <c r="K69" s="225"/>
      <c r="L69" s="448" t="s">
        <v>1174</v>
      </c>
      <c r="M69" s="418"/>
      <c r="N69" s="183"/>
      <c r="O69" s="183"/>
      <c r="P69" s="183"/>
      <c r="Q69" s="183"/>
      <c r="R69" s="183"/>
      <c r="S69" s="183"/>
      <c r="T69" s="183"/>
      <c r="U69" s="183"/>
      <c r="V69" s="183"/>
      <c r="W69" s="183"/>
      <c r="X69" s="183"/>
      <c r="Y69" s="183"/>
      <c r="Z69" s="183"/>
      <c r="AA69" s="228"/>
      <c r="AB69" s="228"/>
      <c r="AC69" s="228"/>
      <c r="AD69" s="228"/>
      <c r="AE69" s="228"/>
      <c r="AF69" s="228"/>
      <c r="AG69" s="228"/>
    </row>
    <row r="70" spans="1:33" ht="15.75" customHeight="1">
      <c r="A70" s="197" t="s">
        <v>768</v>
      </c>
      <c r="B70" s="488" t="s">
        <v>1172</v>
      </c>
      <c r="C70" s="200" t="s">
        <v>1175</v>
      </c>
      <c r="D70" s="200" t="s">
        <v>37</v>
      </c>
      <c r="E70" s="225">
        <v>45588</v>
      </c>
      <c r="F70" s="225">
        <v>45588</v>
      </c>
      <c r="G70" s="225">
        <v>45590</v>
      </c>
      <c r="H70" s="225">
        <v>45590</v>
      </c>
      <c r="I70" s="203">
        <f ca="1">IF(ISBLANK(H70), NETWORKDAYS(F70, TODAY(),fESTIVOS!$A$1:$A$18), NETWORKDAYS(F70, H70, fESTIVOS!$A$1:$A$18))</f>
        <v>3</v>
      </c>
      <c r="J70" s="225">
        <v>45593</v>
      </c>
      <c r="K70" s="225"/>
      <c r="L70" s="448" t="s">
        <v>1176</v>
      </c>
      <c r="M70" s="418"/>
      <c r="N70" s="183"/>
      <c r="O70" s="183"/>
      <c r="P70" s="183"/>
      <c r="Q70" s="183"/>
      <c r="R70" s="183"/>
      <c r="S70" s="183"/>
      <c r="T70" s="183"/>
      <c r="U70" s="183"/>
      <c r="V70" s="183"/>
      <c r="W70" s="183"/>
      <c r="X70" s="183"/>
      <c r="Y70" s="183"/>
      <c r="Z70" s="183"/>
      <c r="AA70" s="228"/>
      <c r="AB70" s="228"/>
      <c r="AC70" s="228"/>
      <c r="AD70" s="228"/>
      <c r="AE70" s="228"/>
      <c r="AF70" s="228"/>
      <c r="AG70" s="228"/>
    </row>
    <row r="71" spans="1:33" ht="15.75" customHeight="1">
      <c r="A71" s="182" t="s">
        <v>761</v>
      </c>
      <c r="B71" s="400" t="s">
        <v>765</v>
      </c>
      <c r="C71" s="457" t="s">
        <v>1177</v>
      </c>
      <c r="D71" s="431" t="s">
        <v>37</v>
      </c>
      <c r="E71" s="462">
        <v>45588</v>
      </c>
      <c r="F71" s="462">
        <v>45588</v>
      </c>
      <c r="G71" s="463"/>
      <c r="H71" s="463">
        <v>45589</v>
      </c>
      <c r="I71" s="408">
        <f ca="1">IF(ISBLANK(H71), NETWORKDAYS(F71, TODAY(),fESTIVOS!$A$1:$A$18), NETWORKDAYS(F71, H71, fESTIVOS!$A$1:$A$18))</f>
        <v>2</v>
      </c>
      <c r="J71" s="463">
        <v>45589</v>
      </c>
      <c r="K71" s="463"/>
      <c r="L71" s="464" t="s">
        <v>1178</v>
      </c>
      <c r="M71" s="183"/>
      <c r="N71" s="183"/>
      <c r="O71" s="183"/>
      <c r="P71" s="183"/>
      <c r="Q71" s="183"/>
      <c r="R71" s="183"/>
      <c r="S71" s="183"/>
      <c r="T71" s="183"/>
      <c r="U71" s="183"/>
      <c r="V71" s="183"/>
      <c r="W71" s="183"/>
      <c r="X71" s="183"/>
      <c r="Y71" s="183"/>
      <c r="Z71" s="183"/>
      <c r="AA71" s="228"/>
      <c r="AB71" s="228"/>
      <c r="AC71" s="228"/>
      <c r="AD71" s="228"/>
      <c r="AE71" s="228"/>
      <c r="AF71" s="228"/>
      <c r="AG71" s="228"/>
    </row>
    <row r="72" spans="1:33" ht="15.75" customHeight="1">
      <c r="A72" s="182" t="s">
        <v>761</v>
      </c>
      <c r="B72" s="400" t="s">
        <v>765</v>
      </c>
      <c r="C72" s="489" t="s">
        <v>1179</v>
      </c>
      <c r="D72" s="431" t="s">
        <v>37</v>
      </c>
      <c r="E72" s="462">
        <v>45589</v>
      </c>
      <c r="F72" s="463">
        <v>45589</v>
      </c>
      <c r="G72" s="463"/>
      <c r="H72" s="463">
        <v>45590</v>
      </c>
      <c r="I72" s="408">
        <f ca="1">IF(ISBLANK(H72), NETWORKDAYS(F72, TODAY(),fESTIVOS!$A$1:$A$18), NETWORKDAYS(F72, H72, fESTIVOS!$A$1:$A$18))</f>
        <v>2</v>
      </c>
      <c r="J72" s="463">
        <v>45590</v>
      </c>
      <c r="K72" s="463"/>
      <c r="L72" s="464" t="s">
        <v>1180</v>
      </c>
      <c r="M72" s="183"/>
      <c r="N72" s="183"/>
      <c r="O72" s="183"/>
      <c r="P72" s="183"/>
      <c r="Q72" s="183"/>
      <c r="R72" s="183"/>
      <c r="S72" s="183"/>
      <c r="T72" s="183"/>
      <c r="U72" s="183"/>
      <c r="V72" s="183"/>
      <c r="W72" s="183"/>
      <c r="X72" s="183"/>
      <c r="Y72" s="183"/>
      <c r="Z72" s="183"/>
      <c r="AA72" s="228"/>
      <c r="AB72" s="228"/>
      <c r="AC72" s="228"/>
      <c r="AD72" s="228"/>
      <c r="AE72" s="228"/>
      <c r="AF72" s="228"/>
      <c r="AG72" s="228"/>
    </row>
    <row r="73" spans="1:33" ht="15.75" customHeight="1">
      <c r="A73" s="182" t="s">
        <v>761</v>
      </c>
      <c r="B73" s="400" t="s">
        <v>773</v>
      </c>
      <c r="C73" s="490" t="s">
        <v>1181</v>
      </c>
      <c r="D73" s="415" t="s">
        <v>37</v>
      </c>
      <c r="E73" s="193">
        <v>45572</v>
      </c>
      <c r="F73" s="193">
        <v>45574</v>
      </c>
      <c r="G73" s="491"/>
      <c r="H73" s="193">
        <v>45574</v>
      </c>
      <c r="I73" s="195">
        <f ca="1">IF(ISBLANK(H73), NETWORKDAYS(F73, TODAY(),fESTIVOS!$A$1:$A$18), NETWORKDAYS(F73, H73, fESTIVOS!$A$1:$A$18))</f>
        <v>1</v>
      </c>
      <c r="J73" s="193"/>
      <c r="K73" s="193"/>
      <c r="L73" s="196" t="s">
        <v>1182</v>
      </c>
      <c r="M73" s="183"/>
      <c r="N73" s="183"/>
      <c r="O73" s="183"/>
      <c r="P73" s="183"/>
      <c r="Q73" s="183"/>
      <c r="R73" s="183"/>
      <c r="S73" s="183"/>
      <c r="T73" s="183"/>
      <c r="U73" s="183"/>
      <c r="V73" s="183"/>
      <c r="W73" s="183"/>
      <c r="X73" s="183"/>
      <c r="Y73" s="183"/>
      <c r="Z73" s="183"/>
    </row>
    <row r="74" spans="1:33" ht="15.75" customHeight="1">
      <c r="A74" s="444" t="s">
        <v>776</v>
      </c>
      <c r="B74" s="445" t="s">
        <v>1101</v>
      </c>
      <c r="C74" s="224" t="s">
        <v>1183</v>
      </c>
      <c r="D74" s="200" t="s">
        <v>37</v>
      </c>
      <c r="E74" s="225">
        <v>45576</v>
      </c>
      <c r="F74" s="225">
        <v>45579</v>
      </c>
      <c r="G74" s="225"/>
      <c r="H74" s="225">
        <v>45590</v>
      </c>
      <c r="I74" s="203">
        <f ca="1">IF(ISBLANK(H74), NETWORKDAYS(F74, TODAY(),fESTIVOS!$A$1:$A$18), NETWORKDAYS(F74, H74, fESTIVOS!$A$1:$A$18))</f>
        <v>9</v>
      </c>
      <c r="J74" s="225">
        <v>45590</v>
      </c>
      <c r="K74" s="225"/>
      <c r="L74" s="448" t="s">
        <v>1184</v>
      </c>
      <c r="M74" s="183"/>
      <c r="N74" s="183"/>
      <c r="O74" s="183"/>
      <c r="P74" s="183"/>
      <c r="Q74" s="183"/>
      <c r="R74" s="183"/>
      <c r="S74" s="183"/>
      <c r="T74" s="183"/>
      <c r="U74" s="183"/>
      <c r="V74" s="183"/>
      <c r="W74" s="183"/>
      <c r="X74" s="183"/>
      <c r="Y74" s="183"/>
      <c r="Z74" s="183"/>
      <c r="AA74" s="228"/>
      <c r="AB74" s="228"/>
      <c r="AC74" s="228"/>
      <c r="AD74" s="228"/>
      <c r="AE74" s="228"/>
      <c r="AF74" s="228"/>
      <c r="AG74" s="228"/>
    </row>
    <row r="75" spans="1:33" ht="15.75" customHeight="1">
      <c r="A75" s="444" t="s">
        <v>776</v>
      </c>
      <c r="B75" s="445" t="s">
        <v>1172</v>
      </c>
      <c r="C75" s="224" t="s">
        <v>1185</v>
      </c>
      <c r="D75" s="447" t="s">
        <v>37</v>
      </c>
      <c r="E75" s="225">
        <v>45587</v>
      </c>
      <c r="F75" s="225">
        <v>45589</v>
      </c>
      <c r="G75" s="225"/>
      <c r="H75" s="225">
        <v>45593</v>
      </c>
      <c r="I75" s="203">
        <f ca="1">IF(ISBLANK(H75), NETWORKDAYS(F75, TODAY(),fESTIVOS!$A$1:$A$18), NETWORKDAYS(F75, H75, fESTIVOS!$A$1:$A$18))</f>
        <v>3</v>
      </c>
      <c r="J75" s="225">
        <v>45593</v>
      </c>
      <c r="K75" s="225"/>
      <c r="L75" s="448" t="s">
        <v>1186</v>
      </c>
      <c r="M75" s="183"/>
      <c r="N75" s="183"/>
      <c r="O75" s="183"/>
      <c r="P75" s="183"/>
      <c r="Q75" s="183"/>
      <c r="R75" s="183"/>
      <c r="S75" s="183"/>
      <c r="T75" s="183"/>
      <c r="U75" s="183"/>
      <c r="V75" s="183"/>
      <c r="W75" s="183"/>
      <c r="X75" s="183"/>
      <c r="Y75" s="183"/>
      <c r="Z75" s="183"/>
    </row>
    <row r="76" spans="1:33" ht="15.75" customHeight="1">
      <c r="A76" s="221" t="s">
        <v>786</v>
      </c>
      <c r="B76" s="446" t="s">
        <v>1172</v>
      </c>
      <c r="C76" s="200" t="s">
        <v>1187</v>
      </c>
      <c r="D76" s="200" t="s">
        <v>37</v>
      </c>
      <c r="E76" s="225">
        <v>45582</v>
      </c>
      <c r="F76" s="225">
        <v>45582</v>
      </c>
      <c r="G76" s="225"/>
      <c r="H76" s="225">
        <v>45582</v>
      </c>
      <c r="I76" s="203">
        <f ca="1">IF(ISBLANK(H76), NETWORKDAYS(F76, TODAY(),fESTIVOS!$A$1:$A$18), NETWORKDAYS(F76, H76, fESTIVOS!$A$1:$A$18))</f>
        <v>1</v>
      </c>
      <c r="J76" s="225">
        <v>45582</v>
      </c>
      <c r="K76" s="225"/>
      <c r="L76" s="448" t="s">
        <v>1188</v>
      </c>
      <c r="M76" s="418"/>
      <c r="N76" s="183"/>
      <c r="O76" s="183"/>
      <c r="P76" s="183"/>
      <c r="Q76" s="183"/>
      <c r="R76" s="183"/>
      <c r="S76" s="183"/>
      <c r="T76" s="183"/>
      <c r="U76" s="183"/>
      <c r="V76" s="183"/>
      <c r="W76" s="183"/>
      <c r="X76" s="183"/>
      <c r="Y76" s="183"/>
      <c r="Z76" s="183"/>
    </row>
    <row r="77" spans="1:33" ht="15.75" customHeight="1">
      <c r="A77" s="444" t="s">
        <v>776</v>
      </c>
      <c r="B77" s="445" t="s">
        <v>1189</v>
      </c>
      <c r="C77" s="224" t="s">
        <v>1190</v>
      </c>
      <c r="D77" s="200" t="s">
        <v>37</v>
      </c>
      <c r="E77" s="225">
        <v>45587</v>
      </c>
      <c r="F77" s="225">
        <v>45590</v>
      </c>
      <c r="G77" s="225"/>
      <c r="H77" s="225">
        <v>45593</v>
      </c>
      <c r="I77" s="203">
        <f ca="1">IF(ISBLANK(H77), NETWORKDAYS(F77, TODAY(),fESTIVOS!$A$1:$A$18), NETWORKDAYS(F77, H77, fESTIVOS!$A$1:$A$18))</f>
        <v>2</v>
      </c>
      <c r="J77" s="225"/>
      <c r="K77" s="225"/>
      <c r="L77" s="448"/>
      <c r="M77" s="183"/>
      <c r="N77" s="183"/>
      <c r="O77" s="183"/>
      <c r="P77" s="183"/>
      <c r="Q77" s="183"/>
      <c r="R77" s="183"/>
      <c r="S77" s="183"/>
      <c r="T77" s="183"/>
      <c r="U77" s="183"/>
      <c r="V77" s="183"/>
      <c r="W77" s="183"/>
      <c r="X77" s="183"/>
      <c r="Y77" s="183"/>
      <c r="Z77" s="183"/>
      <c r="AA77" s="228"/>
      <c r="AB77" s="228"/>
      <c r="AC77" s="228"/>
      <c r="AD77" s="228"/>
      <c r="AE77" s="228"/>
      <c r="AF77" s="228"/>
      <c r="AG77" s="228"/>
    </row>
    <row r="78" spans="1:33" ht="15.75" customHeight="1">
      <c r="A78" s="182" t="s">
        <v>761</v>
      </c>
      <c r="B78" s="411" t="s">
        <v>1191</v>
      </c>
      <c r="C78" s="401" t="s">
        <v>1192</v>
      </c>
      <c r="D78" s="194" t="s">
        <v>37</v>
      </c>
      <c r="E78" s="193">
        <v>45590</v>
      </c>
      <c r="F78" s="193">
        <v>45593</v>
      </c>
      <c r="G78" s="193"/>
      <c r="H78" s="193">
        <v>45593</v>
      </c>
      <c r="I78" s="195">
        <f ca="1">IF(ISBLANK(H78), NETWORKDAYS(F78, TODAY(),fESTIVOS!$A$1:$A$18), NETWORKDAYS(F78, H78, fESTIVOS!$A$1:$A$18))</f>
        <v>1</v>
      </c>
      <c r="J78" s="193"/>
      <c r="K78" s="193"/>
      <c r="L78" s="196"/>
      <c r="M78" s="183"/>
      <c r="N78" s="183"/>
      <c r="O78" s="183"/>
      <c r="P78" s="183"/>
      <c r="Q78" s="183"/>
      <c r="R78" s="183"/>
      <c r="S78" s="183"/>
      <c r="T78" s="183"/>
      <c r="U78" s="183"/>
      <c r="V78" s="183"/>
      <c r="W78" s="183"/>
      <c r="X78" s="183"/>
      <c r="Y78" s="183"/>
      <c r="Z78" s="183"/>
      <c r="AA78" s="228"/>
      <c r="AB78" s="228"/>
      <c r="AC78" s="228"/>
      <c r="AD78" s="228"/>
      <c r="AE78" s="228"/>
      <c r="AF78" s="228"/>
      <c r="AG78" s="228"/>
    </row>
    <row r="79" spans="1:33" ht="15.75" customHeight="1">
      <c r="A79" s="417" t="s">
        <v>1034</v>
      </c>
      <c r="B79" s="191" t="s">
        <v>1054</v>
      </c>
      <c r="C79" s="415" t="s">
        <v>1193</v>
      </c>
      <c r="D79" s="415" t="s">
        <v>37</v>
      </c>
      <c r="E79" s="193">
        <v>45589</v>
      </c>
      <c r="F79" s="193">
        <v>45593</v>
      </c>
      <c r="G79" s="193"/>
      <c r="H79" s="193">
        <v>45593</v>
      </c>
      <c r="I79" s="195">
        <f ca="1">IF(ISBLANK(H79), NETWORKDAYS(F79, TODAY(),fESTIVOS!$A$1:$A$18), NETWORKDAYS(F79, H79, fESTIVOS!$A$1:$A$18))</f>
        <v>1</v>
      </c>
      <c r="J79" s="193">
        <v>45593</v>
      </c>
      <c r="K79" s="193"/>
      <c r="L79" s="196" t="s">
        <v>1194</v>
      </c>
      <c r="M79" s="418"/>
      <c r="N79" s="183"/>
      <c r="O79" s="183"/>
      <c r="P79" s="183"/>
      <c r="Q79" s="183"/>
      <c r="R79" s="183"/>
      <c r="S79" s="183"/>
      <c r="T79" s="183"/>
      <c r="U79" s="183"/>
      <c r="V79" s="183"/>
      <c r="W79" s="183"/>
      <c r="X79" s="183"/>
      <c r="Y79" s="183"/>
      <c r="Z79" s="183"/>
      <c r="AA79" s="228"/>
      <c r="AB79" s="228"/>
      <c r="AC79" s="228"/>
      <c r="AD79" s="228"/>
      <c r="AE79" s="228"/>
      <c r="AF79" s="228"/>
      <c r="AG79" s="228"/>
    </row>
    <row r="80" spans="1:33" ht="15.75" customHeight="1">
      <c r="A80" s="182" t="s">
        <v>761</v>
      </c>
      <c r="B80" s="191" t="s">
        <v>765</v>
      </c>
      <c r="C80" s="401" t="s">
        <v>1195</v>
      </c>
      <c r="D80" s="194" t="s">
        <v>37</v>
      </c>
      <c r="E80" s="193">
        <v>45594</v>
      </c>
      <c r="F80" s="193">
        <v>45594</v>
      </c>
      <c r="G80" s="193">
        <v>45596</v>
      </c>
      <c r="H80" s="194"/>
      <c r="I80" s="195">
        <f ca="1">IF(ISBLANK(H80), NETWORKDAYS(F80, TODAY(),fESTIVOS!$A$1:$A$18), NETWORKDAYS(F80, H80, fESTIVOS!$A$1:$A$18))</f>
        <v>429</v>
      </c>
      <c r="J80" s="193">
        <v>45596</v>
      </c>
      <c r="K80" s="193"/>
      <c r="L80" s="196" t="s">
        <v>1196</v>
      </c>
      <c r="M80" s="183"/>
      <c r="N80" s="183"/>
      <c r="O80" s="183"/>
      <c r="P80" s="183"/>
      <c r="Q80" s="183"/>
      <c r="R80" s="183"/>
      <c r="S80" s="183"/>
      <c r="T80" s="183"/>
      <c r="U80" s="183"/>
      <c r="V80" s="183"/>
      <c r="W80" s="183"/>
      <c r="X80" s="183"/>
      <c r="Y80" s="183"/>
      <c r="Z80" s="183"/>
      <c r="AA80" s="228"/>
      <c r="AB80" s="228"/>
      <c r="AC80" s="228"/>
      <c r="AD80" s="228"/>
      <c r="AE80" s="228"/>
      <c r="AF80" s="228"/>
      <c r="AG80" s="228"/>
    </row>
    <row r="81" spans="1:33" ht="15.75" customHeight="1">
      <c r="A81" s="420" t="s">
        <v>1034</v>
      </c>
      <c r="B81" s="400" t="s">
        <v>1165</v>
      </c>
      <c r="C81" s="492" t="s">
        <v>1197</v>
      </c>
      <c r="D81" s="493" t="s">
        <v>37</v>
      </c>
      <c r="E81" s="494">
        <v>45601</v>
      </c>
      <c r="F81" s="494">
        <v>45601</v>
      </c>
      <c r="G81" s="426"/>
      <c r="H81" s="426">
        <v>45602</v>
      </c>
      <c r="I81" s="427">
        <f ca="1">IF(ISBLANK(H81), NETWORKDAYS(F81, TODAY(),fESTIVOS!$A$1:$A$18), NETWORKDAYS(F81, H81, fESTIVOS!$A$1:$A$18))</f>
        <v>2</v>
      </c>
      <c r="J81" s="186"/>
      <c r="K81" s="186"/>
      <c r="L81" s="454"/>
      <c r="M81" s="453"/>
      <c r="N81" s="189"/>
      <c r="O81" s="189"/>
      <c r="P81" s="189"/>
      <c r="Q81" s="189"/>
      <c r="R81" s="189"/>
      <c r="S81" s="189"/>
      <c r="T81" s="189"/>
      <c r="U81" s="189"/>
      <c r="V81" s="189"/>
      <c r="W81" s="189"/>
      <c r="X81" s="189"/>
      <c r="Y81" s="189"/>
      <c r="Z81" s="189"/>
      <c r="AA81" s="228"/>
      <c r="AB81" s="228"/>
      <c r="AC81" s="228"/>
      <c r="AD81" s="228"/>
      <c r="AE81" s="228"/>
      <c r="AF81" s="228"/>
      <c r="AG81" s="228"/>
    </row>
    <row r="82" spans="1:33" ht="15.75" customHeight="1">
      <c r="A82" s="221" t="s">
        <v>786</v>
      </c>
      <c r="B82" s="411" t="s">
        <v>1198</v>
      </c>
      <c r="C82" s="495" t="s">
        <v>1199</v>
      </c>
      <c r="D82" s="415" t="s">
        <v>37</v>
      </c>
      <c r="E82" s="193">
        <v>45602</v>
      </c>
      <c r="F82" s="193">
        <v>45602</v>
      </c>
      <c r="G82" s="193"/>
      <c r="H82" s="193">
        <v>45603</v>
      </c>
      <c r="I82" s="203">
        <f ca="1">IF(ISBLANK(H82), NETWORKDAYS(F82, TODAY(),fESTIVOS!$A$1:$A$18), NETWORKDAYS(F82, H82, fESTIVOS!$A$1:$A$18))</f>
        <v>2</v>
      </c>
      <c r="J82" s="193">
        <v>45603</v>
      </c>
      <c r="K82" s="193">
        <v>45603</v>
      </c>
      <c r="L82" s="196" t="s">
        <v>1200</v>
      </c>
      <c r="M82" s="183"/>
      <c r="N82" s="183"/>
      <c r="O82" s="183"/>
      <c r="P82" s="183"/>
      <c r="Q82" s="183"/>
      <c r="R82" s="183"/>
      <c r="S82" s="183"/>
      <c r="T82" s="183"/>
      <c r="U82" s="183"/>
      <c r="V82" s="183"/>
      <c r="W82" s="183"/>
      <c r="X82" s="183"/>
      <c r="Y82" s="183"/>
      <c r="Z82" s="183"/>
      <c r="AA82" s="228"/>
      <c r="AB82" s="228"/>
      <c r="AC82" s="228"/>
      <c r="AD82" s="228"/>
      <c r="AE82" s="228"/>
      <c r="AF82" s="228"/>
      <c r="AG82" s="228"/>
    </row>
    <row r="83" spans="1:33" ht="15.75" customHeight="1">
      <c r="A83" s="496" t="s">
        <v>1054</v>
      </c>
      <c r="B83" s="496" t="s">
        <v>1054</v>
      </c>
      <c r="C83" s="190" t="s">
        <v>1201</v>
      </c>
      <c r="D83" s="194" t="s">
        <v>37</v>
      </c>
      <c r="E83" s="193">
        <v>45576</v>
      </c>
      <c r="F83" s="193">
        <v>45576</v>
      </c>
      <c r="G83" s="190"/>
      <c r="H83" s="465">
        <v>45604</v>
      </c>
      <c r="I83" s="195">
        <f ca="1">IF(ISBLANK(H83), NETWORKDAYS(F83, TODAY(),fESTIVOS!$A$1:$A$18), NETWORKDAYS(F83, H83, fESTIVOS!$A$1:$A$18))</f>
        <v>19</v>
      </c>
      <c r="J83" s="190"/>
      <c r="K83" s="190"/>
      <c r="L83" s="190" t="s">
        <v>1202</v>
      </c>
      <c r="M83" s="204"/>
      <c r="N83" s="204"/>
      <c r="O83" s="204"/>
      <c r="P83" s="204"/>
      <c r="Q83" s="204"/>
      <c r="R83" s="204"/>
      <c r="S83" s="204"/>
      <c r="T83" s="204"/>
      <c r="U83" s="204"/>
      <c r="V83" s="204"/>
      <c r="W83" s="204"/>
      <c r="X83" s="204"/>
      <c r="Y83" s="204"/>
      <c r="Z83" s="204"/>
    </row>
    <row r="84" spans="1:33" ht="15.75" customHeight="1">
      <c r="A84" s="444" t="s">
        <v>776</v>
      </c>
      <c r="B84" s="421" t="s">
        <v>1203</v>
      </c>
      <c r="C84" s="420" t="s">
        <v>1204</v>
      </c>
      <c r="D84" s="421" t="s">
        <v>37</v>
      </c>
      <c r="E84" s="497">
        <v>45602</v>
      </c>
      <c r="F84" s="497">
        <v>45602</v>
      </c>
      <c r="G84" s="498">
        <v>45603</v>
      </c>
      <c r="H84" s="497">
        <v>45603</v>
      </c>
      <c r="I84" s="203">
        <f ca="1">IF(ISBLANK(H84), NETWORKDAYS(F84, TODAY(),fESTIVOS!$A$1:$A$18), NETWORKDAYS(F84, H84, fESTIVOS!$A$1:$A$18))</f>
        <v>2</v>
      </c>
      <c r="J84" s="421"/>
      <c r="K84" s="421"/>
      <c r="L84" s="499"/>
      <c r="M84" s="418"/>
      <c r="N84" s="183"/>
      <c r="O84" s="183"/>
      <c r="P84" s="183"/>
      <c r="Q84" s="183"/>
      <c r="R84" s="183"/>
      <c r="S84" s="183"/>
      <c r="T84" s="183"/>
      <c r="U84" s="183"/>
      <c r="V84" s="183"/>
      <c r="W84" s="183"/>
      <c r="X84" s="183"/>
      <c r="Y84" s="183"/>
      <c r="Z84" s="183"/>
      <c r="AA84" s="228"/>
      <c r="AB84" s="228"/>
      <c r="AC84" s="228"/>
      <c r="AD84" s="228"/>
      <c r="AE84" s="228"/>
      <c r="AF84" s="228"/>
      <c r="AG84" s="228"/>
    </row>
    <row r="85" spans="1:33" ht="15.75" customHeight="1">
      <c r="A85" s="444" t="s">
        <v>776</v>
      </c>
      <c r="B85" s="222" t="s">
        <v>1172</v>
      </c>
      <c r="C85" s="200" t="s">
        <v>1205</v>
      </c>
      <c r="D85" s="447" t="s">
        <v>39</v>
      </c>
      <c r="E85" s="225">
        <v>45587</v>
      </c>
      <c r="F85" s="225">
        <v>45587</v>
      </c>
      <c r="G85" s="225"/>
      <c r="H85" s="225">
        <v>45603</v>
      </c>
      <c r="I85" s="203">
        <f ca="1">IF(ISBLANK(H85), NETWORKDAYS(F85, TODAY(),fESTIVOS!$A$1:$A$18), NETWORKDAYS(F85, H85, fESTIVOS!$A$1:$A$18))</f>
        <v>12</v>
      </c>
      <c r="J85" s="225"/>
      <c r="K85" s="225"/>
      <c r="L85" s="448" t="s">
        <v>1206</v>
      </c>
      <c r="M85" s="183"/>
      <c r="N85" s="183"/>
      <c r="O85" s="183"/>
      <c r="P85" s="183"/>
      <c r="Q85" s="183"/>
      <c r="R85" s="183"/>
      <c r="S85" s="183"/>
      <c r="T85" s="183"/>
      <c r="U85" s="183"/>
      <c r="V85" s="183"/>
      <c r="W85" s="183"/>
      <c r="X85" s="183"/>
      <c r="Y85" s="183"/>
      <c r="Z85" s="183"/>
      <c r="AA85" s="228"/>
      <c r="AB85" s="228"/>
      <c r="AC85" s="228"/>
      <c r="AD85" s="228"/>
      <c r="AE85" s="228"/>
      <c r="AF85" s="228"/>
      <c r="AG85" s="228"/>
    </row>
    <row r="86" spans="1:33" ht="15.75" customHeight="1">
      <c r="A86" s="500" t="s">
        <v>768</v>
      </c>
      <c r="B86" s="501" t="s">
        <v>1207</v>
      </c>
      <c r="C86" s="502" t="s">
        <v>1208</v>
      </c>
      <c r="D86" s="477" t="s">
        <v>1155</v>
      </c>
      <c r="E86" s="503">
        <v>45569</v>
      </c>
      <c r="F86" s="503">
        <v>45572</v>
      </c>
      <c r="G86" s="503">
        <v>0</v>
      </c>
      <c r="H86" s="503">
        <v>45581</v>
      </c>
      <c r="I86" s="504">
        <f ca="1">IF(ISBLANK(H86), NETWORKDAYS(F86, TODAY(),fESTIVOS!$A$1:$A$18), NETWORKDAYS(F86, H86, fESTIVOS!$A$1:$A$18))</f>
        <v>7</v>
      </c>
      <c r="J86" s="503">
        <v>45587</v>
      </c>
      <c r="K86" s="503">
        <v>45609</v>
      </c>
      <c r="L86" s="505" t="s">
        <v>1209</v>
      </c>
      <c r="M86" s="183"/>
      <c r="N86" s="183"/>
      <c r="O86" s="183"/>
      <c r="P86" s="183"/>
      <c r="Q86" s="183"/>
      <c r="R86" s="183"/>
      <c r="S86" s="183"/>
      <c r="T86" s="183"/>
      <c r="U86" s="183"/>
      <c r="V86" s="183"/>
      <c r="W86" s="183"/>
      <c r="X86" s="183"/>
      <c r="Y86" s="183"/>
      <c r="Z86" s="183"/>
    </row>
    <row r="87" spans="1:33" ht="15.75" customHeight="1">
      <c r="A87" s="206" t="s">
        <v>776</v>
      </c>
      <c r="B87" s="206" t="s">
        <v>1210</v>
      </c>
      <c r="C87" s="221"/>
      <c r="D87" s="221" t="s">
        <v>37</v>
      </c>
      <c r="E87" s="207">
        <v>45596</v>
      </c>
      <c r="F87" s="207">
        <v>45596</v>
      </c>
      <c r="G87" s="206"/>
      <c r="H87" s="207">
        <v>45608</v>
      </c>
      <c r="I87" s="203">
        <f ca="1">IF(ISBLANK(H87), NETWORKDAYS(F87, TODAY(),fESTIVOS!$A$1:$A$18), NETWORKDAYS(F87, H87, fESTIVOS!$A$1:$A$18))</f>
        <v>7</v>
      </c>
      <c r="J87" s="221"/>
      <c r="K87" s="221"/>
      <c r="L87" s="506" t="s">
        <v>1211</v>
      </c>
      <c r="M87" s="418"/>
      <c r="N87" s="183"/>
      <c r="O87" s="183"/>
      <c r="P87" s="183"/>
      <c r="Q87" s="183"/>
      <c r="R87" s="183"/>
      <c r="S87" s="183"/>
      <c r="T87" s="183"/>
      <c r="U87" s="183"/>
      <c r="V87" s="183"/>
      <c r="W87" s="183"/>
      <c r="X87" s="183"/>
      <c r="Y87" s="183"/>
      <c r="Z87" s="183"/>
      <c r="AA87" s="228"/>
      <c r="AB87" s="228"/>
      <c r="AC87" s="228"/>
      <c r="AD87" s="228"/>
      <c r="AE87" s="228"/>
      <c r="AF87" s="228"/>
      <c r="AG87" s="228"/>
    </row>
    <row r="88" spans="1:33" ht="15.75" customHeight="1">
      <c r="A88" s="444" t="s">
        <v>776</v>
      </c>
      <c r="B88" s="500" t="s">
        <v>1212</v>
      </c>
      <c r="C88" s="507" t="s">
        <v>1213</v>
      </c>
      <c r="D88" s="500" t="s">
        <v>37</v>
      </c>
      <c r="E88" s="508">
        <v>45601</v>
      </c>
      <c r="F88" s="508">
        <v>45601</v>
      </c>
      <c r="G88" s="222"/>
      <c r="H88" s="508">
        <v>45608</v>
      </c>
      <c r="I88" s="203">
        <f ca="1">IF(ISBLANK(H88), NETWORKDAYS(F88, TODAY(),fESTIVOS!$A$1:$A$18), NETWORKDAYS(F88, H88, fESTIVOS!$A$1:$A$18))</f>
        <v>5</v>
      </c>
      <c r="J88" s="500"/>
      <c r="K88" s="500"/>
      <c r="L88" s="509" t="s">
        <v>1214</v>
      </c>
      <c r="M88" s="418"/>
      <c r="N88" s="183"/>
      <c r="O88" s="183"/>
      <c r="P88" s="183"/>
      <c r="Q88" s="183"/>
      <c r="R88" s="183"/>
      <c r="S88" s="183"/>
      <c r="T88" s="183"/>
      <c r="U88" s="183"/>
      <c r="V88" s="183"/>
      <c r="W88" s="183"/>
      <c r="X88" s="183"/>
      <c r="Y88" s="183"/>
      <c r="Z88" s="183"/>
      <c r="AA88" s="228"/>
      <c r="AB88" s="228"/>
      <c r="AC88" s="228"/>
      <c r="AD88" s="228"/>
      <c r="AE88" s="228"/>
      <c r="AF88" s="228"/>
      <c r="AG88" s="228"/>
    </row>
    <row r="89" spans="1:33" ht="15" customHeight="1">
      <c r="A89" s="417" t="s">
        <v>1034</v>
      </c>
      <c r="B89" s="192" t="s">
        <v>1215</v>
      </c>
      <c r="C89" s="192" t="s">
        <v>1216</v>
      </c>
      <c r="D89" s="415" t="s">
        <v>37</v>
      </c>
      <c r="E89" s="193">
        <v>45608</v>
      </c>
      <c r="F89" s="193">
        <v>45608</v>
      </c>
      <c r="G89" s="193"/>
      <c r="H89" s="193">
        <v>45609</v>
      </c>
      <c r="I89" s="195">
        <f ca="1">IF(ISBLANK(H89), NETWORKDAYS(F89, TODAY(),fESTIVOS!$A$1:$A$18), NETWORKDAYS(F89, H89, fESTIVOS!$A$1:$A$18))</f>
        <v>2</v>
      </c>
      <c r="J89" s="193"/>
      <c r="K89" s="193">
        <v>45609</v>
      </c>
      <c r="L89" s="196"/>
    </row>
    <row r="90" spans="1:33" ht="15.75" customHeight="1">
      <c r="A90" s="417" t="s">
        <v>1034</v>
      </c>
      <c r="B90" s="400" t="s">
        <v>1165</v>
      </c>
      <c r="C90" s="231" t="s">
        <v>1217</v>
      </c>
      <c r="D90" s="194" t="s">
        <v>37</v>
      </c>
      <c r="E90" s="193">
        <v>45602</v>
      </c>
      <c r="F90" s="510">
        <v>45602</v>
      </c>
      <c r="G90" s="511"/>
      <c r="H90" s="512">
        <v>45603</v>
      </c>
      <c r="I90" s="195">
        <f ca="1">IF(ISBLANK(H90), NETWORKDAYS(F90, TODAY(),fESTIVOS!$A$1:$A$18), NETWORKDAYS(F90, H90, fESTIVOS!$A$1:$A$18))</f>
        <v>2</v>
      </c>
      <c r="J90" s="511"/>
      <c r="K90" s="511"/>
      <c r="L90" s="413" t="s">
        <v>1218</v>
      </c>
    </row>
    <row r="91" spans="1:33" ht="15.75" customHeight="1">
      <c r="A91" s="182" t="s">
        <v>761</v>
      </c>
      <c r="B91" s="513" t="s">
        <v>1219</v>
      </c>
      <c r="C91" s="401"/>
      <c r="D91" s="415" t="s">
        <v>1155</v>
      </c>
      <c r="E91" s="193">
        <v>45336</v>
      </c>
      <c r="F91" s="193">
        <v>45336</v>
      </c>
      <c r="G91" s="193"/>
      <c r="H91" s="193">
        <v>45470</v>
      </c>
      <c r="I91" s="195">
        <f ca="1">IF(ISBLANK(H91), NETWORKDAYS(F91, TODAY(),fESTIVOS!$A$1:$A$18), NETWORKDAYS(F91, H91, fESTIVOS!$A$1:$A$18))</f>
        <v>90</v>
      </c>
      <c r="J91" s="193">
        <v>45470</v>
      </c>
      <c r="K91" s="193">
        <v>45610</v>
      </c>
      <c r="L91" s="416" t="s">
        <v>1220</v>
      </c>
      <c r="M91" s="183"/>
      <c r="N91" s="183"/>
      <c r="O91" s="183"/>
      <c r="P91" s="183"/>
      <c r="Q91" s="183"/>
      <c r="R91" s="183"/>
      <c r="S91" s="183"/>
      <c r="T91" s="183"/>
      <c r="U91" s="183"/>
      <c r="V91" s="183"/>
      <c r="W91" s="183"/>
      <c r="X91" s="183"/>
      <c r="Y91" s="183"/>
      <c r="Z91" s="183"/>
    </row>
    <row r="92" spans="1:33" ht="15.75" customHeight="1">
      <c r="A92" s="206" t="s">
        <v>776</v>
      </c>
      <c r="B92" s="449" t="s">
        <v>1221</v>
      </c>
      <c r="C92" s="446" t="s">
        <v>1222</v>
      </c>
      <c r="D92" s="200" t="s">
        <v>1158</v>
      </c>
      <c r="E92" s="225">
        <v>45545</v>
      </c>
      <c r="F92" s="225">
        <v>45546</v>
      </c>
      <c r="G92" s="225"/>
      <c r="H92" s="225">
        <v>45609</v>
      </c>
      <c r="I92" s="203">
        <f ca="1">IF(ISBLANK(H92), NETWORKDAYS(F92, TODAY(),fESTIVOS!$A$1:$A$18), NETWORKDAYS(F92, H92, fESTIVOS!$A$1:$A$18))</f>
        <v>43</v>
      </c>
      <c r="J92" s="225">
        <v>45609</v>
      </c>
      <c r="K92" s="225">
        <v>45610</v>
      </c>
      <c r="L92" s="448" t="s">
        <v>1223</v>
      </c>
      <c r="M92" s="183"/>
      <c r="N92" s="183"/>
      <c r="O92" s="183"/>
      <c r="P92" s="183"/>
      <c r="Q92" s="183"/>
      <c r="R92" s="183"/>
      <c r="S92" s="183"/>
      <c r="T92" s="183"/>
      <c r="U92" s="183"/>
      <c r="V92" s="183"/>
      <c r="W92" s="183"/>
      <c r="X92" s="183"/>
      <c r="Y92" s="183"/>
      <c r="Z92" s="183"/>
    </row>
    <row r="93" spans="1:33" ht="15.75" customHeight="1">
      <c r="A93" s="417" t="s">
        <v>1034</v>
      </c>
      <c r="B93" s="192" t="s">
        <v>1215</v>
      </c>
      <c r="C93" s="192" t="s">
        <v>1224</v>
      </c>
      <c r="D93" s="415" t="s">
        <v>1158</v>
      </c>
      <c r="E93" s="193">
        <v>45610</v>
      </c>
      <c r="F93" s="193">
        <v>45610</v>
      </c>
      <c r="G93" s="193"/>
      <c r="H93" s="194"/>
      <c r="I93" s="427">
        <f ca="1">IF(ISBLANK(H93), NETWORKDAYS(F93, TODAY(),fESTIVOS!$A$1:$A$18), NETWORKDAYS(F93, H93, fESTIVOS!$A$1:$A$18))</f>
        <v>419</v>
      </c>
      <c r="J93" s="193"/>
      <c r="K93" s="193">
        <v>45611</v>
      </c>
      <c r="L93" s="196" t="s">
        <v>1225</v>
      </c>
      <c r="M93" s="418"/>
      <c r="N93" s="183"/>
      <c r="O93" s="183"/>
      <c r="P93" s="183"/>
      <c r="Q93" s="183"/>
      <c r="R93" s="183"/>
      <c r="S93" s="183"/>
      <c r="T93" s="183"/>
      <c r="U93" s="183"/>
      <c r="V93" s="183"/>
      <c r="W93" s="183"/>
      <c r="X93" s="183"/>
      <c r="Y93" s="183"/>
      <c r="Z93" s="183"/>
      <c r="AA93" s="228"/>
      <c r="AB93" s="228"/>
      <c r="AC93" s="228"/>
      <c r="AD93" s="228"/>
      <c r="AE93" s="228"/>
      <c r="AF93" s="228"/>
      <c r="AG93" s="228"/>
    </row>
    <row r="94" spans="1:33" ht="15.75" customHeight="1">
      <c r="A94" s="206" t="s">
        <v>776</v>
      </c>
      <c r="B94" s="514" t="s">
        <v>1226</v>
      </c>
      <c r="C94" s="215"/>
      <c r="D94" s="215" t="s">
        <v>37</v>
      </c>
      <c r="E94" s="515">
        <v>45615</v>
      </c>
      <c r="F94" s="515">
        <v>45615</v>
      </c>
      <c r="G94" s="514"/>
      <c r="H94" s="515">
        <v>45615</v>
      </c>
      <c r="I94" s="203">
        <f ca="1">IF(ISBLANK(H94), NETWORKDAYS(F94, TODAY(),fESTIVOS!$A$1:$A$18), NETWORKDAYS(F94, H94, fESTIVOS!$A$1:$A$18))</f>
        <v>1</v>
      </c>
      <c r="J94" s="215"/>
      <c r="K94" s="215"/>
      <c r="L94" s="516" t="s">
        <v>1227</v>
      </c>
      <c r="M94" s="517"/>
      <c r="N94" s="518"/>
      <c r="O94" s="518"/>
      <c r="P94" s="518"/>
      <c r="Q94" s="518"/>
      <c r="R94" s="518"/>
      <c r="S94" s="518"/>
      <c r="T94" s="518"/>
      <c r="U94" s="518"/>
      <c r="V94" s="518"/>
      <c r="W94" s="518"/>
      <c r="X94" s="518"/>
      <c r="Y94" s="518"/>
      <c r="Z94" s="518"/>
      <c r="AA94" s="519"/>
      <c r="AB94" s="519"/>
      <c r="AC94" s="519"/>
      <c r="AD94" s="519"/>
      <c r="AE94" s="519"/>
      <c r="AF94" s="519"/>
      <c r="AG94" s="519"/>
    </row>
    <row r="95" spans="1:33" ht="15.75" customHeight="1">
      <c r="A95" s="417" t="s">
        <v>1034</v>
      </c>
      <c r="B95" s="192" t="s">
        <v>1215</v>
      </c>
      <c r="C95" s="231" t="s">
        <v>1228</v>
      </c>
      <c r="D95" s="415" t="s">
        <v>37</v>
      </c>
      <c r="E95" s="193">
        <v>45610</v>
      </c>
      <c r="F95" s="193">
        <v>45610</v>
      </c>
      <c r="G95" s="193"/>
      <c r="H95" s="193">
        <v>45610</v>
      </c>
      <c r="I95" s="427">
        <f ca="1">IF(ISBLANK(H95), NETWORKDAYS(F95, TODAY(),fESTIVOS!$A$1:$A$18), NETWORKDAYS(F95, H95, fESTIVOS!$A$1:$A$18))</f>
        <v>1</v>
      </c>
      <c r="J95" s="193"/>
      <c r="K95" s="193"/>
      <c r="L95" s="196"/>
      <c r="M95" s="418"/>
      <c r="N95" s="183"/>
      <c r="O95" s="183"/>
      <c r="P95" s="183"/>
      <c r="Q95" s="183"/>
      <c r="R95" s="183"/>
      <c r="S95" s="183"/>
      <c r="T95" s="183"/>
      <c r="U95" s="183"/>
      <c r="V95" s="183"/>
      <c r="W95" s="183"/>
      <c r="X95" s="183"/>
      <c r="Y95" s="183"/>
      <c r="Z95" s="183"/>
      <c r="AA95" s="228"/>
      <c r="AB95" s="228"/>
      <c r="AC95" s="228"/>
      <c r="AD95" s="228"/>
      <c r="AE95" s="228"/>
      <c r="AF95" s="228"/>
      <c r="AG95" s="228"/>
    </row>
    <row r="96" spans="1:33" ht="15.75" customHeight="1">
      <c r="A96" s="417" t="s">
        <v>1034</v>
      </c>
      <c r="B96" s="192" t="s">
        <v>1215</v>
      </c>
      <c r="C96" s="192" t="s">
        <v>1229</v>
      </c>
      <c r="D96" s="415" t="s">
        <v>37</v>
      </c>
      <c r="E96" s="193">
        <v>45609</v>
      </c>
      <c r="F96" s="193">
        <v>45609</v>
      </c>
      <c r="G96" s="193"/>
      <c r="H96" s="193">
        <v>45610</v>
      </c>
      <c r="I96" s="195">
        <f ca="1">IF(ISBLANK(H96), NETWORKDAYS(F96, TODAY(),fESTIVOS!$A$1:$A$18), NETWORKDAYS(F96, H96, fESTIVOS!$A$1:$A$18))</f>
        <v>2</v>
      </c>
      <c r="J96" s="193"/>
      <c r="K96" s="193"/>
      <c r="L96" s="196" t="s">
        <v>1230</v>
      </c>
      <c r="M96" s="418"/>
      <c r="N96" s="183"/>
      <c r="O96" s="183"/>
      <c r="P96" s="183"/>
      <c r="Q96" s="183"/>
      <c r="R96" s="183"/>
      <c r="S96" s="183"/>
      <c r="T96" s="183"/>
      <c r="U96" s="183"/>
      <c r="V96" s="183"/>
      <c r="W96" s="183"/>
      <c r="X96" s="183"/>
      <c r="Y96" s="183"/>
      <c r="Z96" s="183"/>
      <c r="AA96" s="228"/>
      <c r="AB96" s="228"/>
      <c r="AC96" s="228"/>
      <c r="AD96" s="228"/>
      <c r="AE96" s="228"/>
      <c r="AF96" s="228"/>
      <c r="AG96" s="228"/>
    </row>
    <row r="97" spans="1:33" ht="15.75" customHeight="1">
      <c r="A97" s="417" t="s">
        <v>1034</v>
      </c>
      <c r="B97" s="417" t="s">
        <v>1231</v>
      </c>
      <c r="C97" s="192"/>
      <c r="D97" s="415" t="s">
        <v>37</v>
      </c>
      <c r="E97" s="193">
        <v>45615</v>
      </c>
      <c r="F97" s="193">
        <v>45615</v>
      </c>
      <c r="G97" s="193"/>
      <c r="H97" s="193">
        <v>45615</v>
      </c>
      <c r="I97" s="195">
        <f ca="1">IF(ISBLANK(H97), NETWORKDAYS(F97, TODAY(),fESTIVOS!$A$1:$A$18), NETWORKDAYS(F97, H97, fESTIVOS!$A$1:$A$18))</f>
        <v>1</v>
      </c>
      <c r="J97" s="193"/>
      <c r="K97" s="193"/>
      <c r="L97" s="196" t="s">
        <v>1232</v>
      </c>
      <c r="M97" s="418"/>
      <c r="N97" s="183"/>
      <c r="O97" s="183"/>
      <c r="P97" s="183"/>
      <c r="Q97" s="183"/>
      <c r="R97" s="183"/>
      <c r="S97" s="183"/>
      <c r="T97" s="183"/>
      <c r="U97" s="183"/>
      <c r="V97" s="183"/>
      <c r="W97" s="183"/>
      <c r="X97" s="183"/>
      <c r="Y97" s="183"/>
      <c r="Z97" s="183"/>
      <c r="AA97" s="228"/>
      <c r="AB97" s="228"/>
      <c r="AC97" s="228"/>
      <c r="AD97" s="228"/>
      <c r="AE97" s="228"/>
      <c r="AF97" s="228"/>
      <c r="AG97" s="228"/>
    </row>
    <row r="98" spans="1:33" ht="15.75" customHeight="1">
      <c r="A98" s="206" t="s">
        <v>776</v>
      </c>
      <c r="B98" s="221" t="s">
        <v>1215</v>
      </c>
      <c r="C98" s="449" t="s">
        <v>1233</v>
      </c>
      <c r="D98" s="221" t="s">
        <v>37</v>
      </c>
      <c r="E98" s="207">
        <v>45610</v>
      </c>
      <c r="F98" s="207">
        <v>45610</v>
      </c>
      <c r="G98" s="206"/>
      <c r="H98" s="207">
        <v>45610</v>
      </c>
      <c r="I98" s="203">
        <f ca="1">IF(ISBLANK(H98), NETWORKDAYS(F98, TODAY(),fESTIVOS!$A$1:$A$18), NETWORKDAYS(F98, H98, fESTIVOS!$A$1:$A$18))</f>
        <v>1</v>
      </c>
      <c r="J98" s="221"/>
      <c r="K98" s="221"/>
      <c r="L98" s="506" t="s">
        <v>1234</v>
      </c>
      <c r="M98" s="418"/>
      <c r="N98" s="183"/>
      <c r="O98" s="183"/>
      <c r="P98" s="183"/>
      <c r="Q98" s="183"/>
      <c r="R98" s="183"/>
      <c r="S98" s="183"/>
      <c r="T98" s="183"/>
      <c r="U98" s="183"/>
      <c r="V98" s="183"/>
      <c r="W98" s="183"/>
      <c r="X98" s="183"/>
      <c r="Y98" s="183"/>
      <c r="Z98" s="183"/>
    </row>
    <row r="99" spans="1:33" ht="15.75" customHeight="1">
      <c r="A99" s="206" t="s">
        <v>776</v>
      </c>
      <c r="B99" s="500" t="s">
        <v>1235</v>
      </c>
      <c r="C99" s="477" t="s">
        <v>1236</v>
      </c>
      <c r="D99" s="221" t="s">
        <v>37</v>
      </c>
      <c r="E99" s="207">
        <v>45614</v>
      </c>
      <c r="F99" s="207">
        <v>45614</v>
      </c>
      <c r="G99" s="206"/>
      <c r="H99" s="207">
        <v>45618</v>
      </c>
      <c r="I99" s="203">
        <f ca="1">IF(ISBLANK(H99), NETWORKDAYS(F99, TODAY(),fESTIVOS!$A$1:$A$18), NETWORKDAYS(F99, H99, fESTIVOS!$A$1:$A$18))</f>
        <v>5</v>
      </c>
      <c r="J99" s="221"/>
      <c r="K99" s="221"/>
      <c r="L99" s="506" t="s">
        <v>1237</v>
      </c>
      <c r="M99" s="418"/>
      <c r="N99" s="183"/>
      <c r="O99" s="183"/>
      <c r="P99" s="183"/>
      <c r="Q99" s="183"/>
      <c r="R99" s="183"/>
      <c r="S99" s="183"/>
      <c r="T99" s="183"/>
      <c r="U99" s="183"/>
      <c r="V99" s="183"/>
      <c r="W99" s="183"/>
      <c r="X99" s="183"/>
      <c r="Y99" s="183"/>
      <c r="Z99" s="183"/>
    </row>
    <row r="100" spans="1:33" ht="15.75" customHeight="1">
      <c r="A100" s="520" t="s">
        <v>761</v>
      </c>
      <c r="B100" s="420" t="s">
        <v>1238</v>
      </c>
      <c r="C100" s="182"/>
      <c r="D100" s="415" t="s">
        <v>1155</v>
      </c>
      <c r="E100" s="193">
        <v>45621</v>
      </c>
      <c r="F100" s="193">
        <v>45621</v>
      </c>
      <c r="G100" s="521"/>
      <c r="H100" s="193">
        <v>45621</v>
      </c>
      <c r="I100" s="522">
        <f ca="1">IF(ISBLANK(H100), NETWORKDAYS(F100, TODAY(),fESTIVOS!$A$1:$A$18), NETWORKDAYS(F100, H100, fESTIVOS!$A$1:$A$18))</f>
        <v>1</v>
      </c>
      <c r="J100" s="193">
        <v>45621</v>
      </c>
      <c r="K100" s="523">
        <v>45621</v>
      </c>
      <c r="L100" s="416" t="s">
        <v>1239</v>
      </c>
      <c r="M100" s="183"/>
      <c r="N100" s="183"/>
      <c r="O100" s="183"/>
      <c r="P100" s="183"/>
      <c r="Q100" s="183"/>
      <c r="R100" s="183"/>
      <c r="S100" s="183"/>
      <c r="T100" s="183"/>
      <c r="U100" s="183"/>
      <c r="V100" s="183"/>
      <c r="W100" s="183"/>
      <c r="X100" s="183"/>
      <c r="Y100" s="183"/>
      <c r="Z100" s="183"/>
    </row>
    <row r="101" spans="1:33" ht="15.75" customHeight="1">
      <c r="A101" s="520" t="s">
        <v>761</v>
      </c>
      <c r="B101" s="524" t="s">
        <v>1240</v>
      </c>
      <c r="C101" s="525" t="s">
        <v>1241</v>
      </c>
      <c r="D101" s="526" t="s">
        <v>37</v>
      </c>
      <c r="E101" s="527">
        <v>45610</v>
      </c>
      <c r="F101" s="527">
        <v>45610</v>
      </c>
      <c r="G101" s="528"/>
      <c r="H101" s="529">
        <v>45622</v>
      </c>
      <c r="I101" s="522">
        <f ca="1">IF(ISBLANK(H101), NETWORKDAYS(F101, TODAY(),fESTIVOS!$A$1:$A$18), NETWORKDAYS(F101, H101, fESTIVOS!$A$1:$A$18))</f>
        <v>9</v>
      </c>
      <c r="J101" s="529"/>
      <c r="K101" s="529"/>
      <c r="L101" s="530" t="s">
        <v>1242</v>
      </c>
      <c r="M101" s="183"/>
      <c r="N101" s="183"/>
      <c r="O101" s="183"/>
      <c r="P101" s="183"/>
      <c r="Q101" s="183"/>
      <c r="R101" s="183"/>
      <c r="S101" s="183"/>
      <c r="T101" s="183"/>
      <c r="U101" s="183"/>
      <c r="V101" s="183"/>
      <c r="W101" s="183"/>
      <c r="X101" s="183"/>
      <c r="Y101" s="183"/>
      <c r="Z101" s="183"/>
    </row>
    <row r="102" spans="1:33" ht="15.75" customHeight="1">
      <c r="A102" s="520" t="s">
        <v>761</v>
      </c>
      <c r="B102" s="524" t="s">
        <v>1240</v>
      </c>
      <c r="C102" s="525" t="s">
        <v>1243</v>
      </c>
      <c r="D102" s="526" t="s">
        <v>1244</v>
      </c>
      <c r="E102" s="527">
        <v>45610</v>
      </c>
      <c r="F102" s="527"/>
      <c r="G102" s="528"/>
      <c r="H102" s="520">
        <v>0</v>
      </c>
      <c r="I102" s="522">
        <f ca="1">IF(ISBLANK(H102), NETWORKDAYS(F102, TODAY(),fESTIVOS!$A$1:$A$18), NETWORKDAYS(F102, H102, fESTIVOS!$A$1:$A$18))</f>
        <v>0</v>
      </c>
      <c r="J102" s="529"/>
      <c r="K102" s="529"/>
      <c r="L102" s="530" t="s">
        <v>1245</v>
      </c>
      <c r="M102" s="183"/>
      <c r="N102" s="183"/>
      <c r="O102" s="183"/>
      <c r="P102" s="183"/>
      <c r="Q102" s="183"/>
      <c r="R102" s="183"/>
      <c r="S102" s="183"/>
      <c r="T102" s="183"/>
      <c r="U102" s="183"/>
      <c r="V102" s="183"/>
      <c r="W102" s="183"/>
      <c r="X102" s="183"/>
      <c r="Y102" s="183"/>
      <c r="Z102" s="183"/>
    </row>
    <row r="103" spans="1:33" ht="15.75" customHeight="1">
      <c r="A103" s="182" t="s">
        <v>1246</v>
      </c>
      <c r="B103" s="411" t="s">
        <v>1247</v>
      </c>
      <c r="C103" s="401"/>
      <c r="D103" s="194" t="s">
        <v>37</v>
      </c>
      <c r="E103" s="193">
        <v>45611</v>
      </c>
      <c r="F103" s="193">
        <v>45616</v>
      </c>
      <c r="G103" s="193"/>
      <c r="H103" s="193">
        <v>45616</v>
      </c>
      <c r="I103" s="195">
        <f ca="1">IF(ISBLANK(H103), NETWORKDAYS(F103, TODAY(),fESTIVOS!$A$1:$A$18), NETWORKDAYS(F103, H103, fESTIVOS!$A$1:$A$18))</f>
        <v>1</v>
      </c>
      <c r="J103" s="193"/>
      <c r="K103" s="193"/>
      <c r="L103" s="196" t="s">
        <v>1248</v>
      </c>
      <c r="M103" s="418"/>
      <c r="N103" s="183"/>
      <c r="O103" s="183"/>
      <c r="P103" s="183"/>
      <c r="Q103" s="183"/>
      <c r="R103" s="183"/>
      <c r="S103" s="183"/>
      <c r="T103" s="183"/>
      <c r="U103" s="183"/>
      <c r="V103" s="183"/>
      <c r="W103" s="183"/>
      <c r="X103" s="183"/>
      <c r="Y103" s="183"/>
      <c r="Z103" s="183"/>
    </row>
    <row r="104" spans="1:33" ht="15.75" customHeight="1">
      <c r="A104" s="222" t="s">
        <v>768</v>
      </c>
      <c r="B104" s="445" t="s">
        <v>1249</v>
      </c>
      <c r="C104" s="531" t="s">
        <v>1250</v>
      </c>
      <c r="D104" s="477" t="s">
        <v>1155</v>
      </c>
      <c r="E104" s="503">
        <v>45603</v>
      </c>
      <c r="F104" s="503">
        <v>45603</v>
      </c>
      <c r="G104" s="503">
        <v>45603</v>
      </c>
      <c r="H104" s="503">
        <v>45621</v>
      </c>
      <c r="I104" s="504">
        <f ca="1">IF(ISBLANK(H104), NETWORKDAYS(F104, TODAY(),fESTIVOS!$A$1:$A$18), NETWORKDAYS(F104, H104, fESTIVOS!$A$1:$A$18))</f>
        <v>12</v>
      </c>
      <c r="J104" s="503">
        <v>45621</v>
      </c>
      <c r="K104" s="503">
        <v>45622</v>
      </c>
      <c r="L104" s="505" t="s">
        <v>1251</v>
      </c>
      <c r="M104" s="183"/>
      <c r="N104" s="183"/>
      <c r="O104" s="183"/>
      <c r="P104" s="183"/>
      <c r="Q104" s="183"/>
      <c r="R104" s="183"/>
      <c r="S104" s="183"/>
      <c r="T104" s="183"/>
      <c r="U104" s="183"/>
      <c r="V104" s="183"/>
      <c r="W104" s="183"/>
      <c r="X104" s="183"/>
      <c r="Y104" s="183"/>
      <c r="Z104" s="183"/>
    </row>
    <row r="105" spans="1:33" ht="15.75" customHeight="1">
      <c r="A105" s="520" t="s">
        <v>761</v>
      </c>
      <c r="B105" s="532" t="s">
        <v>1240</v>
      </c>
      <c r="C105" s="525" t="s">
        <v>1252</v>
      </c>
      <c r="D105" s="533" t="s">
        <v>1155</v>
      </c>
      <c r="E105" s="527">
        <v>45610</v>
      </c>
      <c r="F105" s="527">
        <v>45610</v>
      </c>
      <c r="G105" s="528">
        <v>45611</v>
      </c>
      <c r="H105" s="534">
        <v>45621</v>
      </c>
      <c r="I105" s="522">
        <f ca="1">IF(ISBLANK(H105), NETWORKDAYS(F105, TODAY(),fESTIVOS!$A$1:$A$18), NETWORKDAYS(F105, H105, fESTIVOS!$A$1:$A$18))</f>
        <v>8</v>
      </c>
      <c r="J105" s="529">
        <v>45621</v>
      </c>
      <c r="K105" s="529">
        <v>45624</v>
      </c>
      <c r="L105" s="530" t="s">
        <v>1253</v>
      </c>
      <c r="M105" s="183"/>
      <c r="N105" s="183"/>
      <c r="O105" s="183"/>
      <c r="P105" s="183"/>
      <c r="Q105" s="183"/>
      <c r="R105" s="183"/>
      <c r="S105" s="183"/>
      <c r="T105" s="183"/>
      <c r="U105" s="183"/>
      <c r="V105" s="183"/>
      <c r="W105" s="183"/>
      <c r="X105" s="183"/>
      <c r="Y105" s="183"/>
      <c r="Z105" s="183"/>
    </row>
    <row r="106" spans="1:33" ht="15.75" customHeight="1">
      <c r="A106" s="417" t="s">
        <v>1034</v>
      </c>
      <c r="B106" s="535" t="s">
        <v>1054</v>
      </c>
      <c r="C106" s="415" t="s">
        <v>1254</v>
      </c>
      <c r="D106" s="415" t="s">
        <v>1255</v>
      </c>
      <c r="E106" s="193">
        <v>45593</v>
      </c>
      <c r="F106" s="193">
        <v>45593</v>
      </c>
      <c r="G106" s="193"/>
      <c r="H106" s="193"/>
      <c r="I106" s="195">
        <f ca="1">IF(ISBLANK(H106), NETWORKDAYS(F106, TODAY(),fESTIVOS!$A$1:$A$18), NETWORKDAYS(F106, H106, fESTIVOS!$A$1:$A$18))</f>
        <v>430</v>
      </c>
      <c r="J106" s="193">
        <v>45611</v>
      </c>
      <c r="K106" s="193">
        <v>45611</v>
      </c>
      <c r="L106" s="196" t="s">
        <v>1256</v>
      </c>
      <c r="M106" s="418"/>
      <c r="N106" s="183"/>
      <c r="O106" s="183"/>
      <c r="P106" s="183"/>
      <c r="Q106" s="183"/>
      <c r="R106" s="183"/>
      <c r="S106" s="183"/>
      <c r="T106" s="183"/>
      <c r="U106" s="183"/>
      <c r="V106" s="183"/>
      <c r="W106" s="183"/>
      <c r="X106" s="183"/>
      <c r="Y106" s="183"/>
      <c r="Z106" s="183"/>
    </row>
    <row r="107" spans="1:33" ht="15.75" customHeight="1">
      <c r="A107" s="206" t="s">
        <v>776</v>
      </c>
      <c r="B107" s="444" t="s">
        <v>1257</v>
      </c>
      <c r="C107" s="221"/>
      <c r="D107" s="536" t="s">
        <v>37</v>
      </c>
      <c r="E107" s="225">
        <v>45623</v>
      </c>
      <c r="F107" s="207">
        <v>45623</v>
      </c>
      <c r="G107" s="206"/>
      <c r="H107" s="207">
        <v>45625</v>
      </c>
      <c r="I107" s="203">
        <f ca="1">IF(ISBLANK(H107), NETWORKDAYS(F107, TODAY(),fESTIVOS!$A$1:$A$18), NETWORKDAYS(F107, H107, fESTIVOS!$A$1:$A$18))</f>
        <v>3</v>
      </c>
      <c r="J107" s="207">
        <v>45625</v>
      </c>
      <c r="K107" s="221"/>
      <c r="L107" s="506" t="s">
        <v>1258</v>
      </c>
      <c r="M107" s="418"/>
      <c r="N107" s="183"/>
      <c r="O107" s="183"/>
      <c r="P107" s="183"/>
      <c r="Q107" s="183"/>
      <c r="R107" s="183"/>
      <c r="S107" s="183"/>
      <c r="T107" s="183"/>
      <c r="U107" s="183"/>
      <c r="V107" s="183"/>
      <c r="W107" s="183"/>
      <c r="X107" s="183"/>
      <c r="Y107" s="183"/>
      <c r="Z107" s="183"/>
    </row>
    <row r="108" spans="1:33" ht="15.75" customHeight="1">
      <c r="A108" s="537" t="s">
        <v>761</v>
      </c>
      <c r="B108" s="524" t="s">
        <v>1259</v>
      </c>
      <c r="C108" s="538"/>
      <c r="D108" s="539" t="s">
        <v>1155</v>
      </c>
      <c r="E108" s="540">
        <v>45624</v>
      </c>
      <c r="F108" s="540">
        <v>45625</v>
      </c>
      <c r="G108" s="528"/>
      <c r="H108" s="527">
        <v>45625</v>
      </c>
      <c r="I108" s="522">
        <f ca="1">IF(ISBLANK(H108), NETWORKDAYS(F108, TODAY(),fESTIVOS!$A$1:$A$18), NETWORKDAYS(F108, H108, fESTIVOS!$A$1:$A$18))</f>
        <v>1</v>
      </c>
      <c r="J108" s="527">
        <v>45625</v>
      </c>
      <c r="K108" s="527">
        <v>45625</v>
      </c>
      <c r="L108" s="530" t="s">
        <v>1260</v>
      </c>
      <c r="M108" s="183"/>
      <c r="N108" s="183"/>
      <c r="O108" s="183"/>
      <c r="P108" s="183"/>
      <c r="Q108" s="183"/>
      <c r="R108" s="183"/>
      <c r="S108" s="183"/>
      <c r="T108" s="183"/>
      <c r="U108" s="183"/>
      <c r="V108" s="183"/>
      <c r="W108" s="183"/>
      <c r="X108" s="183"/>
      <c r="Y108" s="183"/>
      <c r="Z108" s="183"/>
    </row>
    <row r="109" spans="1:33" ht="15.75" customHeight="1">
      <c r="A109" s="221" t="s">
        <v>768</v>
      </c>
      <c r="B109" s="541" t="s">
        <v>1261</v>
      </c>
      <c r="C109" s="446" t="s">
        <v>1262</v>
      </c>
      <c r="D109" s="200" t="s">
        <v>1110</v>
      </c>
      <c r="E109" s="225">
        <v>45618</v>
      </c>
      <c r="F109" s="225">
        <v>45618</v>
      </c>
      <c r="G109" s="542"/>
      <c r="H109" s="225">
        <v>45625</v>
      </c>
      <c r="I109" s="203">
        <f ca="1">IF(ISBLANK(H109), NETWORKDAYS(F109, TODAY(),fESTIVOS!$A$1:$A$18), NETWORKDAYS(F109, H109, fESTIVOS!$A$1:$A$18))</f>
        <v>6</v>
      </c>
      <c r="J109" s="225">
        <v>45625</v>
      </c>
      <c r="K109" s="225">
        <v>45625</v>
      </c>
      <c r="L109" s="543" t="s">
        <v>1263</v>
      </c>
      <c r="M109" s="183"/>
      <c r="N109" s="183"/>
      <c r="O109" s="183"/>
      <c r="P109" s="183"/>
      <c r="Q109" s="183"/>
      <c r="R109" s="183"/>
      <c r="S109" s="183"/>
      <c r="T109" s="183"/>
      <c r="U109" s="183"/>
      <c r="V109" s="183"/>
      <c r="W109" s="183"/>
      <c r="X109" s="183"/>
      <c r="Y109" s="183"/>
      <c r="Z109" s="183"/>
    </row>
    <row r="110" spans="1:33" ht="15.75" customHeight="1">
      <c r="A110" s="544" t="s">
        <v>1034</v>
      </c>
      <c r="B110" s="402" t="s">
        <v>1264</v>
      </c>
      <c r="C110" s="489" t="s">
        <v>1265</v>
      </c>
      <c r="D110" s="439" t="s">
        <v>1266</v>
      </c>
      <c r="E110" s="463">
        <v>45616</v>
      </c>
      <c r="F110" s="463">
        <v>45616</v>
      </c>
      <c r="G110" s="463"/>
      <c r="H110" s="431"/>
      <c r="I110" s="408">
        <f ca="1">IF(ISBLANK(H110), NETWORKDAYS(F110, TODAY(),fESTIVOS!$A$1:$A$18), NETWORKDAYS(F110, H110, fESTIVOS!$A$1:$A$18))</f>
        <v>415</v>
      </c>
      <c r="J110" s="463"/>
      <c r="K110" s="463"/>
      <c r="L110" s="464" t="s">
        <v>1267</v>
      </c>
      <c r="M110" s="418"/>
      <c r="N110" s="183"/>
      <c r="O110" s="183"/>
      <c r="P110" s="183"/>
      <c r="Q110" s="183"/>
      <c r="R110" s="183"/>
      <c r="S110" s="183"/>
      <c r="T110" s="183"/>
      <c r="U110" s="183"/>
      <c r="V110" s="183"/>
      <c r="W110" s="183"/>
      <c r="X110" s="183"/>
      <c r="Y110" s="183"/>
      <c r="Z110" s="183"/>
    </row>
    <row r="111" spans="1:33" ht="15.75" customHeight="1">
      <c r="A111" s="417" t="s">
        <v>1034</v>
      </c>
      <c r="B111" s="192" t="s">
        <v>1215</v>
      </c>
      <c r="C111" s="545" t="s">
        <v>1268</v>
      </c>
      <c r="D111" s="415" t="s">
        <v>1155</v>
      </c>
      <c r="E111" s="512">
        <v>45616</v>
      </c>
      <c r="F111" s="546">
        <v>45617</v>
      </c>
      <c r="G111" s="511"/>
      <c r="H111" s="193">
        <v>45618</v>
      </c>
      <c r="I111" s="195">
        <f ca="1">IF(ISBLANK(H111), NETWORKDAYS(F111, TODAY(),fESTIVOS!$A$1:$A$18), NETWORKDAYS(F111, H111, fESTIVOS!$A$1:$A$18))</f>
        <v>2</v>
      </c>
      <c r="J111" s="193">
        <v>45618</v>
      </c>
      <c r="K111" s="512">
        <v>45630</v>
      </c>
      <c r="L111" s="547" t="s">
        <v>1269</v>
      </c>
    </row>
    <row r="112" spans="1:33" ht="15.75" customHeight="1">
      <c r="A112" s="417" t="s">
        <v>1034</v>
      </c>
      <c r="B112" s="192" t="s">
        <v>1215</v>
      </c>
      <c r="C112" s="545" t="s">
        <v>1270</v>
      </c>
      <c r="D112" s="415" t="s">
        <v>1155</v>
      </c>
      <c r="E112" s="512">
        <v>45618</v>
      </c>
      <c r="F112" s="546">
        <v>45618</v>
      </c>
      <c r="G112" s="511"/>
      <c r="H112" s="546">
        <v>45618</v>
      </c>
      <c r="I112" s="195">
        <f ca="1">IF(ISBLANK(H112), NETWORKDAYS(F112, TODAY(),fESTIVOS!$A$1:$A$18), NETWORKDAYS(F112, H112, fESTIVOS!$A$1:$A$18))</f>
        <v>1</v>
      </c>
      <c r="J112" s="546">
        <v>45618</v>
      </c>
      <c r="K112" s="512">
        <v>45630</v>
      </c>
      <c r="L112" s="547" t="s">
        <v>1271</v>
      </c>
    </row>
    <row r="113" spans="1:33" ht="15.75" customHeight="1">
      <c r="A113" s="417" t="s">
        <v>1034</v>
      </c>
      <c r="B113" s="192" t="s">
        <v>1215</v>
      </c>
      <c r="C113" s="495" t="s">
        <v>1272</v>
      </c>
      <c r="D113" s="415" t="s">
        <v>1155</v>
      </c>
      <c r="E113" s="512">
        <v>45616</v>
      </c>
      <c r="F113" s="546">
        <v>45616</v>
      </c>
      <c r="G113" s="511"/>
      <c r="H113" s="193">
        <v>45618</v>
      </c>
      <c r="I113" s="195">
        <f ca="1">IF(ISBLANK(H113), NETWORKDAYS(F113, TODAY(),fESTIVOS!$A$1:$A$18), NETWORKDAYS(F113, H113, fESTIVOS!$A$1:$A$18))</f>
        <v>3</v>
      </c>
      <c r="J113" s="193">
        <v>45618</v>
      </c>
      <c r="K113" s="512">
        <v>45630</v>
      </c>
      <c r="L113" s="451" t="s">
        <v>1273</v>
      </c>
    </row>
    <row r="114" spans="1:33" ht="15.75" customHeight="1">
      <c r="A114" s="206" t="s">
        <v>776</v>
      </c>
      <c r="B114" s="548" t="s">
        <v>1274</v>
      </c>
      <c r="C114" s="500"/>
      <c r="D114" s="500" t="s">
        <v>37</v>
      </c>
      <c r="E114" s="508">
        <v>45629</v>
      </c>
      <c r="F114" s="508">
        <v>45629</v>
      </c>
      <c r="G114" s="222"/>
      <c r="H114" s="508">
        <v>45629</v>
      </c>
      <c r="I114" s="203">
        <f ca="1">IF(ISBLANK(H114), NETWORKDAYS(F114, TODAY(),fESTIVOS!$A$1:$A$18), NETWORKDAYS(F114, H114, fESTIVOS!$A$1:$A$18))</f>
        <v>1</v>
      </c>
      <c r="J114" s="500"/>
      <c r="K114" s="508">
        <v>45630</v>
      </c>
      <c r="L114" s="549" t="s">
        <v>1275</v>
      </c>
      <c r="M114" s="418"/>
      <c r="N114" s="183"/>
      <c r="O114" s="183"/>
      <c r="P114" s="183"/>
      <c r="Q114" s="183"/>
      <c r="R114" s="183"/>
      <c r="S114" s="183"/>
      <c r="T114" s="183"/>
      <c r="U114" s="183"/>
      <c r="V114" s="183"/>
      <c r="W114" s="183"/>
      <c r="X114" s="183"/>
      <c r="Y114" s="183"/>
      <c r="Z114" s="183"/>
      <c r="AA114" s="228"/>
      <c r="AB114" s="228"/>
      <c r="AC114" s="228"/>
      <c r="AD114" s="228"/>
      <c r="AE114" s="228"/>
      <c r="AF114" s="228"/>
      <c r="AG114" s="228"/>
    </row>
    <row r="115" spans="1:33" ht="15.75" customHeight="1">
      <c r="A115" s="417" t="s">
        <v>1034</v>
      </c>
      <c r="B115" s="417" t="s">
        <v>1276</v>
      </c>
      <c r="C115" s="192"/>
      <c r="D115" s="415" t="s">
        <v>1155</v>
      </c>
      <c r="E115" s="193">
        <v>45628</v>
      </c>
      <c r="F115" s="193">
        <v>45630</v>
      </c>
      <c r="G115" s="193"/>
      <c r="H115" s="193">
        <v>45631</v>
      </c>
      <c r="I115" s="195">
        <f ca="1">IF(ISBLANK(H115), NETWORKDAYS(F115, TODAY(),fESTIVOS!$A$1:$A$18), NETWORKDAYS(F115, H115, fESTIVOS!$A$1:$A$18))</f>
        <v>2</v>
      </c>
      <c r="J115" s="193"/>
      <c r="K115" s="193">
        <v>45631</v>
      </c>
      <c r="L115" s="196" t="s">
        <v>1277</v>
      </c>
      <c r="M115" s="418"/>
      <c r="N115" s="183"/>
      <c r="O115" s="183"/>
      <c r="P115" s="183"/>
      <c r="Q115" s="183"/>
      <c r="R115" s="183"/>
      <c r="S115" s="183"/>
      <c r="T115" s="183"/>
      <c r="U115" s="183"/>
      <c r="V115" s="183"/>
      <c r="W115" s="183"/>
      <c r="X115" s="183"/>
      <c r="Y115" s="183"/>
      <c r="Z115" s="183"/>
    </row>
    <row r="116" spans="1:33" ht="15.75" customHeight="1">
      <c r="A116" s="206" t="s">
        <v>776</v>
      </c>
      <c r="B116" s="550" t="s">
        <v>1278</v>
      </c>
      <c r="C116" s="500"/>
      <c r="D116" s="500" t="s">
        <v>37</v>
      </c>
      <c r="E116" s="508">
        <v>45628</v>
      </c>
      <c r="F116" s="508">
        <v>45630</v>
      </c>
      <c r="G116" s="222"/>
      <c r="H116" s="508">
        <v>45632</v>
      </c>
      <c r="I116" s="203">
        <f ca="1">IF(ISBLANK(H116), NETWORKDAYS(F116, TODAY(),fESTIVOS!$A$1:$A$18), NETWORKDAYS(F116, H116, fESTIVOS!$A$1:$A$18))</f>
        <v>3</v>
      </c>
      <c r="J116" s="500"/>
      <c r="K116" s="500"/>
      <c r="L116" s="509" t="s">
        <v>1279</v>
      </c>
      <c r="M116" s="418"/>
      <c r="N116" s="183"/>
      <c r="O116" s="183"/>
      <c r="P116" s="183"/>
      <c r="Q116" s="183"/>
      <c r="R116" s="183"/>
      <c r="S116" s="183"/>
      <c r="T116" s="183"/>
      <c r="U116" s="183"/>
      <c r="V116" s="183"/>
      <c r="W116" s="183"/>
      <c r="X116" s="183"/>
      <c r="Y116" s="183"/>
      <c r="Z116" s="183"/>
      <c r="AA116" s="228"/>
      <c r="AB116" s="228"/>
      <c r="AC116" s="228"/>
      <c r="AD116" s="228"/>
      <c r="AE116" s="228"/>
      <c r="AF116" s="228"/>
      <c r="AG116" s="228"/>
    </row>
    <row r="117" spans="1:33" ht="15.75" customHeight="1">
      <c r="A117" s="206" t="s">
        <v>776</v>
      </c>
      <c r="B117" s="550" t="s">
        <v>1280</v>
      </c>
      <c r="C117" s="500"/>
      <c r="D117" s="500" t="s">
        <v>37</v>
      </c>
      <c r="E117" s="508">
        <v>45635</v>
      </c>
      <c r="F117" s="508">
        <v>45635</v>
      </c>
      <c r="G117" s="222"/>
      <c r="H117" s="508">
        <v>45635</v>
      </c>
      <c r="I117" s="203">
        <f ca="1">IF(ISBLANK(H117), NETWORKDAYS(F117, TODAY(),fESTIVOS!$A$1:$A$18), NETWORKDAYS(F117, H117, fESTIVOS!$A$1:$A$18))</f>
        <v>1</v>
      </c>
      <c r="J117" s="508">
        <v>45635</v>
      </c>
      <c r="K117" s="500"/>
      <c r="L117" s="509"/>
      <c r="M117" s="418"/>
      <c r="N117" s="183"/>
      <c r="O117" s="183"/>
      <c r="P117" s="183"/>
      <c r="Q117" s="183"/>
      <c r="R117" s="183"/>
      <c r="S117" s="183"/>
      <c r="T117" s="183"/>
      <c r="U117" s="183"/>
      <c r="V117" s="183"/>
      <c r="W117" s="183"/>
      <c r="X117" s="183"/>
      <c r="Y117" s="183"/>
      <c r="Z117" s="183"/>
      <c r="AA117" s="228"/>
      <c r="AB117" s="228"/>
      <c r="AC117" s="228"/>
      <c r="AD117" s="228"/>
      <c r="AE117" s="228"/>
      <c r="AF117" s="228"/>
      <c r="AG117" s="228"/>
    </row>
    <row r="118" spans="1:33" ht="15.75" customHeight="1">
      <c r="A118" s="221" t="s">
        <v>786</v>
      </c>
      <c r="B118" s="198" t="s">
        <v>1281</v>
      </c>
      <c r="C118" s="551"/>
      <c r="D118" s="447" t="s">
        <v>37</v>
      </c>
      <c r="E118" s="225">
        <v>45630</v>
      </c>
      <c r="F118" s="225">
        <v>45631</v>
      </c>
      <c r="G118" s="459"/>
      <c r="H118" s="460">
        <v>45635</v>
      </c>
      <c r="I118" s="552">
        <f ca="1">IF(ISBLANK(H118), NETWORKDAYS(F118, TODAY(),fESTIVOS!$A$1:$A$18), NETWORKDAYS(F118, H118, fESTIVOS!$A$1:$A$18))</f>
        <v>3</v>
      </c>
      <c r="J118" s="460"/>
      <c r="K118" s="460"/>
      <c r="L118" s="553" t="s">
        <v>1282</v>
      </c>
      <c r="M118" s="418"/>
      <c r="N118" s="183"/>
      <c r="O118" s="183"/>
      <c r="P118" s="183"/>
      <c r="Q118" s="183"/>
      <c r="R118" s="183"/>
      <c r="S118" s="183"/>
      <c r="T118" s="183"/>
      <c r="U118" s="183"/>
      <c r="V118" s="183"/>
      <c r="W118" s="183"/>
      <c r="X118" s="183"/>
      <c r="Y118" s="183"/>
      <c r="Z118" s="183"/>
    </row>
    <row r="119" spans="1:33" ht="15.75" customHeight="1">
      <c r="A119" s="206" t="s">
        <v>776</v>
      </c>
      <c r="B119" s="206" t="s">
        <v>1283</v>
      </c>
      <c r="C119" s="221"/>
      <c r="D119" s="221" t="s">
        <v>37</v>
      </c>
      <c r="E119" s="207">
        <v>45635</v>
      </c>
      <c r="F119" s="207">
        <v>45636</v>
      </c>
      <c r="G119" s="206"/>
      <c r="H119" s="207">
        <v>45636</v>
      </c>
      <c r="I119" s="203">
        <f ca="1">IF(ISBLANK(H119), NETWORKDAYS(F119, TODAY(),fESTIVOS!$A$1:$A$18), NETWORKDAYS(F119, H119, fESTIVOS!$A$1:$A$18))</f>
        <v>1</v>
      </c>
      <c r="J119" s="221"/>
      <c r="K119" s="207">
        <v>45636</v>
      </c>
      <c r="L119" s="506" t="s">
        <v>1284</v>
      </c>
      <c r="M119" s="418"/>
      <c r="N119" s="183"/>
      <c r="O119" s="183"/>
      <c r="P119" s="183"/>
      <c r="Q119" s="183"/>
      <c r="R119" s="183"/>
      <c r="S119" s="183"/>
      <c r="T119" s="183"/>
      <c r="U119" s="183"/>
      <c r="V119" s="183"/>
      <c r="W119" s="183"/>
      <c r="X119" s="183"/>
      <c r="Y119" s="183"/>
      <c r="Z119" s="183"/>
      <c r="AA119" s="228"/>
      <c r="AB119" s="228"/>
      <c r="AC119" s="228"/>
      <c r="AD119" s="228"/>
      <c r="AE119" s="228"/>
      <c r="AF119" s="228"/>
      <c r="AG119" s="228"/>
    </row>
    <row r="120" spans="1:33" ht="15.75" customHeight="1">
      <c r="A120" s="221" t="s">
        <v>786</v>
      </c>
      <c r="B120" s="554" t="s">
        <v>1285</v>
      </c>
      <c r="C120" s="551"/>
      <c r="D120" s="200" t="s">
        <v>1155</v>
      </c>
      <c r="E120" s="225">
        <v>45631</v>
      </c>
      <c r="F120" s="225">
        <v>45635</v>
      </c>
      <c r="G120" s="225"/>
      <c r="H120" s="225">
        <v>45636</v>
      </c>
      <c r="I120" s="203">
        <f ca="1">IF(ISBLANK(H120), NETWORKDAYS(F120, TODAY(),fESTIVOS!$A$1:$A$18), NETWORKDAYS(F120, H120, fESTIVOS!$A$1:$A$18))</f>
        <v>2</v>
      </c>
      <c r="J120" s="225"/>
      <c r="K120" s="225"/>
      <c r="L120" s="543" t="s">
        <v>1286</v>
      </c>
      <c r="M120" s="418"/>
      <c r="N120" s="183"/>
      <c r="O120" s="183"/>
      <c r="P120" s="183"/>
      <c r="Q120" s="183"/>
      <c r="R120" s="183"/>
      <c r="S120" s="183"/>
      <c r="T120" s="183"/>
      <c r="U120" s="183"/>
      <c r="V120" s="183"/>
      <c r="W120" s="183"/>
      <c r="X120" s="183"/>
      <c r="Y120" s="183"/>
      <c r="Z120" s="183"/>
    </row>
    <row r="121" spans="1:33" ht="15.75" customHeight="1">
      <c r="A121" s="182" t="s">
        <v>761</v>
      </c>
      <c r="B121" s="420" t="s">
        <v>1287</v>
      </c>
      <c r="C121" s="520"/>
      <c r="D121" s="526" t="s">
        <v>37</v>
      </c>
      <c r="E121" s="527">
        <v>45632</v>
      </c>
      <c r="F121" s="527">
        <v>45632</v>
      </c>
      <c r="G121" s="528"/>
      <c r="H121" s="529">
        <v>45637</v>
      </c>
      <c r="I121" s="195">
        <f ca="1">IF(ISBLANK(H121), NETWORKDAYS(F121, TODAY(),fESTIVOS!$A$1:$A$18), NETWORKDAYS(F121, H121, fESTIVOS!$A$1:$A$18))</f>
        <v>4</v>
      </c>
      <c r="J121" s="529"/>
      <c r="K121" s="529">
        <v>45636</v>
      </c>
      <c r="L121" s="530" t="s">
        <v>1288</v>
      </c>
      <c r="M121" s="555"/>
      <c r="N121" s="555"/>
      <c r="O121" s="555"/>
      <c r="P121" s="555"/>
      <c r="Q121" s="555"/>
      <c r="R121" s="555"/>
      <c r="S121" s="555"/>
      <c r="T121" s="555"/>
      <c r="U121" s="555"/>
      <c r="V121" s="555"/>
      <c r="W121" s="555"/>
      <c r="X121" s="555"/>
      <c r="Y121" s="555"/>
      <c r="Z121" s="555"/>
      <c r="AA121" s="556"/>
      <c r="AB121" s="556"/>
      <c r="AC121" s="556"/>
      <c r="AD121" s="556"/>
      <c r="AE121" s="556"/>
      <c r="AF121" s="556"/>
      <c r="AG121" s="556"/>
    </row>
    <row r="122" spans="1:33" ht="15.75" customHeight="1">
      <c r="A122" s="182" t="s">
        <v>761</v>
      </c>
      <c r="B122" s="367"/>
      <c r="C122" s="399" t="s">
        <v>1289</v>
      </c>
      <c r="D122" s="526" t="s">
        <v>37</v>
      </c>
      <c r="E122" s="527">
        <v>45637</v>
      </c>
      <c r="F122" s="527">
        <v>45638</v>
      </c>
      <c r="G122" s="528"/>
      <c r="H122" s="523">
        <v>45639</v>
      </c>
      <c r="I122" s="195">
        <f ca="1">IF(ISBLANK(H122), NETWORKDAYS(F122, TODAY(),fESTIVOS!$A$1:$A$18), NETWORKDAYS(F122, H122, fESTIVOS!$A$1:$A$18))</f>
        <v>2</v>
      </c>
      <c r="J122" s="529"/>
      <c r="K122" s="529"/>
      <c r="L122" s="530" t="s">
        <v>1290</v>
      </c>
      <c r="M122" s="555"/>
      <c r="N122" s="555"/>
      <c r="O122" s="555"/>
      <c r="P122" s="555"/>
      <c r="Q122" s="555"/>
      <c r="R122" s="555"/>
      <c r="S122" s="555"/>
      <c r="T122" s="555"/>
      <c r="U122" s="555"/>
      <c r="V122" s="555"/>
      <c r="W122" s="555"/>
      <c r="X122" s="555"/>
      <c r="Y122" s="555"/>
      <c r="Z122" s="555"/>
      <c r="AA122" s="556"/>
      <c r="AB122" s="556"/>
      <c r="AC122" s="556"/>
      <c r="AD122" s="556"/>
      <c r="AE122" s="556"/>
      <c r="AF122" s="556"/>
      <c r="AG122" s="556"/>
    </row>
    <row r="123" spans="1:33" ht="15.75" customHeight="1">
      <c r="A123" s="222" t="s">
        <v>768</v>
      </c>
      <c r="B123" s="557" t="s">
        <v>1291</v>
      </c>
      <c r="C123" s="558" t="s">
        <v>1292</v>
      </c>
      <c r="D123" s="447" t="s">
        <v>1155</v>
      </c>
      <c r="E123" s="503">
        <v>45636</v>
      </c>
      <c r="F123" s="503">
        <v>45636</v>
      </c>
      <c r="G123" s="503"/>
      <c r="H123" s="503"/>
      <c r="I123" s="504">
        <f ca="1">IF(ISBLANK(H123), NETWORKDAYS(F123, TODAY(),fESTIVOS!$A$1:$A$18), NETWORKDAYS(F123, H123, fESTIVOS!$A$1:$A$18))</f>
        <v>401</v>
      </c>
      <c r="J123" s="559">
        <v>45637</v>
      </c>
      <c r="K123" s="503">
        <v>45638</v>
      </c>
      <c r="L123" s="505" t="s">
        <v>1293</v>
      </c>
      <c r="M123" s="183"/>
      <c r="N123" s="183"/>
      <c r="O123" s="183"/>
      <c r="P123" s="183"/>
      <c r="Q123" s="183"/>
      <c r="R123" s="183"/>
      <c r="S123" s="183"/>
      <c r="T123" s="183"/>
      <c r="U123" s="183"/>
      <c r="V123" s="183"/>
      <c r="W123" s="183"/>
      <c r="X123" s="183"/>
      <c r="Y123" s="183"/>
      <c r="Z123" s="183"/>
    </row>
    <row r="124" spans="1:33" ht="15.75" customHeight="1">
      <c r="A124" s="206" t="s">
        <v>768</v>
      </c>
      <c r="B124" s="216" t="s">
        <v>1294</v>
      </c>
      <c r="C124" s="224" t="s">
        <v>1295</v>
      </c>
      <c r="D124" s="447" t="s">
        <v>37</v>
      </c>
      <c r="E124" s="225">
        <v>45636</v>
      </c>
      <c r="F124" s="225">
        <v>45636</v>
      </c>
      <c r="G124" s="225"/>
      <c r="H124" s="225">
        <v>45638</v>
      </c>
      <c r="I124" s="203">
        <f ca="1">IF(ISBLANK(H124), NETWORKDAYS(F124, TODAY(),fESTIVOS!$A$1:$A$18), NETWORKDAYS(F124, H124, fESTIVOS!$A$1:$A$18))</f>
        <v>3</v>
      </c>
      <c r="J124" s="225">
        <v>45638</v>
      </c>
      <c r="K124" s="225">
        <v>45638</v>
      </c>
      <c r="L124" s="448" t="s">
        <v>1296</v>
      </c>
      <c r="M124" s="183"/>
      <c r="N124" s="183"/>
      <c r="O124" s="183"/>
      <c r="P124" s="183"/>
      <c r="Q124" s="183"/>
      <c r="R124" s="183"/>
      <c r="S124" s="183"/>
      <c r="T124" s="183"/>
      <c r="U124" s="183"/>
      <c r="V124" s="183"/>
      <c r="W124" s="183"/>
      <c r="X124" s="183"/>
      <c r="Y124" s="183"/>
      <c r="Z124" s="183"/>
    </row>
    <row r="125" spans="1:33" ht="15.75" customHeight="1">
      <c r="A125" s="420" t="s">
        <v>1034</v>
      </c>
      <c r="B125" s="400" t="s">
        <v>1165</v>
      </c>
      <c r="C125" s="560" t="s">
        <v>1297</v>
      </c>
      <c r="D125" s="425" t="s">
        <v>37</v>
      </c>
      <c r="E125" s="494">
        <v>45630</v>
      </c>
      <c r="F125" s="494">
        <v>45631</v>
      </c>
      <c r="G125" s="426"/>
      <c r="H125" s="426">
        <v>45632</v>
      </c>
      <c r="I125" s="427">
        <f ca="1">IF(ISBLANK(H125), NETWORKDAYS(F125, TODAY(),fESTIVOS!$A$1:$A$18), NETWORKDAYS(F125, H125, fESTIVOS!$A$1:$A$18))</f>
        <v>2</v>
      </c>
      <c r="J125" s="186"/>
      <c r="K125" s="426">
        <v>45632</v>
      </c>
      <c r="L125" s="454"/>
      <c r="M125" s="453"/>
      <c r="N125" s="189"/>
      <c r="O125" s="189"/>
      <c r="P125" s="189"/>
      <c r="Q125" s="189"/>
      <c r="R125" s="189"/>
      <c r="S125" s="189"/>
      <c r="T125" s="189"/>
      <c r="U125" s="189"/>
      <c r="V125" s="189"/>
      <c r="W125" s="189"/>
      <c r="X125" s="189"/>
      <c r="Y125" s="189"/>
      <c r="Z125" s="189"/>
    </row>
    <row r="126" spans="1:33" ht="15.75" customHeight="1">
      <c r="A126" s="417" t="s">
        <v>1034</v>
      </c>
      <c r="B126" s="400" t="s">
        <v>1165</v>
      </c>
      <c r="C126" s="561" t="s">
        <v>1298</v>
      </c>
      <c r="D126" s="493" t="s">
        <v>39</v>
      </c>
      <c r="E126" s="494">
        <v>45631</v>
      </c>
      <c r="F126" s="426">
        <v>45631</v>
      </c>
      <c r="G126" s="426"/>
      <c r="H126" s="425"/>
      <c r="I126" s="195">
        <f ca="1">IF(ISBLANK(H126), NETWORKDAYS(F126, TODAY(),fESTIVOS!$A$1:$A$18), NETWORKDAYS(F126, H126, fESTIVOS!$A$1:$A$18))</f>
        <v>404</v>
      </c>
      <c r="J126" s="186"/>
      <c r="K126" s="186"/>
      <c r="L126" s="562"/>
      <c r="M126" s="453"/>
      <c r="N126" s="189"/>
      <c r="O126" s="189"/>
      <c r="P126" s="189"/>
      <c r="Q126" s="189"/>
      <c r="R126" s="189"/>
      <c r="S126" s="189"/>
      <c r="T126" s="189"/>
      <c r="U126" s="189"/>
      <c r="V126" s="189"/>
      <c r="W126" s="189"/>
      <c r="X126" s="189"/>
      <c r="Y126" s="189"/>
      <c r="Z126" s="189"/>
    </row>
    <row r="127" spans="1:33" ht="15.75" customHeight="1">
      <c r="A127" s="520" t="s">
        <v>761</v>
      </c>
      <c r="B127" s="538" t="s">
        <v>1299</v>
      </c>
      <c r="C127" s="525" t="s">
        <v>1300</v>
      </c>
      <c r="D127" s="526" t="s">
        <v>37</v>
      </c>
      <c r="E127" s="527">
        <v>45642</v>
      </c>
      <c r="F127" s="527">
        <v>45642</v>
      </c>
      <c r="G127" s="528"/>
      <c r="H127" s="529">
        <v>45643</v>
      </c>
      <c r="I127" s="522">
        <f ca="1">IF(ISBLANK(H127), NETWORKDAYS(F127, TODAY(),fESTIVOS!$A$1:$A$18), NETWORKDAYS(F127, H127, fESTIVOS!$A$1:$A$18))</f>
        <v>2</v>
      </c>
      <c r="J127" s="529"/>
      <c r="K127" s="529">
        <v>45643</v>
      </c>
      <c r="L127" s="530"/>
      <c r="M127" s="555"/>
      <c r="N127" s="555"/>
      <c r="O127" s="555"/>
      <c r="P127" s="555"/>
      <c r="Q127" s="555"/>
      <c r="R127" s="555"/>
      <c r="S127" s="555"/>
      <c r="T127" s="555"/>
      <c r="U127" s="555"/>
      <c r="V127" s="555"/>
      <c r="W127" s="555"/>
      <c r="X127" s="555"/>
      <c r="Y127" s="555"/>
      <c r="Z127" s="555"/>
      <c r="AA127" s="556"/>
      <c r="AB127" s="556"/>
      <c r="AC127" s="556"/>
      <c r="AD127" s="556"/>
      <c r="AE127" s="556"/>
      <c r="AF127" s="556"/>
      <c r="AG127" s="556"/>
    </row>
    <row r="128" spans="1:33" ht="15.75" customHeight="1">
      <c r="A128" s="520" t="s">
        <v>761</v>
      </c>
      <c r="B128" s="538" t="s">
        <v>1301</v>
      </c>
      <c r="C128" s="525"/>
      <c r="D128" s="526" t="s">
        <v>37</v>
      </c>
      <c r="E128" s="527">
        <v>45642</v>
      </c>
      <c r="F128" s="527">
        <v>45642</v>
      </c>
      <c r="G128" s="528"/>
      <c r="H128" s="529">
        <v>45643</v>
      </c>
      <c r="I128" s="522">
        <f ca="1">IF(ISBLANK(H128), NETWORKDAYS(F128, TODAY(),fESTIVOS!$A$1:$A$18), NETWORKDAYS(F128, H128, fESTIVOS!$A$1:$A$18))</f>
        <v>2</v>
      </c>
      <c r="J128" s="529"/>
      <c r="K128" s="529">
        <v>45643</v>
      </c>
      <c r="L128" s="530"/>
      <c r="M128" s="555"/>
      <c r="N128" s="555"/>
      <c r="O128" s="555"/>
      <c r="P128" s="555"/>
      <c r="Q128" s="555"/>
      <c r="R128" s="555"/>
      <c r="S128" s="555"/>
      <c r="T128" s="555"/>
      <c r="U128" s="555"/>
      <c r="V128" s="555"/>
      <c r="W128" s="555"/>
      <c r="X128" s="555"/>
      <c r="Y128" s="555"/>
      <c r="Z128" s="555"/>
      <c r="AA128" s="556"/>
      <c r="AB128" s="556"/>
      <c r="AC128" s="556"/>
      <c r="AD128" s="556"/>
      <c r="AE128" s="556"/>
      <c r="AF128" s="556"/>
      <c r="AG128" s="556"/>
    </row>
    <row r="129" spans="1:33" ht="15.75" customHeight="1">
      <c r="A129" s="420" t="s">
        <v>1034</v>
      </c>
      <c r="B129" s="400"/>
      <c r="C129" s="562" t="s">
        <v>1302</v>
      </c>
      <c r="D129" s="425" t="s">
        <v>37</v>
      </c>
      <c r="E129" s="494">
        <v>45643</v>
      </c>
      <c r="F129" s="494">
        <v>45643</v>
      </c>
      <c r="G129" s="426"/>
      <c r="H129" s="494">
        <v>45643</v>
      </c>
      <c r="I129" s="427">
        <f ca="1">IF(ISBLANK(H129), NETWORKDAYS(F129, TODAY(),fESTIVOS!$A$1:$A$18), NETWORKDAYS(F129, H129, fESTIVOS!$A$1:$A$18))</f>
        <v>1</v>
      </c>
      <c r="J129" s="426"/>
      <c r="K129" s="426"/>
      <c r="L129" s="454"/>
      <c r="M129" s="453"/>
      <c r="N129" s="189"/>
      <c r="O129" s="189"/>
      <c r="P129" s="189"/>
      <c r="Q129" s="189"/>
      <c r="R129" s="189"/>
      <c r="S129" s="189"/>
      <c r="T129" s="189"/>
      <c r="U129" s="189"/>
      <c r="V129" s="189"/>
      <c r="W129" s="189"/>
      <c r="X129" s="189"/>
      <c r="Y129" s="189"/>
      <c r="Z129" s="189"/>
    </row>
    <row r="130" spans="1:33" ht="15.75" customHeight="1">
      <c r="A130" s="206" t="s">
        <v>776</v>
      </c>
      <c r="B130" s="206" t="s">
        <v>1303</v>
      </c>
      <c r="C130" s="221"/>
      <c r="D130" s="221" t="s">
        <v>37</v>
      </c>
      <c r="E130" s="207">
        <v>45643</v>
      </c>
      <c r="F130" s="207">
        <v>45644</v>
      </c>
      <c r="G130" s="206"/>
      <c r="H130" s="207">
        <v>45644</v>
      </c>
      <c r="I130" s="203">
        <f ca="1">IF(ISBLANK(H130), NETWORKDAYS(F130, TODAY(),fESTIVOS!$A$1:$A$18), NETWORKDAYS(F130, H130, fESTIVOS!$A$1:$A$18))</f>
        <v>1</v>
      </c>
      <c r="J130" s="207">
        <v>45644</v>
      </c>
      <c r="K130" s="221"/>
      <c r="L130" s="506"/>
      <c r="M130" s="418"/>
      <c r="N130" s="183"/>
      <c r="O130" s="183"/>
      <c r="P130" s="183"/>
      <c r="Q130" s="183"/>
      <c r="R130" s="183"/>
      <c r="S130" s="183"/>
      <c r="T130" s="183"/>
      <c r="U130" s="183"/>
      <c r="V130" s="183"/>
      <c r="W130" s="183"/>
      <c r="X130" s="183"/>
      <c r="Y130" s="183"/>
      <c r="Z130" s="183"/>
      <c r="AA130" s="228"/>
      <c r="AB130" s="228"/>
      <c r="AC130" s="228"/>
      <c r="AD130" s="228"/>
      <c r="AE130" s="228"/>
      <c r="AF130" s="228"/>
      <c r="AG130" s="228"/>
    </row>
    <row r="131" spans="1:33" ht="15.75" customHeight="1">
      <c r="A131" s="563" t="s">
        <v>776</v>
      </c>
      <c r="B131" s="229" t="s">
        <v>1304</v>
      </c>
      <c r="C131" s="564" t="s">
        <v>1305</v>
      </c>
      <c r="D131" s="565" t="s">
        <v>37</v>
      </c>
      <c r="E131" s="460">
        <v>45631</v>
      </c>
      <c r="F131" s="460">
        <v>45631</v>
      </c>
      <c r="G131" s="460"/>
      <c r="H131" s="460">
        <v>45632</v>
      </c>
      <c r="I131" s="552">
        <f ca="1">IF(ISBLANK(H131), NETWORKDAYS(F131, TODAY(),fESTIVOS!$A$1:$A$18), NETWORKDAYS(F131, H131, fESTIVOS!$A$1:$A$18))</f>
        <v>2</v>
      </c>
      <c r="J131" s="460"/>
      <c r="K131" s="460">
        <v>45632</v>
      </c>
      <c r="L131" s="461" t="s">
        <v>1306</v>
      </c>
      <c r="M131" s="183"/>
      <c r="N131" s="183"/>
      <c r="O131" s="183"/>
      <c r="P131" s="183"/>
      <c r="Q131" s="183"/>
      <c r="R131" s="183"/>
      <c r="S131" s="183"/>
      <c r="T131" s="183"/>
      <c r="U131" s="183"/>
      <c r="V131" s="183"/>
      <c r="W131" s="183"/>
      <c r="X131" s="183"/>
      <c r="Y131" s="183"/>
      <c r="Z131" s="183"/>
    </row>
    <row r="132" spans="1:33" ht="15.75" customHeight="1">
      <c r="A132" s="444" t="s">
        <v>776</v>
      </c>
      <c r="B132" s="222" t="s">
        <v>1307</v>
      </c>
      <c r="C132" s="224" t="s">
        <v>1308</v>
      </c>
      <c r="D132" s="221" t="s">
        <v>37</v>
      </c>
      <c r="E132" s="225">
        <v>45631</v>
      </c>
      <c r="F132" s="225">
        <v>45631</v>
      </c>
      <c r="G132" s="225"/>
      <c r="H132" s="225">
        <v>45632</v>
      </c>
      <c r="I132" s="552">
        <f ca="1">IF(ISBLANK(H132), NETWORKDAYS(F132, TODAY(),fESTIVOS!$A$1:$A$18), NETWORKDAYS(F132, H132, fESTIVOS!$A$1:$A$18))</f>
        <v>2</v>
      </c>
      <c r="J132" s="225"/>
      <c r="K132" s="225">
        <v>45632</v>
      </c>
      <c r="L132" s="448" t="s">
        <v>1306</v>
      </c>
      <c r="M132" s="183"/>
      <c r="N132" s="183"/>
      <c r="O132" s="183"/>
      <c r="P132" s="183"/>
      <c r="Q132" s="183"/>
      <c r="R132" s="183"/>
      <c r="S132" s="183"/>
      <c r="T132" s="183"/>
      <c r="U132" s="183"/>
      <c r="V132" s="183"/>
      <c r="W132" s="183"/>
      <c r="X132" s="183"/>
      <c r="Y132" s="183"/>
      <c r="Z132" s="183"/>
    </row>
    <row r="133" spans="1:33" ht="15.75" customHeight="1">
      <c r="A133" s="566" t="s">
        <v>776</v>
      </c>
      <c r="B133" s="222" t="s">
        <v>1307</v>
      </c>
      <c r="C133" s="531" t="s">
        <v>1309</v>
      </c>
      <c r="D133" s="221" t="s">
        <v>37</v>
      </c>
      <c r="E133" s="225">
        <v>45631</v>
      </c>
      <c r="F133" s="225">
        <v>45631</v>
      </c>
      <c r="G133" s="503"/>
      <c r="H133" s="225">
        <v>45632</v>
      </c>
      <c r="I133" s="552">
        <f ca="1">IF(ISBLANK(H133), NETWORKDAYS(F133, TODAY(),fESTIVOS!$A$1:$A$18), NETWORKDAYS(F133, H133, fESTIVOS!$A$1:$A$18))</f>
        <v>2</v>
      </c>
      <c r="J133" s="503"/>
      <c r="K133" s="225">
        <v>45632</v>
      </c>
      <c r="L133" s="448" t="s">
        <v>1306</v>
      </c>
      <c r="M133" s="183"/>
      <c r="N133" s="183"/>
      <c r="O133" s="183"/>
      <c r="P133" s="183"/>
      <c r="Q133" s="183"/>
      <c r="R133" s="183"/>
      <c r="S133" s="183"/>
      <c r="T133" s="183"/>
      <c r="U133" s="183"/>
      <c r="V133" s="183"/>
      <c r="W133" s="183"/>
      <c r="X133" s="183"/>
      <c r="Y133" s="183"/>
      <c r="Z133" s="183"/>
    </row>
    <row r="134" spans="1:33" ht="15.75" customHeight="1">
      <c r="A134" s="206" t="s">
        <v>776</v>
      </c>
      <c r="B134" s="206" t="s">
        <v>1310</v>
      </c>
      <c r="C134" s="200" t="s">
        <v>1311</v>
      </c>
      <c r="D134" s="200" t="s">
        <v>37</v>
      </c>
      <c r="E134" s="225">
        <v>45637</v>
      </c>
      <c r="F134" s="225">
        <v>45637</v>
      </c>
      <c r="G134" s="225">
        <v>45642</v>
      </c>
      <c r="H134" s="225">
        <v>45642</v>
      </c>
      <c r="I134" s="203">
        <f ca="1">IF(ISBLANK(H134), NETWORKDAYS(F134, TODAY(),fESTIVOS!$A$1:$A$18), NETWORKDAYS(F134, H134, fESTIVOS!$A$1:$A$18))</f>
        <v>4</v>
      </c>
      <c r="J134" s="225">
        <v>45642</v>
      </c>
      <c r="K134" s="225">
        <v>45644</v>
      </c>
      <c r="L134" s="224" t="s">
        <v>1312</v>
      </c>
      <c r="M134" s="183"/>
      <c r="N134" s="183"/>
      <c r="O134" s="183"/>
      <c r="P134" s="183"/>
      <c r="Q134" s="183"/>
      <c r="R134" s="183"/>
      <c r="S134" s="183"/>
      <c r="T134" s="183"/>
      <c r="U134" s="183"/>
      <c r="V134" s="183"/>
      <c r="W134" s="183"/>
      <c r="X134" s="183"/>
      <c r="Y134" s="183"/>
      <c r="Z134" s="183"/>
      <c r="AA134" s="183"/>
      <c r="AB134" s="183"/>
      <c r="AC134" s="183"/>
      <c r="AD134" s="183"/>
      <c r="AE134" s="183"/>
      <c r="AF134" s="183"/>
      <c r="AG134" s="183"/>
    </row>
    <row r="135" spans="1:33" ht="15.75" customHeight="1">
      <c r="A135" s="206" t="s">
        <v>776</v>
      </c>
      <c r="B135" s="206" t="s">
        <v>1310</v>
      </c>
      <c r="C135" s="200" t="s">
        <v>1313</v>
      </c>
      <c r="D135" s="200" t="s">
        <v>37</v>
      </c>
      <c r="E135" s="225">
        <v>45637</v>
      </c>
      <c r="F135" s="225">
        <v>45638</v>
      </c>
      <c r="G135" s="225">
        <v>45642</v>
      </c>
      <c r="H135" s="225">
        <v>45642</v>
      </c>
      <c r="I135" s="203">
        <f ca="1">IF(ISBLANK(H135), NETWORKDAYS(F135, TODAY(),fESTIVOS!$A$1:$A$18), NETWORKDAYS(F135, H135, fESTIVOS!$A$1:$A$18))</f>
        <v>3</v>
      </c>
      <c r="J135" s="225">
        <v>45642</v>
      </c>
      <c r="K135" s="225">
        <v>45644</v>
      </c>
      <c r="L135" s="224" t="s">
        <v>1314</v>
      </c>
      <c r="M135" s="183"/>
      <c r="N135" s="183"/>
      <c r="O135" s="183"/>
      <c r="P135" s="183"/>
      <c r="Q135" s="183"/>
      <c r="R135" s="183"/>
      <c r="S135" s="183"/>
      <c r="T135" s="183"/>
      <c r="U135" s="183"/>
      <c r="V135" s="183"/>
      <c r="W135" s="183"/>
      <c r="X135" s="183"/>
      <c r="Y135" s="183"/>
      <c r="Z135" s="183"/>
      <c r="AA135" s="183"/>
      <c r="AB135" s="183"/>
      <c r="AC135" s="183"/>
      <c r="AD135" s="183"/>
      <c r="AE135" s="183"/>
      <c r="AF135" s="183"/>
      <c r="AG135" s="183"/>
    </row>
    <row r="136" spans="1:33" ht="15.75" customHeight="1">
      <c r="A136" s="417" t="s">
        <v>1034</v>
      </c>
      <c r="B136" s="198" t="s">
        <v>1315</v>
      </c>
      <c r="C136" s="192"/>
      <c r="D136" s="194" t="s">
        <v>37</v>
      </c>
      <c r="E136" s="193">
        <v>45644</v>
      </c>
      <c r="F136" s="193">
        <v>45644</v>
      </c>
      <c r="G136" s="193"/>
      <c r="H136" s="193">
        <v>45644</v>
      </c>
      <c r="I136" s="195">
        <f ca="1">IF(ISBLANK(H136), NETWORKDAYS(F136, TODAY(),fESTIVOS!$A$1:$A$18), NETWORKDAYS(F136, H136, fESTIVOS!$A$1:$A$18))</f>
        <v>1</v>
      </c>
      <c r="J136" s="193"/>
      <c r="K136" s="193"/>
      <c r="L136" s="196"/>
      <c r="M136" s="418"/>
      <c r="N136" s="183"/>
      <c r="O136" s="183"/>
      <c r="P136" s="183"/>
      <c r="Q136" s="183"/>
      <c r="R136" s="183"/>
      <c r="S136" s="183"/>
      <c r="T136" s="183"/>
      <c r="U136" s="183"/>
      <c r="V136" s="183"/>
      <c r="W136" s="183"/>
      <c r="X136" s="183"/>
      <c r="Y136" s="183"/>
      <c r="Z136" s="183"/>
      <c r="AA136" s="228"/>
      <c r="AB136" s="228"/>
      <c r="AC136" s="228"/>
      <c r="AD136" s="228"/>
      <c r="AE136" s="228"/>
      <c r="AF136" s="228"/>
      <c r="AG136" s="228"/>
    </row>
    <row r="137" spans="1:33" ht="15.75" customHeight="1">
      <c r="A137" s="420" t="s">
        <v>1034</v>
      </c>
      <c r="B137" s="420" t="s">
        <v>1165</v>
      </c>
      <c r="C137" s="562" t="s">
        <v>1316</v>
      </c>
      <c r="D137" s="425" t="s">
        <v>1155</v>
      </c>
      <c r="E137" s="494">
        <v>45643</v>
      </c>
      <c r="F137" s="494">
        <v>45643</v>
      </c>
      <c r="G137" s="426"/>
      <c r="H137" s="426"/>
      <c r="I137" s="427">
        <f ca="1">IF(ISBLANK(H137), NETWORKDAYS(F137, TODAY(),fESTIVOS!$A$1:$A$18), NETWORKDAYS(F137, H137, fESTIVOS!$A$1:$A$18))</f>
        <v>396</v>
      </c>
      <c r="J137" s="494">
        <v>45643</v>
      </c>
      <c r="K137" s="426">
        <v>45644</v>
      </c>
      <c r="L137" s="567" t="s">
        <v>1317</v>
      </c>
      <c r="M137" s="453"/>
      <c r="N137" s="189"/>
      <c r="O137" s="189"/>
      <c r="P137" s="189"/>
      <c r="Q137" s="189"/>
      <c r="R137" s="189"/>
      <c r="S137" s="189"/>
      <c r="T137" s="189"/>
      <c r="U137" s="189"/>
      <c r="V137" s="189"/>
      <c r="W137" s="189"/>
      <c r="X137" s="189"/>
      <c r="Y137" s="189"/>
      <c r="Z137" s="189"/>
    </row>
    <row r="138" spans="1:33" ht="15.75" customHeight="1">
      <c r="A138" s="420" t="s">
        <v>1034</v>
      </c>
      <c r="B138" s="423"/>
      <c r="C138" s="562" t="s">
        <v>1318</v>
      </c>
      <c r="D138" s="425" t="s">
        <v>1155</v>
      </c>
      <c r="E138" s="494">
        <v>45643</v>
      </c>
      <c r="F138" s="494">
        <v>45643</v>
      </c>
      <c r="G138" s="426"/>
      <c r="H138" s="426"/>
      <c r="I138" s="427">
        <f ca="1">IF(ISBLANK(H138), NETWORKDAYS(F138, TODAY(),fESTIVOS!$A$1:$A$18), NETWORKDAYS(F138, H138, fESTIVOS!$A$1:$A$18))</f>
        <v>396</v>
      </c>
      <c r="J138" s="494">
        <v>45643</v>
      </c>
      <c r="K138" s="426">
        <v>45644</v>
      </c>
      <c r="L138" s="454" t="s">
        <v>1317</v>
      </c>
      <c r="M138" s="453"/>
      <c r="N138" s="189"/>
      <c r="O138" s="189"/>
      <c r="P138" s="189"/>
      <c r="Q138" s="189"/>
      <c r="R138" s="189"/>
      <c r="S138" s="189"/>
      <c r="T138" s="189"/>
      <c r="U138" s="189"/>
      <c r="V138" s="189"/>
      <c r="W138" s="189"/>
      <c r="X138" s="189"/>
      <c r="Y138" s="189"/>
      <c r="Z138" s="189"/>
    </row>
    <row r="139" spans="1:33" ht="15.75" customHeight="1">
      <c r="A139" s="520" t="s">
        <v>761</v>
      </c>
      <c r="B139" s="525" t="s">
        <v>1319</v>
      </c>
      <c r="C139" s="520"/>
      <c r="D139" s="533" t="s">
        <v>1155</v>
      </c>
      <c r="E139" s="527">
        <v>45644</v>
      </c>
      <c r="F139" s="527">
        <v>45645</v>
      </c>
      <c r="G139" s="528"/>
      <c r="H139" s="529">
        <v>45645</v>
      </c>
      <c r="I139" s="195">
        <f ca="1">IF(ISBLANK(H139), NETWORKDAYS(F139, TODAY(),fESTIVOS!$A$1:$A$18), NETWORKDAYS(F139, H139, fESTIVOS!$A$1:$A$18))</f>
        <v>1</v>
      </c>
      <c r="J139" s="529">
        <v>45645</v>
      </c>
      <c r="K139" s="529">
        <v>45645</v>
      </c>
      <c r="L139" s="530"/>
      <c r="M139" s="555"/>
      <c r="N139" s="555"/>
      <c r="O139" s="555"/>
      <c r="P139" s="555"/>
      <c r="Q139" s="555"/>
      <c r="R139" s="555"/>
      <c r="S139" s="555"/>
      <c r="T139" s="555"/>
      <c r="U139" s="555"/>
      <c r="V139" s="555"/>
      <c r="W139" s="555"/>
      <c r="X139" s="555"/>
      <c r="Y139" s="555"/>
      <c r="Z139" s="555"/>
      <c r="AA139" s="556"/>
      <c r="AB139" s="556"/>
      <c r="AC139" s="556"/>
      <c r="AD139" s="556"/>
      <c r="AE139" s="556"/>
      <c r="AF139" s="556"/>
      <c r="AG139" s="556"/>
    </row>
    <row r="140" spans="1:33" ht="15.75" customHeight="1">
      <c r="A140" s="182" t="s">
        <v>761</v>
      </c>
      <c r="B140" s="420" t="s">
        <v>1320</v>
      </c>
      <c r="C140" s="182" t="s">
        <v>1321</v>
      </c>
      <c r="D140" s="415" t="s">
        <v>1155</v>
      </c>
      <c r="E140" s="193">
        <v>45635</v>
      </c>
      <c r="F140" s="193">
        <v>45636</v>
      </c>
      <c r="G140" s="193">
        <v>45637</v>
      </c>
      <c r="H140" s="523">
        <v>45639</v>
      </c>
      <c r="I140" s="195">
        <f ca="1">IF(ISBLANK(H140), NETWORKDAYS(F140, TODAY(),fESTIVOS!$A$1:$A$18), NETWORKDAYS(F140, H140, fESTIVOS!$A$1:$A$18))</f>
        <v>4</v>
      </c>
      <c r="J140" s="523"/>
      <c r="K140" s="523"/>
      <c r="L140" s="416" t="s">
        <v>1322</v>
      </c>
      <c r="M140" s="183"/>
      <c r="N140" s="183"/>
      <c r="O140" s="183"/>
      <c r="P140" s="183"/>
      <c r="Q140" s="183"/>
      <c r="R140" s="183"/>
      <c r="S140" s="183"/>
      <c r="T140" s="183"/>
      <c r="U140" s="183"/>
      <c r="V140" s="183"/>
      <c r="W140" s="183"/>
      <c r="X140" s="183"/>
      <c r="Y140" s="183"/>
      <c r="Z140" s="183"/>
    </row>
    <row r="141" spans="1:33" ht="15.75" customHeight="1">
      <c r="A141" s="182" t="s">
        <v>761</v>
      </c>
      <c r="B141" s="423"/>
      <c r="C141" s="417" t="s">
        <v>1323</v>
      </c>
      <c r="D141" s="417" t="s">
        <v>1155</v>
      </c>
      <c r="E141" s="193">
        <v>45636</v>
      </c>
      <c r="F141" s="193">
        <v>45636</v>
      </c>
      <c r="G141" s="193"/>
      <c r="H141" s="193">
        <v>45636</v>
      </c>
      <c r="I141" s="195">
        <f ca="1">IF(ISBLANK(H141), NETWORKDAYS(F141, TODAY(),fESTIVOS!$A$1:$A$18), NETWORKDAYS(F141, H141, fESTIVOS!$A$1:$A$18))</f>
        <v>1</v>
      </c>
      <c r="J141" s="523"/>
      <c r="K141" s="193">
        <v>45636</v>
      </c>
      <c r="L141" s="568" t="s">
        <v>1324</v>
      </c>
      <c r="M141" s="183"/>
      <c r="N141" s="183"/>
      <c r="O141" s="183"/>
      <c r="P141" s="183"/>
      <c r="Q141" s="183"/>
      <c r="R141" s="183"/>
      <c r="S141" s="183"/>
      <c r="T141" s="183"/>
      <c r="U141" s="183"/>
      <c r="V141" s="183"/>
      <c r="W141" s="183"/>
      <c r="X141" s="183"/>
      <c r="Y141" s="183"/>
      <c r="Z141" s="183"/>
    </row>
    <row r="142" spans="1:33" ht="15.75" customHeight="1">
      <c r="A142" s="182" t="s">
        <v>761</v>
      </c>
      <c r="B142" s="423"/>
      <c r="C142" s="182" t="s">
        <v>1325</v>
      </c>
      <c r="D142" s="417" t="s">
        <v>1155</v>
      </c>
      <c r="E142" s="193">
        <v>45637</v>
      </c>
      <c r="F142" s="193">
        <v>45636</v>
      </c>
      <c r="G142" s="193"/>
      <c r="H142" s="523"/>
      <c r="I142" s="195">
        <f ca="1">IF(ISBLANK(H142), NETWORKDAYS(F142, TODAY(),fESTIVOS!$A$1:$A$18), NETWORKDAYS(F142, H142, fESTIVOS!$A$1:$A$18))</f>
        <v>401</v>
      </c>
      <c r="J142" s="523"/>
      <c r="K142" s="523"/>
      <c r="L142" s="416" t="s">
        <v>1326</v>
      </c>
      <c r="M142" s="183"/>
      <c r="N142" s="183"/>
      <c r="O142" s="183"/>
      <c r="P142" s="183"/>
      <c r="Q142" s="183"/>
      <c r="R142" s="183"/>
      <c r="S142" s="183"/>
      <c r="T142" s="183"/>
      <c r="U142" s="183"/>
      <c r="V142" s="183"/>
      <c r="W142" s="183"/>
      <c r="X142" s="183"/>
      <c r="Y142" s="183"/>
      <c r="Z142" s="183"/>
    </row>
    <row r="143" spans="1:33" ht="15.75" customHeight="1">
      <c r="A143" s="182" t="s">
        <v>761</v>
      </c>
      <c r="B143" s="367"/>
      <c r="C143" s="399" t="s">
        <v>1327</v>
      </c>
      <c r="D143" s="417" t="s">
        <v>1155</v>
      </c>
      <c r="E143" s="193">
        <v>45637</v>
      </c>
      <c r="F143" s="193">
        <v>45636</v>
      </c>
      <c r="G143" s="193"/>
      <c r="H143" s="523">
        <v>45639</v>
      </c>
      <c r="I143" s="195">
        <f ca="1">IF(ISBLANK(H143), NETWORKDAYS(F143, TODAY(),fESTIVOS!$A$1:$A$18), NETWORKDAYS(F143, H143, fESTIVOS!$A$1:$A$18))</f>
        <v>4</v>
      </c>
      <c r="J143" s="523"/>
      <c r="K143" s="523">
        <v>45639</v>
      </c>
      <c r="L143" s="416" t="s">
        <v>1328</v>
      </c>
      <c r="M143" s="183"/>
      <c r="N143" s="183"/>
      <c r="O143" s="183"/>
      <c r="P143" s="183"/>
      <c r="Q143" s="183"/>
      <c r="R143" s="183"/>
      <c r="S143" s="183"/>
      <c r="T143" s="183"/>
      <c r="U143" s="183"/>
      <c r="V143" s="183"/>
      <c r="W143" s="183"/>
      <c r="X143" s="183"/>
      <c r="Y143" s="183"/>
      <c r="Z143" s="183"/>
    </row>
    <row r="144" spans="1:33" ht="15.75" customHeight="1">
      <c r="A144" s="206" t="s">
        <v>776</v>
      </c>
      <c r="B144" s="206" t="s">
        <v>1329</v>
      </c>
      <c r="C144" s="221"/>
      <c r="D144" s="221" t="s">
        <v>9</v>
      </c>
      <c r="E144" s="207">
        <v>45644</v>
      </c>
      <c r="F144" s="207">
        <v>45644</v>
      </c>
      <c r="G144" s="206"/>
      <c r="H144" s="221"/>
      <c r="I144" s="203">
        <f ca="1">IF(ISBLANK(H144), NETWORKDAYS(F144, TODAY(),fESTIVOS!$A$1:$A$18), NETWORKDAYS(F144, H144, fESTIVOS!$A$1:$A$18))</f>
        <v>395</v>
      </c>
      <c r="J144" s="221"/>
      <c r="K144" s="221"/>
      <c r="L144" s="506" t="s">
        <v>1330</v>
      </c>
      <c r="M144" s="418"/>
      <c r="N144" s="183"/>
      <c r="O144" s="183"/>
      <c r="P144" s="183"/>
      <c r="Q144" s="183"/>
      <c r="R144" s="183"/>
      <c r="S144" s="183"/>
      <c r="T144" s="183"/>
      <c r="U144" s="183"/>
      <c r="V144" s="183"/>
      <c r="W144" s="183"/>
      <c r="X144" s="183"/>
      <c r="Y144" s="183"/>
      <c r="Z144" s="183"/>
      <c r="AA144" s="228"/>
      <c r="AB144" s="228"/>
      <c r="AC144" s="228"/>
      <c r="AD144" s="228"/>
      <c r="AE144" s="228"/>
      <c r="AF144" s="228"/>
      <c r="AG144" s="228"/>
    </row>
    <row r="145" spans="1:33" ht="15.75" customHeight="1">
      <c r="A145" s="215" t="s">
        <v>761</v>
      </c>
      <c r="B145" s="206" t="s">
        <v>1331</v>
      </c>
      <c r="C145" s="446"/>
      <c r="D145" s="447" t="s">
        <v>37</v>
      </c>
      <c r="E145" s="225">
        <v>45653</v>
      </c>
      <c r="F145" s="225">
        <v>45653</v>
      </c>
      <c r="G145" s="225"/>
      <c r="H145" s="225">
        <v>45653</v>
      </c>
      <c r="I145" s="219">
        <f ca="1">IF(ISBLANK(H145), NETWORKDAYS(F145, TODAY(),fESTIVOS!$A$1:$A$18), NETWORKDAYS(F145, H145, fESTIVOS!$A$1:$A$18))</f>
        <v>1</v>
      </c>
      <c r="J145" s="225"/>
      <c r="K145" s="225"/>
      <c r="L145" s="448"/>
      <c r="M145" s="183"/>
      <c r="N145" s="183"/>
      <c r="O145" s="183"/>
      <c r="P145" s="183"/>
      <c r="Q145" s="183"/>
      <c r="R145" s="183"/>
      <c r="S145" s="183"/>
      <c r="T145" s="183"/>
      <c r="U145" s="183"/>
      <c r="V145" s="183"/>
      <c r="W145" s="183"/>
      <c r="X145" s="183"/>
      <c r="Y145" s="183"/>
      <c r="Z145" s="183"/>
    </row>
    <row r="146" spans="1:33" ht="15.75" customHeight="1">
      <c r="A146" s="215" t="s">
        <v>761</v>
      </c>
      <c r="B146" s="206" t="s">
        <v>1332</v>
      </c>
      <c r="C146" s="446"/>
      <c r="D146" s="200" t="s">
        <v>1155</v>
      </c>
      <c r="E146" s="225">
        <v>45653</v>
      </c>
      <c r="F146" s="225">
        <v>45653</v>
      </c>
      <c r="G146" s="225"/>
      <c r="H146" s="225">
        <v>45653</v>
      </c>
      <c r="I146" s="219">
        <f ca="1">IF(ISBLANK(H146), NETWORKDAYS(F146, TODAY(),fESTIVOS!$A$1:$A$18), NETWORKDAYS(F146, H146, fESTIVOS!$A$1:$A$18))</f>
        <v>1</v>
      </c>
      <c r="J146" s="225"/>
      <c r="K146" s="225">
        <v>45653</v>
      </c>
      <c r="L146" s="448" t="s">
        <v>1333</v>
      </c>
      <c r="M146" s="183"/>
      <c r="N146" s="183"/>
      <c r="O146" s="183"/>
      <c r="P146" s="183"/>
      <c r="Q146" s="183"/>
      <c r="R146" s="183"/>
      <c r="S146" s="183"/>
      <c r="T146" s="183"/>
      <c r="U146" s="183"/>
      <c r="V146" s="183"/>
      <c r="W146" s="183"/>
      <c r="X146" s="183"/>
      <c r="Y146" s="183"/>
      <c r="Z146" s="183"/>
    </row>
    <row r="147" spans="1:33" ht="15.75" customHeight="1">
      <c r="A147" s="206" t="s">
        <v>776</v>
      </c>
      <c r="B147" s="206" t="s">
        <v>1334</v>
      </c>
      <c r="C147" s="200"/>
      <c r="D147" s="200" t="s">
        <v>37</v>
      </c>
      <c r="E147" s="225">
        <v>45660</v>
      </c>
      <c r="F147" s="225">
        <v>45660</v>
      </c>
      <c r="G147" s="447"/>
      <c r="H147" s="225">
        <v>45660</v>
      </c>
      <c r="I147" s="203">
        <f ca="1">IF(ISBLANK(H147), NETWORKDAYS(F147, TODAY(),fESTIVOS!$A$1:$A$18), NETWORKDAYS(F147, H147, fESTIVOS!$A$1:$A$18))</f>
        <v>1</v>
      </c>
      <c r="J147" s="447"/>
      <c r="K147" s="447"/>
      <c r="L147" s="224"/>
      <c r="M147" s="183"/>
      <c r="N147" s="183"/>
      <c r="O147" s="183"/>
      <c r="P147" s="183"/>
      <c r="Q147" s="183"/>
      <c r="R147" s="183"/>
      <c r="S147" s="183"/>
      <c r="T147" s="183"/>
      <c r="U147" s="183"/>
      <c r="V147" s="183"/>
      <c r="W147" s="183"/>
      <c r="X147" s="183"/>
      <c r="Y147" s="183"/>
      <c r="Z147" s="183"/>
      <c r="AA147" s="183"/>
      <c r="AB147" s="183"/>
      <c r="AC147" s="183"/>
      <c r="AD147" s="183"/>
      <c r="AE147" s="183"/>
      <c r="AF147" s="183"/>
      <c r="AG147" s="183"/>
    </row>
    <row r="148" spans="1:33" ht="15.75" customHeight="1">
      <c r="A148" s="206" t="s">
        <v>776</v>
      </c>
      <c r="B148" s="206" t="s">
        <v>1335</v>
      </c>
      <c r="C148" s="200"/>
      <c r="D148" s="200" t="s">
        <v>37</v>
      </c>
      <c r="E148" s="225">
        <v>45650</v>
      </c>
      <c r="F148" s="225">
        <v>45650</v>
      </c>
      <c r="G148" s="447"/>
      <c r="H148" s="225">
        <v>45656</v>
      </c>
      <c r="I148" s="203">
        <f ca="1">IF(ISBLANK(H148), NETWORKDAYS(F148, TODAY(),fESTIVOS!$A$1:$A$18), NETWORKDAYS(F148, H148, fESTIVOS!$A$1:$A$18))</f>
        <v>4</v>
      </c>
      <c r="J148" s="447"/>
      <c r="K148" s="447"/>
      <c r="L148" s="224"/>
      <c r="M148" s="183"/>
      <c r="N148" s="183"/>
      <c r="O148" s="183"/>
      <c r="P148" s="183"/>
      <c r="Q148" s="183"/>
      <c r="R148" s="183"/>
      <c r="S148" s="183"/>
      <c r="T148" s="183"/>
      <c r="U148" s="183"/>
      <c r="V148" s="183"/>
      <c r="W148" s="183"/>
      <c r="X148" s="183"/>
      <c r="Y148" s="183"/>
      <c r="Z148" s="183"/>
      <c r="AA148" s="183"/>
      <c r="AB148" s="183"/>
      <c r="AC148" s="183"/>
      <c r="AD148" s="183"/>
      <c r="AE148" s="183"/>
      <c r="AF148" s="183"/>
      <c r="AG148" s="183"/>
    </row>
    <row r="149" spans="1:33" ht="15.75" customHeight="1">
      <c r="A149" s="206" t="s">
        <v>776</v>
      </c>
      <c r="B149" s="206" t="s">
        <v>1336</v>
      </c>
      <c r="C149" s="200"/>
      <c r="D149" s="200" t="s">
        <v>37</v>
      </c>
      <c r="E149" s="225">
        <v>45656</v>
      </c>
      <c r="F149" s="225">
        <v>45659</v>
      </c>
      <c r="G149" s="447"/>
      <c r="H149" s="225">
        <v>45659</v>
      </c>
      <c r="I149" s="203">
        <f ca="1">IF(ISBLANK(H149), NETWORKDAYS(F149, TODAY(),fESTIVOS!$A$1:$A$18), NETWORKDAYS(F149, H149, fESTIVOS!$A$1:$A$18))</f>
        <v>1</v>
      </c>
      <c r="J149" s="447"/>
      <c r="K149" s="447"/>
      <c r="L149" s="224" t="s">
        <v>1337</v>
      </c>
      <c r="M149" s="183"/>
      <c r="N149" s="183"/>
      <c r="O149" s="183"/>
      <c r="P149" s="183"/>
      <c r="Q149" s="183"/>
      <c r="R149" s="183"/>
      <c r="S149" s="183"/>
      <c r="T149" s="183"/>
      <c r="U149" s="183"/>
      <c r="V149" s="183"/>
      <c r="W149" s="183"/>
      <c r="X149" s="183"/>
      <c r="Y149" s="183"/>
      <c r="Z149" s="183"/>
      <c r="AA149" s="183"/>
      <c r="AB149" s="183"/>
      <c r="AC149" s="183"/>
      <c r="AD149" s="183"/>
      <c r="AE149" s="183"/>
      <c r="AF149" s="183"/>
      <c r="AG149" s="183"/>
    </row>
    <row r="150" spans="1:33" ht="15.75" customHeight="1">
      <c r="A150" s="206" t="s">
        <v>768</v>
      </c>
      <c r="B150" s="569" t="s">
        <v>1338</v>
      </c>
      <c r="C150" s="570"/>
      <c r="D150" s="571" t="s">
        <v>37</v>
      </c>
      <c r="E150" s="572">
        <v>45639</v>
      </c>
      <c r="F150" s="572">
        <v>45642</v>
      </c>
      <c r="G150" s="570"/>
      <c r="H150" s="572">
        <v>45653</v>
      </c>
      <c r="I150" s="504">
        <f ca="1">IF(ISBLANK(H150), NETWORKDAYS(F150, TODAY(),fESTIVOS!$A$1:$A$18), NETWORKDAYS(F150, H150, fESTIVOS!$A$1:$A$18))</f>
        <v>9</v>
      </c>
      <c r="J150" s="570"/>
      <c r="K150" s="570"/>
      <c r="L150" s="573" t="s">
        <v>1339</v>
      </c>
      <c r="M150" s="214"/>
      <c r="N150" s="214"/>
      <c r="O150" s="214"/>
      <c r="P150" s="214"/>
      <c r="Q150" s="214"/>
      <c r="R150" s="214"/>
      <c r="S150" s="214"/>
      <c r="T150" s="214"/>
      <c r="U150" s="214"/>
      <c r="V150" s="214"/>
      <c r="W150" s="214"/>
      <c r="X150" s="214"/>
      <c r="Y150" s="214"/>
      <c r="Z150" s="214"/>
      <c r="AA150" s="214"/>
      <c r="AB150" s="214"/>
      <c r="AC150" s="214"/>
      <c r="AD150" s="214"/>
      <c r="AE150" s="214"/>
      <c r="AF150" s="214"/>
      <c r="AG150" s="214"/>
    </row>
    <row r="151" spans="1:33" ht="15.75" customHeight="1">
      <c r="A151" s="221" t="s">
        <v>786</v>
      </c>
      <c r="B151" s="574" t="s">
        <v>1340</v>
      </c>
      <c r="C151" s="223"/>
      <c r="D151" s="447" t="s">
        <v>37</v>
      </c>
      <c r="E151" s="225">
        <v>45656</v>
      </c>
      <c r="F151" s="225">
        <v>45656</v>
      </c>
      <c r="G151" s="223"/>
      <c r="H151" s="225">
        <v>45656</v>
      </c>
      <c r="I151" s="203">
        <f ca="1">IF(ISBLANK(H151), NETWORKDAYS(F151, TODAY(),fESTIVOS!$A$1:$A$18), NETWORKDAYS(F151, H151, fESTIVOS!$A$1:$A$18))</f>
        <v>1</v>
      </c>
      <c r="J151" s="223"/>
      <c r="K151" s="225">
        <v>45656</v>
      </c>
      <c r="L151" s="223"/>
      <c r="M151" s="228"/>
      <c r="N151" s="228"/>
      <c r="O151" s="228"/>
      <c r="P151" s="228"/>
      <c r="Q151" s="228"/>
      <c r="R151" s="228"/>
      <c r="S151" s="228"/>
      <c r="T151" s="228"/>
      <c r="U151" s="228"/>
      <c r="V151" s="228"/>
      <c r="W151" s="228"/>
      <c r="X151" s="228"/>
      <c r="Y151" s="228"/>
      <c r="Z151" s="228"/>
    </row>
    <row r="152" spans="1:33" ht="15.75" customHeight="1">
      <c r="A152" s="206" t="s">
        <v>776</v>
      </c>
      <c r="B152" s="206" t="s">
        <v>1341</v>
      </c>
      <c r="C152" s="200" t="s">
        <v>1342</v>
      </c>
      <c r="D152" s="200" t="s">
        <v>37</v>
      </c>
      <c r="E152" s="225">
        <v>45664</v>
      </c>
      <c r="F152" s="225">
        <v>45664</v>
      </c>
      <c r="G152" s="447"/>
      <c r="H152" s="225">
        <v>45664</v>
      </c>
      <c r="I152" s="203">
        <f ca="1">IF(ISBLANK(H152), NETWORKDAYS(F152, TODAY(),fESTIVOS!$A$1:$A$18), NETWORKDAYS(F152, H152, fESTIVOS!$A$1:$A$18))</f>
        <v>1</v>
      </c>
      <c r="J152" s="447"/>
      <c r="K152" s="447"/>
      <c r="L152" s="224" t="s">
        <v>1343</v>
      </c>
    </row>
    <row r="153" spans="1:33" ht="15.75" customHeight="1">
      <c r="A153" s="206" t="s">
        <v>776</v>
      </c>
      <c r="B153" s="222" t="s">
        <v>1344</v>
      </c>
      <c r="C153" s="200" t="s">
        <v>1345</v>
      </c>
      <c r="D153" s="200" t="s">
        <v>37</v>
      </c>
      <c r="E153" s="225">
        <v>45656</v>
      </c>
      <c r="F153" s="225">
        <v>45665</v>
      </c>
      <c r="G153" s="447"/>
      <c r="H153" s="225">
        <v>45665</v>
      </c>
      <c r="I153" s="203">
        <f ca="1">IF(ISBLANK(H153), NETWORKDAYS(F153, TODAY(),fESTIVOS!$A$1:$A$18), NETWORKDAYS(F153, H153, fESTIVOS!$A$1:$A$18))</f>
        <v>1</v>
      </c>
      <c r="J153" s="225">
        <v>45665</v>
      </c>
      <c r="K153" s="447"/>
      <c r="L153" s="224"/>
      <c r="M153" s="183"/>
      <c r="N153" s="183"/>
      <c r="O153" s="183"/>
      <c r="P153" s="183"/>
      <c r="Q153" s="183"/>
      <c r="R153" s="183"/>
      <c r="S153" s="183"/>
      <c r="T153" s="183"/>
      <c r="U153" s="183"/>
      <c r="V153" s="183"/>
      <c r="W153" s="183"/>
      <c r="X153" s="183"/>
      <c r="Y153" s="183"/>
      <c r="Z153" s="183"/>
      <c r="AA153" s="183"/>
      <c r="AB153" s="183"/>
      <c r="AC153" s="183"/>
      <c r="AD153" s="183"/>
      <c r="AE153" s="183"/>
      <c r="AF153" s="183"/>
      <c r="AG153" s="183"/>
    </row>
    <row r="154" spans="1:33" ht="15.75" customHeight="1">
      <c r="A154" s="206" t="s">
        <v>776</v>
      </c>
      <c r="B154" s="367"/>
      <c r="C154" s="200" t="s">
        <v>1346</v>
      </c>
      <c r="D154" s="200" t="s">
        <v>37</v>
      </c>
      <c r="E154" s="225">
        <v>45656</v>
      </c>
      <c r="F154" s="225">
        <v>45665</v>
      </c>
      <c r="G154" s="447"/>
      <c r="H154" s="225">
        <v>45665</v>
      </c>
      <c r="I154" s="203">
        <f ca="1">IF(ISBLANK(H154), NETWORKDAYS(F154, TODAY(),fESTIVOS!$A$1:$A$18), NETWORKDAYS(F154, H154, fESTIVOS!$A$1:$A$18))</f>
        <v>1</v>
      </c>
      <c r="J154" s="225">
        <v>45665</v>
      </c>
      <c r="K154" s="447"/>
      <c r="L154" s="224"/>
      <c r="M154" s="183"/>
      <c r="N154" s="183"/>
      <c r="O154" s="183"/>
      <c r="P154" s="183"/>
      <c r="Q154" s="183"/>
      <c r="R154" s="183"/>
      <c r="S154" s="183"/>
      <c r="T154" s="183"/>
      <c r="U154" s="183"/>
      <c r="V154" s="183"/>
      <c r="W154" s="183"/>
      <c r="X154" s="183"/>
      <c r="Y154" s="183"/>
      <c r="Z154" s="183"/>
      <c r="AA154" s="183"/>
      <c r="AB154" s="183"/>
      <c r="AC154" s="183"/>
      <c r="AD154" s="183"/>
      <c r="AE154" s="183"/>
      <c r="AF154" s="183"/>
      <c r="AG154" s="183"/>
    </row>
    <row r="155" spans="1:33" ht="15.75" customHeight="1">
      <c r="A155" s="206" t="s">
        <v>1034</v>
      </c>
      <c r="B155" s="199" t="s">
        <v>1347</v>
      </c>
      <c r="C155" s="224"/>
      <c r="D155" s="447" t="s">
        <v>37</v>
      </c>
      <c r="E155" s="225">
        <v>45666</v>
      </c>
      <c r="F155" s="225">
        <v>45666</v>
      </c>
      <c r="G155" s="225"/>
      <c r="H155" s="225">
        <v>45666</v>
      </c>
      <c r="I155" s="203">
        <f ca="1">IF(ISBLANK(H155), NETWORKDAYS(F155, TODAY(),fESTIVOS!$A$1:$A$18), NETWORKDAYS(F155, H155, fESTIVOS!$A$1:$A$18))</f>
        <v>1</v>
      </c>
      <c r="J155" s="225"/>
      <c r="K155" s="225"/>
      <c r="L155" s="448"/>
      <c r="M155" s="575"/>
      <c r="N155" s="380"/>
      <c r="O155" s="381"/>
      <c r="P155" s="380"/>
      <c r="Q155" s="381"/>
      <c r="R155" s="380"/>
      <c r="S155" s="381"/>
      <c r="T155" s="380"/>
      <c r="U155" s="381"/>
      <c r="V155" s="380"/>
      <c r="W155" s="381"/>
      <c r="X155" s="380"/>
      <c r="Y155" s="381"/>
      <c r="Z155" s="380"/>
      <c r="AA155" s="381"/>
      <c r="AB155" s="380"/>
      <c r="AC155" s="381"/>
      <c r="AD155" s="380"/>
      <c r="AE155" s="381"/>
      <c r="AF155" s="380"/>
      <c r="AG155" s="381"/>
    </row>
    <row r="156" spans="1:33" ht="15.75" customHeight="1">
      <c r="A156" s="206" t="s">
        <v>1034</v>
      </c>
      <c r="B156" s="576" t="s">
        <v>1348</v>
      </c>
      <c r="C156" s="224" t="s">
        <v>1349</v>
      </c>
      <c r="D156" s="200" t="s">
        <v>37</v>
      </c>
      <c r="E156" s="225">
        <v>45664</v>
      </c>
      <c r="F156" s="225">
        <v>45664</v>
      </c>
      <c r="G156" s="225"/>
      <c r="H156" s="225">
        <v>45667</v>
      </c>
      <c r="I156" s="203">
        <f ca="1">IF(ISBLANK(H156), NETWORKDAYS(F156, TODAY(),fESTIVOS!$A$1:$A$18), NETWORKDAYS(F156, H156, fESTIVOS!$A$1:$A$18))</f>
        <v>4</v>
      </c>
      <c r="J156" s="225"/>
      <c r="K156" s="225"/>
      <c r="L156" s="448" t="s">
        <v>1350</v>
      </c>
      <c r="M156" s="418"/>
      <c r="N156" s="183"/>
      <c r="O156" s="183"/>
      <c r="P156" s="183"/>
      <c r="Q156" s="183"/>
      <c r="R156" s="183"/>
      <c r="S156" s="183"/>
      <c r="T156" s="183"/>
      <c r="U156" s="183"/>
      <c r="V156" s="183"/>
      <c r="W156" s="183"/>
      <c r="X156" s="183"/>
      <c r="Y156" s="183"/>
      <c r="Z156" s="183"/>
    </row>
    <row r="157" spans="1:33" ht="15.75" customHeight="1">
      <c r="A157" s="206" t="s">
        <v>776</v>
      </c>
      <c r="B157" s="548" t="s">
        <v>1351</v>
      </c>
      <c r="C157" s="577"/>
      <c r="D157" s="200" t="s">
        <v>763</v>
      </c>
      <c r="E157" s="225">
        <v>45609</v>
      </c>
      <c r="F157" s="225">
        <v>45610</v>
      </c>
      <c r="G157" s="201">
        <v>45622</v>
      </c>
      <c r="H157" s="201">
        <v>45623</v>
      </c>
      <c r="I157" s="203">
        <f ca="1">IF(ISBLANK(H157), NETWORKDAYS(F157, TODAY(),fESTIVOS!$A$1:$A$18), NETWORKDAYS(F157, H157, fESTIVOS!$A$1:$A$18))</f>
        <v>10</v>
      </c>
      <c r="J157" s="201">
        <v>45623</v>
      </c>
      <c r="K157" s="201">
        <v>45667</v>
      </c>
      <c r="L157" s="578" t="s">
        <v>1352</v>
      </c>
      <c r="M157" s="204"/>
      <c r="N157" s="204"/>
      <c r="O157" s="204"/>
      <c r="P157" s="204"/>
      <c r="Q157" s="204"/>
      <c r="R157" s="204"/>
      <c r="S157" s="204"/>
      <c r="T157" s="204"/>
      <c r="U157" s="204"/>
      <c r="V157" s="204"/>
      <c r="W157" s="204"/>
      <c r="X157" s="204"/>
      <c r="Y157" s="204"/>
      <c r="Z157" s="204"/>
    </row>
    <row r="158" spans="1:33" ht="15.75" customHeight="1">
      <c r="A158" s="206" t="s">
        <v>776</v>
      </c>
      <c r="B158" s="228"/>
      <c r="C158" s="197" t="s">
        <v>1353</v>
      </c>
      <c r="D158" s="200" t="s">
        <v>763</v>
      </c>
      <c r="E158" s="503">
        <v>45610</v>
      </c>
      <c r="F158" s="579">
        <v>45611</v>
      </c>
      <c r="G158" s="478"/>
      <c r="H158" s="478">
        <v>45617</v>
      </c>
      <c r="I158" s="504">
        <f ca="1">IF(ISBLANK(H158), NETWORKDAYS(F158, TODAY(),fESTIVOS!$A$1:$A$18), NETWORKDAYS(F158, H158, fESTIVOS!$A$1:$A$18))</f>
        <v>5</v>
      </c>
      <c r="J158" s="478">
        <v>45622</v>
      </c>
      <c r="K158" s="201">
        <v>45667</v>
      </c>
      <c r="L158" s="580" t="s">
        <v>1354</v>
      </c>
      <c r="M158" s="204"/>
      <c r="N158" s="204"/>
      <c r="O158" s="204"/>
      <c r="P158" s="204"/>
      <c r="Q158" s="204"/>
      <c r="R158" s="204"/>
      <c r="S158" s="204"/>
      <c r="T158" s="204"/>
      <c r="U158" s="204"/>
      <c r="V158" s="204"/>
      <c r="W158" s="204"/>
      <c r="X158" s="204"/>
      <c r="Y158" s="204"/>
      <c r="Z158" s="204"/>
    </row>
    <row r="159" spans="1:33" ht="15.75" customHeight="1">
      <c r="A159" s="206" t="s">
        <v>776</v>
      </c>
      <c r="B159" s="228"/>
      <c r="C159" s="197" t="s">
        <v>1355</v>
      </c>
      <c r="D159" s="200" t="s">
        <v>763</v>
      </c>
      <c r="E159" s="225">
        <v>45610</v>
      </c>
      <c r="F159" s="503">
        <v>45621</v>
      </c>
      <c r="G159" s="478">
        <v>45621</v>
      </c>
      <c r="H159" s="478">
        <v>45621</v>
      </c>
      <c r="I159" s="504">
        <f ca="1">IF(ISBLANK(H159), NETWORKDAYS(F159, TODAY(),fESTIVOS!$A$1:$A$18), NETWORKDAYS(F159, H159, fESTIVOS!$A$1:$A$18))</f>
        <v>1</v>
      </c>
      <c r="J159" s="478">
        <v>45622</v>
      </c>
      <c r="K159" s="201">
        <v>45667</v>
      </c>
      <c r="L159" s="581" t="s">
        <v>1356</v>
      </c>
      <c r="M159" s="204"/>
      <c r="N159" s="204"/>
      <c r="O159" s="204"/>
      <c r="P159" s="204"/>
      <c r="Q159" s="204"/>
      <c r="R159" s="204"/>
      <c r="S159" s="204"/>
      <c r="T159" s="204"/>
      <c r="U159" s="204"/>
      <c r="V159" s="204"/>
      <c r="W159" s="204"/>
      <c r="X159" s="204"/>
      <c r="Y159" s="204"/>
      <c r="Z159" s="204"/>
    </row>
    <row r="160" spans="1:33" ht="15.75" customHeight="1">
      <c r="A160" s="222" t="s">
        <v>776</v>
      </c>
      <c r="B160" s="228"/>
      <c r="C160" s="474" t="s">
        <v>1357</v>
      </c>
      <c r="D160" s="200" t="s">
        <v>763</v>
      </c>
      <c r="E160" s="503">
        <v>45610</v>
      </c>
      <c r="F160" s="503">
        <v>45621</v>
      </c>
      <c r="G160" s="478"/>
      <c r="H160" s="478">
        <v>45622</v>
      </c>
      <c r="I160" s="504">
        <f ca="1">IF(ISBLANK(H160), NETWORKDAYS(F160, TODAY(),fESTIVOS!$A$1:$A$18), NETWORKDAYS(F160, H160, fESTIVOS!$A$1:$A$18))</f>
        <v>2</v>
      </c>
      <c r="J160" s="478">
        <v>45622</v>
      </c>
      <c r="K160" s="201">
        <v>45667</v>
      </c>
      <c r="L160" s="578" t="s">
        <v>1358</v>
      </c>
      <c r="M160" s="204"/>
      <c r="N160" s="204"/>
      <c r="O160" s="204"/>
      <c r="P160" s="204"/>
      <c r="Q160" s="204"/>
      <c r="R160" s="204"/>
      <c r="S160" s="204"/>
      <c r="T160" s="204"/>
      <c r="U160" s="204"/>
      <c r="V160" s="204"/>
      <c r="W160" s="204"/>
      <c r="X160" s="204"/>
      <c r="Y160" s="204"/>
      <c r="Z160" s="204"/>
    </row>
    <row r="161" spans="1:26" ht="15.75" customHeight="1">
      <c r="A161" s="206" t="s">
        <v>776</v>
      </c>
      <c r="B161" s="393"/>
      <c r="C161" s="199" t="s">
        <v>1359</v>
      </c>
      <c r="D161" s="200" t="s">
        <v>763</v>
      </c>
      <c r="E161" s="225">
        <v>45624</v>
      </c>
      <c r="F161" s="225">
        <v>45628</v>
      </c>
      <c r="G161" s="201"/>
      <c r="H161" s="201">
        <v>45629</v>
      </c>
      <c r="I161" s="203">
        <f ca="1">IF(ISBLANK(H161), NETWORKDAYS(F161, TODAY(),fESTIVOS!$A$1:$A$18), NETWORKDAYS(F161, H161, fESTIVOS!$A$1:$A$18))</f>
        <v>2</v>
      </c>
      <c r="J161" s="201">
        <v>45629</v>
      </c>
      <c r="K161" s="201">
        <v>45667</v>
      </c>
      <c r="L161" s="580" t="s">
        <v>1360</v>
      </c>
      <c r="M161" s="204"/>
      <c r="N161" s="204"/>
      <c r="O161" s="204"/>
      <c r="P161" s="204"/>
      <c r="Q161" s="204"/>
      <c r="R161" s="204"/>
      <c r="S161" s="204"/>
      <c r="T161" s="204"/>
      <c r="U161" s="204"/>
      <c r="V161" s="204"/>
      <c r="W161" s="204"/>
      <c r="X161" s="204"/>
      <c r="Y161" s="204"/>
      <c r="Z161" s="204"/>
    </row>
    <row r="162" spans="1:26" ht="15.75" customHeight="1">
      <c r="A162" s="563" t="s">
        <v>776</v>
      </c>
      <c r="B162" s="206" t="s">
        <v>1307</v>
      </c>
      <c r="C162" s="495" t="s">
        <v>1361</v>
      </c>
      <c r="D162" s="582" t="s">
        <v>1155</v>
      </c>
      <c r="E162" s="225">
        <v>45631</v>
      </c>
      <c r="F162" s="225">
        <v>45635</v>
      </c>
      <c r="G162" s="225">
        <v>45649</v>
      </c>
      <c r="H162" s="225">
        <v>45645</v>
      </c>
      <c r="I162" s="203">
        <f ca="1">IF(ISBLANK(H162), NETWORKDAYS(F162, TODAY(),fESTIVOS!$A$1:$A$18), NETWORKDAYS(F162, H162, fESTIVOS!$A$1:$A$18))</f>
        <v>9</v>
      </c>
      <c r="J162" s="225">
        <v>45645</v>
      </c>
      <c r="K162" s="225">
        <v>45667</v>
      </c>
      <c r="L162" s="448" t="s">
        <v>1362</v>
      </c>
      <c r="M162" s="183"/>
      <c r="N162" s="183"/>
      <c r="O162" s="183"/>
      <c r="P162" s="183"/>
      <c r="Q162" s="183"/>
      <c r="R162" s="183"/>
      <c r="S162" s="183"/>
      <c r="T162" s="183"/>
      <c r="U162" s="183"/>
      <c r="V162" s="183"/>
      <c r="W162" s="183"/>
      <c r="X162" s="183"/>
      <c r="Y162" s="183"/>
      <c r="Z162" s="183"/>
    </row>
    <row r="163" spans="1:26" ht="15.75" customHeight="1">
      <c r="A163" s="566" t="s">
        <v>776</v>
      </c>
      <c r="B163" s="229" t="s">
        <v>1307</v>
      </c>
      <c r="C163" s="583" t="s">
        <v>1363</v>
      </c>
      <c r="D163" s="582" t="s">
        <v>1155</v>
      </c>
      <c r="E163" s="460">
        <v>45631</v>
      </c>
      <c r="F163" s="460">
        <v>45644</v>
      </c>
      <c r="G163" s="460">
        <v>45649</v>
      </c>
      <c r="H163" s="460">
        <v>45645</v>
      </c>
      <c r="I163" s="552">
        <f ca="1">IF(ISBLANK(H163), NETWORKDAYS(F163, TODAY(),fESTIVOS!$A$1:$A$18), NETWORKDAYS(F163, H163, fESTIVOS!$A$1:$A$18))</f>
        <v>2</v>
      </c>
      <c r="J163" s="460">
        <v>45645</v>
      </c>
      <c r="K163" s="460">
        <v>45667</v>
      </c>
      <c r="L163" s="461" t="s">
        <v>1364</v>
      </c>
      <c r="M163" s="183"/>
      <c r="N163" s="183"/>
      <c r="O163" s="183"/>
      <c r="P163" s="183"/>
      <c r="Q163" s="183"/>
      <c r="R163" s="183"/>
      <c r="S163" s="183"/>
      <c r="T163" s="183"/>
      <c r="U163" s="183"/>
      <c r="V163" s="183"/>
      <c r="W163" s="183"/>
      <c r="X163" s="183"/>
      <c r="Y163" s="183"/>
      <c r="Z163" s="183"/>
    </row>
    <row r="164" spans="1:26" ht="15.75" customHeight="1">
      <c r="A164" s="566" t="s">
        <v>776</v>
      </c>
      <c r="B164" s="222" t="s">
        <v>1307</v>
      </c>
      <c r="C164" s="584" t="s">
        <v>1365</v>
      </c>
      <c r="D164" s="582" t="s">
        <v>1155</v>
      </c>
      <c r="E164" s="225">
        <v>45631</v>
      </c>
      <c r="F164" s="225">
        <v>45644</v>
      </c>
      <c r="G164" s="225">
        <v>45649</v>
      </c>
      <c r="H164" s="503">
        <v>45650</v>
      </c>
      <c r="I164" s="552">
        <f ca="1">IF(ISBLANK(H164), NETWORKDAYS(F164, TODAY(),fESTIVOS!$A$1:$A$18), NETWORKDAYS(F164, H164, fESTIVOS!$A$1:$A$18))</f>
        <v>5</v>
      </c>
      <c r="J164" s="503">
        <v>45650</v>
      </c>
      <c r="K164" s="503">
        <v>45667</v>
      </c>
      <c r="L164" s="448" t="s">
        <v>1366</v>
      </c>
      <c r="M164" s="183"/>
      <c r="N164" s="183"/>
      <c r="O164" s="183"/>
      <c r="P164" s="183"/>
      <c r="Q164" s="183"/>
      <c r="R164" s="183"/>
      <c r="S164" s="183"/>
      <c r="T164" s="183"/>
      <c r="U164" s="183"/>
      <c r="V164" s="183"/>
      <c r="W164" s="183"/>
      <c r="X164" s="183"/>
      <c r="Y164" s="183"/>
      <c r="Z164" s="183"/>
    </row>
    <row r="165" spans="1:26" ht="15.75" customHeight="1">
      <c r="A165" s="566" t="s">
        <v>776</v>
      </c>
      <c r="B165" s="222" t="s">
        <v>1307</v>
      </c>
      <c r="C165" s="584" t="s">
        <v>1367</v>
      </c>
      <c r="D165" s="582" t="s">
        <v>1155</v>
      </c>
      <c r="E165" s="503">
        <v>45631</v>
      </c>
      <c r="F165" s="503">
        <v>45644</v>
      </c>
      <c r="G165" s="503">
        <v>45649</v>
      </c>
      <c r="H165" s="503">
        <v>45650</v>
      </c>
      <c r="I165" s="481">
        <f ca="1">IF(ISBLANK(H165), NETWORKDAYS(F165, TODAY(),fESTIVOS!$A$1:$A$18), NETWORKDAYS(F165, H165, fESTIVOS!$A$1:$A$18))</f>
        <v>5</v>
      </c>
      <c r="J165" s="503">
        <v>45650</v>
      </c>
      <c r="K165" s="503">
        <v>45667</v>
      </c>
      <c r="L165" s="505" t="s">
        <v>1368</v>
      </c>
      <c r="M165" s="183"/>
      <c r="N165" s="183"/>
      <c r="O165" s="183"/>
      <c r="P165" s="183"/>
      <c r="Q165" s="183"/>
      <c r="R165" s="183"/>
      <c r="S165" s="183"/>
      <c r="T165" s="183"/>
      <c r="U165" s="183"/>
      <c r="V165" s="183"/>
      <c r="W165" s="183"/>
      <c r="X165" s="183"/>
      <c r="Y165" s="183"/>
      <c r="Z165" s="183"/>
    </row>
    <row r="166" spans="1:26" ht="15.75" customHeight="1">
      <c r="A166" s="221" t="s">
        <v>786</v>
      </c>
      <c r="B166" s="206" t="s">
        <v>1369</v>
      </c>
      <c r="C166" s="216"/>
      <c r="D166" s="200" t="s">
        <v>37</v>
      </c>
      <c r="E166" s="225">
        <v>45667</v>
      </c>
      <c r="F166" s="225">
        <v>45667</v>
      </c>
      <c r="G166" s="225">
        <v>45670</v>
      </c>
      <c r="H166" s="225">
        <v>45667</v>
      </c>
      <c r="I166" s="203">
        <f ca="1">IF(ISBLANK(H166), NETWORKDAYS(F166, TODAY(),fESTIVOS!$A$1:$A$18), NETWORKDAYS(F166, H166, fESTIVOS!$A$1:$A$18))</f>
        <v>1</v>
      </c>
      <c r="J166" s="225"/>
      <c r="K166" s="225"/>
      <c r="L166" s="543"/>
      <c r="M166" s="418"/>
      <c r="N166" s="183"/>
      <c r="O166" s="183"/>
      <c r="P166" s="183"/>
      <c r="Q166" s="183"/>
      <c r="R166" s="183"/>
      <c r="S166" s="183"/>
      <c r="T166" s="183"/>
      <c r="U166" s="183"/>
      <c r="V166" s="183"/>
      <c r="W166" s="183"/>
      <c r="X166" s="183"/>
      <c r="Y166" s="183"/>
      <c r="Z166" s="183"/>
    </row>
    <row r="167" spans="1:26" ht="15.75" customHeight="1">
      <c r="A167" s="206" t="s">
        <v>1034</v>
      </c>
      <c r="B167" s="199" t="s">
        <v>1370</v>
      </c>
      <c r="C167" s="224"/>
      <c r="D167" s="447" t="s">
        <v>37</v>
      </c>
      <c r="E167" s="225">
        <v>45667</v>
      </c>
      <c r="F167" s="225">
        <v>45667</v>
      </c>
      <c r="G167" s="225"/>
      <c r="H167" s="225">
        <v>45667</v>
      </c>
      <c r="I167" s="203">
        <f ca="1">IF(ISBLANK(H167), NETWORKDAYS(F167, TODAY(),fESTIVOS!$A$1:$A$18), NETWORKDAYS(F167, H167, fESTIVOS!$A$1:$A$18))</f>
        <v>1</v>
      </c>
      <c r="J167" s="225"/>
      <c r="K167" s="225"/>
      <c r="L167" s="448"/>
      <c r="M167" s="418"/>
      <c r="N167" s="183"/>
      <c r="O167" s="183"/>
      <c r="P167" s="183"/>
      <c r="Q167" s="183"/>
      <c r="R167" s="183"/>
      <c r="S167" s="183"/>
      <c r="T167" s="183"/>
      <c r="U167" s="183"/>
      <c r="V167" s="183"/>
      <c r="W167" s="183"/>
      <c r="X167" s="183"/>
      <c r="Y167" s="183"/>
      <c r="Z167" s="183"/>
    </row>
    <row r="168" spans="1:26" ht="15.75" customHeight="1">
      <c r="A168" s="221" t="s">
        <v>786</v>
      </c>
      <c r="B168" s="574" t="s">
        <v>1371</v>
      </c>
      <c r="C168" s="223"/>
      <c r="D168" s="447" t="s">
        <v>37</v>
      </c>
      <c r="E168" s="225">
        <v>45667</v>
      </c>
      <c r="F168" s="226">
        <v>45667</v>
      </c>
      <c r="G168" s="223"/>
      <c r="H168" s="225">
        <v>45671</v>
      </c>
      <c r="I168" s="203">
        <f ca="1">IF(ISBLANK(H168), NETWORKDAYS(F168, TODAY(),fESTIVOS!$A$1:$A$18), NETWORKDAYS(F168, H168, fESTIVOS!$A$1:$A$18))</f>
        <v>3</v>
      </c>
      <c r="J168" s="225">
        <v>45671</v>
      </c>
      <c r="K168" s="225">
        <v>45671</v>
      </c>
      <c r="L168" s="227" t="s">
        <v>1372</v>
      </c>
      <c r="M168" s="228"/>
      <c r="N168" s="228"/>
      <c r="O168" s="228"/>
      <c r="P168" s="228"/>
      <c r="Q168" s="228"/>
      <c r="R168" s="228"/>
      <c r="S168" s="228"/>
      <c r="T168" s="228"/>
      <c r="U168" s="228"/>
      <c r="V168" s="228"/>
      <c r="W168" s="228"/>
      <c r="X168" s="228"/>
      <c r="Y168" s="228"/>
      <c r="Z168" s="228"/>
    </row>
    <row r="169" spans="1:26" ht="15.75" customHeight="1">
      <c r="A169" s="206" t="s">
        <v>1034</v>
      </c>
      <c r="B169" s="199" t="s">
        <v>1373</v>
      </c>
      <c r="C169" s="224"/>
      <c r="D169" s="447" t="s">
        <v>37</v>
      </c>
      <c r="E169" s="225">
        <v>45667</v>
      </c>
      <c r="F169" s="225">
        <v>45670</v>
      </c>
      <c r="G169" s="225"/>
      <c r="H169" s="225">
        <v>45670</v>
      </c>
      <c r="I169" s="203">
        <f ca="1">IF(ISBLANK(H169), NETWORKDAYS(F169, TODAY(),fESTIVOS!$A$1:$A$18), NETWORKDAYS(F169, H169, fESTIVOS!$A$1:$A$18))</f>
        <v>1</v>
      </c>
      <c r="J169" s="225">
        <v>45670</v>
      </c>
      <c r="K169" s="225">
        <v>45672</v>
      </c>
      <c r="L169" s="448"/>
      <c r="M169" s="418"/>
      <c r="N169" s="183"/>
      <c r="O169" s="183"/>
      <c r="P169" s="183"/>
      <c r="Q169" s="183"/>
      <c r="R169" s="183"/>
      <c r="S169" s="183"/>
      <c r="T169" s="183"/>
      <c r="U169" s="183"/>
      <c r="V169" s="183"/>
      <c r="W169" s="183"/>
      <c r="X169" s="183"/>
      <c r="Y169" s="183"/>
      <c r="Z169" s="183"/>
    </row>
    <row r="170" spans="1:26" ht="15.75" customHeight="1">
      <c r="A170" s="206" t="s">
        <v>1034</v>
      </c>
      <c r="B170" s="576" t="s">
        <v>1374</v>
      </c>
      <c r="C170" s="224" t="s">
        <v>1375</v>
      </c>
      <c r="D170" s="447" t="s">
        <v>1155</v>
      </c>
      <c r="E170" s="225">
        <v>45672</v>
      </c>
      <c r="F170" s="225"/>
      <c r="G170" s="225"/>
      <c r="H170" s="447"/>
      <c r="I170" s="203"/>
      <c r="J170" s="225"/>
      <c r="K170" s="543">
        <v>45692</v>
      </c>
      <c r="L170" s="448" t="s">
        <v>1376</v>
      </c>
      <c r="M170" s="418"/>
      <c r="N170" s="183"/>
      <c r="O170" s="183"/>
      <c r="P170" s="183"/>
      <c r="Q170" s="183"/>
      <c r="R170" s="183"/>
      <c r="S170" s="183"/>
      <c r="T170" s="183"/>
      <c r="U170" s="183"/>
      <c r="V170" s="183"/>
      <c r="W170" s="183"/>
      <c r="X170" s="183"/>
      <c r="Y170" s="183"/>
      <c r="Z170" s="183"/>
    </row>
    <row r="171" spans="1:26" ht="15.75" customHeight="1">
      <c r="A171" s="206" t="s">
        <v>1034</v>
      </c>
      <c r="B171" s="576" t="s">
        <v>1374</v>
      </c>
      <c r="C171" s="224" t="s">
        <v>1377</v>
      </c>
      <c r="D171" s="447" t="s">
        <v>1155</v>
      </c>
      <c r="E171" s="225">
        <v>45672</v>
      </c>
      <c r="F171" s="225">
        <v>45673</v>
      </c>
      <c r="G171" s="225"/>
      <c r="H171" s="225">
        <v>45673</v>
      </c>
      <c r="I171" s="203">
        <f ca="1">IF(ISBLANK(H171), NETWORKDAYS(F171, TODAY(),fESTIVOS!$A$1:$A$18), NETWORKDAYS(F171, H171, fESTIVOS!$A$1:$A$18))</f>
        <v>1</v>
      </c>
      <c r="J171" s="201">
        <v>45678</v>
      </c>
      <c r="K171" s="543">
        <v>45692</v>
      </c>
      <c r="L171" s="448"/>
      <c r="M171" s="418"/>
      <c r="N171" s="183"/>
      <c r="O171" s="183"/>
      <c r="P171" s="183"/>
      <c r="Q171" s="183"/>
      <c r="R171" s="183"/>
      <c r="S171" s="183"/>
      <c r="T171" s="183"/>
      <c r="U171" s="183"/>
      <c r="V171" s="183"/>
      <c r="W171" s="183"/>
      <c r="X171" s="183"/>
      <c r="Y171" s="183"/>
      <c r="Z171" s="183"/>
    </row>
    <row r="172" spans="1:26" ht="15.75" customHeight="1">
      <c r="A172" s="206" t="s">
        <v>1034</v>
      </c>
      <c r="B172" s="199" t="s">
        <v>1378</v>
      </c>
      <c r="C172" s="224"/>
      <c r="D172" s="447" t="s">
        <v>37</v>
      </c>
      <c r="E172" s="225">
        <v>45673</v>
      </c>
      <c r="F172" s="225">
        <v>45673</v>
      </c>
      <c r="G172" s="225"/>
      <c r="H172" s="225">
        <v>45673</v>
      </c>
      <c r="I172" s="203">
        <f ca="1">IF(ISBLANK(H172), NETWORKDAYS(F172, TODAY(),fESTIVOS!$A$1:$A$18), NETWORKDAYS(F172, H172, fESTIVOS!$A$1:$A$18))</f>
        <v>1</v>
      </c>
      <c r="J172" s="225"/>
      <c r="K172" s="225"/>
      <c r="L172" s="543" t="s">
        <v>1379</v>
      </c>
      <c r="M172" s="418"/>
      <c r="N172" s="183"/>
      <c r="O172" s="183"/>
      <c r="P172" s="183"/>
      <c r="Q172" s="183"/>
      <c r="R172" s="183"/>
      <c r="S172" s="183"/>
      <c r="T172" s="183"/>
      <c r="U172" s="183"/>
      <c r="V172" s="183"/>
      <c r="W172" s="183"/>
      <c r="X172" s="183"/>
      <c r="Y172" s="183"/>
      <c r="Z172" s="183"/>
    </row>
    <row r="173" spans="1:26" ht="15.75" customHeight="1">
      <c r="A173" s="206" t="s">
        <v>1034</v>
      </c>
      <c r="B173" s="199" t="s">
        <v>1380</v>
      </c>
      <c r="C173" s="224"/>
      <c r="D173" s="447" t="s">
        <v>37</v>
      </c>
      <c r="E173" s="225">
        <v>45671</v>
      </c>
      <c r="F173" s="225">
        <v>45671</v>
      </c>
      <c r="G173" s="225"/>
      <c r="H173" s="225">
        <v>45672</v>
      </c>
      <c r="I173" s="203">
        <f ca="1">IF(ISBLANK(H173), NETWORKDAYS(F173, TODAY(),fESTIVOS!$A$1:$A$18), NETWORKDAYS(F173, H173, fESTIVOS!$A$1:$A$18))</f>
        <v>2</v>
      </c>
      <c r="J173" s="225">
        <v>45672</v>
      </c>
      <c r="K173" s="225">
        <v>45674</v>
      </c>
      <c r="L173" s="448" t="s">
        <v>1381</v>
      </c>
      <c r="M173" s="418"/>
      <c r="N173" s="183"/>
      <c r="O173" s="183"/>
      <c r="P173" s="183"/>
      <c r="Q173" s="183"/>
      <c r="R173" s="183"/>
      <c r="S173" s="183"/>
      <c r="T173" s="183"/>
      <c r="U173" s="183"/>
      <c r="V173" s="183"/>
      <c r="W173" s="183"/>
      <c r="X173" s="183"/>
      <c r="Y173" s="183"/>
      <c r="Z173" s="183"/>
    </row>
    <row r="174" spans="1:26" ht="15.75" customHeight="1">
      <c r="A174" s="206" t="s">
        <v>1034</v>
      </c>
      <c r="B174" s="199" t="s">
        <v>1382</v>
      </c>
      <c r="C174" s="224"/>
      <c r="D174" s="447" t="s">
        <v>9</v>
      </c>
      <c r="E174" s="225">
        <v>45667</v>
      </c>
      <c r="F174" s="225">
        <v>45667</v>
      </c>
      <c r="G174" s="225"/>
      <c r="H174" s="225">
        <v>45673</v>
      </c>
      <c r="I174" s="203">
        <f ca="1">IF(ISBLANK(H174), NETWORKDAYS(F174, TODAY(),fESTIVOS!$A$1:$A$18), NETWORKDAYS(F174, H174, fESTIVOS!$A$1:$A$18))</f>
        <v>5</v>
      </c>
      <c r="J174" s="225"/>
      <c r="K174" s="225"/>
      <c r="L174" s="448" t="s">
        <v>1383</v>
      </c>
      <c r="M174" s="418"/>
      <c r="N174" s="183"/>
      <c r="O174" s="183"/>
      <c r="P174" s="183"/>
      <c r="Q174" s="183"/>
      <c r="R174" s="183"/>
      <c r="S174" s="183"/>
      <c r="T174" s="183"/>
      <c r="U174" s="183"/>
      <c r="V174" s="183"/>
      <c r="W174" s="183"/>
      <c r="X174" s="183"/>
      <c r="Y174" s="183"/>
      <c r="Z174" s="183"/>
    </row>
    <row r="175" spans="1:26" ht="15.75" customHeight="1">
      <c r="A175" s="206" t="s">
        <v>1034</v>
      </c>
      <c r="B175" s="576" t="s">
        <v>1384</v>
      </c>
      <c r="C175" s="224"/>
      <c r="D175" s="447" t="s">
        <v>9</v>
      </c>
      <c r="E175" s="225">
        <v>45677</v>
      </c>
      <c r="F175" s="225">
        <v>45677</v>
      </c>
      <c r="G175" s="225"/>
      <c r="H175" s="225">
        <v>45677</v>
      </c>
      <c r="I175" s="203">
        <f ca="1">IF(ISBLANK(H175), NETWORKDAYS(F175, TODAY(),fESTIVOS!$A$1:$A$18), NETWORKDAYS(F175, H175, fESTIVOS!$A$1:$A$18))</f>
        <v>1</v>
      </c>
      <c r="J175" s="225"/>
      <c r="K175" s="225">
        <v>45677</v>
      </c>
      <c r="L175" s="448"/>
      <c r="M175" s="418"/>
      <c r="N175" s="183"/>
      <c r="O175" s="183"/>
      <c r="P175" s="183"/>
      <c r="Q175" s="183"/>
      <c r="R175" s="183"/>
      <c r="S175" s="183"/>
      <c r="T175" s="183"/>
      <c r="U175" s="183"/>
      <c r="V175" s="183"/>
      <c r="W175" s="183"/>
      <c r="X175" s="183"/>
      <c r="Y175" s="183"/>
      <c r="Z175" s="183"/>
    </row>
    <row r="176" spans="1:26" ht="45" customHeight="1">
      <c r="A176" s="182" t="s">
        <v>761</v>
      </c>
      <c r="B176" s="420" t="s">
        <v>1385</v>
      </c>
      <c r="C176" s="452"/>
      <c r="D176" s="194" t="s">
        <v>39</v>
      </c>
      <c r="E176" s="193">
        <v>45611</v>
      </c>
      <c r="F176" s="193">
        <v>45622</v>
      </c>
      <c r="G176" s="193">
        <v>45624</v>
      </c>
      <c r="H176" s="194"/>
      <c r="I176" s="195">
        <f ca="1">IF(ISBLANK(H176), NETWORKDAYS(F176, TODAY(),fESTIVOS!$A$1:$A$18), NETWORKDAYS(F176, H176, fESTIVOS!$A$1:$A$18))</f>
        <v>411</v>
      </c>
      <c r="J176" s="452"/>
      <c r="K176" s="452"/>
      <c r="L176" s="213" t="s">
        <v>1386</v>
      </c>
    </row>
    <row r="177" spans="1:33" ht="15.75" customHeight="1">
      <c r="A177" s="182" t="s">
        <v>761</v>
      </c>
      <c r="B177" s="423"/>
      <c r="C177" s="190" t="s">
        <v>1387</v>
      </c>
      <c r="D177" s="194" t="s">
        <v>1155</v>
      </c>
      <c r="E177" s="193">
        <v>45611</v>
      </c>
      <c r="F177" s="193">
        <v>45624</v>
      </c>
      <c r="G177" s="193">
        <v>45624</v>
      </c>
      <c r="H177" s="193">
        <v>45628</v>
      </c>
      <c r="I177" s="195">
        <f ca="1">IF(ISBLANK(H177), NETWORKDAYS(F177, TODAY(),fESTIVOS!$A$1:$A$18), NETWORKDAYS(F177, H177, fESTIVOS!$A$1:$A$18))</f>
        <v>3</v>
      </c>
      <c r="J177" s="452"/>
      <c r="K177" s="412">
        <v>45631</v>
      </c>
      <c r="L177" s="585" t="s">
        <v>1388</v>
      </c>
    </row>
    <row r="178" spans="1:33" ht="15.75" customHeight="1">
      <c r="A178" s="182" t="s">
        <v>761</v>
      </c>
      <c r="B178" s="367"/>
      <c r="C178" s="586" t="s">
        <v>1389</v>
      </c>
      <c r="D178" s="194" t="s">
        <v>1155</v>
      </c>
      <c r="E178" s="193">
        <v>45611</v>
      </c>
      <c r="F178" s="193">
        <v>45629</v>
      </c>
      <c r="G178" s="193">
        <v>45631</v>
      </c>
      <c r="H178" s="193"/>
      <c r="I178" s="195">
        <f ca="1">IF(ISBLANK(H178), NETWORKDAYS(F178, TODAY(),fESTIVOS!$A$1:$A$18), NETWORKDAYS(F178, H178, fESTIVOS!$A$1:$A$18))</f>
        <v>406</v>
      </c>
      <c r="J178" s="452"/>
      <c r="K178" s="412">
        <v>45658</v>
      </c>
      <c r="L178" s="585" t="s">
        <v>1390</v>
      </c>
    </row>
    <row r="179" spans="1:33" ht="15.75" customHeight="1">
      <c r="A179" s="520" t="s">
        <v>761</v>
      </c>
      <c r="B179" s="538" t="s">
        <v>1391</v>
      </c>
      <c r="C179" s="520"/>
      <c r="D179" s="526" t="s">
        <v>37</v>
      </c>
      <c r="E179" s="527">
        <v>45644</v>
      </c>
      <c r="F179" s="527">
        <v>45644</v>
      </c>
      <c r="G179" s="528"/>
      <c r="H179" s="529">
        <v>45658</v>
      </c>
      <c r="I179" s="195">
        <f ca="1">IF(ISBLANK(H179), NETWORKDAYS(F179, TODAY(),fESTIVOS!$A$1:$A$18), NETWORKDAYS(F179, H179, fESTIVOS!$A$1:$A$18))</f>
        <v>10</v>
      </c>
      <c r="J179" s="529"/>
      <c r="K179" s="529"/>
      <c r="L179" s="530" t="s">
        <v>1392</v>
      </c>
      <c r="M179" s="555"/>
      <c r="N179" s="555"/>
      <c r="O179" s="555"/>
      <c r="P179" s="555"/>
      <c r="Q179" s="555"/>
      <c r="R179" s="555"/>
      <c r="S179" s="555"/>
      <c r="T179" s="555"/>
      <c r="U179" s="555"/>
      <c r="V179" s="555"/>
      <c r="W179" s="555"/>
      <c r="X179" s="555"/>
      <c r="Y179" s="555"/>
      <c r="Z179" s="555"/>
      <c r="AA179" s="556"/>
      <c r="AB179" s="556"/>
      <c r="AC179" s="556"/>
      <c r="AD179" s="556"/>
      <c r="AE179" s="556"/>
      <c r="AF179" s="556"/>
      <c r="AG179" s="556"/>
    </row>
    <row r="180" spans="1:33" ht="15.75" customHeight="1">
      <c r="A180" s="221" t="s">
        <v>786</v>
      </c>
      <c r="B180" s="206" t="s">
        <v>1393</v>
      </c>
      <c r="C180" s="216" t="s">
        <v>1394</v>
      </c>
      <c r="D180" s="200" t="s">
        <v>1155</v>
      </c>
      <c r="E180" s="225">
        <v>45667</v>
      </c>
      <c r="F180" s="225">
        <v>45667</v>
      </c>
      <c r="G180" s="225">
        <v>45670</v>
      </c>
      <c r="H180" s="225">
        <v>45672</v>
      </c>
      <c r="I180" s="203">
        <f ca="1">IF(ISBLANK(H180), NETWORKDAYS(F180, TODAY(),fESTIVOS!$A$1:$A$18), NETWORKDAYS(F180, H180, fESTIVOS!$A$1:$A$18))</f>
        <v>4</v>
      </c>
      <c r="J180" s="225">
        <v>45672</v>
      </c>
      <c r="K180" s="225">
        <v>45678</v>
      </c>
      <c r="L180" s="543" t="s">
        <v>1395</v>
      </c>
      <c r="M180" s="418"/>
      <c r="N180" s="183"/>
      <c r="O180" s="183"/>
      <c r="P180" s="183"/>
      <c r="Q180" s="183"/>
      <c r="R180" s="183"/>
      <c r="S180" s="183"/>
      <c r="T180" s="183"/>
      <c r="U180" s="183"/>
      <c r="V180" s="183"/>
      <c r="W180" s="183"/>
      <c r="X180" s="183"/>
      <c r="Y180" s="183"/>
      <c r="Z180" s="183"/>
    </row>
    <row r="181" spans="1:33" ht="15.75" customHeight="1">
      <c r="A181" s="206" t="s">
        <v>1034</v>
      </c>
      <c r="B181" s="199" t="s">
        <v>1396</v>
      </c>
      <c r="C181" s="224"/>
      <c r="D181" s="447" t="s">
        <v>37</v>
      </c>
      <c r="E181" s="225">
        <v>45678</v>
      </c>
      <c r="F181" s="225">
        <v>45678</v>
      </c>
      <c r="G181" s="225"/>
      <c r="H181" s="225">
        <v>45679</v>
      </c>
      <c r="I181" s="203">
        <f ca="1">IF(ISBLANK(H181), NETWORKDAYS(F181, TODAY(),fESTIVOS!$A$1:$A$18), NETWORKDAYS(F181, H181, fESTIVOS!$A$1:$A$18))</f>
        <v>2</v>
      </c>
      <c r="J181" s="225"/>
      <c r="K181" s="225"/>
      <c r="L181" s="448" t="s">
        <v>1397</v>
      </c>
      <c r="M181" s="418"/>
      <c r="N181" s="183"/>
      <c r="O181" s="183"/>
      <c r="P181" s="183"/>
      <c r="Q181" s="183"/>
      <c r="R181" s="183"/>
      <c r="S181" s="183"/>
      <c r="T181" s="183"/>
      <c r="U181" s="183"/>
      <c r="V181" s="183"/>
      <c r="W181" s="183"/>
      <c r="X181" s="183"/>
      <c r="Y181" s="183"/>
      <c r="Z181" s="183"/>
    </row>
    <row r="182" spans="1:33" ht="15.75" customHeight="1">
      <c r="A182" s="206" t="s">
        <v>1034</v>
      </c>
      <c r="B182" s="199" t="s">
        <v>1398</v>
      </c>
      <c r="C182" s="224"/>
      <c r="D182" s="447" t="s">
        <v>1399</v>
      </c>
      <c r="E182" s="225">
        <v>45671</v>
      </c>
      <c r="F182" s="225">
        <v>45671</v>
      </c>
      <c r="G182" s="225"/>
      <c r="H182" s="225">
        <v>45680</v>
      </c>
      <c r="I182" s="203">
        <f ca="1">IF(ISBLANK(H182), NETWORKDAYS(F182, TODAY(),fESTIVOS!$A$1:$A$18), NETWORKDAYS(F182, H182, fESTIVOS!$A$1:$A$18))</f>
        <v>8</v>
      </c>
      <c r="J182" s="225"/>
      <c r="K182" s="225">
        <v>45680</v>
      </c>
      <c r="L182" s="448" t="s">
        <v>1400</v>
      </c>
      <c r="M182" s="418"/>
      <c r="N182" s="183"/>
      <c r="O182" s="183"/>
      <c r="P182" s="183"/>
      <c r="Q182" s="183"/>
      <c r="R182" s="183"/>
      <c r="S182" s="183"/>
      <c r="T182" s="183"/>
      <c r="U182" s="183"/>
      <c r="V182" s="183"/>
      <c r="W182" s="183"/>
      <c r="X182" s="183"/>
      <c r="Y182" s="183"/>
      <c r="Z182" s="183"/>
    </row>
    <row r="183" spans="1:33" ht="15.75" customHeight="1">
      <c r="A183" s="197" t="s">
        <v>768</v>
      </c>
      <c r="B183" s="541" t="s">
        <v>1401</v>
      </c>
      <c r="C183" s="446"/>
      <c r="D183" s="200" t="s">
        <v>1155</v>
      </c>
      <c r="E183" s="225">
        <v>45664</v>
      </c>
      <c r="F183" s="225">
        <v>45664</v>
      </c>
      <c r="G183" s="225">
        <v>45665</v>
      </c>
      <c r="H183" s="225">
        <v>45666</v>
      </c>
      <c r="I183" s="203">
        <f ca="1">IF(ISBLANK(H183), NETWORKDAYS(F183, TODAY(),fESTIVOS!$A$1:$A$18), NETWORKDAYS(F183, H183, fESTIVOS!$A$1:$A$18))</f>
        <v>3</v>
      </c>
      <c r="J183" s="225">
        <v>45666</v>
      </c>
      <c r="K183" s="225">
        <v>45674</v>
      </c>
      <c r="L183" s="448" t="s">
        <v>1402</v>
      </c>
      <c r="M183" s="418"/>
      <c r="N183" s="183"/>
      <c r="O183" s="183"/>
      <c r="P183" s="183"/>
      <c r="Q183" s="183"/>
      <c r="R183" s="183"/>
      <c r="S183" s="183"/>
      <c r="T183" s="183"/>
      <c r="U183" s="183"/>
      <c r="V183" s="183"/>
      <c r="W183" s="183"/>
      <c r="X183" s="183"/>
      <c r="Y183" s="183"/>
      <c r="Z183" s="183"/>
    </row>
    <row r="184" spans="1:33" ht="15.75" customHeight="1">
      <c r="A184" s="399" t="s">
        <v>761</v>
      </c>
      <c r="B184" s="587" t="s">
        <v>47</v>
      </c>
      <c r="C184" s="401"/>
      <c r="D184" s="415" t="s">
        <v>1155</v>
      </c>
      <c r="E184" s="193">
        <v>45307</v>
      </c>
      <c r="F184" s="193">
        <v>45677</v>
      </c>
      <c r="G184" s="193"/>
      <c r="H184" s="193">
        <v>45678</v>
      </c>
      <c r="I184" s="195">
        <f ca="1">IF(ISBLANK(H184), NETWORKDAYS(F184, TODAY(),fESTIVOS!$A$1:$A$18), NETWORKDAYS(F184, H184, fESTIVOS!$A$1:$A$18))</f>
        <v>2</v>
      </c>
      <c r="J184" s="193"/>
      <c r="K184" s="193">
        <v>45680</v>
      </c>
      <c r="L184" s="196"/>
      <c r="M184" s="183"/>
      <c r="N184" s="183"/>
      <c r="O184" s="183"/>
      <c r="P184" s="183"/>
      <c r="Q184" s="183"/>
      <c r="R184" s="183"/>
      <c r="S184" s="183"/>
      <c r="T184" s="183"/>
      <c r="U184" s="183"/>
      <c r="V184" s="183"/>
      <c r="W184" s="183"/>
      <c r="X184" s="183"/>
      <c r="Y184" s="183"/>
      <c r="Z184" s="183"/>
    </row>
    <row r="185" spans="1:33" ht="15.75" customHeight="1">
      <c r="A185" s="182" t="s">
        <v>761</v>
      </c>
      <c r="B185" s="588" t="s">
        <v>1403</v>
      </c>
      <c r="C185" s="401"/>
      <c r="D185" s="415" t="s">
        <v>1155</v>
      </c>
      <c r="E185" s="193">
        <v>45678</v>
      </c>
      <c r="F185" s="193">
        <v>45677</v>
      </c>
      <c r="G185" s="193"/>
      <c r="H185" s="193">
        <v>45680</v>
      </c>
      <c r="I185" s="195">
        <f ca="1">IF(ISBLANK(H185), NETWORKDAYS(F185, TODAY(),fESTIVOS!$A$1:$A$18), NETWORKDAYS(F185, H185, fESTIVOS!$A$1:$A$18))</f>
        <v>4</v>
      </c>
      <c r="J185" s="193"/>
      <c r="K185" s="193">
        <v>45680</v>
      </c>
      <c r="L185" s="196"/>
      <c r="M185" s="183"/>
      <c r="N185" s="183"/>
      <c r="O185" s="183"/>
      <c r="P185" s="183"/>
      <c r="Q185" s="183"/>
      <c r="R185" s="183"/>
      <c r="S185" s="183"/>
      <c r="T185" s="183"/>
      <c r="U185" s="183"/>
      <c r="V185" s="183"/>
      <c r="W185" s="183"/>
      <c r="X185" s="183"/>
      <c r="Y185" s="183"/>
      <c r="Z185" s="183"/>
    </row>
    <row r="186" spans="1:33" ht="15.75" customHeight="1">
      <c r="A186" s="182" t="s">
        <v>761</v>
      </c>
      <c r="B186" s="589" t="s">
        <v>1404</v>
      </c>
      <c r="C186" s="401" t="s">
        <v>1405</v>
      </c>
      <c r="D186" s="415" t="s">
        <v>1155</v>
      </c>
      <c r="E186" s="193">
        <v>45678</v>
      </c>
      <c r="F186" s="193">
        <v>45680</v>
      </c>
      <c r="G186" s="193"/>
      <c r="H186" s="193">
        <v>45680</v>
      </c>
      <c r="I186" s="195">
        <f ca="1">IF(ISBLANK(H186), NETWORKDAYS(F186, TODAY(),fESTIVOS!$A$1:$A$18), NETWORKDAYS(F186, H186, fESTIVOS!$A$1:$A$18))</f>
        <v>1</v>
      </c>
      <c r="J186" s="193"/>
      <c r="K186" s="193">
        <v>45680</v>
      </c>
      <c r="L186" s="196"/>
      <c r="M186" s="183"/>
      <c r="N186" s="183"/>
      <c r="O186" s="183"/>
      <c r="P186" s="183"/>
      <c r="Q186" s="183"/>
      <c r="R186" s="183"/>
      <c r="S186" s="183"/>
      <c r="T186" s="183"/>
      <c r="U186" s="183"/>
      <c r="V186" s="183"/>
      <c r="W186" s="183"/>
      <c r="X186" s="183"/>
      <c r="Y186" s="183"/>
      <c r="Z186" s="183"/>
    </row>
    <row r="187" spans="1:33" ht="15.75" customHeight="1">
      <c r="A187" s="182" t="s">
        <v>761</v>
      </c>
      <c r="B187" s="588" t="s">
        <v>1406</v>
      </c>
      <c r="C187" s="401"/>
      <c r="D187" s="415" t="s">
        <v>1155</v>
      </c>
      <c r="E187" s="193">
        <v>45678</v>
      </c>
      <c r="F187" s="193">
        <v>45680</v>
      </c>
      <c r="G187" s="193"/>
      <c r="H187" s="193">
        <v>45680</v>
      </c>
      <c r="I187" s="195">
        <f ca="1">IF(ISBLANK(H187), NETWORKDAYS(F187, TODAY(),fESTIVOS!$A$1:$A$18), NETWORKDAYS(F187, H187, fESTIVOS!$A$1:$A$18))</f>
        <v>1</v>
      </c>
      <c r="J187" s="193"/>
      <c r="K187" s="193">
        <v>45680</v>
      </c>
      <c r="L187" s="196"/>
      <c r="M187" s="183"/>
      <c r="N187" s="183"/>
      <c r="O187" s="183"/>
      <c r="P187" s="183"/>
      <c r="Q187" s="183"/>
      <c r="R187" s="183"/>
      <c r="S187" s="183"/>
      <c r="T187" s="183"/>
      <c r="U187" s="183"/>
      <c r="V187" s="183"/>
      <c r="W187" s="183"/>
      <c r="X187" s="183"/>
      <c r="Y187" s="183"/>
      <c r="Z187" s="183"/>
    </row>
    <row r="188" spans="1:33" ht="15.75" customHeight="1">
      <c r="A188" s="182" t="s">
        <v>761</v>
      </c>
      <c r="B188" s="588" t="s">
        <v>1407</v>
      </c>
      <c r="C188" s="401"/>
      <c r="D188" s="415" t="s">
        <v>1155</v>
      </c>
      <c r="E188" s="193">
        <v>45678</v>
      </c>
      <c r="F188" s="193">
        <v>45680</v>
      </c>
      <c r="G188" s="193"/>
      <c r="H188" s="193">
        <v>45680</v>
      </c>
      <c r="I188" s="195">
        <f ca="1">IF(ISBLANK(H188), NETWORKDAYS(F188, TODAY(),fESTIVOS!$A$1:$A$18), NETWORKDAYS(F188, H188, fESTIVOS!$A$1:$A$18))</f>
        <v>1</v>
      </c>
      <c r="J188" s="193"/>
      <c r="K188" s="193">
        <v>45680</v>
      </c>
      <c r="L188" s="196"/>
      <c r="M188" s="183"/>
      <c r="N188" s="183"/>
      <c r="O188" s="183"/>
      <c r="P188" s="183"/>
      <c r="Q188" s="183"/>
      <c r="R188" s="183"/>
      <c r="S188" s="183"/>
      <c r="T188" s="183"/>
      <c r="U188" s="183"/>
      <c r="V188" s="183"/>
      <c r="W188" s="183"/>
      <c r="X188" s="183"/>
      <c r="Y188" s="183"/>
      <c r="Z188" s="183"/>
    </row>
    <row r="189" spans="1:33" ht="15.75" customHeight="1">
      <c r="A189" s="221" t="s">
        <v>786</v>
      </c>
      <c r="B189" s="576" t="s">
        <v>1408</v>
      </c>
      <c r="C189" s="590" t="s">
        <v>1409</v>
      </c>
      <c r="D189" s="200" t="s">
        <v>1410</v>
      </c>
      <c r="E189" s="225">
        <v>45667</v>
      </c>
      <c r="F189" s="591">
        <v>45670</v>
      </c>
      <c r="G189" s="224"/>
      <c r="H189" s="591">
        <v>45674</v>
      </c>
      <c r="I189" s="203">
        <f ca="1">IF(ISBLANK(H189), NETWORKDAYS(F189, TODAY(),fESTIVOS!$A$1:$A$18), NETWORKDAYS(F189, H189, fESTIVOS!$A$1:$A$18))</f>
        <v>5</v>
      </c>
      <c r="J189" s="224"/>
      <c r="K189" s="224"/>
      <c r="L189" s="224" t="s">
        <v>1411</v>
      </c>
    </row>
    <row r="190" spans="1:33" ht="15.75" customHeight="1">
      <c r="A190" s="182" t="s">
        <v>761</v>
      </c>
      <c r="B190" s="588" t="s">
        <v>1412</v>
      </c>
      <c r="C190" s="401"/>
      <c r="D190" s="415" t="s">
        <v>1155</v>
      </c>
      <c r="E190" s="193">
        <v>45678</v>
      </c>
      <c r="F190" s="193">
        <v>45681</v>
      </c>
      <c r="G190" s="193"/>
      <c r="H190" s="193">
        <v>45681</v>
      </c>
      <c r="I190" s="195">
        <f ca="1">IF(ISBLANK(H190), NETWORKDAYS(F190, TODAY(),fESTIVOS!$A$1:$A$18), NETWORKDAYS(F190, H190, fESTIVOS!$A$1:$A$18))</f>
        <v>1</v>
      </c>
      <c r="J190" s="193">
        <v>45686</v>
      </c>
      <c r="K190" s="193">
        <v>45686</v>
      </c>
      <c r="L190" s="196" t="s">
        <v>1413</v>
      </c>
      <c r="M190" s="183"/>
      <c r="N190" s="183"/>
      <c r="O190" s="183"/>
      <c r="P190" s="183"/>
      <c r="Q190" s="183"/>
      <c r="R190" s="183"/>
      <c r="S190" s="183"/>
      <c r="T190" s="183"/>
      <c r="U190" s="183"/>
      <c r="V190" s="183"/>
      <c r="W190" s="183"/>
      <c r="X190" s="183"/>
      <c r="Y190" s="183"/>
      <c r="Z190" s="183"/>
    </row>
    <row r="191" spans="1:33" ht="15.75" customHeight="1">
      <c r="A191" s="206" t="s">
        <v>776</v>
      </c>
      <c r="B191" s="221" t="s">
        <v>1414</v>
      </c>
      <c r="C191" s="221"/>
      <c r="D191" s="200" t="s">
        <v>1155</v>
      </c>
      <c r="E191" s="225">
        <v>45666</v>
      </c>
      <c r="F191" s="207">
        <v>45685</v>
      </c>
      <c r="G191" s="200" t="s">
        <v>1415</v>
      </c>
      <c r="H191" s="207">
        <v>45686</v>
      </c>
      <c r="I191" s="203">
        <f ca="1">IF(ISBLANK(H191), NETWORKDAYS(F191, TODAY(),fESTIVOS!$A$1:$A$18), NETWORKDAYS(F191, H191, fESTIVOS!$A$1:$A$18))</f>
        <v>2</v>
      </c>
      <c r="J191" s="207">
        <v>45686</v>
      </c>
      <c r="K191" s="207">
        <v>45688</v>
      </c>
      <c r="L191" s="506" t="s">
        <v>1416</v>
      </c>
      <c r="M191" s="418"/>
      <c r="N191" s="183"/>
      <c r="O191" s="183"/>
      <c r="P191" s="183"/>
      <c r="Q191" s="183"/>
      <c r="R191" s="183"/>
      <c r="S191" s="183"/>
      <c r="T191" s="183"/>
      <c r="U191" s="183"/>
      <c r="V191" s="183"/>
      <c r="W191" s="183"/>
      <c r="X191" s="183"/>
      <c r="Y191" s="183"/>
      <c r="Z191" s="183"/>
    </row>
    <row r="192" spans="1:33" ht="15.75" customHeight="1">
      <c r="A192" s="206" t="s">
        <v>1034</v>
      </c>
      <c r="B192" s="199" t="s">
        <v>1417</v>
      </c>
      <c r="C192" s="224"/>
      <c r="D192" s="447" t="s">
        <v>37</v>
      </c>
      <c r="E192" s="225">
        <v>45687</v>
      </c>
      <c r="F192" s="225">
        <v>45687</v>
      </c>
      <c r="G192" s="225"/>
      <c r="H192" s="225">
        <v>45687</v>
      </c>
      <c r="I192" s="203">
        <f ca="1">IF(ISBLANK(H192), NETWORKDAYS(F192, TODAY(),fESTIVOS!$A$1:$A$18), NETWORKDAYS(F192, H192, fESTIVOS!$A$1:$A$18))</f>
        <v>1</v>
      </c>
      <c r="J192" s="225"/>
      <c r="K192" s="225"/>
      <c r="L192" s="448" t="s">
        <v>1418</v>
      </c>
      <c r="M192" s="418"/>
      <c r="N192" s="183"/>
      <c r="O192" s="183"/>
      <c r="P192" s="183"/>
      <c r="Q192" s="183"/>
      <c r="R192" s="183"/>
      <c r="S192" s="183"/>
      <c r="T192" s="183"/>
      <c r="U192" s="183"/>
      <c r="V192" s="183"/>
      <c r="W192" s="183"/>
      <c r="X192" s="183"/>
      <c r="Y192" s="183"/>
      <c r="Z192" s="183"/>
    </row>
    <row r="193" spans="1:26" ht="15.75" customHeight="1">
      <c r="A193" s="221" t="s">
        <v>786</v>
      </c>
      <c r="B193" s="221" t="s">
        <v>1419</v>
      </c>
      <c r="C193" s="223"/>
      <c r="D193" s="447" t="s">
        <v>1155</v>
      </c>
      <c r="E193" s="225">
        <v>45685</v>
      </c>
      <c r="F193" s="226">
        <v>45685</v>
      </c>
      <c r="G193" s="223"/>
      <c r="H193" s="592">
        <v>45687</v>
      </c>
      <c r="I193" s="203">
        <f ca="1">IF(ISBLANK(H193), NETWORKDAYS(F193, TODAY(),fESTIVOS!$A$1:$A$18), NETWORKDAYS(F193, H193, fESTIVOS!$A$1:$A$18))</f>
        <v>3</v>
      </c>
      <c r="J193" s="592">
        <v>45687</v>
      </c>
      <c r="K193" s="592">
        <v>45687</v>
      </c>
      <c r="L193" s="227" t="s">
        <v>1420</v>
      </c>
      <c r="M193" s="228"/>
      <c r="N193" s="228"/>
      <c r="O193" s="228"/>
      <c r="P193" s="228"/>
      <c r="Q193" s="228"/>
      <c r="R193" s="228"/>
      <c r="S193" s="228"/>
      <c r="T193" s="228"/>
      <c r="U193" s="228"/>
      <c r="V193" s="228"/>
      <c r="W193" s="228"/>
      <c r="X193" s="228"/>
      <c r="Y193" s="228"/>
      <c r="Z193" s="228"/>
    </row>
    <row r="194" spans="1:26" ht="15" customHeight="1">
      <c r="A194" s="221" t="s">
        <v>786</v>
      </c>
      <c r="B194" s="576" t="s">
        <v>1408</v>
      </c>
      <c r="C194" s="495" t="s">
        <v>1421</v>
      </c>
      <c r="D194" s="200" t="s">
        <v>1410</v>
      </c>
      <c r="E194" s="225">
        <v>45681</v>
      </c>
      <c r="F194" s="225">
        <v>45681</v>
      </c>
      <c r="G194" s="225"/>
      <c r="H194" s="225">
        <v>45681</v>
      </c>
      <c r="I194" s="203">
        <f ca="1">IF(ISBLANK(H194), NETWORKDAYS(F194, TODAY(),fESTIVOS!$A$1:$A$18), NETWORKDAYS(F194, H194, fESTIVOS!$A$1:$A$18))</f>
        <v>1</v>
      </c>
      <c r="J194" s="225">
        <v>45681</v>
      </c>
      <c r="K194" s="225"/>
      <c r="L194" s="448"/>
    </row>
    <row r="195" spans="1:26" ht="15.75" customHeight="1">
      <c r="A195" s="206" t="s">
        <v>776</v>
      </c>
      <c r="B195" s="206" t="s">
        <v>1422</v>
      </c>
      <c r="C195" s="221"/>
      <c r="D195" s="200" t="s">
        <v>37</v>
      </c>
      <c r="E195" s="225">
        <v>45685</v>
      </c>
      <c r="F195" s="207">
        <v>45685</v>
      </c>
      <c r="G195" s="200"/>
      <c r="H195" s="207">
        <v>45688</v>
      </c>
      <c r="I195" s="203">
        <f ca="1">IF(ISBLANK(H195), NETWORKDAYS(F195, TODAY(),fESTIVOS!$A$1:$A$18), NETWORKDAYS(F195, H195, fESTIVOS!$A$1:$A$18))</f>
        <v>4</v>
      </c>
      <c r="J195" s="207">
        <v>45688</v>
      </c>
      <c r="K195" s="207">
        <v>45688</v>
      </c>
      <c r="L195" s="506" t="s">
        <v>1423</v>
      </c>
      <c r="M195" s="418"/>
      <c r="N195" s="183"/>
      <c r="O195" s="183"/>
      <c r="P195" s="183"/>
      <c r="Q195" s="183"/>
      <c r="R195" s="183"/>
      <c r="S195" s="183"/>
      <c r="T195" s="183"/>
      <c r="U195" s="183"/>
      <c r="V195" s="183"/>
      <c r="W195" s="183"/>
      <c r="X195" s="183"/>
      <c r="Y195" s="183"/>
      <c r="Z195" s="183"/>
    </row>
    <row r="196" spans="1:26" ht="15.75" customHeight="1">
      <c r="A196" s="593" t="s">
        <v>761</v>
      </c>
      <c r="B196" s="594" t="s">
        <v>1424</v>
      </c>
      <c r="C196" s="595"/>
      <c r="D196" s="596" t="s">
        <v>1155</v>
      </c>
      <c r="E196" s="597">
        <v>45610</v>
      </c>
      <c r="F196" s="597">
        <v>45629</v>
      </c>
      <c r="G196" s="597"/>
      <c r="H196" s="597">
        <v>45636</v>
      </c>
      <c r="I196" s="598">
        <f ca="1">IF(ISBLANK(H196), NETWORKDAYS(F196, TODAY(),fESTIVOS!$A$1:$A$18), NETWORKDAYS(F196, H196, fESTIVOS!$A$1:$A$18))</f>
        <v>6</v>
      </c>
      <c r="J196" s="597">
        <v>45636</v>
      </c>
      <c r="K196" s="597">
        <v>45691</v>
      </c>
      <c r="L196" s="599" t="s">
        <v>1425</v>
      </c>
      <c r="M196" s="183"/>
      <c r="N196" s="183"/>
      <c r="O196" s="183"/>
      <c r="P196" s="183"/>
      <c r="Q196" s="183"/>
      <c r="R196" s="183"/>
      <c r="S196" s="183"/>
      <c r="T196" s="183"/>
      <c r="U196" s="183"/>
      <c r="V196" s="183"/>
      <c r="W196" s="183"/>
      <c r="X196" s="183"/>
      <c r="Y196" s="183"/>
      <c r="Z196" s="183"/>
    </row>
    <row r="197" spans="1:26" ht="15.75" customHeight="1">
      <c r="A197" s="600" t="s">
        <v>761</v>
      </c>
      <c r="B197" s="420" t="s">
        <v>1426</v>
      </c>
      <c r="C197" s="430" t="s">
        <v>1427</v>
      </c>
      <c r="D197" s="431" t="s">
        <v>1155</v>
      </c>
      <c r="E197" s="463">
        <v>45688</v>
      </c>
      <c r="F197" s="463">
        <v>45688</v>
      </c>
      <c r="G197" s="463"/>
      <c r="H197" s="463">
        <v>45688</v>
      </c>
      <c r="I197" s="408">
        <f ca="1">IF(ISBLANK(H197), NETWORKDAYS(F197, TODAY(),fESTIVOS!$A$1:$A$18), NETWORKDAYS(F197, H197, fESTIVOS!$A$1:$A$18))</f>
        <v>1</v>
      </c>
      <c r="J197" s="463"/>
      <c r="K197" s="463">
        <v>45688</v>
      </c>
      <c r="L197" s="601" t="s">
        <v>1428</v>
      </c>
      <c r="M197" s="183"/>
      <c r="N197" s="183"/>
      <c r="O197" s="183"/>
      <c r="P197" s="183"/>
      <c r="Q197" s="183"/>
      <c r="R197" s="183"/>
      <c r="S197" s="183"/>
      <c r="T197" s="183"/>
      <c r="U197" s="183"/>
      <c r="V197" s="183"/>
      <c r="W197" s="183"/>
      <c r="X197" s="183"/>
      <c r="Y197" s="183"/>
      <c r="Z197" s="183"/>
    </row>
    <row r="198" spans="1:26" ht="15.75" customHeight="1">
      <c r="A198" s="600" t="s">
        <v>761</v>
      </c>
      <c r="B198" s="429"/>
      <c r="C198" s="602" t="s">
        <v>1429</v>
      </c>
      <c r="D198" s="431" t="s">
        <v>1155</v>
      </c>
      <c r="E198" s="463">
        <v>45555</v>
      </c>
      <c r="F198" s="463">
        <v>45555</v>
      </c>
      <c r="G198" s="463"/>
      <c r="H198" s="463">
        <v>45688</v>
      </c>
      <c r="I198" s="408">
        <f ca="1">IF(ISBLANK(H198), NETWORKDAYS(F198, TODAY(),fESTIVOS!$A$1:$A$18), NETWORKDAYS(F198, H198, fESTIVOS!$A$1:$A$18))</f>
        <v>92</v>
      </c>
      <c r="J198" s="463"/>
      <c r="K198" s="463">
        <v>45688</v>
      </c>
      <c r="L198" s="464" t="s">
        <v>1430</v>
      </c>
      <c r="M198" s="183"/>
      <c r="N198" s="183"/>
      <c r="O198" s="183"/>
      <c r="P198" s="183"/>
      <c r="Q198" s="183"/>
      <c r="R198" s="183"/>
      <c r="S198" s="183"/>
      <c r="T198" s="183"/>
      <c r="U198" s="183"/>
      <c r="V198" s="183"/>
      <c r="W198" s="183"/>
      <c r="X198" s="183"/>
      <c r="Y198" s="183"/>
      <c r="Z198" s="183"/>
    </row>
    <row r="199" spans="1:26" ht="15.75" customHeight="1">
      <c r="A199" s="182" t="s">
        <v>761</v>
      </c>
      <c r="B199" s="429"/>
      <c r="C199" s="603" t="s">
        <v>1431</v>
      </c>
      <c r="D199" s="431" t="s">
        <v>1155</v>
      </c>
      <c r="E199" s="193">
        <v>45566</v>
      </c>
      <c r="F199" s="193">
        <v>45568</v>
      </c>
      <c r="G199" s="193"/>
      <c r="H199" s="463">
        <v>45688</v>
      </c>
      <c r="I199" s="195">
        <f ca="1">IF(ISBLANK(H199), NETWORKDAYS(F199, TODAY(),fESTIVOS!$A$1:$A$18), NETWORKDAYS(F199, H199, fESTIVOS!$A$1:$A$18))</f>
        <v>83</v>
      </c>
      <c r="J199" s="193"/>
      <c r="K199" s="463">
        <v>45688</v>
      </c>
      <c r="L199" s="196" t="s">
        <v>1432</v>
      </c>
      <c r="M199" s="183"/>
      <c r="N199" s="183"/>
      <c r="O199" s="183"/>
      <c r="P199" s="183"/>
      <c r="Q199" s="183"/>
      <c r="R199" s="183"/>
      <c r="S199" s="183"/>
      <c r="T199" s="183"/>
      <c r="U199" s="183"/>
      <c r="V199" s="183"/>
      <c r="W199" s="183"/>
      <c r="X199" s="183"/>
      <c r="Y199" s="183"/>
      <c r="Z199" s="183"/>
    </row>
    <row r="200" spans="1:26" ht="15.75" customHeight="1">
      <c r="A200" s="182" t="s">
        <v>761</v>
      </c>
      <c r="B200" s="544"/>
      <c r="C200" s="603" t="s">
        <v>1433</v>
      </c>
      <c r="D200" s="431" t="s">
        <v>1155</v>
      </c>
      <c r="E200" s="193">
        <v>45566</v>
      </c>
      <c r="F200" s="193">
        <v>45566</v>
      </c>
      <c r="G200" s="193"/>
      <c r="H200" s="463">
        <v>45688</v>
      </c>
      <c r="I200" s="195">
        <f ca="1">IF(ISBLANK(H200), NETWORKDAYS(F200, TODAY(),fESTIVOS!$A$1:$A$18), NETWORKDAYS(F200, H200, fESTIVOS!$A$1:$A$18))</f>
        <v>85</v>
      </c>
      <c r="J200" s="193"/>
      <c r="K200" s="463">
        <v>45688</v>
      </c>
      <c r="L200" s="416" t="s">
        <v>1434</v>
      </c>
      <c r="M200" s="183"/>
      <c r="N200" s="183"/>
      <c r="O200" s="183"/>
      <c r="P200" s="183"/>
      <c r="Q200" s="183"/>
      <c r="R200" s="183"/>
      <c r="S200" s="183"/>
      <c r="T200" s="183"/>
      <c r="U200" s="183"/>
      <c r="V200" s="183"/>
      <c r="W200" s="183"/>
      <c r="X200" s="183"/>
      <c r="Y200" s="183"/>
      <c r="Z200" s="183"/>
    </row>
    <row r="201" spans="1:26" ht="15.75" customHeight="1">
      <c r="A201" s="182" t="s">
        <v>761</v>
      </c>
      <c r="B201" s="216" t="s">
        <v>1435</v>
      </c>
      <c r="C201" s="401"/>
      <c r="D201" s="415" t="s">
        <v>1155</v>
      </c>
      <c r="E201" s="193">
        <v>45386</v>
      </c>
      <c r="F201" s="193">
        <v>45386</v>
      </c>
      <c r="G201" s="193"/>
      <c r="H201" s="193">
        <v>45688</v>
      </c>
      <c r="I201" s="195">
        <f ca="1">IF(ISBLANK(H201), NETWORKDAYS(F201, TODAY(),fESTIVOS!$A$1:$A$18), NETWORKDAYS(F201, H201, fESTIVOS!$A$1:$A$18))</f>
        <v>206</v>
      </c>
      <c r="J201" s="193"/>
      <c r="K201" s="193">
        <v>45688</v>
      </c>
      <c r="L201" s="196" t="s">
        <v>1436</v>
      </c>
      <c r="M201" s="183"/>
      <c r="N201" s="183"/>
      <c r="O201" s="183"/>
      <c r="P201" s="183"/>
      <c r="Q201" s="183"/>
      <c r="R201" s="183"/>
      <c r="S201" s="183"/>
      <c r="T201" s="183"/>
      <c r="U201" s="183"/>
      <c r="V201" s="183"/>
      <c r="W201" s="183"/>
      <c r="X201" s="183"/>
      <c r="Y201" s="183"/>
      <c r="Z201" s="183"/>
    </row>
    <row r="202" spans="1:26" ht="15.75" customHeight="1">
      <c r="A202" s="417" t="s">
        <v>1034</v>
      </c>
      <c r="B202" s="420" t="s">
        <v>1374</v>
      </c>
      <c r="C202" s="511"/>
      <c r="D202" s="447" t="s">
        <v>1155</v>
      </c>
      <c r="E202" s="193">
        <v>45602</v>
      </c>
      <c r="F202" s="465">
        <v>45624</v>
      </c>
      <c r="G202" s="193">
        <v>45630</v>
      </c>
      <c r="H202" s="193">
        <v>45646</v>
      </c>
      <c r="I202" s="195">
        <f ca="1">IF(ISBLANK(H202), NETWORKDAYS(F202, TODAY(),fESTIVOS!$A$1:$A$18), NETWORKDAYS(F202, H202, fESTIVOS!$A$1:$A$18))</f>
        <v>17</v>
      </c>
      <c r="J202" s="193">
        <v>45646</v>
      </c>
      <c r="K202" s="465">
        <v>45692</v>
      </c>
      <c r="L202" s="413" t="s">
        <v>1437</v>
      </c>
      <c r="M202" s="453"/>
      <c r="N202" s="189"/>
      <c r="O202" s="189"/>
      <c r="P202" s="189"/>
      <c r="Q202" s="189"/>
      <c r="R202" s="189"/>
      <c r="S202" s="189"/>
      <c r="T202" s="189"/>
      <c r="U202" s="189"/>
      <c r="V202" s="189"/>
      <c r="W202" s="189"/>
      <c r="X202" s="189"/>
      <c r="Y202" s="189"/>
      <c r="Z202" s="189"/>
    </row>
    <row r="203" spans="1:26" ht="15" customHeight="1">
      <c r="A203" s="417" t="s">
        <v>1034</v>
      </c>
      <c r="B203" s="429"/>
      <c r="C203" s="367" t="s">
        <v>1438</v>
      </c>
      <c r="D203" s="431" t="s">
        <v>39</v>
      </c>
      <c r="E203" s="463">
        <v>45602</v>
      </c>
      <c r="F203" s="432">
        <v>45625</v>
      </c>
      <c r="G203" s="463"/>
      <c r="H203" s="431"/>
      <c r="I203" s="469">
        <f ca="1">IF(ISBLANK(H203), NETWORKDAYS(F203, TODAY(),fESTIVOS!$A$1:$A$18), NETWORKDAYS(F203, H203, fESTIVOS!$A$1:$A$18))</f>
        <v>408</v>
      </c>
      <c r="J203" s="441"/>
      <c r="K203" s="441"/>
      <c r="L203" s="433" t="s">
        <v>1439</v>
      </c>
      <c r="M203" s="453"/>
      <c r="N203" s="189"/>
      <c r="O203" s="189"/>
      <c r="P203" s="189"/>
      <c r="Q203" s="189"/>
      <c r="R203" s="189"/>
      <c r="S203" s="189"/>
      <c r="T203" s="189"/>
      <c r="U203" s="189"/>
      <c r="V203" s="189"/>
      <c r="W203" s="189"/>
      <c r="X203" s="189"/>
      <c r="Y203" s="189"/>
      <c r="Z203" s="189"/>
    </row>
    <row r="204" spans="1:26" ht="15.75" customHeight="1">
      <c r="A204" s="417" t="s">
        <v>1034</v>
      </c>
      <c r="B204" s="429"/>
      <c r="C204" s="604" t="s">
        <v>1440</v>
      </c>
      <c r="D204" s="194" t="s">
        <v>37</v>
      </c>
      <c r="E204" s="491">
        <v>45632</v>
      </c>
      <c r="F204" s="465">
        <v>45642</v>
      </c>
      <c r="G204" s="193"/>
      <c r="H204" s="193">
        <v>45642</v>
      </c>
      <c r="I204" s="195">
        <f ca="1">IF(ISBLANK(H204), NETWORKDAYS(F204, TODAY(),fESTIVOS!$A$1:$A$18), NETWORKDAYS(F204, H204, fESTIVOS!$A$1:$A$18))</f>
        <v>1</v>
      </c>
      <c r="J204" s="193">
        <v>45643</v>
      </c>
      <c r="K204" s="452"/>
      <c r="L204" s="413"/>
      <c r="M204" s="453"/>
      <c r="N204" s="189"/>
      <c r="O204" s="189"/>
      <c r="P204" s="189"/>
      <c r="Q204" s="189"/>
      <c r="R204" s="189"/>
      <c r="S204" s="189"/>
      <c r="T204" s="189"/>
      <c r="U204" s="189"/>
      <c r="V204" s="189"/>
      <c r="W204" s="189"/>
      <c r="X204" s="189"/>
      <c r="Y204" s="189"/>
      <c r="Z204" s="189"/>
    </row>
    <row r="205" spans="1:26" ht="15.75" customHeight="1">
      <c r="A205" s="417" t="s">
        <v>1034</v>
      </c>
      <c r="B205" s="429"/>
      <c r="C205" s="604" t="s">
        <v>1441</v>
      </c>
      <c r="D205" s="194" t="s">
        <v>37</v>
      </c>
      <c r="E205" s="491">
        <v>45632</v>
      </c>
      <c r="F205" s="465">
        <v>45642</v>
      </c>
      <c r="G205" s="193"/>
      <c r="H205" s="193">
        <v>45642</v>
      </c>
      <c r="I205" s="195">
        <f ca="1">IF(ISBLANK(H205), NETWORKDAYS(F205, TODAY(),fESTIVOS!$A$1:$A$18), NETWORKDAYS(F205, H205, fESTIVOS!$A$1:$A$18))</f>
        <v>1</v>
      </c>
      <c r="J205" s="193">
        <v>45643</v>
      </c>
      <c r="K205" s="452"/>
      <c r="L205" s="413"/>
      <c r="M205" s="453"/>
      <c r="N205" s="189"/>
      <c r="O205" s="189"/>
      <c r="P205" s="189"/>
      <c r="Q205" s="189"/>
      <c r="R205" s="189"/>
      <c r="S205" s="189"/>
      <c r="T205" s="189"/>
      <c r="U205" s="189"/>
      <c r="V205" s="189"/>
      <c r="W205" s="189"/>
      <c r="X205" s="189"/>
      <c r="Y205" s="189"/>
      <c r="Z205" s="189"/>
    </row>
    <row r="206" spans="1:26" ht="15.75" customHeight="1">
      <c r="A206" s="417" t="s">
        <v>1034</v>
      </c>
      <c r="B206" s="429"/>
      <c r="C206" s="605" t="s">
        <v>1442</v>
      </c>
      <c r="D206" s="415" t="s">
        <v>1155</v>
      </c>
      <c r="E206" s="491">
        <v>45632</v>
      </c>
      <c r="F206" s="465">
        <v>45632</v>
      </c>
      <c r="G206" s="193"/>
      <c r="H206" s="412">
        <v>45635</v>
      </c>
      <c r="I206" s="195">
        <f ca="1">IF(ISBLANK(H206), NETWORKDAYS(F206, TODAY(),fESTIVOS!$A$1:$A$18), NETWORKDAYS(F206, H206, fESTIVOS!$A$1:$A$18))</f>
        <v>2</v>
      </c>
      <c r="J206" s="412">
        <v>45635</v>
      </c>
      <c r="K206" s="412">
        <v>45636</v>
      </c>
      <c r="L206" s="413" t="s">
        <v>1443</v>
      </c>
      <c r="M206" s="453"/>
      <c r="N206" s="189"/>
      <c r="O206" s="189"/>
      <c r="P206" s="189"/>
      <c r="Q206" s="189"/>
      <c r="R206" s="189"/>
      <c r="S206" s="189"/>
      <c r="T206" s="189"/>
      <c r="U206" s="189"/>
      <c r="V206" s="189"/>
      <c r="W206" s="189"/>
      <c r="X206" s="189"/>
      <c r="Y206" s="189"/>
      <c r="Z206" s="189"/>
    </row>
    <row r="207" spans="1:26" ht="15.75" customHeight="1">
      <c r="A207" s="417" t="s">
        <v>1034</v>
      </c>
      <c r="B207" s="429"/>
      <c r="C207" s="231" t="s">
        <v>1444</v>
      </c>
      <c r="D207" s="415" t="s">
        <v>37</v>
      </c>
      <c r="E207" s="193">
        <v>45644</v>
      </c>
      <c r="F207" s="465">
        <v>45644</v>
      </c>
      <c r="G207" s="193"/>
      <c r="H207" s="412">
        <v>45646</v>
      </c>
      <c r="I207" s="195">
        <f ca="1">IF(ISBLANK(H207), NETWORKDAYS(F207, TODAY(),fESTIVOS!$A$1:$A$18), NETWORKDAYS(F207, H207, fESTIVOS!$A$1:$A$18))</f>
        <v>3</v>
      </c>
      <c r="J207" s="412"/>
      <c r="K207" s="412"/>
      <c r="L207" s="413" t="s">
        <v>1445</v>
      </c>
      <c r="M207" s="453"/>
      <c r="N207" s="189"/>
      <c r="O207" s="189"/>
      <c r="P207" s="189"/>
      <c r="Q207" s="189"/>
      <c r="R207" s="189"/>
      <c r="S207" s="189"/>
      <c r="T207" s="189"/>
      <c r="U207" s="189"/>
      <c r="V207" s="189"/>
      <c r="W207" s="189"/>
      <c r="X207" s="189"/>
      <c r="Y207" s="189"/>
      <c r="Z207" s="189"/>
    </row>
    <row r="208" spans="1:26" ht="15.75" customHeight="1">
      <c r="A208" s="206" t="s">
        <v>1034</v>
      </c>
      <c r="B208" s="544"/>
      <c r="C208" s="199" t="s">
        <v>1446</v>
      </c>
      <c r="D208" s="447" t="s">
        <v>46</v>
      </c>
      <c r="E208" s="225">
        <v>45660</v>
      </c>
      <c r="F208" s="225">
        <v>45660</v>
      </c>
      <c r="G208" s="225"/>
      <c r="H208" s="225">
        <v>45664</v>
      </c>
      <c r="I208" s="203">
        <f ca="1">IF(ISBLANK(H208), NETWORKDAYS(F208, TODAY(),fESTIVOS!$A$1:$A$18), NETWORKDAYS(F208, H208, fESTIVOS!$A$1:$A$18))</f>
        <v>3</v>
      </c>
      <c r="J208" s="225">
        <v>45664</v>
      </c>
      <c r="K208" s="225"/>
      <c r="L208" s="448" t="s">
        <v>1447</v>
      </c>
      <c r="M208" s="418"/>
      <c r="N208" s="183"/>
      <c r="O208" s="183"/>
      <c r="P208" s="183"/>
      <c r="Q208" s="183"/>
      <c r="R208" s="183"/>
      <c r="S208" s="183"/>
      <c r="T208" s="183"/>
      <c r="U208" s="183"/>
      <c r="V208" s="183"/>
      <c r="W208" s="183"/>
      <c r="X208" s="183"/>
      <c r="Y208" s="183"/>
      <c r="Z208" s="183"/>
    </row>
    <row r="209" spans="1:26" ht="15.75" customHeight="1">
      <c r="A209" s="565" t="s">
        <v>786</v>
      </c>
      <c r="B209" s="606" t="s">
        <v>1408</v>
      </c>
      <c r="C209" s="607" t="s">
        <v>1448</v>
      </c>
      <c r="D209" s="200" t="s">
        <v>1410</v>
      </c>
      <c r="E209" s="460">
        <v>45572</v>
      </c>
      <c r="F209" s="460">
        <v>45573</v>
      </c>
      <c r="G209" s="460">
        <v>45572</v>
      </c>
      <c r="H209" s="460">
        <v>45574</v>
      </c>
      <c r="I209" s="552">
        <f ca="1">IF(ISBLANK(H209), NETWORKDAYS(F209, TODAY(),fESTIVOS!$A$1:$A$18), NETWORKDAYS(F209, H209, fESTIVOS!$A$1:$A$18))</f>
        <v>2</v>
      </c>
      <c r="J209" s="460">
        <v>45629</v>
      </c>
      <c r="K209" s="460"/>
      <c r="L209" s="461" t="s">
        <v>1449</v>
      </c>
      <c r="M209" s="418"/>
      <c r="N209" s="183"/>
      <c r="O209" s="183"/>
      <c r="P209" s="183"/>
      <c r="Q209" s="183"/>
      <c r="R209" s="183"/>
      <c r="S209" s="183"/>
      <c r="T209" s="183"/>
      <c r="U209" s="183"/>
      <c r="V209" s="183"/>
      <c r="W209" s="183"/>
      <c r="X209" s="183"/>
      <c r="Y209" s="183"/>
      <c r="Z209" s="183"/>
    </row>
    <row r="210" spans="1:26" ht="15.75" customHeight="1">
      <c r="A210" s="221" t="s">
        <v>786</v>
      </c>
      <c r="B210" s="606" t="s">
        <v>1408</v>
      </c>
      <c r="C210" s="224" t="s">
        <v>1450</v>
      </c>
      <c r="D210" s="200" t="s">
        <v>1410</v>
      </c>
      <c r="E210" s="225">
        <v>45574</v>
      </c>
      <c r="F210" s="225">
        <v>45574</v>
      </c>
      <c r="G210" s="225">
        <v>45582</v>
      </c>
      <c r="H210" s="503">
        <v>45596</v>
      </c>
      <c r="I210" s="203">
        <f ca="1">IF(ISBLANK(H210), NETWORKDAYS(F210, TODAY(),fESTIVOS!$A$1:$A$18), NETWORKDAYS(F210, H210, fESTIVOS!$A$1:$A$18))</f>
        <v>16</v>
      </c>
      <c r="J210" s="460">
        <v>45629</v>
      </c>
      <c r="K210" s="225"/>
      <c r="L210" s="448" t="s">
        <v>1451</v>
      </c>
      <c r="M210" s="418"/>
      <c r="N210" s="183"/>
      <c r="O210" s="183"/>
      <c r="P210" s="183"/>
      <c r="Q210" s="183"/>
      <c r="R210" s="183"/>
      <c r="S210" s="183"/>
      <c r="T210" s="183"/>
      <c r="U210" s="183"/>
      <c r="V210" s="183"/>
      <c r="W210" s="183"/>
      <c r="X210" s="183"/>
      <c r="Y210" s="183"/>
      <c r="Z210" s="183"/>
    </row>
    <row r="211" spans="1:26" ht="15.75" customHeight="1">
      <c r="A211" s="500" t="s">
        <v>786</v>
      </c>
      <c r="B211" s="606" t="s">
        <v>1408</v>
      </c>
      <c r="C211" s="531" t="s">
        <v>1452</v>
      </c>
      <c r="D211" s="200" t="s">
        <v>1410</v>
      </c>
      <c r="E211" s="503">
        <v>45574</v>
      </c>
      <c r="F211" s="503">
        <v>45574</v>
      </c>
      <c r="G211" s="503">
        <v>45582</v>
      </c>
      <c r="H211" s="503">
        <v>45596</v>
      </c>
      <c r="I211" s="504">
        <f ca="1">IF(ISBLANK(H211), NETWORKDAYS(F211, TODAY(),fESTIVOS!$A$1:$A$18), NETWORKDAYS(F211, H211, fESTIVOS!$A$1:$A$18))</f>
        <v>16</v>
      </c>
      <c r="J211" s="460">
        <v>45629</v>
      </c>
      <c r="K211" s="503"/>
      <c r="L211" s="505" t="s">
        <v>1453</v>
      </c>
      <c r="M211" s="418"/>
      <c r="N211" s="183"/>
      <c r="O211" s="183"/>
      <c r="P211" s="183"/>
      <c r="Q211" s="183"/>
      <c r="R211" s="183"/>
      <c r="S211" s="183"/>
      <c r="T211" s="183"/>
      <c r="U211" s="183"/>
      <c r="V211" s="183"/>
      <c r="W211" s="183"/>
      <c r="X211" s="183"/>
      <c r="Y211" s="183"/>
      <c r="Z211" s="183"/>
    </row>
    <row r="212" spans="1:26" ht="15.75" customHeight="1">
      <c r="A212" s="500" t="s">
        <v>786</v>
      </c>
      <c r="B212" s="606" t="s">
        <v>1408</v>
      </c>
      <c r="C212" s="558" t="s">
        <v>1454</v>
      </c>
      <c r="D212" s="200" t="s">
        <v>1410</v>
      </c>
      <c r="E212" s="503">
        <v>45574</v>
      </c>
      <c r="F212" s="503">
        <v>45594</v>
      </c>
      <c r="G212" s="503">
        <v>45595</v>
      </c>
      <c r="H212" s="503">
        <v>45596</v>
      </c>
      <c r="I212" s="504">
        <f ca="1">IF(ISBLANK(H212), NETWORKDAYS(F212, TODAY(),fESTIVOS!$A$1:$A$18), NETWORKDAYS(F212, H212, fESTIVOS!$A$1:$A$18))</f>
        <v>3</v>
      </c>
      <c r="J212" s="460">
        <v>45629</v>
      </c>
      <c r="K212" s="503"/>
      <c r="L212" s="505" t="s">
        <v>1455</v>
      </c>
      <c r="M212" s="418"/>
      <c r="N212" s="183"/>
      <c r="O212" s="183"/>
      <c r="P212" s="183"/>
      <c r="Q212" s="183"/>
      <c r="R212" s="183"/>
      <c r="S212" s="183"/>
      <c r="T212" s="183"/>
      <c r="U212" s="183"/>
      <c r="V212" s="183"/>
      <c r="W212" s="183"/>
      <c r="X212" s="183"/>
      <c r="Y212" s="183"/>
      <c r="Z212" s="183"/>
    </row>
    <row r="213" spans="1:26" ht="15.75" customHeight="1">
      <c r="A213" s="221" t="s">
        <v>786</v>
      </c>
      <c r="B213" s="606" t="s">
        <v>1408</v>
      </c>
      <c r="C213" s="224" t="s">
        <v>1456</v>
      </c>
      <c r="D213" s="200" t="s">
        <v>1410</v>
      </c>
      <c r="E213" s="225">
        <v>45574</v>
      </c>
      <c r="F213" s="225">
        <v>45597</v>
      </c>
      <c r="G213" s="225">
        <v>45601</v>
      </c>
      <c r="H213" s="225"/>
      <c r="I213" s="203">
        <f ca="1">IF(ISBLANK(H213), NETWORKDAYS(F213, TODAY(),fESTIVOS!$A$1:$A$18), NETWORKDAYS(F213, H213, fESTIVOS!$A$1:$A$18))</f>
        <v>426</v>
      </c>
      <c r="J213" s="460">
        <v>45629</v>
      </c>
      <c r="K213" s="225"/>
      <c r="L213" s="448" t="s">
        <v>1457</v>
      </c>
      <c r="M213" s="418"/>
      <c r="N213" s="183"/>
      <c r="O213" s="183"/>
      <c r="P213" s="183"/>
      <c r="Q213" s="183"/>
      <c r="R213" s="183"/>
      <c r="S213" s="183"/>
      <c r="T213" s="183"/>
      <c r="U213" s="183"/>
      <c r="V213" s="183"/>
      <c r="W213" s="183"/>
      <c r="X213" s="183"/>
      <c r="Y213" s="183"/>
      <c r="Z213" s="183"/>
    </row>
    <row r="214" spans="1:26" ht="15.75" customHeight="1">
      <c r="A214" s="221" t="s">
        <v>786</v>
      </c>
      <c r="B214" s="606" t="s">
        <v>1408</v>
      </c>
      <c r="C214" s="564" t="s">
        <v>1458</v>
      </c>
      <c r="D214" s="200" t="s">
        <v>1410</v>
      </c>
      <c r="E214" s="225">
        <v>45574</v>
      </c>
      <c r="F214" s="460">
        <v>45602</v>
      </c>
      <c r="G214" s="460">
        <v>45604</v>
      </c>
      <c r="H214" s="460">
        <v>45609</v>
      </c>
      <c r="I214" s="203">
        <f ca="1">IF(ISBLANK(H214), NETWORKDAYS(F214, TODAY(),fESTIVOS!$A$1:$A$18), NETWORKDAYS(F214, H214, fESTIVOS!$A$1:$A$18))</f>
        <v>5</v>
      </c>
      <c r="J214" s="460">
        <v>45629</v>
      </c>
      <c r="K214" s="460"/>
      <c r="L214" s="461" t="s">
        <v>1459</v>
      </c>
      <c r="M214" s="418"/>
      <c r="N214" s="183"/>
      <c r="O214" s="183"/>
      <c r="P214" s="183"/>
      <c r="Q214" s="183"/>
      <c r="R214" s="183"/>
      <c r="S214" s="183"/>
      <c r="T214" s="183"/>
      <c r="U214" s="183"/>
      <c r="V214" s="183"/>
      <c r="W214" s="183"/>
      <c r="X214" s="183"/>
      <c r="Y214" s="183"/>
      <c r="Z214" s="183"/>
    </row>
    <row r="215" spans="1:26" ht="15.75" customHeight="1">
      <c r="A215" s="221" t="s">
        <v>786</v>
      </c>
      <c r="B215" s="606" t="s">
        <v>1408</v>
      </c>
      <c r="C215" s="564" t="s">
        <v>1460</v>
      </c>
      <c r="D215" s="200" t="s">
        <v>1410</v>
      </c>
      <c r="E215" s="225">
        <v>45574</v>
      </c>
      <c r="F215" s="460">
        <v>45610</v>
      </c>
      <c r="G215" s="460">
        <v>45617</v>
      </c>
      <c r="H215" s="460">
        <v>45617</v>
      </c>
      <c r="I215" s="203">
        <f ca="1">IF(ISBLANK(H215), NETWORKDAYS(F215, TODAY(),fESTIVOS!$A$1:$A$18), NETWORKDAYS(F215, H215, fESTIVOS!$A$1:$A$18))</f>
        <v>6</v>
      </c>
      <c r="J215" s="460">
        <v>45629</v>
      </c>
      <c r="K215" s="460"/>
      <c r="L215" s="461" t="s">
        <v>1461</v>
      </c>
      <c r="M215" s="418"/>
      <c r="N215" s="183"/>
      <c r="O215" s="183"/>
      <c r="P215" s="183"/>
      <c r="Q215" s="183"/>
      <c r="R215" s="183"/>
      <c r="S215" s="183"/>
      <c r="T215" s="183"/>
      <c r="U215" s="183"/>
      <c r="V215" s="183"/>
      <c r="W215" s="183"/>
      <c r="X215" s="183"/>
      <c r="Y215" s="183"/>
      <c r="Z215" s="183"/>
    </row>
    <row r="216" spans="1:26" ht="15.75" customHeight="1">
      <c r="A216" s="221" t="s">
        <v>786</v>
      </c>
      <c r="B216" s="606" t="s">
        <v>1408</v>
      </c>
      <c r="C216" s="564" t="s">
        <v>1462</v>
      </c>
      <c r="D216" s="200" t="s">
        <v>1410</v>
      </c>
      <c r="E216" s="225">
        <v>45574</v>
      </c>
      <c r="F216" s="460">
        <v>45617</v>
      </c>
      <c r="G216" s="460">
        <v>45617</v>
      </c>
      <c r="H216" s="460">
        <v>45617</v>
      </c>
      <c r="I216" s="203">
        <f ca="1">IF(ISBLANK(H216), NETWORKDAYS(F216, TODAY(),fESTIVOS!$A$1:$A$18), NETWORKDAYS(F216, H216, fESTIVOS!$A$1:$A$18))</f>
        <v>1</v>
      </c>
      <c r="J216" s="460">
        <v>45629</v>
      </c>
      <c r="K216" s="460"/>
      <c r="L216" s="461" t="s">
        <v>1463</v>
      </c>
      <c r="M216" s="418"/>
      <c r="N216" s="183"/>
      <c r="O216" s="183"/>
      <c r="P216" s="183"/>
      <c r="Q216" s="183"/>
      <c r="R216" s="183"/>
      <c r="S216" s="183"/>
      <c r="T216" s="183"/>
      <c r="U216" s="183"/>
      <c r="V216" s="183"/>
      <c r="W216" s="183"/>
      <c r="X216" s="183"/>
      <c r="Y216" s="183"/>
      <c r="Z216" s="183"/>
    </row>
    <row r="217" spans="1:26" ht="15.75" customHeight="1">
      <c r="A217" s="221" t="s">
        <v>786</v>
      </c>
      <c r="B217" s="606" t="s">
        <v>1408</v>
      </c>
      <c r="C217" s="564" t="s">
        <v>1464</v>
      </c>
      <c r="D217" s="200" t="s">
        <v>1410</v>
      </c>
      <c r="E217" s="225">
        <v>45574</v>
      </c>
      <c r="F217" s="460">
        <v>45618</v>
      </c>
      <c r="G217" s="460">
        <v>45621</v>
      </c>
      <c r="H217" s="460">
        <v>45625</v>
      </c>
      <c r="I217" s="203">
        <f ca="1">IF(ISBLANK(H217), NETWORKDAYS(F217, TODAY(),fESTIVOS!$A$1:$A$18), NETWORKDAYS(F217, H217, fESTIVOS!$A$1:$A$18))</f>
        <v>6</v>
      </c>
      <c r="J217" s="460">
        <v>45629</v>
      </c>
      <c r="K217" s="460"/>
      <c r="L217" s="461" t="s">
        <v>1465</v>
      </c>
      <c r="M217" s="418"/>
      <c r="N217" s="183"/>
      <c r="O217" s="183"/>
      <c r="P217" s="183"/>
      <c r="Q217" s="183"/>
      <c r="R217" s="183"/>
      <c r="S217" s="183"/>
      <c r="T217" s="183"/>
      <c r="U217" s="183"/>
      <c r="V217" s="183"/>
      <c r="W217" s="183"/>
      <c r="X217" s="183"/>
      <c r="Y217" s="183"/>
      <c r="Z217" s="183"/>
    </row>
    <row r="218" spans="1:26" ht="15.75" customHeight="1">
      <c r="A218" s="221" t="s">
        <v>786</v>
      </c>
      <c r="B218" s="606" t="s">
        <v>1408</v>
      </c>
      <c r="C218" s="564" t="s">
        <v>1466</v>
      </c>
      <c r="D218" s="200" t="s">
        <v>1410</v>
      </c>
      <c r="E218" s="225">
        <v>45574</v>
      </c>
      <c r="F218" s="460">
        <v>45621</v>
      </c>
      <c r="G218" s="460">
        <v>45621</v>
      </c>
      <c r="H218" s="460">
        <v>45625</v>
      </c>
      <c r="I218" s="203">
        <f ca="1">IF(ISBLANK(H218), NETWORKDAYS(F218, TODAY(),fESTIVOS!$A$1:$A$18), NETWORKDAYS(F218, H218, fESTIVOS!$A$1:$A$18))</f>
        <v>5</v>
      </c>
      <c r="J218" s="460">
        <v>45629</v>
      </c>
      <c r="K218" s="460"/>
      <c r="L218" s="461" t="s">
        <v>1467</v>
      </c>
      <c r="M218" s="418"/>
      <c r="N218" s="183"/>
      <c r="O218" s="183"/>
      <c r="P218" s="183"/>
      <c r="Q218" s="183"/>
      <c r="R218" s="183"/>
      <c r="S218" s="183"/>
      <c r="T218" s="183"/>
      <c r="U218" s="183"/>
      <c r="V218" s="183"/>
      <c r="W218" s="183"/>
      <c r="X218" s="183"/>
      <c r="Y218" s="183"/>
      <c r="Z218" s="183"/>
    </row>
    <row r="219" spans="1:26" ht="15.75" customHeight="1">
      <c r="A219" s="221" t="s">
        <v>786</v>
      </c>
      <c r="B219" s="606" t="s">
        <v>1408</v>
      </c>
      <c r="C219" s="564" t="s">
        <v>1468</v>
      </c>
      <c r="D219" s="200" t="s">
        <v>1410</v>
      </c>
      <c r="E219" s="225">
        <v>45574</v>
      </c>
      <c r="F219" s="460">
        <v>45625</v>
      </c>
      <c r="G219" s="460"/>
      <c r="H219" s="460">
        <v>45629</v>
      </c>
      <c r="I219" s="203">
        <f ca="1">IF(ISBLANK(H219), NETWORKDAYS(F219, TODAY(),fESTIVOS!$A$1:$A$18), NETWORKDAYS(F219, H219, fESTIVOS!$A$1:$A$18))</f>
        <v>3</v>
      </c>
      <c r="J219" s="460">
        <v>45629</v>
      </c>
      <c r="K219" s="460"/>
      <c r="L219" s="461" t="s">
        <v>1469</v>
      </c>
      <c r="M219" s="418"/>
      <c r="N219" s="183"/>
      <c r="O219" s="183"/>
      <c r="P219" s="183"/>
      <c r="Q219" s="183"/>
      <c r="R219" s="183"/>
      <c r="S219" s="183"/>
      <c r="T219" s="183"/>
      <c r="U219" s="183"/>
      <c r="V219" s="183"/>
      <c r="W219" s="183"/>
      <c r="X219" s="183"/>
      <c r="Y219" s="183"/>
      <c r="Z219" s="183"/>
    </row>
    <row r="220" spans="1:26" ht="15" hidden="1" customHeight="1">
      <c r="A220" s="221"/>
      <c r="B220" s="608"/>
      <c r="C220" s="609"/>
      <c r="D220" s="610"/>
      <c r="E220" s="579"/>
      <c r="F220" s="460"/>
      <c r="G220" s="460"/>
      <c r="H220" s="460"/>
      <c r="I220" s="203"/>
      <c r="J220" s="460"/>
      <c r="K220" s="460"/>
      <c r="L220" s="461"/>
      <c r="M220" s="418"/>
      <c r="N220" s="183"/>
      <c r="O220" s="183"/>
      <c r="P220" s="183"/>
      <c r="Q220" s="183"/>
      <c r="R220" s="183"/>
      <c r="S220" s="183"/>
      <c r="T220" s="183"/>
      <c r="U220" s="183"/>
      <c r="V220" s="183"/>
      <c r="W220" s="183"/>
      <c r="X220" s="183"/>
      <c r="Y220" s="183"/>
      <c r="Z220" s="183"/>
    </row>
    <row r="221" spans="1:26" ht="15.75" hidden="1" customHeight="1">
      <c r="A221" s="221" t="s">
        <v>786</v>
      </c>
      <c r="B221" s="608"/>
      <c r="C221" s="611" t="s">
        <v>1470</v>
      </c>
      <c r="D221" s="612" t="s">
        <v>789</v>
      </c>
      <c r="E221" s="542">
        <v>45574</v>
      </c>
      <c r="F221" s="460">
        <v>45631</v>
      </c>
      <c r="G221" s="460"/>
      <c r="H221" s="460"/>
      <c r="I221" s="203">
        <f ca="1">IF(ISBLANK(H221), NETWORKDAYS(F221, TODAY(),fESTIVOS!$A$1:$A$18), NETWORKDAYS(F221, H221, fESTIVOS!$A$1:$A$18))</f>
        <v>404</v>
      </c>
      <c r="J221" s="460"/>
      <c r="K221" s="460"/>
      <c r="L221" s="553" t="s">
        <v>1471</v>
      </c>
      <c r="M221" s="418"/>
      <c r="N221" s="183"/>
      <c r="O221" s="183"/>
      <c r="P221" s="183"/>
      <c r="Q221" s="183"/>
      <c r="R221" s="183"/>
      <c r="S221" s="183"/>
      <c r="T221" s="183"/>
      <c r="U221" s="183"/>
      <c r="V221" s="183"/>
      <c r="W221" s="183"/>
      <c r="X221" s="183"/>
      <c r="Y221" s="183"/>
      <c r="Z221" s="183"/>
    </row>
    <row r="222" spans="1:26" ht="15.75" hidden="1" customHeight="1">
      <c r="A222" s="221" t="s">
        <v>786</v>
      </c>
      <c r="B222" s="608"/>
      <c r="C222" s="611" t="s">
        <v>1472</v>
      </c>
      <c r="D222" s="612" t="s">
        <v>789</v>
      </c>
      <c r="E222" s="542">
        <v>45574</v>
      </c>
      <c r="F222" s="460">
        <v>45631</v>
      </c>
      <c r="G222" s="460"/>
      <c r="H222" s="460"/>
      <c r="I222" s="203">
        <f ca="1">IF(ISBLANK(H222), NETWORKDAYS(F222, TODAY(),fESTIVOS!$A$1:$A$18), NETWORKDAYS(F222, H222, fESTIVOS!$A$1:$A$18))</f>
        <v>404</v>
      </c>
      <c r="J222" s="460"/>
      <c r="K222" s="460"/>
      <c r="L222" s="553" t="s">
        <v>1471</v>
      </c>
      <c r="M222" s="418"/>
      <c r="N222" s="183"/>
      <c r="O222" s="183"/>
      <c r="P222" s="183"/>
      <c r="Q222" s="183"/>
      <c r="R222" s="183"/>
      <c r="S222" s="183"/>
      <c r="T222" s="183"/>
      <c r="U222" s="183"/>
      <c r="V222" s="183"/>
      <c r="W222" s="183"/>
      <c r="X222" s="183"/>
      <c r="Y222" s="183"/>
      <c r="Z222" s="183"/>
    </row>
    <row r="223" spans="1:26" ht="15.75" hidden="1" customHeight="1">
      <c r="A223" s="221" t="s">
        <v>786</v>
      </c>
      <c r="B223" s="608"/>
      <c r="C223" s="613" t="s">
        <v>1473</v>
      </c>
      <c r="D223" s="612" t="s">
        <v>789</v>
      </c>
      <c r="E223" s="542">
        <v>45574</v>
      </c>
      <c r="F223" s="460">
        <v>45631</v>
      </c>
      <c r="G223" s="460"/>
      <c r="H223" s="460"/>
      <c r="I223" s="203">
        <f ca="1">IF(ISBLANK(H223), NETWORKDAYS(F223, TODAY(),fESTIVOS!$A$1:$A$18), NETWORKDAYS(F223, H223, fESTIVOS!$A$1:$A$18))</f>
        <v>404</v>
      </c>
      <c r="J223" s="460"/>
      <c r="K223" s="460"/>
      <c r="L223" s="553" t="s">
        <v>1474</v>
      </c>
      <c r="M223" s="418"/>
      <c r="N223" s="183"/>
      <c r="O223" s="183"/>
      <c r="P223" s="183"/>
      <c r="Q223" s="183"/>
      <c r="R223" s="183"/>
      <c r="S223" s="183"/>
      <c r="T223" s="183"/>
      <c r="U223" s="183"/>
      <c r="V223" s="183"/>
      <c r="W223" s="183"/>
      <c r="X223" s="183"/>
      <c r="Y223" s="183"/>
      <c r="Z223" s="183"/>
    </row>
    <row r="224" spans="1:26" ht="15.75" hidden="1" customHeight="1">
      <c r="A224" s="500" t="s">
        <v>786</v>
      </c>
      <c r="B224" s="608"/>
      <c r="C224" s="614" t="s">
        <v>1475</v>
      </c>
      <c r="D224" s="612" t="s">
        <v>789</v>
      </c>
      <c r="E224" s="615">
        <v>45574</v>
      </c>
      <c r="F224" s="480">
        <v>45638</v>
      </c>
      <c r="G224" s="480"/>
      <c r="H224" s="480"/>
      <c r="I224" s="504">
        <f ca="1">IF(ISBLANK(H224), NETWORKDAYS(F224, TODAY(),fESTIVOS!$A$1:$A$18), NETWORKDAYS(F224, H224, fESTIVOS!$A$1:$A$18))</f>
        <v>399</v>
      </c>
      <c r="J224" s="480"/>
      <c r="K224" s="480"/>
      <c r="L224" s="616" t="s">
        <v>1476</v>
      </c>
      <c r="M224" s="418"/>
      <c r="N224" s="183"/>
      <c r="O224" s="183"/>
      <c r="P224" s="183"/>
      <c r="Q224" s="183"/>
      <c r="R224" s="183"/>
      <c r="S224" s="183"/>
      <c r="T224" s="183"/>
      <c r="U224" s="183"/>
      <c r="V224" s="183"/>
      <c r="W224" s="183"/>
      <c r="X224" s="183"/>
      <c r="Y224" s="183"/>
      <c r="Z224" s="183"/>
    </row>
    <row r="225" spans="1:26" ht="15.75" hidden="1" customHeight="1">
      <c r="A225" s="221" t="s">
        <v>786</v>
      </c>
      <c r="B225" s="608"/>
      <c r="C225" s="216" t="s">
        <v>1477</v>
      </c>
      <c r="D225" s="612" t="s">
        <v>789</v>
      </c>
      <c r="E225" s="225">
        <v>45636</v>
      </c>
      <c r="F225" s="225">
        <v>45636</v>
      </c>
      <c r="G225" s="225"/>
      <c r="H225" s="225"/>
      <c r="I225" s="203">
        <f ca="1">IF(ISBLANK(H225), NETWORKDAYS(F225, TODAY(),fESTIVOS!$A$1:$A$18), NETWORKDAYS(F225, H225, fESTIVOS!$A$1:$A$18))</f>
        <v>401</v>
      </c>
      <c r="J225" s="225">
        <v>45645</v>
      </c>
      <c r="K225" s="225"/>
      <c r="L225" s="543" t="s">
        <v>1478</v>
      </c>
      <c r="M225" s="418"/>
      <c r="N225" s="183"/>
      <c r="O225" s="183"/>
      <c r="P225" s="183"/>
      <c r="Q225" s="183"/>
      <c r="R225" s="183"/>
      <c r="S225" s="183"/>
      <c r="T225" s="183"/>
      <c r="U225" s="183"/>
      <c r="V225" s="183"/>
      <c r="W225" s="183"/>
      <c r="X225" s="183"/>
      <c r="Y225" s="183"/>
      <c r="Z225" s="183"/>
    </row>
    <row r="226" spans="1:26" ht="15.75" hidden="1" customHeight="1">
      <c r="A226" s="221" t="s">
        <v>786</v>
      </c>
      <c r="B226" s="608"/>
      <c r="C226" s="216" t="s">
        <v>1479</v>
      </c>
      <c r="D226" s="447" t="s">
        <v>46</v>
      </c>
      <c r="E226" s="225">
        <v>45645</v>
      </c>
      <c r="F226" s="225">
        <v>45646</v>
      </c>
      <c r="G226" s="225"/>
      <c r="H226" s="225"/>
      <c r="I226" s="203">
        <f ca="1">IF(ISBLANK(H226), NETWORKDAYS(F226, TODAY(),fESTIVOS!$A$1:$A$18), NETWORKDAYS(F226, H226, fESTIVOS!$A$1:$A$18))</f>
        <v>393</v>
      </c>
      <c r="J226" s="225">
        <v>45664</v>
      </c>
      <c r="K226" s="225"/>
      <c r="L226" s="543" t="s">
        <v>1480</v>
      </c>
      <c r="M226" s="418"/>
      <c r="N226" s="183"/>
      <c r="O226" s="183"/>
      <c r="P226" s="183"/>
      <c r="Q226" s="183"/>
      <c r="R226" s="183"/>
      <c r="S226" s="183"/>
      <c r="T226" s="183"/>
      <c r="U226" s="183"/>
      <c r="V226" s="183"/>
      <c r="W226" s="183"/>
      <c r="X226" s="183"/>
      <c r="Y226" s="183"/>
      <c r="Z226" s="183"/>
    </row>
    <row r="227" spans="1:26" ht="15.75" hidden="1" customHeight="1">
      <c r="A227" s="221" t="s">
        <v>786</v>
      </c>
      <c r="B227" s="617"/>
      <c r="C227" s="216" t="s">
        <v>1481</v>
      </c>
      <c r="D227" s="447" t="s">
        <v>46</v>
      </c>
      <c r="E227" s="225">
        <v>45652</v>
      </c>
      <c r="F227" s="225">
        <v>45652</v>
      </c>
      <c r="G227" s="225"/>
      <c r="H227" s="225"/>
      <c r="I227" s="203">
        <f ca="1">IF(ISBLANK(H227), NETWORKDAYS(F227, TODAY(),fESTIVOS!$A$1:$A$18), NETWORKDAYS(F227, H227, fESTIVOS!$A$1:$A$18))</f>
        <v>390</v>
      </c>
      <c r="J227" s="225">
        <v>45664</v>
      </c>
      <c r="K227" s="225"/>
      <c r="L227" s="543" t="s">
        <v>1482</v>
      </c>
      <c r="M227" s="418"/>
      <c r="N227" s="183"/>
      <c r="O227" s="183"/>
      <c r="P227" s="183"/>
      <c r="Q227" s="183"/>
      <c r="R227" s="183"/>
      <c r="S227" s="183"/>
      <c r="T227" s="183"/>
      <c r="U227" s="183"/>
      <c r="V227" s="183"/>
      <c r="W227" s="183"/>
      <c r="X227" s="183"/>
      <c r="Y227" s="183"/>
      <c r="Z227" s="183"/>
    </row>
    <row r="228" spans="1:26" ht="15.75" customHeight="1">
      <c r="A228" s="206" t="s">
        <v>1034</v>
      </c>
      <c r="B228" s="206" t="s">
        <v>1374</v>
      </c>
      <c r="C228" s="227" t="s">
        <v>1483</v>
      </c>
      <c r="D228" s="447" t="s">
        <v>1155</v>
      </c>
      <c r="E228" s="225">
        <v>45678</v>
      </c>
      <c r="F228" s="225">
        <v>45678</v>
      </c>
      <c r="G228" s="225"/>
      <c r="H228" s="225">
        <v>45678</v>
      </c>
      <c r="I228" s="618">
        <f ca="1">IF(ISBLANK(H228), NETWORKDAYS(F228, TODAY(),fESTIVOS!$A$1:$A$18), NETWORKDAYS(F228, H228, fESTIVOS!$A$1:$A$18))</f>
        <v>1</v>
      </c>
      <c r="J228" s="201">
        <v>45678</v>
      </c>
      <c r="K228" s="465">
        <v>45692</v>
      </c>
      <c r="L228" s="580" t="s">
        <v>1484</v>
      </c>
    </row>
    <row r="229" spans="1:26" ht="15.75" customHeight="1">
      <c r="A229" s="206" t="s">
        <v>1034</v>
      </c>
      <c r="B229" s="199" t="s">
        <v>1485</v>
      </c>
      <c r="C229" s="224"/>
      <c r="D229" s="447" t="s">
        <v>9</v>
      </c>
      <c r="E229" s="225">
        <v>45687</v>
      </c>
      <c r="F229" s="225">
        <v>45688</v>
      </c>
      <c r="G229" s="225"/>
      <c r="H229" s="225">
        <v>45688</v>
      </c>
      <c r="I229" s="203">
        <f ca="1">IF(ISBLANK(H229), NETWORKDAYS(F229, TODAY(),fESTIVOS!$A$1:$A$18), NETWORKDAYS(F229, H229, fESTIVOS!$A$1:$A$18))</f>
        <v>1</v>
      </c>
      <c r="J229" s="225"/>
      <c r="K229" s="225"/>
      <c r="L229" s="448" t="s">
        <v>1486</v>
      </c>
      <c r="M229" s="418"/>
      <c r="N229" s="183"/>
      <c r="O229" s="183"/>
      <c r="P229" s="183"/>
      <c r="Q229" s="183"/>
      <c r="R229" s="183"/>
      <c r="S229" s="183"/>
      <c r="T229" s="183"/>
      <c r="U229" s="183"/>
      <c r="V229" s="183"/>
      <c r="W229" s="183"/>
      <c r="X229" s="183"/>
      <c r="Y229" s="183"/>
      <c r="Z229" s="183"/>
    </row>
    <row r="230" spans="1:26" ht="15.75" customHeight="1">
      <c r="A230" s="221" t="s">
        <v>786</v>
      </c>
      <c r="B230" s="449" t="s">
        <v>1487</v>
      </c>
      <c r="C230" s="223"/>
      <c r="D230" s="447" t="s">
        <v>37</v>
      </c>
      <c r="E230" s="225">
        <v>45692</v>
      </c>
      <c r="F230" s="226">
        <v>45693</v>
      </c>
      <c r="G230" s="592"/>
      <c r="H230" s="226">
        <v>45693</v>
      </c>
      <c r="I230" s="203">
        <f ca="1">IF(ISBLANK(H230), NETWORKDAYS(F230, TODAY(),fESTIVOS!$A$1:$A$18), NETWORKDAYS(F230, H230, fESTIVOS!$A$1:$A$18))</f>
        <v>1</v>
      </c>
      <c r="J230" s="223"/>
      <c r="K230" s="452"/>
      <c r="L230" s="412" t="s">
        <v>1488</v>
      </c>
      <c r="M230" s="228"/>
      <c r="N230" s="228"/>
      <c r="O230" s="228"/>
      <c r="P230" s="228"/>
      <c r="Q230" s="228"/>
      <c r="R230" s="228"/>
      <c r="S230" s="228"/>
      <c r="T230" s="228"/>
      <c r="U230" s="228"/>
      <c r="V230" s="228"/>
      <c r="W230" s="228"/>
      <c r="X230" s="228"/>
      <c r="Y230" s="228"/>
      <c r="Z230" s="228"/>
    </row>
    <row r="231" spans="1:26" ht="15.75" customHeight="1">
      <c r="A231" s="206" t="s">
        <v>1034</v>
      </c>
      <c r="B231" s="199" t="s">
        <v>1489</v>
      </c>
      <c r="C231" s="224"/>
      <c r="D231" s="447" t="s">
        <v>37</v>
      </c>
      <c r="E231" s="225">
        <v>45692</v>
      </c>
      <c r="F231" s="225">
        <v>45693</v>
      </c>
      <c r="G231" s="225"/>
      <c r="H231" s="225">
        <v>45693</v>
      </c>
      <c r="I231" s="203">
        <f ca="1">IF(ISBLANK(H231), NETWORKDAYS(F231, TODAY(),fESTIVOS!$A$1:$A$18), NETWORKDAYS(F231, H231, fESTIVOS!$A$1:$A$18))</f>
        <v>1</v>
      </c>
      <c r="J231" s="225"/>
      <c r="K231" s="225">
        <v>45693</v>
      </c>
      <c r="L231" s="543" t="s">
        <v>1490</v>
      </c>
      <c r="M231" s="418"/>
      <c r="N231" s="183"/>
      <c r="O231" s="183"/>
      <c r="P231" s="183"/>
      <c r="Q231" s="183"/>
      <c r="R231" s="183"/>
      <c r="S231" s="183"/>
      <c r="T231" s="183"/>
      <c r="U231" s="183"/>
      <c r="V231" s="183"/>
      <c r="W231" s="183"/>
      <c r="X231" s="183"/>
      <c r="Y231" s="183"/>
      <c r="Z231" s="183"/>
    </row>
    <row r="232" spans="1:26" ht="15.75" customHeight="1">
      <c r="A232" s="206" t="s">
        <v>1034</v>
      </c>
      <c r="B232" s="199" t="s">
        <v>1491</v>
      </c>
      <c r="C232" s="224"/>
      <c r="D232" s="447" t="s">
        <v>37</v>
      </c>
      <c r="E232" s="225">
        <v>45692</v>
      </c>
      <c r="F232" s="225">
        <v>45693</v>
      </c>
      <c r="G232" s="225"/>
      <c r="H232" s="225">
        <v>45693</v>
      </c>
      <c r="I232" s="203">
        <f ca="1">IF(ISBLANK(H232), NETWORKDAYS(F232, TODAY(),fESTIVOS!$A$1:$A$18), NETWORKDAYS(F232, H232, fESTIVOS!$A$1:$A$18))</f>
        <v>1</v>
      </c>
      <c r="J232" s="225"/>
      <c r="K232" s="225">
        <v>45693</v>
      </c>
      <c r="L232" s="543" t="s">
        <v>1490</v>
      </c>
      <c r="M232" s="418"/>
      <c r="N232" s="183"/>
      <c r="O232" s="183"/>
      <c r="P232" s="183"/>
      <c r="Q232" s="183"/>
      <c r="R232" s="183"/>
      <c r="S232" s="183"/>
      <c r="T232" s="183"/>
      <c r="U232" s="183"/>
      <c r="V232" s="183"/>
      <c r="W232" s="183"/>
      <c r="X232" s="183"/>
      <c r="Y232" s="183"/>
      <c r="Z232" s="183"/>
    </row>
    <row r="233" spans="1:26" ht="15.75" customHeight="1">
      <c r="A233" s="221" t="s">
        <v>786</v>
      </c>
      <c r="B233" s="449" t="s">
        <v>1492</v>
      </c>
      <c r="C233" s="580" t="s">
        <v>1493</v>
      </c>
      <c r="D233" s="200" t="s">
        <v>37</v>
      </c>
      <c r="E233" s="225">
        <v>45698</v>
      </c>
      <c r="F233" s="225">
        <v>45698</v>
      </c>
      <c r="G233" s="201"/>
      <c r="H233" s="447"/>
      <c r="I233" s="203">
        <f ca="1">IF(ISBLANK(H233), NETWORKDAYS(F233, TODAY(),fESTIVOS!$A$1:$A$18), NETWORKDAYS(F233, H233, fESTIVOS!$A$1:$A$18))</f>
        <v>358</v>
      </c>
      <c r="J233" s="223"/>
      <c r="K233" s="592"/>
      <c r="L233" s="619"/>
      <c r="M233" s="228"/>
      <c r="N233" s="228"/>
      <c r="O233" s="228"/>
      <c r="P233" s="228"/>
      <c r="Q233" s="228"/>
      <c r="R233" s="228"/>
      <c r="S233" s="228"/>
      <c r="T233" s="228"/>
      <c r="U233" s="228"/>
      <c r="V233" s="228"/>
      <c r="W233" s="228"/>
      <c r="X233" s="228"/>
      <c r="Y233" s="228"/>
      <c r="Z233" s="228"/>
    </row>
    <row r="234" spans="1:26" ht="15.75" customHeight="1">
      <c r="A234" s="221" t="s">
        <v>786</v>
      </c>
      <c r="B234" s="449" t="s">
        <v>1492</v>
      </c>
      <c r="C234" s="620" t="s">
        <v>1494</v>
      </c>
      <c r="D234" s="200" t="s">
        <v>37</v>
      </c>
      <c r="E234" s="225">
        <v>45698</v>
      </c>
      <c r="F234" s="225">
        <v>45698</v>
      </c>
      <c r="G234" s="201"/>
      <c r="H234" s="225">
        <v>45699</v>
      </c>
      <c r="I234" s="203">
        <f ca="1">IF(ISBLANK(H234), NETWORKDAYS(F234, TODAY(),fESTIVOS!$A$1:$A$18), NETWORKDAYS(F234, H234, fESTIVOS!$A$1:$A$18))</f>
        <v>2</v>
      </c>
      <c r="J234" s="223"/>
      <c r="K234" s="592"/>
      <c r="L234" s="619"/>
      <c r="M234" s="228"/>
      <c r="N234" s="228"/>
      <c r="O234" s="228"/>
      <c r="P234" s="228"/>
      <c r="Q234" s="228"/>
      <c r="R234" s="228"/>
      <c r="S234" s="228"/>
      <c r="T234" s="228"/>
      <c r="U234" s="228"/>
      <c r="V234" s="228"/>
      <c r="W234" s="228"/>
      <c r="X234" s="228"/>
      <c r="Y234" s="228"/>
      <c r="Z234" s="228"/>
    </row>
    <row r="235" spans="1:26" ht="15.75" customHeight="1">
      <c r="A235" s="421" t="s">
        <v>761</v>
      </c>
      <c r="B235" s="621" t="s">
        <v>1495</v>
      </c>
      <c r="C235" s="622" t="s">
        <v>1496</v>
      </c>
      <c r="D235" s="405" t="s">
        <v>1155</v>
      </c>
      <c r="E235" s="406">
        <v>45684</v>
      </c>
      <c r="F235" s="406">
        <v>45684</v>
      </c>
      <c r="G235" s="406"/>
      <c r="H235" s="406">
        <v>45700</v>
      </c>
      <c r="I235" s="427">
        <f ca="1">IF(ISBLANK(H235), NETWORKDAYS(F235, TODAY(),fESTIVOS!$A$1:$A$18), NETWORKDAYS(F235, H235, fESTIVOS!$A$1:$A$18))</f>
        <v>13</v>
      </c>
      <c r="J235" s="406"/>
      <c r="K235" s="406">
        <v>45700</v>
      </c>
      <c r="L235" s="409" t="s">
        <v>1497</v>
      </c>
      <c r="M235" s="183"/>
      <c r="N235" s="183"/>
      <c r="O235" s="183"/>
      <c r="P235" s="183"/>
      <c r="Q235" s="183"/>
      <c r="R235" s="183"/>
      <c r="S235" s="183"/>
      <c r="T235" s="183"/>
      <c r="U235" s="183"/>
      <c r="V235" s="183"/>
      <c r="W235" s="183"/>
      <c r="X235" s="183"/>
      <c r="Y235" s="183"/>
      <c r="Z235" s="183"/>
    </row>
    <row r="236" spans="1:26" ht="15.75" customHeight="1">
      <c r="A236" s="221" t="s">
        <v>786</v>
      </c>
      <c r="B236" s="449" t="s">
        <v>1498</v>
      </c>
      <c r="C236" s="223"/>
      <c r="D236" s="447" t="s">
        <v>37</v>
      </c>
      <c r="E236" s="225">
        <v>45700</v>
      </c>
      <c r="F236" s="225">
        <v>45700</v>
      </c>
      <c r="G236" s="201"/>
      <c r="H236" s="225">
        <v>45700</v>
      </c>
      <c r="I236" s="203">
        <f ca="1">IF(ISBLANK(H236), NETWORKDAYS(F236, TODAY(),fESTIVOS!$A$1:$A$18), NETWORKDAYS(F236, H236, fESTIVOS!$A$1:$A$18))</f>
        <v>1</v>
      </c>
      <c r="J236" s="223"/>
      <c r="K236" s="223"/>
      <c r="L236" s="543"/>
      <c r="M236" s="228"/>
      <c r="N236" s="228"/>
      <c r="O236" s="228"/>
      <c r="P236" s="228"/>
      <c r="Q236" s="228"/>
      <c r="R236" s="228"/>
      <c r="S236" s="228"/>
      <c r="T236" s="228"/>
      <c r="U236" s="228"/>
      <c r="V236" s="228"/>
      <c r="W236" s="228"/>
      <c r="X236" s="228"/>
      <c r="Y236" s="228"/>
      <c r="Z236" s="228"/>
    </row>
    <row r="237" spans="1:26" ht="15.75" customHeight="1">
      <c r="A237" s="221" t="s">
        <v>786</v>
      </c>
      <c r="B237" s="719" t="s">
        <v>1499</v>
      </c>
      <c r="C237" s="411" t="s">
        <v>788</v>
      </c>
      <c r="D237" s="447" t="s">
        <v>1500</v>
      </c>
      <c r="E237" s="225">
        <v>45665</v>
      </c>
      <c r="F237" s="225">
        <v>45665</v>
      </c>
      <c r="G237" s="225">
        <v>45667</v>
      </c>
      <c r="H237" s="225">
        <v>45670</v>
      </c>
      <c r="I237" s="203">
        <f ca="1">IF(ISBLANK(H237), NETWORKDAYS(F237, TODAY(),fESTIVOS!$A$1:$A$18), NETWORKDAYS(F237, H237, fESTIVOS!$A$1:$A$18))</f>
        <v>4</v>
      </c>
      <c r="J237" s="225"/>
      <c r="K237" s="225"/>
      <c r="L237" s="543"/>
      <c r="M237" s="418"/>
      <c r="N237" s="183"/>
      <c r="O237" s="183"/>
      <c r="P237" s="183"/>
      <c r="Q237" s="183"/>
      <c r="R237" s="183"/>
      <c r="S237" s="183"/>
      <c r="T237" s="183"/>
      <c r="U237" s="183"/>
      <c r="V237" s="183"/>
      <c r="W237" s="183"/>
      <c r="X237" s="183"/>
      <c r="Y237" s="183"/>
      <c r="Z237" s="183"/>
    </row>
    <row r="238" spans="1:26" ht="15.75" customHeight="1">
      <c r="A238" s="221" t="s">
        <v>786</v>
      </c>
      <c r="B238" s="720"/>
      <c r="C238" s="411" t="s">
        <v>1501</v>
      </c>
      <c r="D238" s="200" t="s">
        <v>1155</v>
      </c>
      <c r="E238" s="225">
        <v>45665</v>
      </c>
      <c r="F238" s="225">
        <v>45666</v>
      </c>
      <c r="G238" s="225"/>
      <c r="H238" s="225">
        <v>45670</v>
      </c>
      <c r="I238" s="203">
        <f ca="1">IF(ISBLANK(H238), NETWORKDAYS(F238, TODAY(),fESTIVOS!$A$1:$A$18), NETWORKDAYS(F238, H238, fESTIVOS!$A$1:$A$18))</f>
        <v>3</v>
      </c>
      <c r="J238" s="225">
        <v>45670</v>
      </c>
      <c r="K238" s="225"/>
      <c r="L238" s="543" t="s">
        <v>1502</v>
      </c>
      <c r="M238" s="418"/>
      <c r="N238" s="183"/>
      <c r="O238" s="183"/>
      <c r="P238" s="183"/>
      <c r="Q238" s="183"/>
      <c r="R238" s="183"/>
      <c r="S238" s="183"/>
      <c r="T238" s="183"/>
      <c r="U238" s="183"/>
      <c r="V238" s="183"/>
      <c r="W238" s="183"/>
      <c r="X238" s="183"/>
      <c r="Y238" s="183"/>
      <c r="Z238" s="183"/>
    </row>
    <row r="239" spans="1:26" ht="15.75" customHeight="1">
      <c r="A239" s="206" t="s">
        <v>776</v>
      </c>
      <c r="B239" s="206" t="s">
        <v>1503</v>
      </c>
      <c r="C239" s="206" t="s">
        <v>1504</v>
      </c>
      <c r="D239" s="200" t="s">
        <v>37</v>
      </c>
      <c r="E239" s="225">
        <v>45692</v>
      </c>
      <c r="F239" s="207">
        <v>45701</v>
      </c>
      <c r="G239" s="200"/>
      <c r="H239" s="207">
        <v>45701</v>
      </c>
      <c r="I239" s="203">
        <f ca="1">IF(ISBLANK(H239), NETWORKDAYS(F239, TODAY(),fESTIVOS!$A$1:$A$18), NETWORKDAYS(F239, H239, fESTIVOS!$A$1:$A$18))</f>
        <v>1</v>
      </c>
      <c r="J239" s="221"/>
      <c r="K239" s="221"/>
      <c r="L239" s="623" t="s">
        <v>1505</v>
      </c>
      <c r="M239" s="418"/>
      <c r="N239" s="183"/>
      <c r="O239" s="183"/>
      <c r="P239" s="183"/>
      <c r="Q239" s="183"/>
      <c r="R239" s="183"/>
      <c r="S239" s="183"/>
      <c r="T239" s="183"/>
      <c r="U239" s="183"/>
      <c r="V239" s="183"/>
      <c r="W239" s="183"/>
      <c r="X239" s="183"/>
      <c r="Y239" s="183"/>
      <c r="Z239" s="183"/>
    </row>
    <row r="240" spans="1:26" ht="15.75" customHeight="1">
      <c r="A240" s="420" t="s">
        <v>1034</v>
      </c>
      <c r="B240" s="429"/>
      <c r="C240" s="562" t="s">
        <v>1506</v>
      </c>
      <c r="D240" s="425" t="s">
        <v>37</v>
      </c>
      <c r="E240" s="494">
        <v>45588</v>
      </c>
      <c r="F240" s="426">
        <v>45631</v>
      </c>
      <c r="G240" s="426"/>
      <c r="H240" s="426">
        <v>45631</v>
      </c>
      <c r="I240" s="427">
        <f ca="1">IF(ISBLANK(H240), NETWORKDAYS(F240, TODAY(),fESTIVOS!$A$1:$A$18), NETWORKDAYS(F240, H240, fESTIVOS!$A$1:$A$18))</f>
        <v>1</v>
      </c>
      <c r="J240" s="426">
        <v>45631</v>
      </c>
      <c r="K240" s="426">
        <v>45631</v>
      </c>
      <c r="L240" s="454" t="s">
        <v>1507</v>
      </c>
      <c r="M240" s="453"/>
      <c r="N240" s="189"/>
      <c r="O240" s="189"/>
      <c r="P240" s="189"/>
      <c r="Q240" s="189"/>
      <c r="R240" s="189"/>
      <c r="S240" s="189"/>
      <c r="T240" s="189"/>
      <c r="U240" s="189"/>
      <c r="V240" s="189"/>
      <c r="W240" s="189"/>
      <c r="X240" s="189"/>
      <c r="Y240" s="189"/>
      <c r="Z240" s="189"/>
    </row>
    <row r="241" spans="1:26" ht="15.75" customHeight="1">
      <c r="A241" s="420" t="s">
        <v>1034</v>
      </c>
      <c r="B241" s="429"/>
      <c r="C241" s="562" t="s">
        <v>1508</v>
      </c>
      <c r="D241" s="425" t="s">
        <v>37</v>
      </c>
      <c r="E241" s="494">
        <v>45643</v>
      </c>
      <c r="F241" s="426"/>
      <c r="G241" s="426"/>
      <c r="H241" s="426"/>
      <c r="I241" s="427">
        <f ca="1">IF(ISBLANK(H241), NETWORKDAYS(F241, TODAY(),fESTIVOS!$A$1:$A$18), NETWORKDAYS(F241, H241, fESTIVOS!$A$1:$A$18))</f>
        <v>32982</v>
      </c>
      <c r="J241" s="426"/>
      <c r="K241" s="426"/>
      <c r="L241" s="567" t="s">
        <v>1509</v>
      </c>
      <c r="M241" s="453"/>
      <c r="N241" s="189"/>
      <c r="O241" s="189"/>
      <c r="P241" s="189"/>
      <c r="Q241" s="189"/>
      <c r="R241" s="189"/>
      <c r="S241" s="189"/>
      <c r="T241" s="189"/>
      <c r="U241" s="189"/>
      <c r="V241" s="189"/>
      <c r="W241" s="189"/>
      <c r="X241" s="189"/>
      <c r="Y241" s="189"/>
      <c r="Z241" s="189"/>
    </row>
    <row r="242" spans="1:26" ht="15.75" hidden="1" customHeight="1">
      <c r="D242" s="624"/>
    </row>
    <row r="243" spans="1:26" ht="15.75" hidden="1" customHeight="1">
      <c r="A243" s="197" t="s">
        <v>768</v>
      </c>
      <c r="B243" s="541" t="s">
        <v>1510</v>
      </c>
      <c r="C243" s="446"/>
      <c r="D243" s="447" t="s">
        <v>39</v>
      </c>
      <c r="E243" s="225">
        <v>45686</v>
      </c>
      <c r="F243" s="225">
        <v>45686</v>
      </c>
      <c r="G243" s="225"/>
      <c r="H243" s="225"/>
      <c r="I243" s="203">
        <f ca="1">IF(ISBLANK(H243), NETWORKDAYS(F243, TODAY(),fESTIVOS!$A$1:$A$18), NETWORKDAYS(F243, H243, fESTIVOS!$A$1:$A$18))</f>
        <v>366</v>
      </c>
      <c r="J243" s="225"/>
      <c r="K243" s="225"/>
      <c r="L243" s="448" t="s">
        <v>1511</v>
      </c>
    </row>
    <row r="244" spans="1:26" ht="15.75" hidden="1" customHeight="1">
      <c r="A244" s="197" t="s">
        <v>768</v>
      </c>
      <c r="B244" s="541" t="s">
        <v>1512</v>
      </c>
      <c r="C244" s="446"/>
      <c r="D244" s="447" t="s">
        <v>46</v>
      </c>
      <c r="E244" s="225">
        <v>45593</v>
      </c>
      <c r="F244" s="225">
        <v>45593</v>
      </c>
      <c r="G244" s="225">
        <v>45596</v>
      </c>
      <c r="H244" s="225">
        <v>45601</v>
      </c>
      <c r="I244" s="203">
        <f ca="1">IF(ISBLANK(H244), NETWORKDAYS(F244, TODAY(),fESTIVOS!$A$1:$A$18), NETWORKDAYS(F244, H244, fESTIVOS!$A$1:$A$18))</f>
        <v>6</v>
      </c>
      <c r="J244" s="225">
        <v>45660</v>
      </c>
      <c r="K244" s="225"/>
      <c r="L244" s="448" t="s">
        <v>1513</v>
      </c>
      <c r="M244" s="183"/>
      <c r="N244" s="183"/>
      <c r="O244" s="183"/>
      <c r="P244" s="183"/>
      <c r="Q244" s="183"/>
      <c r="R244" s="183"/>
      <c r="S244" s="183"/>
      <c r="T244" s="183"/>
      <c r="U244" s="183"/>
      <c r="V244" s="183"/>
      <c r="W244" s="183"/>
      <c r="X244" s="183"/>
      <c r="Y244" s="183"/>
      <c r="Z244" s="183"/>
    </row>
    <row r="245" spans="1:26" ht="15.75" hidden="1" customHeight="1">
      <c r="A245" s="206" t="s">
        <v>768</v>
      </c>
      <c r="B245" s="719" t="s">
        <v>1514</v>
      </c>
      <c r="C245" s="446" t="s">
        <v>1515</v>
      </c>
      <c r="D245" s="447" t="s">
        <v>1516</v>
      </c>
      <c r="E245" s="225">
        <v>45615</v>
      </c>
      <c r="F245" s="225">
        <v>45615</v>
      </c>
      <c r="G245" s="225"/>
      <c r="H245" s="225">
        <v>45632</v>
      </c>
      <c r="I245" s="203">
        <f ca="1">IF(ISBLANK(H245), NETWORKDAYS(F245, TODAY(),fESTIVOS!$A$1:$A$18), NETWORKDAYS(F245, H245, fESTIVOS!$A$1:$A$18))</f>
        <v>14</v>
      </c>
      <c r="J245" s="225"/>
      <c r="K245" s="225"/>
      <c r="L245" s="448" t="s">
        <v>1517</v>
      </c>
      <c r="M245" s="183"/>
      <c r="N245" s="183"/>
      <c r="O245" s="183"/>
      <c r="P245" s="183"/>
      <c r="Q245" s="183"/>
      <c r="R245" s="183"/>
      <c r="S245" s="183"/>
      <c r="T245" s="183"/>
      <c r="U245" s="183"/>
      <c r="V245" s="183"/>
      <c r="W245" s="183"/>
      <c r="X245" s="183"/>
      <c r="Y245" s="183"/>
      <c r="Z245" s="183"/>
    </row>
    <row r="246" spans="1:26" ht="15.75" hidden="1" customHeight="1">
      <c r="A246" s="206" t="s">
        <v>768</v>
      </c>
      <c r="B246" s="720"/>
      <c r="C246" s="224" t="s">
        <v>1518</v>
      </c>
      <c r="D246" s="447" t="s">
        <v>37</v>
      </c>
      <c r="E246" s="225">
        <v>45636</v>
      </c>
      <c r="F246" s="225">
        <v>45637</v>
      </c>
      <c r="G246" s="225">
        <v>45638</v>
      </c>
      <c r="H246" s="225">
        <v>45642</v>
      </c>
      <c r="I246" s="203">
        <f ca="1">IF(ISBLANK(H246), NETWORKDAYS(F246, TODAY(),fESTIVOS!$A$1:$A$18), NETWORKDAYS(F246, H246, fESTIVOS!$A$1:$A$18))</f>
        <v>4</v>
      </c>
      <c r="J246" s="225"/>
      <c r="K246" s="225"/>
      <c r="L246" s="448" t="s">
        <v>1519</v>
      </c>
      <c r="M246" s="183"/>
      <c r="N246" s="183"/>
      <c r="O246" s="183"/>
      <c r="P246" s="183"/>
      <c r="Q246" s="183"/>
      <c r="R246" s="183"/>
      <c r="S246" s="183"/>
      <c r="T246" s="183"/>
      <c r="U246" s="183"/>
      <c r="V246" s="183"/>
      <c r="W246" s="183"/>
      <c r="X246" s="183"/>
      <c r="Y246" s="183"/>
      <c r="Z246" s="183"/>
    </row>
    <row r="247" spans="1:26" ht="30" hidden="1" customHeight="1">
      <c r="A247" s="206" t="s">
        <v>768</v>
      </c>
      <c r="B247" s="199" t="s">
        <v>1249</v>
      </c>
      <c r="C247" s="495" t="s">
        <v>1520</v>
      </c>
      <c r="D247" s="200" t="s">
        <v>40</v>
      </c>
      <c r="E247" s="225"/>
      <c r="F247" s="225"/>
      <c r="G247" s="225"/>
      <c r="H247" s="447">
        <v>0</v>
      </c>
      <c r="I247" s="203">
        <f ca="1">IF(ISBLANK(H247), NETWORKDAYS(F247, TODAY(),fESTIVOS!$A$1:$A$18), NETWORKDAYS(F247, H247, fESTIVOS!$A$1:$A$18))</f>
        <v>0</v>
      </c>
      <c r="J247" s="225"/>
      <c r="K247" s="225"/>
      <c r="L247" s="448"/>
      <c r="M247" s="183"/>
      <c r="N247" s="183"/>
      <c r="O247" s="183"/>
      <c r="P247" s="183"/>
      <c r="Q247" s="183"/>
      <c r="R247" s="183"/>
      <c r="S247" s="183"/>
      <c r="T247" s="183"/>
      <c r="U247" s="183"/>
      <c r="V247" s="183"/>
      <c r="W247" s="183"/>
      <c r="X247" s="183"/>
      <c r="Y247" s="183"/>
      <c r="Z247" s="183"/>
    </row>
    <row r="248" spans="1:26" ht="15.75" hidden="1" customHeight="1">
      <c r="A248" s="625" t="s">
        <v>1521</v>
      </c>
      <c r="B248" s="404" t="s">
        <v>1522</v>
      </c>
      <c r="C248" s="484" t="s">
        <v>1523</v>
      </c>
      <c r="D248" s="405" t="s">
        <v>40</v>
      </c>
      <c r="E248" s="406"/>
      <c r="F248" s="406"/>
      <c r="G248" s="406"/>
      <c r="H248" s="405">
        <v>0</v>
      </c>
      <c r="I248" s="469">
        <f ca="1">IF(ISBLANK(H248), NETWORKDAYS(F248, TODAY(),fESTIVOS!$A$1:$A$18), NETWORKDAYS(F248, H248, fESTIVOS!$A$1:$A$18))</f>
        <v>0</v>
      </c>
      <c r="J248" s="406"/>
      <c r="K248" s="406"/>
      <c r="L248" s="409" t="s">
        <v>1524</v>
      </c>
      <c r="M248" s="418"/>
      <c r="N248" s="183"/>
      <c r="O248" s="183"/>
      <c r="P248" s="183"/>
      <c r="Q248" s="183"/>
      <c r="R248" s="183"/>
      <c r="S248" s="183"/>
      <c r="T248" s="183"/>
      <c r="U248" s="183"/>
      <c r="V248" s="183"/>
      <c r="W248" s="183"/>
      <c r="X248" s="183"/>
      <c r="Y248" s="183"/>
      <c r="Z248" s="183"/>
    </row>
    <row r="249" spans="1:26" ht="15.75" customHeight="1">
      <c r="A249" s="417" t="s">
        <v>1034</v>
      </c>
      <c r="B249" s="411" t="s">
        <v>1525</v>
      </c>
      <c r="C249" s="401"/>
      <c r="D249" s="194" t="s">
        <v>37</v>
      </c>
      <c r="E249" s="193">
        <v>45664</v>
      </c>
      <c r="F249" s="193"/>
      <c r="G249" s="193"/>
      <c r="H249" s="193">
        <v>45674</v>
      </c>
      <c r="I249" s="195">
        <f ca="1">IF(ISBLANK(H249), NETWORKDAYS(F249, TODAY(),fESTIVOS!$A$1:$A$18), NETWORKDAYS(F249, H249, fESTIVOS!$A$1:$A$18))</f>
        <v>32609</v>
      </c>
      <c r="J249" s="193"/>
      <c r="K249" s="193"/>
      <c r="L249" s="196"/>
      <c r="M249" s="418"/>
      <c r="N249" s="183"/>
      <c r="O249" s="183"/>
      <c r="P249" s="183"/>
      <c r="Q249" s="183"/>
      <c r="R249" s="183"/>
      <c r="S249" s="183"/>
      <c r="T249" s="183"/>
      <c r="U249" s="183"/>
      <c r="V249" s="183"/>
      <c r="W249" s="183"/>
      <c r="X249" s="183"/>
      <c r="Y249" s="183"/>
      <c r="Z249" s="183"/>
    </row>
    <row r="250" spans="1:26" ht="15.75" customHeight="1">
      <c r="A250" s="206" t="s">
        <v>776</v>
      </c>
      <c r="B250" s="230" t="s">
        <v>1526</v>
      </c>
      <c r="C250" s="200" t="s">
        <v>1527</v>
      </c>
      <c r="D250" s="206" t="s">
        <v>37</v>
      </c>
      <c r="E250" s="225">
        <v>45664</v>
      </c>
      <c r="F250" s="225">
        <v>45667</v>
      </c>
      <c r="G250" s="225">
        <v>45670</v>
      </c>
      <c r="H250" s="225">
        <v>45670</v>
      </c>
      <c r="I250" s="203">
        <f ca="1">IF(ISBLANK(H250), NETWORKDAYS(F250, TODAY(),fESTIVOS!$A$1:$A$18), NETWORKDAYS(F250, H250, fESTIVOS!$A$1:$A$18))</f>
        <v>2</v>
      </c>
      <c r="J250" s="447"/>
      <c r="K250" s="447"/>
      <c r="L250" s="224" t="s">
        <v>1528</v>
      </c>
      <c r="M250" s="183"/>
      <c r="N250" s="183"/>
      <c r="O250" s="183"/>
      <c r="P250" s="183"/>
      <c r="Q250" s="183"/>
      <c r="R250" s="183"/>
      <c r="S250" s="183"/>
      <c r="T250" s="183"/>
      <c r="U250" s="183"/>
      <c r="V250" s="183"/>
      <c r="W250" s="183"/>
      <c r="X250" s="183"/>
      <c r="Y250" s="183"/>
      <c r="Z250" s="183"/>
    </row>
    <row r="251" spans="1:26" ht="15.75" customHeight="1">
      <c r="A251" s="444" t="s">
        <v>776</v>
      </c>
      <c r="B251" s="206" t="s">
        <v>1529</v>
      </c>
      <c r="C251" s="221"/>
      <c r="D251" s="548" t="s">
        <v>1155</v>
      </c>
      <c r="E251" s="207">
        <v>45665</v>
      </c>
      <c r="F251" s="207">
        <v>45670</v>
      </c>
      <c r="G251" s="225">
        <v>45325</v>
      </c>
      <c r="H251" s="207">
        <v>45672</v>
      </c>
      <c r="I251" s="203">
        <f ca="1">IF(ISBLANK(H251), NETWORKDAYS(F251, TODAY(),fESTIVOS!$A$1:$A$18), NETWORKDAYS(F251, H251, fESTIVOS!$A$1:$A$18))</f>
        <v>3</v>
      </c>
      <c r="J251" s="207">
        <v>45672</v>
      </c>
      <c r="K251" s="207">
        <v>45673</v>
      </c>
      <c r="L251" s="448" t="s">
        <v>1530</v>
      </c>
      <c r="M251" s="418"/>
      <c r="N251" s="183"/>
      <c r="O251" s="183"/>
      <c r="P251" s="183"/>
      <c r="Q251" s="183"/>
      <c r="R251" s="183"/>
      <c r="S251" s="183"/>
      <c r="T251" s="183"/>
      <c r="U251" s="183"/>
      <c r="V251" s="183"/>
      <c r="W251" s="183"/>
      <c r="X251" s="183"/>
      <c r="Y251" s="183"/>
      <c r="Z251" s="183"/>
    </row>
    <row r="252" spans="1:26" ht="15.75" customHeight="1">
      <c r="A252" s="206" t="s">
        <v>1034</v>
      </c>
      <c r="B252" s="576" t="s">
        <v>1374</v>
      </c>
      <c r="C252" s="224" t="s">
        <v>1531</v>
      </c>
      <c r="D252" s="447" t="s">
        <v>37</v>
      </c>
      <c r="E252" s="225">
        <v>45693</v>
      </c>
      <c r="F252" s="225">
        <v>45693</v>
      </c>
      <c r="G252" s="225"/>
      <c r="H252" s="447"/>
      <c r="I252" s="203">
        <f ca="1">IF(ISBLANK(H252), NETWORKDAYS(F252, TODAY(),fESTIVOS!$A$1:$A$18), NETWORKDAYS(F252, H252, fESTIVOS!$A$1:$A$18))</f>
        <v>361</v>
      </c>
      <c r="J252" s="225"/>
      <c r="K252" s="225"/>
      <c r="L252" s="448" t="s">
        <v>1532</v>
      </c>
      <c r="M252" s="418"/>
      <c r="N252" s="183"/>
      <c r="O252" s="183"/>
      <c r="P252" s="183"/>
      <c r="Q252" s="183"/>
      <c r="R252" s="183"/>
      <c r="S252" s="183"/>
      <c r="T252" s="183"/>
      <c r="U252" s="183"/>
      <c r="V252" s="183"/>
      <c r="W252" s="183"/>
      <c r="X252" s="183"/>
      <c r="Y252" s="183"/>
      <c r="Z252" s="183"/>
    </row>
    <row r="253" spans="1:26" ht="15.75" customHeight="1">
      <c r="A253" s="206" t="s">
        <v>776</v>
      </c>
      <c r="B253" s="222" t="s">
        <v>1533</v>
      </c>
      <c r="C253" s="200" t="s">
        <v>1534</v>
      </c>
      <c r="D253" s="200" t="s">
        <v>37</v>
      </c>
      <c r="E253" s="225">
        <v>45636</v>
      </c>
      <c r="F253" s="225">
        <v>45637</v>
      </c>
      <c r="G253" s="447"/>
      <c r="H253" s="447"/>
      <c r="I253" s="203">
        <f ca="1">IF(ISBLANK(H253), NETWORKDAYS(F253, TODAY(),fESTIVOS!$A$1:$A$18), NETWORKDAYS(F253, H253, fESTIVOS!$A$1:$A$18))</f>
        <v>400</v>
      </c>
      <c r="J253" s="447"/>
      <c r="K253" s="447"/>
      <c r="L253" s="224" t="s">
        <v>1535</v>
      </c>
      <c r="M253" s="183"/>
      <c r="N253" s="183"/>
      <c r="O253" s="183"/>
      <c r="P253" s="183"/>
      <c r="Q253" s="183"/>
      <c r="R253" s="183"/>
      <c r="S253" s="183"/>
      <c r="T253" s="183"/>
      <c r="U253" s="183"/>
      <c r="V253" s="183"/>
      <c r="W253" s="183"/>
      <c r="X253" s="183"/>
      <c r="Y253" s="183"/>
      <c r="Z253" s="183"/>
    </row>
    <row r="254" spans="1:26" ht="15.75" customHeight="1">
      <c r="A254" s="206" t="s">
        <v>776</v>
      </c>
      <c r="B254" s="230"/>
      <c r="C254" s="200" t="s">
        <v>1536</v>
      </c>
      <c r="D254" s="206" t="s">
        <v>39</v>
      </c>
      <c r="E254" s="225">
        <v>45660</v>
      </c>
      <c r="F254" s="225">
        <v>45666</v>
      </c>
      <c r="G254" s="225">
        <v>45667</v>
      </c>
      <c r="H254" s="225">
        <v>45702</v>
      </c>
      <c r="I254" s="203">
        <f ca="1">IF(ISBLANK(H254), NETWORKDAYS(F254, TODAY(),fESTIVOS!$A$1:$A$18), NETWORKDAYS(F254, H254, fESTIVOS!$A$1:$A$18))</f>
        <v>27</v>
      </c>
      <c r="J254" s="447"/>
      <c r="K254" s="447"/>
      <c r="L254" s="224" t="s">
        <v>1537</v>
      </c>
      <c r="M254" s="183"/>
      <c r="N254" s="183"/>
      <c r="O254" s="183"/>
      <c r="P254" s="183"/>
      <c r="Q254" s="183"/>
      <c r="R254" s="183"/>
      <c r="S254" s="183"/>
      <c r="T254" s="183"/>
      <c r="U254" s="183"/>
      <c r="V254" s="183"/>
      <c r="W254" s="183"/>
      <c r="X254" s="183"/>
      <c r="Y254" s="183"/>
      <c r="Z254" s="183"/>
    </row>
    <row r="255" spans="1:26" ht="15.75" customHeight="1">
      <c r="A255" s="600" t="s">
        <v>761</v>
      </c>
      <c r="B255" s="626" t="s">
        <v>1538</v>
      </c>
      <c r="C255" s="457"/>
      <c r="D255" s="439" t="s">
        <v>1110</v>
      </c>
      <c r="E255" s="463">
        <v>45678</v>
      </c>
      <c r="F255" s="463">
        <v>45680</v>
      </c>
      <c r="G255" s="463"/>
      <c r="H255" s="463">
        <v>45680</v>
      </c>
      <c r="I255" s="408">
        <f ca="1">IF(ISBLANK(H255), NETWORKDAYS(F255, TODAY(),fESTIVOS!$A$1:$A$18), NETWORKDAYS(F255, H255, fESTIVOS!$A$1:$A$18))</f>
        <v>1</v>
      </c>
      <c r="J255" s="463">
        <v>45686</v>
      </c>
      <c r="K255" s="463">
        <v>45706</v>
      </c>
      <c r="L255" s="464" t="s">
        <v>1539</v>
      </c>
      <c r="M255" s="183"/>
      <c r="N255" s="183"/>
      <c r="O255" s="183"/>
      <c r="P255" s="183"/>
      <c r="Q255" s="183"/>
      <c r="R255" s="183"/>
      <c r="S255" s="183"/>
      <c r="T255" s="183"/>
      <c r="U255" s="183"/>
      <c r="V255" s="183"/>
      <c r="W255" s="183"/>
      <c r="X255" s="183"/>
      <c r="Y255" s="183"/>
      <c r="Z255" s="183"/>
    </row>
    <row r="256" spans="1:26" ht="15.75" customHeight="1">
      <c r="A256" s="206" t="s">
        <v>1034</v>
      </c>
      <c r="B256" s="199" t="s">
        <v>1540</v>
      </c>
      <c r="C256" s="224"/>
      <c r="D256" s="447" t="s">
        <v>37</v>
      </c>
      <c r="E256" s="225">
        <v>45707</v>
      </c>
      <c r="F256" s="225">
        <v>45707</v>
      </c>
      <c r="G256" s="225"/>
      <c r="H256" s="225">
        <v>45708</v>
      </c>
      <c r="I256" s="203">
        <f ca="1">IF(ISBLANK(H256), NETWORKDAYS(F256, TODAY(),fESTIVOS!$A$1:$A$18), NETWORKDAYS(F256, H256, fESTIVOS!$A$1:$A$18))</f>
        <v>2</v>
      </c>
      <c r="J256" s="225"/>
      <c r="K256" s="225">
        <v>45708</v>
      </c>
      <c r="L256" s="448" t="s">
        <v>1541</v>
      </c>
      <c r="M256" s="418"/>
      <c r="N256" s="183"/>
      <c r="O256" s="183"/>
      <c r="P256" s="183"/>
      <c r="Q256" s="183"/>
      <c r="R256" s="183"/>
      <c r="S256" s="183"/>
      <c r="T256" s="183"/>
      <c r="U256" s="183"/>
      <c r="V256" s="183"/>
      <c r="W256" s="183"/>
      <c r="X256" s="183"/>
      <c r="Y256" s="183"/>
      <c r="Z256" s="183"/>
    </row>
    <row r="257" spans="1:33" ht="15.75" customHeight="1">
      <c r="A257" s="206" t="s">
        <v>1034</v>
      </c>
      <c r="B257" s="199" t="s">
        <v>1542</v>
      </c>
      <c r="C257" s="224"/>
      <c r="D257" s="447" t="s">
        <v>37</v>
      </c>
      <c r="E257" s="225">
        <v>45707</v>
      </c>
      <c r="F257" s="225">
        <v>45707</v>
      </c>
      <c r="G257" s="225"/>
      <c r="H257" s="225">
        <v>45708</v>
      </c>
      <c r="I257" s="203">
        <f ca="1">IF(ISBLANK(H257), NETWORKDAYS(F257, TODAY(),fESTIVOS!$A$1:$A$18), NETWORKDAYS(F257, H257, fESTIVOS!$A$1:$A$18))</f>
        <v>2</v>
      </c>
      <c r="J257" s="225"/>
      <c r="K257" s="225">
        <v>45708</v>
      </c>
      <c r="L257" s="543" t="s">
        <v>1543</v>
      </c>
      <c r="M257" s="418"/>
      <c r="N257" s="183"/>
      <c r="O257" s="183"/>
      <c r="P257" s="183"/>
      <c r="Q257" s="183"/>
      <c r="R257" s="183"/>
      <c r="S257" s="183"/>
      <c r="T257" s="183"/>
      <c r="U257" s="183"/>
      <c r="V257" s="183"/>
      <c r="W257" s="183"/>
      <c r="X257" s="183"/>
      <c r="Y257" s="183"/>
      <c r="Z257" s="183"/>
    </row>
    <row r="258" spans="1:33" ht="15.75" customHeight="1">
      <c r="A258" s="206" t="s">
        <v>1034</v>
      </c>
      <c r="B258" s="199" t="s">
        <v>1544</v>
      </c>
      <c r="C258" s="224"/>
      <c r="D258" s="447" t="s">
        <v>37</v>
      </c>
      <c r="E258" s="225">
        <v>45707</v>
      </c>
      <c r="F258" s="225">
        <v>45707</v>
      </c>
      <c r="G258" s="225"/>
      <c r="H258" s="225">
        <v>45708</v>
      </c>
      <c r="I258" s="203">
        <f ca="1">IF(ISBLANK(H258), NETWORKDAYS(F258, TODAY(),fESTIVOS!$A$1:$A$18), NETWORKDAYS(F258, H258, fESTIVOS!$A$1:$A$18))</f>
        <v>2</v>
      </c>
      <c r="J258" s="225"/>
      <c r="K258" s="225"/>
      <c r="L258" s="543" t="s">
        <v>1545</v>
      </c>
      <c r="M258" s="418"/>
      <c r="N258" s="183"/>
      <c r="O258" s="183"/>
      <c r="P258" s="183"/>
      <c r="Q258" s="183"/>
      <c r="R258" s="183"/>
      <c r="S258" s="183"/>
      <c r="T258" s="183"/>
      <c r="U258" s="183"/>
      <c r="V258" s="183"/>
      <c r="W258" s="183"/>
      <c r="X258" s="183"/>
      <c r="Y258" s="183"/>
      <c r="Z258" s="183"/>
    </row>
    <row r="259" spans="1:33" ht="15.75" customHeight="1">
      <c r="A259" s="221" t="s">
        <v>761</v>
      </c>
      <c r="B259" s="449" t="s">
        <v>1546</v>
      </c>
      <c r="C259" s="446"/>
      <c r="D259" s="447" t="s">
        <v>37</v>
      </c>
      <c r="E259" s="225">
        <v>45706</v>
      </c>
      <c r="F259" s="225">
        <v>45706</v>
      </c>
      <c r="G259" s="225"/>
      <c r="H259" s="225">
        <v>45707</v>
      </c>
      <c r="I259" s="203">
        <f ca="1">IF(ISBLANK(H259), NETWORKDAYS(F259, TODAY(),fESTIVOS!$A$1:$A$18), NETWORKDAYS(F259, H259, fESTIVOS!$A$1:$A$18))</f>
        <v>2</v>
      </c>
      <c r="J259" s="225"/>
      <c r="K259" s="225">
        <v>45707</v>
      </c>
      <c r="L259" s="448" t="s">
        <v>1547</v>
      </c>
      <c r="M259" s="183"/>
      <c r="N259" s="183"/>
      <c r="O259" s="183"/>
      <c r="P259" s="183"/>
      <c r="Q259" s="183"/>
      <c r="R259" s="183"/>
      <c r="S259" s="183"/>
      <c r="T259" s="183"/>
      <c r="U259" s="183"/>
      <c r="V259" s="183"/>
      <c r="W259" s="183"/>
      <c r="X259" s="183"/>
      <c r="Y259" s="183"/>
      <c r="Z259" s="183"/>
    </row>
    <row r="260" spans="1:33" ht="15.75" customHeight="1">
      <c r="A260" s="221" t="s">
        <v>786</v>
      </c>
      <c r="B260" s="576" t="s">
        <v>1408</v>
      </c>
      <c r="C260" s="224" t="s">
        <v>1548</v>
      </c>
      <c r="D260" s="200" t="s">
        <v>37</v>
      </c>
      <c r="E260" s="225">
        <v>45597</v>
      </c>
      <c r="F260" s="225"/>
      <c r="G260" s="225"/>
      <c r="H260" s="447">
        <v>0</v>
      </c>
      <c r="I260" s="203">
        <f ca="1">IF(ISBLANK(H260), NETWORKDAYS(F260, TODAY(),fESTIVOS!$A$1:$A$18), NETWORKDAYS(F260, H260, fESTIVOS!$A$1:$A$18))</f>
        <v>0</v>
      </c>
      <c r="J260" s="225"/>
      <c r="K260" s="225"/>
      <c r="L260" s="448"/>
      <c r="M260" s="418"/>
      <c r="N260" s="183"/>
      <c r="O260" s="183"/>
      <c r="P260" s="183"/>
      <c r="Q260" s="183"/>
      <c r="R260" s="183"/>
      <c r="S260" s="183"/>
      <c r="T260" s="183"/>
      <c r="U260" s="183"/>
      <c r="V260" s="183"/>
      <c r="W260" s="183"/>
      <c r="X260" s="183"/>
      <c r="Y260" s="183"/>
      <c r="Z260" s="183"/>
    </row>
    <row r="261" spans="1:33" ht="15.75" customHeight="1">
      <c r="A261" s="221" t="s">
        <v>786</v>
      </c>
      <c r="B261" s="449" t="s">
        <v>1492</v>
      </c>
      <c r="C261" s="620" t="s">
        <v>1549</v>
      </c>
      <c r="D261" s="200" t="s">
        <v>1110</v>
      </c>
      <c r="E261" s="225">
        <v>45698</v>
      </c>
      <c r="F261" s="225">
        <v>45698</v>
      </c>
      <c r="G261" s="201"/>
      <c r="H261" s="447"/>
      <c r="I261" s="203">
        <f ca="1">IF(ISBLANK(H261), NETWORKDAYS(F261, TODAY(),fESTIVOS!$A$1:$A$18), NETWORKDAYS(F261, H261, fESTIVOS!$A$1:$A$18))</f>
        <v>358</v>
      </c>
      <c r="J261" s="223"/>
      <c r="K261" s="592">
        <v>45698</v>
      </c>
      <c r="L261" s="619" t="s">
        <v>1550</v>
      </c>
      <c r="M261" s="228"/>
      <c r="N261" s="228"/>
      <c r="O261" s="228"/>
      <c r="P261" s="228"/>
      <c r="Q261" s="228"/>
      <c r="R261" s="228"/>
      <c r="S261" s="228"/>
      <c r="T261" s="228"/>
      <c r="U261" s="228"/>
      <c r="V261" s="228"/>
      <c r="W261" s="228"/>
      <c r="X261" s="228"/>
      <c r="Y261" s="228"/>
      <c r="Z261" s="228"/>
    </row>
    <row r="262" spans="1:33" ht="15.75" customHeight="1">
      <c r="A262" s="221" t="s">
        <v>786</v>
      </c>
      <c r="B262" s="449" t="s">
        <v>1492</v>
      </c>
      <c r="C262" s="413" t="s">
        <v>1551</v>
      </c>
      <c r="D262" s="200" t="s">
        <v>37</v>
      </c>
      <c r="E262" s="225">
        <v>45707</v>
      </c>
      <c r="F262" s="225">
        <v>45708</v>
      </c>
      <c r="G262" s="201"/>
      <c r="H262" s="225">
        <v>45709</v>
      </c>
      <c r="I262" s="203">
        <f ca="1">IF(ISBLANK(H262), NETWORKDAYS(F262, TODAY(),fESTIVOS!$A$1:$A$18), NETWORKDAYS(F262, H262, fESTIVOS!$A$1:$A$18))</f>
        <v>2</v>
      </c>
      <c r="J262" s="223"/>
      <c r="K262" s="592"/>
      <c r="L262" s="619" t="s">
        <v>1552</v>
      </c>
      <c r="M262" s="228"/>
      <c r="N262" s="228"/>
      <c r="O262" s="228"/>
      <c r="P262" s="228"/>
      <c r="Q262" s="228"/>
      <c r="R262" s="228"/>
      <c r="S262" s="228"/>
      <c r="T262" s="228"/>
      <c r="U262" s="228"/>
      <c r="V262" s="228"/>
      <c r="W262" s="228"/>
      <c r="X262" s="228"/>
      <c r="Y262" s="228"/>
      <c r="Z262" s="228"/>
    </row>
    <row r="263" spans="1:33" ht="15.75" customHeight="1">
      <c r="A263" s="221" t="s">
        <v>786</v>
      </c>
      <c r="B263" s="449" t="s">
        <v>1492</v>
      </c>
      <c r="C263" s="627" t="s">
        <v>1553</v>
      </c>
      <c r="D263" s="200" t="s">
        <v>39</v>
      </c>
      <c r="E263" s="225">
        <v>45698</v>
      </c>
      <c r="F263" s="225">
        <v>45698</v>
      </c>
      <c r="G263" s="201"/>
      <c r="H263" s="447"/>
      <c r="I263" s="203">
        <f ca="1">IF(ISBLANK(H263), NETWORKDAYS(F263, TODAY(),fESTIVOS!$A$1:$A$18), NETWORKDAYS(F263, H263, fESTIVOS!$A$1:$A$18))</f>
        <v>358</v>
      </c>
      <c r="J263" s="223"/>
      <c r="K263" s="592"/>
      <c r="L263" s="581" t="s">
        <v>1554</v>
      </c>
      <c r="M263" s="228"/>
      <c r="N263" s="228"/>
      <c r="O263" s="228"/>
      <c r="P263" s="228"/>
      <c r="Q263" s="228"/>
      <c r="R263" s="228"/>
      <c r="S263" s="228"/>
      <c r="T263" s="228"/>
      <c r="U263" s="228"/>
      <c r="V263" s="228"/>
      <c r="W263" s="228"/>
      <c r="X263" s="228"/>
      <c r="Y263" s="228"/>
      <c r="Z263" s="228"/>
    </row>
    <row r="264" spans="1:33" ht="15.75" customHeight="1">
      <c r="A264" s="221" t="s">
        <v>786</v>
      </c>
      <c r="B264" s="449" t="s">
        <v>1492</v>
      </c>
      <c r="C264" s="580" t="s">
        <v>1555</v>
      </c>
      <c r="D264" s="200" t="s">
        <v>37</v>
      </c>
      <c r="E264" s="225">
        <v>45700</v>
      </c>
      <c r="F264" s="225">
        <v>45701</v>
      </c>
      <c r="G264" s="201"/>
      <c r="H264" s="447"/>
      <c r="I264" s="203">
        <f ca="1">IF(ISBLANK(H264), NETWORKDAYS(F264, TODAY(),fESTIVOS!$A$1:$A$18), NETWORKDAYS(F264, H264, fESTIVOS!$A$1:$A$18))</f>
        <v>355</v>
      </c>
      <c r="J264" s="223"/>
      <c r="K264" s="592"/>
      <c r="L264" s="581"/>
      <c r="M264" s="228"/>
      <c r="N264" s="228"/>
      <c r="O264" s="228"/>
      <c r="P264" s="228"/>
      <c r="Q264" s="228"/>
      <c r="R264" s="228"/>
      <c r="S264" s="228"/>
      <c r="T264" s="228"/>
      <c r="U264" s="228"/>
      <c r="V264" s="228"/>
      <c r="W264" s="228"/>
      <c r="X264" s="228"/>
      <c r="Y264" s="228"/>
      <c r="Z264" s="228"/>
    </row>
    <row r="265" spans="1:33" ht="15.75" customHeight="1">
      <c r="A265" s="221" t="s">
        <v>786</v>
      </c>
      <c r="B265" s="449" t="s">
        <v>1492</v>
      </c>
      <c r="C265" s="580" t="s">
        <v>1556</v>
      </c>
      <c r="D265" s="200" t="s">
        <v>37</v>
      </c>
      <c r="E265" s="225">
        <v>45701</v>
      </c>
      <c r="F265" s="225">
        <v>45701</v>
      </c>
      <c r="G265" s="201"/>
      <c r="H265" s="225">
        <v>45707</v>
      </c>
      <c r="I265" s="203">
        <f ca="1">IF(ISBLANK(H265), NETWORKDAYS(F265, TODAY(),fESTIVOS!$A$1:$A$18), NETWORKDAYS(F265, H265, fESTIVOS!$A$1:$A$18))</f>
        <v>5</v>
      </c>
      <c r="J265" s="223"/>
      <c r="K265" s="592"/>
      <c r="L265" s="581" t="s">
        <v>1557</v>
      </c>
      <c r="M265" s="228"/>
      <c r="N265" s="228"/>
      <c r="O265" s="228"/>
      <c r="P265" s="228"/>
      <c r="Q265" s="228"/>
      <c r="R265" s="228"/>
      <c r="S265" s="228"/>
      <c r="T265" s="228"/>
      <c r="U265" s="228"/>
      <c r="V265" s="228"/>
      <c r="W265" s="228"/>
      <c r="X265" s="228"/>
      <c r="Y265" s="228"/>
      <c r="Z265" s="228"/>
    </row>
    <row r="266" spans="1:33" ht="15.75" customHeight="1">
      <c r="A266" s="221" t="s">
        <v>786</v>
      </c>
      <c r="B266" s="449" t="s">
        <v>1492</v>
      </c>
      <c r="C266" s="580" t="s">
        <v>1558</v>
      </c>
      <c r="D266" s="200" t="s">
        <v>37</v>
      </c>
      <c r="E266" s="225">
        <v>45700</v>
      </c>
      <c r="F266" s="225"/>
      <c r="G266" s="201"/>
      <c r="H266" s="447"/>
      <c r="I266" s="203">
        <f ca="1">IF(ISBLANK(H266), NETWORKDAYS(F266, TODAY(),fESTIVOS!$A$1:$A$18), NETWORKDAYS(F266, H266, fESTIVOS!$A$1:$A$18))</f>
        <v>32982</v>
      </c>
      <c r="J266" s="223"/>
      <c r="K266" s="592"/>
      <c r="L266" s="581"/>
      <c r="M266" s="228"/>
      <c r="N266" s="228"/>
      <c r="O266" s="228"/>
      <c r="P266" s="228"/>
      <c r="Q266" s="228"/>
      <c r="R266" s="228"/>
      <c r="S266" s="228"/>
      <c r="T266" s="228"/>
      <c r="U266" s="228"/>
      <c r="V266" s="228"/>
      <c r="W266" s="228"/>
      <c r="X266" s="228"/>
      <c r="Y266" s="228"/>
      <c r="Z266" s="228"/>
    </row>
    <row r="267" spans="1:33" ht="15.75" customHeight="1">
      <c r="A267" s="221" t="s">
        <v>786</v>
      </c>
      <c r="B267" s="449" t="s">
        <v>1492</v>
      </c>
      <c r="C267" s="580" t="s">
        <v>1559</v>
      </c>
      <c r="D267" s="200" t="s">
        <v>37</v>
      </c>
      <c r="E267" s="225">
        <v>45699</v>
      </c>
      <c r="F267" s="225">
        <v>45700</v>
      </c>
      <c r="G267" s="201"/>
      <c r="H267" s="225">
        <v>45701</v>
      </c>
      <c r="I267" s="203">
        <f ca="1">IF(ISBLANK(H267), NETWORKDAYS(F267, TODAY(),fESTIVOS!$A$1:$A$18), NETWORKDAYS(F267, H267, fESTIVOS!$A$1:$A$18))</f>
        <v>2</v>
      </c>
      <c r="J267" s="223"/>
      <c r="K267" s="592">
        <v>45701</v>
      </c>
      <c r="L267" s="581" t="s">
        <v>1560</v>
      </c>
      <c r="M267" s="228"/>
      <c r="N267" s="228"/>
      <c r="O267" s="228"/>
      <c r="P267" s="228"/>
      <c r="Q267" s="228"/>
      <c r="R267" s="228"/>
      <c r="S267" s="228"/>
      <c r="T267" s="228"/>
      <c r="U267" s="228"/>
      <c r="V267" s="228"/>
      <c r="W267" s="228"/>
      <c r="X267" s="228"/>
      <c r="Y267" s="228"/>
      <c r="Z267" s="228"/>
    </row>
    <row r="268" spans="1:33" ht="15.75" customHeight="1">
      <c r="A268" s="221" t="s">
        <v>786</v>
      </c>
      <c r="B268" s="449" t="s">
        <v>1492</v>
      </c>
      <c r="C268" s="580" t="s">
        <v>1561</v>
      </c>
      <c r="D268" s="200" t="s">
        <v>37</v>
      </c>
      <c r="E268" s="225">
        <v>45702</v>
      </c>
      <c r="F268" s="225">
        <v>45702</v>
      </c>
      <c r="G268" s="201"/>
      <c r="H268" s="225">
        <v>45702</v>
      </c>
      <c r="I268" s="203">
        <f ca="1">IF(ISBLANK(H268), NETWORKDAYS(F268, TODAY(),fESTIVOS!$A$1:$A$18), NETWORKDAYS(F268, H268, fESTIVOS!$A$1:$A$18))</f>
        <v>1</v>
      </c>
      <c r="J268" s="223"/>
      <c r="K268" s="225">
        <v>45702</v>
      </c>
      <c r="L268" s="581"/>
      <c r="M268" s="228"/>
      <c r="N268" s="228"/>
      <c r="O268" s="228"/>
      <c r="P268" s="228"/>
      <c r="Q268" s="228"/>
      <c r="R268" s="228"/>
      <c r="S268" s="228"/>
      <c r="T268" s="228"/>
      <c r="U268" s="228"/>
      <c r="V268" s="228"/>
      <c r="W268" s="228"/>
      <c r="X268" s="228"/>
      <c r="Y268" s="228"/>
      <c r="Z268" s="228"/>
    </row>
    <row r="269" spans="1:33" ht="15.75" customHeight="1">
      <c r="A269" s="206" t="s">
        <v>776</v>
      </c>
      <c r="B269" s="449" t="s">
        <v>1562</v>
      </c>
      <c r="C269" s="437"/>
      <c r="D269" s="221" t="s">
        <v>37</v>
      </c>
      <c r="E269" s="628">
        <v>45712</v>
      </c>
      <c r="F269" s="628">
        <v>45712</v>
      </c>
      <c r="G269" s="207"/>
      <c r="H269" s="628">
        <v>45712</v>
      </c>
      <c r="I269" s="203">
        <f ca="1">IF(ISBLANK(H269), NETWORKDAYS(F269, TODAY(),fESTIVOS!$A$1:$A$18), NETWORKDAYS(F269, H269, fESTIVOS!$A$1:$A$18))</f>
        <v>1</v>
      </c>
      <c r="J269" s="203"/>
      <c r="K269" s="221"/>
      <c r="L269" s="623" t="s">
        <v>1563</v>
      </c>
      <c r="M269" s="418"/>
      <c r="N269" s="183"/>
      <c r="O269" s="183"/>
      <c r="P269" s="183"/>
      <c r="Q269" s="183"/>
      <c r="R269" s="183"/>
      <c r="S269" s="183"/>
      <c r="T269" s="183"/>
      <c r="U269" s="183"/>
      <c r="V269" s="183"/>
      <c r="W269" s="183"/>
      <c r="X269" s="183"/>
      <c r="Y269" s="183"/>
      <c r="Z269" s="183"/>
    </row>
    <row r="270" spans="1:33" ht="15.75" customHeight="1">
      <c r="A270" s="221" t="s">
        <v>786</v>
      </c>
      <c r="B270" s="449" t="s">
        <v>1564</v>
      </c>
      <c r="C270" s="629"/>
      <c r="D270" s="447" t="s">
        <v>37</v>
      </c>
      <c r="E270" s="225">
        <v>45698</v>
      </c>
      <c r="F270" s="225">
        <v>45699</v>
      </c>
      <c r="G270" s="201"/>
      <c r="H270" s="225">
        <v>45713</v>
      </c>
      <c r="I270" s="203">
        <f ca="1">IF(ISBLANK(H270), NETWORKDAYS(F270, TODAY(),fESTIVOS!$A$1:$A$18), NETWORKDAYS(F270, H270, fESTIVOS!$A$1:$A$18))</f>
        <v>11</v>
      </c>
      <c r="J270" s="223"/>
      <c r="K270" s="223"/>
      <c r="L270" s="543" t="s">
        <v>1565</v>
      </c>
      <c r="M270" s="228"/>
      <c r="N270" s="228"/>
      <c r="O270" s="228"/>
      <c r="P270" s="228"/>
      <c r="Q270" s="228"/>
      <c r="R270" s="228"/>
      <c r="S270" s="228"/>
      <c r="T270" s="228"/>
      <c r="U270" s="228"/>
      <c r="V270" s="228"/>
      <c r="W270" s="228"/>
      <c r="X270" s="228"/>
      <c r="Y270" s="228"/>
      <c r="Z270" s="228"/>
    </row>
    <row r="271" spans="1:33" ht="15.75" customHeight="1">
      <c r="A271" s="221" t="s">
        <v>786</v>
      </c>
      <c r="B271" s="449" t="s">
        <v>1492</v>
      </c>
      <c r="C271" s="496" t="s">
        <v>1566</v>
      </c>
      <c r="D271" s="200" t="s">
        <v>1567</v>
      </c>
      <c r="E271" s="225">
        <v>45705</v>
      </c>
      <c r="F271" s="225">
        <v>45705</v>
      </c>
      <c r="G271" s="201">
        <v>45706</v>
      </c>
      <c r="H271" s="447"/>
      <c r="I271" s="203">
        <f ca="1">IF(ISBLANK(H271), NETWORKDAYS(F271, TODAY(),fESTIVOS!$A$1:$A$18), NETWORKDAYS(F271, H271, fESTIVOS!$A$1:$A$18))</f>
        <v>353</v>
      </c>
      <c r="J271" s="223"/>
      <c r="K271" s="592"/>
      <c r="L271" s="581" t="s">
        <v>1568</v>
      </c>
      <c r="M271" s="228"/>
      <c r="N271" s="228"/>
      <c r="O271" s="228"/>
      <c r="P271" s="228"/>
      <c r="Q271" s="228"/>
      <c r="R271" s="228"/>
      <c r="S271" s="228"/>
      <c r="T271" s="228"/>
      <c r="U271" s="228"/>
      <c r="V271" s="228"/>
      <c r="W271" s="228"/>
      <c r="X271" s="228"/>
      <c r="Y271" s="228"/>
      <c r="Z271" s="228"/>
    </row>
    <row r="272" spans="1:33" ht="15.75" customHeight="1">
      <c r="A272" s="496" t="s">
        <v>883</v>
      </c>
      <c r="B272" s="630" t="s">
        <v>1569</v>
      </c>
      <c r="C272" s="631"/>
      <c r="D272" s="415" t="s">
        <v>37</v>
      </c>
      <c r="E272" s="212">
        <v>45712</v>
      </c>
      <c r="F272" s="212">
        <v>45713</v>
      </c>
      <c r="G272" s="205"/>
      <c r="H272" s="212">
        <v>45713</v>
      </c>
      <c r="I272" s="195">
        <f ca="1">IF(ISBLANK(H272), NETWORKDAYS(F272, TODAY(),fESTIVOS!$A$1:$A$18), NETWORKDAYS(F272, H272, fESTIVOS!$A$1:$A$18))</f>
        <v>1</v>
      </c>
      <c r="J272" s="205"/>
      <c r="K272" s="205"/>
      <c r="L272" s="630" t="s">
        <v>1570</v>
      </c>
      <c r="M272" s="214"/>
      <c r="N272" s="214"/>
      <c r="O272" s="214"/>
      <c r="P272" s="214"/>
      <c r="Q272" s="214"/>
      <c r="R272" s="214"/>
      <c r="S272" s="214"/>
      <c r="T272" s="214"/>
      <c r="U272" s="214"/>
      <c r="V272" s="214"/>
      <c r="W272" s="214"/>
      <c r="X272" s="214"/>
      <c r="Y272" s="214"/>
      <c r="Z272" s="214"/>
      <c r="AA272" s="214"/>
      <c r="AB272" s="214"/>
      <c r="AC272" s="214"/>
      <c r="AD272" s="214"/>
      <c r="AE272" s="214"/>
      <c r="AF272" s="214"/>
      <c r="AG272" s="214"/>
    </row>
    <row r="273" spans="1:33" ht="15.75" customHeight="1">
      <c r="A273" s="221" t="s">
        <v>786</v>
      </c>
      <c r="B273" s="449" t="s">
        <v>1492</v>
      </c>
      <c r="C273" s="231" t="s">
        <v>1571</v>
      </c>
      <c r="D273" s="200" t="s">
        <v>1572</v>
      </c>
      <c r="E273" s="225">
        <v>45712</v>
      </c>
      <c r="F273" s="225">
        <v>45712</v>
      </c>
      <c r="G273" s="201"/>
      <c r="H273" s="225">
        <v>45713</v>
      </c>
      <c r="I273" s="203">
        <f ca="1">IF(ISBLANK(H273), NETWORKDAYS(F273, TODAY(),fESTIVOS!$A$1:$A$18), NETWORKDAYS(F273, H273, fESTIVOS!$A$1:$A$18))</f>
        <v>2</v>
      </c>
      <c r="J273" s="223"/>
      <c r="K273" s="223"/>
      <c r="L273" s="619" t="s">
        <v>1573</v>
      </c>
      <c r="M273" s="228"/>
      <c r="N273" s="228"/>
      <c r="O273" s="228"/>
      <c r="P273" s="228"/>
      <c r="Q273" s="228"/>
      <c r="R273" s="228"/>
      <c r="S273" s="228"/>
      <c r="T273" s="228"/>
      <c r="U273" s="228"/>
      <c r="V273" s="228"/>
      <c r="W273" s="228"/>
      <c r="X273" s="228"/>
      <c r="Y273" s="228"/>
      <c r="Z273" s="228"/>
    </row>
    <row r="274" spans="1:33" ht="15.75" customHeight="1">
      <c r="A274" s="221" t="s">
        <v>761</v>
      </c>
      <c r="B274" s="632" t="s">
        <v>1574</v>
      </c>
      <c r="C274" s="631"/>
      <c r="D274" s="571" t="s">
        <v>37</v>
      </c>
      <c r="E274" s="572">
        <v>45714</v>
      </c>
      <c r="F274" s="572">
        <v>45715</v>
      </c>
      <c r="G274" s="570"/>
      <c r="H274" s="572">
        <v>45715</v>
      </c>
      <c r="I274" s="203">
        <f ca="1">IF(ISBLANK(H274), NETWORKDAYS(F274, TODAY(),fESTIVOS!$A$1:$A$18), NETWORKDAYS(F274, H274, fESTIVOS!$A$1:$A$18))</f>
        <v>1</v>
      </c>
      <c r="J274" s="570"/>
      <c r="K274" s="572"/>
      <c r="L274" s="633" t="s">
        <v>1575</v>
      </c>
      <c r="M274" s="183"/>
      <c r="N274" s="183"/>
      <c r="O274" s="183"/>
      <c r="P274" s="183"/>
      <c r="Q274" s="183"/>
      <c r="R274" s="183"/>
      <c r="S274" s="183"/>
      <c r="T274" s="183"/>
      <c r="U274" s="183"/>
      <c r="V274" s="183"/>
      <c r="W274" s="183"/>
      <c r="X274" s="183"/>
      <c r="Y274" s="183"/>
      <c r="Z274" s="183"/>
    </row>
    <row r="275" spans="1:33" ht="15.75" customHeight="1">
      <c r="A275" s="221" t="s">
        <v>786</v>
      </c>
      <c r="B275" s="449" t="s">
        <v>1576</v>
      </c>
      <c r="C275" s="629"/>
      <c r="D275" s="447" t="s">
        <v>37</v>
      </c>
      <c r="E275" s="225">
        <v>45716</v>
      </c>
      <c r="F275" s="225">
        <v>45716</v>
      </c>
      <c r="G275" s="201"/>
      <c r="H275" s="225">
        <v>45716</v>
      </c>
      <c r="I275" s="203">
        <f ca="1">IF(ISBLANK(H275), NETWORKDAYS(F275, TODAY(),fESTIVOS!$A$1:$A$18), NETWORKDAYS(F275, H275, fESTIVOS!$A$1:$A$18))</f>
        <v>1</v>
      </c>
      <c r="J275" s="223"/>
      <c r="K275" s="223"/>
      <c r="L275" s="543" t="s">
        <v>1577</v>
      </c>
      <c r="M275" s="228"/>
      <c r="N275" s="228"/>
      <c r="O275" s="228"/>
      <c r="P275" s="228"/>
      <c r="Q275" s="228"/>
      <c r="R275" s="228"/>
      <c r="S275" s="228"/>
      <c r="T275" s="228"/>
      <c r="U275" s="228"/>
      <c r="V275" s="228"/>
      <c r="W275" s="228"/>
      <c r="X275" s="228"/>
      <c r="Y275" s="228"/>
      <c r="Z275" s="228"/>
    </row>
    <row r="276" spans="1:33" ht="15.75" customHeight="1">
      <c r="A276" s="182" t="s">
        <v>883</v>
      </c>
      <c r="B276" s="182" t="s">
        <v>1578</v>
      </c>
      <c r="C276" s="634"/>
      <c r="D276" s="194" t="s">
        <v>37</v>
      </c>
      <c r="E276" s="635">
        <v>45712</v>
      </c>
      <c r="F276" s="635">
        <v>45713</v>
      </c>
      <c r="G276" s="636"/>
      <c r="H276" s="635">
        <v>45715</v>
      </c>
      <c r="I276" s="195">
        <f ca="1">IF(ISBLANK(H276), NETWORKDAYS(F276, TODAY(),fESTIVOS!$A$1:$A$18), NETWORKDAYS(F276, H276, fESTIVOS!$A$1:$A$18))</f>
        <v>3</v>
      </c>
      <c r="J276" s="636"/>
      <c r="K276" s="636"/>
      <c r="L276" s="588" t="s">
        <v>1579</v>
      </c>
      <c r="M276" s="637"/>
      <c r="N276" s="637"/>
      <c r="O276" s="637"/>
      <c r="P276" s="637"/>
      <c r="Q276" s="637"/>
      <c r="R276" s="637"/>
      <c r="S276" s="637"/>
      <c r="T276" s="637"/>
      <c r="U276" s="637"/>
      <c r="V276" s="637"/>
      <c r="W276" s="637"/>
      <c r="X276" s="637"/>
      <c r="Y276" s="637"/>
      <c r="Z276" s="637"/>
      <c r="AA276" s="637"/>
      <c r="AB276" s="637"/>
      <c r="AC276" s="637"/>
      <c r="AD276" s="637"/>
      <c r="AE276" s="637"/>
      <c r="AF276" s="637"/>
      <c r="AG276" s="637"/>
    </row>
    <row r="277" spans="1:33" ht="15.75" customHeight="1">
      <c r="A277" s="221" t="s">
        <v>786</v>
      </c>
      <c r="B277" s="449" t="s">
        <v>1580</v>
      </c>
      <c r="C277" s="629"/>
      <c r="D277" s="447" t="s">
        <v>37</v>
      </c>
      <c r="E277" s="225">
        <v>45716</v>
      </c>
      <c r="F277" s="225">
        <v>45716</v>
      </c>
      <c r="G277" s="201"/>
      <c r="H277" s="225">
        <v>45716</v>
      </c>
      <c r="I277" s="203">
        <f ca="1">IF(ISBLANK(H277), NETWORKDAYS(F277, TODAY(),fESTIVOS!$A$1:$A$18), NETWORKDAYS(F277, H277, fESTIVOS!$A$1:$A$18))</f>
        <v>1</v>
      </c>
      <c r="J277" s="223"/>
      <c r="K277" s="223"/>
      <c r="L277" s="543" t="s">
        <v>1581</v>
      </c>
      <c r="M277" s="228"/>
      <c r="N277" s="228"/>
      <c r="O277" s="228"/>
      <c r="P277" s="228"/>
      <c r="Q277" s="228"/>
      <c r="R277" s="228"/>
      <c r="S277" s="228"/>
      <c r="T277" s="228"/>
      <c r="U277" s="228"/>
      <c r="V277" s="228"/>
      <c r="W277" s="228"/>
      <c r="X277" s="228"/>
      <c r="Y277" s="228"/>
      <c r="Z277" s="228"/>
    </row>
    <row r="278" spans="1:33" ht="15.75" customHeight="1">
      <c r="A278" s="221" t="s">
        <v>786</v>
      </c>
      <c r="B278" s="449" t="s">
        <v>1582</v>
      </c>
      <c r="C278" s="629"/>
      <c r="D278" s="447" t="s">
        <v>37</v>
      </c>
      <c r="E278" s="225">
        <v>45712</v>
      </c>
      <c r="F278" s="225">
        <v>45712</v>
      </c>
      <c r="G278" s="201"/>
      <c r="H278" s="225">
        <v>45719</v>
      </c>
      <c r="I278" s="203">
        <f ca="1">IF(ISBLANK(H278), NETWORKDAYS(F278, TODAY(),fESTIVOS!$A$1:$A$18), NETWORKDAYS(F278, H278, fESTIVOS!$A$1:$A$18))</f>
        <v>6</v>
      </c>
      <c r="J278" s="223"/>
      <c r="K278" s="223"/>
      <c r="L278" s="543" t="s">
        <v>1583</v>
      </c>
      <c r="M278" s="228"/>
      <c r="N278" s="228"/>
      <c r="O278" s="228"/>
      <c r="P278" s="228"/>
      <c r="Q278" s="228"/>
      <c r="R278" s="228"/>
      <c r="S278" s="228"/>
      <c r="T278" s="228"/>
      <c r="U278" s="228"/>
      <c r="V278" s="228"/>
      <c r="W278" s="228"/>
      <c r="X278" s="228"/>
      <c r="Y278" s="228"/>
      <c r="Z278" s="228"/>
    </row>
    <row r="279" spans="1:33" ht="15.75" customHeight="1">
      <c r="A279" s="496" t="s">
        <v>883</v>
      </c>
      <c r="B279" s="401" t="s">
        <v>1584</v>
      </c>
      <c r="C279" s="638"/>
      <c r="D279" s="194" t="s">
        <v>37</v>
      </c>
      <c r="E279" s="193">
        <v>45715</v>
      </c>
      <c r="F279" s="193">
        <v>45715</v>
      </c>
      <c r="G279" s="193"/>
      <c r="H279" s="193">
        <v>45719</v>
      </c>
      <c r="I279" s="195">
        <f ca="1">IF(ISBLANK(H279), NETWORKDAYS(F279, TODAY(),fESTIVOS!$A$1:$A$18), NETWORKDAYS(F279, H279, fESTIVOS!$A$1:$A$18))</f>
        <v>3</v>
      </c>
      <c r="J279" s="193"/>
      <c r="K279" s="193"/>
      <c r="L279" s="196" t="s">
        <v>1585</v>
      </c>
      <c r="M279" s="418"/>
      <c r="N279" s="183"/>
      <c r="O279" s="183"/>
      <c r="P279" s="183"/>
      <c r="Q279" s="183"/>
      <c r="R279" s="183"/>
      <c r="S279" s="183"/>
      <c r="T279" s="183"/>
      <c r="U279" s="183"/>
      <c r="V279" s="183"/>
      <c r="W279" s="183"/>
      <c r="X279" s="183"/>
      <c r="Y279" s="183"/>
      <c r="Z279" s="183"/>
    </row>
    <row r="280" spans="1:33" ht="15.75" customHeight="1">
      <c r="A280" s="496" t="s">
        <v>883</v>
      </c>
      <c r="B280" s="401" t="s">
        <v>1586</v>
      </c>
      <c r="C280" s="638"/>
      <c r="D280" s="194" t="s">
        <v>37</v>
      </c>
      <c r="E280" s="193">
        <v>45715</v>
      </c>
      <c r="F280" s="193">
        <v>45719</v>
      </c>
      <c r="G280" s="193"/>
      <c r="H280" s="193">
        <v>45719</v>
      </c>
      <c r="I280" s="195">
        <f ca="1">IF(ISBLANK(H280), NETWORKDAYS(F280, TODAY(),fESTIVOS!$A$1:$A$18), NETWORKDAYS(F280, H280, fESTIVOS!$A$1:$A$18))</f>
        <v>1</v>
      </c>
      <c r="J280" s="193"/>
      <c r="K280" s="193"/>
      <c r="L280" s="196" t="s">
        <v>1587</v>
      </c>
      <c r="M280" s="418"/>
      <c r="N280" s="183"/>
      <c r="O280" s="183"/>
      <c r="P280" s="183"/>
      <c r="Q280" s="183"/>
      <c r="R280" s="183"/>
      <c r="S280" s="183"/>
      <c r="T280" s="183"/>
      <c r="U280" s="183"/>
      <c r="V280" s="183"/>
      <c r="W280" s="183"/>
      <c r="X280" s="183"/>
      <c r="Y280" s="183"/>
      <c r="Z280" s="183"/>
    </row>
    <row r="281" spans="1:33" ht="15.75" hidden="1" customHeight="1">
      <c r="A281" s="496" t="s">
        <v>883</v>
      </c>
      <c r="B281" s="401" t="s">
        <v>1588</v>
      </c>
      <c r="C281" s="401"/>
      <c r="D281" s="194" t="s">
        <v>40</v>
      </c>
      <c r="E281" s="193">
        <v>45715</v>
      </c>
      <c r="F281" s="193"/>
      <c r="G281" s="193"/>
      <c r="H281" s="193"/>
      <c r="I281" s="194"/>
      <c r="J281" s="193"/>
      <c r="K281" s="193"/>
      <c r="L281" s="196"/>
      <c r="M281" s="418"/>
      <c r="N281" s="183"/>
      <c r="O281" s="183"/>
      <c r="P281" s="183"/>
      <c r="Q281" s="183"/>
      <c r="R281" s="183"/>
      <c r="S281" s="183"/>
      <c r="T281" s="183"/>
      <c r="U281" s="183"/>
      <c r="V281" s="183"/>
      <c r="W281" s="183"/>
      <c r="X281" s="183"/>
      <c r="Y281" s="183"/>
      <c r="Z281" s="183"/>
    </row>
    <row r="282" spans="1:33" ht="15.75" customHeight="1">
      <c r="A282" s="496" t="s">
        <v>883</v>
      </c>
      <c r="B282" s="192" t="s">
        <v>1589</v>
      </c>
      <c r="C282" s="638"/>
      <c r="D282" s="415" t="s">
        <v>37</v>
      </c>
      <c r="E282" s="193">
        <v>45719</v>
      </c>
      <c r="F282" s="193">
        <v>45719</v>
      </c>
      <c r="G282" s="193"/>
      <c r="H282" s="193"/>
      <c r="I282" s="195">
        <f ca="1">IF(ISBLANK(H282), NETWORKDAYS(F282, TODAY(),fESTIVOS!$A$1:$A$18), NETWORKDAYS(F282, H282, fESTIVOS!$A$1:$A$18))</f>
        <v>343</v>
      </c>
      <c r="J282" s="193"/>
      <c r="K282" s="193"/>
      <c r="L282" s="196" t="s">
        <v>1590</v>
      </c>
      <c r="M282" s="418"/>
      <c r="N282" s="183"/>
      <c r="O282" s="183"/>
      <c r="P282" s="183"/>
      <c r="Q282" s="183"/>
      <c r="R282" s="183"/>
      <c r="S282" s="183"/>
      <c r="T282" s="183"/>
      <c r="U282" s="183"/>
      <c r="V282" s="183"/>
      <c r="W282" s="183"/>
      <c r="X282" s="183"/>
      <c r="Y282" s="183"/>
      <c r="Z282" s="183"/>
    </row>
    <row r="283" spans="1:33" ht="15.75" customHeight="1">
      <c r="A283" s="496" t="s">
        <v>883</v>
      </c>
      <c r="B283" s="603" t="s">
        <v>1591</v>
      </c>
      <c r="C283" s="401"/>
      <c r="D283" s="194" t="s">
        <v>37</v>
      </c>
      <c r="E283" s="193">
        <v>45700</v>
      </c>
      <c r="F283" s="193">
        <v>45701</v>
      </c>
      <c r="G283" s="193">
        <v>45714</v>
      </c>
      <c r="H283" s="193">
        <v>45714</v>
      </c>
      <c r="I283" s="195">
        <f ca="1">IF(ISBLANK(H283), NETWORKDAYS(F283, TODAY(),fESTIVOS!$A$1:$A$18), NETWORKDAYS(F283, H283, fESTIVOS!$A$1:$A$18))</f>
        <v>10</v>
      </c>
      <c r="J283" s="193"/>
      <c r="K283" s="193"/>
      <c r="L283" s="196" t="s">
        <v>1592</v>
      </c>
      <c r="M283" s="418"/>
      <c r="N283" s="183"/>
      <c r="O283" s="183"/>
      <c r="P283" s="183"/>
      <c r="Q283" s="183"/>
      <c r="R283" s="183"/>
      <c r="S283" s="183"/>
      <c r="T283" s="183"/>
      <c r="U283" s="183"/>
      <c r="V283" s="183"/>
      <c r="W283" s="183"/>
      <c r="X283" s="183"/>
      <c r="Y283" s="183"/>
      <c r="Z283" s="183"/>
    </row>
    <row r="284" spans="1:33" ht="15.75" customHeight="1">
      <c r="A284" s="496" t="s">
        <v>883</v>
      </c>
      <c r="B284" s="191" t="s">
        <v>1593</v>
      </c>
      <c r="C284" s="511"/>
      <c r="D284" s="639" t="s">
        <v>37</v>
      </c>
      <c r="E284" s="512">
        <v>45712</v>
      </c>
      <c r="F284" s="512">
        <v>45712</v>
      </c>
      <c r="G284" s="511"/>
      <c r="H284" s="512">
        <v>45721</v>
      </c>
      <c r="I284" s="195">
        <f ca="1">IF(ISBLANK(H284), NETWORKDAYS(F284, TODAY(),fESTIVOS!$A$1:$A$18), NETWORKDAYS(F284, H284, fESTIVOS!$A$1:$A$18))</f>
        <v>8</v>
      </c>
      <c r="J284" s="511"/>
      <c r="K284" s="511"/>
      <c r="L284" s="640" t="s">
        <v>1594</v>
      </c>
    </row>
    <row r="285" spans="1:33" ht="15.75" customHeight="1">
      <c r="A285" s="221" t="s">
        <v>786</v>
      </c>
      <c r="B285" s="603" t="s">
        <v>1595</v>
      </c>
      <c r="C285" s="627" t="s">
        <v>1596</v>
      </c>
      <c r="D285" s="200" t="s">
        <v>37</v>
      </c>
      <c r="E285" s="225">
        <v>45687</v>
      </c>
      <c r="F285" s="226">
        <v>45687</v>
      </c>
      <c r="G285" s="223"/>
      <c r="H285" s="225">
        <v>45692</v>
      </c>
      <c r="I285" s="203">
        <f ca="1">IF(ISBLANK(H285), NETWORKDAYS(F285, TODAY(),fESTIVOS!$A$1:$A$18), NETWORKDAYS(F285, H285, fESTIVOS!$A$1:$A$18))</f>
        <v>4</v>
      </c>
      <c r="J285" s="225">
        <v>45692</v>
      </c>
      <c r="K285" s="223"/>
      <c r="L285" s="580" t="s">
        <v>1597</v>
      </c>
      <c r="M285" s="228"/>
      <c r="N285" s="228"/>
      <c r="O285" s="228"/>
      <c r="P285" s="228"/>
      <c r="Q285" s="228"/>
      <c r="R285" s="228"/>
      <c r="S285" s="228"/>
      <c r="T285" s="228"/>
      <c r="U285" s="228"/>
      <c r="V285" s="228"/>
      <c r="W285" s="228"/>
      <c r="X285" s="228"/>
      <c r="Y285" s="228"/>
      <c r="Z285" s="228"/>
    </row>
    <row r="286" spans="1:33" ht="15.75" customHeight="1">
      <c r="A286" s="221" t="s">
        <v>786</v>
      </c>
      <c r="B286" s="411" t="s">
        <v>1598</v>
      </c>
      <c r="C286" s="627"/>
      <c r="D286" s="200" t="s">
        <v>37</v>
      </c>
      <c r="E286" s="225">
        <v>45720</v>
      </c>
      <c r="F286" s="226">
        <v>45720</v>
      </c>
      <c r="G286" s="223"/>
      <c r="H286" s="225">
        <v>45721</v>
      </c>
      <c r="I286" s="203">
        <f ca="1">IF(ISBLANK(H286), NETWORKDAYS(F286, TODAY(),fESTIVOS!$A$1:$A$18), NETWORKDAYS(F286, H286, fESTIVOS!$A$1:$A$18))</f>
        <v>2</v>
      </c>
      <c r="J286" s="225"/>
      <c r="K286" s="223"/>
      <c r="L286" s="620" t="s">
        <v>1599</v>
      </c>
      <c r="M286" s="228"/>
      <c r="N286" s="228"/>
      <c r="O286" s="228"/>
      <c r="P286" s="228"/>
      <c r="Q286" s="228"/>
      <c r="R286" s="228"/>
      <c r="S286" s="228"/>
      <c r="T286" s="228"/>
      <c r="U286" s="228"/>
      <c r="V286" s="228"/>
      <c r="W286" s="228"/>
      <c r="X286" s="228"/>
      <c r="Y286" s="228"/>
      <c r="Z286" s="228"/>
    </row>
    <row r="287" spans="1:33" ht="15.75" customHeight="1">
      <c r="A287" s="221" t="s">
        <v>761</v>
      </c>
      <c r="B287" s="437" t="s">
        <v>1600</v>
      </c>
      <c r="C287" s="638"/>
      <c r="D287" s="447" t="s">
        <v>37</v>
      </c>
      <c r="E287" s="225">
        <v>45722</v>
      </c>
      <c r="F287" s="225">
        <v>45722</v>
      </c>
      <c r="G287" s="225"/>
      <c r="H287" s="225">
        <v>45722</v>
      </c>
      <c r="I287" s="203">
        <f ca="1">IF(ISBLANK(H287), NETWORKDAYS(F287, TODAY(),fESTIVOS!$A$1:$A$18), NETWORKDAYS(F287, H287, fESTIVOS!$A$1:$A$18))</f>
        <v>1</v>
      </c>
      <c r="J287" s="225"/>
      <c r="K287" s="225"/>
      <c r="L287" s="641" t="s">
        <v>1601</v>
      </c>
      <c r="M287" s="183"/>
      <c r="N287" s="183"/>
      <c r="O287" s="183"/>
      <c r="P287" s="183"/>
      <c r="Q287" s="183"/>
      <c r="R287" s="183"/>
      <c r="S287" s="183"/>
      <c r="T287" s="183"/>
      <c r="U287" s="183"/>
      <c r="V287" s="183"/>
      <c r="W287" s="183"/>
      <c r="X287" s="183"/>
      <c r="Y287" s="183"/>
      <c r="Z287" s="183"/>
    </row>
    <row r="288" spans="1:33" ht="15.75" customHeight="1">
      <c r="A288" s="221" t="s">
        <v>761</v>
      </c>
      <c r="B288" s="417" t="s">
        <v>1602</v>
      </c>
      <c r="C288" s="638"/>
      <c r="D288" s="447" t="s">
        <v>37</v>
      </c>
      <c r="E288" s="225">
        <v>45722</v>
      </c>
      <c r="F288" s="225">
        <v>45723</v>
      </c>
      <c r="G288" s="225"/>
      <c r="H288" s="225">
        <v>45723</v>
      </c>
      <c r="I288" s="203">
        <f ca="1">IF(ISBLANK(H288), NETWORKDAYS(F288, TODAY(),fESTIVOS!$A$1:$A$18), NETWORKDAYS(F288, H288, fESTIVOS!$A$1:$A$18))</f>
        <v>1</v>
      </c>
      <c r="J288" s="225"/>
      <c r="K288" s="225"/>
      <c r="L288" s="641" t="s">
        <v>1603</v>
      </c>
      <c r="M288" s="183"/>
      <c r="N288" s="183"/>
      <c r="O288" s="183"/>
      <c r="P288" s="183"/>
      <c r="Q288" s="183"/>
      <c r="R288" s="183"/>
      <c r="S288" s="183"/>
      <c r="T288" s="183"/>
      <c r="U288" s="183"/>
      <c r="V288" s="183"/>
      <c r="W288" s="183"/>
      <c r="X288" s="183"/>
      <c r="Y288" s="183"/>
      <c r="Z288" s="183"/>
    </row>
    <row r="289" spans="1:26" ht="15.75" customHeight="1">
      <c r="A289" s="221" t="s">
        <v>786</v>
      </c>
      <c r="B289" s="642" t="s">
        <v>1604</v>
      </c>
      <c r="C289" s="629"/>
      <c r="D289" s="194" t="s">
        <v>37</v>
      </c>
      <c r="E289" s="193">
        <v>45722</v>
      </c>
      <c r="F289" s="510">
        <v>45723</v>
      </c>
      <c r="G289" s="452"/>
      <c r="H289" s="510">
        <v>45723</v>
      </c>
      <c r="I289" s="203">
        <f ca="1">IF(ISBLANK(H289), NETWORKDAYS(F289, TODAY(),fESTIVOS!$A$1:$A$18), NETWORKDAYS(F289, H289, fESTIVOS!$A$1:$A$18))</f>
        <v>1</v>
      </c>
      <c r="J289" s="452"/>
      <c r="K289" s="452"/>
      <c r="L289" s="452" t="s">
        <v>1605</v>
      </c>
      <c r="M289" s="643" t="s">
        <v>1606</v>
      </c>
      <c r="N289" s="228"/>
      <c r="O289" s="228"/>
      <c r="P289" s="228"/>
      <c r="Q289" s="228"/>
      <c r="R289" s="228"/>
      <c r="S289" s="228"/>
      <c r="T289" s="228"/>
      <c r="U289" s="228"/>
      <c r="V289" s="228"/>
      <c r="W289" s="228"/>
      <c r="X289" s="228"/>
      <c r="Y289" s="228"/>
      <c r="Z289" s="228"/>
    </row>
    <row r="290" spans="1:26" ht="15.75" hidden="1" customHeight="1">
      <c r="A290" s="221" t="s">
        <v>786</v>
      </c>
      <c r="B290" s="642" t="s">
        <v>1607</v>
      </c>
      <c r="C290" s="452"/>
      <c r="D290" s="194" t="s">
        <v>40</v>
      </c>
      <c r="E290" s="193">
        <v>45722</v>
      </c>
      <c r="F290" s="644"/>
      <c r="G290" s="452"/>
      <c r="H290" s="194"/>
      <c r="I290" s="203">
        <f ca="1">IF(ISBLANK(H290), NETWORKDAYS(F290, TODAY(),fESTIVOS!$A$1:$A$18), NETWORKDAYS(F290, H290, fESTIVOS!$A$1:$A$18))</f>
        <v>32982</v>
      </c>
      <c r="J290" s="452"/>
      <c r="K290" s="452"/>
      <c r="L290" s="452" t="s">
        <v>1608</v>
      </c>
      <c r="M290" s="228"/>
      <c r="N290" s="228"/>
      <c r="O290" s="228"/>
      <c r="P290" s="228"/>
      <c r="Q290" s="228"/>
      <c r="R290" s="228"/>
      <c r="S290" s="228"/>
      <c r="T290" s="228"/>
      <c r="U290" s="228"/>
      <c r="V290" s="228"/>
      <c r="W290" s="228"/>
      <c r="X290" s="228"/>
      <c r="Y290" s="228"/>
      <c r="Z290" s="228"/>
    </row>
    <row r="291" spans="1:26" ht="15.75" hidden="1" customHeight="1">
      <c r="A291" s="221" t="s">
        <v>786</v>
      </c>
      <c r="B291" s="642" t="s">
        <v>1609</v>
      </c>
      <c r="C291" s="452"/>
      <c r="D291" s="194" t="s">
        <v>40</v>
      </c>
      <c r="E291" s="193">
        <v>45722</v>
      </c>
      <c r="F291" s="644"/>
      <c r="G291" s="452"/>
      <c r="H291" s="194"/>
      <c r="I291" s="203">
        <f ca="1">IF(ISBLANK(H291), NETWORKDAYS(F291, TODAY(),fESTIVOS!$A$1:$A$18), NETWORKDAYS(F291, H291, fESTIVOS!$A$1:$A$18))</f>
        <v>32982</v>
      </c>
      <c r="J291" s="452"/>
      <c r="K291" s="452"/>
      <c r="L291" s="452"/>
      <c r="M291" s="228"/>
      <c r="N291" s="228"/>
      <c r="O291" s="228"/>
      <c r="P291" s="228"/>
      <c r="Q291" s="228"/>
      <c r="R291" s="228"/>
      <c r="S291" s="228"/>
      <c r="T291" s="228"/>
      <c r="U291" s="228"/>
      <c r="V291" s="228"/>
      <c r="W291" s="228"/>
      <c r="X291" s="228"/>
      <c r="Y291" s="228"/>
      <c r="Z291" s="228"/>
    </row>
    <row r="292" spans="1:26" ht="15.75" customHeight="1">
      <c r="A292" s="221" t="s">
        <v>786</v>
      </c>
      <c r="B292" s="642" t="s">
        <v>1610</v>
      </c>
      <c r="C292" s="629"/>
      <c r="D292" s="194" t="s">
        <v>37</v>
      </c>
      <c r="E292" s="193">
        <v>45722</v>
      </c>
      <c r="F292" s="510">
        <v>45723</v>
      </c>
      <c r="G292" s="452"/>
      <c r="H292" s="510">
        <v>45723</v>
      </c>
      <c r="I292" s="203">
        <f ca="1">IF(ISBLANK(H292), NETWORKDAYS(F292, TODAY(),fESTIVOS!$A$1:$A$18), NETWORKDAYS(F292, H292, fESTIVOS!$A$1:$A$18))</f>
        <v>1</v>
      </c>
      <c r="J292" s="452"/>
      <c r="K292" s="412">
        <v>45723</v>
      </c>
      <c r="L292" s="452" t="s">
        <v>1611</v>
      </c>
      <c r="M292" s="228" t="s">
        <v>1612</v>
      </c>
      <c r="N292" s="228"/>
      <c r="O292" s="228"/>
      <c r="P292" s="228"/>
      <c r="Q292" s="228"/>
      <c r="R292" s="228"/>
      <c r="S292" s="228"/>
      <c r="T292" s="228"/>
      <c r="U292" s="228"/>
      <c r="V292" s="228"/>
      <c r="W292" s="228"/>
      <c r="X292" s="228"/>
      <c r="Y292" s="228"/>
      <c r="Z292" s="228"/>
    </row>
    <row r="293" spans="1:26" ht="15.75" customHeight="1">
      <c r="A293" s="221" t="s">
        <v>786</v>
      </c>
      <c r="B293" s="642" t="s">
        <v>1613</v>
      </c>
      <c r="C293" s="629"/>
      <c r="D293" s="194" t="s">
        <v>37</v>
      </c>
      <c r="E293" s="193">
        <v>45722</v>
      </c>
      <c r="F293" s="510">
        <v>45722</v>
      </c>
      <c r="G293" s="452"/>
      <c r="H293" s="510">
        <v>45723</v>
      </c>
      <c r="I293" s="203">
        <f ca="1">IF(ISBLANK(H293), NETWORKDAYS(F293, TODAY(),fESTIVOS!$A$1:$A$18), NETWORKDAYS(F293, H293, fESTIVOS!$A$1:$A$18))</f>
        <v>2</v>
      </c>
      <c r="J293" s="452"/>
      <c r="K293" s="412">
        <v>45723</v>
      </c>
      <c r="L293" s="452" t="s">
        <v>1614</v>
      </c>
      <c r="M293" s="228" t="s">
        <v>1612</v>
      </c>
      <c r="N293" s="228"/>
      <c r="O293" s="228"/>
      <c r="P293" s="228"/>
      <c r="Q293" s="228"/>
      <c r="R293" s="228"/>
      <c r="S293" s="228"/>
      <c r="T293" s="228"/>
      <c r="U293" s="228"/>
      <c r="V293" s="228"/>
      <c r="W293" s="228"/>
      <c r="X293" s="228"/>
      <c r="Y293" s="228"/>
      <c r="Z293" s="228"/>
    </row>
    <row r="294" spans="1:26" ht="15.75" customHeight="1">
      <c r="A294" s="221" t="s">
        <v>786</v>
      </c>
      <c r="B294" s="645" t="s">
        <v>1615</v>
      </c>
      <c r="C294" s="629"/>
      <c r="D294" s="447" t="s">
        <v>37</v>
      </c>
      <c r="E294" s="193">
        <v>45721</v>
      </c>
      <c r="F294" s="510">
        <v>45721</v>
      </c>
      <c r="G294" s="452"/>
      <c r="H294" s="193">
        <v>45722</v>
      </c>
      <c r="I294" s="203">
        <f ca="1">IF(ISBLANK(H294), NETWORKDAYS(F294, TODAY(),fESTIVOS!$A$1:$A$18), NETWORKDAYS(F294, H294, fESTIVOS!$A$1:$A$18))</f>
        <v>2</v>
      </c>
      <c r="J294" s="193">
        <v>45722</v>
      </c>
      <c r="K294" s="412">
        <v>45723</v>
      </c>
      <c r="L294" s="452" t="s">
        <v>1616</v>
      </c>
      <c r="M294" s="228" t="s">
        <v>1612</v>
      </c>
      <c r="N294" s="228"/>
      <c r="O294" s="228"/>
      <c r="P294" s="228"/>
      <c r="Q294" s="228"/>
      <c r="R294" s="228"/>
      <c r="S294" s="228"/>
      <c r="T294" s="228"/>
      <c r="U294" s="228"/>
      <c r="V294" s="228"/>
      <c r="W294" s="228"/>
      <c r="X294" s="228"/>
      <c r="Y294" s="228"/>
      <c r="Z294" s="228"/>
    </row>
    <row r="295" spans="1:26" ht="15.75" customHeight="1">
      <c r="A295" s="221" t="s">
        <v>786</v>
      </c>
      <c r="B295" s="646" t="s">
        <v>1617</v>
      </c>
      <c r="C295" s="629"/>
      <c r="D295" s="194" t="s">
        <v>37</v>
      </c>
      <c r="E295" s="193">
        <v>45726</v>
      </c>
      <c r="F295" s="510">
        <v>45727</v>
      </c>
      <c r="G295" s="452"/>
      <c r="H295" s="193">
        <v>45727</v>
      </c>
      <c r="I295" s="203">
        <f ca="1">IF(ISBLANK(H295), NETWORKDAYS(F295, TODAY(),fESTIVOS!$A$1:$A$18), NETWORKDAYS(F295, H295, fESTIVOS!$A$1:$A$18))</f>
        <v>1</v>
      </c>
      <c r="J295" s="452"/>
      <c r="K295" s="452"/>
      <c r="L295" s="452" t="s">
        <v>1618</v>
      </c>
      <c r="M295" s="228"/>
      <c r="N295" s="228"/>
      <c r="O295" s="228"/>
      <c r="P295" s="228"/>
      <c r="Q295" s="228"/>
      <c r="R295" s="228"/>
      <c r="S295" s="228"/>
      <c r="T295" s="228"/>
      <c r="U295" s="228"/>
      <c r="V295" s="228"/>
      <c r="W295" s="228"/>
      <c r="X295" s="228"/>
      <c r="Y295" s="228"/>
      <c r="Z295" s="228"/>
    </row>
    <row r="296" spans="1:26" ht="15.75" customHeight="1">
      <c r="A296" s="221" t="s">
        <v>786</v>
      </c>
      <c r="B296" s="587" t="s">
        <v>1619</v>
      </c>
      <c r="C296" s="647"/>
      <c r="D296" s="194" t="s">
        <v>37</v>
      </c>
      <c r="E296" s="193">
        <v>45726</v>
      </c>
      <c r="F296" s="193">
        <v>45726</v>
      </c>
      <c r="H296" s="648">
        <v>45727</v>
      </c>
      <c r="I296" s="203">
        <f ca="1">IF(ISBLANK(H296), NETWORKDAYS(F296, TODAY(),fESTIVOS!$A$1:$A$18), NETWORKDAYS(F296, H296, fESTIVOS!$A$1:$A$18))</f>
        <v>2</v>
      </c>
      <c r="K296" s="648">
        <v>45727</v>
      </c>
      <c r="L296" s="587" t="s">
        <v>1620</v>
      </c>
    </row>
    <row r="297" spans="1:26" ht="15.75" customHeight="1">
      <c r="A297" s="221" t="s">
        <v>786</v>
      </c>
      <c r="B297" s="496" t="s">
        <v>1621</v>
      </c>
      <c r="C297" s="495"/>
      <c r="D297" s="200" t="s">
        <v>37</v>
      </c>
      <c r="E297" s="225">
        <v>45722</v>
      </c>
      <c r="F297" s="225">
        <v>45722</v>
      </c>
      <c r="G297" s="225">
        <v>45694</v>
      </c>
      <c r="H297" s="225">
        <v>45727</v>
      </c>
      <c r="I297" s="203">
        <f ca="1">IF(ISBLANK(H297), NETWORKDAYS(F297, TODAY(),fESTIVOS!$A$1:$A$18), NETWORKDAYS(F297, H297, fESTIVOS!$A$1:$A$18))</f>
        <v>4</v>
      </c>
      <c r="J297" s="225">
        <v>45727</v>
      </c>
      <c r="K297" s="225">
        <v>45728</v>
      </c>
      <c r="L297" s="641" t="s">
        <v>1622</v>
      </c>
      <c r="M297" s="228"/>
      <c r="N297" s="228"/>
      <c r="O297" s="228"/>
      <c r="P297" s="228"/>
      <c r="Q297" s="228"/>
      <c r="R297" s="228"/>
      <c r="S297" s="228"/>
      <c r="T297" s="228"/>
      <c r="U297" s="228"/>
      <c r="V297" s="228"/>
      <c r="W297" s="228"/>
      <c r="X297" s="228"/>
      <c r="Y297" s="228"/>
      <c r="Z297" s="228"/>
    </row>
    <row r="298" spans="1:26" ht="15.75" customHeight="1">
      <c r="A298" s="221" t="s">
        <v>786</v>
      </c>
      <c r="B298" s="417" t="s">
        <v>1623</v>
      </c>
      <c r="C298" s="216"/>
      <c r="D298" s="200" t="s">
        <v>37</v>
      </c>
      <c r="E298" s="649">
        <v>45714</v>
      </c>
      <c r="F298" s="225">
        <v>45716</v>
      </c>
      <c r="G298" s="225"/>
      <c r="H298" s="201">
        <v>45722</v>
      </c>
      <c r="I298" s="203">
        <f ca="1">IF(ISBLANK(H298), NETWORKDAYS(F298, TODAY(),fESTIVOS!$A$1:$A$18), NETWORKDAYS(F298, H298, fESTIVOS!$A$1:$A$18))</f>
        <v>5</v>
      </c>
      <c r="J298" s="201">
        <v>45722</v>
      </c>
      <c r="K298" s="201">
        <v>45728</v>
      </c>
      <c r="L298" s="620" t="s">
        <v>1624</v>
      </c>
      <c r="M298" s="650" t="s">
        <v>1625</v>
      </c>
      <c r="N298" s="228"/>
      <c r="O298" s="228"/>
      <c r="P298" s="228"/>
      <c r="Q298" s="228"/>
      <c r="R298" s="228"/>
      <c r="S298" s="228"/>
      <c r="T298" s="228"/>
      <c r="U298" s="228"/>
      <c r="V298" s="228"/>
      <c r="W298" s="228"/>
      <c r="X298" s="228"/>
      <c r="Y298" s="228"/>
      <c r="Z298" s="228"/>
    </row>
    <row r="299" spans="1:26" ht="15.75" customHeight="1">
      <c r="A299" s="221" t="s">
        <v>761</v>
      </c>
      <c r="B299" s="651" t="s">
        <v>1626</v>
      </c>
      <c r="C299" s="631"/>
      <c r="D299" s="652" t="s">
        <v>37</v>
      </c>
      <c r="E299" s="572">
        <v>45694</v>
      </c>
      <c r="F299" s="572">
        <v>45695</v>
      </c>
      <c r="G299" s="570"/>
      <c r="H299" s="653">
        <v>45729</v>
      </c>
      <c r="I299" s="203">
        <f ca="1">IF(ISBLANK(H299), NETWORKDAYS(F299, TODAY(),fESTIVOS!$A$1:$A$18), NETWORKDAYS(F299, H299, fESTIVOS!$A$1:$A$18))</f>
        <v>25</v>
      </c>
      <c r="J299" s="572">
        <v>45715</v>
      </c>
      <c r="K299" s="653">
        <v>45729</v>
      </c>
      <c r="L299" s="654" t="s">
        <v>1627</v>
      </c>
      <c r="M299" s="183"/>
      <c r="N299" s="183"/>
      <c r="O299" s="183"/>
      <c r="P299" s="183"/>
      <c r="Q299" s="183"/>
      <c r="R299" s="183"/>
      <c r="S299" s="183"/>
      <c r="T299" s="183"/>
      <c r="U299" s="183"/>
      <c r="V299" s="183"/>
      <c r="W299" s="183"/>
      <c r="X299" s="183"/>
      <c r="Y299" s="183"/>
      <c r="Z299" s="183"/>
    </row>
    <row r="300" spans="1:26" ht="15.75" customHeight="1">
      <c r="A300" s="221" t="s">
        <v>761</v>
      </c>
      <c r="B300" s="655" t="s">
        <v>1628</v>
      </c>
      <c r="C300" s="647"/>
      <c r="D300" s="656" t="s">
        <v>37</v>
      </c>
      <c r="E300" s="648">
        <v>45726</v>
      </c>
      <c r="F300" s="648">
        <v>45726</v>
      </c>
      <c r="H300" s="648">
        <v>45733</v>
      </c>
      <c r="I300" s="203">
        <f ca="1">IF(ISBLANK(H300), NETWORKDAYS(F300, TODAY(),fESTIVOS!$A$1:$A$18), NETWORKDAYS(F300, H300, fESTIVOS!$A$1:$A$18))</f>
        <v>6</v>
      </c>
      <c r="L300" s="228" t="s">
        <v>1629</v>
      </c>
    </row>
    <row r="301" spans="1:26" ht="15.75" customHeight="1">
      <c r="A301" s="221" t="s">
        <v>761</v>
      </c>
      <c r="B301" s="657" t="s">
        <v>1630</v>
      </c>
      <c r="C301" s="658"/>
      <c r="D301" s="210" t="s">
        <v>37</v>
      </c>
      <c r="E301" s="579">
        <v>45730</v>
      </c>
      <c r="F301" s="579">
        <v>45733</v>
      </c>
      <c r="G301" s="579"/>
      <c r="H301" s="579">
        <v>45733</v>
      </c>
      <c r="I301" s="203">
        <f ca="1">IF(ISBLANK(H301), NETWORKDAYS(F301, TODAY(),fESTIVOS!$A$1:$A$18), NETWORKDAYS(F301, H301, fESTIVOS!$A$1:$A$18))</f>
        <v>1</v>
      </c>
      <c r="J301" s="579"/>
      <c r="K301" s="579"/>
      <c r="L301" s="659" t="s">
        <v>1631</v>
      </c>
      <c r="M301" s="183"/>
      <c r="N301" s="183"/>
      <c r="O301" s="183"/>
      <c r="P301" s="183"/>
      <c r="Q301" s="183"/>
      <c r="R301" s="183"/>
      <c r="S301" s="183"/>
      <c r="T301" s="183"/>
      <c r="U301" s="183"/>
      <c r="V301" s="183"/>
      <c r="W301" s="183"/>
      <c r="X301" s="183"/>
      <c r="Y301" s="183"/>
      <c r="Z301" s="183"/>
    </row>
    <row r="302" spans="1:26" ht="15.75" customHeight="1">
      <c r="A302" s="221" t="s">
        <v>786</v>
      </c>
      <c r="B302" s="640" t="s">
        <v>1632</v>
      </c>
      <c r="C302" s="660"/>
      <c r="D302" s="194" t="s">
        <v>37</v>
      </c>
      <c r="E302" s="512">
        <v>45730</v>
      </c>
      <c r="F302" s="512">
        <v>45730</v>
      </c>
      <c r="G302" s="511"/>
      <c r="H302" s="512">
        <v>45730</v>
      </c>
      <c r="I302" s="203">
        <f ca="1">IF(ISBLANK(H302), NETWORKDAYS(F302, TODAY(),fESTIVOS!$A$1:$A$18), NETWORKDAYS(F302, H302, fESTIVOS!$A$1:$A$18))</f>
        <v>1</v>
      </c>
      <c r="J302" s="511"/>
      <c r="K302" s="511"/>
      <c r="L302" s="511" t="s">
        <v>1633</v>
      </c>
    </row>
    <row r="303" spans="1:26" ht="15.75" customHeight="1">
      <c r="A303" s="221" t="s">
        <v>786</v>
      </c>
      <c r="B303" s="642" t="s">
        <v>1634</v>
      </c>
      <c r="C303" s="629"/>
      <c r="D303" s="194" t="s">
        <v>37</v>
      </c>
      <c r="E303" s="193">
        <v>45726</v>
      </c>
      <c r="F303" s="510">
        <v>45726</v>
      </c>
      <c r="G303" s="452"/>
      <c r="H303" s="193">
        <v>45727</v>
      </c>
      <c r="I303" s="203">
        <f ca="1">IF(ISBLANK(H303), NETWORKDAYS(F303, TODAY(),fESTIVOS!$A$1:$A$18), NETWORKDAYS(F303, H303, fESTIVOS!$A$1:$A$18))</f>
        <v>2</v>
      </c>
      <c r="J303" s="452"/>
      <c r="K303" s="452"/>
      <c r="L303" s="452" t="s">
        <v>1635</v>
      </c>
      <c r="M303" s="228"/>
      <c r="N303" s="228"/>
      <c r="O303" s="228"/>
      <c r="P303" s="228"/>
      <c r="Q303" s="228"/>
      <c r="R303" s="228"/>
      <c r="S303" s="228"/>
      <c r="T303" s="228"/>
      <c r="U303" s="228"/>
      <c r="V303" s="228"/>
      <c r="W303" s="228"/>
      <c r="X303" s="228"/>
      <c r="Y303" s="228"/>
      <c r="Z303" s="228"/>
    </row>
    <row r="304" spans="1:26" ht="15.75" customHeight="1">
      <c r="A304" s="500" t="s">
        <v>786</v>
      </c>
      <c r="B304" s="661" t="s">
        <v>1636</v>
      </c>
      <c r="C304" s="662"/>
      <c r="D304" s="425" t="s">
        <v>37</v>
      </c>
      <c r="E304" s="426">
        <v>45726</v>
      </c>
      <c r="F304" s="663">
        <v>45729</v>
      </c>
      <c r="G304" s="186"/>
      <c r="H304" s="426">
        <v>45736</v>
      </c>
      <c r="I304" s="664">
        <f ca="1">IF(ISBLANK(H304), NETWORKDAYS(F304, TODAY(),fESTIVOS!$A$1:$A$18), NETWORKDAYS(F304, H304, fESTIVOS!$A$1:$A$18))</f>
        <v>6</v>
      </c>
      <c r="J304" s="188">
        <v>45735</v>
      </c>
      <c r="K304" s="188">
        <v>45736</v>
      </c>
      <c r="L304" s="186" t="s">
        <v>1637</v>
      </c>
      <c r="M304" s="228"/>
      <c r="N304" s="228"/>
      <c r="O304" s="228"/>
      <c r="P304" s="228"/>
      <c r="Q304" s="228"/>
      <c r="R304" s="228"/>
      <c r="S304" s="228"/>
      <c r="T304" s="228"/>
      <c r="U304" s="228"/>
      <c r="V304" s="228"/>
      <c r="W304" s="228"/>
      <c r="X304" s="228"/>
      <c r="Y304" s="228"/>
      <c r="Z304" s="228"/>
    </row>
    <row r="305" spans="1:33" ht="15.75" customHeight="1">
      <c r="A305" s="221" t="s">
        <v>761</v>
      </c>
      <c r="B305" s="665" t="s">
        <v>1638</v>
      </c>
      <c r="C305" s="658"/>
      <c r="D305" s="210" t="s">
        <v>37</v>
      </c>
      <c r="E305" s="579">
        <v>45737</v>
      </c>
      <c r="F305" s="579">
        <v>45737</v>
      </c>
      <c r="G305" s="579"/>
      <c r="H305" s="579">
        <v>45737</v>
      </c>
      <c r="I305" s="203">
        <f ca="1">IF(ISBLANK(H305), NETWORKDAYS(F305, TODAY(),fESTIVOS!$A$1:$A$18), NETWORKDAYS(F305, H305, fESTIVOS!$A$1:$A$18))</f>
        <v>1</v>
      </c>
      <c r="J305" s="579"/>
      <c r="K305" s="579"/>
      <c r="L305" s="659" t="s">
        <v>1639</v>
      </c>
      <c r="M305" s="183"/>
      <c r="N305" s="183"/>
      <c r="O305" s="183"/>
      <c r="P305" s="183"/>
      <c r="Q305" s="183"/>
      <c r="R305" s="183"/>
      <c r="S305" s="183"/>
      <c r="T305" s="183"/>
      <c r="U305" s="183"/>
      <c r="V305" s="183"/>
      <c r="W305" s="183"/>
      <c r="X305" s="183"/>
      <c r="Y305" s="183"/>
      <c r="Z305" s="183"/>
    </row>
    <row r="306" spans="1:33" ht="15.75" customHeight="1">
      <c r="A306" s="221" t="s">
        <v>786</v>
      </c>
      <c r="B306" s="666" t="s">
        <v>1640</v>
      </c>
      <c r="C306" s="492"/>
      <c r="D306" s="194" t="s">
        <v>37</v>
      </c>
      <c r="E306" s="426">
        <v>45737</v>
      </c>
      <c r="F306" s="426">
        <v>45737</v>
      </c>
      <c r="G306" s="186"/>
      <c r="H306" s="426">
        <v>45737</v>
      </c>
      <c r="I306" s="203">
        <f ca="1">IF(ISBLANK(H306), NETWORKDAYS(F306, TODAY(),fESTIVOS!$A$1:$A$18), NETWORKDAYS(F306, H306, fESTIVOS!$A$1:$A$18))</f>
        <v>1</v>
      </c>
      <c r="J306" s="186"/>
      <c r="K306" s="186"/>
      <c r="L306" s="186" t="s">
        <v>1641</v>
      </c>
      <c r="M306" s="228"/>
      <c r="N306" s="228"/>
      <c r="O306" s="228"/>
      <c r="P306" s="228"/>
      <c r="Q306" s="228"/>
      <c r="R306" s="228"/>
      <c r="S306" s="228"/>
      <c r="T306" s="228"/>
      <c r="U306" s="228"/>
      <c r="V306" s="228"/>
      <c r="W306" s="228"/>
      <c r="X306" s="228"/>
      <c r="Y306" s="228"/>
      <c r="Z306" s="228"/>
    </row>
    <row r="307" spans="1:33" ht="15.75" customHeight="1">
      <c r="A307" s="206" t="s">
        <v>776</v>
      </c>
      <c r="B307" s="411" t="s">
        <v>1642</v>
      </c>
      <c r="C307" s="437"/>
      <c r="D307" s="221" t="s">
        <v>37</v>
      </c>
      <c r="E307" s="628">
        <v>45734</v>
      </c>
      <c r="F307" s="628">
        <v>45734</v>
      </c>
      <c r="G307" s="207"/>
      <c r="H307" s="628">
        <v>45741</v>
      </c>
      <c r="I307" s="195">
        <f ca="1">IF(ISBLANK(H307), NETWORKDAYS(F307, TODAY(),fESTIVOS!$A$1:$A$18), NETWORKDAYS(F307, H307, fESTIVOS!$A$1:$A$18))</f>
        <v>6</v>
      </c>
      <c r="J307" s="203"/>
      <c r="K307" s="628">
        <v>45741</v>
      </c>
      <c r="L307" s="667" t="s">
        <v>1643</v>
      </c>
      <c r="M307" s="668"/>
      <c r="N307" s="183"/>
      <c r="O307" s="183"/>
      <c r="P307" s="183"/>
      <c r="Q307" s="183"/>
      <c r="R307" s="183"/>
      <c r="S307" s="183"/>
      <c r="T307" s="183"/>
      <c r="U307" s="183"/>
      <c r="V307" s="183"/>
      <c r="W307" s="183"/>
      <c r="X307" s="183"/>
      <c r="Y307" s="183"/>
      <c r="Z307" s="183"/>
    </row>
    <row r="308" spans="1:33" ht="15.75" customHeight="1">
      <c r="A308" s="221" t="s">
        <v>786</v>
      </c>
      <c r="B308" s="666" t="s">
        <v>1644</v>
      </c>
      <c r="C308" s="492"/>
      <c r="D308" s="194" t="s">
        <v>37</v>
      </c>
      <c r="E308" s="426">
        <v>45741</v>
      </c>
      <c r="F308" s="426">
        <v>45741</v>
      </c>
      <c r="G308" s="186"/>
      <c r="H308" s="426">
        <v>45741</v>
      </c>
      <c r="I308" s="203">
        <f ca="1">IF(ISBLANK(H308), NETWORKDAYS(F308, TODAY(),fESTIVOS!$A$1:$A$18), NETWORKDAYS(F308, H308, fESTIVOS!$A$1:$A$18))</f>
        <v>1</v>
      </c>
      <c r="J308" s="186"/>
      <c r="K308" s="426">
        <v>45741</v>
      </c>
      <c r="L308" s="669" t="s">
        <v>1645</v>
      </c>
      <c r="M308" s="228"/>
      <c r="N308" s="228"/>
      <c r="O308" s="228"/>
      <c r="P308" s="228"/>
      <c r="Q308" s="228"/>
      <c r="R308" s="228"/>
      <c r="S308" s="228"/>
      <c r="T308" s="228"/>
      <c r="U308" s="228"/>
      <c r="V308" s="228"/>
      <c r="W308" s="228"/>
      <c r="X308" s="228"/>
      <c r="Y308" s="228"/>
      <c r="Z308" s="228"/>
    </row>
    <row r="309" spans="1:33" ht="15.75" customHeight="1">
      <c r="A309" s="221" t="s">
        <v>786</v>
      </c>
      <c r="B309" s="666" t="s">
        <v>1646</v>
      </c>
      <c r="C309" s="492"/>
      <c r="D309" s="194" t="s">
        <v>37</v>
      </c>
      <c r="E309" s="426">
        <v>45741</v>
      </c>
      <c r="F309" s="426">
        <v>45741</v>
      </c>
      <c r="G309" s="186"/>
      <c r="H309" s="426">
        <v>45741</v>
      </c>
      <c r="I309" s="203">
        <f ca="1">IF(ISBLANK(H309), NETWORKDAYS(F309, TODAY(),fESTIVOS!$A$1:$A$18), NETWORKDAYS(F309, H309, fESTIVOS!$A$1:$A$18))</f>
        <v>1</v>
      </c>
      <c r="J309" s="186"/>
      <c r="K309" s="186"/>
      <c r="L309" s="669" t="s">
        <v>1647</v>
      </c>
      <c r="M309" s="228"/>
      <c r="N309" s="228"/>
      <c r="O309" s="228"/>
      <c r="P309" s="228"/>
      <c r="Q309" s="228"/>
      <c r="R309" s="228"/>
      <c r="S309" s="228"/>
      <c r="T309" s="228"/>
      <c r="U309" s="228"/>
      <c r="V309" s="228"/>
      <c r="W309" s="228"/>
      <c r="X309" s="228"/>
      <c r="Y309" s="228"/>
      <c r="Z309" s="228"/>
    </row>
    <row r="310" spans="1:33" ht="15" customHeight="1">
      <c r="A310" s="221" t="s">
        <v>786</v>
      </c>
      <c r="B310" s="670" t="s">
        <v>1648</v>
      </c>
      <c r="C310" s="647"/>
      <c r="D310" s="624" t="s">
        <v>37</v>
      </c>
      <c r="E310" s="648">
        <v>45742</v>
      </c>
      <c r="F310" s="648">
        <v>45743</v>
      </c>
      <c r="I310" s="203">
        <f ca="1">IF(ISBLANK(H310), NETWORKDAYS(F310, TODAY(),fESTIVOS!$A$1:$A$18), NETWORKDAYS(F310, H310, fESTIVOS!$A$1:$A$18))</f>
        <v>325</v>
      </c>
      <c r="L310" s="228" t="s">
        <v>1649</v>
      </c>
    </row>
    <row r="311" spans="1:33" ht="15.75" customHeight="1">
      <c r="A311" s="206" t="s">
        <v>776</v>
      </c>
      <c r="B311" s="216" t="s">
        <v>1650</v>
      </c>
      <c r="C311" s="437"/>
      <c r="D311" s="221" t="s">
        <v>37</v>
      </c>
      <c r="E311" s="628">
        <v>45744</v>
      </c>
      <c r="F311" s="628">
        <v>45744</v>
      </c>
      <c r="G311" s="207"/>
      <c r="H311" s="628">
        <v>45744</v>
      </c>
      <c r="I311" s="195">
        <f ca="1">IF(ISBLANK(H311), NETWORKDAYS(F311, TODAY(),fESTIVOS!$A$1:$A$18), NETWORKDAYS(F311, H311, fESTIVOS!$A$1:$A$18))</f>
        <v>1</v>
      </c>
      <c r="J311" s="203"/>
      <c r="K311" s="628">
        <v>45744</v>
      </c>
      <c r="L311" s="667" t="s">
        <v>1651</v>
      </c>
      <c r="M311" s="668"/>
      <c r="N311" s="183"/>
      <c r="O311" s="183"/>
      <c r="P311" s="183"/>
      <c r="Q311" s="183"/>
      <c r="R311" s="183"/>
      <c r="S311" s="183"/>
      <c r="T311" s="183"/>
      <c r="U311" s="183"/>
      <c r="V311" s="183"/>
      <c r="W311" s="183"/>
      <c r="X311" s="183"/>
      <c r="Y311" s="183"/>
      <c r="Z311" s="183"/>
    </row>
    <row r="312" spans="1:33" ht="15" customHeight="1">
      <c r="A312" s="565" t="s">
        <v>786</v>
      </c>
      <c r="B312" s="670" t="s">
        <v>1652</v>
      </c>
      <c r="C312" s="660"/>
      <c r="D312" s="624" t="s">
        <v>37</v>
      </c>
      <c r="E312" s="648">
        <v>45743</v>
      </c>
      <c r="F312" s="648">
        <v>45744</v>
      </c>
      <c r="G312" s="228"/>
      <c r="H312" s="648">
        <v>45744</v>
      </c>
      <c r="I312" s="552">
        <f ca="1">IF(ISBLANK(H312), NETWORKDAYS(F312, TODAY(),fESTIVOS!$A$1:$A$18), NETWORKDAYS(F312, H312, fESTIVOS!$A$1:$A$18))</f>
        <v>1</v>
      </c>
      <c r="J312" s="228"/>
      <c r="K312" s="648">
        <v>45744</v>
      </c>
      <c r="L312" s="228" t="s">
        <v>1653</v>
      </c>
    </row>
    <row r="313" spans="1:33" ht="15.75" customHeight="1">
      <c r="A313" s="221" t="s">
        <v>786</v>
      </c>
      <c r="B313" s="472" t="s">
        <v>1654</v>
      </c>
      <c r="C313" s="629"/>
      <c r="D313" s="671" t="s">
        <v>37</v>
      </c>
      <c r="E313" s="225">
        <v>45744</v>
      </c>
      <c r="F313" s="225">
        <v>45744</v>
      </c>
      <c r="G313" s="223"/>
      <c r="H313" s="225">
        <v>45744</v>
      </c>
      <c r="I313" s="203">
        <f ca="1">IF(ISBLANK(H313), NETWORKDAYS(F313, TODAY(),fESTIVOS!$A$1:$A$18), NETWORKDAYS(F313, H313, fESTIVOS!$A$1:$A$18))</f>
        <v>1</v>
      </c>
      <c r="J313" s="225"/>
      <c r="K313" s="225">
        <v>45744</v>
      </c>
      <c r="L313" s="223" t="s">
        <v>1655</v>
      </c>
      <c r="M313" s="228"/>
      <c r="N313" s="228"/>
      <c r="O313" s="228"/>
      <c r="P313" s="228"/>
      <c r="Q313" s="228"/>
      <c r="R313" s="228"/>
      <c r="S313" s="228"/>
      <c r="T313" s="228"/>
      <c r="U313" s="228"/>
      <c r="V313" s="228"/>
      <c r="W313" s="228"/>
      <c r="X313" s="228"/>
      <c r="Y313" s="228"/>
      <c r="Z313" s="228"/>
    </row>
    <row r="314" spans="1:33" ht="15.75" customHeight="1">
      <c r="A314" s="221" t="s">
        <v>786</v>
      </c>
      <c r="B314" s="672" t="s">
        <v>787</v>
      </c>
      <c r="C314" s="629"/>
      <c r="D314" s="671" t="s">
        <v>37</v>
      </c>
      <c r="E314" s="225">
        <v>45671</v>
      </c>
      <c r="F314" s="226">
        <v>45673</v>
      </c>
      <c r="G314" s="223" t="s">
        <v>790</v>
      </c>
      <c r="H314" s="225">
        <v>45680</v>
      </c>
      <c r="I314" s="203">
        <f ca="1">IF(ISBLANK(H314), NETWORKDAYS(F314, TODAY(),fESTIVOS!$A$1:$A$18), NETWORKDAYS(F314, H314, fESTIVOS!$A$1:$A$18))</f>
        <v>6</v>
      </c>
      <c r="J314" s="225">
        <v>45680</v>
      </c>
      <c r="K314" s="223"/>
      <c r="L314" s="223" t="s">
        <v>1656</v>
      </c>
      <c r="M314" s="643" t="s">
        <v>1657</v>
      </c>
      <c r="N314" s="228"/>
      <c r="O314" s="228"/>
      <c r="P314" s="228"/>
      <c r="Q314" s="228"/>
      <c r="R314" s="228"/>
      <c r="S314" s="228"/>
      <c r="T314" s="228"/>
      <c r="U314" s="228"/>
      <c r="V314" s="228"/>
      <c r="W314" s="228"/>
      <c r="X314" s="228"/>
      <c r="Y314" s="228"/>
      <c r="Z314" s="228"/>
    </row>
    <row r="315" spans="1:33" ht="15.75" customHeight="1">
      <c r="A315" s="500" t="s">
        <v>786</v>
      </c>
      <c r="B315" s="673" t="s">
        <v>1658</v>
      </c>
      <c r="C315" s="231"/>
      <c r="D315" s="493" t="s">
        <v>37</v>
      </c>
      <c r="E315" s="426">
        <v>45736</v>
      </c>
      <c r="F315" s="426">
        <v>45736</v>
      </c>
      <c r="G315" s="186"/>
      <c r="H315" s="426">
        <v>45749</v>
      </c>
      <c r="I315" s="504">
        <f ca="1">IF(ISBLANK(H315), NETWORKDAYS(F315, TODAY(),fESTIVOS!$A$1:$A$18), NETWORKDAYS(F315, H315, fESTIVOS!$A$1:$A$18))</f>
        <v>10</v>
      </c>
      <c r="J315" s="188">
        <v>45749</v>
      </c>
      <c r="K315" s="188">
        <v>45755</v>
      </c>
      <c r="L315" s="669" t="s">
        <v>48</v>
      </c>
      <c r="M315" s="228"/>
      <c r="N315" s="228"/>
      <c r="O315" s="228"/>
      <c r="P315" s="228"/>
      <c r="Q315" s="228"/>
      <c r="R315" s="228"/>
      <c r="S315" s="228"/>
      <c r="T315" s="228"/>
      <c r="U315" s="228"/>
      <c r="V315" s="228"/>
      <c r="W315" s="228"/>
      <c r="X315" s="228"/>
      <c r="Y315" s="228"/>
      <c r="Z315" s="228"/>
    </row>
    <row r="316" spans="1:33" ht="15.75" customHeight="1">
      <c r="A316" s="206" t="s">
        <v>776</v>
      </c>
      <c r="B316" s="216" t="s">
        <v>1659</v>
      </c>
      <c r="C316" s="437"/>
      <c r="D316" s="206" t="s">
        <v>37</v>
      </c>
      <c r="E316" s="628">
        <v>45741</v>
      </c>
      <c r="F316" s="628">
        <v>45741</v>
      </c>
      <c r="G316" s="207"/>
      <c r="H316" s="207">
        <v>45755</v>
      </c>
      <c r="I316" s="203">
        <f ca="1">IF(ISBLANK(H316), NETWORKDAYS(F316, TODAY(),fESTIVOS!$A$1:$A$18), NETWORKDAYS(F316, H316, fESTIVOS!$A$1:$A$18))</f>
        <v>11</v>
      </c>
      <c r="J316" s="628"/>
      <c r="K316" s="207">
        <v>45755</v>
      </c>
      <c r="L316" s="667" t="s">
        <v>1660</v>
      </c>
      <c r="M316" s="418"/>
      <c r="N316" s="183"/>
      <c r="O316" s="183"/>
      <c r="P316" s="183"/>
      <c r="Q316" s="183"/>
      <c r="R316" s="183"/>
      <c r="S316" s="183"/>
      <c r="T316" s="183"/>
      <c r="U316" s="183"/>
      <c r="V316" s="183"/>
      <c r="W316" s="183"/>
      <c r="X316" s="183"/>
      <c r="Y316" s="183"/>
      <c r="Z316" s="183"/>
    </row>
    <row r="317" spans="1:33" ht="15.75" customHeight="1">
      <c r="A317" s="221" t="s">
        <v>761</v>
      </c>
      <c r="B317" s="674" t="s">
        <v>1661</v>
      </c>
      <c r="C317" s="631"/>
      <c r="D317" s="415" t="s">
        <v>37</v>
      </c>
      <c r="E317" s="572">
        <v>45709</v>
      </c>
      <c r="F317" s="572">
        <v>45715</v>
      </c>
      <c r="G317" s="570"/>
      <c r="H317" s="572">
        <v>45757</v>
      </c>
      <c r="I317" s="675">
        <f ca="1">IF(ISBLANK(H317), NETWORKDAYS(F317, TODAY(),fESTIVOS!$A$1:$A$18), NETWORKDAYS(F317, H317, fESTIVOS!$A$1:$A$18))</f>
        <v>31</v>
      </c>
      <c r="J317" s="572">
        <v>45716</v>
      </c>
      <c r="K317" s="572">
        <v>45757</v>
      </c>
      <c r="L317" s="654" t="s">
        <v>1662</v>
      </c>
      <c r="M317" s="183"/>
      <c r="N317" s="183"/>
      <c r="O317" s="183"/>
      <c r="P317" s="183"/>
      <c r="Q317" s="183"/>
      <c r="R317" s="183"/>
      <c r="S317" s="183"/>
      <c r="T317" s="183"/>
      <c r="U317" s="183"/>
      <c r="V317" s="183"/>
      <c r="W317" s="183"/>
      <c r="X317" s="183"/>
      <c r="Y317" s="183"/>
      <c r="Z317" s="183"/>
    </row>
    <row r="318" spans="1:33" ht="15.75" customHeight="1">
      <c r="A318" s="417" t="s">
        <v>761</v>
      </c>
      <c r="B318" s="676" t="s">
        <v>1663</v>
      </c>
      <c r="C318" s="677"/>
      <c r="D318" s="415" t="s">
        <v>37</v>
      </c>
      <c r="E318" s="678">
        <v>45695</v>
      </c>
      <c r="F318" s="633">
        <v>45712</v>
      </c>
      <c r="G318" s="678">
        <v>45715</v>
      </c>
      <c r="H318" s="678">
        <v>45757</v>
      </c>
      <c r="I318" s="195">
        <f ca="1">IF(ISBLANK(H318), NETWORKDAYS(F318, TODAY(),fESTIVOS!$A$1:$A$18), NETWORKDAYS(F318, H318, fESTIVOS!$A$1:$A$18))</f>
        <v>34</v>
      </c>
      <c r="J318" s="678">
        <v>45715</v>
      </c>
      <c r="K318" s="678">
        <v>45757</v>
      </c>
      <c r="L318" s="205" t="s">
        <v>1664</v>
      </c>
      <c r="M318" s="679"/>
      <c r="N318" s="679"/>
      <c r="O318" s="679"/>
      <c r="P318" s="679"/>
      <c r="Q318" s="679"/>
      <c r="R318" s="679"/>
      <c r="S318" s="679"/>
      <c r="T318" s="679"/>
      <c r="U318" s="679"/>
      <c r="V318" s="679"/>
      <c r="W318" s="679"/>
      <c r="X318" s="679"/>
      <c r="Y318" s="679"/>
      <c r="Z318" s="679"/>
      <c r="AA318" s="679"/>
      <c r="AB318" s="679"/>
      <c r="AC318" s="679"/>
      <c r="AD318" s="679"/>
      <c r="AE318" s="679"/>
      <c r="AF318" s="679"/>
      <c r="AG318" s="679"/>
    </row>
    <row r="319" spans="1:33" ht="15.75" customHeight="1">
      <c r="A319" s="221" t="s">
        <v>761</v>
      </c>
      <c r="B319" s="411" t="s">
        <v>1665</v>
      </c>
      <c r="C319" s="638"/>
      <c r="D319" s="415" t="s">
        <v>37</v>
      </c>
      <c r="E319" s="225">
        <v>45755</v>
      </c>
      <c r="F319" s="225">
        <v>45755</v>
      </c>
      <c r="G319" s="225"/>
      <c r="H319" s="225">
        <v>45757</v>
      </c>
      <c r="I319" s="203">
        <f ca="1">IF(ISBLANK(H319), NETWORKDAYS(F319, TODAY(),fESTIVOS!$A$1:$A$18), NETWORKDAYS(F319, H319, fESTIVOS!$A$1:$A$18))</f>
        <v>3</v>
      </c>
      <c r="J319" s="225"/>
      <c r="K319" s="225">
        <v>45757</v>
      </c>
      <c r="L319" s="641" t="s">
        <v>1666</v>
      </c>
      <c r="M319" s="183"/>
      <c r="N319" s="183"/>
      <c r="O319" s="183"/>
      <c r="P319" s="183"/>
      <c r="Q319" s="183"/>
      <c r="R319" s="183"/>
      <c r="S319" s="183"/>
      <c r="T319" s="183"/>
      <c r="U319" s="183"/>
      <c r="V319" s="183"/>
      <c r="W319" s="183"/>
      <c r="X319" s="183"/>
      <c r="Y319" s="183"/>
      <c r="Z319" s="183"/>
    </row>
    <row r="320" spans="1:33" ht="15.75" customHeight="1">
      <c r="A320" s="221" t="s">
        <v>786</v>
      </c>
      <c r="B320" s="642" t="s">
        <v>1667</v>
      </c>
      <c r="C320" s="629"/>
      <c r="D320" s="194" t="s">
        <v>37</v>
      </c>
      <c r="E320" s="193">
        <v>45749</v>
      </c>
      <c r="F320" s="193">
        <v>45749</v>
      </c>
      <c r="G320" s="452"/>
      <c r="H320" s="193">
        <v>45757</v>
      </c>
      <c r="I320" s="203">
        <f ca="1">IF(ISBLANK(H320), NETWORKDAYS(F320, TODAY(),fESTIVOS!$A$1:$A$18), NETWORKDAYS(F320, H320, fESTIVOS!$A$1:$A$18))</f>
        <v>7</v>
      </c>
      <c r="J320" s="452"/>
      <c r="K320" s="193">
        <v>45757</v>
      </c>
      <c r="L320" s="680" t="s">
        <v>1668</v>
      </c>
      <c r="M320" s="228"/>
      <c r="N320" s="228"/>
      <c r="O320" s="228"/>
      <c r="P320" s="228"/>
      <c r="Q320" s="228"/>
      <c r="R320" s="228"/>
      <c r="S320" s="228"/>
      <c r="T320" s="228"/>
      <c r="U320" s="228"/>
      <c r="V320" s="228"/>
      <c r="W320" s="228"/>
      <c r="X320" s="228"/>
      <c r="Y320" s="228"/>
      <c r="Z320" s="228"/>
    </row>
    <row r="321" spans="1:27" ht="29.25" customHeight="1">
      <c r="A321" s="525" t="s">
        <v>1034</v>
      </c>
      <c r="B321" s="300" t="s">
        <v>1669</v>
      </c>
      <c r="C321" s="681" t="s">
        <v>1670</v>
      </c>
      <c r="D321" s="257"/>
      <c r="E321" s="533" t="s">
        <v>1671</v>
      </c>
      <c r="F321" s="527">
        <v>45688</v>
      </c>
      <c r="G321" s="527">
        <v>45691</v>
      </c>
      <c r="H321" s="527">
        <v>45694</v>
      </c>
      <c r="I321" s="526"/>
      <c r="J321" s="522">
        <f ca="1">IF(ISBLANK(I321), NETWORKDAYS(G321, TODAY(),fESTIVOS!$A$1:$A$18), NETWORKDAYS(G321, I321, fESTIVOS!$A$1:$A$18))</f>
        <v>363</v>
      </c>
      <c r="K321" s="527"/>
      <c r="L321" s="527"/>
      <c r="M321" s="682" t="s">
        <v>1672</v>
      </c>
      <c r="N321" s="418"/>
      <c r="O321" s="183"/>
      <c r="P321" s="183"/>
      <c r="Q321" s="183"/>
      <c r="R321" s="183"/>
      <c r="S321" s="183"/>
      <c r="T321" s="183"/>
      <c r="U321" s="183"/>
      <c r="V321" s="183"/>
      <c r="W321" s="183"/>
      <c r="X321" s="183"/>
      <c r="Y321" s="183"/>
      <c r="Z321" s="183"/>
      <c r="AA321" s="183"/>
    </row>
    <row r="322" spans="1:27" ht="15.75" customHeight="1">
      <c r="A322" s="275"/>
      <c r="B322" s="275"/>
      <c r="C322" s="275"/>
      <c r="D322" s="683"/>
      <c r="E322" s="275"/>
      <c r="F322" s="275"/>
      <c r="G322" s="275"/>
      <c r="H322" s="275"/>
      <c r="I322" s="275"/>
      <c r="J322" s="275"/>
      <c r="K322" s="275"/>
      <c r="L322" s="275"/>
      <c r="M322" s="275"/>
      <c r="N322" s="275"/>
      <c r="O322" s="275"/>
      <c r="P322" s="275"/>
      <c r="Q322" s="275"/>
      <c r="R322" s="275"/>
      <c r="S322" s="275"/>
      <c r="T322" s="275"/>
      <c r="U322" s="275"/>
      <c r="V322" s="275"/>
      <c r="W322" s="275"/>
      <c r="X322" s="275"/>
      <c r="Y322" s="275"/>
      <c r="Z322" s="275"/>
    </row>
    <row r="323" spans="1:27" ht="15.75" customHeight="1">
      <c r="A323" s="275"/>
      <c r="B323" s="275"/>
      <c r="C323" s="275"/>
      <c r="D323" s="683"/>
      <c r="E323" s="275"/>
      <c r="F323" s="275"/>
      <c r="G323" s="275"/>
      <c r="H323" s="275"/>
      <c r="I323" s="275"/>
      <c r="J323" s="275"/>
      <c r="K323" s="275"/>
      <c r="L323" s="275"/>
      <c r="M323" s="275"/>
      <c r="N323" s="275"/>
      <c r="O323" s="275"/>
      <c r="P323" s="275"/>
      <c r="Q323" s="275"/>
      <c r="R323" s="275"/>
      <c r="S323" s="275"/>
      <c r="T323" s="275"/>
      <c r="U323" s="275"/>
      <c r="V323" s="275"/>
      <c r="W323" s="275"/>
      <c r="X323" s="275"/>
      <c r="Y323" s="275"/>
      <c r="Z323" s="275"/>
    </row>
    <row r="324" spans="1:27" ht="15.75" customHeight="1">
      <c r="A324" s="275"/>
      <c r="B324" s="275"/>
      <c r="C324" s="275"/>
      <c r="D324" s="683"/>
      <c r="E324" s="275"/>
      <c r="F324" s="275"/>
      <c r="G324" s="275"/>
      <c r="H324" s="275"/>
      <c r="I324" s="275"/>
      <c r="J324" s="275"/>
      <c r="K324" s="275"/>
      <c r="L324" s="275"/>
      <c r="M324" s="275"/>
      <c r="N324" s="275"/>
      <c r="O324" s="275"/>
      <c r="P324" s="275"/>
      <c r="Q324" s="275"/>
      <c r="R324" s="275"/>
      <c r="S324" s="275"/>
      <c r="T324" s="275"/>
      <c r="U324" s="275"/>
      <c r="V324" s="275"/>
      <c r="W324" s="275"/>
      <c r="X324" s="275"/>
      <c r="Y324" s="275"/>
      <c r="Z324" s="275"/>
    </row>
    <row r="325" spans="1:27" ht="15.75" customHeight="1">
      <c r="A325" s="275"/>
      <c r="B325" s="275"/>
      <c r="C325" s="275"/>
      <c r="D325" s="683"/>
      <c r="E325" s="275"/>
      <c r="F325" s="275"/>
      <c r="G325" s="275"/>
      <c r="H325" s="275"/>
      <c r="I325" s="275"/>
      <c r="J325" s="275"/>
      <c r="K325" s="275"/>
      <c r="L325" s="275"/>
      <c r="M325" s="275"/>
      <c r="N325" s="275"/>
      <c r="O325" s="275"/>
      <c r="P325" s="275"/>
      <c r="Q325" s="275"/>
      <c r="R325" s="275"/>
      <c r="S325" s="275"/>
      <c r="T325" s="275"/>
      <c r="U325" s="275"/>
      <c r="V325" s="275"/>
      <c r="W325" s="275"/>
      <c r="X325" s="275"/>
      <c r="Y325" s="275"/>
      <c r="Z325" s="275"/>
    </row>
    <row r="326" spans="1:27" ht="15.75" customHeight="1">
      <c r="A326" s="275"/>
      <c r="B326" s="275"/>
      <c r="C326" s="275"/>
      <c r="D326" s="683"/>
      <c r="E326" s="275"/>
      <c r="F326" s="275"/>
      <c r="G326" s="275"/>
      <c r="H326" s="275"/>
      <c r="I326" s="275"/>
      <c r="J326" s="275"/>
      <c r="K326" s="275"/>
      <c r="L326" s="275"/>
      <c r="M326" s="275"/>
      <c r="N326" s="275"/>
      <c r="O326" s="275"/>
      <c r="P326" s="275"/>
      <c r="Q326" s="275"/>
      <c r="R326" s="275"/>
      <c r="S326" s="275"/>
      <c r="T326" s="275"/>
      <c r="U326" s="275"/>
      <c r="V326" s="275"/>
      <c r="W326" s="275"/>
      <c r="X326" s="275"/>
      <c r="Y326" s="275"/>
      <c r="Z326" s="275"/>
    </row>
    <row r="327" spans="1:27" ht="15.75" customHeight="1">
      <c r="A327" s="275"/>
      <c r="B327" s="275"/>
      <c r="C327" s="275"/>
      <c r="D327" s="683"/>
      <c r="E327" s="275"/>
      <c r="F327" s="275"/>
      <c r="G327" s="275"/>
      <c r="H327" s="275"/>
      <c r="I327" s="275"/>
      <c r="J327" s="275"/>
      <c r="K327" s="275"/>
      <c r="L327" s="275"/>
      <c r="M327" s="275"/>
      <c r="N327" s="275"/>
      <c r="O327" s="275"/>
      <c r="P327" s="275"/>
      <c r="Q327" s="275"/>
      <c r="R327" s="275"/>
      <c r="S327" s="275"/>
      <c r="T327" s="275"/>
      <c r="U327" s="275"/>
      <c r="V327" s="275"/>
      <c r="W327" s="275"/>
      <c r="X327" s="275"/>
      <c r="Y327" s="275"/>
      <c r="Z327" s="275"/>
    </row>
    <row r="328" spans="1:27" ht="15.75" customHeight="1">
      <c r="A328" s="275"/>
      <c r="B328" s="275"/>
      <c r="C328" s="275"/>
      <c r="D328" s="683"/>
      <c r="E328" s="275"/>
      <c r="F328" s="275"/>
      <c r="G328" s="275"/>
      <c r="H328" s="275"/>
      <c r="I328" s="275"/>
      <c r="J328" s="275"/>
      <c r="K328" s="275"/>
      <c r="L328" s="275"/>
      <c r="M328" s="275"/>
      <c r="N328" s="275"/>
      <c r="O328" s="275"/>
      <c r="P328" s="275"/>
      <c r="Q328" s="275"/>
      <c r="R328" s="275"/>
      <c r="S328" s="275"/>
      <c r="T328" s="275"/>
      <c r="U328" s="275"/>
      <c r="V328" s="275"/>
      <c r="W328" s="275"/>
      <c r="X328" s="275"/>
      <c r="Y328" s="275"/>
      <c r="Z328" s="275"/>
    </row>
    <row r="329" spans="1:27" ht="15.75" customHeight="1">
      <c r="A329" s="275"/>
      <c r="B329" s="275"/>
      <c r="C329" s="275"/>
      <c r="D329" s="683"/>
      <c r="E329" s="275"/>
      <c r="F329" s="275"/>
      <c r="G329" s="275"/>
      <c r="H329" s="275"/>
      <c r="I329" s="275"/>
      <c r="J329" s="275"/>
      <c r="K329" s="275"/>
      <c r="L329" s="275"/>
      <c r="M329" s="275"/>
      <c r="N329" s="275"/>
      <c r="O329" s="275"/>
      <c r="P329" s="275"/>
      <c r="Q329" s="275"/>
      <c r="R329" s="275"/>
      <c r="S329" s="275"/>
      <c r="T329" s="275"/>
      <c r="U329" s="275"/>
      <c r="V329" s="275"/>
      <c r="W329" s="275"/>
      <c r="X329" s="275"/>
      <c r="Y329" s="275"/>
      <c r="Z329" s="275"/>
    </row>
    <row r="330" spans="1:27" ht="15.75" customHeight="1">
      <c r="A330" s="275"/>
      <c r="B330" s="275"/>
      <c r="C330" s="275"/>
      <c r="D330" s="683"/>
      <c r="E330" s="275"/>
      <c r="F330" s="275"/>
      <c r="G330" s="275"/>
      <c r="H330" s="275"/>
      <c r="I330" s="275"/>
      <c r="J330" s="275"/>
      <c r="K330" s="275"/>
      <c r="L330" s="275"/>
      <c r="M330" s="275"/>
      <c r="N330" s="275"/>
      <c r="O330" s="275"/>
      <c r="P330" s="275"/>
      <c r="Q330" s="275"/>
      <c r="R330" s="275"/>
      <c r="S330" s="275"/>
      <c r="T330" s="275"/>
      <c r="U330" s="275"/>
      <c r="V330" s="275"/>
      <c r="W330" s="275"/>
      <c r="X330" s="275"/>
      <c r="Y330" s="275"/>
      <c r="Z330" s="275"/>
    </row>
    <row r="331" spans="1:27" ht="15.75" customHeight="1">
      <c r="A331" s="275"/>
      <c r="B331" s="275"/>
      <c r="C331" s="275"/>
      <c r="D331" s="683"/>
      <c r="E331" s="275"/>
      <c r="F331" s="275"/>
      <c r="G331" s="275"/>
      <c r="H331" s="275"/>
      <c r="I331" s="275"/>
      <c r="J331" s="275"/>
      <c r="K331" s="275"/>
      <c r="L331" s="275"/>
      <c r="M331" s="275"/>
      <c r="N331" s="275"/>
      <c r="O331" s="275"/>
      <c r="P331" s="275"/>
      <c r="Q331" s="275"/>
      <c r="R331" s="275"/>
      <c r="S331" s="275"/>
      <c r="T331" s="275"/>
      <c r="U331" s="275"/>
      <c r="V331" s="275"/>
      <c r="W331" s="275"/>
      <c r="X331" s="275"/>
      <c r="Y331" s="275"/>
      <c r="Z331" s="275"/>
    </row>
    <row r="332" spans="1:27" ht="15.75" customHeight="1">
      <c r="A332" s="275"/>
      <c r="B332" s="275"/>
      <c r="C332" s="275"/>
      <c r="D332" s="683"/>
      <c r="E332" s="275"/>
      <c r="F332" s="275"/>
      <c r="G332" s="275"/>
      <c r="H332" s="275"/>
      <c r="I332" s="275"/>
      <c r="J332" s="275"/>
      <c r="K332" s="275"/>
      <c r="L332" s="275"/>
      <c r="M332" s="275"/>
      <c r="N332" s="275"/>
      <c r="O332" s="275"/>
      <c r="P332" s="275"/>
      <c r="Q332" s="275"/>
      <c r="R332" s="275"/>
      <c r="S332" s="275"/>
      <c r="T332" s="275"/>
      <c r="U332" s="275"/>
      <c r="V332" s="275"/>
      <c r="W332" s="275"/>
      <c r="X332" s="275"/>
      <c r="Y332" s="275"/>
      <c r="Z332" s="275"/>
    </row>
    <row r="333" spans="1:27" ht="15.75" customHeight="1">
      <c r="A333" s="275"/>
      <c r="B333" s="275"/>
      <c r="C333" s="275"/>
      <c r="D333" s="683"/>
      <c r="E333" s="275"/>
      <c r="F333" s="275"/>
      <c r="G333" s="275"/>
      <c r="H333" s="275"/>
      <c r="I333" s="275"/>
      <c r="J333" s="275"/>
      <c r="K333" s="275"/>
      <c r="L333" s="275"/>
      <c r="M333" s="275"/>
      <c r="N333" s="275"/>
      <c r="O333" s="275"/>
      <c r="P333" s="275"/>
      <c r="Q333" s="275"/>
      <c r="R333" s="275"/>
      <c r="S333" s="275"/>
      <c r="T333" s="275"/>
      <c r="U333" s="275"/>
      <c r="V333" s="275"/>
      <c r="W333" s="275"/>
      <c r="X333" s="275"/>
      <c r="Y333" s="275"/>
      <c r="Z333" s="275"/>
    </row>
    <row r="334" spans="1:27" ht="15.75" customHeight="1">
      <c r="A334" s="275"/>
      <c r="B334" s="275"/>
      <c r="C334" s="275"/>
      <c r="D334" s="683"/>
      <c r="E334" s="275"/>
      <c r="F334" s="275"/>
      <c r="G334" s="275"/>
      <c r="H334" s="275"/>
      <c r="I334" s="275"/>
      <c r="J334" s="275"/>
      <c r="K334" s="275"/>
      <c r="L334" s="275"/>
      <c r="M334" s="275"/>
      <c r="N334" s="275"/>
      <c r="O334" s="275"/>
      <c r="P334" s="275"/>
      <c r="Q334" s="275"/>
      <c r="R334" s="275"/>
      <c r="S334" s="275"/>
      <c r="T334" s="275"/>
      <c r="U334" s="275"/>
      <c r="V334" s="275"/>
      <c r="W334" s="275"/>
      <c r="X334" s="275"/>
      <c r="Y334" s="275"/>
      <c r="Z334" s="275"/>
    </row>
    <row r="335" spans="1:27" ht="15.75" customHeight="1">
      <c r="A335" s="275"/>
      <c r="B335" s="275"/>
      <c r="C335" s="275"/>
      <c r="D335" s="683"/>
      <c r="E335" s="275"/>
      <c r="F335" s="275"/>
      <c r="G335" s="275"/>
      <c r="H335" s="275"/>
      <c r="I335" s="275"/>
      <c r="J335" s="275"/>
      <c r="K335" s="275"/>
      <c r="L335" s="275"/>
      <c r="M335" s="275"/>
      <c r="N335" s="275"/>
      <c r="O335" s="275"/>
      <c r="P335" s="275"/>
      <c r="Q335" s="275"/>
      <c r="R335" s="275"/>
      <c r="S335" s="275"/>
      <c r="T335" s="275"/>
      <c r="U335" s="275"/>
      <c r="V335" s="275"/>
      <c r="W335" s="275"/>
      <c r="X335" s="275"/>
      <c r="Y335" s="275"/>
      <c r="Z335" s="275"/>
    </row>
    <row r="336" spans="1:27" ht="15.75" customHeight="1">
      <c r="A336" s="275"/>
      <c r="B336" s="275"/>
      <c r="C336" s="275"/>
      <c r="D336" s="683"/>
      <c r="E336" s="275"/>
      <c r="F336" s="275"/>
      <c r="G336" s="275"/>
      <c r="H336" s="275"/>
      <c r="I336" s="275"/>
      <c r="J336" s="275"/>
      <c r="K336" s="275"/>
      <c r="L336" s="275"/>
      <c r="M336" s="275"/>
      <c r="N336" s="275"/>
      <c r="O336" s="275"/>
      <c r="P336" s="275"/>
      <c r="Q336" s="275"/>
      <c r="R336" s="275"/>
      <c r="S336" s="275"/>
      <c r="T336" s="275"/>
      <c r="U336" s="275"/>
      <c r="V336" s="275"/>
      <c r="W336" s="275"/>
      <c r="X336" s="275"/>
      <c r="Y336" s="275"/>
      <c r="Z336" s="275"/>
    </row>
    <row r="337" spans="1:26" ht="15.75" customHeight="1">
      <c r="A337" s="275"/>
      <c r="B337" s="275"/>
      <c r="C337" s="275"/>
      <c r="D337" s="683"/>
      <c r="E337" s="275"/>
      <c r="F337" s="275"/>
      <c r="G337" s="275"/>
      <c r="H337" s="275"/>
      <c r="I337" s="275"/>
      <c r="J337" s="275"/>
      <c r="K337" s="275"/>
      <c r="L337" s="275"/>
      <c r="M337" s="275"/>
      <c r="N337" s="275"/>
      <c r="O337" s="275"/>
      <c r="P337" s="275"/>
      <c r="Q337" s="275"/>
      <c r="R337" s="275"/>
      <c r="S337" s="275"/>
      <c r="T337" s="275"/>
      <c r="U337" s="275"/>
      <c r="V337" s="275"/>
      <c r="W337" s="275"/>
      <c r="X337" s="275"/>
      <c r="Y337" s="275"/>
      <c r="Z337" s="275"/>
    </row>
    <row r="338" spans="1:26" ht="15.75" customHeight="1">
      <c r="A338" s="275"/>
      <c r="B338" s="275"/>
      <c r="C338" s="275"/>
      <c r="D338" s="683"/>
      <c r="E338" s="275"/>
      <c r="F338" s="275"/>
      <c r="G338" s="275"/>
      <c r="H338" s="275"/>
      <c r="I338" s="275"/>
      <c r="J338" s="275"/>
      <c r="K338" s="275"/>
      <c r="L338" s="275"/>
      <c r="M338" s="275"/>
      <c r="N338" s="275"/>
      <c r="O338" s="275"/>
      <c r="P338" s="275"/>
      <c r="Q338" s="275"/>
      <c r="R338" s="275"/>
      <c r="S338" s="275"/>
      <c r="T338" s="275"/>
      <c r="U338" s="275"/>
      <c r="V338" s="275"/>
      <c r="W338" s="275"/>
      <c r="X338" s="275"/>
      <c r="Y338" s="275"/>
      <c r="Z338" s="275"/>
    </row>
    <row r="339" spans="1:26" ht="15.75" customHeight="1">
      <c r="A339" s="275"/>
      <c r="B339" s="275"/>
      <c r="C339" s="275"/>
      <c r="D339" s="683"/>
      <c r="E339" s="275"/>
      <c r="F339" s="275"/>
      <c r="G339" s="275"/>
      <c r="H339" s="275"/>
      <c r="I339" s="275"/>
      <c r="J339" s="275"/>
      <c r="K339" s="275"/>
      <c r="L339" s="275"/>
      <c r="M339" s="275"/>
      <c r="N339" s="275"/>
      <c r="O339" s="275"/>
      <c r="P339" s="275"/>
      <c r="Q339" s="275"/>
      <c r="R339" s="275"/>
      <c r="S339" s="275"/>
      <c r="T339" s="275"/>
      <c r="U339" s="275"/>
      <c r="V339" s="275"/>
      <c r="W339" s="275"/>
      <c r="X339" s="275"/>
      <c r="Y339" s="275"/>
      <c r="Z339" s="275"/>
    </row>
    <row r="340" spans="1:26" ht="15.75" customHeight="1">
      <c r="A340" s="275"/>
      <c r="B340" s="275"/>
      <c r="C340" s="275"/>
      <c r="D340" s="683"/>
      <c r="E340" s="275"/>
      <c r="F340" s="275"/>
      <c r="G340" s="275"/>
      <c r="H340" s="275"/>
      <c r="I340" s="275"/>
      <c r="J340" s="275"/>
      <c r="K340" s="275"/>
      <c r="L340" s="275"/>
      <c r="M340" s="275"/>
      <c r="N340" s="275"/>
      <c r="O340" s="275"/>
      <c r="P340" s="275"/>
      <c r="Q340" s="275"/>
      <c r="R340" s="275"/>
      <c r="S340" s="275"/>
      <c r="T340" s="275"/>
      <c r="U340" s="275"/>
      <c r="V340" s="275"/>
      <c r="W340" s="275"/>
      <c r="X340" s="275"/>
      <c r="Y340" s="275"/>
      <c r="Z340" s="275"/>
    </row>
    <row r="341" spans="1:26" ht="15.75" customHeight="1">
      <c r="A341" s="275"/>
      <c r="B341" s="275"/>
      <c r="C341" s="275"/>
      <c r="D341" s="683"/>
      <c r="E341" s="275"/>
      <c r="F341" s="275"/>
      <c r="G341" s="275"/>
      <c r="H341" s="275"/>
      <c r="I341" s="275"/>
      <c r="J341" s="275"/>
      <c r="K341" s="275"/>
      <c r="L341" s="275"/>
      <c r="M341" s="275"/>
      <c r="N341" s="275"/>
      <c r="O341" s="275"/>
      <c r="P341" s="275"/>
      <c r="Q341" s="275"/>
      <c r="R341" s="275"/>
      <c r="S341" s="275"/>
      <c r="T341" s="275"/>
      <c r="U341" s="275"/>
      <c r="V341" s="275"/>
      <c r="W341" s="275"/>
      <c r="X341" s="275"/>
      <c r="Y341" s="275"/>
      <c r="Z341" s="275"/>
    </row>
    <row r="342" spans="1:26" ht="15.75" customHeight="1">
      <c r="A342" s="275"/>
      <c r="B342" s="275"/>
      <c r="C342" s="275"/>
      <c r="D342" s="683"/>
      <c r="E342" s="275"/>
      <c r="F342" s="275"/>
      <c r="G342" s="275"/>
      <c r="H342" s="275"/>
      <c r="I342" s="275"/>
      <c r="J342" s="275"/>
      <c r="K342" s="275"/>
      <c r="L342" s="275"/>
      <c r="M342" s="275"/>
      <c r="N342" s="275"/>
      <c r="O342" s="275"/>
      <c r="P342" s="275"/>
      <c r="Q342" s="275"/>
      <c r="R342" s="275"/>
      <c r="S342" s="275"/>
      <c r="T342" s="275"/>
      <c r="U342" s="275"/>
      <c r="V342" s="275"/>
      <c r="W342" s="275"/>
      <c r="X342" s="275"/>
      <c r="Y342" s="275"/>
      <c r="Z342" s="275"/>
    </row>
    <row r="343" spans="1:26" ht="15.75" customHeight="1">
      <c r="A343" s="275"/>
      <c r="B343" s="275"/>
      <c r="C343" s="275"/>
      <c r="D343" s="683"/>
      <c r="E343" s="275"/>
      <c r="F343" s="275"/>
      <c r="G343" s="275"/>
      <c r="H343" s="275"/>
      <c r="I343" s="275"/>
      <c r="J343" s="275"/>
      <c r="K343" s="275"/>
      <c r="L343" s="275"/>
      <c r="M343" s="275"/>
      <c r="N343" s="275"/>
      <c r="O343" s="275"/>
      <c r="P343" s="275"/>
      <c r="Q343" s="275"/>
      <c r="R343" s="275"/>
      <c r="S343" s="275"/>
      <c r="T343" s="275"/>
      <c r="U343" s="275"/>
      <c r="V343" s="275"/>
      <c r="W343" s="275"/>
      <c r="X343" s="275"/>
      <c r="Y343" s="275"/>
      <c r="Z343" s="275"/>
    </row>
    <row r="344" spans="1:26" ht="15.75" customHeight="1">
      <c r="A344" s="275"/>
      <c r="B344" s="275"/>
      <c r="C344" s="275"/>
      <c r="D344" s="683"/>
      <c r="E344" s="275"/>
      <c r="F344" s="275"/>
      <c r="G344" s="275"/>
      <c r="H344" s="275"/>
      <c r="I344" s="275"/>
      <c r="J344" s="275"/>
      <c r="K344" s="275"/>
      <c r="L344" s="275"/>
      <c r="M344" s="275"/>
      <c r="N344" s="275"/>
      <c r="O344" s="275"/>
      <c r="P344" s="275"/>
      <c r="Q344" s="275"/>
      <c r="R344" s="275"/>
      <c r="S344" s="275"/>
      <c r="T344" s="275"/>
      <c r="U344" s="275"/>
      <c r="V344" s="275"/>
      <c r="W344" s="275"/>
      <c r="X344" s="275"/>
      <c r="Y344" s="275"/>
      <c r="Z344" s="275"/>
    </row>
    <row r="345" spans="1:26" ht="15.75" customHeight="1">
      <c r="A345" s="275"/>
      <c r="B345" s="275"/>
      <c r="C345" s="275"/>
      <c r="D345" s="683"/>
      <c r="E345" s="275"/>
      <c r="F345" s="275"/>
      <c r="G345" s="275"/>
      <c r="H345" s="275"/>
      <c r="I345" s="275"/>
      <c r="J345" s="275"/>
      <c r="K345" s="275"/>
      <c r="L345" s="275"/>
      <c r="M345" s="275"/>
      <c r="N345" s="275"/>
      <c r="O345" s="275"/>
      <c r="P345" s="275"/>
      <c r="Q345" s="275"/>
      <c r="R345" s="275"/>
      <c r="S345" s="275"/>
      <c r="T345" s="275"/>
      <c r="U345" s="275"/>
      <c r="V345" s="275"/>
      <c r="W345" s="275"/>
      <c r="X345" s="275"/>
      <c r="Y345" s="275"/>
      <c r="Z345" s="275"/>
    </row>
    <row r="346" spans="1:26" ht="15.75" customHeight="1">
      <c r="A346" s="275"/>
      <c r="B346" s="275"/>
      <c r="C346" s="275"/>
      <c r="D346" s="683"/>
      <c r="E346" s="275"/>
      <c r="F346" s="275"/>
      <c r="G346" s="275"/>
      <c r="H346" s="275"/>
      <c r="I346" s="275"/>
      <c r="J346" s="275"/>
      <c r="K346" s="275"/>
      <c r="L346" s="275"/>
      <c r="M346" s="275"/>
      <c r="N346" s="275"/>
      <c r="O346" s="275"/>
      <c r="P346" s="275"/>
      <c r="Q346" s="275"/>
      <c r="R346" s="275"/>
      <c r="S346" s="275"/>
      <c r="T346" s="275"/>
      <c r="U346" s="275"/>
      <c r="V346" s="275"/>
      <c r="W346" s="275"/>
      <c r="X346" s="275"/>
      <c r="Y346" s="275"/>
      <c r="Z346" s="275"/>
    </row>
    <row r="347" spans="1:26" ht="15.75" customHeight="1">
      <c r="A347" s="275"/>
      <c r="B347" s="275"/>
      <c r="C347" s="275"/>
      <c r="D347" s="683"/>
      <c r="E347" s="275"/>
      <c r="F347" s="275"/>
      <c r="G347" s="275"/>
      <c r="H347" s="275"/>
      <c r="I347" s="275"/>
      <c r="J347" s="275"/>
      <c r="K347" s="275"/>
      <c r="L347" s="275"/>
      <c r="M347" s="275"/>
      <c r="N347" s="275"/>
      <c r="O347" s="275"/>
      <c r="P347" s="275"/>
      <c r="Q347" s="275"/>
      <c r="R347" s="275"/>
      <c r="S347" s="275"/>
      <c r="T347" s="275"/>
      <c r="U347" s="275"/>
      <c r="V347" s="275"/>
      <c r="W347" s="275"/>
      <c r="X347" s="275"/>
      <c r="Y347" s="275"/>
      <c r="Z347" s="275"/>
    </row>
    <row r="348" spans="1:26" ht="15.75" customHeight="1">
      <c r="A348" s="275"/>
      <c r="B348" s="275"/>
      <c r="C348" s="275"/>
      <c r="D348" s="683"/>
      <c r="E348" s="275"/>
      <c r="F348" s="275"/>
      <c r="G348" s="275"/>
      <c r="H348" s="275"/>
      <c r="I348" s="275"/>
      <c r="J348" s="275"/>
      <c r="K348" s="275"/>
      <c r="L348" s="275"/>
      <c r="M348" s="275"/>
      <c r="N348" s="275"/>
      <c r="O348" s="275"/>
      <c r="P348" s="275"/>
      <c r="Q348" s="275"/>
      <c r="R348" s="275"/>
      <c r="S348" s="275"/>
      <c r="T348" s="275"/>
      <c r="U348" s="275"/>
      <c r="V348" s="275"/>
      <c r="W348" s="275"/>
      <c r="X348" s="275"/>
      <c r="Y348" s="275"/>
      <c r="Z348" s="275"/>
    </row>
    <row r="349" spans="1:26" ht="15.75" customHeight="1">
      <c r="A349" s="275"/>
      <c r="B349" s="275"/>
      <c r="C349" s="275"/>
      <c r="D349" s="683"/>
      <c r="E349" s="275"/>
      <c r="F349" s="275"/>
      <c r="G349" s="275"/>
      <c r="H349" s="275"/>
      <c r="I349" s="275"/>
      <c r="J349" s="275"/>
      <c r="K349" s="275"/>
      <c r="L349" s="275"/>
      <c r="M349" s="275"/>
      <c r="N349" s="275"/>
      <c r="O349" s="275"/>
      <c r="P349" s="275"/>
      <c r="Q349" s="275"/>
      <c r="R349" s="275"/>
      <c r="S349" s="275"/>
      <c r="T349" s="275"/>
      <c r="U349" s="275"/>
      <c r="V349" s="275"/>
      <c r="W349" s="275"/>
      <c r="X349" s="275"/>
      <c r="Y349" s="275"/>
      <c r="Z349" s="275"/>
    </row>
    <row r="350" spans="1:26" ht="15.75" customHeight="1">
      <c r="A350" s="275"/>
      <c r="B350" s="275"/>
      <c r="C350" s="275"/>
      <c r="D350" s="683"/>
      <c r="E350" s="275"/>
      <c r="F350" s="275"/>
      <c r="G350" s="275"/>
      <c r="H350" s="275"/>
      <c r="I350" s="275"/>
      <c r="J350" s="275"/>
      <c r="K350" s="275"/>
      <c r="L350" s="275"/>
      <c r="M350" s="275"/>
      <c r="N350" s="275"/>
      <c r="O350" s="275"/>
      <c r="P350" s="275"/>
      <c r="Q350" s="275"/>
      <c r="R350" s="275"/>
      <c r="S350" s="275"/>
      <c r="T350" s="275"/>
      <c r="U350" s="275"/>
      <c r="V350" s="275"/>
      <c r="W350" s="275"/>
      <c r="X350" s="275"/>
      <c r="Y350" s="275"/>
      <c r="Z350" s="275"/>
    </row>
    <row r="351" spans="1:26" ht="15.75" customHeight="1">
      <c r="A351" s="275"/>
      <c r="B351" s="275"/>
      <c r="C351" s="275"/>
      <c r="D351" s="683"/>
      <c r="E351" s="275"/>
      <c r="F351" s="275"/>
      <c r="G351" s="275"/>
      <c r="H351" s="275"/>
      <c r="I351" s="275"/>
      <c r="J351" s="275"/>
      <c r="K351" s="275"/>
      <c r="L351" s="275"/>
      <c r="M351" s="275"/>
      <c r="N351" s="275"/>
      <c r="O351" s="275"/>
      <c r="P351" s="275"/>
      <c r="Q351" s="275"/>
      <c r="R351" s="275"/>
      <c r="S351" s="275"/>
      <c r="T351" s="275"/>
      <c r="U351" s="275"/>
      <c r="V351" s="275"/>
      <c r="W351" s="275"/>
      <c r="X351" s="275"/>
      <c r="Y351" s="275"/>
      <c r="Z351" s="275"/>
    </row>
    <row r="352" spans="1:26" ht="15.75" customHeight="1">
      <c r="A352" s="275"/>
      <c r="B352" s="275"/>
      <c r="C352" s="275"/>
      <c r="D352" s="683"/>
      <c r="E352" s="275"/>
      <c r="F352" s="275"/>
      <c r="G352" s="275"/>
      <c r="H352" s="275"/>
      <c r="I352" s="275"/>
      <c r="J352" s="275"/>
      <c r="K352" s="275"/>
      <c r="L352" s="275"/>
      <c r="M352" s="275"/>
      <c r="N352" s="275"/>
      <c r="O352" s="275"/>
      <c r="P352" s="275"/>
      <c r="Q352" s="275"/>
      <c r="R352" s="275"/>
      <c r="S352" s="275"/>
      <c r="T352" s="275"/>
      <c r="U352" s="275"/>
      <c r="V352" s="275"/>
      <c r="W352" s="275"/>
      <c r="X352" s="275"/>
      <c r="Y352" s="275"/>
      <c r="Z352" s="275"/>
    </row>
    <row r="353" spans="1:26" ht="15.75" customHeight="1">
      <c r="A353" s="275"/>
      <c r="B353" s="275"/>
      <c r="C353" s="275"/>
      <c r="D353" s="683"/>
      <c r="E353" s="275"/>
      <c r="F353" s="275"/>
      <c r="G353" s="275"/>
      <c r="H353" s="275"/>
      <c r="I353" s="275"/>
      <c r="J353" s="275"/>
      <c r="K353" s="275"/>
      <c r="L353" s="275"/>
      <c r="M353" s="275"/>
      <c r="N353" s="275"/>
      <c r="O353" s="275"/>
      <c r="P353" s="275"/>
      <c r="Q353" s="275"/>
      <c r="R353" s="275"/>
      <c r="S353" s="275"/>
      <c r="T353" s="275"/>
      <c r="U353" s="275"/>
      <c r="V353" s="275"/>
      <c r="W353" s="275"/>
      <c r="X353" s="275"/>
      <c r="Y353" s="275"/>
      <c r="Z353" s="275"/>
    </row>
    <row r="354" spans="1:26" ht="15.75" customHeight="1">
      <c r="A354" s="275"/>
      <c r="B354" s="275"/>
      <c r="C354" s="275"/>
      <c r="D354" s="683"/>
      <c r="E354" s="275"/>
      <c r="F354" s="275"/>
      <c r="G354" s="275"/>
      <c r="H354" s="275"/>
      <c r="I354" s="275"/>
      <c r="J354" s="275"/>
      <c r="K354" s="275"/>
      <c r="L354" s="275"/>
      <c r="M354" s="275"/>
      <c r="N354" s="275"/>
      <c r="O354" s="275"/>
      <c r="P354" s="275"/>
      <c r="Q354" s="275"/>
      <c r="R354" s="275"/>
      <c r="S354" s="275"/>
      <c r="T354" s="275"/>
      <c r="U354" s="275"/>
      <c r="V354" s="275"/>
      <c r="W354" s="275"/>
      <c r="X354" s="275"/>
      <c r="Y354" s="275"/>
      <c r="Z354" s="275"/>
    </row>
    <row r="355" spans="1:26" ht="15.75" customHeight="1">
      <c r="A355" s="275"/>
      <c r="B355" s="275"/>
      <c r="C355" s="275"/>
      <c r="D355" s="683"/>
      <c r="E355" s="275"/>
      <c r="F355" s="275"/>
      <c r="G355" s="275"/>
      <c r="H355" s="275"/>
      <c r="I355" s="275"/>
      <c r="J355" s="275"/>
      <c r="K355" s="275"/>
      <c r="L355" s="275"/>
      <c r="M355" s="275"/>
      <c r="N355" s="275"/>
      <c r="O355" s="275"/>
      <c r="P355" s="275"/>
      <c r="Q355" s="275"/>
      <c r="R355" s="275"/>
      <c r="S355" s="275"/>
      <c r="T355" s="275"/>
      <c r="U355" s="275"/>
      <c r="V355" s="275"/>
      <c r="W355" s="275"/>
      <c r="X355" s="275"/>
      <c r="Y355" s="275"/>
      <c r="Z355" s="275"/>
    </row>
    <row r="356" spans="1:26" ht="15.75" customHeight="1">
      <c r="A356" s="275"/>
      <c r="B356" s="275"/>
      <c r="C356" s="275"/>
      <c r="D356" s="683"/>
      <c r="E356" s="275"/>
      <c r="F356" s="275"/>
      <c r="G356" s="275"/>
      <c r="H356" s="275"/>
      <c r="I356" s="275"/>
      <c r="J356" s="275"/>
      <c r="K356" s="275"/>
      <c r="L356" s="275"/>
      <c r="M356" s="275"/>
      <c r="N356" s="275"/>
      <c r="O356" s="275"/>
      <c r="P356" s="275"/>
      <c r="Q356" s="275"/>
      <c r="R356" s="275"/>
      <c r="S356" s="275"/>
      <c r="T356" s="275"/>
      <c r="U356" s="275"/>
      <c r="V356" s="275"/>
      <c r="W356" s="275"/>
      <c r="X356" s="275"/>
      <c r="Y356" s="275"/>
      <c r="Z356" s="275"/>
    </row>
    <row r="357" spans="1:26" ht="15.75" customHeight="1">
      <c r="A357" s="275"/>
      <c r="B357" s="275"/>
      <c r="C357" s="275"/>
      <c r="D357" s="683"/>
      <c r="E357" s="275"/>
      <c r="F357" s="275"/>
      <c r="G357" s="275"/>
      <c r="H357" s="275"/>
      <c r="I357" s="275"/>
      <c r="J357" s="275"/>
      <c r="K357" s="275"/>
      <c r="L357" s="275"/>
      <c r="M357" s="275"/>
      <c r="N357" s="275"/>
      <c r="O357" s="275"/>
      <c r="P357" s="275"/>
      <c r="Q357" s="275"/>
      <c r="R357" s="275"/>
      <c r="S357" s="275"/>
      <c r="T357" s="275"/>
      <c r="U357" s="275"/>
      <c r="V357" s="275"/>
      <c r="W357" s="275"/>
      <c r="X357" s="275"/>
      <c r="Y357" s="275"/>
      <c r="Z357" s="275"/>
    </row>
    <row r="358" spans="1:26" ht="15.75" customHeight="1">
      <c r="A358" s="275"/>
      <c r="B358" s="275"/>
      <c r="C358" s="275"/>
      <c r="D358" s="683"/>
      <c r="E358" s="275"/>
      <c r="F358" s="275"/>
      <c r="G358" s="275"/>
      <c r="H358" s="275"/>
      <c r="I358" s="275"/>
      <c r="J358" s="275"/>
      <c r="K358" s="275"/>
      <c r="L358" s="275"/>
      <c r="M358" s="275"/>
      <c r="N358" s="275"/>
      <c r="O358" s="275"/>
      <c r="P358" s="275"/>
      <c r="Q358" s="275"/>
      <c r="R358" s="275"/>
      <c r="S358" s="275"/>
      <c r="T358" s="275"/>
      <c r="U358" s="275"/>
      <c r="V358" s="275"/>
      <c r="W358" s="275"/>
      <c r="X358" s="275"/>
      <c r="Y358" s="275"/>
      <c r="Z358" s="275"/>
    </row>
    <row r="359" spans="1:26" ht="15.75" customHeight="1">
      <c r="A359" s="275"/>
      <c r="B359" s="275"/>
      <c r="C359" s="275"/>
      <c r="D359" s="683"/>
      <c r="E359" s="275"/>
      <c r="F359" s="275"/>
      <c r="G359" s="275"/>
      <c r="H359" s="275"/>
      <c r="I359" s="275"/>
      <c r="J359" s="275"/>
      <c r="K359" s="275"/>
      <c r="L359" s="275"/>
      <c r="M359" s="275"/>
      <c r="N359" s="275"/>
      <c r="O359" s="275"/>
      <c r="P359" s="275"/>
      <c r="Q359" s="275"/>
      <c r="R359" s="275"/>
      <c r="S359" s="275"/>
      <c r="T359" s="275"/>
      <c r="U359" s="275"/>
      <c r="V359" s="275"/>
      <c r="W359" s="275"/>
      <c r="X359" s="275"/>
      <c r="Y359" s="275"/>
      <c r="Z359" s="275"/>
    </row>
    <row r="360" spans="1:26" ht="15.75" customHeight="1">
      <c r="A360" s="275"/>
      <c r="B360" s="275"/>
      <c r="C360" s="275"/>
      <c r="D360" s="683"/>
      <c r="E360" s="275"/>
      <c r="F360" s="275"/>
      <c r="G360" s="275"/>
      <c r="H360" s="275"/>
      <c r="I360" s="275"/>
      <c r="J360" s="275"/>
      <c r="K360" s="275"/>
      <c r="L360" s="275"/>
      <c r="M360" s="275"/>
      <c r="N360" s="275"/>
      <c r="O360" s="275"/>
      <c r="P360" s="275"/>
      <c r="Q360" s="275"/>
      <c r="R360" s="275"/>
      <c r="S360" s="275"/>
      <c r="T360" s="275"/>
      <c r="U360" s="275"/>
      <c r="V360" s="275"/>
      <c r="W360" s="275"/>
      <c r="X360" s="275"/>
      <c r="Y360" s="275"/>
      <c r="Z360" s="275"/>
    </row>
    <row r="361" spans="1:26" ht="15.75" customHeight="1">
      <c r="A361" s="275"/>
      <c r="B361" s="275"/>
      <c r="C361" s="275"/>
      <c r="D361" s="683"/>
      <c r="E361" s="275"/>
      <c r="F361" s="275"/>
      <c r="G361" s="275"/>
      <c r="H361" s="275"/>
      <c r="I361" s="275"/>
      <c r="J361" s="275"/>
      <c r="K361" s="275"/>
      <c r="L361" s="275"/>
      <c r="M361" s="275"/>
      <c r="N361" s="275"/>
      <c r="O361" s="275"/>
      <c r="P361" s="275"/>
      <c r="Q361" s="275"/>
      <c r="R361" s="275"/>
      <c r="S361" s="275"/>
      <c r="T361" s="275"/>
      <c r="U361" s="275"/>
      <c r="V361" s="275"/>
      <c r="W361" s="275"/>
      <c r="X361" s="275"/>
      <c r="Y361" s="275"/>
      <c r="Z361" s="275"/>
    </row>
    <row r="362" spans="1:26" ht="15.75" customHeight="1">
      <c r="A362" s="275"/>
      <c r="B362" s="275"/>
      <c r="C362" s="275"/>
      <c r="D362" s="683"/>
      <c r="E362" s="275"/>
      <c r="F362" s="275"/>
      <c r="G362" s="275"/>
      <c r="H362" s="275"/>
      <c r="I362" s="275"/>
      <c r="J362" s="275"/>
      <c r="K362" s="275"/>
      <c r="L362" s="275"/>
      <c r="M362" s="275"/>
      <c r="N362" s="275"/>
      <c r="O362" s="275"/>
      <c r="P362" s="275"/>
      <c r="Q362" s="275"/>
      <c r="R362" s="275"/>
      <c r="S362" s="275"/>
      <c r="T362" s="275"/>
      <c r="U362" s="275"/>
      <c r="V362" s="275"/>
      <c r="W362" s="275"/>
      <c r="X362" s="275"/>
      <c r="Y362" s="275"/>
      <c r="Z362" s="275"/>
    </row>
    <row r="363" spans="1:26" ht="15.75" customHeight="1">
      <c r="A363" s="275"/>
      <c r="B363" s="275"/>
      <c r="C363" s="275"/>
      <c r="D363" s="683"/>
      <c r="E363" s="275"/>
      <c r="F363" s="275"/>
      <c r="G363" s="275"/>
      <c r="H363" s="275"/>
      <c r="I363" s="275"/>
      <c r="J363" s="275"/>
      <c r="K363" s="275"/>
      <c r="L363" s="275"/>
      <c r="M363" s="275"/>
      <c r="N363" s="275"/>
      <c r="O363" s="275"/>
      <c r="P363" s="275"/>
      <c r="Q363" s="275"/>
      <c r="R363" s="275"/>
      <c r="S363" s="275"/>
      <c r="T363" s="275"/>
      <c r="U363" s="275"/>
      <c r="V363" s="275"/>
      <c r="W363" s="275"/>
      <c r="X363" s="275"/>
      <c r="Y363" s="275"/>
      <c r="Z363" s="275"/>
    </row>
    <row r="364" spans="1:26" ht="15.75" customHeight="1">
      <c r="A364" s="275"/>
      <c r="B364" s="275"/>
      <c r="C364" s="275"/>
      <c r="D364" s="683"/>
      <c r="E364" s="275"/>
      <c r="F364" s="275"/>
      <c r="G364" s="275"/>
      <c r="H364" s="275"/>
      <c r="I364" s="275"/>
      <c r="J364" s="275"/>
      <c r="K364" s="275"/>
      <c r="L364" s="275"/>
      <c r="M364" s="275"/>
      <c r="N364" s="275"/>
      <c r="O364" s="275"/>
      <c r="P364" s="275"/>
      <c r="Q364" s="275"/>
      <c r="R364" s="275"/>
      <c r="S364" s="275"/>
      <c r="T364" s="275"/>
      <c r="U364" s="275"/>
      <c r="V364" s="275"/>
      <c r="W364" s="275"/>
      <c r="X364" s="275"/>
      <c r="Y364" s="275"/>
      <c r="Z364" s="275"/>
    </row>
    <row r="365" spans="1:26" ht="15.75" customHeight="1">
      <c r="A365" s="275"/>
      <c r="B365" s="275"/>
      <c r="C365" s="275"/>
      <c r="D365" s="683"/>
      <c r="E365" s="275"/>
      <c r="F365" s="275"/>
      <c r="G365" s="275"/>
      <c r="H365" s="275"/>
      <c r="I365" s="275"/>
      <c r="J365" s="275"/>
      <c r="K365" s="275"/>
      <c r="L365" s="275"/>
      <c r="M365" s="275"/>
      <c r="N365" s="275"/>
      <c r="O365" s="275"/>
      <c r="P365" s="275"/>
      <c r="Q365" s="275"/>
      <c r="R365" s="275"/>
      <c r="S365" s="275"/>
      <c r="T365" s="275"/>
      <c r="U365" s="275"/>
      <c r="V365" s="275"/>
      <c r="W365" s="275"/>
      <c r="X365" s="275"/>
      <c r="Y365" s="275"/>
      <c r="Z365" s="275"/>
    </row>
    <row r="366" spans="1:26" ht="15.75" customHeight="1">
      <c r="A366" s="275"/>
      <c r="B366" s="275"/>
      <c r="C366" s="275"/>
      <c r="D366" s="683"/>
      <c r="E366" s="275"/>
      <c r="F366" s="275"/>
      <c r="G366" s="275"/>
      <c r="H366" s="275"/>
      <c r="I366" s="275"/>
      <c r="J366" s="275"/>
      <c r="K366" s="275"/>
      <c r="L366" s="275"/>
      <c r="M366" s="275"/>
      <c r="N366" s="275"/>
      <c r="O366" s="275"/>
      <c r="P366" s="275"/>
      <c r="Q366" s="275"/>
      <c r="R366" s="275"/>
      <c r="S366" s="275"/>
      <c r="T366" s="275"/>
      <c r="U366" s="275"/>
      <c r="V366" s="275"/>
      <c r="W366" s="275"/>
      <c r="X366" s="275"/>
      <c r="Y366" s="275"/>
      <c r="Z366" s="275"/>
    </row>
    <row r="367" spans="1:26" ht="15.75" customHeight="1">
      <c r="A367" s="275"/>
      <c r="B367" s="275"/>
      <c r="C367" s="275"/>
      <c r="D367" s="683"/>
      <c r="E367" s="275"/>
      <c r="F367" s="275"/>
      <c r="G367" s="275"/>
      <c r="H367" s="275"/>
      <c r="I367" s="275"/>
      <c r="J367" s="275"/>
      <c r="K367" s="275"/>
      <c r="L367" s="275"/>
      <c r="M367" s="275"/>
      <c r="N367" s="275"/>
      <c r="O367" s="275"/>
      <c r="P367" s="275"/>
      <c r="Q367" s="275"/>
      <c r="R367" s="275"/>
      <c r="S367" s="275"/>
      <c r="T367" s="275"/>
      <c r="U367" s="275"/>
      <c r="V367" s="275"/>
      <c r="W367" s="275"/>
      <c r="X367" s="275"/>
      <c r="Y367" s="275"/>
      <c r="Z367" s="275"/>
    </row>
    <row r="368" spans="1:26" ht="15.75" customHeight="1">
      <c r="A368" s="275"/>
      <c r="B368" s="275"/>
      <c r="C368" s="275"/>
      <c r="D368" s="683"/>
      <c r="E368" s="275"/>
      <c r="F368" s="275"/>
      <c r="G368" s="275"/>
      <c r="H368" s="275"/>
      <c r="I368" s="275"/>
      <c r="J368" s="275"/>
      <c r="K368" s="275"/>
      <c r="L368" s="275"/>
      <c r="M368" s="275"/>
      <c r="N368" s="275"/>
      <c r="O368" s="275"/>
      <c r="P368" s="275"/>
      <c r="Q368" s="275"/>
      <c r="R368" s="275"/>
      <c r="S368" s="275"/>
      <c r="T368" s="275"/>
      <c r="U368" s="275"/>
      <c r="V368" s="275"/>
      <c r="W368" s="275"/>
      <c r="X368" s="275"/>
      <c r="Y368" s="275"/>
      <c r="Z368" s="275"/>
    </row>
    <row r="369" spans="1:26" ht="15.75" customHeight="1">
      <c r="A369" s="275"/>
      <c r="B369" s="275"/>
      <c r="C369" s="275"/>
      <c r="D369" s="683"/>
      <c r="E369" s="275"/>
      <c r="F369" s="275"/>
      <c r="G369" s="275"/>
      <c r="H369" s="275"/>
      <c r="I369" s="275"/>
      <c r="J369" s="275"/>
      <c r="K369" s="275"/>
      <c r="L369" s="275"/>
      <c r="M369" s="275"/>
      <c r="N369" s="275"/>
      <c r="O369" s="275"/>
      <c r="P369" s="275"/>
      <c r="Q369" s="275"/>
      <c r="R369" s="275"/>
      <c r="S369" s="275"/>
      <c r="T369" s="275"/>
      <c r="U369" s="275"/>
      <c r="V369" s="275"/>
      <c r="W369" s="275"/>
      <c r="X369" s="275"/>
      <c r="Y369" s="275"/>
      <c r="Z369" s="275"/>
    </row>
    <row r="370" spans="1:26" ht="15.75" customHeight="1">
      <c r="A370" s="275"/>
      <c r="B370" s="275"/>
      <c r="C370" s="275"/>
      <c r="D370" s="683"/>
      <c r="E370" s="275"/>
      <c r="F370" s="275"/>
      <c r="G370" s="275"/>
      <c r="H370" s="275"/>
      <c r="I370" s="275"/>
      <c r="J370" s="275"/>
      <c r="K370" s="275"/>
      <c r="L370" s="275"/>
      <c r="M370" s="275"/>
      <c r="N370" s="275"/>
      <c r="O370" s="275"/>
      <c r="P370" s="275"/>
      <c r="Q370" s="275"/>
      <c r="R370" s="275"/>
      <c r="S370" s="275"/>
      <c r="T370" s="275"/>
      <c r="U370" s="275"/>
      <c r="V370" s="275"/>
      <c r="W370" s="275"/>
      <c r="X370" s="275"/>
      <c r="Y370" s="275"/>
      <c r="Z370" s="275"/>
    </row>
    <row r="371" spans="1:26" ht="15.75" customHeight="1">
      <c r="A371" s="275"/>
      <c r="B371" s="275"/>
      <c r="C371" s="275"/>
      <c r="D371" s="683"/>
      <c r="E371" s="275"/>
      <c r="F371" s="275"/>
      <c r="G371" s="275"/>
      <c r="H371" s="275"/>
      <c r="I371" s="275"/>
      <c r="J371" s="275"/>
      <c r="K371" s="275"/>
      <c r="L371" s="275"/>
      <c r="M371" s="275"/>
      <c r="N371" s="275"/>
      <c r="O371" s="275"/>
      <c r="P371" s="275"/>
      <c r="Q371" s="275"/>
      <c r="R371" s="275"/>
      <c r="S371" s="275"/>
      <c r="T371" s="275"/>
      <c r="U371" s="275"/>
      <c r="V371" s="275"/>
      <c r="W371" s="275"/>
      <c r="X371" s="275"/>
      <c r="Y371" s="275"/>
      <c r="Z371" s="275"/>
    </row>
    <row r="372" spans="1:26" ht="15.75" customHeight="1">
      <c r="A372" s="275"/>
      <c r="B372" s="275"/>
      <c r="C372" s="275"/>
      <c r="D372" s="683"/>
      <c r="E372" s="275"/>
      <c r="F372" s="275"/>
      <c r="G372" s="275"/>
      <c r="H372" s="275"/>
      <c r="I372" s="275"/>
      <c r="J372" s="275"/>
      <c r="K372" s="275"/>
      <c r="L372" s="275"/>
      <c r="M372" s="275"/>
      <c r="N372" s="275"/>
      <c r="O372" s="275"/>
      <c r="P372" s="275"/>
      <c r="Q372" s="275"/>
      <c r="R372" s="275"/>
      <c r="S372" s="275"/>
      <c r="T372" s="275"/>
      <c r="U372" s="275"/>
      <c r="V372" s="275"/>
      <c r="W372" s="275"/>
      <c r="X372" s="275"/>
      <c r="Y372" s="275"/>
      <c r="Z372" s="275"/>
    </row>
    <row r="373" spans="1:26" ht="15.75" customHeight="1">
      <c r="A373" s="275"/>
      <c r="B373" s="275"/>
      <c r="C373" s="275"/>
      <c r="D373" s="683"/>
      <c r="E373" s="275"/>
      <c r="F373" s="275"/>
      <c r="G373" s="275"/>
      <c r="H373" s="275"/>
      <c r="I373" s="275"/>
      <c r="J373" s="275"/>
      <c r="K373" s="275"/>
      <c r="L373" s="275"/>
      <c r="M373" s="275"/>
      <c r="N373" s="275"/>
      <c r="O373" s="275"/>
      <c r="P373" s="275"/>
      <c r="Q373" s="275"/>
      <c r="R373" s="275"/>
      <c r="S373" s="275"/>
      <c r="T373" s="275"/>
      <c r="U373" s="275"/>
      <c r="V373" s="275"/>
      <c r="W373" s="275"/>
      <c r="X373" s="275"/>
      <c r="Y373" s="275"/>
      <c r="Z373" s="275"/>
    </row>
    <row r="374" spans="1:26" ht="15.75" customHeight="1">
      <c r="A374" s="275"/>
      <c r="B374" s="275"/>
      <c r="C374" s="275"/>
      <c r="D374" s="683"/>
      <c r="E374" s="275"/>
      <c r="F374" s="275"/>
      <c r="G374" s="275"/>
      <c r="H374" s="275"/>
      <c r="I374" s="275"/>
      <c r="J374" s="275"/>
      <c r="K374" s="275"/>
      <c r="L374" s="275"/>
      <c r="M374" s="275"/>
      <c r="N374" s="275"/>
      <c r="O374" s="275"/>
      <c r="P374" s="275"/>
      <c r="Q374" s="275"/>
      <c r="R374" s="275"/>
      <c r="S374" s="275"/>
      <c r="T374" s="275"/>
      <c r="U374" s="275"/>
      <c r="V374" s="275"/>
      <c r="W374" s="275"/>
      <c r="X374" s="275"/>
      <c r="Y374" s="275"/>
      <c r="Z374" s="275"/>
    </row>
    <row r="375" spans="1:26" ht="15.75" customHeight="1">
      <c r="A375" s="275"/>
      <c r="B375" s="275"/>
      <c r="C375" s="275"/>
      <c r="D375" s="683"/>
      <c r="E375" s="275"/>
      <c r="F375" s="275"/>
      <c r="G375" s="275"/>
      <c r="H375" s="275"/>
      <c r="I375" s="275"/>
      <c r="J375" s="275"/>
      <c r="K375" s="275"/>
      <c r="L375" s="275"/>
      <c r="M375" s="275"/>
      <c r="N375" s="275"/>
      <c r="O375" s="275"/>
      <c r="P375" s="275"/>
      <c r="Q375" s="275"/>
      <c r="R375" s="275"/>
      <c r="S375" s="275"/>
      <c r="T375" s="275"/>
      <c r="U375" s="275"/>
      <c r="V375" s="275"/>
      <c r="W375" s="275"/>
      <c r="X375" s="275"/>
      <c r="Y375" s="275"/>
      <c r="Z375" s="275"/>
    </row>
    <row r="376" spans="1:26" ht="15.75" customHeight="1">
      <c r="A376" s="275"/>
      <c r="B376" s="275"/>
      <c r="C376" s="275"/>
      <c r="D376" s="683"/>
      <c r="E376" s="275"/>
      <c r="F376" s="275"/>
      <c r="G376" s="275"/>
      <c r="H376" s="275"/>
      <c r="I376" s="275"/>
      <c r="J376" s="275"/>
      <c r="K376" s="275"/>
      <c r="L376" s="275"/>
      <c r="M376" s="275"/>
      <c r="N376" s="275"/>
      <c r="O376" s="275"/>
      <c r="P376" s="275"/>
      <c r="Q376" s="275"/>
      <c r="R376" s="275"/>
      <c r="S376" s="275"/>
      <c r="T376" s="275"/>
      <c r="U376" s="275"/>
      <c r="V376" s="275"/>
      <c r="W376" s="275"/>
      <c r="X376" s="275"/>
      <c r="Y376" s="275"/>
      <c r="Z376" s="275"/>
    </row>
    <row r="377" spans="1:26" ht="15.75" customHeight="1">
      <c r="A377" s="275"/>
      <c r="B377" s="275"/>
      <c r="C377" s="275"/>
      <c r="D377" s="683"/>
      <c r="E377" s="275"/>
      <c r="F377" s="275"/>
      <c r="G377" s="275"/>
      <c r="H377" s="275"/>
      <c r="I377" s="275"/>
      <c r="J377" s="275"/>
      <c r="K377" s="275"/>
      <c r="L377" s="275"/>
      <c r="M377" s="275"/>
      <c r="N377" s="275"/>
      <c r="O377" s="275"/>
      <c r="P377" s="275"/>
      <c r="Q377" s="275"/>
      <c r="R377" s="275"/>
      <c r="S377" s="275"/>
      <c r="T377" s="275"/>
      <c r="U377" s="275"/>
      <c r="V377" s="275"/>
      <c r="W377" s="275"/>
      <c r="X377" s="275"/>
      <c r="Y377" s="275"/>
      <c r="Z377" s="275"/>
    </row>
    <row r="378" spans="1:26" ht="15.75" customHeight="1">
      <c r="A378" s="275"/>
      <c r="B378" s="275"/>
      <c r="C378" s="275"/>
      <c r="D378" s="683"/>
      <c r="E378" s="275"/>
      <c r="F378" s="275"/>
      <c r="G378" s="275"/>
      <c r="H378" s="275"/>
      <c r="I378" s="275"/>
      <c r="J378" s="275"/>
      <c r="K378" s="275"/>
      <c r="L378" s="275"/>
      <c r="M378" s="275"/>
      <c r="N378" s="275"/>
      <c r="O378" s="275"/>
      <c r="P378" s="275"/>
      <c r="Q378" s="275"/>
      <c r="R378" s="275"/>
      <c r="S378" s="275"/>
      <c r="T378" s="275"/>
      <c r="U378" s="275"/>
      <c r="V378" s="275"/>
      <c r="W378" s="275"/>
      <c r="X378" s="275"/>
      <c r="Y378" s="275"/>
      <c r="Z378" s="275"/>
    </row>
    <row r="379" spans="1:26" ht="15.75" customHeight="1">
      <c r="A379" s="275"/>
      <c r="B379" s="275"/>
      <c r="C379" s="275"/>
      <c r="D379" s="683"/>
      <c r="E379" s="275"/>
      <c r="F379" s="275"/>
      <c r="G379" s="275"/>
      <c r="H379" s="275"/>
      <c r="I379" s="275"/>
      <c r="J379" s="275"/>
      <c r="K379" s="275"/>
      <c r="L379" s="275"/>
      <c r="M379" s="275"/>
      <c r="N379" s="275"/>
      <c r="O379" s="275"/>
      <c r="P379" s="275"/>
      <c r="Q379" s="275"/>
      <c r="R379" s="275"/>
      <c r="S379" s="275"/>
      <c r="T379" s="275"/>
      <c r="U379" s="275"/>
      <c r="V379" s="275"/>
      <c r="W379" s="275"/>
      <c r="X379" s="275"/>
      <c r="Y379" s="275"/>
      <c r="Z379" s="275"/>
    </row>
    <row r="380" spans="1:26" ht="15.75" customHeight="1">
      <c r="A380" s="275"/>
      <c r="B380" s="275"/>
      <c r="C380" s="275"/>
      <c r="D380" s="683"/>
      <c r="E380" s="275"/>
      <c r="F380" s="275"/>
      <c r="G380" s="275"/>
      <c r="H380" s="275"/>
      <c r="I380" s="275"/>
      <c r="J380" s="275"/>
      <c r="K380" s="275"/>
      <c r="L380" s="275"/>
      <c r="M380" s="275"/>
      <c r="N380" s="275"/>
      <c r="O380" s="275"/>
      <c r="P380" s="275"/>
      <c r="Q380" s="275"/>
      <c r="R380" s="275"/>
      <c r="S380" s="275"/>
      <c r="T380" s="275"/>
      <c r="U380" s="275"/>
      <c r="V380" s="275"/>
      <c r="W380" s="275"/>
      <c r="X380" s="275"/>
      <c r="Y380" s="275"/>
      <c r="Z380" s="275"/>
    </row>
    <row r="381" spans="1:26" ht="15.75" customHeight="1">
      <c r="A381" s="275"/>
      <c r="B381" s="275"/>
      <c r="C381" s="275"/>
      <c r="D381" s="683"/>
      <c r="E381" s="275"/>
      <c r="F381" s="275"/>
      <c r="G381" s="275"/>
      <c r="H381" s="275"/>
      <c r="I381" s="275"/>
      <c r="J381" s="275"/>
      <c r="K381" s="275"/>
      <c r="L381" s="275"/>
      <c r="M381" s="275"/>
      <c r="N381" s="275"/>
      <c r="O381" s="275"/>
      <c r="P381" s="275"/>
      <c r="Q381" s="275"/>
      <c r="R381" s="275"/>
      <c r="S381" s="275"/>
      <c r="T381" s="275"/>
      <c r="U381" s="275"/>
      <c r="V381" s="275"/>
      <c r="W381" s="275"/>
      <c r="X381" s="275"/>
      <c r="Y381" s="275"/>
      <c r="Z381" s="275"/>
    </row>
    <row r="382" spans="1:26" ht="15.75" customHeight="1">
      <c r="A382" s="275"/>
      <c r="B382" s="275"/>
      <c r="C382" s="275"/>
      <c r="D382" s="683"/>
      <c r="E382" s="275"/>
      <c r="F382" s="275"/>
      <c r="G382" s="275"/>
      <c r="H382" s="275"/>
      <c r="I382" s="275"/>
      <c r="J382" s="275"/>
      <c r="K382" s="275"/>
      <c r="L382" s="275"/>
      <c r="M382" s="275"/>
      <c r="N382" s="275"/>
      <c r="O382" s="275"/>
      <c r="P382" s="275"/>
      <c r="Q382" s="275"/>
      <c r="R382" s="275"/>
      <c r="S382" s="275"/>
      <c r="T382" s="275"/>
      <c r="U382" s="275"/>
      <c r="V382" s="275"/>
      <c r="W382" s="275"/>
      <c r="X382" s="275"/>
      <c r="Y382" s="275"/>
      <c r="Z382" s="275"/>
    </row>
    <row r="383" spans="1:26" ht="15.75" customHeight="1">
      <c r="A383" s="275"/>
      <c r="B383" s="275"/>
      <c r="C383" s="275"/>
      <c r="D383" s="683"/>
      <c r="E383" s="275"/>
      <c r="F383" s="275"/>
      <c r="G383" s="275"/>
      <c r="H383" s="275"/>
      <c r="I383" s="275"/>
      <c r="J383" s="275"/>
      <c r="K383" s="275"/>
      <c r="L383" s="275"/>
      <c r="M383" s="275"/>
      <c r="N383" s="275"/>
      <c r="O383" s="275"/>
      <c r="P383" s="275"/>
      <c r="Q383" s="275"/>
      <c r="R383" s="275"/>
      <c r="S383" s="275"/>
      <c r="T383" s="275"/>
      <c r="U383" s="275"/>
      <c r="V383" s="275"/>
      <c r="W383" s="275"/>
      <c r="X383" s="275"/>
      <c r="Y383" s="275"/>
      <c r="Z383" s="275"/>
    </row>
    <row r="384" spans="1:26" ht="15.75" customHeight="1">
      <c r="A384" s="275"/>
      <c r="B384" s="275"/>
      <c r="C384" s="275"/>
      <c r="D384" s="683"/>
      <c r="E384" s="275"/>
      <c r="F384" s="275"/>
      <c r="G384" s="275"/>
      <c r="H384" s="275"/>
      <c r="I384" s="275"/>
      <c r="J384" s="275"/>
      <c r="K384" s="275"/>
      <c r="L384" s="275"/>
      <c r="M384" s="275"/>
      <c r="N384" s="275"/>
      <c r="O384" s="275"/>
      <c r="P384" s="275"/>
      <c r="Q384" s="275"/>
      <c r="R384" s="275"/>
      <c r="S384" s="275"/>
      <c r="T384" s="275"/>
      <c r="U384" s="275"/>
      <c r="V384" s="275"/>
      <c r="W384" s="275"/>
      <c r="X384" s="275"/>
      <c r="Y384" s="275"/>
      <c r="Z384" s="275"/>
    </row>
    <row r="385" spans="1:26" ht="15.75" customHeight="1">
      <c r="A385" s="275"/>
      <c r="B385" s="275"/>
      <c r="C385" s="275"/>
      <c r="D385" s="683"/>
      <c r="E385" s="275"/>
      <c r="F385" s="275"/>
      <c r="G385" s="275"/>
      <c r="H385" s="275"/>
      <c r="I385" s="275"/>
      <c r="J385" s="275"/>
      <c r="K385" s="275"/>
      <c r="L385" s="275"/>
      <c r="M385" s="275"/>
      <c r="N385" s="275"/>
      <c r="O385" s="275"/>
      <c r="P385" s="275"/>
      <c r="Q385" s="275"/>
      <c r="R385" s="275"/>
      <c r="S385" s="275"/>
      <c r="T385" s="275"/>
      <c r="U385" s="275"/>
      <c r="V385" s="275"/>
      <c r="W385" s="275"/>
      <c r="X385" s="275"/>
      <c r="Y385" s="275"/>
      <c r="Z385" s="275"/>
    </row>
    <row r="386" spans="1:26" ht="15.75" customHeight="1">
      <c r="A386" s="275"/>
      <c r="B386" s="275"/>
      <c r="C386" s="275"/>
      <c r="D386" s="683"/>
      <c r="E386" s="275"/>
      <c r="F386" s="275"/>
      <c r="G386" s="275"/>
      <c r="H386" s="275"/>
      <c r="I386" s="275"/>
      <c r="J386" s="275"/>
      <c r="K386" s="275"/>
      <c r="L386" s="275"/>
      <c r="M386" s="275"/>
      <c r="N386" s="275"/>
      <c r="O386" s="275"/>
      <c r="P386" s="275"/>
      <c r="Q386" s="275"/>
      <c r="R386" s="275"/>
      <c r="S386" s="275"/>
      <c r="T386" s="275"/>
      <c r="U386" s="275"/>
      <c r="V386" s="275"/>
      <c r="W386" s="275"/>
      <c r="X386" s="275"/>
      <c r="Y386" s="275"/>
      <c r="Z386" s="275"/>
    </row>
    <row r="387" spans="1:26" ht="15.75" customHeight="1">
      <c r="A387" s="275"/>
      <c r="B387" s="275"/>
      <c r="C387" s="275"/>
      <c r="D387" s="683"/>
      <c r="E387" s="275"/>
      <c r="F387" s="275"/>
      <c r="G387" s="275"/>
      <c r="H387" s="275"/>
      <c r="I387" s="275"/>
      <c r="J387" s="275"/>
      <c r="K387" s="275"/>
      <c r="L387" s="275"/>
      <c r="M387" s="275"/>
      <c r="N387" s="275"/>
      <c r="O387" s="275"/>
      <c r="P387" s="275"/>
      <c r="Q387" s="275"/>
      <c r="R387" s="275"/>
      <c r="S387" s="275"/>
      <c r="T387" s="275"/>
      <c r="U387" s="275"/>
      <c r="V387" s="275"/>
      <c r="W387" s="275"/>
      <c r="X387" s="275"/>
      <c r="Y387" s="275"/>
      <c r="Z387" s="275"/>
    </row>
    <row r="388" spans="1:26" ht="15.75" customHeight="1">
      <c r="A388" s="275"/>
      <c r="B388" s="275"/>
      <c r="C388" s="275"/>
      <c r="D388" s="683"/>
      <c r="E388" s="275"/>
      <c r="F388" s="275"/>
      <c r="G388" s="275"/>
      <c r="H388" s="275"/>
      <c r="I388" s="275"/>
      <c r="J388" s="275"/>
      <c r="K388" s="275"/>
      <c r="L388" s="275"/>
      <c r="M388" s="275"/>
      <c r="N388" s="275"/>
      <c r="O388" s="275"/>
      <c r="P388" s="275"/>
      <c r="Q388" s="275"/>
      <c r="R388" s="275"/>
      <c r="S388" s="275"/>
      <c r="T388" s="275"/>
      <c r="U388" s="275"/>
      <c r="V388" s="275"/>
      <c r="W388" s="275"/>
      <c r="X388" s="275"/>
      <c r="Y388" s="275"/>
      <c r="Z388" s="275"/>
    </row>
    <row r="389" spans="1:26" ht="15.75" customHeight="1">
      <c r="A389" s="275"/>
      <c r="B389" s="275"/>
      <c r="C389" s="275"/>
      <c r="D389" s="683"/>
      <c r="E389" s="275"/>
      <c r="F389" s="275"/>
      <c r="G389" s="275"/>
      <c r="H389" s="275"/>
      <c r="I389" s="275"/>
      <c r="J389" s="275"/>
      <c r="K389" s="275"/>
      <c r="L389" s="275"/>
      <c r="M389" s="275"/>
      <c r="N389" s="275"/>
      <c r="O389" s="275"/>
      <c r="P389" s="275"/>
      <c r="Q389" s="275"/>
      <c r="R389" s="275"/>
      <c r="S389" s="275"/>
      <c r="T389" s="275"/>
      <c r="U389" s="275"/>
      <c r="V389" s="275"/>
      <c r="W389" s="275"/>
      <c r="X389" s="275"/>
      <c r="Y389" s="275"/>
      <c r="Z389" s="275"/>
    </row>
    <row r="390" spans="1:26" ht="15.75" customHeight="1">
      <c r="A390" s="275"/>
      <c r="B390" s="275"/>
      <c r="C390" s="275"/>
      <c r="D390" s="683"/>
      <c r="E390" s="275"/>
      <c r="F390" s="275"/>
      <c r="G390" s="275"/>
      <c r="H390" s="275"/>
      <c r="I390" s="275"/>
      <c r="J390" s="275"/>
      <c r="K390" s="275"/>
      <c r="L390" s="275"/>
      <c r="M390" s="275"/>
      <c r="N390" s="275"/>
      <c r="O390" s="275"/>
      <c r="P390" s="275"/>
      <c r="Q390" s="275"/>
      <c r="R390" s="275"/>
      <c r="S390" s="275"/>
      <c r="T390" s="275"/>
      <c r="U390" s="275"/>
      <c r="V390" s="275"/>
      <c r="W390" s="275"/>
      <c r="X390" s="275"/>
      <c r="Y390" s="275"/>
      <c r="Z390" s="275"/>
    </row>
    <row r="391" spans="1:26" ht="15.75" customHeight="1">
      <c r="A391" s="275"/>
      <c r="B391" s="275"/>
      <c r="C391" s="275"/>
      <c r="D391" s="683"/>
      <c r="E391" s="275"/>
      <c r="F391" s="275"/>
      <c r="G391" s="275"/>
      <c r="H391" s="275"/>
      <c r="I391" s="275"/>
      <c r="J391" s="275"/>
      <c r="K391" s="275"/>
      <c r="L391" s="275"/>
      <c r="M391" s="275"/>
      <c r="N391" s="275"/>
      <c r="O391" s="275"/>
      <c r="P391" s="275"/>
      <c r="Q391" s="275"/>
      <c r="R391" s="275"/>
      <c r="S391" s="275"/>
      <c r="T391" s="275"/>
      <c r="U391" s="275"/>
      <c r="V391" s="275"/>
      <c r="W391" s="275"/>
      <c r="X391" s="275"/>
      <c r="Y391" s="275"/>
      <c r="Z391" s="275"/>
    </row>
    <row r="392" spans="1:26" ht="15.75" customHeight="1">
      <c r="A392" s="275"/>
      <c r="B392" s="275"/>
      <c r="C392" s="275"/>
      <c r="D392" s="683"/>
      <c r="E392" s="275"/>
      <c r="F392" s="275"/>
      <c r="G392" s="275"/>
      <c r="H392" s="275"/>
      <c r="I392" s="275"/>
      <c r="J392" s="275"/>
      <c r="K392" s="275"/>
      <c r="L392" s="275"/>
      <c r="M392" s="275"/>
      <c r="N392" s="275"/>
      <c r="O392" s="275"/>
      <c r="P392" s="275"/>
      <c r="Q392" s="275"/>
      <c r="R392" s="275"/>
      <c r="S392" s="275"/>
      <c r="T392" s="275"/>
      <c r="U392" s="275"/>
      <c r="V392" s="275"/>
      <c r="W392" s="275"/>
      <c r="X392" s="275"/>
      <c r="Y392" s="275"/>
      <c r="Z392" s="275"/>
    </row>
    <row r="393" spans="1:26" ht="15.75" customHeight="1">
      <c r="A393" s="275"/>
      <c r="B393" s="275"/>
      <c r="C393" s="275"/>
      <c r="D393" s="683"/>
      <c r="E393" s="275"/>
      <c r="F393" s="275"/>
      <c r="G393" s="275"/>
      <c r="H393" s="275"/>
      <c r="I393" s="275"/>
      <c r="J393" s="275"/>
      <c r="K393" s="275"/>
      <c r="L393" s="275"/>
      <c r="M393" s="275"/>
      <c r="N393" s="275"/>
      <c r="O393" s="275"/>
      <c r="P393" s="275"/>
      <c r="Q393" s="275"/>
      <c r="R393" s="275"/>
      <c r="S393" s="275"/>
      <c r="T393" s="275"/>
      <c r="U393" s="275"/>
      <c r="V393" s="275"/>
      <c r="W393" s="275"/>
      <c r="X393" s="275"/>
      <c r="Y393" s="275"/>
      <c r="Z393" s="275"/>
    </row>
    <row r="394" spans="1:26" ht="15.75" customHeight="1">
      <c r="A394" s="275"/>
      <c r="B394" s="275"/>
      <c r="C394" s="275"/>
      <c r="D394" s="683"/>
      <c r="E394" s="275"/>
      <c r="F394" s="275"/>
      <c r="G394" s="275"/>
      <c r="H394" s="275"/>
      <c r="I394" s="275"/>
      <c r="J394" s="275"/>
      <c r="K394" s="275"/>
      <c r="L394" s="275"/>
      <c r="M394" s="275"/>
      <c r="N394" s="275"/>
      <c r="O394" s="275"/>
      <c r="P394" s="275"/>
      <c r="Q394" s="275"/>
      <c r="R394" s="275"/>
      <c r="S394" s="275"/>
      <c r="T394" s="275"/>
      <c r="U394" s="275"/>
      <c r="V394" s="275"/>
      <c r="W394" s="275"/>
      <c r="X394" s="275"/>
      <c r="Y394" s="275"/>
      <c r="Z394" s="275"/>
    </row>
    <row r="395" spans="1:26" ht="15.75" customHeight="1">
      <c r="A395" s="275"/>
      <c r="B395" s="275"/>
      <c r="C395" s="275"/>
      <c r="D395" s="683"/>
      <c r="E395" s="275"/>
      <c r="F395" s="275"/>
      <c r="G395" s="275"/>
      <c r="H395" s="275"/>
      <c r="I395" s="275"/>
      <c r="J395" s="275"/>
      <c r="K395" s="275"/>
      <c r="L395" s="275"/>
      <c r="M395" s="275"/>
      <c r="N395" s="275"/>
      <c r="O395" s="275"/>
      <c r="P395" s="275"/>
      <c r="Q395" s="275"/>
      <c r="R395" s="275"/>
      <c r="S395" s="275"/>
      <c r="T395" s="275"/>
      <c r="U395" s="275"/>
      <c r="V395" s="275"/>
      <c r="W395" s="275"/>
      <c r="X395" s="275"/>
      <c r="Y395" s="275"/>
      <c r="Z395" s="275"/>
    </row>
    <row r="396" spans="1:26" ht="15.75" customHeight="1">
      <c r="A396" s="275"/>
      <c r="B396" s="275"/>
      <c r="C396" s="275"/>
      <c r="D396" s="683"/>
      <c r="E396" s="275"/>
      <c r="F396" s="275"/>
      <c r="G396" s="275"/>
      <c r="H396" s="275"/>
      <c r="I396" s="275"/>
      <c r="J396" s="275"/>
      <c r="K396" s="275"/>
      <c r="L396" s="275"/>
      <c r="M396" s="275"/>
      <c r="N396" s="275"/>
      <c r="O396" s="275"/>
      <c r="P396" s="275"/>
      <c r="Q396" s="275"/>
      <c r="R396" s="275"/>
      <c r="S396" s="275"/>
      <c r="T396" s="275"/>
      <c r="U396" s="275"/>
      <c r="V396" s="275"/>
      <c r="W396" s="275"/>
      <c r="X396" s="275"/>
      <c r="Y396" s="275"/>
      <c r="Z396" s="275"/>
    </row>
    <row r="397" spans="1:26" ht="15.75" customHeight="1">
      <c r="A397" s="275"/>
      <c r="B397" s="275"/>
      <c r="C397" s="275"/>
      <c r="D397" s="683"/>
      <c r="E397" s="275"/>
      <c r="F397" s="275"/>
      <c r="G397" s="275"/>
      <c r="H397" s="275"/>
      <c r="I397" s="275"/>
      <c r="J397" s="275"/>
      <c r="K397" s="275"/>
      <c r="L397" s="275"/>
      <c r="M397" s="275"/>
      <c r="N397" s="275"/>
      <c r="O397" s="275"/>
      <c r="P397" s="275"/>
      <c r="Q397" s="275"/>
      <c r="R397" s="275"/>
      <c r="S397" s="275"/>
      <c r="T397" s="275"/>
      <c r="U397" s="275"/>
      <c r="V397" s="275"/>
      <c r="W397" s="275"/>
      <c r="X397" s="275"/>
      <c r="Y397" s="275"/>
      <c r="Z397" s="275"/>
    </row>
    <row r="398" spans="1:26" ht="15.75" customHeight="1">
      <c r="A398" s="275"/>
      <c r="B398" s="275"/>
      <c r="C398" s="275"/>
      <c r="D398" s="683"/>
      <c r="E398" s="275"/>
      <c r="F398" s="275"/>
      <c r="G398" s="275"/>
      <c r="H398" s="275"/>
      <c r="I398" s="275"/>
      <c r="J398" s="275"/>
      <c r="K398" s="275"/>
      <c r="L398" s="275"/>
      <c r="M398" s="275"/>
      <c r="N398" s="275"/>
      <c r="O398" s="275"/>
      <c r="P398" s="275"/>
      <c r="Q398" s="275"/>
      <c r="R398" s="275"/>
      <c r="S398" s="275"/>
      <c r="T398" s="275"/>
      <c r="U398" s="275"/>
      <c r="V398" s="275"/>
      <c r="W398" s="275"/>
      <c r="X398" s="275"/>
      <c r="Y398" s="275"/>
      <c r="Z398" s="275"/>
    </row>
    <row r="399" spans="1:26" ht="15.75" customHeight="1">
      <c r="A399" s="275"/>
      <c r="B399" s="275"/>
      <c r="C399" s="275"/>
      <c r="D399" s="683"/>
      <c r="E399" s="275"/>
      <c r="F399" s="275"/>
      <c r="G399" s="275"/>
      <c r="H399" s="275"/>
      <c r="I399" s="275"/>
      <c r="J399" s="275"/>
      <c r="K399" s="275"/>
      <c r="L399" s="275"/>
      <c r="M399" s="275"/>
      <c r="N399" s="275"/>
      <c r="O399" s="275"/>
      <c r="P399" s="275"/>
      <c r="Q399" s="275"/>
      <c r="R399" s="275"/>
      <c r="S399" s="275"/>
      <c r="T399" s="275"/>
      <c r="U399" s="275"/>
      <c r="V399" s="275"/>
      <c r="W399" s="275"/>
      <c r="X399" s="275"/>
      <c r="Y399" s="275"/>
      <c r="Z399" s="275"/>
    </row>
    <row r="400" spans="1:26" ht="15.75" customHeight="1">
      <c r="A400" s="275"/>
      <c r="B400" s="275"/>
      <c r="C400" s="275"/>
      <c r="D400" s="683"/>
      <c r="E400" s="275"/>
      <c r="F400" s="275"/>
      <c r="G400" s="275"/>
      <c r="H400" s="275"/>
      <c r="I400" s="275"/>
      <c r="J400" s="275"/>
      <c r="K400" s="275"/>
      <c r="L400" s="275"/>
      <c r="M400" s="275"/>
      <c r="N400" s="275"/>
      <c r="O400" s="275"/>
      <c r="P400" s="275"/>
      <c r="Q400" s="275"/>
      <c r="R400" s="275"/>
      <c r="S400" s="275"/>
      <c r="T400" s="275"/>
      <c r="U400" s="275"/>
      <c r="V400" s="275"/>
      <c r="W400" s="275"/>
      <c r="X400" s="275"/>
      <c r="Y400" s="275"/>
      <c r="Z400" s="275"/>
    </row>
    <row r="401" spans="1:26" ht="15.75" customHeight="1">
      <c r="A401" s="275"/>
      <c r="B401" s="275"/>
      <c r="C401" s="275"/>
      <c r="D401" s="683"/>
      <c r="E401" s="275"/>
      <c r="F401" s="275"/>
      <c r="G401" s="275"/>
      <c r="H401" s="275"/>
      <c r="I401" s="275"/>
      <c r="J401" s="275"/>
      <c r="K401" s="275"/>
      <c r="L401" s="275"/>
      <c r="M401" s="275"/>
      <c r="N401" s="275"/>
      <c r="O401" s="275"/>
      <c r="P401" s="275"/>
      <c r="Q401" s="275"/>
      <c r="R401" s="275"/>
      <c r="S401" s="275"/>
      <c r="T401" s="275"/>
      <c r="U401" s="275"/>
      <c r="V401" s="275"/>
      <c r="W401" s="275"/>
      <c r="X401" s="275"/>
      <c r="Y401" s="275"/>
      <c r="Z401" s="275"/>
    </row>
    <row r="402" spans="1:26" ht="15.75" customHeight="1">
      <c r="A402" s="275"/>
      <c r="B402" s="275"/>
      <c r="C402" s="275"/>
      <c r="D402" s="683"/>
      <c r="E402" s="275"/>
      <c r="F402" s="275"/>
      <c r="G402" s="275"/>
      <c r="H402" s="275"/>
      <c r="I402" s="275"/>
      <c r="J402" s="275"/>
      <c r="K402" s="275"/>
      <c r="L402" s="275"/>
      <c r="M402" s="275"/>
      <c r="N402" s="275"/>
      <c r="O402" s="275"/>
      <c r="P402" s="275"/>
      <c r="Q402" s="275"/>
      <c r="R402" s="275"/>
      <c r="S402" s="275"/>
      <c r="T402" s="275"/>
      <c r="U402" s="275"/>
      <c r="V402" s="275"/>
      <c r="W402" s="275"/>
      <c r="X402" s="275"/>
      <c r="Y402" s="275"/>
      <c r="Z402" s="275"/>
    </row>
    <row r="403" spans="1:26" ht="15.75" customHeight="1">
      <c r="A403" s="275"/>
      <c r="B403" s="275"/>
      <c r="C403" s="275"/>
      <c r="D403" s="683"/>
      <c r="E403" s="275"/>
      <c r="F403" s="275"/>
      <c r="G403" s="275"/>
      <c r="H403" s="275"/>
      <c r="I403" s="275"/>
      <c r="J403" s="275"/>
      <c r="K403" s="275"/>
      <c r="L403" s="275"/>
      <c r="M403" s="275"/>
      <c r="N403" s="275"/>
      <c r="O403" s="275"/>
      <c r="P403" s="275"/>
      <c r="Q403" s="275"/>
      <c r="R403" s="275"/>
      <c r="S403" s="275"/>
      <c r="T403" s="275"/>
      <c r="U403" s="275"/>
      <c r="V403" s="275"/>
      <c r="W403" s="275"/>
      <c r="X403" s="275"/>
      <c r="Y403" s="275"/>
      <c r="Z403" s="275"/>
    </row>
    <row r="404" spans="1:26" ht="15.75" customHeight="1">
      <c r="A404" s="275"/>
      <c r="B404" s="275"/>
      <c r="C404" s="275"/>
      <c r="D404" s="683"/>
      <c r="E404" s="275"/>
      <c r="F404" s="275"/>
      <c r="G404" s="275"/>
      <c r="H404" s="275"/>
      <c r="I404" s="275"/>
      <c r="J404" s="275"/>
      <c r="K404" s="275"/>
      <c r="L404" s="275"/>
      <c r="M404" s="275"/>
      <c r="N404" s="275"/>
      <c r="O404" s="275"/>
      <c r="P404" s="275"/>
      <c r="Q404" s="275"/>
      <c r="R404" s="275"/>
      <c r="S404" s="275"/>
      <c r="T404" s="275"/>
      <c r="U404" s="275"/>
      <c r="V404" s="275"/>
      <c r="W404" s="275"/>
      <c r="X404" s="275"/>
      <c r="Y404" s="275"/>
      <c r="Z404" s="275"/>
    </row>
    <row r="405" spans="1:26" ht="15.75" customHeight="1">
      <c r="A405" s="275"/>
      <c r="B405" s="275"/>
      <c r="C405" s="275"/>
      <c r="D405" s="683"/>
      <c r="E405" s="275"/>
      <c r="F405" s="275"/>
      <c r="G405" s="275"/>
      <c r="H405" s="275"/>
      <c r="I405" s="275"/>
      <c r="J405" s="275"/>
      <c r="K405" s="275"/>
      <c r="L405" s="275"/>
      <c r="M405" s="275"/>
      <c r="N405" s="275"/>
      <c r="O405" s="275"/>
      <c r="P405" s="275"/>
      <c r="Q405" s="275"/>
      <c r="R405" s="275"/>
      <c r="S405" s="275"/>
      <c r="T405" s="275"/>
      <c r="U405" s="275"/>
      <c r="V405" s="275"/>
      <c r="W405" s="275"/>
      <c r="X405" s="275"/>
      <c r="Y405" s="275"/>
      <c r="Z405" s="275"/>
    </row>
    <row r="406" spans="1:26" ht="15.75" customHeight="1">
      <c r="A406" s="275"/>
      <c r="B406" s="275"/>
      <c r="C406" s="275"/>
      <c r="D406" s="683"/>
      <c r="E406" s="275"/>
      <c r="F406" s="275"/>
      <c r="G406" s="275"/>
      <c r="H406" s="275"/>
      <c r="I406" s="275"/>
      <c r="J406" s="275"/>
      <c r="K406" s="275"/>
      <c r="L406" s="275"/>
      <c r="M406" s="275"/>
      <c r="N406" s="275"/>
      <c r="O406" s="275"/>
      <c r="P406" s="275"/>
      <c r="Q406" s="275"/>
      <c r="R406" s="275"/>
      <c r="S406" s="275"/>
      <c r="T406" s="275"/>
      <c r="U406" s="275"/>
      <c r="V406" s="275"/>
      <c r="W406" s="275"/>
      <c r="X406" s="275"/>
      <c r="Y406" s="275"/>
      <c r="Z406" s="275"/>
    </row>
    <row r="407" spans="1:26" ht="15.75" customHeight="1">
      <c r="A407" s="275"/>
      <c r="B407" s="275"/>
      <c r="C407" s="275"/>
      <c r="D407" s="683"/>
      <c r="E407" s="275"/>
      <c r="F407" s="275"/>
      <c r="G407" s="275"/>
      <c r="H407" s="275"/>
      <c r="I407" s="275"/>
      <c r="J407" s="275"/>
      <c r="K407" s="275"/>
      <c r="L407" s="275"/>
      <c r="M407" s="275"/>
      <c r="N407" s="275"/>
      <c r="O407" s="275"/>
      <c r="P407" s="275"/>
      <c r="Q407" s="275"/>
      <c r="R407" s="275"/>
      <c r="S407" s="275"/>
      <c r="T407" s="275"/>
      <c r="U407" s="275"/>
      <c r="V407" s="275"/>
      <c r="W407" s="275"/>
      <c r="X407" s="275"/>
      <c r="Y407" s="275"/>
      <c r="Z407" s="275"/>
    </row>
    <row r="408" spans="1:26" ht="15.75" customHeight="1">
      <c r="A408" s="275"/>
      <c r="B408" s="275"/>
      <c r="C408" s="275"/>
      <c r="D408" s="683"/>
      <c r="E408" s="275"/>
      <c r="F408" s="275"/>
      <c r="G408" s="275"/>
      <c r="H408" s="275"/>
      <c r="I408" s="275"/>
      <c r="J408" s="275"/>
      <c r="K408" s="275"/>
      <c r="L408" s="275"/>
      <c r="M408" s="275"/>
      <c r="N408" s="275"/>
      <c r="O408" s="275"/>
      <c r="P408" s="275"/>
      <c r="Q408" s="275"/>
      <c r="R408" s="275"/>
      <c r="S408" s="275"/>
      <c r="T408" s="275"/>
      <c r="U408" s="275"/>
      <c r="V408" s="275"/>
      <c r="W408" s="275"/>
      <c r="X408" s="275"/>
      <c r="Y408" s="275"/>
      <c r="Z408" s="275"/>
    </row>
    <row r="409" spans="1:26" ht="15.75" customHeight="1">
      <c r="A409" s="275"/>
      <c r="B409" s="275"/>
      <c r="C409" s="275"/>
      <c r="D409" s="683"/>
      <c r="E409" s="275"/>
      <c r="F409" s="275"/>
      <c r="G409" s="275"/>
      <c r="H409" s="275"/>
      <c r="I409" s="275"/>
      <c r="J409" s="275"/>
      <c r="K409" s="275"/>
      <c r="L409" s="275"/>
      <c r="M409" s="275"/>
      <c r="N409" s="275"/>
      <c r="O409" s="275"/>
      <c r="P409" s="275"/>
      <c r="Q409" s="275"/>
      <c r="R409" s="275"/>
      <c r="S409" s="275"/>
      <c r="T409" s="275"/>
      <c r="U409" s="275"/>
      <c r="V409" s="275"/>
      <c r="W409" s="275"/>
      <c r="X409" s="275"/>
      <c r="Y409" s="275"/>
      <c r="Z409" s="275"/>
    </row>
    <row r="410" spans="1:26" ht="15.75" customHeight="1">
      <c r="A410" s="275"/>
      <c r="B410" s="275"/>
      <c r="C410" s="275"/>
      <c r="D410" s="683"/>
      <c r="E410" s="275"/>
      <c r="F410" s="275"/>
      <c r="G410" s="275"/>
      <c r="H410" s="275"/>
      <c r="I410" s="275"/>
      <c r="J410" s="275"/>
      <c r="K410" s="275"/>
      <c r="L410" s="275"/>
      <c r="M410" s="275"/>
      <c r="N410" s="275"/>
      <c r="O410" s="275"/>
      <c r="P410" s="275"/>
      <c r="Q410" s="275"/>
      <c r="R410" s="275"/>
      <c r="S410" s="275"/>
      <c r="T410" s="275"/>
      <c r="U410" s="275"/>
      <c r="V410" s="275"/>
      <c r="W410" s="275"/>
      <c r="X410" s="275"/>
      <c r="Y410" s="275"/>
      <c r="Z410" s="275"/>
    </row>
    <row r="411" spans="1:26" ht="15.75" customHeight="1">
      <c r="A411" s="275"/>
      <c r="B411" s="275"/>
      <c r="C411" s="275"/>
      <c r="D411" s="683"/>
      <c r="E411" s="275"/>
      <c r="F411" s="275"/>
      <c r="G411" s="275"/>
      <c r="H411" s="275"/>
      <c r="I411" s="275"/>
      <c r="J411" s="275"/>
      <c r="K411" s="275"/>
      <c r="L411" s="275"/>
      <c r="M411" s="275"/>
      <c r="N411" s="275"/>
      <c r="O411" s="275"/>
      <c r="P411" s="275"/>
      <c r="Q411" s="275"/>
      <c r="R411" s="275"/>
      <c r="S411" s="275"/>
      <c r="T411" s="275"/>
      <c r="U411" s="275"/>
      <c r="V411" s="275"/>
      <c r="W411" s="275"/>
      <c r="X411" s="275"/>
      <c r="Y411" s="275"/>
      <c r="Z411" s="275"/>
    </row>
    <row r="412" spans="1:26" ht="15.75" customHeight="1">
      <c r="A412" s="275"/>
      <c r="B412" s="275"/>
      <c r="C412" s="275"/>
      <c r="D412" s="683"/>
      <c r="E412" s="275"/>
      <c r="F412" s="275"/>
      <c r="G412" s="275"/>
      <c r="H412" s="275"/>
      <c r="I412" s="275"/>
      <c r="J412" s="275"/>
      <c r="K412" s="275"/>
      <c r="L412" s="275"/>
      <c r="M412" s="275"/>
      <c r="N412" s="275"/>
      <c r="O412" s="275"/>
      <c r="P412" s="275"/>
      <c r="Q412" s="275"/>
      <c r="R412" s="275"/>
      <c r="S412" s="275"/>
      <c r="T412" s="275"/>
      <c r="U412" s="275"/>
      <c r="V412" s="275"/>
      <c r="W412" s="275"/>
      <c r="X412" s="275"/>
      <c r="Y412" s="275"/>
      <c r="Z412" s="275"/>
    </row>
    <row r="413" spans="1:26" ht="15.75" customHeight="1">
      <c r="A413" s="275"/>
      <c r="B413" s="275"/>
      <c r="C413" s="275"/>
      <c r="D413" s="683"/>
      <c r="E413" s="275"/>
      <c r="F413" s="275"/>
      <c r="G413" s="275"/>
      <c r="H413" s="275"/>
      <c r="I413" s="275"/>
      <c r="J413" s="275"/>
      <c r="K413" s="275"/>
      <c r="L413" s="275"/>
      <c r="M413" s="275"/>
      <c r="N413" s="275"/>
      <c r="O413" s="275"/>
      <c r="P413" s="275"/>
      <c r="Q413" s="275"/>
      <c r="R413" s="275"/>
      <c r="S413" s="275"/>
      <c r="T413" s="275"/>
      <c r="U413" s="275"/>
      <c r="V413" s="275"/>
      <c r="W413" s="275"/>
      <c r="X413" s="275"/>
      <c r="Y413" s="275"/>
      <c r="Z413" s="275"/>
    </row>
    <row r="414" spans="1:26" ht="15.75" customHeight="1">
      <c r="A414" s="275"/>
      <c r="B414" s="275"/>
      <c r="C414" s="275"/>
      <c r="D414" s="683"/>
      <c r="E414" s="275"/>
      <c r="F414" s="275"/>
      <c r="G414" s="275"/>
      <c r="H414" s="275"/>
      <c r="I414" s="275"/>
      <c r="J414" s="275"/>
      <c r="K414" s="275"/>
      <c r="L414" s="275"/>
      <c r="M414" s="275"/>
      <c r="N414" s="275"/>
      <c r="O414" s="275"/>
      <c r="P414" s="275"/>
      <c r="Q414" s="275"/>
      <c r="R414" s="275"/>
      <c r="S414" s="275"/>
      <c r="T414" s="275"/>
      <c r="U414" s="275"/>
      <c r="V414" s="275"/>
      <c r="W414" s="275"/>
      <c r="X414" s="275"/>
      <c r="Y414" s="275"/>
      <c r="Z414" s="275"/>
    </row>
    <row r="415" spans="1:26" ht="15.75" customHeight="1">
      <c r="A415" s="275"/>
      <c r="B415" s="275"/>
      <c r="C415" s="275"/>
      <c r="D415" s="683"/>
      <c r="E415" s="275"/>
      <c r="F415" s="275"/>
      <c r="G415" s="275"/>
      <c r="H415" s="275"/>
      <c r="I415" s="275"/>
      <c r="J415" s="275"/>
      <c r="K415" s="275"/>
      <c r="L415" s="275"/>
      <c r="M415" s="275"/>
      <c r="N415" s="275"/>
      <c r="O415" s="275"/>
      <c r="P415" s="275"/>
      <c r="Q415" s="275"/>
      <c r="R415" s="275"/>
      <c r="S415" s="275"/>
      <c r="T415" s="275"/>
      <c r="U415" s="275"/>
      <c r="V415" s="275"/>
      <c r="W415" s="275"/>
      <c r="X415" s="275"/>
      <c r="Y415" s="275"/>
      <c r="Z415" s="275"/>
    </row>
    <row r="416" spans="1:26" ht="15.75" customHeight="1">
      <c r="A416" s="275"/>
      <c r="B416" s="275"/>
      <c r="C416" s="275"/>
      <c r="D416" s="683"/>
      <c r="E416" s="275"/>
      <c r="F416" s="275"/>
      <c r="G416" s="275"/>
      <c r="H416" s="275"/>
      <c r="I416" s="275"/>
      <c r="J416" s="275"/>
      <c r="K416" s="275"/>
      <c r="L416" s="275"/>
      <c r="M416" s="275"/>
      <c r="N416" s="275"/>
      <c r="O416" s="275"/>
      <c r="P416" s="275"/>
      <c r="Q416" s="275"/>
      <c r="R416" s="275"/>
      <c r="S416" s="275"/>
      <c r="T416" s="275"/>
      <c r="U416" s="275"/>
      <c r="V416" s="275"/>
      <c r="W416" s="275"/>
      <c r="X416" s="275"/>
      <c r="Y416" s="275"/>
      <c r="Z416" s="275"/>
    </row>
    <row r="417" spans="1:26" ht="15.75" customHeight="1">
      <c r="A417" s="275"/>
      <c r="B417" s="275"/>
      <c r="C417" s="275"/>
      <c r="D417" s="683"/>
      <c r="E417" s="275"/>
      <c r="F417" s="275"/>
      <c r="G417" s="275"/>
      <c r="H417" s="275"/>
      <c r="I417" s="275"/>
      <c r="J417" s="275"/>
      <c r="K417" s="275"/>
      <c r="L417" s="275"/>
      <c r="M417" s="275"/>
      <c r="N417" s="275"/>
      <c r="O417" s="275"/>
      <c r="P417" s="275"/>
      <c r="Q417" s="275"/>
      <c r="R417" s="275"/>
      <c r="S417" s="275"/>
      <c r="T417" s="275"/>
      <c r="U417" s="275"/>
      <c r="V417" s="275"/>
      <c r="W417" s="275"/>
      <c r="X417" s="275"/>
      <c r="Y417" s="275"/>
      <c r="Z417" s="275"/>
    </row>
    <row r="418" spans="1:26" ht="15.75" customHeight="1">
      <c r="A418" s="275"/>
      <c r="B418" s="275"/>
      <c r="C418" s="275"/>
      <c r="D418" s="683"/>
      <c r="E418" s="275"/>
      <c r="F418" s="275"/>
      <c r="G418" s="275"/>
      <c r="H418" s="275"/>
      <c r="I418" s="275"/>
      <c r="J418" s="275"/>
      <c r="K418" s="275"/>
      <c r="L418" s="275"/>
      <c r="M418" s="275"/>
      <c r="N418" s="275"/>
      <c r="O418" s="275"/>
      <c r="P418" s="275"/>
      <c r="Q418" s="275"/>
      <c r="R418" s="275"/>
      <c r="S418" s="275"/>
      <c r="T418" s="275"/>
      <c r="U418" s="275"/>
      <c r="V418" s="275"/>
      <c r="W418" s="275"/>
      <c r="X418" s="275"/>
      <c r="Y418" s="275"/>
      <c r="Z418" s="275"/>
    </row>
    <row r="419" spans="1:26" ht="15.75" customHeight="1">
      <c r="A419" s="275"/>
      <c r="B419" s="275"/>
      <c r="C419" s="275"/>
      <c r="D419" s="683"/>
      <c r="E419" s="275"/>
      <c r="F419" s="275"/>
      <c r="G419" s="275"/>
      <c r="H419" s="275"/>
      <c r="I419" s="275"/>
      <c r="J419" s="275"/>
      <c r="K419" s="275"/>
      <c r="L419" s="275"/>
      <c r="M419" s="275"/>
      <c r="N419" s="275"/>
      <c r="O419" s="275"/>
      <c r="P419" s="275"/>
      <c r="Q419" s="275"/>
      <c r="R419" s="275"/>
      <c r="S419" s="275"/>
      <c r="T419" s="275"/>
      <c r="U419" s="275"/>
      <c r="V419" s="275"/>
      <c r="W419" s="275"/>
      <c r="X419" s="275"/>
      <c r="Y419" s="275"/>
      <c r="Z419" s="275"/>
    </row>
    <row r="420" spans="1:26" ht="15.75" customHeight="1">
      <c r="A420" s="275"/>
      <c r="B420" s="275"/>
      <c r="C420" s="275"/>
      <c r="D420" s="683"/>
      <c r="E420" s="275"/>
      <c r="F420" s="275"/>
      <c r="G420" s="275"/>
      <c r="H420" s="275"/>
      <c r="I420" s="275"/>
      <c r="J420" s="275"/>
      <c r="K420" s="275"/>
      <c r="L420" s="275"/>
      <c r="M420" s="275"/>
      <c r="N420" s="275"/>
      <c r="O420" s="275"/>
      <c r="P420" s="275"/>
      <c r="Q420" s="275"/>
      <c r="R420" s="275"/>
      <c r="S420" s="275"/>
      <c r="T420" s="275"/>
      <c r="U420" s="275"/>
      <c r="V420" s="275"/>
      <c r="W420" s="275"/>
      <c r="X420" s="275"/>
      <c r="Y420" s="275"/>
      <c r="Z420" s="275"/>
    </row>
    <row r="421" spans="1:26" ht="15.75" customHeight="1">
      <c r="A421" s="275"/>
      <c r="B421" s="275"/>
      <c r="C421" s="275"/>
      <c r="D421" s="683"/>
      <c r="E421" s="275"/>
      <c r="F421" s="275"/>
      <c r="G421" s="275"/>
      <c r="H421" s="275"/>
      <c r="I421" s="275"/>
      <c r="J421" s="275"/>
      <c r="K421" s="275"/>
      <c r="L421" s="275"/>
      <c r="M421" s="275"/>
      <c r="N421" s="275"/>
      <c r="O421" s="275"/>
      <c r="P421" s="275"/>
      <c r="Q421" s="275"/>
      <c r="R421" s="275"/>
      <c r="S421" s="275"/>
      <c r="T421" s="275"/>
      <c r="U421" s="275"/>
      <c r="V421" s="275"/>
      <c r="W421" s="275"/>
      <c r="X421" s="275"/>
      <c r="Y421" s="275"/>
      <c r="Z421" s="275"/>
    </row>
    <row r="422" spans="1:26" ht="15.75" customHeight="1">
      <c r="A422" s="275"/>
      <c r="B422" s="275"/>
      <c r="C422" s="275"/>
      <c r="D422" s="683"/>
      <c r="E422" s="275"/>
      <c r="F422" s="275"/>
      <c r="G422" s="275"/>
      <c r="H422" s="275"/>
      <c r="I422" s="275"/>
      <c r="J422" s="275"/>
      <c r="K422" s="275"/>
      <c r="L422" s="275"/>
      <c r="M422" s="275"/>
      <c r="N422" s="275"/>
      <c r="O422" s="275"/>
      <c r="P422" s="275"/>
      <c r="Q422" s="275"/>
      <c r="R422" s="275"/>
      <c r="S422" s="275"/>
      <c r="T422" s="275"/>
      <c r="U422" s="275"/>
      <c r="V422" s="275"/>
      <c r="W422" s="275"/>
      <c r="X422" s="275"/>
      <c r="Y422" s="275"/>
      <c r="Z422" s="275"/>
    </row>
    <row r="423" spans="1:26" ht="15.75" customHeight="1">
      <c r="A423" s="275"/>
      <c r="B423" s="275"/>
      <c r="C423" s="275"/>
      <c r="D423" s="683"/>
      <c r="E423" s="275"/>
      <c r="F423" s="275"/>
      <c r="G423" s="275"/>
      <c r="H423" s="275"/>
      <c r="I423" s="275"/>
      <c r="J423" s="275"/>
      <c r="K423" s="275"/>
      <c r="L423" s="275"/>
      <c r="M423" s="275"/>
      <c r="N423" s="275"/>
      <c r="O423" s="275"/>
      <c r="P423" s="275"/>
      <c r="Q423" s="275"/>
      <c r="R423" s="275"/>
      <c r="S423" s="275"/>
      <c r="T423" s="275"/>
      <c r="U423" s="275"/>
      <c r="V423" s="275"/>
      <c r="W423" s="275"/>
      <c r="X423" s="275"/>
      <c r="Y423" s="275"/>
      <c r="Z423" s="275"/>
    </row>
    <row r="424" spans="1:26" ht="15.75" customHeight="1">
      <c r="A424" s="275"/>
      <c r="B424" s="275"/>
      <c r="C424" s="275"/>
      <c r="D424" s="683"/>
      <c r="E424" s="275"/>
      <c r="F424" s="275"/>
      <c r="G424" s="275"/>
      <c r="H424" s="275"/>
      <c r="I424" s="275"/>
      <c r="J424" s="275"/>
      <c r="K424" s="275"/>
      <c r="L424" s="275"/>
      <c r="M424" s="275"/>
      <c r="N424" s="275"/>
      <c r="O424" s="275"/>
      <c r="P424" s="275"/>
      <c r="Q424" s="275"/>
      <c r="R424" s="275"/>
      <c r="S424" s="275"/>
      <c r="T424" s="275"/>
      <c r="U424" s="275"/>
      <c r="V424" s="275"/>
      <c r="W424" s="275"/>
      <c r="X424" s="275"/>
      <c r="Y424" s="275"/>
      <c r="Z424" s="275"/>
    </row>
    <row r="425" spans="1:26" ht="15.75" customHeight="1">
      <c r="A425" s="275"/>
      <c r="B425" s="275"/>
      <c r="C425" s="275"/>
      <c r="D425" s="683"/>
      <c r="E425" s="275"/>
      <c r="F425" s="275"/>
      <c r="G425" s="275"/>
      <c r="H425" s="275"/>
      <c r="I425" s="275"/>
      <c r="J425" s="275"/>
      <c r="K425" s="275"/>
      <c r="L425" s="275"/>
      <c r="M425" s="275"/>
      <c r="N425" s="275"/>
      <c r="O425" s="275"/>
      <c r="P425" s="275"/>
      <c r="Q425" s="275"/>
      <c r="R425" s="275"/>
      <c r="S425" s="275"/>
      <c r="T425" s="275"/>
      <c r="U425" s="275"/>
      <c r="V425" s="275"/>
      <c r="W425" s="275"/>
      <c r="X425" s="275"/>
      <c r="Y425" s="275"/>
      <c r="Z425" s="275"/>
    </row>
    <row r="426" spans="1:26" ht="15.75" customHeight="1">
      <c r="A426" s="275"/>
      <c r="B426" s="275"/>
      <c r="C426" s="275"/>
      <c r="D426" s="683"/>
      <c r="E426" s="275"/>
      <c r="F426" s="275"/>
      <c r="G426" s="275"/>
      <c r="H426" s="275"/>
      <c r="I426" s="275"/>
      <c r="J426" s="275"/>
      <c r="K426" s="275"/>
      <c r="L426" s="275"/>
      <c r="M426" s="275"/>
      <c r="N426" s="275"/>
      <c r="O426" s="275"/>
      <c r="P426" s="275"/>
      <c r="Q426" s="275"/>
      <c r="R426" s="275"/>
      <c r="S426" s="275"/>
      <c r="T426" s="275"/>
      <c r="U426" s="275"/>
      <c r="V426" s="275"/>
      <c r="W426" s="275"/>
      <c r="X426" s="275"/>
      <c r="Y426" s="275"/>
      <c r="Z426" s="275"/>
    </row>
    <row r="427" spans="1:26" ht="15.75" customHeight="1">
      <c r="A427" s="275"/>
      <c r="B427" s="275"/>
      <c r="C427" s="275"/>
      <c r="D427" s="683"/>
      <c r="E427" s="275"/>
      <c r="F427" s="275"/>
      <c r="G427" s="275"/>
      <c r="H427" s="275"/>
      <c r="I427" s="275"/>
      <c r="J427" s="275"/>
      <c r="K427" s="275"/>
      <c r="L427" s="275"/>
      <c r="M427" s="275"/>
      <c r="N427" s="275"/>
      <c r="O427" s="275"/>
      <c r="P427" s="275"/>
      <c r="Q427" s="275"/>
      <c r="R427" s="275"/>
      <c r="S427" s="275"/>
      <c r="T427" s="275"/>
      <c r="U427" s="275"/>
      <c r="V427" s="275"/>
      <c r="W427" s="275"/>
      <c r="X427" s="275"/>
      <c r="Y427" s="275"/>
      <c r="Z427" s="275"/>
    </row>
    <row r="428" spans="1:26" ht="15.75" customHeight="1">
      <c r="A428" s="275"/>
      <c r="B428" s="275"/>
      <c r="C428" s="275"/>
      <c r="D428" s="683"/>
      <c r="E428" s="275"/>
      <c r="F428" s="275"/>
      <c r="G428" s="275"/>
      <c r="H428" s="275"/>
      <c r="I428" s="275"/>
      <c r="J428" s="275"/>
      <c r="K428" s="275"/>
      <c r="L428" s="275"/>
      <c r="M428" s="275"/>
      <c r="N428" s="275"/>
      <c r="O428" s="275"/>
      <c r="P428" s="275"/>
      <c r="Q428" s="275"/>
      <c r="R428" s="275"/>
      <c r="S428" s="275"/>
      <c r="T428" s="275"/>
      <c r="U428" s="275"/>
      <c r="V428" s="275"/>
      <c r="W428" s="275"/>
      <c r="X428" s="275"/>
      <c r="Y428" s="275"/>
      <c r="Z428" s="275"/>
    </row>
    <row r="429" spans="1:26" ht="15.75" customHeight="1">
      <c r="A429" s="275"/>
      <c r="B429" s="275"/>
      <c r="C429" s="275"/>
      <c r="D429" s="683"/>
      <c r="E429" s="275"/>
      <c r="F429" s="275"/>
      <c r="G429" s="275"/>
      <c r="H429" s="275"/>
      <c r="I429" s="275"/>
      <c r="J429" s="275"/>
      <c r="K429" s="275"/>
      <c r="L429" s="275"/>
      <c r="M429" s="275"/>
      <c r="N429" s="275"/>
      <c r="O429" s="275"/>
      <c r="P429" s="275"/>
      <c r="Q429" s="275"/>
      <c r="R429" s="275"/>
      <c r="S429" s="275"/>
      <c r="T429" s="275"/>
      <c r="U429" s="275"/>
      <c r="V429" s="275"/>
      <c r="W429" s="275"/>
      <c r="X429" s="275"/>
      <c r="Y429" s="275"/>
      <c r="Z429" s="275"/>
    </row>
    <row r="430" spans="1:26" ht="15.75" customHeight="1">
      <c r="A430" s="275"/>
      <c r="B430" s="275"/>
      <c r="C430" s="275"/>
      <c r="D430" s="683"/>
      <c r="E430" s="275"/>
      <c r="F430" s="275"/>
      <c r="G430" s="275"/>
      <c r="H430" s="275"/>
      <c r="I430" s="275"/>
      <c r="J430" s="275"/>
      <c r="K430" s="275"/>
      <c r="L430" s="275"/>
      <c r="M430" s="275"/>
      <c r="N430" s="275"/>
      <c r="O430" s="275"/>
      <c r="P430" s="275"/>
      <c r="Q430" s="275"/>
      <c r="R430" s="275"/>
      <c r="S430" s="275"/>
      <c r="T430" s="275"/>
      <c r="U430" s="275"/>
      <c r="V430" s="275"/>
      <c r="W430" s="275"/>
      <c r="X430" s="275"/>
      <c r="Y430" s="275"/>
      <c r="Z430" s="275"/>
    </row>
    <row r="431" spans="1:26" ht="15.75" customHeight="1">
      <c r="A431" s="275"/>
      <c r="B431" s="275"/>
      <c r="C431" s="275"/>
      <c r="D431" s="683"/>
      <c r="E431" s="275"/>
      <c r="F431" s="275"/>
      <c r="G431" s="275"/>
      <c r="H431" s="275"/>
      <c r="I431" s="275"/>
      <c r="J431" s="275"/>
      <c r="K431" s="275"/>
      <c r="L431" s="275"/>
      <c r="M431" s="275"/>
      <c r="N431" s="275"/>
      <c r="O431" s="275"/>
      <c r="P431" s="275"/>
      <c r="Q431" s="275"/>
      <c r="R431" s="275"/>
      <c r="S431" s="275"/>
      <c r="T431" s="275"/>
      <c r="U431" s="275"/>
      <c r="V431" s="275"/>
      <c r="W431" s="275"/>
      <c r="X431" s="275"/>
      <c r="Y431" s="275"/>
      <c r="Z431" s="275"/>
    </row>
    <row r="432" spans="1:26" ht="15.75" customHeight="1">
      <c r="A432" s="275"/>
      <c r="B432" s="275"/>
      <c r="C432" s="275"/>
      <c r="D432" s="683"/>
      <c r="E432" s="275"/>
      <c r="F432" s="275"/>
      <c r="G432" s="275"/>
      <c r="H432" s="275"/>
      <c r="I432" s="275"/>
      <c r="J432" s="275"/>
      <c r="K432" s="275"/>
      <c r="L432" s="275"/>
      <c r="M432" s="275"/>
      <c r="N432" s="275"/>
      <c r="O432" s="275"/>
      <c r="P432" s="275"/>
      <c r="Q432" s="275"/>
      <c r="R432" s="275"/>
      <c r="S432" s="275"/>
      <c r="T432" s="275"/>
      <c r="U432" s="275"/>
      <c r="V432" s="275"/>
      <c r="W432" s="275"/>
      <c r="X432" s="275"/>
      <c r="Y432" s="275"/>
      <c r="Z432" s="275"/>
    </row>
    <row r="433" spans="1:26" ht="15.75" customHeight="1">
      <c r="A433" s="275"/>
      <c r="B433" s="275"/>
      <c r="C433" s="275"/>
      <c r="D433" s="683"/>
      <c r="E433" s="275"/>
      <c r="F433" s="275"/>
      <c r="G433" s="275"/>
      <c r="H433" s="275"/>
      <c r="I433" s="275"/>
      <c r="J433" s="275"/>
      <c r="K433" s="275"/>
      <c r="L433" s="275"/>
      <c r="M433" s="275"/>
      <c r="N433" s="275"/>
      <c r="O433" s="275"/>
      <c r="P433" s="275"/>
      <c r="Q433" s="275"/>
      <c r="R433" s="275"/>
      <c r="S433" s="275"/>
      <c r="T433" s="275"/>
      <c r="U433" s="275"/>
      <c r="V433" s="275"/>
      <c r="W433" s="275"/>
      <c r="X433" s="275"/>
      <c r="Y433" s="275"/>
      <c r="Z433" s="275"/>
    </row>
    <row r="434" spans="1:26" ht="15.75" customHeight="1">
      <c r="A434" s="275"/>
      <c r="B434" s="275"/>
      <c r="C434" s="275"/>
      <c r="D434" s="683"/>
      <c r="E434" s="275"/>
      <c r="F434" s="275"/>
      <c r="G434" s="275"/>
      <c r="H434" s="275"/>
      <c r="I434" s="275"/>
      <c r="J434" s="275"/>
      <c r="K434" s="275"/>
      <c r="L434" s="275"/>
      <c r="M434" s="275"/>
      <c r="N434" s="275"/>
      <c r="O434" s="275"/>
      <c r="P434" s="275"/>
      <c r="Q434" s="275"/>
      <c r="R434" s="275"/>
      <c r="S434" s="275"/>
      <c r="T434" s="275"/>
      <c r="U434" s="275"/>
      <c r="V434" s="275"/>
      <c r="W434" s="275"/>
      <c r="X434" s="275"/>
      <c r="Y434" s="275"/>
      <c r="Z434" s="275"/>
    </row>
    <row r="435" spans="1:26" ht="15.75" customHeight="1">
      <c r="A435" s="275"/>
      <c r="B435" s="275"/>
      <c r="C435" s="275"/>
      <c r="D435" s="683"/>
      <c r="E435" s="275"/>
      <c r="F435" s="275"/>
      <c r="G435" s="275"/>
      <c r="H435" s="275"/>
      <c r="I435" s="275"/>
      <c r="J435" s="275"/>
      <c r="K435" s="275"/>
      <c r="L435" s="275"/>
      <c r="M435" s="275"/>
      <c r="N435" s="275"/>
      <c r="O435" s="275"/>
      <c r="P435" s="275"/>
      <c r="Q435" s="275"/>
      <c r="R435" s="275"/>
      <c r="S435" s="275"/>
      <c r="T435" s="275"/>
      <c r="U435" s="275"/>
      <c r="V435" s="275"/>
      <c r="W435" s="275"/>
      <c r="X435" s="275"/>
      <c r="Y435" s="275"/>
      <c r="Z435" s="275"/>
    </row>
    <row r="436" spans="1:26" ht="15.75" customHeight="1">
      <c r="A436" s="275"/>
      <c r="B436" s="275"/>
      <c r="C436" s="275"/>
      <c r="D436" s="683"/>
      <c r="E436" s="275"/>
      <c r="F436" s="275"/>
      <c r="G436" s="275"/>
      <c r="H436" s="275"/>
      <c r="I436" s="275"/>
      <c r="J436" s="275"/>
      <c r="K436" s="275"/>
      <c r="L436" s="275"/>
      <c r="M436" s="275"/>
      <c r="N436" s="275"/>
      <c r="O436" s="275"/>
      <c r="P436" s="275"/>
      <c r="Q436" s="275"/>
      <c r="R436" s="275"/>
      <c r="S436" s="275"/>
      <c r="T436" s="275"/>
      <c r="U436" s="275"/>
      <c r="V436" s="275"/>
      <c r="W436" s="275"/>
      <c r="X436" s="275"/>
      <c r="Y436" s="275"/>
      <c r="Z436" s="275"/>
    </row>
    <row r="437" spans="1:26" ht="15.75" customHeight="1">
      <c r="A437" s="275"/>
      <c r="B437" s="275"/>
      <c r="C437" s="275"/>
      <c r="D437" s="683"/>
      <c r="E437" s="275"/>
      <c r="F437" s="275"/>
      <c r="G437" s="275"/>
      <c r="H437" s="275"/>
      <c r="I437" s="275"/>
      <c r="J437" s="275"/>
      <c r="K437" s="275"/>
      <c r="L437" s="275"/>
      <c r="M437" s="275"/>
      <c r="N437" s="275"/>
      <c r="O437" s="275"/>
      <c r="P437" s="275"/>
      <c r="Q437" s="275"/>
      <c r="R437" s="275"/>
      <c r="S437" s="275"/>
      <c r="T437" s="275"/>
      <c r="U437" s="275"/>
      <c r="V437" s="275"/>
      <c r="W437" s="275"/>
      <c r="X437" s="275"/>
      <c r="Y437" s="275"/>
      <c r="Z437" s="275"/>
    </row>
    <row r="438" spans="1:26" ht="15.75" customHeight="1">
      <c r="A438" s="275"/>
      <c r="B438" s="275"/>
      <c r="C438" s="275"/>
      <c r="D438" s="683"/>
      <c r="E438" s="275"/>
      <c r="F438" s="275"/>
      <c r="G438" s="275"/>
      <c r="H438" s="275"/>
      <c r="I438" s="275"/>
      <c r="J438" s="275"/>
      <c r="K438" s="275"/>
      <c r="L438" s="275"/>
      <c r="M438" s="275"/>
      <c r="N438" s="275"/>
      <c r="O438" s="275"/>
      <c r="P438" s="275"/>
      <c r="Q438" s="275"/>
      <c r="R438" s="275"/>
      <c r="S438" s="275"/>
      <c r="T438" s="275"/>
      <c r="U438" s="275"/>
      <c r="V438" s="275"/>
      <c r="W438" s="275"/>
      <c r="X438" s="275"/>
      <c r="Y438" s="275"/>
      <c r="Z438" s="275"/>
    </row>
    <row r="439" spans="1:26" ht="15.75" customHeight="1">
      <c r="A439" s="275"/>
      <c r="B439" s="275"/>
      <c r="C439" s="275"/>
      <c r="D439" s="683"/>
      <c r="E439" s="275"/>
      <c r="F439" s="275"/>
      <c r="G439" s="275"/>
      <c r="H439" s="275"/>
      <c r="I439" s="275"/>
      <c r="J439" s="275"/>
      <c r="K439" s="275"/>
      <c r="L439" s="275"/>
      <c r="M439" s="275"/>
      <c r="N439" s="275"/>
      <c r="O439" s="275"/>
      <c r="P439" s="275"/>
      <c r="Q439" s="275"/>
      <c r="R439" s="275"/>
      <c r="S439" s="275"/>
      <c r="T439" s="275"/>
      <c r="U439" s="275"/>
      <c r="V439" s="275"/>
      <c r="W439" s="275"/>
      <c r="X439" s="275"/>
      <c r="Y439" s="275"/>
      <c r="Z439" s="275"/>
    </row>
    <row r="440" spans="1:26" ht="15.75" customHeight="1">
      <c r="A440" s="275"/>
      <c r="B440" s="275"/>
      <c r="C440" s="275"/>
      <c r="D440" s="683"/>
      <c r="E440" s="275"/>
      <c r="F440" s="275"/>
      <c r="G440" s="275"/>
      <c r="H440" s="275"/>
      <c r="I440" s="275"/>
      <c r="J440" s="275"/>
      <c r="K440" s="275"/>
      <c r="L440" s="275"/>
      <c r="M440" s="275"/>
      <c r="N440" s="275"/>
      <c r="O440" s="275"/>
      <c r="P440" s="275"/>
      <c r="Q440" s="275"/>
      <c r="R440" s="275"/>
      <c r="S440" s="275"/>
      <c r="T440" s="275"/>
      <c r="U440" s="275"/>
      <c r="V440" s="275"/>
      <c r="W440" s="275"/>
      <c r="X440" s="275"/>
      <c r="Y440" s="275"/>
      <c r="Z440" s="275"/>
    </row>
    <row r="441" spans="1:26" ht="15.75" customHeight="1">
      <c r="A441" s="275"/>
      <c r="B441" s="275"/>
      <c r="C441" s="275"/>
      <c r="D441" s="683"/>
      <c r="E441" s="275"/>
      <c r="F441" s="275"/>
      <c r="G441" s="275"/>
      <c r="H441" s="275"/>
      <c r="I441" s="275"/>
      <c r="J441" s="275"/>
      <c r="K441" s="275"/>
      <c r="L441" s="275"/>
      <c r="M441" s="275"/>
      <c r="N441" s="275"/>
      <c r="O441" s="275"/>
      <c r="P441" s="275"/>
      <c r="Q441" s="275"/>
      <c r="R441" s="275"/>
      <c r="S441" s="275"/>
      <c r="T441" s="275"/>
      <c r="U441" s="275"/>
      <c r="V441" s="275"/>
      <c r="W441" s="275"/>
      <c r="X441" s="275"/>
      <c r="Y441" s="275"/>
      <c r="Z441" s="275"/>
    </row>
    <row r="442" spans="1:26" ht="15.75" customHeight="1">
      <c r="A442" s="275"/>
      <c r="B442" s="275"/>
      <c r="C442" s="275"/>
      <c r="D442" s="683"/>
      <c r="E442" s="275"/>
      <c r="F442" s="275"/>
      <c r="G442" s="275"/>
      <c r="H442" s="275"/>
      <c r="I442" s="275"/>
      <c r="J442" s="275"/>
      <c r="K442" s="275"/>
      <c r="L442" s="275"/>
      <c r="M442" s="275"/>
      <c r="N442" s="275"/>
      <c r="O442" s="275"/>
      <c r="P442" s="275"/>
      <c r="Q442" s="275"/>
      <c r="R442" s="275"/>
      <c r="S442" s="275"/>
      <c r="T442" s="275"/>
      <c r="U442" s="275"/>
      <c r="V442" s="275"/>
      <c r="W442" s="275"/>
      <c r="X442" s="275"/>
      <c r="Y442" s="275"/>
      <c r="Z442" s="275"/>
    </row>
    <row r="443" spans="1:26" ht="15.75" customHeight="1">
      <c r="A443" s="275"/>
      <c r="B443" s="275"/>
      <c r="C443" s="275"/>
      <c r="D443" s="683"/>
      <c r="E443" s="275"/>
      <c r="F443" s="275"/>
      <c r="G443" s="275"/>
      <c r="H443" s="275"/>
      <c r="I443" s="275"/>
      <c r="J443" s="275"/>
      <c r="K443" s="275"/>
      <c r="L443" s="275"/>
      <c r="M443" s="275"/>
      <c r="N443" s="275"/>
      <c r="O443" s="275"/>
      <c r="P443" s="275"/>
      <c r="Q443" s="275"/>
      <c r="R443" s="275"/>
      <c r="S443" s="275"/>
      <c r="T443" s="275"/>
      <c r="U443" s="275"/>
      <c r="V443" s="275"/>
      <c r="W443" s="275"/>
      <c r="X443" s="275"/>
      <c r="Y443" s="275"/>
      <c r="Z443" s="275"/>
    </row>
    <row r="444" spans="1:26" ht="15.75" customHeight="1">
      <c r="A444" s="275"/>
      <c r="B444" s="275"/>
      <c r="C444" s="275"/>
      <c r="D444" s="683"/>
      <c r="E444" s="275"/>
      <c r="F444" s="275"/>
      <c r="G444" s="275"/>
      <c r="H444" s="275"/>
      <c r="I444" s="275"/>
      <c r="J444" s="275"/>
      <c r="K444" s="275"/>
      <c r="L444" s="275"/>
      <c r="M444" s="275"/>
      <c r="N444" s="275"/>
      <c r="O444" s="275"/>
      <c r="P444" s="275"/>
      <c r="Q444" s="275"/>
      <c r="R444" s="275"/>
      <c r="S444" s="275"/>
      <c r="T444" s="275"/>
      <c r="U444" s="275"/>
      <c r="V444" s="275"/>
      <c r="W444" s="275"/>
      <c r="X444" s="275"/>
      <c r="Y444" s="275"/>
      <c r="Z444" s="275"/>
    </row>
    <row r="445" spans="1:26" ht="15.75" customHeight="1">
      <c r="A445" s="275"/>
      <c r="B445" s="275"/>
      <c r="C445" s="275"/>
      <c r="D445" s="683"/>
      <c r="E445" s="275"/>
      <c r="F445" s="275"/>
      <c r="G445" s="275"/>
      <c r="H445" s="275"/>
      <c r="I445" s="275"/>
      <c r="J445" s="275"/>
      <c r="K445" s="275"/>
      <c r="L445" s="275"/>
      <c r="M445" s="275"/>
      <c r="N445" s="275"/>
      <c r="O445" s="275"/>
      <c r="P445" s="275"/>
      <c r="Q445" s="275"/>
      <c r="R445" s="275"/>
      <c r="S445" s="275"/>
      <c r="T445" s="275"/>
      <c r="U445" s="275"/>
      <c r="V445" s="275"/>
      <c r="W445" s="275"/>
      <c r="X445" s="275"/>
      <c r="Y445" s="275"/>
      <c r="Z445" s="275"/>
    </row>
    <row r="446" spans="1:26" ht="15.75" customHeight="1">
      <c r="A446" s="275"/>
      <c r="B446" s="275"/>
      <c r="C446" s="275"/>
      <c r="D446" s="683"/>
      <c r="E446" s="275"/>
      <c r="F446" s="275"/>
      <c r="G446" s="275"/>
      <c r="H446" s="275"/>
      <c r="I446" s="275"/>
      <c r="J446" s="275"/>
      <c r="K446" s="275"/>
      <c r="L446" s="275"/>
      <c r="M446" s="275"/>
      <c r="N446" s="275"/>
      <c r="O446" s="275"/>
      <c r="P446" s="275"/>
      <c r="Q446" s="275"/>
      <c r="R446" s="275"/>
      <c r="S446" s="275"/>
      <c r="T446" s="275"/>
      <c r="U446" s="275"/>
      <c r="V446" s="275"/>
      <c r="W446" s="275"/>
      <c r="X446" s="275"/>
      <c r="Y446" s="275"/>
      <c r="Z446" s="275"/>
    </row>
    <row r="447" spans="1:26" ht="15.75" customHeight="1">
      <c r="A447" s="275"/>
      <c r="B447" s="275"/>
      <c r="C447" s="275"/>
      <c r="D447" s="683"/>
      <c r="E447" s="275"/>
      <c r="F447" s="275"/>
      <c r="G447" s="275"/>
      <c r="H447" s="275"/>
      <c r="I447" s="275"/>
      <c r="J447" s="275"/>
      <c r="K447" s="275"/>
      <c r="L447" s="275"/>
      <c r="M447" s="275"/>
      <c r="N447" s="275"/>
      <c r="O447" s="275"/>
      <c r="P447" s="275"/>
      <c r="Q447" s="275"/>
      <c r="R447" s="275"/>
      <c r="S447" s="275"/>
      <c r="T447" s="275"/>
      <c r="U447" s="275"/>
      <c r="V447" s="275"/>
      <c r="W447" s="275"/>
      <c r="X447" s="275"/>
      <c r="Y447" s="275"/>
      <c r="Z447" s="275"/>
    </row>
    <row r="448" spans="1:26" ht="15.75" customHeight="1">
      <c r="A448" s="275"/>
      <c r="B448" s="275"/>
      <c r="C448" s="275"/>
      <c r="D448" s="683"/>
      <c r="E448" s="275"/>
      <c r="F448" s="275"/>
      <c r="G448" s="275"/>
      <c r="H448" s="275"/>
      <c r="I448" s="275"/>
      <c r="J448" s="275"/>
      <c r="K448" s="275"/>
      <c r="L448" s="275"/>
      <c r="M448" s="275"/>
      <c r="N448" s="275"/>
      <c r="O448" s="275"/>
      <c r="P448" s="275"/>
      <c r="Q448" s="275"/>
      <c r="R448" s="275"/>
      <c r="S448" s="275"/>
      <c r="T448" s="275"/>
      <c r="U448" s="275"/>
      <c r="V448" s="275"/>
      <c r="W448" s="275"/>
      <c r="X448" s="275"/>
      <c r="Y448" s="275"/>
      <c r="Z448" s="275"/>
    </row>
    <row r="449" spans="1:26" ht="15.75" customHeight="1">
      <c r="A449" s="275"/>
      <c r="B449" s="275"/>
      <c r="C449" s="275"/>
      <c r="D449" s="683"/>
      <c r="E449" s="275"/>
      <c r="F449" s="275"/>
      <c r="G449" s="275"/>
      <c r="H449" s="275"/>
      <c r="I449" s="275"/>
      <c r="J449" s="275"/>
      <c r="K449" s="275"/>
      <c r="L449" s="275"/>
      <c r="M449" s="275"/>
      <c r="N449" s="275"/>
      <c r="O449" s="275"/>
      <c r="P449" s="275"/>
      <c r="Q449" s="275"/>
      <c r="R449" s="275"/>
      <c r="S449" s="275"/>
      <c r="T449" s="275"/>
      <c r="U449" s="275"/>
      <c r="V449" s="275"/>
      <c r="W449" s="275"/>
      <c r="X449" s="275"/>
      <c r="Y449" s="275"/>
      <c r="Z449" s="275"/>
    </row>
    <row r="450" spans="1:26" ht="15.75" customHeight="1">
      <c r="A450" s="275"/>
      <c r="B450" s="275"/>
      <c r="C450" s="275"/>
      <c r="D450" s="683"/>
      <c r="E450" s="275"/>
      <c r="F450" s="275"/>
      <c r="G450" s="275"/>
      <c r="H450" s="275"/>
      <c r="I450" s="275"/>
      <c r="J450" s="275"/>
      <c r="K450" s="275"/>
      <c r="L450" s="275"/>
      <c r="M450" s="275"/>
      <c r="N450" s="275"/>
      <c r="O450" s="275"/>
      <c r="P450" s="275"/>
      <c r="Q450" s="275"/>
      <c r="R450" s="275"/>
      <c r="S450" s="275"/>
      <c r="T450" s="275"/>
      <c r="U450" s="275"/>
      <c r="V450" s="275"/>
      <c r="W450" s="275"/>
      <c r="X450" s="275"/>
      <c r="Y450" s="275"/>
      <c r="Z450" s="275"/>
    </row>
    <row r="451" spans="1:26" ht="15.75" customHeight="1">
      <c r="A451" s="275"/>
      <c r="B451" s="275"/>
      <c r="C451" s="275"/>
      <c r="D451" s="683"/>
      <c r="E451" s="275"/>
      <c r="F451" s="275"/>
      <c r="G451" s="275"/>
      <c r="H451" s="275"/>
      <c r="I451" s="275"/>
      <c r="J451" s="275"/>
      <c r="K451" s="275"/>
      <c r="L451" s="275"/>
      <c r="M451" s="275"/>
      <c r="N451" s="275"/>
      <c r="O451" s="275"/>
      <c r="P451" s="275"/>
      <c r="Q451" s="275"/>
      <c r="R451" s="275"/>
      <c r="S451" s="275"/>
      <c r="T451" s="275"/>
      <c r="U451" s="275"/>
      <c r="V451" s="275"/>
      <c r="W451" s="275"/>
      <c r="X451" s="275"/>
      <c r="Y451" s="275"/>
      <c r="Z451" s="275"/>
    </row>
    <row r="452" spans="1:26" ht="15.75" customHeight="1">
      <c r="A452" s="275"/>
      <c r="B452" s="275"/>
      <c r="C452" s="275"/>
      <c r="D452" s="683"/>
      <c r="E452" s="275"/>
      <c r="F452" s="275"/>
      <c r="G452" s="275"/>
      <c r="H452" s="275"/>
      <c r="I452" s="275"/>
      <c r="J452" s="275"/>
      <c r="K452" s="275"/>
      <c r="L452" s="275"/>
      <c r="M452" s="275"/>
      <c r="N452" s="275"/>
      <c r="O452" s="275"/>
      <c r="P452" s="275"/>
      <c r="Q452" s="275"/>
      <c r="R452" s="275"/>
      <c r="S452" s="275"/>
      <c r="T452" s="275"/>
      <c r="U452" s="275"/>
      <c r="V452" s="275"/>
      <c r="W452" s="275"/>
      <c r="X452" s="275"/>
      <c r="Y452" s="275"/>
      <c r="Z452" s="275"/>
    </row>
    <row r="453" spans="1:26" ht="15.75" customHeight="1">
      <c r="A453" s="275"/>
      <c r="B453" s="275"/>
      <c r="C453" s="275"/>
      <c r="D453" s="683"/>
      <c r="E453" s="275"/>
      <c r="F453" s="275"/>
      <c r="G453" s="275"/>
      <c r="H453" s="275"/>
      <c r="I453" s="275"/>
      <c r="J453" s="275"/>
      <c r="K453" s="275"/>
      <c r="L453" s="275"/>
      <c r="M453" s="275"/>
      <c r="N453" s="275"/>
      <c r="O453" s="275"/>
      <c r="P453" s="275"/>
      <c r="Q453" s="275"/>
      <c r="R453" s="275"/>
      <c r="S453" s="275"/>
      <c r="T453" s="275"/>
      <c r="U453" s="275"/>
      <c r="V453" s="275"/>
      <c r="W453" s="275"/>
      <c r="X453" s="275"/>
      <c r="Y453" s="275"/>
      <c r="Z453" s="275"/>
    </row>
    <row r="454" spans="1:26" ht="15.75" customHeight="1">
      <c r="A454" s="275"/>
      <c r="B454" s="275"/>
      <c r="C454" s="275"/>
      <c r="D454" s="683"/>
      <c r="E454" s="275"/>
      <c r="F454" s="275"/>
      <c r="G454" s="275"/>
      <c r="H454" s="275"/>
      <c r="I454" s="275"/>
      <c r="J454" s="275"/>
      <c r="K454" s="275"/>
      <c r="L454" s="275"/>
      <c r="M454" s="275"/>
      <c r="N454" s="275"/>
      <c r="O454" s="275"/>
      <c r="P454" s="275"/>
      <c r="Q454" s="275"/>
      <c r="R454" s="275"/>
      <c r="S454" s="275"/>
      <c r="T454" s="275"/>
      <c r="U454" s="275"/>
      <c r="V454" s="275"/>
      <c r="W454" s="275"/>
      <c r="X454" s="275"/>
      <c r="Y454" s="275"/>
      <c r="Z454" s="275"/>
    </row>
    <row r="455" spans="1:26" ht="15.75" customHeight="1">
      <c r="A455" s="275"/>
      <c r="B455" s="275"/>
      <c r="C455" s="275"/>
      <c r="D455" s="683"/>
      <c r="E455" s="275"/>
      <c r="F455" s="275"/>
      <c r="G455" s="275"/>
      <c r="H455" s="275"/>
      <c r="I455" s="275"/>
      <c r="J455" s="275"/>
      <c r="K455" s="275"/>
      <c r="L455" s="275"/>
      <c r="M455" s="275"/>
      <c r="N455" s="275"/>
      <c r="O455" s="275"/>
      <c r="P455" s="275"/>
      <c r="Q455" s="275"/>
      <c r="R455" s="275"/>
      <c r="S455" s="275"/>
      <c r="T455" s="275"/>
      <c r="U455" s="275"/>
      <c r="V455" s="275"/>
      <c r="W455" s="275"/>
      <c r="X455" s="275"/>
      <c r="Y455" s="275"/>
      <c r="Z455" s="275"/>
    </row>
    <row r="456" spans="1:26" ht="15.75" customHeight="1">
      <c r="A456" s="275"/>
      <c r="B456" s="275"/>
      <c r="C456" s="275"/>
      <c r="D456" s="683"/>
      <c r="E456" s="275"/>
      <c r="F456" s="275"/>
      <c r="G456" s="275"/>
      <c r="H456" s="275"/>
      <c r="I456" s="275"/>
      <c r="J456" s="275"/>
      <c r="K456" s="275"/>
      <c r="L456" s="275"/>
      <c r="M456" s="275"/>
      <c r="N456" s="275"/>
      <c r="O456" s="275"/>
      <c r="P456" s="275"/>
      <c r="Q456" s="275"/>
      <c r="R456" s="275"/>
      <c r="S456" s="275"/>
      <c r="T456" s="275"/>
      <c r="U456" s="275"/>
      <c r="V456" s="275"/>
      <c r="W456" s="275"/>
      <c r="X456" s="275"/>
      <c r="Y456" s="275"/>
      <c r="Z456" s="275"/>
    </row>
    <row r="457" spans="1:26" ht="15.75" customHeight="1">
      <c r="A457" s="275"/>
      <c r="B457" s="275"/>
      <c r="C457" s="275"/>
      <c r="D457" s="683"/>
      <c r="E457" s="275"/>
      <c r="F457" s="275"/>
      <c r="G457" s="275"/>
      <c r="H457" s="275"/>
      <c r="I457" s="275"/>
      <c r="J457" s="275"/>
      <c r="K457" s="275"/>
      <c r="L457" s="275"/>
      <c r="M457" s="275"/>
      <c r="N457" s="275"/>
      <c r="O457" s="275"/>
      <c r="P457" s="275"/>
      <c r="Q457" s="275"/>
      <c r="R457" s="275"/>
      <c r="S457" s="275"/>
      <c r="T457" s="275"/>
      <c r="U457" s="275"/>
      <c r="V457" s="275"/>
      <c r="W457" s="275"/>
      <c r="X457" s="275"/>
      <c r="Y457" s="275"/>
      <c r="Z457" s="275"/>
    </row>
    <row r="458" spans="1:26" ht="15.75" customHeight="1">
      <c r="A458" s="275"/>
      <c r="B458" s="275"/>
      <c r="C458" s="275"/>
      <c r="D458" s="683"/>
      <c r="E458" s="275"/>
      <c r="F458" s="275"/>
      <c r="G458" s="275"/>
      <c r="H458" s="275"/>
      <c r="I458" s="275"/>
      <c r="J458" s="275"/>
      <c r="K458" s="275"/>
      <c r="L458" s="275"/>
      <c r="M458" s="275"/>
      <c r="N458" s="275"/>
      <c r="O458" s="275"/>
      <c r="P458" s="275"/>
      <c r="Q458" s="275"/>
      <c r="R458" s="275"/>
      <c r="S458" s="275"/>
      <c r="T458" s="275"/>
      <c r="U458" s="275"/>
      <c r="V458" s="275"/>
      <c r="W458" s="275"/>
      <c r="X458" s="275"/>
      <c r="Y458" s="275"/>
      <c r="Z458" s="275"/>
    </row>
    <row r="459" spans="1:26" ht="15.75" customHeight="1">
      <c r="A459" s="275"/>
      <c r="B459" s="275"/>
      <c r="C459" s="275"/>
      <c r="D459" s="683"/>
      <c r="E459" s="275"/>
      <c r="F459" s="275"/>
      <c r="G459" s="275"/>
      <c r="H459" s="275"/>
      <c r="I459" s="275"/>
      <c r="J459" s="275"/>
      <c r="K459" s="275"/>
      <c r="L459" s="275"/>
      <c r="M459" s="275"/>
      <c r="N459" s="275"/>
      <c r="O459" s="275"/>
      <c r="P459" s="275"/>
      <c r="Q459" s="275"/>
      <c r="R459" s="275"/>
      <c r="S459" s="275"/>
      <c r="T459" s="275"/>
      <c r="U459" s="275"/>
      <c r="V459" s="275"/>
      <c r="W459" s="275"/>
      <c r="X459" s="275"/>
      <c r="Y459" s="275"/>
      <c r="Z459" s="275"/>
    </row>
    <row r="460" spans="1:26" ht="15.75" customHeight="1">
      <c r="A460" s="275"/>
      <c r="B460" s="275"/>
      <c r="C460" s="275"/>
      <c r="D460" s="683"/>
      <c r="E460" s="275"/>
      <c r="F460" s="275"/>
      <c r="G460" s="275"/>
      <c r="H460" s="275"/>
      <c r="I460" s="275"/>
      <c r="J460" s="275"/>
      <c r="K460" s="275"/>
      <c r="L460" s="275"/>
      <c r="M460" s="275"/>
      <c r="N460" s="275"/>
      <c r="O460" s="275"/>
      <c r="P460" s="275"/>
      <c r="Q460" s="275"/>
      <c r="R460" s="275"/>
      <c r="S460" s="275"/>
      <c r="T460" s="275"/>
      <c r="U460" s="275"/>
      <c r="V460" s="275"/>
      <c r="W460" s="275"/>
      <c r="X460" s="275"/>
      <c r="Y460" s="275"/>
      <c r="Z460" s="275"/>
    </row>
    <row r="461" spans="1:26" ht="15.75" customHeight="1">
      <c r="A461" s="275"/>
      <c r="B461" s="275"/>
      <c r="C461" s="275"/>
      <c r="D461" s="683"/>
      <c r="E461" s="275"/>
      <c r="F461" s="275"/>
      <c r="G461" s="275"/>
      <c r="H461" s="275"/>
      <c r="I461" s="275"/>
      <c r="J461" s="275"/>
      <c r="K461" s="275"/>
      <c r="L461" s="275"/>
      <c r="M461" s="275"/>
      <c r="N461" s="275"/>
      <c r="O461" s="275"/>
      <c r="P461" s="275"/>
      <c r="Q461" s="275"/>
      <c r="R461" s="275"/>
      <c r="S461" s="275"/>
      <c r="T461" s="275"/>
      <c r="U461" s="275"/>
      <c r="V461" s="275"/>
      <c r="W461" s="275"/>
      <c r="X461" s="275"/>
      <c r="Y461" s="275"/>
      <c r="Z461" s="275"/>
    </row>
    <row r="462" spans="1:26" ht="15.75" customHeight="1">
      <c r="A462" s="275"/>
      <c r="B462" s="275"/>
      <c r="C462" s="275"/>
      <c r="D462" s="683"/>
      <c r="E462" s="275"/>
      <c r="F462" s="275"/>
      <c r="G462" s="275"/>
      <c r="H462" s="275"/>
      <c r="I462" s="275"/>
      <c r="J462" s="275"/>
      <c r="K462" s="275"/>
      <c r="L462" s="275"/>
      <c r="M462" s="275"/>
      <c r="N462" s="275"/>
      <c r="O462" s="275"/>
      <c r="P462" s="275"/>
      <c r="Q462" s="275"/>
      <c r="R462" s="275"/>
      <c r="S462" s="275"/>
      <c r="T462" s="275"/>
      <c r="U462" s="275"/>
      <c r="V462" s="275"/>
      <c r="W462" s="275"/>
      <c r="X462" s="275"/>
      <c r="Y462" s="275"/>
      <c r="Z462" s="275"/>
    </row>
    <row r="463" spans="1:26" ht="15.75" customHeight="1">
      <c r="A463" s="275"/>
      <c r="B463" s="275"/>
      <c r="C463" s="275"/>
      <c r="D463" s="683"/>
      <c r="E463" s="275"/>
      <c r="F463" s="275"/>
      <c r="G463" s="275"/>
      <c r="H463" s="275"/>
      <c r="I463" s="275"/>
      <c r="J463" s="275"/>
      <c r="K463" s="275"/>
      <c r="L463" s="275"/>
      <c r="M463" s="275"/>
      <c r="N463" s="275"/>
      <c r="O463" s="275"/>
      <c r="P463" s="275"/>
      <c r="Q463" s="275"/>
      <c r="R463" s="275"/>
      <c r="S463" s="275"/>
      <c r="T463" s="275"/>
      <c r="U463" s="275"/>
      <c r="V463" s="275"/>
      <c r="W463" s="275"/>
      <c r="X463" s="275"/>
      <c r="Y463" s="275"/>
      <c r="Z463" s="275"/>
    </row>
    <row r="464" spans="1:26" ht="15.75" customHeight="1">
      <c r="A464" s="275"/>
      <c r="B464" s="275"/>
      <c r="C464" s="275"/>
      <c r="D464" s="683"/>
      <c r="E464" s="275"/>
      <c r="F464" s="275"/>
      <c r="G464" s="275"/>
      <c r="H464" s="275"/>
      <c r="I464" s="275"/>
      <c r="J464" s="275"/>
      <c r="K464" s="275"/>
      <c r="L464" s="275"/>
      <c r="M464" s="275"/>
      <c r="N464" s="275"/>
      <c r="O464" s="275"/>
      <c r="P464" s="275"/>
      <c r="Q464" s="275"/>
      <c r="R464" s="275"/>
      <c r="S464" s="275"/>
      <c r="T464" s="275"/>
      <c r="U464" s="275"/>
      <c r="V464" s="275"/>
      <c r="W464" s="275"/>
      <c r="X464" s="275"/>
      <c r="Y464" s="275"/>
      <c r="Z464" s="275"/>
    </row>
    <row r="465" spans="1:26" ht="15.75" customHeight="1">
      <c r="A465" s="275"/>
      <c r="B465" s="275"/>
      <c r="C465" s="275"/>
      <c r="D465" s="683"/>
      <c r="E465" s="275"/>
      <c r="F465" s="275"/>
      <c r="G465" s="275"/>
      <c r="H465" s="275"/>
      <c r="I465" s="275"/>
      <c r="J465" s="275"/>
      <c r="K465" s="275"/>
      <c r="L465" s="275"/>
      <c r="M465" s="275"/>
      <c r="N465" s="275"/>
      <c r="O465" s="275"/>
      <c r="P465" s="275"/>
      <c r="Q465" s="275"/>
      <c r="R465" s="275"/>
      <c r="S465" s="275"/>
      <c r="T465" s="275"/>
      <c r="U465" s="275"/>
      <c r="V465" s="275"/>
      <c r="W465" s="275"/>
      <c r="X465" s="275"/>
      <c r="Y465" s="275"/>
      <c r="Z465" s="275"/>
    </row>
    <row r="466" spans="1:26" ht="15.75" customHeight="1">
      <c r="A466" s="275"/>
      <c r="B466" s="275"/>
      <c r="C466" s="275"/>
      <c r="D466" s="683"/>
      <c r="E466" s="275"/>
      <c r="F466" s="275"/>
      <c r="G466" s="275"/>
      <c r="H466" s="275"/>
      <c r="I466" s="275"/>
      <c r="J466" s="275"/>
      <c r="K466" s="275"/>
      <c r="L466" s="275"/>
      <c r="M466" s="275"/>
      <c r="N466" s="275"/>
      <c r="O466" s="275"/>
      <c r="P466" s="275"/>
      <c r="Q466" s="275"/>
      <c r="R466" s="275"/>
      <c r="S466" s="275"/>
      <c r="T466" s="275"/>
      <c r="U466" s="275"/>
      <c r="V466" s="275"/>
      <c r="W466" s="275"/>
      <c r="X466" s="275"/>
      <c r="Y466" s="275"/>
      <c r="Z466" s="275"/>
    </row>
    <row r="467" spans="1:26" ht="15.75" customHeight="1">
      <c r="A467" s="275"/>
      <c r="B467" s="275"/>
      <c r="C467" s="275"/>
      <c r="D467" s="683"/>
      <c r="E467" s="275"/>
      <c r="F467" s="275"/>
      <c r="G467" s="275"/>
      <c r="H467" s="275"/>
      <c r="I467" s="275"/>
      <c r="J467" s="275"/>
      <c r="K467" s="275"/>
      <c r="L467" s="275"/>
      <c r="M467" s="275"/>
      <c r="N467" s="275"/>
      <c r="O467" s="275"/>
      <c r="P467" s="275"/>
      <c r="Q467" s="275"/>
      <c r="R467" s="275"/>
      <c r="S467" s="275"/>
      <c r="T467" s="275"/>
      <c r="U467" s="275"/>
      <c r="V467" s="275"/>
      <c r="W467" s="275"/>
      <c r="X467" s="275"/>
      <c r="Y467" s="275"/>
      <c r="Z467" s="275"/>
    </row>
    <row r="468" spans="1:26" ht="15.75" customHeight="1">
      <c r="A468" s="275"/>
      <c r="B468" s="275"/>
      <c r="C468" s="275"/>
      <c r="D468" s="683"/>
      <c r="E468" s="275"/>
      <c r="F468" s="275"/>
      <c r="G468" s="275"/>
      <c r="H468" s="275"/>
      <c r="I468" s="275"/>
      <c r="J468" s="275"/>
      <c r="K468" s="275"/>
      <c r="L468" s="275"/>
      <c r="M468" s="275"/>
      <c r="N468" s="275"/>
      <c r="O468" s="275"/>
      <c r="P468" s="275"/>
      <c r="Q468" s="275"/>
      <c r="R468" s="275"/>
      <c r="S468" s="275"/>
      <c r="T468" s="275"/>
      <c r="U468" s="275"/>
      <c r="V468" s="275"/>
      <c r="W468" s="275"/>
      <c r="X468" s="275"/>
      <c r="Y468" s="275"/>
      <c r="Z468" s="275"/>
    </row>
    <row r="469" spans="1:26" ht="15.75" customHeight="1">
      <c r="A469" s="275"/>
      <c r="B469" s="275"/>
      <c r="C469" s="275"/>
      <c r="D469" s="683"/>
      <c r="E469" s="275"/>
      <c r="F469" s="275"/>
      <c r="G469" s="275"/>
      <c r="H469" s="275"/>
      <c r="I469" s="275"/>
      <c r="J469" s="275"/>
      <c r="K469" s="275"/>
      <c r="L469" s="275"/>
      <c r="M469" s="275"/>
      <c r="N469" s="275"/>
      <c r="O469" s="275"/>
      <c r="P469" s="275"/>
      <c r="Q469" s="275"/>
      <c r="R469" s="275"/>
      <c r="S469" s="275"/>
      <c r="T469" s="275"/>
      <c r="U469" s="275"/>
      <c r="V469" s="275"/>
      <c r="W469" s="275"/>
      <c r="X469" s="275"/>
      <c r="Y469" s="275"/>
      <c r="Z469" s="275"/>
    </row>
    <row r="470" spans="1:26" ht="15.75" customHeight="1">
      <c r="A470" s="275"/>
      <c r="B470" s="275"/>
      <c r="C470" s="275"/>
      <c r="D470" s="683"/>
      <c r="E470" s="275"/>
      <c r="F470" s="275"/>
      <c r="G470" s="275"/>
      <c r="H470" s="275"/>
      <c r="I470" s="275"/>
      <c r="J470" s="275"/>
      <c r="K470" s="275"/>
      <c r="L470" s="275"/>
      <c r="M470" s="275"/>
      <c r="N470" s="275"/>
      <c r="O470" s="275"/>
      <c r="P470" s="275"/>
      <c r="Q470" s="275"/>
      <c r="R470" s="275"/>
      <c r="S470" s="275"/>
      <c r="T470" s="275"/>
      <c r="U470" s="275"/>
      <c r="V470" s="275"/>
      <c r="W470" s="275"/>
      <c r="X470" s="275"/>
      <c r="Y470" s="275"/>
      <c r="Z470" s="275"/>
    </row>
    <row r="471" spans="1:26" ht="15.75" customHeight="1">
      <c r="A471" s="275"/>
      <c r="B471" s="275"/>
      <c r="C471" s="275"/>
      <c r="D471" s="683"/>
      <c r="E471" s="275"/>
      <c r="F471" s="275"/>
      <c r="G471" s="275"/>
      <c r="H471" s="275"/>
      <c r="I471" s="275"/>
      <c r="J471" s="275"/>
      <c r="K471" s="275"/>
      <c r="L471" s="275"/>
      <c r="M471" s="275"/>
      <c r="N471" s="275"/>
      <c r="O471" s="275"/>
      <c r="P471" s="275"/>
      <c r="Q471" s="275"/>
      <c r="R471" s="275"/>
      <c r="S471" s="275"/>
      <c r="T471" s="275"/>
      <c r="U471" s="275"/>
      <c r="V471" s="275"/>
      <c r="W471" s="275"/>
      <c r="X471" s="275"/>
      <c r="Y471" s="275"/>
      <c r="Z471" s="275"/>
    </row>
    <row r="472" spans="1:26" ht="15.75" customHeight="1">
      <c r="A472" s="275"/>
      <c r="B472" s="275"/>
      <c r="C472" s="275"/>
      <c r="D472" s="683"/>
      <c r="E472" s="275"/>
      <c r="F472" s="275"/>
      <c r="G472" s="275"/>
      <c r="H472" s="275"/>
      <c r="I472" s="275"/>
      <c r="J472" s="275"/>
      <c r="K472" s="275"/>
      <c r="L472" s="275"/>
      <c r="M472" s="275"/>
      <c r="N472" s="275"/>
      <c r="O472" s="275"/>
      <c r="P472" s="275"/>
      <c r="Q472" s="275"/>
      <c r="R472" s="275"/>
      <c r="S472" s="275"/>
      <c r="T472" s="275"/>
      <c r="U472" s="275"/>
      <c r="V472" s="275"/>
      <c r="W472" s="275"/>
      <c r="X472" s="275"/>
      <c r="Y472" s="275"/>
      <c r="Z472" s="275"/>
    </row>
    <row r="473" spans="1:26" ht="15.75" customHeight="1">
      <c r="A473" s="275"/>
      <c r="B473" s="275"/>
      <c r="C473" s="275"/>
      <c r="D473" s="683"/>
      <c r="E473" s="275"/>
      <c r="F473" s="275"/>
      <c r="G473" s="275"/>
      <c r="H473" s="275"/>
      <c r="I473" s="275"/>
      <c r="J473" s="275"/>
      <c r="K473" s="275"/>
      <c r="L473" s="275"/>
      <c r="M473" s="275"/>
      <c r="N473" s="275"/>
      <c r="O473" s="275"/>
      <c r="P473" s="275"/>
      <c r="Q473" s="275"/>
      <c r="R473" s="275"/>
      <c r="S473" s="275"/>
      <c r="T473" s="275"/>
      <c r="U473" s="275"/>
      <c r="V473" s="275"/>
      <c r="W473" s="275"/>
      <c r="X473" s="275"/>
      <c r="Y473" s="275"/>
      <c r="Z473" s="275"/>
    </row>
    <row r="474" spans="1:26" ht="15.75" customHeight="1">
      <c r="A474" s="275"/>
      <c r="B474" s="275"/>
      <c r="C474" s="275"/>
      <c r="D474" s="683"/>
      <c r="E474" s="275"/>
      <c r="F474" s="275"/>
      <c r="G474" s="275"/>
      <c r="H474" s="275"/>
      <c r="I474" s="275"/>
      <c r="J474" s="275"/>
      <c r="K474" s="275"/>
      <c r="L474" s="275"/>
      <c r="M474" s="275"/>
      <c r="N474" s="275"/>
      <c r="O474" s="275"/>
      <c r="P474" s="275"/>
      <c r="Q474" s="275"/>
      <c r="R474" s="275"/>
      <c r="S474" s="275"/>
      <c r="T474" s="275"/>
      <c r="U474" s="275"/>
      <c r="V474" s="275"/>
      <c r="W474" s="275"/>
      <c r="X474" s="275"/>
      <c r="Y474" s="275"/>
      <c r="Z474" s="275"/>
    </row>
    <row r="475" spans="1:26" ht="15.75" customHeight="1">
      <c r="A475" s="275"/>
      <c r="B475" s="275"/>
      <c r="C475" s="275"/>
      <c r="D475" s="683"/>
      <c r="E475" s="275"/>
      <c r="F475" s="275"/>
      <c r="G475" s="275"/>
      <c r="H475" s="275"/>
      <c r="I475" s="275"/>
      <c r="J475" s="275"/>
      <c r="K475" s="275"/>
      <c r="L475" s="275"/>
      <c r="M475" s="275"/>
      <c r="N475" s="275"/>
      <c r="O475" s="275"/>
      <c r="P475" s="275"/>
      <c r="Q475" s="275"/>
      <c r="R475" s="275"/>
      <c r="S475" s="275"/>
      <c r="T475" s="275"/>
      <c r="U475" s="275"/>
      <c r="V475" s="275"/>
      <c r="W475" s="275"/>
      <c r="X475" s="275"/>
      <c r="Y475" s="275"/>
      <c r="Z475" s="275"/>
    </row>
    <row r="476" spans="1:26" ht="15.75" customHeight="1">
      <c r="A476" s="275"/>
      <c r="B476" s="275"/>
      <c r="C476" s="275"/>
      <c r="D476" s="683"/>
      <c r="E476" s="275"/>
      <c r="F476" s="275"/>
      <c r="G476" s="275"/>
      <c r="H476" s="275"/>
      <c r="I476" s="275"/>
      <c r="J476" s="275"/>
      <c r="K476" s="275"/>
      <c r="L476" s="275"/>
      <c r="M476" s="275"/>
      <c r="N476" s="275"/>
      <c r="O476" s="275"/>
      <c r="P476" s="275"/>
      <c r="Q476" s="275"/>
      <c r="R476" s="275"/>
      <c r="S476" s="275"/>
      <c r="T476" s="275"/>
      <c r="U476" s="275"/>
      <c r="V476" s="275"/>
      <c r="W476" s="275"/>
      <c r="X476" s="275"/>
      <c r="Y476" s="275"/>
      <c r="Z476" s="275"/>
    </row>
    <row r="477" spans="1:26" ht="15.75" customHeight="1">
      <c r="A477" s="275"/>
      <c r="B477" s="275"/>
      <c r="C477" s="275"/>
      <c r="D477" s="683"/>
      <c r="E477" s="275"/>
      <c r="F477" s="275"/>
      <c r="G477" s="275"/>
      <c r="H477" s="275"/>
      <c r="I477" s="275"/>
      <c r="J477" s="275"/>
      <c r="K477" s="275"/>
      <c r="L477" s="275"/>
      <c r="M477" s="275"/>
      <c r="N477" s="275"/>
      <c r="O477" s="275"/>
      <c r="P477" s="275"/>
      <c r="Q477" s="275"/>
      <c r="R477" s="275"/>
      <c r="S477" s="275"/>
      <c r="T477" s="275"/>
      <c r="U477" s="275"/>
      <c r="V477" s="275"/>
      <c r="W477" s="275"/>
      <c r="X477" s="275"/>
      <c r="Y477" s="275"/>
      <c r="Z477" s="275"/>
    </row>
    <row r="478" spans="1:26" ht="15.75" customHeight="1">
      <c r="A478" s="275"/>
      <c r="B478" s="275"/>
      <c r="C478" s="275"/>
      <c r="D478" s="683"/>
      <c r="E478" s="275"/>
      <c r="F478" s="275"/>
      <c r="G478" s="275"/>
      <c r="H478" s="275"/>
      <c r="I478" s="275"/>
      <c r="J478" s="275"/>
      <c r="K478" s="275"/>
      <c r="L478" s="275"/>
      <c r="M478" s="275"/>
      <c r="N478" s="275"/>
      <c r="O478" s="275"/>
      <c r="P478" s="275"/>
      <c r="Q478" s="275"/>
      <c r="R478" s="275"/>
      <c r="S478" s="275"/>
      <c r="T478" s="275"/>
      <c r="U478" s="275"/>
      <c r="V478" s="275"/>
      <c r="W478" s="275"/>
      <c r="X478" s="275"/>
      <c r="Y478" s="275"/>
      <c r="Z478" s="275"/>
    </row>
    <row r="479" spans="1:26" ht="15.75" customHeight="1">
      <c r="A479" s="275"/>
      <c r="B479" s="275"/>
      <c r="C479" s="275"/>
      <c r="D479" s="683"/>
      <c r="E479" s="275"/>
      <c r="F479" s="275"/>
      <c r="G479" s="275"/>
      <c r="H479" s="275"/>
      <c r="I479" s="275"/>
      <c r="J479" s="275"/>
      <c r="K479" s="275"/>
      <c r="L479" s="275"/>
      <c r="M479" s="275"/>
      <c r="N479" s="275"/>
      <c r="O479" s="275"/>
      <c r="P479" s="275"/>
      <c r="Q479" s="275"/>
      <c r="R479" s="275"/>
      <c r="S479" s="275"/>
      <c r="T479" s="275"/>
      <c r="U479" s="275"/>
      <c r="V479" s="275"/>
      <c r="W479" s="275"/>
      <c r="X479" s="275"/>
      <c r="Y479" s="275"/>
      <c r="Z479" s="275"/>
    </row>
    <row r="480" spans="1:26" ht="15.75" customHeight="1">
      <c r="A480" s="275"/>
      <c r="B480" s="275"/>
      <c r="C480" s="275"/>
      <c r="D480" s="683"/>
      <c r="E480" s="275"/>
      <c r="F480" s="275"/>
      <c r="G480" s="275"/>
      <c r="H480" s="275"/>
      <c r="I480" s="275"/>
      <c r="J480" s="275"/>
      <c r="K480" s="275"/>
      <c r="L480" s="275"/>
      <c r="M480" s="275"/>
      <c r="N480" s="275"/>
      <c r="O480" s="275"/>
      <c r="P480" s="275"/>
      <c r="Q480" s="275"/>
      <c r="R480" s="275"/>
      <c r="S480" s="275"/>
      <c r="T480" s="275"/>
      <c r="U480" s="275"/>
      <c r="V480" s="275"/>
      <c r="W480" s="275"/>
      <c r="X480" s="275"/>
      <c r="Y480" s="275"/>
      <c r="Z480" s="275"/>
    </row>
    <row r="481" spans="1:26" ht="15.75" customHeight="1">
      <c r="A481" s="275"/>
      <c r="B481" s="275"/>
      <c r="C481" s="275"/>
      <c r="D481" s="683"/>
      <c r="E481" s="275"/>
      <c r="F481" s="275"/>
      <c r="G481" s="275"/>
      <c r="H481" s="275"/>
      <c r="I481" s="275"/>
      <c r="J481" s="275"/>
      <c r="K481" s="275"/>
      <c r="L481" s="275"/>
      <c r="M481" s="275"/>
      <c r="N481" s="275"/>
      <c r="O481" s="275"/>
      <c r="P481" s="275"/>
      <c r="Q481" s="275"/>
      <c r="R481" s="275"/>
      <c r="S481" s="275"/>
      <c r="T481" s="275"/>
      <c r="U481" s="275"/>
      <c r="V481" s="275"/>
      <c r="W481" s="275"/>
      <c r="X481" s="275"/>
      <c r="Y481" s="275"/>
      <c r="Z481" s="275"/>
    </row>
    <row r="482" spans="1:26" ht="15.75" customHeight="1">
      <c r="A482" s="275"/>
      <c r="B482" s="275"/>
      <c r="C482" s="275"/>
      <c r="D482" s="683"/>
      <c r="E482" s="275"/>
      <c r="F482" s="275"/>
      <c r="G482" s="275"/>
      <c r="H482" s="275"/>
      <c r="I482" s="275"/>
      <c r="J482" s="275"/>
      <c r="K482" s="275"/>
      <c r="L482" s="275"/>
      <c r="M482" s="275"/>
      <c r="N482" s="275"/>
      <c r="O482" s="275"/>
      <c r="P482" s="275"/>
      <c r="Q482" s="275"/>
      <c r="R482" s="275"/>
      <c r="S482" s="275"/>
      <c r="T482" s="275"/>
      <c r="U482" s="275"/>
      <c r="V482" s="275"/>
      <c r="W482" s="275"/>
      <c r="X482" s="275"/>
      <c r="Y482" s="275"/>
      <c r="Z482" s="275"/>
    </row>
    <row r="483" spans="1:26" ht="15.75" customHeight="1">
      <c r="A483" s="275"/>
      <c r="B483" s="275"/>
      <c r="C483" s="275"/>
      <c r="D483" s="683"/>
      <c r="E483" s="275"/>
      <c r="F483" s="275"/>
      <c r="G483" s="275"/>
      <c r="H483" s="275"/>
      <c r="I483" s="275"/>
      <c r="J483" s="275"/>
      <c r="K483" s="275"/>
      <c r="L483" s="275"/>
      <c r="M483" s="275"/>
      <c r="N483" s="275"/>
      <c r="O483" s="275"/>
      <c r="P483" s="275"/>
      <c r="Q483" s="275"/>
      <c r="R483" s="275"/>
      <c r="S483" s="275"/>
      <c r="T483" s="275"/>
      <c r="U483" s="275"/>
      <c r="V483" s="275"/>
      <c r="W483" s="275"/>
      <c r="X483" s="275"/>
      <c r="Y483" s="275"/>
      <c r="Z483" s="275"/>
    </row>
    <row r="484" spans="1:26" ht="15.75" customHeight="1">
      <c r="A484" s="275"/>
      <c r="B484" s="275"/>
      <c r="C484" s="275"/>
      <c r="D484" s="683"/>
      <c r="E484" s="275"/>
      <c r="F484" s="275"/>
      <c r="G484" s="275"/>
      <c r="H484" s="275"/>
      <c r="I484" s="275"/>
      <c r="J484" s="275"/>
      <c r="K484" s="275"/>
      <c r="L484" s="275"/>
      <c r="M484" s="275"/>
      <c r="N484" s="275"/>
      <c r="O484" s="275"/>
      <c r="P484" s="275"/>
      <c r="Q484" s="275"/>
      <c r="R484" s="275"/>
      <c r="S484" s="275"/>
      <c r="T484" s="275"/>
      <c r="U484" s="275"/>
      <c r="V484" s="275"/>
      <c r="W484" s="275"/>
      <c r="X484" s="275"/>
      <c r="Y484" s="275"/>
      <c r="Z484" s="275"/>
    </row>
    <row r="485" spans="1:26" ht="15.75" customHeight="1">
      <c r="A485" s="275"/>
      <c r="B485" s="275"/>
      <c r="C485" s="275"/>
      <c r="D485" s="683"/>
      <c r="E485" s="275"/>
      <c r="F485" s="275"/>
      <c r="G485" s="275"/>
      <c r="H485" s="275"/>
      <c r="I485" s="275"/>
      <c r="J485" s="275"/>
      <c r="K485" s="275"/>
      <c r="L485" s="275"/>
      <c r="M485" s="275"/>
      <c r="N485" s="275"/>
      <c r="O485" s="275"/>
      <c r="P485" s="275"/>
      <c r="Q485" s="275"/>
      <c r="R485" s="275"/>
      <c r="S485" s="275"/>
      <c r="T485" s="275"/>
      <c r="U485" s="275"/>
      <c r="V485" s="275"/>
      <c r="W485" s="275"/>
      <c r="X485" s="275"/>
      <c r="Y485" s="275"/>
      <c r="Z485" s="275"/>
    </row>
    <row r="486" spans="1:26" ht="15.75" customHeight="1">
      <c r="A486" s="275"/>
      <c r="B486" s="275"/>
      <c r="C486" s="275"/>
      <c r="D486" s="683"/>
      <c r="E486" s="275"/>
      <c r="F486" s="275"/>
      <c r="G486" s="275"/>
      <c r="H486" s="275"/>
      <c r="I486" s="275"/>
      <c r="J486" s="275"/>
      <c r="K486" s="275"/>
      <c r="L486" s="275"/>
      <c r="M486" s="275"/>
      <c r="N486" s="275"/>
      <c r="O486" s="275"/>
      <c r="P486" s="275"/>
      <c r="Q486" s="275"/>
      <c r="R486" s="275"/>
      <c r="S486" s="275"/>
      <c r="T486" s="275"/>
      <c r="U486" s="275"/>
      <c r="V486" s="275"/>
      <c r="W486" s="275"/>
      <c r="X486" s="275"/>
      <c r="Y486" s="275"/>
      <c r="Z486" s="275"/>
    </row>
    <row r="487" spans="1:26" ht="15.75" customHeight="1">
      <c r="A487" s="275"/>
      <c r="B487" s="275"/>
      <c r="C487" s="275"/>
      <c r="D487" s="683"/>
      <c r="E487" s="275"/>
      <c r="F487" s="275"/>
      <c r="G487" s="275"/>
      <c r="H487" s="275"/>
      <c r="I487" s="275"/>
      <c r="J487" s="275"/>
      <c r="K487" s="275"/>
      <c r="L487" s="275"/>
      <c r="M487" s="275"/>
      <c r="N487" s="275"/>
      <c r="O487" s="275"/>
      <c r="P487" s="275"/>
      <c r="Q487" s="275"/>
      <c r="R487" s="275"/>
      <c r="S487" s="275"/>
      <c r="T487" s="275"/>
      <c r="U487" s="275"/>
      <c r="V487" s="275"/>
      <c r="W487" s="275"/>
      <c r="X487" s="275"/>
      <c r="Y487" s="275"/>
      <c r="Z487" s="275"/>
    </row>
    <row r="488" spans="1:26" ht="15.75" customHeight="1">
      <c r="A488" s="275"/>
      <c r="B488" s="275"/>
      <c r="C488" s="275"/>
      <c r="D488" s="683"/>
      <c r="E488" s="275"/>
      <c r="F488" s="275"/>
      <c r="G488" s="275"/>
      <c r="H488" s="275"/>
      <c r="I488" s="275"/>
      <c r="J488" s="275"/>
      <c r="K488" s="275"/>
      <c r="L488" s="275"/>
      <c r="M488" s="275"/>
      <c r="N488" s="275"/>
      <c r="O488" s="275"/>
      <c r="P488" s="275"/>
      <c r="Q488" s="275"/>
      <c r="R488" s="275"/>
      <c r="S488" s="275"/>
      <c r="T488" s="275"/>
      <c r="U488" s="275"/>
      <c r="V488" s="275"/>
      <c r="W488" s="275"/>
      <c r="X488" s="275"/>
      <c r="Y488" s="275"/>
      <c r="Z488" s="275"/>
    </row>
    <row r="489" spans="1:26" ht="15.75" customHeight="1">
      <c r="A489" s="275"/>
      <c r="B489" s="275"/>
      <c r="C489" s="275"/>
      <c r="D489" s="683"/>
      <c r="E489" s="275"/>
      <c r="F489" s="275"/>
      <c r="G489" s="275"/>
      <c r="H489" s="275"/>
      <c r="I489" s="275"/>
      <c r="J489" s="275"/>
      <c r="K489" s="275"/>
      <c r="L489" s="275"/>
      <c r="M489" s="275"/>
      <c r="N489" s="275"/>
      <c r="O489" s="275"/>
      <c r="P489" s="275"/>
      <c r="Q489" s="275"/>
      <c r="R489" s="275"/>
      <c r="S489" s="275"/>
      <c r="T489" s="275"/>
      <c r="U489" s="275"/>
      <c r="V489" s="275"/>
      <c r="W489" s="275"/>
      <c r="X489" s="275"/>
      <c r="Y489" s="275"/>
      <c r="Z489" s="275"/>
    </row>
    <row r="490" spans="1:26" ht="15.75" customHeight="1">
      <c r="A490" s="275"/>
      <c r="B490" s="275"/>
      <c r="C490" s="275"/>
      <c r="D490" s="683"/>
      <c r="E490" s="275"/>
      <c r="F490" s="275"/>
      <c r="G490" s="275"/>
      <c r="H490" s="275"/>
      <c r="I490" s="275"/>
      <c r="J490" s="275"/>
      <c r="K490" s="275"/>
      <c r="L490" s="275"/>
      <c r="M490" s="275"/>
      <c r="N490" s="275"/>
      <c r="O490" s="275"/>
      <c r="P490" s="275"/>
      <c r="Q490" s="275"/>
      <c r="R490" s="275"/>
      <c r="S490" s="275"/>
      <c r="T490" s="275"/>
      <c r="U490" s="275"/>
      <c r="V490" s="275"/>
      <c r="W490" s="275"/>
      <c r="X490" s="275"/>
      <c r="Y490" s="275"/>
      <c r="Z490" s="275"/>
    </row>
    <row r="491" spans="1:26" ht="15.75" customHeight="1">
      <c r="A491" s="275"/>
      <c r="B491" s="275"/>
      <c r="C491" s="275"/>
      <c r="D491" s="683"/>
      <c r="E491" s="275"/>
      <c r="F491" s="275"/>
      <c r="G491" s="275"/>
      <c r="H491" s="275"/>
      <c r="I491" s="275"/>
      <c r="J491" s="275"/>
      <c r="K491" s="275"/>
      <c r="L491" s="275"/>
      <c r="M491" s="275"/>
      <c r="N491" s="275"/>
      <c r="O491" s="275"/>
      <c r="P491" s="275"/>
      <c r="Q491" s="275"/>
      <c r="R491" s="275"/>
      <c r="S491" s="275"/>
      <c r="T491" s="275"/>
      <c r="U491" s="275"/>
      <c r="V491" s="275"/>
      <c r="W491" s="275"/>
      <c r="X491" s="275"/>
      <c r="Y491" s="275"/>
      <c r="Z491" s="275"/>
    </row>
    <row r="492" spans="1:26" ht="15.75" customHeight="1">
      <c r="A492" s="275"/>
      <c r="B492" s="275"/>
      <c r="C492" s="275"/>
      <c r="D492" s="683"/>
      <c r="E492" s="275"/>
      <c r="F492" s="275"/>
      <c r="G492" s="275"/>
      <c r="H492" s="275"/>
      <c r="I492" s="275"/>
      <c r="J492" s="275"/>
      <c r="K492" s="275"/>
      <c r="L492" s="275"/>
      <c r="M492" s="275"/>
      <c r="N492" s="275"/>
      <c r="O492" s="275"/>
      <c r="P492" s="275"/>
      <c r="Q492" s="275"/>
      <c r="R492" s="275"/>
      <c r="S492" s="275"/>
      <c r="T492" s="275"/>
      <c r="U492" s="275"/>
      <c r="V492" s="275"/>
      <c r="W492" s="275"/>
      <c r="X492" s="275"/>
      <c r="Y492" s="275"/>
      <c r="Z492" s="275"/>
    </row>
    <row r="493" spans="1:26" ht="15.75" customHeight="1">
      <c r="A493" s="275"/>
      <c r="B493" s="275"/>
      <c r="C493" s="275"/>
      <c r="D493" s="683"/>
      <c r="E493" s="275"/>
      <c r="F493" s="275"/>
      <c r="G493" s="275"/>
      <c r="H493" s="275"/>
      <c r="I493" s="275"/>
      <c r="J493" s="275"/>
      <c r="K493" s="275"/>
      <c r="L493" s="275"/>
      <c r="M493" s="275"/>
      <c r="N493" s="275"/>
      <c r="O493" s="275"/>
      <c r="P493" s="275"/>
      <c r="Q493" s="275"/>
      <c r="R493" s="275"/>
      <c r="S493" s="275"/>
      <c r="T493" s="275"/>
      <c r="U493" s="275"/>
      <c r="V493" s="275"/>
      <c r="W493" s="275"/>
      <c r="X493" s="275"/>
      <c r="Y493" s="275"/>
      <c r="Z493" s="275"/>
    </row>
    <row r="494" spans="1:26" ht="15.75" customHeight="1">
      <c r="A494" s="275"/>
      <c r="B494" s="275"/>
      <c r="C494" s="275"/>
      <c r="D494" s="683"/>
      <c r="E494" s="275"/>
      <c r="F494" s="275"/>
      <c r="G494" s="275"/>
      <c r="H494" s="275"/>
      <c r="I494" s="275"/>
      <c r="J494" s="275"/>
      <c r="K494" s="275"/>
      <c r="L494" s="275"/>
      <c r="M494" s="275"/>
      <c r="N494" s="275"/>
      <c r="O494" s="275"/>
      <c r="P494" s="275"/>
      <c r="Q494" s="275"/>
      <c r="R494" s="275"/>
      <c r="S494" s="275"/>
      <c r="T494" s="275"/>
      <c r="U494" s="275"/>
      <c r="V494" s="275"/>
      <c r="W494" s="275"/>
      <c r="X494" s="275"/>
      <c r="Y494" s="275"/>
      <c r="Z494" s="275"/>
    </row>
    <row r="495" spans="1:26" ht="15.75" customHeight="1">
      <c r="A495" s="275"/>
      <c r="B495" s="275"/>
      <c r="C495" s="275"/>
      <c r="D495" s="683"/>
      <c r="E495" s="275"/>
      <c r="F495" s="275"/>
      <c r="G495" s="275"/>
      <c r="H495" s="275"/>
      <c r="I495" s="275"/>
      <c r="J495" s="275"/>
      <c r="K495" s="275"/>
      <c r="L495" s="275"/>
      <c r="M495" s="275"/>
      <c r="N495" s="275"/>
      <c r="O495" s="275"/>
      <c r="P495" s="275"/>
      <c r="Q495" s="275"/>
      <c r="R495" s="275"/>
      <c r="S495" s="275"/>
      <c r="T495" s="275"/>
      <c r="U495" s="275"/>
      <c r="V495" s="275"/>
      <c r="W495" s="275"/>
      <c r="X495" s="275"/>
      <c r="Y495" s="275"/>
      <c r="Z495" s="275"/>
    </row>
    <row r="496" spans="1:26" ht="15.75" customHeight="1">
      <c r="A496" s="275"/>
      <c r="B496" s="275"/>
      <c r="C496" s="275"/>
      <c r="D496" s="683"/>
      <c r="E496" s="275"/>
      <c r="F496" s="275"/>
      <c r="G496" s="275"/>
      <c r="H496" s="275"/>
      <c r="I496" s="275"/>
      <c r="J496" s="275"/>
      <c r="K496" s="275"/>
      <c r="L496" s="275"/>
      <c r="M496" s="275"/>
      <c r="N496" s="275"/>
      <c r="O496" s="275"/>
      <c r="P496" s="275"/>
      <c r="Q496" s="275"/>
      <c r="R496" s="275"/>
      <c r="S496" s="275"/>
      <c r="T496" s="275"/>
      <c r="U496" s="275"/>
      <c r="V496" s="275"/>
      <c r="W496" s="275"/>
      <c r="X496" s="275"/>
      <c r="Y496" s="275"/>
      <c r="Z496" s="275"/>
    </row>
    <row r="497" spans="1:26" ht="15.75" customHeight="1">
      <c r="A497" s="275"/>
      <c r="B497" s="275"/>
      <c r="C497" s="275"/>
      <c r="D497" s="683"/>
      <c r="E497" s="275"/>
      <c r="F497" s="275"/>
      <c r="G497" s="275"/>
      <c r="H497" s="275"/>
      <c r="I497" s="275"/>
      <c r="J497" s="275"/>
      <c r="K497" s="275"/>
      <c r="L497" s="275"/>
      <c r="M497" s="275"/>
      <c r="N497" s="275"/>
      <c r="O497" s="275"/>
      <c r="P497" s="275"/>
      <c r="Q497" s="275"/>
      <c r="R497" s="275"/>
      <c r="S497" s="275"/>
      <c r="T497" s="275"/>
      <c r="U497" s="275"/>
      <c r="V497" s="275"/>
      <c r="W497" s="275"/>
      <c r="X497" s="275"/>
      <c r="Y497" s="275"/>
      <c r="Z497" s="275"/>
    </row>
    <row r="498" spans="1:26" ht="15.75" customHeight="1">
      <c r="A498" s="275"/>
      <c r="B498" s="275"/>
      <c r="C498" s="275"/>
      <c r="D498" s="683"/>
      <c r="E498" s="275"/>
      <c r="F498" s="275"/>
      <c r="G498" s="275"/>
      <c r="H498" s="275"/>
      <c r="I498" s="275"/>
      <c r="J498" s="275"/>
      <c r="K498" s="275"/>
      <c r="L498" s="275"/>
      <c r="M498" s="275"/>
      <c r="N498" s="275"/>
      <c r="O498" s="275"/>
      <c r="P498" s="275"/>
      <c r="Q498" s="275"/>
      <c r="R498" s="275"/>
      <c r="S498" s="275"/>
      <c r="T498" s="275"/>
      <c r="U498" s="275"/>
      <c r="V498" s="275"/>
      <c r="W498" s="275"/>
      <c r="X498" s="275"/>
      <c r="Y498" s="275"/>
      <c r="Z498" s="275"/>
    </row>
    <row r="499" spans="1:26" ht="15.75" customHeight="1">
      <c r="A499" s="275"/>
      <c r="B499" s="275"/>
      <c r="C499" s="275"/>
      <c r="D499" s="683"/>
      <c r="E499" s="275"/>
      <c r="F499" s="275"/>
      <c r="G499" s="275"/>
      <c r="H499" s="275"/>
      <c r="I499" s="275"/>
      <c r="J499" s="275"/>
      <c r="K499" s="275"/>
      <c r="L499" s="275"/>
      <c r="M499" s="275"/>
      <c r="N499" s="275"/>
      <c r="O499" s="275"/>
      <c r="P499" s="275"/>
      <c r="Q499" s="275"/>
      <c r="R499" s="275"/>
      <c r="S499" s="275"/>
      <c r="T499" s="275"/>
      <c r="U499" s="275"/>
      <c r="V499" s="275"/>
      <c r="W499" s="275"/>
      <c r="X499" s="275"/>
      <c r="Y499" s="275"/>
      <c r="Z499" s="275"/>
    </row>
    <row r="500" spans="1:26" ht="15.75" customHeight="1">
      <c r="A500" s="275"/>
      <c r="B500" s="275"/>
      <c r="C500" s="275"/>
      <c r="D500" s="683"/>
      <c r="E500" s="275"/>
      <c r="F500" s="275"/>
      <c r="G500" s="275"/>
      <c r="H500" s="275"/>
      <c r="I500" s="275"/>
      <c r="J500" s="275"/>
      <c r="K500" s="275"/>
      <c r="L500" s="275"/>
      <c r="M500" s="275"/>
      <c r="N500" s="275"/>
      <c r="O500" s="275"/>
      <c r="P500" s="275"/>
      <c r="Q500" s="275"/>
      <c r="R500" s="275"/>
      <c r="S500" s="275"/>
      <c r="T500" s="275"/>
      <c r="U500" s="275"/>
      <c r="V500" s="275"/>
      <c r="W500" s="275"/>
      <c r="X500" s="275"/>
      <c r="Y500" s="275"/>
      <c r="Z500" s="275"/>
    </row>
    <row r="501" spans="1:26" ht="15.75" customHeight="1">
      <c r="A501" s="275"/>
      <c r="B501" s="275"/>
      <c r="C501" s="275"/>
      <c r="D501" s="683"/>
      <c r="E501" s="275"/>
      <c r="F501" s="275"/>
      <c r="G501" s="275"/>
      <c r="H501" s="275"/>
      <c r="I501" s="275"/>
      <c r="J501" s="275"/>
      <c r="K501" s="275"/>
      <c r="L501" s="275"/>
      <c r="M501" s="275"/>
      <c r="N501" s="275"/>
      <c r="O501" s="275"/>
      <c r="P501" s="275"/>
      <c r="Q501" s="275"/>
      <c r="R501" s="275"/>
      <c r="S501" s="275"/>
      <c r="T501" s="275"/>
      <c r="U501" s="275"/>
      <c r="V501" s="275"/>
      <c r="W501" s="275"/>
      <c r="X501" s="275"/>
      <c r="Y501" s="275"/>
      <c r="Z501" s="275"/>
    </row>
    <row r="502" spans="1:26" ht="15.75" customHeight="1">
      <c r="A502" s="275"/>
      <c r="B502" s="275"/>
      <c r="C502" s="275"/>
      <c r="D502" s="683"/>
      <c r="E502" s="275"/>
      <c r="F502" s="275"/>
      <c r="G502" s="275"/>
      <c r="H502" s="275"/>
      <c r="I502" s="275"/>
      <c r="J502" s="275"/>
      <c r="K502" s="275"/>
      <c r="L502" s="275"/>
      <c r="M502" s="275"/>
      <c r="N502" s="275"/>
      <c r="O502" s="275"/>
      <c r="P502" s="275"/>
      <c r="Q502" s="275"/>
      <c r="R502" s="275"/>
      <c r="S502" s="275"/>
      <c r="T502" s="275"/>
      <c r="U502" s="275"/>
      <c r="V502" s="275"/>
      <c r="W502" s="275"/>
      <c r="X502" s="275"/>
      <c r="Y502" s="275"/>
      <c r="Z502" s="275"/>
    </row>
    <row r="503" spans="1:26" ht="15.75" customHeight="1">
      <c r="A503" s="275"/>
      <c r="B503" s="275"/>
      <c r="C503" s="275"/>
      <c r="D503" s="683"/>
      <c r="E503" s="275"/>
      <c r="F503" s="275"/>
      <c r="G503" s="275"/>
      <c r="H503" s="275"/>
      <c r="I503" s="275"/>
      <c r="J503" s="275"/>
      <c r="K503" s="275"/>
      <c r="L503" s="275"/>
      <c r="M503" s="275"/>
      <c r="N503" s="275"/>
      <c r="O503" s="275"/>
      <c r="P503" s="275"/>
      <c r="Q503" s="275"/>
      <c r="R503" s="275"/>
      <c r="S503" s="275"/>
      <c r="T503" s="275"/>
      <c r="U503" s="275"/>
      <c r="V503" s="275"/>
      <c r="W503" s="275"/>
      <c r="X503" s="275"/>
      <c r="Y503" s="275"/>
      <c r="Z503" s="275"/>
    </row>
    <row r="504" spans="1:26" ht="15.75" customHeight="1">
      <c r="A504" s="275"/>
      <c r="B504" s="275"/>
      <c r="C504" s="275"/>
      <c r="D504" s="683"/>
      <c r="E504" s="275"/>
      <c r="F504" s="275"/>
      <c r="G504" s="275"/>
      <c r="H504" s="275"/>
      <c r="I504" s="275"/>
      <c r="J504" s="275"/>
      <c r="K504" s="275"/>
      <c r="L504" s="275"/>
      <c r="M504" s="275"/>
      <c r="N504" s="275"/>
      <c r="O504" s="275"/>
      <c r="P504" s="275"/>
      <c r="Q504" s="275"/>
      <c r="R504" s="275"/>
      <c r="S504" s="275"/>
      <c r="T504" s="275"/>
      <c r="U504" s="275"/>
      <c r="V504" s="275"/>
      <c r="W504" s="275"/>
      <c r="X504" s="275"/>
      <c r="Y504" s="275"/>
      <c r="Z504" s="275"/>
    </row>
    <row r="505" spans="1:26" ht="15.75" customHeight="1">
      <c r="A505" s="275"/>
      <c r="B505" s="275"/>
      <c r="C505" s="275"/>
      <c r="D505" s="683"/>
      <c r="E505" s="275"/>
      <c r="F505" s="275"/>
      <c r="G505" s="275"/>
      <c r="H505" s="275"/>
      <c r="I505" s="275"/>
      <c r="J505" s="275"/>
      <c r="K505" s="275"/>
      <c r="L505" s="275"/>
      <c r="M505" s="275"/>
      <c r="N505" s="275"/>
      <c r="O505" s="275"/>
      <c r="P505" s="275"/>
      <c r="Q505" s="275"/>
      <c r="R505" s="275"/>
      <c r="S505" s="275"/>
      <c r="T505" s="275"/>
      <c r="U505" s="275"/>
      <c r="V505" s="275"/>
      <c r="W505" s="275"/>
      <c r="X505" s="275"/>
      <c r="Y505" s="275"/>
      <c r="Z505" s="275"/>
    </row>
    <row r="506" spans="1:26" ht="15.75" customHeight="1">
      <c r="A506" s="275"/>
      <c r="B506" s="275"/>
      <c r="C506" s="275"/>
      <c r="D506" s="683"/>
      <c r="E506" s="275"/>
      <c r="F506" s="275"/>
      <c r="G506" s="275"/>
      <c r="H506" s="275"/>
      <c r="I506" s="275"/>
      <c r="J506" s="275"/>
      <c r="K506" s="275"/>
      <c r="L506" s="275"/>
      <c r="M506" s="275"/>
      <c r="N506" s="275"/>
      <c r="O506" s="275"/>
      <c r="P506" s="275"/>
      <c r="Q506" s="275"/>
      <c r="R506" s="275"/>
      <c r="S506" s="275"/>
      <c r="T506" s="275"/>
      <c r="U506" s="275"/>
      <c r="V506" s="275"/>
      <c r="W506" s="275"/>
      <c r="X506" s="275"/>
      <c r="Y506" s="275"/>
      <c r="Z506" s="275"/>
    </row>
    <row r="507" spans="1:26" ht="15.75" customHeight="1">
      <c r="A507" s="275"/>
      <c r="B507" s="275"/>
      <c r="C507" s="275"/>
      <c r="D507" s="683"/>
      <c r="E507" s="275"/>
      <c r="F507" s="275"/>
      <c r="G507" s="275"/>
      <c r="H507" s="275"/>
      <c r="I507" s="275"/>
      <c r="J507" s="275"/>
      <c r="K507" s="275"/>
      <c r="L507" s="275"/>
      <c r="M507" s="275"/>
      <c r="N507" s="275"/>
      <c r="O507" s="275"/>
      <c r="P507" s="275"/>
      <c r="Q507" s="275"/>
      <c r="R507" s="275"/>
      <c r="S507" s="275"/>
      <c r="T507" s="275"/>
      <c r="U507" s="275"/>
      <c r="V507" s="275"/>
      <c r="W507" s="275"/>
      <c r="X507" s="275"/>
      <c r="Y507" s="275"/>
      <c r="Z507" s="275"/>
    </row>
    <row r="508" spans="1:26" ht="15.75" customHeight="1">
      <c r="A508" s="275"/>
      <c r="B508" s="275"/>
      <c r="C508" s="275"/>
      <c r="D508" s="683"/>
      <c r="E508" s="275"/>
      <c r="F508" s="275"/>
      <c r="G508" s="275"/>
      <c r="H508" s="275"/>
      <c r="I508" s="275"/>
      <c r="J508" s="275"/>
      <c r="K508" s="275"/>
      <c r="L508" s="275"/>
      <c r="M508" s="275"/>
      <c r="N508" s="275"/>
      <c r="O508" s="275"/>
      <c r="P508" s="275"/>
      <c r="Q508" s="275"/>
      <c r="R508" s="275"/>
      <c r="S508" s="275"/>
      <c r="T508" s="275"/>
      <c r="U508" s="275"/>
      <c r="V508" s="275"/>
      <c r="W508" s="275"/>
      <c r="X508" s="275"/>
      <c r="Y508" s="275"/>
      <c r="Z508" s="275"/>
    </row>
    <row r="509" spans="1:26" ht="15.75" customHeight="1">
      <c r="A509" s="275"/>
      <c r="B509" s="275"/>
      <c r="C509" s="275"/>
      <c r="D509" s="683"/>
      <c r="E509" s="275"/>
      <c r="F509" s="275"/>
      <c r="G509" s="275"/>
      <c r="H509" s="275"/>
      <c r="I509" s="275"/>
      <c r="J509" s="275"/>
      <c r="K509" s="275"/>
      <c r="L509" s="275"/>
      <c r="M509" s="275"/>
      <c r="N509" s="275"/>
      <c r="O509" s="275"/>
      <c r="P509" s="275"/>
      <c r="Q509" s="275"/>
      <c r="R509" s="275"/>
      <c r="S509" s="275"/>
      <c r="T509" s="275"/>
      <c r="U509" s="275"/>
      <c r="V509" s="275"/>
      <c r="W509" s="275"/>
      <c r="X509" s="275"/>
      <c r="Y509" s="275"/>
      <c r="Z509" s="275"/>
    </row>
    <row r="510" spans="1:26" ht="15.75" customHeight="1">
      <c r="A510" s="275"/>
      <c r="B510" s="275"/>
      <c r="C510" s="275"/>
      <c r="D510" s="683"/>
      <c r="E510" s="275"/>
      <c r="F510" s="275"/>
      <c r="G510" s="275"/>
      <c r="H510" s="275"/>
      <c r="I510" s="275"/>
      <c r="J510" s="275"/>
      <c r="K510" s="275"/>
      <c r="L510" s="275"/>
      <c r="M510" s="275"/>
      <c r="N510" s="275"/>
      <c r="O510" s="275"/>
      <c r="P510" s="275"/>
      <c r="Q510" s="275"/>
      <c r="R510" s="275"/>
      <c r="S510" s="275"/>
      <c r="T510" s="275"/>
      <c r="U510" s="275"/>
      <c r="V510" s="275"/>
      <c r="W510" s="275"/>
      <c r="X510" s="275"/>
      <c r="Y510" s="275"/>
      <c r="Z510" s="275"/>
    </row>
    <row r="511" spans="1:26" ht="15.75" customHeight="1">
      <c r="A511" s="275"/>
      <c r="B511" s="275"/>
      <c r="C511" s="275"/>
      <c r="D511" s="683"/>
      <c r="E511" s="275"/>
      <c r="F511" s="275"/>
      <c r="G511" s="275"/>
      <c r="H511" s="275"/>
      <c r="I511" s="275"/>
      <c r="J511" s="275"/>
      <c r="K511" s="275"/>
      <c r="L511" s="275"/>
      <c r="M511" s="275"/>
      <c r="N511" s="275"/>
      <c r="O511" s="275"/>
      <c r="P511" s="275"/>
      <c r="Q511" s="275"/>
      <c r="R511" s="275"/>
      <c r="S511" s="275"/>
      <c r="T511" s="275"/>
      <c r="U511" s="275"/>
      <c r="V511" s="275"/>
      <c r="W511" s="275"/>
      <c r="X511" s="275"/>
      <c r="Y511" s="275"/>
      <c r="Z511" s="275"/>
    </row>
    <row r="512" spans="1:26" ht="15.75" customHeight="1">
      <c r="A512" s="275"/>
      <c r="B512" s="275"/>
      <c r="C512" s="275"/>
      <c r="D512" s="683"/>
      <c r="E512" s="275"/>
      <c r="F512" s="275"/>
      <c r="G512" s="275"/>
      <c r="H512" s="275"/>
      <c r="I512" s="275"/>
      <c r="J512" s="275"/>
      <c r="K512" s="275"/>
      <c r="L512" s="275"/>
      <c r="M512" s="275"/>
      <c r="N512" s="275"/>
      <c r="O512" s="275"/>
      <c r="P512" s="275"/>
      <c r="Q512" s="275"/>
      <c r="R512" s="275"/>
      <c r="S512" s="275"/>
      <c r="T512" s="275"/>
      <c r="U512" s="275"/>
      <c r="V512" s="275"/>
      <c r="W512" s="275"/>
      <c r="X512" s="275"/>
      <c r="Y512" s="275"/>
      <c r="Z512" s="275"/>
    </row>
    <row r="513" spans="1:26" ht="15.75" customHeight="1">
      <c r="A513" s="275"/>
      <c r="B513" s="275"/>
      <c r="C513" s="275"/>
      <c r="D513" s="683"/>
      <c r="E513" s="275"/>
      <c r="F513" s="275"/>
      <c r="G513" s="275"/>
      <c r="H513" s="275"/>
      <c r="I513" s="275"/>
      <c r="J513" s="275"/>
      <c r="K513" s="275"/>
      <c r="L513" s="275"/>
      <c r="M513" s="275"/>
      <c r="N513" s="275"/>
      <c r="O513" s="275"/>
      <c r="P513" s="275"/>
      <c r="Q513" s="275"/>
      <c r="R513" s="275"/>
      <c r="S513" s="275"/>
      <c r="T513" s="275"/>
      <c r="U513" s="275"/>
      <c r="V513" s="275"/>
      <c r="W513" s="275"/>
      <c r="X513" s="275"/>
      <c r="Y513" s="275"/>
      <c r="Z513" s="275"/>
    </row>
    <row r="514" spans="1:26" ht="15.75" customHeight="1">
      <c r="A514" s="275"/>
      <c r="B514" s="275"/>
      <c r="C514" s="275"/>
      <c r="D514" s="683"/>
      <c r="E514" s="275"/>
      <c r="F514" s="275"/>
      <c r="G514" s="275"/>
      <c r="H514" s="275"/>
      <c r="I514" s="275"/>
      <c r="J514" s="275"/>
      <c r="K514" s="275"/>
      <c r="L514" s="275"/>
      <c r="M514" s="275"/>
      <c r="N514" s="275"/>
      <c r="O514" s="275"/>
      <c r="P514" s="275"/>
      <c r="Q514" s="275"/>
      <c r="R514" s="275"/>
      <c r="S514" s="275"/>
      <c r="T514" s="275"/>
      <c r="U514" s="275"/>
      <c r="V514" s="275"/>
      <c r="W514" s="275"/>
      <c r="X514" s="275"/>
      <c r="Y514" s="275"/>
      <c r="Z514" s="275"/>
    </row>
    <row r="515" spans="1:26" ht="15.75" customHeight="1">
      <c r="A515" s="275"/>
      <c r="B515" s="275"/>
      <c r="C515" s="275"/>
      <c r="D515" s="683"/>
      <c r="E515" s="275"/>
      <c r="F515" s="275"/>
      <c r="G515" s="275"/>
      <c r="H515" s="275"/>
      <c r="I515" s="275"/>
      <c r="J515" s="275"/>
      <c r="K515" s="275"/>
      <c r="L515" s="275"/>
      <c r="M515" s="275"/>
      <c r="N515" s="275"/>
      <c r="O515" s="275"/>
      <c r="P515" s="275"/>
      <c r="Q515" s="275"/>
      <c r="R515" s="275"/>
      <c r="S515" s="275"/>
      <c r="T515" s="275"/>
      <c r="U515" s="275"/>
      <c r="V515" s="275"/>
      <c r="W515" s="275"/>
      <c r="X515" s="275"/>
      <c r="Y515" s="275"/>
      <c r="Z515" s="275"/>
    </row>
    <row r="516" spans="1:26" ht="15.75" customHeight="1">
      <c r="A516" s="275"/>
      <c r="B516" s="275"/>
      <c r="C516" s="275"/>
      <c r="D516" s="683"/>
      <c r="E516" s="275"/>
      <c r="F516" s="275"/>
      <c r="G516" s="275"/>
      <c r="H516" s="275"/>
      <c r="I516" s="275"/>
      <c r="J516" s="275"/>
      <c r="K516" s="275"/>
      <c r="L516" s="275"/>
      <c r="M516" s="275"/>
      <c r="N516" s="275"/>
      <c r="O516" s="275"/>
      <c r="P516" s="275"/>
      <c r="Q516" s="275"/>
      <c r="R516" s="275"/>
      <c r="S516" s="275"/>
      <c r="T516" s="275"/>
      <c r="U516" s="275"/>
      <c r="V516" s="275"/>
      <c r="W516" s="275"/>
      <c r="X516" s="275"/>
      <c r="Y516" s="275"/>
      <c r="Z516" s="275"/>
    </row>
    <row r="517" spans="1:26" ht="15.75" customHeight="1">
      <c r="A517" s="275"/>
      <c r="B517" s="275"/>
      <c r="C517" s="275"/>
      <c r="D517" s="683"/>
      <c r="E517" s="275"/>
      <c r="F517" s="275"/>
      <c r="G517" s="275"/>
      <c r="H517" s="275"/>
      <c r="I517" s="275"/>
      <c r="J517" s="275"/>
      <c r="K517" s="275"/>
      <c r="L517" s="275"/>
      <c r="M517" s="275"/>
      <c r="N517" s="275"/>
      <c r="O517" s="275"/>
      <c r="P517" s="275"/>
      <c r="Q517" s="275"/>
      <c r="R517" s="275"/>
      <c r="S517" s="275"/>
      <c r="T517" s="275"/>
      <c r="U517" s="275"/>
      <c r="V517" s="275"/>
      <c r="W517" s="275"/>
      <c r="X517" s="275"/>
      <c r="Y517" s="275"/>
      <c r="Z517" s="275"/>
    </row>
    <row r="518" spans="1:26" ht="15.75" customHeight="1">
      <c r="A518" s="275"/>
      <c r="B518" s="275"/>
      <c r="C518" s="275"/>
      <c r="D518" s="683"/>
      <c r="E518" s="275"/>
      <c r="F518" s="275"/>
      <c r="G518" s="275"/>
      <c r="H518" s="275"/>
      <c r="I518" s="275"/>
      <c r="J518" s="275"/>
      <c r="K518" s="275"/>
      <c r="L518" s="275"/>
      <c r="M518" s="275"/>
      <c r="N518" s="275"/>
      <c r="O518" s="275"/>
      <c r="P518" s="275"/>
      <c r="Q518" s="275"/>
      <c r="R518" s="275"/>
      <c r="S518" s="275"/>
      <c r="T518" s="275"/>
      <c r="U518" s="275"/>
      <c r="V518" s="275"/>
      <c r="W518" s="275"/>
      <c r="X518" s="275"/>
      <c r="Y518" s="275"/>
      <c r="Z518" s="275"/>
    </row>
    <row r="519" spans="1:26" ht="15.75" customHeight="1">
      <c r="A519" s="275"/>
      <c r="B519" s="275"/>
      <c r="C519" s="275"/>
      <c r="D519" s="683"/>
      <c r="E519" s="275"/>
      <c r="F519" s="275"/>
      <c r="G519" s="275"/>
      <c r="H519" s="275"/>
      <c r="I519" s="275"/>
      <c r="J519" s="275"/>
      <c r="K519" s="275"/>
      <c r="L519" s="275"/>
      <c r="M519" s="275"/>
      <c r="N519" s="275"/>
      <c r="O519" s="275"/>
      <c r="P519" s="275"/>
      <c r="Q519" s="275"/>
      <c r="R519" s="275"/>
      <c r="S519" s="275"/>
      <c r="T519" s="275"/>
      <c r="U519" s="275"/>
      <c r="V519" s="275"/>
      <c r="W519" s="275"/>
      <c r="X519" s="275"/>
      <c r="Y519" s="275"/>
      <c r="Z519" s="275"/>
    </row>
    <row r="520" spans="1:26" ht="15.75" customHeight="1">
      <c r="A520" s="275"/>
      <c r="B520" s="275"/>
      <c r="C520" s="275"/>
      <c r="D520" s="683"/>
      <c r="E520" s="275"/>
      <c r="F520" s="275"/>
      <c r="G520" s="275"/>
      <c r="H520" s="275"/>
      <c r="I520" s="275"/>
      <c r="J520" s="275"/>
      <c r="K520" s="275"/>
      <c r="L520" s="275"/>
      <c r="M520" s="275"/>
      <c r="N520" s="275"/>
      <c r="O520" s="275"/>
      <c r="P520" s="275"/>
      <c r="Q520" s="275"/>
      <c r="R520" s="275"/>
      <c r="S520" s="275"/>
      <c r="T520" s="275"/>
      <c r="U520" s="275"/>
      <c r="V520" s="275"/>
      <c r="W520" s="275"/>
      <c r="X520" s="275"/>
      <c r="Y520" s="275"/>
      <c r="Z520" s="275"/>
    </row>
    <row r="521" spans="1:26" ht="15.75" customHeight="1">
      <c r="D521" s="684"/>
    </row>
    <row r="522" spans="1:26" ht="15.75" customHeight="1">
      <c r="D522" s="684"/>
    </row>
    <row r="523" spans="1:26" ht="15.75" customHeight="1">
      <c r="D523" s="684"/>
    </row>
    <row r="524" spans="1:26" ht="15.75" customHeight="1">
      <c r="D524" s="684"/>
    </row>
    <row r="525" spans="1:26" ht="15.75" customHeight="1">
      <c r="D525" s="684"/>
    </row>
    <row r="526" spans="1:26" ht="15.75" customHeight="1">
      <c r="D526" s="684"/>
    </row>
    <row r="527" spans="1:26" ht="15.75" customHeight="1">
      <c r="D527" s="684"/>
    </row>
    <row r="528" spans="1:26" ht="15.75" customHeight="1">
      <c r="D528" s="684"/>
    </row>
    <row r="529" spans="4:4" ht="15.75" customHeight="1">
      <c r="D529" s="684"/>
    </row>
    <row r="530" spans="4:4" ht="15.75" customHeight="1">
      <c r="D530" s="684"/>
    </row>
    <row r="531" spans="4:4" ht="15.75" customHeight="1">
      <c r="D531" s="684"/>
    </row>
    <row r="532" spans="4:4" ht="15.75" customHeight="1">
      <c r="D532" s="684"/>
    </row>
    <row r="533" spans="4:4" ht="15.75" customHeight="1">
      <c r="D533" s="684"/>
    </row>
    <row r="534" spans="4:4" ht="15.75" customHeight="1">
      <c r="D534" s="684"/>
    </row>
    <row r="535" spans="4:4" ht="15.75" customHeight="1">
      <c r="D535" s="684"/>
    </row>
    <row r="536" spans="4:4" ht="15.75" customHeight="1">
      <c r="D536" s="684"/>
    </row>
    <row r="537" spans="4:4" ht="15.75" customHeight="1">
      <c r="D537" s="684"/>
    </row>
    <row r="538" spans="4:4" ht="15.75" customHeight="1">
      <c r="D538" s="684"/>
    </row>
    <row r="539" spans="4:4" ht="15.75" customHeight="1">
      <c r="D539" s="684"/>
    </row>
    <row r="540" spans="4:4" ht="15.75" customHeight="1">
      <c r="D540" s="684"/>
    </row>
    <row r="541" spans="4:4" ht="15.75" customHeight="1">
      <c r="D541" s="684"/>
    </row>
    <row r="542" spans="4:4" ht="15.75" customHeight="1">
      <c r="D542" s="684"/>
    </row>
    <row r="543" spans="4:4" ht="15.75" customHeight="1">
      <c r="D543" s="684"/>
    </row>
    <row r="544" spans="4:4" ht="15.75" customHeight="1">
      <c r="D544" s="684"/>
    </row>
    <row r="545" spans="4:4" ht="15.75" customHeight="1">
      <c r="D545" s="684"/>
    </row>
    <row r="546" spans="4:4" ht="15.75" customHeight="1">
      <c r="D546" s="684"/>
    </row>
    <row r="547" spans="4:4" ht="15.75" customHeight="1">
      <c r="D547" s="684"/>
    </row>
    <row r="548" spans="4:4" ht="15.75" customHeight="1">
      <c r="D548" s="684"/>
    </row>
    <row r="549" spans="4:4" ht="15.75" customHeight="1">
      <c r="D549" s="684"/>
    </row>
    <row r="550" spans="4:4" ht="15.75" customHeight="1">
      <c r="D550" s="684"/>
    </row>
    <row r="551" spans="4:4" ht="15.75" customHeight="1">
      <c r="D551" s="684"/>
    </row>
    <row r="552" spans="4:4" ht="15.75" customHeight="1">
      <c r="D552" s="684"/>
    </row>
    <row r="553" spans="4:4" ht="15.75" customHeight="1">
      <c r="D553" s="684"/>
    </row>
    <row r="554" spans="4:4" ht="15.75" customHeight="1">
      <c r="D554" s="684"/>
    </row>
    <row r="555" spans="4:4" ht="15.75" customHeight="1">
      <c r="D555" s="684"/>
    </row>
    <row r="556" spans="4:4" ht="15.75" customHeight="1">
      <c r="D556" s="684"/>
    </row>
    <row r="557" spans="4:4" ht="15.75" customHeight="1">
      <c r="D557" s="684"/>
    </row>
    <row r="558" spans="4:4" ht="15.75" customHeight="1">
      <c r="D558" s="684"/>
    </row>
    <row r="559" spans="4:4" ht="15.75" customHeight="1">
      <c r="D559" s="684"/>
    </row>
    <row r="560" spans="4:4" ht="15.75" customHeight="1">
      <c r="D560" s="684"/>
    </row>
    <row r="561" spans="4:4" ht="15.75" customHeight="1">
      <c r="D561" s="684"/>
    </row>
    <row r="562" spans="4:4" ht="15.75" customHeight="1">
      <c r="D562" s="684"/>
    </row>
    <row r="563" spans="4:4" ht="15.75" customHeight="1">
      <c r="D563" s="684"/>
    </row>
    <row r="564" spans="4:4" ht="15.75" customHeight="1">
      <c r="D564" s="684"/>
    </row>
    <row r="565" spans="4:4" ht="15.75" customHeight="1">
      <c r="D565" s="684"/>
    </row>
    <row r="566" spans="4:4" ht="15.75" customHeight="1">
      <c r="D566" s="684"/>
    </row>
    <row r="567" spans="4:4" ht="15.75" customHeight="1">
      <c r="D567" s="684"/>
    </row>
    <row r="568" spans="4:4" ht="15.75" customHeight="1">
      <c r="D568" s="684"/>
    </row>
    <row r="569" spans="4:4" ht="15.75" customHeight="1">
      <c r="D569" s="684"/>
    </row>
    <row r="570" spans="4:4" ht="15.75" customHeight="1">
      <c r="D570" s="684"/>
    </row>
    <row r="571" spans="4:4" ht="15.75" customHeight="1">
      <c r="D571" s="684"/>
    </row>
    <row r="572" spans="4:4" ht="15.75" customHeight="1">
      <c r="D572" s="684"/>
    </row>
    <row r="573" spans="4:4" ht="15.75" customHeight="1">
      <c r="D573" s="684"/>
    </row>
    <row r="574" spans="4:4" ht="15.75" customHeight="1">
      <c r="D574" s="684"/>
    </row>
    <row r="575" spans="4:4" ht="15.75" customHeight="1">
      <c r="D575" s="684"/>
    </row>
    <row r="576" spans="4:4" ht="15.75" customHeight="1">
      <c r="D576" s="684"/>
    </row>
    <row r="577" spans="4:4" ht="15.75" customHeight="1">
      <c r="D577" s="684"/>
    </row>
    <row r="578" spans="4:4" ht="15.75" customHeight="1">
      <c r="D578" s="684"/>
    </row>
    <row r="579" spans="4:4" ht="15.75" customHeight="1">
      <c r="D579" s="684"/>
    </row>
    <row r="580" spans="4:4" ht="15.75" customHeight="1">
      <c r="D580" s="684"/>
    </row>
    <row r="581" spans="4:4" ht="15.75" customHeight="1">
      <c r="D581" s="684"/>
    </row>
    <row r="582" spans="4:4" ht="15.75" customHeight="1">
      <c r="D582" s="684"/>
    </row>
    <row r="583" spans="4:4" ht="15.75" customHeight="1">
      <c r="D583" s="684"/>
    </row>
    <row r="584" spans="4:4" ht="15.75" customHeight="1">
      <c r="D584" s="684"/>
    </row>
    <row r="585" spans="4:4" ht="15.75" customHeight="1">
      <c r="D585" s="684"/>
    </row>
    <row r="586" spans="4:4" ht="15.75" customHeight="1">
      <c r="D586" s="684"/>
    </row>
    <row r="587" spans="4:4" ht="15.75" customHeight="1">
      <c r="D587" s="684"/>
    </row>
    <row r="588" spans="4:4" ht="15.75" customHeight="1">
      <c r="D588" s="684"/>
    </row>
    <row r="589" spans="4:4" ht="15.75" customHeight="1">
      <c r="D589" s="684"/>
    </row>
    <row r="590" spans="4:4" ht="15.75" customHeight="1">
      <c r="D590" s="684"/>
    </row>
    <row r="591" spans="4:4" ht="15.75" customHeight="1">
      <c r="D591" s="684"/>
    </row>
    <row r="592" spans="4:4" ht="15.75" customHeight="1">
      <c r="D592" s="684"/>
    </row>
    <row r="593" spans="4:4" ht="15.75" customHeight="1">
      <c r="D593" s="684"/>
    </row>
    <row r="594" spans="4:4" ht="15.75" customHeight="1">
      <c r="D594" s="684"/>
    </row>
    <row r="595" spans="4:4" ht="15.75" customHeight="1">
      <c r="D595" s="684"/>
    </row>
    <row r="596" spans="4:4" ht="15.75" customHeight="1">
      <c r="D596" s="684"/>
    </row>
    <row r="597" spans="4:4" ht="15.75" customHeight="1">
      <c r="D597" s="684"/>
    </row>
    <row r="598" spans="4:4" ht="15.75" customHeight="1">
      <c r="D598" s="684"/>
    </row>
    <row r="599" spans="4:4" ht="15.75" customHeight="1">
      <c r="D599" s="684"/>
    </row>
    <row r="600" spans="4:4" ht="15.75" customHeight="1">
      <c r="D600" s="684"/>
    </row>
    <row r="601" spans="4:4" ht="15.75" customHeight="1">
      <c r="D601" s="684"/>
    </row>
    <row r="602" spans="4:4" ht="15.75" customHeight="1">
      <c r="D602" s="684"/>
    </row>
    <row r="603" spans="4:4" ht="15.75" customHeight="1">
      <c r="D603" s="684"/>
    </row>
    <row r="604" spans="4:4" ht="15.75" customHeight="1">
      <c r="D604" s="684"/>
    </row>
    <row r="605" spans="4:4" ht="15.75" customHeight="1">
      <c r="D605" s="684"/>
    </row>
    <row r="606" spans="4:4" ht="15.75" customHeight="1">
      <c r="D606" s="684"/>
    </row>
    <row r="607" spans="4:4" ht="15.75" customHeight="1">
      <c r="D607" s="684"/>
    </row>
    <row r="608" spans="4:4" ht="15.75" customHeight="1">
      <c r="D608" s="684"/>
    </row>
    <row r="609" spans="4:4" ht="15.75" customHeight="1">
      <c r="D609" s="684"/>
    </row>
    <row r="610" spans="4:4" ht="15.75" customHeight="1">
      <c r="D610" s="684"/>
    </row>
    <row r="611" spans="4:4" ht="15.75" customHeight="1">
      <c r="D611" s="684"/>
    </row>
    <row r="612" spans="4:4" ht="15.75" customHeight="1">
      <c r="D612" s="684"/>
    </row>
    <row r="613" spans="4:4" ht="15.75" customHeight="1">
      <c r="D613" s="684"/>
    </row>
    <row r="614" spans="4:4" ht="15.75" customHeight="1">
      <c r="D614" s="684"/>
    </row>
    <row r="615" spans="4:4" ht="15.75" customHeight="1">
      <c r="D615" s="684"/>
    </row>
    <row r="616" spans="4:4" ht="15.75" customHeight="1">
      <c r="D616" s="684"/>
    </row>
    <row r="617" spans="4:4" ht="15.75" customHeight="1">
      <c r="D617" s="684"/>
    </row>
    <row r="618" spans="4:4" ht="15.75" customHeight="1">
      <c r="D618" s="684"/>
    </row>
    <row r="619" spans="4:4" ht="15.75" customHeight="1">
      <c r="D619" s="684"/>
    </row>
    <row r="620" spans="4:4" ht="15.75" customHeight="1">
      <c r="D620" s="684"/>
    </row>
    <row r="621" spans="4:4" ht="15.75" customHeight="1">
      <c r="D621" s="684"/>
    </row>
    <row r="622" spans="4:4" ht="15.75" customHeight="1">
      <c r="D622" s="684"/>
    </row>
    <row r="623" spans="4:4" ht="15.75" customHeight="1">
      <c r="D623" s="684"/>
    </row>
    <row r="624" spans="4:4" ht="15.75" customHeight="1">
      <c r="D624" s="684"/>
    </row>
    <row r="625" spans="4:4" ht="15.75" customHeight="1">
      <c r="D625" s="684"/>
    </row>
    <row r="626" spans="4:4" ht="15.75" customHeight="1">
      <c r="D626" s="684"/>
    </row>
    <row r="627" spans="4:4" ht="15.75" customHeight="1">
      <c r="D627" s="684"/>
    </row>
    <row r="628" spans="4:4" ht="15.75" customHeight="1">
      <c r="D628" s="684"/>
    </row>
    <row r="629" spans="4:4" ht="15.75" customHeight="1">
      <c r="D629" s="684"/>
    </row>
    <row r="630" spans="4:4" ht="15.75" customHeight="1">
      <c r="D630" s="684"/>
    </row>
    <row r="631" spans="4:4" ht="15.75" customHeight="1">
      <c r="D631" s="684"/>
    </row>
    <row r="632" spans="4:4" ht="15.75" customHeight="1">
      <c r="D632" s="684"/>
    </row>
    <row r="633" spans="4:4" ht="15.75" customHeight="1">
      <c r="D633" s="684"/>
    </row>
    <row r="634" spans="4:4" ht="15.75" customHeight="1">
      <c r="D634" s="684"/>
    </row>
    <row r="635" spans="4:4" ht="15.75" customHeight="1">
      <c r="D635" s="684"/>
    </row>
    <row r="636" spans="4:4" ht="15.75" customHeight="1">
      <c r="D636" s="684"/>
    </row>
    <row r="637" spans="4:4" ht="15.75" customHeight="1">
      <c r="D637" s="684"/>
    </row>
    <row r="638" spans="4:4" ht="15.75" customHeight="1">
      <c r="D638" s="684"/>
    </row>
    <row r="639" spans="4:4" ht="15.75" customHeight="1">
      <c r="D639" s="684"/>
    </row>
    <row r="640" spans="4:4" ht="15.75" customHeight="1">
      <c r="D640" s="684"/>
    </row>
    <row r="641" spans="4:4" ht="15.75" customHeight="1">
      <c r="D641" s="684"/>
    </row>
    <row r="642" spans="4:4" ht="15.75" customHeight="1">
      <c r="D642" s="684"/>
    </row>
    <row r="643" spans="4:4" ht="15.75" customHeight="1">
      <c r="D643" s="684"/>
    </row>
    <row r="644" spans="4:4" ht="15.75" customHeight="1">
      <c r="D644" s="684"/>
    </row>
    <row r="645" spans="4:4" ht="15.75" customHeight="1">
      <c r="D645" s="684"/>
    </row>
    <row r="646" spans="4:4" ht="15.75" customHeight="1">
      <c r="D646" s="684"/>
    </row>
    <row r="647" spans="4:4" ht="15.75" customHeight="1">
      <c r="D647" s="684"/>
    </row>
    <row r="648" spans="4:4" ht="15.75" customHeight="1">
      <c r="D648" s="684"/>
    </row>
    <row r="649" spans="4:4" ht="15.75" customHeight="1">
      <c r="D649" s="684"/>
    </row>
    <row r="650" spans="4:4" ht="15.75" customHeight="1">
      <c r="D650" s="684"/>
    </row>
    <row r="651" spans="4:4" ht="15.75" customHeight="1">
      <c r="D651" s="684"/>
    </row>
    <row r="652" spans="4:4" ht="15.75" customHeight="1">
      <c r="D652" s="684"/>
    </row>
    <row r="653" spans="4:4" ht="15.75" customHeight="1">
      <c r="D653" s="684"/>
    </row>
    <row r="654" spans="4:4" ht="15.75" customHeight="1">
      <c r="D654" s="684"/>
    </row>
    <row r="655" spans="4:4" ht="15.75" customHeight="1">
      <c r="D655" s="684"/>
    </row>
    <row r="656" spans="4:4" ht="15.75" customHeight="1">
      <c r="D656" s="684"/>
    </row>
    <row r="657" spans="4:4" ht="15.75" customHeight="1">
      <c r="D657" s="684"/>
    </row>
    <row r="658" spans="4:4" ht="15.75" customHeight="1">
      <c r="D658" s="684"/>
    </row>
    <row r="659" spans="4:4" ht="15.75" customHeight="1">
      <c r="D659" s="684"/>
    </row>
    <row r="660" spans="4:4" ht="15.75" customHeight="1">
      <c r="D660" s="684"/>
    </row>
    <row r="661" spans="4:4" ht="15.75" customHeight="1">
      <c r="D661" s="684"/>
    </row>
    <row r="662" spans="4:4" ht="15.75" customHeight="1">
      <c r="D662" s="684"/>
    </row>
    <row r="663" spans="4:4" ht="15.75" customHeight="1">
      <c r="D663" s="684"/>
    </row>
    <row r="664" spans="4:4" ht="15.75" customHeight="1">
      <c r="D664" s="684"/>
    </row>
    <row r="665" spans="4:4" ht="15.75" customHeight="1">
      <c r="D665" s="684"/>
    </row>
    <row r="666" spans="4:4" ht="15.75" customHeight="1">
      <c r="D666" s="684"/>
    </row>
    <row r="667" spans="4:4" ht="15.75" customHeight="1">
      <c r="D667" s="684"/>
    </row>
    <row r="668" spans="4:4" ht="15.75" customHeight="1">
      <c r="D668" s="684"/>
    </row>
    <row r="669" spans="4:4" ht="15.75" customHeight="1">
      <c r="D669" s="684"/>
    </row>
    <row r="670" spans="4:4" ht="15.75" customHeight="1">
      <c r="D670" s="684"/>
    </row>
    <row r="671" spans="4:4" ht="15.75" customHeight="1">
      <c r="D671" s="684"/>
    </row>
    <row r="672" spans="4:4" ht="15.75" customHeight="1">
      <c r="D672" s="684"/>
    </row>
    <row r="673" spans="4:4" ht="15.75" customHeight="1">
      <c r="D673" s="684"/>
    </row>
    <row r="674" spans="4:4" ht="15.75" customHeight="1">
      <c r="D674" s="684"/>
    </row>
    <row r="675" spans="4:4" ht="15.75" customHeight="1">
      <c r="D675" s="684"/>
    </row>
    <row r="676" spans="4:4" ht="15.75" customHeight="1">
      <c r="D676" s="684"/>
    </row>
    <row r="677" spans="4:4" ht="15.75" customHeight="1">
      <c r="D677" s="684"/>
    </row>
    <row r="678" spans="4:4" ht="15.75" customHeight="1">
      <c r="D678" s="684"/>
    </row>
    <row r="679" spans="4:4" ht="15.75" customHeight="1">
      <c r="D679" s="684"/>
    </row>
    <row r="680" spans="4:4" ht="15.75" customHeight="1">
      <c r="D680" s="684"/>
    </row>
    <row r="681" spans="4:4" ht="15.75" customHeight="1">
      <c r="D681" s="684"/>
    </row>
    <row r="682" spans="4:4" ht="15.75" customHeight="1">
      <c r="D682" s="684"/>
    </row>
    <row r="683" spans="4:4" ht="15.75" customHeight="1">
      <c r="D683" s="684"/>
    </row>
    <row r="684" spans="4:4" ht="15.75" customHeight="1">
      <c r="D684" s="684"/>
    </row>
    <row r="685" spans="4:4" ht="15.75" customHeight="1">
      <c r="D685" s="684"/>
    </row>
    <row r="686" spans="4:4" ht="15.75" customHeight="1">
      <c r="D686" s="684"/>
    </row>
    <row r="687" spans="4:4" ht="15.75" customHeight="1">
      <c r="D687" s="684"/>
    </row>
    <row r="688" spans="4:4" ht="15.75" customHeight="1">
      <c r="D688" s="684"/>
    </row>
    <row r="689" spans="4:4" ht="15.75" customHeight="1">
      <c r="D689" s="684"/>
    </row>
    <row r="690" spans="4:4" ht="15.75" customHeight="1">
      <c r="D690" s="684"/>
    </row>
    <row r="691" spans="4:4" ht="15.75" customHeight="1">
      <c r="D691" s="684"/>
    </row>
    <row r="692" spans="4:4" ht="15.75" customHeight="1">
      <c r="D692" s="684"/>
    </row>
    <row r="693" spans="4:4" ht="15.75" customHeight="1">
      <c r="D693" s="684"/>
    </row>
    <row r="694" spans="4:4" ht="15.75" customHeight="1">
      <c r="D694" s="684"/>
    </row>
    <row r="695" spans="4:4" ht="15.75" customHeight="1">
      <c r="D695" s="684"/>
    </row>
    <row r="696" spans="4:4" ht="15.75" customHeight="1">
      <c r="D696" s="684"/>
    </row>
    <row r="697" spans="4:4" ht="15.75" customHeight="1">
      <c r="D697" s="684"/>
    </row>
    <row r="698" spans="4:4" ht="15.75" customHeight="1">
      <c r="D698" s="684"/>
    </row>
    <row r="699" spans="4:4" ht="15.75" customHeight="1">
      <c r="D699" s="684"/>
    </row>
    <row r="700" spans="4:4" ht="15.75" customHeight="1">
      <c r="D700" s="684"/>
    </row>
    <row r="701" spans="4:4" ht="15.75" customHeight="1">
      <c r="D701" s="684"/>
    </row>
    <row r="702" spans="4:4" ht="15.75" customHeight="1">
      <c r="D702" s="684"/>
    </row>
    <row r="703" spans="4:4" ht="15.75" customHeight="1">
      <c r="D703" s="684"/>
    </row>
    <row r="704" spans="4:4" ht="15.75" customHeight="1">
      <c r="D704" s="684"/>
    </row>
    <row r="705" spans="4:4" ht="15.75" customHeight="1">
      <c r="D705" s="684"/>
    </row>
    <row r="706" spans="4:4" ht="15.75" customHeight="1">
      <c r="D706" s="684"/>
    </row>
    <row r="707" spans="4:4" ht="15.75" customHeight="1">
      <c r="D707" s="684"/>
    </row>
    <row r="708" spans="4:4" ht="15.75" customHeight="1">
      <c r="D708" s="684"/>
    </row>
    <row r="709" spans="4:4" ht="15.75" customHeight="1">
      <c r="D709" s="684"/>
    </row>
    <row r="710" spans="4:4" ht="15.75" customHeight="1">
      <c r="D710" s="684"/>
    </row>
    <row r="711" spans="4:4" ht="15.75" customHeight="1">
      <c r="D711" s="684"/>
    </row>
    <row r="712" spans="4:4" ht="15.75" customHeight="1">
      <c r="D712" s="684"/>
    </row>
    <row r="713" spans="4:4" ht="15.75" customHeight="1">
      <c r="D713" s="684"/>
    </row>
    <row r="714" spans="4:4" ht="15.75" customHeight="1">
      <c r="D714" s="684"/>
    </row>
    <row r="715" spans="4:4" ht="15.75" customHeight="1">
      <c r="D715" s="684"/>
    </row>
    <row r="716" spans="4:4" ht="15.75" customHeight="1">
      <c r="D716" s="684"/>
    </row>
    <row r="717" spans="4:4" ht="15.75" customHeight="1">
      <c r="D717" s="684"/>
    </row>
    <row r="718" spans="4:4" ht="15.75" customHeight="1">
      <c r="D718" s="684"/>
    </row>
    <row r="719" spans="4:4" ht="15.75" customHeight="1">
      <c r="D719" s="684"/>
    </row>
    <row r="720" spans="4:4" ht="15.75" customHeight="1">
      <c r="D720" s="684"/>
    </row>
    <row r="721" spans="4:4" ht="15.75" customHeight="1">
      <c r="D721" s="684"/>
    </row>
    <row r="722" spans="4:4" ht="15.75" customHeight="1">
      <c r="D722" s="684"/>
    </row>
    <row r="723" spans="4:4" ht="15.75" customHeight="1">
      <c r="D723" s="684"/>
    </row>
    <row r="724" spans="4:4" ht="15.75" customHeight="1">
      <c r="D724" s="684"/>
    </row>
    <row r="725" spans="4:4" ht="15.75" customHeight="1">
      <c r="D725" s="684"/>
    </row>
    <row r="726" spans="4:4" ht="15.75" customHeight="1">
      <c r="D726" s="684"/>
    </row>
    <row r="727" spans="4:4" ht="15.75" customHeight="1">
      <c r="D727" s="684"/>
    </row>
    <row r="728" spans="4:4" ht="15.75" customHeight="1">
      <c r="D728" s="684"/>
    </row>
    <row r="729" spans="4:4" ht="15.75" customHeight="1">
      <c r="D729" s="684"/>
    </row>
    <row r="730" spans="4:4" ht="15.75" customHeight="1">
      <c r="D730" s="684"/>
    </row>
    <row r="731" spans="4:4" ht="15.75" customHeight="1">
      <c r="D731" s="684"/>
    </row>
    <row r="732" spans="4:4" ht="15.75" customHeight="1">
      <c r="D732" s="684"/>
    </row>
    <row r="733" spans="4:4" ht="15.75" customHeight="1">
      <c r="D733" s="684"/>
    </row>
    <row r="734" spans="4:4" ht="15.75" customHeight="1">
      <c r="D734" s="684"/>
    </row>
    <row r="735" spans="4:4" ht="15.75" customHeight="1">
      <c r="D735" s="684"/>
    </row>
    <row r="736" spans="4:4" ht="15.75" customHeight="1">
      <c r="D736" s="684"/>
    </row>
    <row r="737" spans="4:4" ht="15.75" customHeight="1">
      <c r="D737" s="684"/>
    </row>
    <row r="738" spans="4:4" ht="15.75" customHeight="1">
      <c r="D738" s="684"/>
    </row>
    <row r="739" spans="4:4" ht="15.75" customHeight="1">
      <c r="D739" s="684"/>
    </row>
    <row r="740" spans="4:4" ht="15.75" customHeight="1">
      <c r="D740" s="684"/>
    </row>
    <row r="741" spans="4:4" ht="15.75" customHeight="1">
      <c r="D741" s="684"/>
    </row>
    <row r="742" spans="4:4" ht="15.75" customHeight="1">
      <c r="D742" s="684"/>
    </row>
    <row r="743" spans="4:4" ht="15.75" customHeight="1">
      <c r="D743" s="684"/>
    </row>
    <row r="744" spans="4:4" ht="15.75" customHeight="1">
      <c r="D744" s="684"/>
    </row>
    <row r="745" spans="4:4" ht="15.75" customHeight="1">
      <c r="D745" s="684"/>
    </row>
    <row r="746" spans="4:4" ht="15.75" customHeight="1">
      <c r="D746" s="684"/>
    </row>
    <row r="747" spans="4:4" ht="15.75" customHeight="1">
      <c r="D747" s="684"/>
    </row>
    <row r="748" spans="4:4" ht="15.75" customHeight="1">
      <c r="D748" s="684"/>
    </row>
    <row r="749" spans="4:4" ht="15.75" customHeight="1">
      <c r="D749" s="684"/>
    </row>
    <row r="750" spans="4:4" ht="15.75" customHeight="1">
      <c r="D750" s="684"/>
    </row>
    <row r="751" spans="4:4" ht="15.75" customHeight="1">
      <c r="D751" s="684"/>
    </row>
    <row r="752" spans="4:4" ht="15.75" customHeight="1">
      <c r="D752" s="684"/>
    </row>
    <row r="753" spans="4:4" ht="15.75" customHeight="1">
      <c r="D753" s="684"/>
    </row>
    <row r="754" spans="4:4" ht="15.75" customHeight="1">
      <c r="D754" s="684"/>
    </row>
    <row r="755" spans="4:4" ht="15.75" customHeight="1">
      <c r="D755" s="684"/>
    </row>
    <row r="756" spans="4:4" ht="15.75" customHeight="1">
      <c r="D756" s="684"/>
    </row>
    <row r="757" spans="4:4" ht="15.75" customHeight="1">
      <c r="D757" s="684"/>
    </row>
    <row r="758" spans="4:4" ht="15.75" customHeight="1">
      <c r="D758" s="684"/>
    </row>
    <row r="759" spans="4:4" ht="15.75" customHeight="1">
      <c r="D759" s="684"/>
    </row>
    <row r="760" spans="4:4" ht="15.75" customHeight="1">
      <c r="D760" s="684"/>
    </row>
    <row r="761" spans="4:4" ht="15.75" customHeight="1">
      <c r="D761" s="684"/>
    </row>
    <row r="762" spans="4:4" ht="15.75" customHeight="1">
      <c r="D762" s="684"/>
    </row>
    <row r="763" spans="4:4" ht="15.75" customHeight="1">
      <c r="D763" s="684"/>
    </row>
    <row r="764" spans="4:4" ht="15.75" customHeight="1">
      <c r="D764" s="684"/>
    </row>
    <row r="765" spans="4:4" ht="15.75" customHeight="1">
      <c r="D765" s="684"/>
    </row>
    <row r="766" spans="4:4" ht="15.75" customHeight="1">
      <c r="D766" s="684"/>
    </row>
    <row r="767" spans="4:4" ht="15.75" customHeight="1">
      <c r="D767" s="684"/>
    </row>
    <row r="768" spans="4:4" ht="15.75" customHeight="1">
      <c r="D768" s="684"/>
    </row>
    <row r="769" spans="4:4" ht="15.75" customHeight="1">
      <c r="D769" s="684"/>
    </row>
    <row r="770" spans="4:4" ht="15.75" customHeight="1">
      <c r="D770" s="684"/>
    </row>
    <row r="771" spans="4:4" ht="15.75" customHeight="1">
      <c r="D771" s="684"/>
    </row>
    <row r="772" spans="4:4" ht="15.75" customHeight="1">
      <c r="D772" s="684"/>
    </row>
    <row r="773" spans="4:4" ht="15.75" customHeight="1">
      <c r="D773" s="684"/>
    </row>
    <row r="774" spans="4:4" ht="15.75" customHeight="1">
      <c r="D774" s="684"/>
    </row>
    <row r="775" spans="4:4" ht="15.75" customHeight="1">
      <c r="D775" s="684"/>
    </row>
    <row r="776" spans="4:4" ht="15.75" customHeight="1">
      <c r="D776" s="684"/>
    </row>
    <row r="777" spans="4:4" ht="15.75" customHeight="1">
      <c r="D777" s="684"/>
    </row>
    <row r="778" spans="4:4" ht="15.75" customHeight="1">
      <c r="D778" s="684"/>
    </row>
    <row r="779" spans="4:4" ht="15.75" customHeight="1">
      <c r="D779" s="684"/>
    </row>
    <row r="780" spans="4:4" ht="15.75" customHeight="1">
      <c r="D780" s="684"/>
    </row>
    <row r="781" spans="4:4" ht="15.75" customHeight="1">
      <c r="D781" s="684"/>
    </row>
    <row r="782" spans="4:4" ht="15.75" customHeight="1">
      <c r="D782" s="684"/>
    </row>
    <row r="783" spans="4:4" ht="15.75" customHeight="1">
      <c r="D783" s="684"/>
    </row>
    <row r="784" spans="4:4" ht="15.75" customHeight="1">
      <c r="D784" s="684"/>
    </row>
    <row r="785" spans="4:4" ht="15.75" customHeight="1">
      <c r="D785" s="684"/>
    </row>
    <row r="786" spans="4:4" ht="15.75" customHeight="1">
      <c r="D786" s="684"/>
    </row>
    <row r="787" spans="4:4" ht="15.75" customHeight="1">
      <c r="D787" s="684"/>
    </row>
    <row r="788" spans="4:4" ht="15.75" customHeight="1">
      <c r="D788" s="684"/>
    </row>
    <row r="789" spans="4:4" ht="15.75" customHeight="1">
      <c r="D789" s="684"/>
    </row>
    <row r="790" spans="4:4" ht="15.75" customHeight="1">
      <c r="D790" s="684"/>
    </row>
    <row r="791" spans="4:4" ht="15.75" customHeight="1">
      <c r="D791" s="684"/>
    </row>
    <row r="792" spans="4:4" ht="15.75" customHeight="1">
      <c r="D792" s="684"/>
    </row>
    <row r="793" spans="4:4" ht="15.75" customHeight="1">
      <c r="D793" s="684"/>
    </row>
    <row r="794" spans="4:4" ht="15.75" customHeight="1">
      <c r="D794" s="684"/>
    </row>
    <row r="795" spans="4:4" ht="15.75" customHeight="1">
      <c r="D795" s="684"/>
    </row>
    <row r="796" spans="4:4" ht="15.75" customHeight="1">
      <c r="D796" s="684"/>
    </row>
    <row r="797" spans="4:4" ht="15.75" customHeight="1">
      <c r="D797" s="684"/>
    </row>
    <row r="798" spans="4:4" ht="15.75" customHeight="1">
      <c r="D798" s="684"/>
    </row>
    <row r="799" spans="4:4" ht="15.75" customHeight="1">
      <c r="D799" s="684"/>
    </row>
    <row r="800" spans="4:4" ht="15.75" customHeight="1">
      <c r="D800" s="684"/>
    </row>
    <row r="801" spans="4:4" ht="15.75" customHeight="1">
      <c r="D801" s="684"/>
    </row>
    <row r="802" spans="4:4" ht="15.75" customHeight="1">
      <c r="D802" s="684"/>
    </row>
    <row r="803" spans="4:4" ht="15.75" customHeight="1">
      <c r="D803" s="684"/>
    </row>
    <row r="804" spans="4:4" ht="15.75" customHeight="1">
      <c r="D804" s="684"/>
    </row>
    <row r="805" spans="4:4" ht="15.75" customHeight="1">
      <c r="D805" s="684"/>
    </row>
    <row r="806" spans="4:4" ht="15.75" customHeight="1">
      <c r="D806" s="684"/>
    </row>
    <row r="807" spans="4:4" ht="15.75" customHeight="1">
      <c r="D807" s="684"/>
    </row>
    <row r="808" spans="4:4" ht="15.75" customHeight="1">
      <c r="D808" s="684"/>
    </row>
    <row r="809" spans="4:4" ht="15.75" customHeight="1">
      <c r="D809" s="684"/>
    </row>
    <row r="810" spans="4:4" ht="15.75" customHeight="1">
      <c r="D810" s="684"/>
    </row>
    <row r="811" spans="4:4" ht="15.75" customHeight="1">
      <c r="D811" s="684"/>
    </row>
    <row r="812" spans="4:4" ht="15.75" customHeight="1">
      <c r="D812" s="684"/>
    </row>
    <row r="813" spans="4:4" ht="15.75" customHeight="1">
      <c r="D813" s="684"/>
    </row>
    <row r="814" spans="4:4" ht="15.75" customHeight="1">
      <c r="D814" s="684"/>
    </row>
    <row r="815" spans="4:4" ht="15.75" customHeight="1">
      <c r="D815" s="684"/>
    </row>
    <row r="816" spans="4:4" ht="15.75" customHeight="1">
      <c r="D816" s="684"/>
    </row>
    <row r="817" spans="4:4" ht="15.75" customHeight="1">
      <c r="D817" s="684"/>
    </row>
    <row r="818" spans="4:4" ht="15.75" customHeight="1">
      <c r="D818" s="684"/>
    </row>
    <row r="819" spans="4:4" ht="15.75" customHeight="1">
      <c r="D819" s="684"/>
    </row>
    <row r="820" spans="4:4" ht="15.75" customHeight="1">
      <c r="D820" s="684"/>
    </row>
    <row r="821" spans="4:4" ht="15.75" customHeight="1">
      <c r="D821" s="684"/>
    </row>
    <row r="822" spans="4:4" ht="15.75" customHeight="1">
      <c r="D822" s="684"/>
    </row>
    <row r="823" spans="4:4" ht="15.75" customHeight="1">
      <c r="D823" s="684"/>
    </row>
    <row r="824" spans="4:4" ht="15.75" customHeight="1">
      <c r="D824" s="684"/>
    </row>
    <row r="825" spans="4:4" ht="15.75" customHeight="1">
      <c r="D825" s="684"/>
    </row>
    <row r="826" spans="4:4" ht="15.75" customHeight="1">
      <c r="D826" s="684"/>
    </row>
    <row r="827" spans="4:4" ht="15.75" customHeight="1">
      <c r="D827" s="684"/>
    </row>
    <row r="828" spans="4:4" ht="15.75" customHeight="1">
      <c r="D828" s="684"/>
    </row>
    <row r="829" spans="4:4" ht="15.75" customHeight="1">
      <c r="D829" s="684"/>
    </row>
    <row r="830" spans="4:4" ht="15.75" customHeight="1">
      <c r="D830" s="684"/>
    </row>
    <row r="831" spans="4:4" ht="15.75" customHeight="1">
      <c r="D831" s="684"/>
    </row>
    <row r="832" spans="4:4" ht="15.75" customHeight="1">
      <c r="D832" s="684"/>
    </row>
    <row r="833" spans="4:4" ht="15.75" customHeight="1">
      <c r="D833" s="684"/>
    </row>
    <row r="834" spans="4:4" ht="15.75" customHeight="1">
      <c r="D834" s="684"/>
    </row>
    <row r="835" spans="4:4" ht="15.75" customHeight="1">
      <c r="D835" s="684"/>
    </row>
    <row r="836" spans="4:4" ht="15.75" customHeight="1">
      <c r="D836" s="684"/>
    </row>
    <row r="837" spans="4:4" ht="15.75" customHeight="1">
      <c r="D837" s="684"/>
    </row>
    <row r="838" spans="4:4" ht="15.75" customHeight="1">
      <c r="D838" s="684"/>
    </row>
    <row r="839" spans="4:4" ht="15.75" customHeight="1">
      <c r="D839" s="684"/>
    </row>
    <row r="840" spans="4:4" ht="15.75" customHeight="1">
      <c r="D840" s="684"/>
    </row>
    <row r="841" spans="4:4" ht="15.75" customHeight="1">
      <c r="D841" s="684"/>
    </row>
    <row r="842" spans="4:4" ht="15.75" customHeight="1">
      <c r="D842" s="684"/>
    </row>
    <row r="843" spans="4:4" ht="15.75" customHeight="1">
      <c r="D843" s="684"/>
    </row>
    <row r="844" spans="4:4" ht="15.75" customHeight="1">
      <c r="D844" s="684"/>
    </row>
    <row r="845" spans="4:4" ht="15.75" customHeight="1">
      <c r="D845" s="684"/>
    </row>
    <row r="846" spans="4:4" ht="15.75" customHeight="1">
      <c r="D846" s="684"/>
    </row>
    <row r="847" spans="4:4" ht="15.75" customHeight="1">
      <c r="D847" s="684"/>
    </row>
    <row r="848" spans="4:4" ht="15.75" customHeight="1">
      <c r="D848" s="684"/>
    </row>
    <row r="849" spans="4:4" ht="15.75" customHeight="1">
      <c r="D849" s="684"/>
    </row>
    <row r="850" spans="4:4" ht="15.75" customHeight="1">
      <c r="D850" s="684"/>
    </row>
    <row r="851" spans="4:4" ht="15.75" customHeight="1">
      <c r="D851" s="684"/>
    </row>
    <row r="852" spans="4:4" ht="15.75" customHeight="1">
      <c r="D852" s="684"/>
    </row>
    <row r="853" spans="4:4" ht="15.75" customHeight="1">
      <c r="D853" s="684"/>
    </row>
    <row r="854" spans="4:4" ht="15.75" customHeight="1">
      <c r="D854" s="684"/>
    </row>
    <row r="855" spans="4:4" ht="15.75" customHeight="1">
      <c r="D855" s="684"/>
    </row>
    <row r="856" spans="4:4" ht="15.75" customHeight="1">
      <c r="D856" s="684"/>
    </row>
    <row r="857" spans="4:4" ht="15.75" customHeight="1">
      <c r="D857" s="684"/>
    </row>
    <row r="858" spans="4:4" ht="15.75" customHeight="1">
      <c r="D858" s="684"/>
    </row>
    <row r="859" spans="4:4" ht="15.75" customHeight="1">
      <c r="D859" s="684"/>
    </row>
    <row r="860" spans="4:4" ht="15.75" customHeight="1">
      <c r="D860" s="684"/>
    </row>
    <row r="861" spans="4:4" ht="15.75" customHeight="1">
      <c r="D861" s="684"/>
    </row>
    <row r="862" spans="4:4" ht="15.75" customHeight="1">
      <c r="D862" s="684"/>
    </row>
    <row r="863" spans="4:4" ht="15.75" customHeight="1">
      <c r="D863" s="684"/>
    </row>
    <row r="864" spans="4:4" ht="15.75" customHeight="1">
      <c r="D864" s="684"/>
    </row>
    <row r="865" spans="4:4" ht="15.75" customHeight="1">
      <c r="D865" s="684"/>
    </row>
    <row r="866" spans="4:4" ht="15.75" customHeight="1">
      <c r="D866" s="684"/>
    </row>
    <row r="867" spans="4:4" ht="15.75" customHeight="1">
      <c r="D867" s="684"/>
    </row>
    <row r="868" spans="4:4" ht="15.75" customHeight="1">
      <c r="D868" s="684"/>
    </row>
    <row r="869" spans="4:4" ht="15.75" customHeight="1">
      <c r="D869" s="684"/>
    </row>
    <row r="870" spans="4:4" ht="15.75" customHeight="1">
      <c r="D870" s="684"/>
    </row>
    <row r="871" spans="4:4" ht="15.75" customHeight="1">
      <c r="D871" s="684"/>
    </row>
    <row r="872" spans="4:4" ht="15.75" customHeight="1">
      <c r="D872" s="684"/>
    </row>
    <row r="873" spans="4:4" ht="15.75" customHeight="1">
      <c r="D873" s="684"/>
    </row>
    <row r="874" spans="4:4" ht="15.75" customHeight="1">
      <c r="D874" s="684"/>
    </row>
    <row r="875" spans="4:4" ht="15.75" customHeight="1">
      <c r="D875" s="684"/>
    </row>
    <row r="876" spans="4:4" ht="15.75" customHeight="1">
      <c r="D876" s="684"/>
    </row>
    <row r="877" spans="4:4" ht="15.75" customHeight="1">
      <c r="D877" s="684"/>
    </row>
    <row r="878" spans="4:4" ht="15.75" customHeight="1">
      <c r="D878" s="684"/>
    </row>
    <row r="879" spans="4:4" ht="15.75" customHeight="1">
      <c r="D879" s="684"/>
    </row>
    <row r="880" spans="4:4" ht="15.75" customHeight="1">
      <c r="D880" s="684"/>
    </row>
    <row r="881" spans="4:4" ht="15.75" customHeight="1">
      <c r="D881" s="684"/>
    </row>
    <row r="882" spans="4:4" ht="15.75" customHeight="1">
      <c r="D882" s="684"/>
    </row>
    <row r="883" spans="4:4" ht="15.75" customHeight="1">
      <c r="D883" s="684"/>
    </row>
    <row r="884" spans="4:4" ht="15.75" customHeight="1">
      <c r="D884" s="684"/>
    </row>
    <row r="885" spans="4:4" ht="15.75" customHeight="1">
      <c r="D885" s="684"/>
    </row>
    <row r="886" spans="4:4" ht="15.75" customHeight="1">
      <c r="D886" s="684"/>
    </row>
    <row r="887" spans="4:4" ht="15.75" customHeight="1">
      <c r="D887" s="684"/>
    </row>
    <row r="888" spans="4:4" ht="15.75" customHeight="1">
      <c r="D888" s="684"/>
    </row>
    <row r="889" spans="4:4" ht="15.75" customHeight="1">
      <c r="D889" s="684"/>
    </row>
    <row r="890" spans="4:4" ht="15.75" customHeight="1">
      <c r="D890" s="684"/>
    </row>
    <row r="891" spans="4:4" ht="15.75" customHeight="1">
      <c r="D891" s="684"/>
    </row>
    <row r="892" spans="4:4" ht="15.75" customHeight="1">
      <c r="D892" s="684"/>
    </row>
    <row r="893" spans="4:4" ht="15.75" customHeight="1">
      <c r="D893" s="684"/>
    </row>
    <row r="894" spans="4:4" ht="15.75" customHeight="1">
      <c r="D894" s="684"/>
    </row>
    <row r="895" spans="4:4" ht="15.75" customHeight="1">
      <c r="D895" s="684"/>
    </row>
    <row r="896" spans="4:4" ht="15.75" customHeight="1">
      <c r="D896" s="684"/>
    </row>
    <row r="897" spans="4:4" ht="15.75" customHeight="1">
      <c r="D897" s="684"/>
    </row>
    <row r="898" spans="4:4" ht="15.75" customHeight="1">
      <c r="D898" s="684"/>
    </row>
    <row r="899" spans="4:4" ht="15.75" customHeight="1">
      <c r="D899" s="684"/>
    </row>
    <row r="900" spans="4:4" ht="15.75" customHeight="1">
      <c r="D900" s="684"/>
    </row>
    <row r="901" spans="4:4" ht="15.75" customHeight="1">
      <c r="D901" s="684"/>
    </row>
    <row r="902" spans="4:4" ht="15.75" customHeight="1">
      <c r="D902" s="684"/>
    </row>
    <row r="903" spans="4:4" ht="15.75" customHeight="1">
      <c r="D903" s="684"/>
    </row>
    <row r="904" spans="4:4" ht="15.75" customHeight="1">
      <c r="D904" s="684"/>
    </row>
    <row r="905" spans="4:4" ht="15.75" customHeight="1">
      <c r="D905" s="684"/>
    </row>
    <row r="906" spans="4:4" ht="15.75" customHeight="1">
      <c r="D906" s="684"/>
    </row>
    <row r="907" spans="4:4" ht="15.75" customHeight="1">
      <c r="D907" s="684"/>
    </row>
    <row r="908" spans="4:4" ht="15.75" customHeight="1">
      <c r="D908" s="684"/>
    </row>
    <row r="909" spans="4:4" ht="15.75" customHeight="1">
      <c r="D909" s="684"/>
    </row>
    <row r="910" spans="4:4" ht="15.75" customHeight="1">
      <c r="D910" s="684"/>
    </row>
    <row r="911" spans="4:4" ht="15.75" customHeight="1">
      <c r="D911" s="684"/>
    </row>
    <row r="912" spans="4:4" ht="15.75" customHeight="1">
      <c r="D912" s="684"/>
    </row>
    <row r="913" spans="4:4" ht="15.75" customHeight="1">
      <c r="D913" s="684"/>
    </row>
    <row r="914" spans="4:4" ht="15.75" customHeight="1">
      <c r="D914" s="684"/>
    </row>
    <row r="915" spans="4:4" ht="15.75" customHeight="1">
      <c r="D915" s="684"/>
    </row>
    <row r="916" spans="4:4" ht="15.75" customHeight="1">
      <c r="D916" s="684"/>
    </row>
    <row r="917" spans="4:4" ht="15.75" customHeight="1">
      <c r="D917" s="684"/>
    </row>
    <row r="918" spans="4:4" ht="15.75" customHeight="1">
      <c r="D918" s="684"/>
    </row>
    <row r="919" spans="4:4" ht="15.75" customHeight="1">
      <c r="D919" s="684"/>
    </row>
    <row r="920" spans="4:4" ht="15.75" customHeight="1">
      <c r="D920" s="684"/>
    </row>
    <row r="921" spans="4:4" ht="15.75" customHeight="1">
      <c r="D921" s="684"/>
    </row>
    <row r="922" spans="4:4" ht="15.75" customHeight="1">
      <c r="D922" s="684"/>
    </row>
    <row r="923" spans="4:4" ht="15.75" customHeight="1">
      <c r="D923" s="684"/>
    </row>
    <row r="924" spans="4:4" ht="15.75" customHeight="1">
      <c r="D924" s="684"/>
    </row>
    <row r="925" spans="4:4" ht="15.75" customHeight="1">
      <c r="D925" s="684"/>
    </row>
    <row r="926" spans="4:4" ht="15.75" customHeight="1">
      <c r="D926" s="684"/>
    </row>
    <row r="927" spans="4:4" ht="15.75" customHeight="1">
      <c r="D927" s="684"/>
    </row>
    <row r="928" spans="4:4" ht="15.75" customHeight="1">
      <c r="D928" s="684"/>
    </row>
    <row r="929" spans="4:4" ht="15.75" customHeight="1">
      <c r="D929" s="684"/>
    </row>
    <row r="930" spans="4:4" ht="15.75" customHeight="1">
      <c r="D930" s="684"/>
    </row>
    <row r="931" spans="4:4" ht="15.75" customHeight="1">
      <c r="D931" s="684"/>
    </row>
    <row r="932" spans="4:4" ht="15.75" customHeight="1">
      <c r="D932" s="684"/>
    </row>
    <row r="933" spans="4:4" ht="15.75" customHeight="1">
      <c r="D933" s="684"/>
    </row>
    <row r="934" spans="4:4" ht="15.75" customHeight="1">
      <c r="D934" s="684"/>
    </row>
    <row r="935" spans="4:4" ht="15.75" customHeight="1">
      <c r="D935" s="684"/>
    </row>
    <row r="936" spans="4:4" ht="15.75" customHeight="1">
      <c r="D936" s="684"/>
    </row>
    <row r="937" spans="4:4" ht="15.75" customHeight="1">
      <c r="D937" s="684"/>
    </row>
    <row r="938" spans="4:4" ht="15.75" customHeight="1">
      <c r="D938" s="684"/>
    </row>
    <row r="939" spans="4:4" ht="15.75" customHeight="1">
      <c r="D939" s="684"/>
    </row>
    <row r="940" spans="4:4" ht="15.75" customHeight="1">
      <c r="D940" s="684"/>
    </row>
    <row r="941" spans="4:4" ht="15.75" customHeight="1">
      <c r="D941" s="684"/>
    </row>
    <row r="942" spans="4:4" ht="15.75" customHeight="1">
      <c r="D942" s="684"/>
    </row>
    <row r="943" spans="4:4" ht="15.75" customHeight="1">
      <c r="D943" s="684"/>
    </row>
    <row r="944" spans="4:4" ht="15.75" customHeight="1">
      <c r="D944" s="684"/>
    </row>
    <row r="945" spans="4:4" ht="15.75" customHeight="1">
      <c r="D945" s="684"/>
    </row>
    <row r="946" spans="4:4" ht="15.75" customHeight="1">
      <c r="D946" s="684"/>
    </row>
    <row r="947" spans="4:4" ht="15.75" customHeight="1">
      <c r="D947" s="684"/>
    </row>
    <row r="948" spans="4:4" ht="15.75" customHeight="1">
      <c r="D948" s="684"/>
    </row>
    <row r="949" spans="4:4" ht="15.75" customHeight="1">
      <c r="D949" s="684"/>
    </row>
    <row r="950" spans="4:4" ht="15.75" customHeight="1">
      <c r="D950" s="684"/>
    </row>
    <row r="951" spans="4:4" ht="15.75" customHeight="1">
      <c r="D951" s="684"/>
    </row>
    <row r="952" spans="4:4" ht="15.75" customHeight="1">
      <c r="D952" s="684"/>
    </row>
    <row r="953" spans="4:4" ht="15.75" customHeight="1">
      <c r="D953" s="684"/>
    </row>
    <row r="954" spans="4:4" ht="15.75" customHeight="1">
      <c r="D954" s="684"/>
    </row>
    <row r="955" spans="4:4" ht="15.75" customHeight="1">
      <c r="D955" s="684"/>
    </row>
    <row r="956" spans="4:4" ht="15.75" customHeight="1">
      <c r="D956" s="684"/>
    </row>
    <row r="957" spans="4:4" ht="15.75" customHeight="1">
      <c r="D957" s="684"/>
    </row>
    <row r="958" spans="4:4" ht="15.75" customHeight="1">
      <c r="D958" s="684"/>
    </row>
    <row r="959" spans="4:4" ht="15.75" customHeight="1">
      <c r="D959" s="684"/>
    </row>
    <row r="960" spans="4:4" ht="15.75" customHeight="1">
      <c r="D960" s="684"/>
    </row>
    <row r="961" spans="4:4" ht="15.75" customHeight="1">
      <c r="D961" s="684"/>
    </row>
    <row r="962" spans="4:4" ht="15.75" customHeight="1">
      <c r="D962" s="684"/>
    </row>
    <row r="963" spans="4:4" ht="15.75" customHeight="1">
      <c r="D963" s="684"/>
    </row>
    <row r="964" spans="4:4" ht="15.75" customHeight="1">
      <c r="D964" s="684"/>
    </row>
    <row r="965" spans="4:4" ht="15.75" customHeight="1">
      <c r="D965" s="684"/>
    </row>
    <row r="966" spans="4:4" ht="15.75" customHeight="1">
      <c r="D966" s="684"/>
    </row>
    <row r="967" spans="4:4" ht="15.75" customHeight="1">
      <c r="D967" s="684"/>
    </row>
    <row r="968" spans="4:4" ht="15.75" customHeight="1">
      <c r="D968" s="684"/>
    </row>
    <row r="969" spans="4:4" ht="15.75" customHeight="1">
      <c r="D969" s="684"/>
    </row>
    <row r="970" spans="4:4" ht="15.75" customHeight="1">
      <c r="D970" s="684"/>
    </row>
    <row r="971" spans="4:4" ht="15.75" customHeight="1">
      <c r="D971" s="684"/>
    </row>
    <row r="972" spans="4:4" ht="15.75" customHeight="1">
      <c r="D972" s="684"/>
    </row>
    <row r="973" spans="4:4" ht="15.75" customHeight="1">
      <c r="D973" s="684"/>
    </row>
    <row r="974" spans="4:4" ht="15.75" customHeight="1">
      <c r="D974" s="684"/>
    </row>
    <row r="975" spans="4:4" ht="15.75" customHeight="1">
      <c r="D975" s="684"/>
    </row>
    <row r="976" spans="4:4" ht="15.75" customHeight="1">
      <c r="D976" s="684"/>
    </row>
    <row r="977" spans="4:4" ht="15.75" customHeight="1">
      <c r="D977" s="684"/>
    </row>
    <row r="978" spans="4:4" ht="15.75" customHeight="1">
      <c r="D978" s="684"/>
    </row>
    <row r="979" spans="4:4" ht="15.75" customHeight="1">
      <c r="D979" s="684"/>
    </row>
    <row r="980" spans="4:4" ht="15.75" customHeight="1">
      <c r="D980" s="684"/>
    </row>
    <row r="981" spans="4:4" ht="15.75" customHeight="1">
      <c r="D981" s="684"/>
    </row>
    <row r="982" spans="4:4" ht="15.75" customHeight="1">
      <c r="D982" s="684"/>
    </row>
    <row r="983" spans="4:4" ht="15.75" customHeight="1">
      <c r="D983" s="684"/>
    </row>
    <row r="984" spans="4:4" ht="15.75" customHeight="1">
      <c r="D984" s="684"/>
    </row>
    <row r="985" spans="4:4" ht="15.75" customHeight="1">
      <c r="D985" s="684"/>
    </row>
    <row r="986" spans="4:4" ht="15.75" customHeight="1">
      <c r="D986" s="684"/>
    </row>
    <row r="987" spans="4:4" ht="15.75" customHeight="1">
      <c r="D987" s="684"/>
    </row>
    <row r="988" spans="4:4" ht="15.75" customHeight="1">
      <c r="D988" s="684"/>
    </row>
    <row r="989" spans="4:4" ht="15.75" customHeight="1">
      <c r="D989" s="684"/>
    </row>
    <row r="990" spans="4:4" ht="15.75" customHeight="1">
      <c r="D990" s="684"/>
    </row>
    <row r="991" spans="4:4" ht="15.75" customHeight="1">
      <c r="D991" s="684"/>
    </row>
    <row r="992" spans="4:4" ht="15.75" customHeight="1">
      <c r="D992" s="684"/>
    </row>
    <row r="993" spans="4:4" ht="15.75" customHeight="1">
      <c r="D993" s="684"/>
    </row>
    <row r="994" spans="4:4" ht="15.75" customHeight="1">
      <c r="D994" s="684"/>
    </row>
    <row r="995" spans="4:4" ht="15.75" customHeight="1">
      <c r="D995" s="684"/>
    </row>
    <row r="996" spans="4:4" ht="15.75" customHeight="1">
      <c r="D996" s="684"/>
    </row>
    <row r="997" spans="4:4" ht="15.75" customHeight="1">
      <c r="D997" s="684"/>
    </row>
    <row r="998" spans="4:4" ht="15.75" customHeight="1">
      <c r="D998" s="684"/>
    </row>
    <row r="999" spans="4:4" ht="15.75" customHeight="1">
      <c r="D999" s="684"/>
    </row>
    <row r="1000" spans="4:4" ht="15.75" customHeight="1">
      <c r="D1000" s="684"/>
    </row>
  </sheetData>
  <autoFilter ref="A1:M219"/>
  <mergeCells count="2">
    <mergeCell ref="B237:B238"/>
    <mergeCell ref="B245:B246"/>
  </mergeCells>
  <hyperlinks>
    <hyperlink ref="M14" r:id="rId1"/>
    <hyperlink ref="M32" r:id="rId2"/>
    <hyperlink ref="M33" r:id="rId3"/>
    <hyperlink ref="C59" r:id="rId4"/>
    <hyperlink ref="M289" r:id="rId5"/>
    <hyperlink ref="M298" r:id="rId6"/>
    <hyperlink ref="M314" r:id="rId7"/>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96"/>
  <sheetViews>
    <sheetView workbookViewId="0"/>
  </sheetViews>
  <sheetFormatPr baseColWidth="10" defaultColWidth="11.21875" defaultRowHeight="15" customHeight="1"/>
  <cols>
    <col min="1" max="6" width="10.5546875" customWidth="1"/>
  </cols>
  <sheetData>
    <row r="1" spans="1:2" ht="17.25" customHeight="1">
      <c r="A1" s="685">
        <v>45292</v>
      </c>
      <c r="B1" s="228" t="s">
        <v>1673</v>
      </c>
    </row>
    <row r="2" spans="1:2" ht="17.25" customHeight="1">
      <c r="A2" s="685">
        <v>45299</v>
      </c>
      <c r="B2" s="228" t="s">
        <v>1674</v>
      </c>
    </row>
    <row r="3" spans="1:2" ht="17.25" customHeight="1">
      <c r="A3" s="685">
        <v>45376</v>
      </c>
      <c r="B3" s="228" t="s">
        <v>1675</v>
      </c>
    </row>
    <row r="4" spans="1:2" ht="17.25" customHeight="1">
      <c r="A4" s="685">
        <v>45379</v>
      </c>
      <c r="B4" s="228" t="s">
        <v>1676</v>
      </c>
    </row>
    <row r="5" spans="1:2" ht="17.25" customHeight="1">
      <c r="A5" s="685">
        <v>45380</v>
      </c>
      <c r="B5" s="228" t="s">
        <v>1677</v>
      </c>
    </row>
    <row r="6" spans="1:2" ht="17.25" customHeight="1">
      <c r="A6" s="685">
        <v>45413</v>
      </c>
      <c r="B6" s="228" t="s">
        <v>1678</v>
      </c>
    </row>
    <row r="7" spans="1:2" ht="17.25" customHeight="1">
      <c r="A7" s="685">
        <v>45425</v>
      </c>
      <c r="B7" s="228" t="s">
        <v>1679</v>
      </c>
    </row>
    <row r="8" spans="1:2" ht="17.25" customHeight="1">
      <c r="A8" s="685">
        <v>45446</v>
      </c>
      <c r="B8" s="228" t="s">
        <v>1680</v>
      </c>
    </row>
    <row r="9" spans="1:2" ht="17.25" customHeight="1">
      <c r="A9" s="685">
        <v>45453</v>
      </c>
      <c r="B9" s="228" t="s">
        <v>1681</v>
      </c>
    </row>
    <row r="10" spans="1:2" ht="17.25" customHeight="1">
      <c r="A10" s="685">
        <v>45474</v>
      </c>
      <c r="B10" s="228" t="s">
        <v>1682</v>
      </c>
    </row>
    <row r="11" spans="1:2" ht="17.25" customHeight="1">
      <c r="A11" s="685">
        <v>45493</v>
      </c>
      <c r="B11" s="228" t="s">
        <v>1683</v>
      </c>
    </row>
    <row r="12" spans="1:2" ht="17.25" customHeight="1">
      <c r="A12" s="685">
        <v>45511</v>
      </c>
      <c r="B12" s="228" t="s">
        <v>1684</v>
      </c>
    </row>
    <row r="13" spans="1:2" ht="17.25" customHeight="1">
      <c r="A13" s="685">
        <v>45523</v>
      </c>
      <c r="B13" s="228" t="s">
        <v>1685</v>
      </c>
    </row>
    <row r="14" spans="1:2" ht="17.25" customHeight="1">
      <c r="A14" s="685">
        <v>45579</v>
      </c>
      <c r="B14" s="228" t="s">
        <v>1686</v>
      </c>
    </row>
    <row r="15" spans="1:2" ht="17.25" customHeight="1">
      <c r="A15" s="685">
        <v>45600</v>
      </c>
      <c r="B15" s="228" t="s">
        <v>1687</v>
      </c>
    </row>
    <row r="16" spans="1:2" ht="17.25" customHeight="1">
      <c r="A16" s="685">
        <v>45607</v>
      </c>
      <c r="B16" s="228" t="s">
        <v>1688</v>
      </c>
    </row>
    <row r="17" spans="1:2" ht="17.25" customHeight="1">
      <c r="A17" s="685">
        <v>45634</v>
      </c>
      <c r="B17" s="228" t="s">
        <v>1689</v>
      </c>
    </row>
    <row r="18" spans="1:2">
      <c r="A18" s="685">
        <v>45651</v>
      </c>
      <c r="B18" s="228" t="s">
        <v>1690</v>
      </c>
    </row>
    <row r="19" spans="1:2" ht="17.25" customHeight="1">
      <c r="A19" s="685">
        <v>45658</v>
      </c>
      <c r="B19" s="686" t="s">
        <v>1691</v>
      </c>
    </row>
    <row r="20" spans="1:2" ht="17.25" customHeight="1">
      <c r="A20" s="685">
        <v>45663</v>
      </c>
      <c r="B20" s="686" t="s">
        <v>1692</v>
      </c>
    </row>
    <row r="21" spans="1:2" ht="17.25" customHeight="1">
      <c r="A21" s="685">
        <v>45740</v>
      </c>
      <c r="B21" s="686" t="s">
        <v>1693</v>
      </c>
    </row>
    <row r="22" spans="1:2" ht="17.25" customHeight="1">
      <c r="A22" s="685">
        <v>45764</v>
      </c>
      <c r="B22" s="686" t="s">
        <v>1694</v>
      </c>
    </row>
    <row r="23" spans="1:2" ht="17.25" customHeight="1">
      <c r="A23" s="685">
        <v>45765</v>
      </c>
      <c r="B23" s="686" t="s">
        <v>1695</v>
      </c>
    </row>
    <row r="24" spans="1:2" ht="17.25" customHeight="1">
      <c r="A24" s="685">
        <v>45778</v>
      </c>
      <c r="B24" s="686" t="s">
        <v>1696</v>
      </c>
    </row>
    <row r="25" spans="1:2" ht="17.25" customHeight="1">
      <c r="A25" s="685">
        <v>45810</v>
      </c>
      <c r="B25" s="686" t="s">
        <v>1697</v>
      </c>
    </row>
    <row r="26" spans="1:2" ht="17.25" customHeight="1">
      <c r="A26" s="685">
        <v>45831</v>
      </c>
      <c r="B26" s="686" t="s">
        <v>1698</v>
      </c>
    </row>
    <row r="27" spans="1:2" ht="17.25" customHeight="1">
      <c r="A27" s="685">
        <v>45838</v>
      </c>
      <c r="B27" s="686" t="s">
        <v>1699</v>
      </c>
    </row>
    <row r="28" spans="1:2" ht="17.25" customHeight="1">
      <c r="A28" s="685">
        <v>45858</v>
      </c>
      <c r="B28" s="686" t="s">
        <v>1700</v>
      </c>
    </row>
    <row r="29" spans="1:2" ht="17.25" customHeight="1">
      <c r="A29" s="685">
        <v>45876</v>
      </c>
      <c r="B29" s="686" t="s">
        <v>1701</v>
      </c>
    </row>
    <row r="30" spans="1:2" ht="17.25" customHeight="1">
      <c r="A30" s="685">
        <v>45887</v>
      </c>
      <c r="B30" s="686" t="s">
        <v>1702</v>
      </c>
    </row>
    <row r="31" spans="1:2" ht="17.25" customHeight="1">
      <c r="A31" s="685">
        <v>45943</v>
      </c>
      <c r="B31" s="686" t="s">
        <v>1703</v>
      </c>
    </row>
    <row r="32" spans="1:2" ht="17.25" customHeight="1">
      <c r="A32" s="685">
        <v>45964</v>
      </c>
      <c r="B32" s="686" t="s">
        <v>1704</v>
      </c>
    </row>
    <row r="33" spans="1:2" ht="17.25" customHeight="1">
      <c r="A33" s="685">
        <v>45978</v>
      </c>
      <c r="B33" s="686" t="s">
        <v>1705</v>
      </c>
    </row>
    <row r="34" spans="1:2" ht="17.25" customHeight="1">
      <c r="A34" s="685">
        <v>45999</v>
      </c>
      <c r="B34" s="686" t="s">
        <v>1706</v>
      </c>
    </row>
    <row r="35" spans="1:2" ht="17.25" customHeight="1">
      <c r="A35" s="685">
        <v>46016</v>
      </c>
      <c r="B35" s="686" t="s">
        <v>1707</v>
      </c>
    </row>
    <row r="36" spans="1:2" ht="17.25" customHeight="1">
      <c r="A36" s="687">
        <v>46023</v>
      </c>
      <c r="B36" s="686" t="s">
        <v>1691</v>
      </c>
    </row>
    <row r="37" spans="1:2" ht="17.25" customHeight="1">
      <c r="A37" s="687">
        <v>46034</v>
      </c>
      <c r="B37" s="686" t="s">
        <v>1692</v>
      </c>
    </row>
    <row r="38" spans="1:2" ht="17.25" customHeight="1">
      <c r="A38" s="687">
        <v>46104</v>
      </c>
      <c r="B38" s="686" t="s">
        <v>1693</v>
      </c>
    </row>
    <row r="39" spans="1:2" ht="17.25" customHeight="1">
      <c r="A39" s="687">
        <v>46114</v>
      </c>
      <c r="B39" s="686" t="s">
        <v>1694</v>
      </c>
    </row>
    <row r="40" spans="1:2" ht="17.25" customHeight="1">
      <c r="A40" s="687">
        <v>46115</v>
      </c>
      <c r="B40" s="686" t="s">
        <v>1695</v>
      </c>
    </row>
    <row r="41" spans="1:2" ht="17.25" customHeight="1">
      <c r="A41" s="687">
        <v>46143</v>
      </c>
      <c r="B41" s="686" t="s">
        <v>1696</v>
      </c>
    </row>
    <row r="42" spans="1:2" ht="17.25" customHeight="1">
      <c r="A42" s="687">
        <v>46160</v>
      </c>
      <c r="B42" s="686" t="s">
        <v>1697</v>
      </c>
    </row>
    <row r="43" spans="1:2" ht="17.25" customHeight="1">
      <c r="A43" s="687">
        <v>46181</v>
      </c>
      <c r="B43" s="686" t="s">
        <v>1698</v>
      </c>
    </row>
    <row r="44" spans="1:2" ht="17.25" customHeight="1">
      <c r="A44" s="687">
        <v>46188</v>
      </c>
      <c r="B44" s="686" t="s">
        <v>1708</v>
      </c>
    </row>
    <row r="45" spans="1:2" ht="17.25" customHeight="1">
      <c r="A45" s="687">
        <v>46202</v>
      </c>
      <c r="B45" s="686" t="s">
        <v>1709</v>
      </c>
    </row>
    <row r="46" spans="1:2" ht="17.25" customHeight="1">
      <c r="A46" s="687">
        <v>46223</v>
      </c>
      <c r="B46" s="686" t="s">
        <v>1700</v>
      </c>
    </row>
    <row r="47" spans="1:2" ht="17.25" customHeight="1">
      <c r="A47" s="687">
        <v>46241</v>
      </c>
      <c r="B47" s="686" t="s">
        <v>1701</v>
      </c>
    </row>
    <row r="48" spans="1:2" ht="17.25" customHeight="1">
      <c r="A48" s="687">
        <v>46251</v>
      </c>
      <c r="B48" s="686" t="s">
        <v>1702</v>
      </c>
    </row>
    <row r="49" spans="1:2" ht="17.25" customHeight="1">
      <c r="A49" s="687">
        <v>46307</v>
      </c>
      <c r="B49" s="686" t="s">
        <v>1703</v>
      </c>
    </row>
    <row r="50" spans="1:2" ht="17.25" customHeight="1">
      <c r="A50" s="687">
        <v>46328</v>
      </c>
      <c r="B50" s="686" t="s">
        <v>1704</v>
      </c>
    </row>
    <row r="51" spans="1:2" ht="17.25" customHeight="1">
      <c r="A51" s="687">
        <v>46342</v>
      </c>
      <c r="B51" s="686" t="s">
        <v>1705</v>
      </c>
    </row>
    <row r="52" spans="1:2" ht="17.25" customHeight="1">
      <c r="A52" s="687">
        <v>46364</v>
      </c>
      <c r="B52" s="686" t="s">
        <v>1706</v>
      </c>
    </row>
    <row r="53" spans="1:2" ht="17.25" customHeight="1">
      <c r="A53" s="687">
        <v>46381</v>
      </c>
      <c r="B53" s="686" t="s">
        <v>1707</v>
      </c>
    </row>
    <row r="54" spans="1:2" ht="17.25" customHeight="1"/>
    <row r="55" spans="1:2" ht="17.25" customHeight="1"/>
    <row r="56" spans="1:2" ht="17.25" customHeight="1"/>
    <row r="57" spans="1:2" ht="17.25" customHeight="1"/>
    <row r="58" spans="1:2" ht="17.25" customHeight="1"/>
    <row r="59" spans="1:2" ht="17.25" customHeight="1"/>
    <row r="60" spans="1:2" ht="17.25" customHeight="1"/>
    <row r="61" spans="1:2" ht="17.25" customHeight="1"/>
    <row r="62" spans="1:2" ht="17.25" customHeight="1"/>
    <row r="63" spans="1:2" ht="17.25" customHeight="1"/>
    <row r="64" spans="1:2"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1.21875" defaultRowHeight="15" customHeight="1"/>
  <cols>
    <col min="1" max="1" width="18" customWidth="1"/>
    <col min="2" max="10" width="10.5546875" customWidth="1"/>
    <col min="11" max="12" width="13.5546875" customWidth="1"/>
    <col min="13" max="26" width="10.5546875" customWidth="1"/>
  </cols>
  <sheetData>
    <row r="1" spans="1:97" ht="15.75">
      <c r="A1" s="670" t="s">
        <v>1710</v>
      </c>
      <c r="B1" s="228"/>
      <c r="C1" s="228"/>
      <c r="D1" s="228"/>
      <c r="E1" s="228"/>
      <c r="F1" s="228"/>
      <c r="G1" s="228"/>
      <c r="H1" s="228"/>
      <c r="I1" s="228"/>
      <c r="J1" s="228"/>
      <c r="K1" s="228"/>
      <c r="L1" s="228"/>
      <c r="M1" s="228"/>
      <c r="N1" s="228"/>
      <c r="O1" s="228"/>
      <c r="P1" s="228"/>
      <c r="Q1" s="228"/>
      <c r="R1" s="228"/>
      <c r="S1" s="228"/>
      <c r="T1" s="228"/>
      <c r="U1" s="228"/>
      <c r="V1" s="228"/>
      <c r="W1" s="228"/>
      <c r="X1" s="228"/>
      <c r="Y1" s="228"/>
      <c r="Z1" s="228"/>
    </row>
    <row r="2" spans="1:97">
      <c r="A2" s="228"/>
      <c r="B2" s="228"/>
      <c r="C2" s="228"/>
      <c r="D2" s="228"/>
      <c r="E2" s="228"/>
      <c r="F2" s="228"/>
      <c r="G2" s="228"/>
      <c r="H2" s="228"/>
      <c r="I2" s="228"/>
      <c r="J2" s="228"/>
      <c r="K2" s="228"/>
      <c r="L2" s="228"/>
      <c r="M2" s="228"/>
      <c r="N2" s="228"/>
      <c r="O2" s="228"/>
      <c r="P2" s="228"/>
      <c r="Q2" s="228"/>
      <c r="R2" s="228"/>
      <c r="S2" s="228"/>
      <c r="T2" s="228"/>
      <c r="U2" s="228"/>
      <c r="V2" s="228"/>
      <c r="W2" s="228"/>
      <c r="X2" s="228"/>
      <c r="Y2" s="228"/>
      <c r="Z2" s="228"/>
    </row>
    <row r="3" spans="1:97" ht="32.25" customHeight="1">
      <c r="A3" s="688" t="s">
        <v>1711</v>
      </c>
      <c r="B3" s="689">
        <v>45596</v>
      </c>
      <c r="C3" s="689">
        <v>45597</v>
      </c>
      <c r="D3" s="689">
        <v>45601</v>
      </c>
      <c r="E3" s="689">
        <v>45602</v>
      </c>
      <c r="F3" s="689">
        <v>45603</v>
      </c>
      <c r="G3" s="689">
        <v>45604</v>
      </c>
      <c r="H3" s="689">
        <v>45608</v>
      </c>
      <c r="I3" s="689">
        <v>45609</v>
      </c>
      <c r="J3" s="689">
        <v>45610</v>
      </c>
      <c r="K3" s="689">
        <v>45611</v>
      </c>
      <c r="L3" s="689">
        <v>45614</v>
      </c>
      <c r="M3" s="689">
        <v>45615</v>
      </c>
      <c r="N3" s="689">
        <v>45616</v>
      </c>
      <c r="O3" s="689">
        <v>45617</v>
      </c>
      <c r="P3" s="689">
        <v>45618</v>
      </c>
      <c r="Q3" s="690">
        <v>45621</v>
      </c>
      <c r="R3" s="690">
        <v>45622</v>
      </c>
      <c r="S3" s="690">
        <v>45623</v>
      </c>
      <c r="T3" s="690">
        <v>45624</v>
      </c>
      <c r="U3" s="690">
        <v>45625</v>
      </c>
      <c r="V3" s="690">
        <v>45628</v>
      </c>
      <c r="W3" s="690">
        <v>45629</v>
      </c>
      <c r="X3" s="690">
        <v>45630</v>
      </c>
      <c r="Y3" s="690">
        <v>45631</v>
      </c>
      <c r="Z3" s="690">
        <v>45632</v>
      </c>
      <c r="AA3" s="690">
        <v>45635</v>
      </c>
      <c r="AB3" s="690">
        <v>45636</v>
      </c>
      <c r="AC3" s="690">
        <v>45637</v>
      </c>
      <c r="AD3" s="690">
        <v>45638</v>
      </c>
      <c r="AE3" s="691">
        <v>45639</v>
      </c>
      <c r="AF3" s="689">
        <v>45642</v>
      </c>
      <c r="AG3" s="689">
        <v>45643</v>
      </c>
      <c r="AH3" s="689">
        <v>45644</v>
      </c>
      <c r="AI3" s="689">
        <v>45645</v>
      </c>
      <c r="AJ3" s="689">
        <v>45646</v>
      </c>
      <c r="AK3" s="689">
        <v>45649</v>
      </c>
      <c r="AL3" s="689">
        <v>45650</v>
      </c>
      <c r="AM3" s="689">
        <v>45652</v>
      </c>
      <c r="AN3" s="689">
        <v>45653</v>
      </c>
      <c r="AO3" s="689">
        <v>45656</v>
      </c>
      <c r="AP3" s="689">
        <v>45656</v>
      </c>
      <c r="AQ3" s="689">
        <v>45664</v>
      </c>
      <c r="AR3" s="689">
        <v>45665</v>
      </c>
      <c r="AS3" s="689">
        <v>45666</v>
      </c>
      <c r="AT3" s="689">
        <v>45667</v>
      </c>
      <c r="AU3" s="689">
        <v>45670</v>
      </c>
      <c r="AV3" s="689">
        <v>45671</v>
      </c>
      <c r="AW3" s="689">
        <v>45672</v>
      </c>
      <c r="AX3" s="689">
        <v>45673</v>
      </c>
      <c r="AY3" s="689">
        <v>45674</v>
      </c>
      <c r="AZ3" s="689">
        <v>45677</v>
      </c>
      <c r="BA3" s="689">
        <v>45678</v>
      </c>
      <c r="BB3" s="689">
        <v>45679</v>
      </c>
      <c r="BC3" s="689">
        <v>45680</v>
      </c>
      <c r="BD3" s="689">
        <v>45681</v>
      </c>
      <c r="BE3" s="689">
        <v>45684</v>
      </c>
      <c r="BF3" s="689">
        <v>45685</v>
      </c>
      <c r="BG3" s="689">
        <v>45686</v>
      </c>
      <c r="BH3" s="689">
        <v>45687</v>
      </c>
      <c r="BI3" s="689">
        <v>45688</v>
      </c>
      <c r="BJ3" s="690">
        <v>45691</v>
      </c>
      <c r="BK3" s="690">
        <v>45692</v>
      </c>
      <c r="BL3" s="690">
        <v>45693</v>
      </c>
      <c r="BM3" s="690">
        <v>45694</v>
      </c>
      <c r="BN3" s="690">
        <v>45695</v>
      </c>
      <c r="BO3" s="690">
        <v>45698</v>
      </c>
      <c r="BP3" s="690">
        <v>45699</v>
      </c>
      <c r="BQ3" s="690">
        <v>45700</v>
      </c>
      <c r="BR3" s="690">
        <v>45701</v>
      </c>
      <c r="BS3" s="690">
        <v>45702</v>
      </c>
      <c r="BT3" s="690">
        <v>45705</v>
      </c>
      <c r="BU3" s="690">
        <v>45706</v>
      </c>
      <c r="BV3" s="690">
        <v>45707</v>
      </c>
      <c r="BW3" s="690">
        <v>45708</v>
      </c>
      <c r="BX3" s="690">
        <v>45709</v>
      </c>
      <c r="BY3" s="690">
        <v>45712</v>
      </c>
      <c r="BZ3" s="690">
        <v>45713</v>
      </c>
      <c r="CA3" s="690">
        <v>45714</v>
      </c>
      <c r="CB3" s="690">
        <v>45715</v>
      </c>
      <c r="CC3" s="690">
        <v>45716</v>
      </c>
      <c r="CD3" s="690">
        <v>45719</v>
      </c>
      <c r="CE3" s="690">
        <v>45720</v>
      </c>
      <c r="CF3" s="690">
        <v>45721</v>
      </c>
      <c r="CG3" s="690">
        <v>45722</v>
      </c>
      <c r="CH3" s="690">
        <v>45723</v>
      </c>
      <c r="CI3" s="690">
        <v>45726</v>
      </c>
      <c r="CJ3" s="690">
        <v>45727</v>
      </c>
      <c r="CK3" s="690">
        <v>45728</v>
      </c>
      <c r="CL3" s="690">
        <v>45729</v>
      </c>
      <c r="CM3" s="690">
        <v>45730</v>
      </c>
      <c r="CN3" s="690">
        <v>45733</v>
      </c>
      <c r="CO3" s="690">
        <v>45734</v>
      </c>
      <c r="CP3" s="690">
        <v>45735</v>
      </c>
      <c r="CQ3" s="690">
        <v>45736</v>
      </c>
      <c r="CR3" s="690">
        <v>45737</v>
      </c>
      <c r="CS3" s="690">
        <v>45741</v>
      </c>
    </row>
    <row r="4" spans="1:97" ht="30.75" customHeight="1">
      <c r="A4" s="692" t="s">
        <v>776</v>
      </c>
      <c r="B4" s="693" t="s">
        <v>1712</v>
      </c>
      <c r="C4" s="694" t="s">
        <v>1713</v>
      </c>
      <c r="D4" s="511" t="s">
        <v>1712</v>
      </c>
      <c r="E4" s="511" t="s">
        <v>1712</v>
      </c>
      <c r="F4" s="511" t="s">
        <v>1712</v>
      </c>
      <c r="G4" s="511" t="s">
        <v>1712</v>
      </c>
      <c r="H4" s="511" t="s">
        <v>1712</v>
      </c>
      <c r="I4" s="511" t="s">
        <v>1712</v>
      </c>
      <c r="J4" s="511" t="s">
        <v>1712</v>
      </c>
      <c r="K4" s="511" t="s">
        <v>1712</v>
      </c>
      <c r="L4" s="511" t="s">
        <v>1712</v>
      </c>
      <c r="M4" s="511" t="s">
        <v>1712</v>
      </c>
      <c r="N4" s="511" t="s">
        <v>1712</v>
      </c>
      <c r="O4" s="511" t="s">
        <v>1714</v>
      </c>
      <c r="P4" s="695" t="s">
        <v>1712</v>
      </c>
      <c r="Q4" s="511" t="s">
        <v>1712</v>
      </c>
      <c r="R4" s="511" t="s">
        <v>1712</v>
      </c>
      <c r="S4" s="511" t="s">
        <v>1712</v>
      </c>
      <c r="T4" s="511" t="s">
        <v>1712</v>
      </c>
      <c r="U4" s="695" t="s">
        <v>1715</v>
      </c>
      <c r="V4" s="511" t="s">
        <v>1712</v>
      </c>
      <c r="W4" s="511" t="s">
        <v>1712</v>
      </c>
      <c r="X4" s="511" t="s">
        <v>1712</v>
      </c>
      <c r="Y4" s="511" t="s">
        <v>1712</v>
      </c>
      <c r="Z4" s="511" t="s">
        <v>1712</v>
      </c>
      <c r="AA4" s="511" t="s">
        <v>1712</v>
      </c>
      <c r="AB4" s="511" t="s">
        <v>1712</v>
      </c>
      <c r="AC4" s="511" t="s">
        <v>1712</v>
      </c>
      <c r="AD4" s="511" t="s">
        <v>1712</v>
      </c>
      <c r="AE4" s="721" t="s">
        <v>1716</v>
      </c>
      <c r="AF4" s="511" t="s">
        <v>1712</v>
      </c>
      <c r="AG4" s="511" t="s">
        <v>1712</v>
      </c>
      <c r="AH4" s="511" t="s">
        <v>1712</v>
      </c>
      <c r="AI4" s="511" t="s">
        <v>1712</v>
      </c>
      <c r="AJ4" s="511" t="s">
        <v>1712</v>
      </c>
      <c r="AK4" s="511" t="s">
        <v>1712</v>
      </c>
      <c r="AL4" s="721" t="s">
        <v>1717</v>
      </c>
      <c r="AM4" s="511" t="s">
        <v>1715</v>
      </c>
      <c r="AN4" s="511" t="s">
        <v>1715</v>
      </c>
      <c r="AO4" s="511" t="s">
        <v>1712</v>
      </c>
      <c r="AP4" s="721" t="s">
        <v>1718</v>
      </c>
      <c r="AQ4" s="511" t="s">
        <v>1712</v>
      </c>
      <c r="AR4" s="511" t="s">
        <v>1712</v>
      </c>
      <c r="AS4" s="721" t="s">
        <v>1718</v>
      </c>
      <c r="AT4" s="636" t="s">
        <v>1712</v>
      </c>
      <c r="AU4" s="511" t="s">
        <v>1712</v>
      </c>
      <c r="AV4" s="511" t="s">
        <v>1712</v>
      </c>
      <c r="AW4" s="511" t="s">
        <v>1712</v>
      </c>
      <c r="AX4" s="511" t="s">
        <v>1712</v>
      </c>
      <c r="AY4" s="721" t="s">
        <v>1718</v>
      </c>
      <c r="AZ4" s="511" t="s">
        <v>1712</v>
      </c>
      <c r="BA4" s="511" t="s">
        <v>1712</v>
      </c>
      <c r="BB4" s="511" t="s">
        <v>1712</v>
      </c>
      <c r="BC4" s="511" t="s">
        <v>1712</v>
      </c>
      <c r="BD4" s="511" t="s">
        <v>1712</v>
      </c>
      <c r="BE4" s="511" t="s">
        <v>1712</v>
      </c>
      <c r="BF4" s="511" t="s">
        <v>1712</v>
      </c>
      <c r="BG4" s="511" t="s">
        <v>1712</v>
      </c>
      <c r="BH4" s="511" t="s">
        <v>1712</v>
      </c>
      <c r="BI4" s="695" t="s">
        <v>1712</v>
      </c>
      <c r="BJ4" s="721" t="s">
        <v>1718</v>
      </c>
      <c r="BK4" s="695" t="s">
        <v>1719</v>
      </c>
      <c r="BL4" s="695" t="s">
        <v>1719</v>
      </c>
      <c r="BM4" s="695" t="s">
        <v>1719</v>
      </c>
      <c r="BN4" s="695" t="s">
        <v>1719</v>
      </c>
      <c r="BO4" s="695" t="s">
        <v>1719</v>
      </c>
      <c r="BP4" s="695" t="s">
        <v>1719</v>
      </c>
      <c r="BQ4" s="695" t="s">
        <v>1719</v>
      </c>
      <c r="BR4" s="511" t="s">
        <v>1712</v>
      </c>
      <c r="BS4" s="511" t="s">
        <v>1712</v>
      </c>
      <c r="BT4" s="511" t="s">
        <v>1712</v>
      </c>
      <c r="BU4" s="511" t="s">
        <v>1712</v>
      </c>
      <c r="BV4" s="511" t="s">
        <v>1712</v>
      </c>
      <c r="BW4" s="511" t="s">
        <v>1712</v>
      </c>
      <c r="BX4" s="511" t="s">
        <v>1712</v>
      </c>
      <c r="BY4" s="511" t="s">
        <v>1712</v>
      </c>
      <c r="BZ4" s="511" t="s">
        <v>1712</v>
      </c>
      <c r="CA4" s="511" t="s">
        <v>1712</v>
      </c>
      <c r="CB4" s="511" t="s">
        <v>1712</v>
      </c>
      <c r="CC4" s="511" t="s">
        <v>1712</v>
      </c>
      <c r="CD4" s="511" t="s">
        <v>1712</v>
      </c>
      <c r="CE4" s="511" t="s">
        <v>1712</v>
      </c>
      <c r="CF4" s="511" t="s">
        <v>1712</v>
      </c>
      <c r="CG4" s="511"/>
      <c r="CH4" s="511"/>
      <c r="CI4" s="721" t="s">
        <v>1720</v>
      </c>
      <c r="CJ4" s="511"/>
      <c r="CK4" s="511"/>
      <c r="CL4" s="511"/>
      <c r="CM4" s="511"/>
      <c r="CN4" s="511"/>
      <c r="CO4" s="511"/>
      <c r="CP4" s="511"/>
      <c r="CQ4" s="511"/>
      <c r="CR4" s="511"/>
      <c r="CS4" s="511" t="s">
        <v>1712</v>
      </c>
    </row>
    <row r="5" spans="1:97" ht="15.75" customHeight="1">
      <c r="A5" s="692" t="s">
        <v>761</v>
      </c>
      <c r="B5" s="693" t="s">
        <v>1712</v>
      </c>
      <c r="C5" s="511" t="s">
        <v>1712</v>
      </c>
      <c r="D5" s="511" t="s">
        <v>1712</v>
      </c>
      <c r="E5" s="511" t="s">
        <v>1712</v>
      </c>
      <c r="F5" s="511" t="s">
        <v>1712</v>
      </c>
      <c r="G5" s="511" t="s">
        <v>1712</v>
      </c>
      <c r="H5" s="511" t="s">
        <v>1712</v>
      </c>
      <c r="I5" s="511" t="s">
        <v>1712</v>
      </c>
      <c r="J5" s="511" t="s">
        <v>1712</v>
      </c>
      <c r="K5" s="511" t="s">
        <v>1712</v>
      </c>
      <c r="L5" s="511" t="s">
        <v>1719</v>
      </c>
      <c r="M5" s="511" t="s">
        <v>1719</v>
      </c>
      <c r="N5" s="511" t="s">
        <v>1719</v>
      </c>
      <c r="O5" s="511" t="s">
        <v>1719</v>
      </c>
      <c r="P5" s="695" t="s">
        <v>1719</v>
      </c>
      <c r="Q5" s="511" t="s">
        <v>1712</v>
      </c>
      <c r="R5" s="511" t="s">
        <v>1712</v>
      </c>
      <c r="S5" s="511" t="s">
        <v>1712</v>
      </c>
      <c r="T5" s="511" t="s">
        <v>1712</v>
      </c>
      <c r="U5" s="695" t="s">
        <v>1712</v>
      </c>
      <c r="V5" s="511" t="s">
        <v>1712</v>
      </c>
      <c r="W5" s="511" t="s">
        <v>1712</v>
      </c>
      <c r="X5" s="511" t="s">
        <v>1712</v>
      </c>
      <c r="Y5" s="511" t="s">
        <v>1712</v>
      </c>
      <c r="Z5" s="511" t="s">
        <v>1712</v>
      </c>
      <c r="AA5" s="511" t="s">
        <v>1712</v>
      </c>
      <c r="AB5" s="511" t="s">
        <v>1712</v>
      </c>
      <c r="AC5" s="511" t="s">
        <v>1712</v>
      </c>
      <c r="AD5" s="511" t="s">
        <v>1712</v>
      </c>
      <c r="AE5" s="722"/>
      <c r="AF5" s="511" t="s">
        <v>1712</v>
      </c>
      <c r="AG5" s="511" t="s">
        <v>1712</v>
      </c>
      <c r="AH5" s="511" t="s">
        <v>1712</v>
      </c>
      <c r="AI5" s="511" t="s">
        <v>1712</v>
      </c>
      <c r="AJ5" s="511" t="s">
        <v>1712</v>
      </c>
      <c r="AK5" s="511" t="s">
        <v>1712</v>
      </c>
      <c r="AL5" s="722"/>
      <c r="AM5" s="511" t="s">
        <v>1712</v>
      </c>
      <c r="AN5" s="511" t="s">
        <v>1712</v>
      </c>
      <c r="AO5" s="511" t="s">
        <v>1712</v>
      </c>
      <c r="AP5" s="722"/>
      <c r="AQ5" s="511" t="s">
        <v>1719</v>
      </c>
      <c r="AR5" s="511" t="s">
        <v>1719</v>
      </c>
      <c r="AS5" s="722"/>
      <c r="AT5" s="511" t="s">
        <v>1719</v>
      </c>
      <c r="AU5" s="511" t="s">
        <v>1719</v>
      </c>
      <c r="AV5" s="511" t="s">
        <v>1719</v>
      </c>
      <c r="AW5" s="511" t="s">
        <v>1719</v>
      </c>
      <c r="AX5" s="511" t="s">
        <v>1719</v>
      </c>
      <c r="AY5" s="722"/>
      <c r="AZ5" s="511" t="s">
        <v>1719</v>
      </c>
      <c r="BA5" s="511" t="s">
        <v>1712</v>
      </c>
      <c r="BB5" s="511" t="s">
        <v>1712</v>
      </c>
      <c r="BC5" s="511" t="s">
        <v>1712</v>
      </c>
      <c r="BD5" s="511" t="s">
        <v>1712</v>
      </c>
      <c r="BE5" s="511" t="s">
        <v>1712</v>
      </c>
      <c r="BF5" s="511" t="s">
        <v>1712</v>
      </c>
      <c r="BG5" s="511" t="s">
        <v>1712</v>
      </c>
      <c r="BH5" s="511" t="s">
        <v>1712</v>
      </c>
      <c r="BI5" s="695" t="s">
        <v>1712</v>
      </c>
      <c r="BJ5" s="722"/>
      <c r="BK5" s="695" t="s">
        <v>1712</v>
      </c>
      <c r="BL5" s="695" t="s">
        <v>1712</v>
      </c>
      <c r="BM5" s="511" t="s">
        <v>1712</v>
      </c>
      <c r="BN5" s="695" t="s">
        <v>1712</v>
      </c>
      <c r="BO5" s="511" t="s">
        <v>1712</v>
      </c>
      <c r="BP5" s="511" t="s">
        <v>1712</v>
      </c>
      <c r="BQ5" s="511" t="s">
        <v>1712</v>
      </c>
      <c r="BR5" s="511" t="s">
        <v>1712</v>
      </c>
      <c r="BS5" s="511" t="s">
        <v>1712</v>
      </c>
      <c r="BT5" s="511" t="s">
        <v>1712</v>
      </c>
      <c r="BU5" s="511" t="s">
        <v>1712</v>
      </c>
      <c r="BV5" s="511" t="s">
        <v>1712</v>
      </c>
      <c r="BW5" s="511" t="s">
        <v>1712</v>
      </c>
      <c r="BX5" s="511" t="s">
        <v>1712</v>
      </c>
      <c r="BY5" s="511" t="s">
        <v>1712</v>
      </c>
      <c r="BZ5" s="511" t="s">
        <v>1712</v>
      </c>
      <c r="CA5" s="511" t="s">
        <v>1712</v>
      </c>
      <c r="CB5" s="511" t="s">
        <v>1712</v>
      </c>
      <c r="CC5" s="511" t="s">
        <v>1712</v>
      </c>
      <c r="CD5" s="511" t="s">
        <v>1712</v>
      </c>
      <c r="CE5" s="511" t="s">
        <v>1712</v>
      </c>
      <c r="CF5" s="511" t="s">
        <v>1712</v>
      </c>
      <c r="CG5" s="511"/>
      <c r="CH5" s="511"/>
      <c r="CI5" s="722"/>
      <c r="CJ5" s="511"/>
      <c r="CK5" s="511"/>
      <c r="CL5" s="511"/>
      <c r="CM5" s="511"/>
      <c r="CN5" s="511"/>
      <c r="CO5" s="511"/>
      <c r="CP5" s="511"/>
      <c r="CQ5" s="511"/>
      <c r="CR5" s="511"/>
      <c r="CS5" s="511" t="s">
        <v>1712</v>
      </c>
    </row>
    <row r="6" spans="1:97" ht="15.75">
      <c r="A6" s="692" t="s">
        <v>786</v>
      </c>
      <c r="B6" s="693" t="s">
        <v>1712</v>
      </c>
      <c r="C6" s="511" t="s">
        <v>1712</v>
      </c>
      <c r="D6" s="511" t="s">
        <v>1712</v>
      </c>
      <c r="E6" s="511" t="s">
        <v>1712</v>
      </c>
      <c r="F6" s="511" t="s">
        <v>1712</v>
      </c>
      <c r="G6" s="511" t="s">
        <v>1712</v>
      </c>
      <c r="H6" s="511" t="s">
        <v>1712</v>
      </c>
      <c r="I6" s="511" t="s">
        <v>1712</v>
      </c>
      <c r="J6" s="511" t="s">
        <v>1712</v>
      </c>
      <c r="K6" s="696" t="s">
        <v>1721</v>
      </c>
      <c r="L6" s="511" t="s">
        <v>1712</v>
      </c>
      <c r="M6" s="511" t="s">
        <v>1712</v>
      </c>
      <c r="N6" s="511" t="s">
        <v>1712</v>
      </c>
      <c r="O6" s="511" t="s">
        <v>1714</v>
      </c>
      <c r="P6" s="695" t="s">
        <v>1712</v>
      </c>
      <c r="Q6" s="511" t="s">
        <v>1712</v>
      </c>
      <c r="R6" s="511" t="s">
        <v>1712</v>
      </c>
      <c r="S6" s="511" t="s">
        <v>1712</v>
      </c>
      <c r="T6" s="511" t="s">
        <v>1712</v>
      </c>
      <c r="U6" s="695" t="s">
        <v>1712</v>
      </c>
      <c r="V6" s="511" t="s">
        <v>1712</v>
      </c>
      <c r="W6" s="511" t="s">
        <v>1712</v>
      </c>
      <c r="X6" s="511" t="s">
        <v>1712</v>
      </c>
      <c r="Y6" s="511" t="s">
        <v>1712</v>
      </c>
      <c r="Z6" s="511" t="s">
        <v>1712</v>
      </c>
      <c r="AA6" s="511" t="s">
        <v>1712</v>
      </c>
      <c r="AB6" s="511" t="s">
        <v>1712</v>
      </c>
      <c r="AC6" s="511" t="s">
        <v>1712</v>
      </c>
      <c r="AD6" s="511" t="s">
        <v>1712</v>
      </c>
      <c r="AE6" s="722"/>
      <c r="AF6" s="511" t="s">
        <v>1712</v>
      </c>
      <c r="AG6" s="511" t="s">
        <v>1712</v>
      </c>
      <c r="AH6" s="511" t="s">
        <v>1712</v>
      </c>
      <c r="AI6" s="511" t="s">
        <v>1712</v>
      </c>
      <c r="AJ6" s="511" t="s">
        <v>1712</v>
      </c>
      <c r="AK6" s="511" t="s">
        <v>1712</v>
      </c>
      <c r="AL6" s="722"/>
      <c r="AM6" s="511" t="s">
        <v>1712</v>
      </c>
      <c r="AN6" s="511" t="s">
        <v>1712</v>
      </c>
      <c r="AO6" s="511" t="s">
        <v>1712</v>
      </c>
      <c r="AP6" s="722"/>
      <c r="AQ6" s="511" t="s">
        <v>1712</v>
      </c>
      <c r="AR6" s="511" t="s">
        <v>1712</v>
      </c>
      <c r="AS6" s="722"/>
      <c r="AT6" s="511" t="s">
        <v>1712</v>
      </c>
      <c r="AU6" s="511" t="s">
        <v>1712</v>
      </c>
      <c r="AV6" s="511" t="s">
        <v>1712</v>
      </c>
      <c r="AW6" s="511" t="s">
        <v>1712</v>
      </c>
      <c r="AX6" s="511" t="s">
        <v>1712</v>
      </c>
      <c r="AY6" s="722"/>
      <c r="AZ6" s="511" t="s">
        <v>1712</v>
      </c>
      <c r="BA6" s="511" t="s">
        <v>1712</v>
      </c>
      <c r="BB6" s="511" t="s">
        <v>1712</v>
      </c>
      <c r="BC6" s="511" t="s">
        <v>1712</v>
      </c>
      <c r="BD6" s="511" t="s">
        <v>1712</v>
      </c>
      <c r="BE6" s="511" t="s">
        <v>1712</v>
      </c>
      <c r="BF6" s="511" t="s">
        <v>1712</v>
      </c>
      <c r="BG6" s="511" t="s">
        <v>1712</v>
      </c>
      <c r="BH6" s="511" t="s">
        <v>1712</v>
      </c>
      <c r="BI6" s="695" t="s">
        <v>1712</v>
      </c>
      <c r="BJ6" s="722"/>
      <c r="BK6" s="695" t="s">
        <v>1712</v>
      </c>
      <c r="BL6" s="695" t="s">
        <v>1712</v>
      </c>
      <c r="BM6" s="511" t="s">
        <v>1722</v>
      </c>
      <c r="BN6" s="695" t="s">
        <v>1712</v>
      </c>
      <c r="BO6" s="511" t="s">
        <v>1712</v>
      </c>
      <c r="BP6" s="511" t="s">
        <v>1712</v>
      </c>
      <c r="BQ6" s="511" t="s">
        <v>1712</v>
      </c>
      <c r="BR6" s="511" t="s">
        <v>1712</v>
      </c>
      <c r="BS6" s="511" t="s">
        <v>1712</v>
      </c>
      <c r="BT6" s="511" t="s">
        <v>1712</v>
      </c>
      <c r="BU6" s="511" t="s">
        <v>1712</v>
      </c>
      <c r="BV6" s="511" t="s">
        <v>1712</v>
      </c>
      <c r="BW6" s="511" t="s">
        <v>1712</v>
      </c>
      <c r="BX6" s="511" t="s">
        <v>1712</v>
      </c>
      <c r="BY6" s="511" t="s">
        <v>1712</v>
      </c>
      <c r="BZ6" s="511" t="s">
        <v>1712</v>
      </c>
      <c r="CA6" s="511" t="s">
        <v>1712</v>
      </c>
      <c r="CB6" s="511" t="s">
        <v>1712</v>
      </c>
      <c r="CC6" s="511" t="s">
        <v>1712</v>
      </c>
      <c r="CD6" s="511" t="s">
        <v>1712</v>
      </c>
      <c r="CE6" s="511" t="s">
        <v>1712</v>
      </c>
      <c r="CF6" s="511" t="s">
        <v>1712</v>
      </c>
      <c r="CG6" s="511"/>
      <c r="CH6" s="511"/>
      <c r="CI6" s="722"/>
      <c r="CJ6" s="511"/>
      <c r="CK6" s="511"/>
      <c r="CL6" s="511"/>
      <c r="CM6" s="511"/>
      <c r="CN6" s="511"/>
      <c r="CO6" s="511"/>
      <c r="CP6" s="511"/>
      <c r="CQ6" s="511"/>
      <c r="CR6" s="511"/>
      <c r="CS6" s="511" t="s">
        <v>1712</v>
      </c>
    </row>
    <row r="7" spans="1:97" ht="15.75" hidden="1" customHeight="1">
      <c r="A7" s="692" t="s">
        <v>1723</v>
      </c>
      <c r="B7" s="693" t="s">
        <v>1712</v>
      </c>
      <c r="C7" s="511" t="s">
        <v>1712</v>
      </c>
      <c r="D7" s="511" t="s">
        <v>1712</v>
      </c>
      <c r="E7" s="511" t="s">
        <v>1712</v>
      </c>
      <c r="F7" s="511" t="s">
        <v>1712</v>
      </c>
      <c r="G7" s="511" t="s">
        <v>1712</v>
      </c>
      <c r="H7" s="511" t="s">
        <v>1712</v>
      </c>
      <c r="I7" s="511" t="s">
        <v>1712</v>
      </c>
      <c r="J7" s="511" t="s">
        <v>1712</v>
      </c>
      <c r="K7" s="511" t="s">
        <v>1712</v>
      </c>
      <c r="L7" s="696" t="s">
        <v>1721</v>
      </c>
      <c r="M7" s="511" t="s">
        <v>1712</v>
      </c>
      <c r="N7" s="511" t="s">
        <v>1712</v>
      </c>
      <c r="O7" s="511" t="s">
        <v>1714</v>
      </c>
      <c r="P7" s="695" t="s">
        <v>1712</v>
      </c>
      <c r="Q7" s="511" t="s">
        <v>1712</v>
      </c>
      <c r="R7" s="511" t="s">
        <v>1712</v>
      </c>
      <c r="S7" s="511" t="s">
        <v>1712</v>
      </c>
      <c r="T7" s="511" t="s">
        <v>1712</v>
      </c>
      <c r="U7" s="695" t="s">
        <v>1724</v>
      </c>
      <c r="V7" s="511" t="s">
        <v>1712</v>
      </c>
      <c r="W7" s="511" t="s">
        <v>1712</v>
      </c>
      <c r="X7" s="511" t="s">
        <v>1712</v>
      </c>
      <c r="Y7" s="511" t="s">
        <v>1712</v>
      </c>
      <c r="Z7" s="511" t="s">
        <v>1715</v>
      </c>
      <c r="AA7" s="511" t="s">
        <v>1712</v>
      </c>
      <c r="AB7" s="511" t="s">
        <v>1712</v>
      </c>
      <c r="AC7" s="511" t="s">
        <v>1712</v>
      </c>
      <c r="AD7" s="511" t="s">
        <v>1712</v>
      </c>
      <c r="AE7" s="722"/>
      <c r="AF7" s="511" t="s">
        <v>1712</v>
      </c>
      <c r="AG7" s="511" t="s">
        <v>1712</v>
      </c>
      <c r="AH7" s="511" t="s">
        <v>1712</v>
      </c>
      <c r="AI7" s="511" t="s">
        <v>1712</v>
      </c>
      <c r="AJ7" s="511" t="s">
        <v>1712</v>
      </c>
      <c r="AK7" s="511" t="s">
        <v>1712</v>
      </c>
      <c r="AL7" s="722"/>
      <c r="AM7" s="511" t="s">
        <v>1712</v>
      </c>
      <c r="AN7" s="511" t="s">
        <v>1712</v>
      </c>
      <c r="AO7" s="511" t="s">
        <v>1712</v>
      </c>
      <c r="AP7" s="722"/>
      <c r="AQ7" s="511" t="s">
        <v>1712</v>
      </c>
      <c r="AR7" s="511" t="s">
        <v>1712</v>
      </c>
      <c r="AS7" s="722"/>
      <c r="AT7" s="511" t="s">
        <v>1712</v>
      </c>
      <c r="AU7" s="511" t="s">
        <v>1715</v>
      </c>
      <c r="AV7" s="511" t="s">
        <v>1712</v>
      </c>
      <c r="AW7" s="511" t="s">
        <v>1712</v>
      </c>
      <c r="AX7" s="511" t="s">
        <v>1712</v>
      </c>
      <c r="AY7" s="722"/>
      <c r="AZ7" s="511" t="s">
        <v>1712</v>
      </c>
      <c r="BA7" s="511" t="s">
        <v>1712</v>
      </c>
      <c r="BB7" s="511" t="s">
        <v>1712</v>
      </c>
      <c r="BC7" s="511" t="s">
        <v>1712</v>
      </c>
      <c r="BD7" s="511" t="s">
        <v>1712</v>
      </c>
      <c r="BE7" s="511" t="s">
        <v>1712</v>
      </c>
      <c r="BF7" s="511" t="s">
        <v>1712</v>
      </c>
      <c r="BG7" s="511" t="s">
        <v>1712</v>
      </c>
      <c r="BH7" s="511" t="s">
        <v>1712</v>
      </c>
      <c r="BI7" s="695" t="s">
        <v>1712</v>
      </c>
      <c r="BJ7" s="722"/>
      <c r="BK7" s="695" t="s">
        <v>1712</v>
      </c>
      <c r="BL7" s="695" t="s">
        <v>1712</v>
      </c>
      <c r="BM7" s="511" t="s">
        <v>1712</v>
      </c>
      <c r="BN7" s="695" t="s">
        <v>1712</v>
      </c>
      <c r="BO7" s="511" t="s">
        <v>1715</v>
      </c>
      <c r="BP7" s="511"/>
      <c r="BQ7" s="511"/>
      <c r="BR7" s="511"/>
      <c r="BS7" s="511"/>
      <c r="BT7" s="511"/>
      <c r="BU7" s="511" t="s">
        <v>1712</v>
      </c>
      <c r="BV7" s="511" t="s">
        <v>1712</v>
      </c>
      <c r="BW7" s="511" t="s">
        <v>1712</v>
      </c>
      <c r="BX7" s="511" t="s">
        <v>1712</v>
      </c>
      <c r="BY7" s="511"/>
      <c r="BZ7" s="511"/>
      <c r="CA7" s="511"/>
      <c r="CB7" s="511"/>
      <c r="CC7" s="511"/>
      <c r="CD7" s="511"/>
      <c r="CE7" s="511"/>
      <c r="CF7" s="511"/>
      <c r="CG7" s="511"/>
      <c r="CH7" s="511"/>
      <c r="CI7" s="722"/>
      <c r="CJ7" s="511"/>
      <c r="CK7" s="511"/>
      <c r="CL7" s="511"/>
      <c r="CM7" s="511"/>
      <c r="CN7" s="511"/>
      <c r="CO7" s="511"/>
      <c r="CP7" s="511"/>
      <c r="CQ7" s="511"/>
      <c r="CR7" s="511"/>
      <c r="CS7" s="511"/>
    </row>
    <row r="8" spans="1:97" ht="15.75" hidden="1" customHeight="1">
      <c r="A8" s="692" t="s">
        <v>1725</v>
      </c>
      <c r="B8" s="693" t="s">
        <v>1712</v>
      </c>
      <c r="C8" s="511" t="s">
        <v>1712</v>
      </c>
      <c r="D8" s="511" t="s">
        <v>1712</v>
      </c>
      <c r="E8" s="511" t="s">
        <v>1712</v>
      </c>
      <c r="F8" s="511" t="s">
        <v>1712</v>
      </c>
      <c r="G8" s="511" t="s">
        <v>1712</v>
      </c>
      <c r="H8" s="511" t="s">
        <v>1712</v>
      </c>
      <c r="I8" s="511" t="s">
        <v>1712</v>
      </c>
      <c r="J8" s="511" t="s">
        <v>1712</v>
      </c>
      <c r="K8" s="511" t="s">
        <v>1712</v>
      </c>
      <c r="L8" s="511" t="s">
        <v>1715</v>
      </c>
      <c r="M8" s="511" t="s">
        <v>1712</v>
      </c>
      <c r="N8" s="511" t="s">
        <v>1712</v>
      </c>
      <c r="O8" s="511" t="s">
        <v>1714</v>
      </c>
      <c r="P8" s="695" t="s">
        <v>1712</v>
      </c>
      <c r="Q8" s="511" t="s">
        <v>1712</v>
      </c>
      <c r="R8" s="511" t="s">
        <v>1712</v>
      </c>
      <c r="S8" s="511" t="s">
        <v>1712</v>
      </c>
      <c r="T8" s="511" t="s">
        <v>1712</v>
      </c>
      <c r="U8" s="695" t="s">
        <v>1712</v>
      </c>
      <c r="V8" s="511" t="s">
        <v>1712</v>
      </c>
      <c r="W8" s="511" t="s">
        <v>1726</v>
      </c>
      <c r="X8" s="511" t="s">
        <v>1712</v>
      </c>
      <c r="Y8" s="511" t="s">
        <v>1712</v>
      </c>
      <c r="Z8" s="511" t="s">
        <v>1712</v>
      </c>
      <c r="AA8" s="511" t="s">
        <v>1712</v>
      </c>
      <c r="AB8" s="511" t="s">
        <v>1715</v>
      </c>
      <c r="AC8" s="511" t="s">
        <v>1712</v>
      </c>
      <c r="AD8" s="511" t="s">
        <v>1712</v>
      </c>
      <c r="AE8" s="722"/>
      <c r="AF8" s="511" t="s">
        <v>1712</v>
      </c>
      <c r="AG8" s="511" t="s">
        <v>1712</v>
      </c>
      <c r="AH8" s="511" t="s">
        <v>1712</v>
      </c>
      <c r="AI8" s="511" t="s">
        <v>1712</v>
      </c>
      <c r="AJ8" s="511" t="s">
        <v>1712</v>
      </c>
      <c r="AK8" s="511" t="s">
        <v>1712</v>
      </c>
      <c r="AL8" s="722"/>
      <c r="AM8" s="511" t="s">
        <v>1712</v>
      </c>
      <c r="AN8" s="511" t="s">
        <v>1715</v>
      </c>
      <c r="AO8" s="511" t="s">
        <v>1712</v>
      </c>
      <c r="AP8" s="722"/>
      <c r="AQ8" s="511" t="s">
        <v>1712</v>
      </c>
      <c r="AR8" s="511" t="s">
        <v>1712</v>
      </c>
      <c r="AS8" s="722"/>
      <c r="AT8" s="511" t="s">
        <v>1712</v>
      </c>
      <c r="AU8" s="511" t="s">
        <v>1712</v>
      </c>
      <c r="AV8" s="511" t="s">
        <v>1712</v>
      </c>
      <c r="AW8" s="511" t="s">
        <v>1712</v>
      </c>
      <c r="AX8" s="511" t="s">
        <v>1712</v>
      </c>
      <c r="AY8" s="722"/>
      <c r="AZ8" s="511" t="s">
        <v>1712</v>
      </c>
      <c r="BA8" s="511" t="s">
        <v>1712</v>
      </c>
      <c r="BB8" s="511" t="s">
        <v>1712</v>
      </c>
      <c r="BC8" s="511" t="s">
        <v>1712</v>
      </c>
      <c r="BD8" s="511" t="s">
        <v>1712</v>
      </c>
      <c r="BE8" s="511" t="s">
        <v>1712</v>
      </c>
      <c r="BF8" s="511" t="s">
        <v>1712</v>
      </c>
      <c r="BG8" s="511" t="s">
        <v>1727</v>
      </c>
      <c r="BH8" s="511" t="s">
        <v>1712</v>
      </c>
      <c r="BI8" s="695" t="s">
        <v>1712</v>
      </c>
      <c r="BJ8" s="722"/>
      <c r="BK8" s="695" t="s">
        <v>1712</v>
      </c>
      <c r="BL8" s="695" t="s">
        <v>1712</v>
      </c>
      <c r="BM8" s="511" t="s">
        <v>1712</v>
      </c>
      <c r="BN8" s="695" t="s">
        <v>1712</v>
      </c>
      <c r="BO8" s="511" t="s">
        <v>1712</v>
      </c>
      <c r="BP8" s="511" t="s">
        <v>1712</v>
      </c>
      <c r="BQ8" s="511" t="s">
        <v>1712</v>
      </c>
      <c r="BR8" s="511" t="s">
        <v>1712</v>
      </c>
      <c r="BS8" s="511" t="s">
        <v>1712</v>
      </c>
      <c r="BT8" s="511" t="s">
        <v>1712</v>
      </c>
      <c r="BU8" s="511" t="s">
        <v>1712</v>
      </c>
      <c r="BV8" s="511" t="s">
        <v>1712</v>
      </c>
      <c r="BW8" s="511" t="s">
        <v>1712</v>
      </c>
      <c r="BX8" s="511" t="s">
        <v>1728</v>
      </c>
      <c r="BY8" s="511"/>
      <c r="BZ8" s="511"/>
      <c r="CA8" s="511"/>
      <c r="CB8" s="511"/>
      <c r="CC8" s="511"/>
      <c r="CD8" s="511"/>
      <c r="CE8" s="511"/>
      <c r="CF8" s="511"/>
      <c r="CG8" s="511"/>
      <c r="CH8" s="511"/>
      <c r="CI8" s="722"/>
      <c r="CJ8" s="511"/>
      <c r="CK8" s="511"/>
      <c r="CL8" s="511"/>
      <c r="CM8" s="511"/>
      <c r="CN8" s="511"/>
      <c r="CO8" s="511"/>
      <c r="CP8" s="511"/>
      <c r="CQ8" s="511"/>
      <c r="CR8" s="511"/>
      <c r="CS8" s="511"/>
    </row>
    <row r="9" spans="1:97" ht="15.75">
      <c r="A9" s="692" t="s">
        <v>883</v>
      </c>
      <c r="B9" s="693" t="s">
        <v>1712</v>
      </c>
      <c r="C9" s="511" t="s">
        <v>1712</v>
      </c>
      <c r="D9" s="511" t="s">
        <v>1712</v>
      </c>
      <c r="E9" s="511" t="s">
        <v>1712</v>
      </c>
      <c r="F9" s="511" t="s">
        <v>1712</v>
      </c>
      <c r="G9" s="511" t="s">
        <v>1712</v>
      </c>
      <c r="H9" s="511" t="s">
        <v>1712</v>
      </c>
      <c r="I9" s="511" t="s">
        <v>1712</v>
      </c>
      <c r="J9" s="511" t="s">
        <v>1712</v>
      </c>
      <c r="K9" s="511" t="s">
        <v>1712</v>
      </c>
      <c r="L9" s="511" t="s">
        <v>1712</v>
      </c>
      <c r="M9" s="511" t="s">
        <v>1712</v>
      </c>
      <c r="N9" s="511" t="s">
        <v>1712</v>
      </c>
      <c r="O9" s="696" t="s">
        <v>1721</v>
      </c>
      <c r="P9" s="695" t="s">
        <v>1712</v>
      </c>
      <c r="Q9" s="511" t="s">
        <v>1712</v>
      </c>
      <c r="R9" s="511" t="s">
        <v>1712</v>
      </c>
      <c r="S9" s="511" t="s">
        <v>1712</v>
      </c>
      <c r="T9" s="511" t="s">
        <v>1712</v>
      </c>
      <c r="U9" s="695" t="s">
        <v>1712</v>
      </c>
      <c r="V9" s="511" t="s">
        <v>1712</v>
      </c>
      <c r="W9" s="511" t="s">
        <v>1712</v>
      </c>
      <c r="X9" s="511" t="s">
        <v>1712</v>
      </c>
      <c r="Y9" s="511" t="s">
        <v>1712</v>
      </c>
      <c r="Z9" s="511" t="s">
        <v>1712</v>
      </c>
      <c r="AA9" s="511" t="s">
        <v>1712</v>
      </c>
      <c r="AB9" s="511" t="s">
        <v>1712</v>
      </c>
      <c r="AC9" s="511" t="s">
        <v>1712</v>
      </c>
      <c r="AD9" s="511" t="s">
        <v>1712</v>
      </c>
      <c r="AE9" s="722"/>
      <c r="AF9" s="511" t="s">
        <v>1712</v>
      </c>
      <c r="AG9" s="511" t="s">
        <v>1712</v>
      </c>
      <c r="AH9" s="511" t="s">
        <v>1712</v>
      </c>
      <c r="AI9" s="511" t="s">
        <v>1712</v>
      </c>
      <c r="AJ9" s="511" t="s">
        <v>1712</v>
      </c>
      <c r="AK9" s="511" t="s">
        <v>1712</v>
      </c>
      <c r="AL9" s="722"/>
      <c r="AM9" s="511" t="s">
        <v>1712</v>
      </c>
      <c r="AN9" s="511" t="s">
        <v>1712</v>
      </c>
      <c r="AO9" s="511" t="s">
        <v>1712</v>
      </c>
      <c r="AP9" s="722"/>
      <c r="AQ9" s="511" t="s">
        <v>1712</v>
      </c>
      <c r="AR9" s="511" t="s">
        <v>1712</v>
      </c>
      <c r="AS9" s="722"/>
      <c r="AT9" s="511" t="s">
        <v>1712</v>
      </c>
      <c r="AU9" s="511" t="s">
        <v>1712</v>
      </c>
      <c r="AV9" s="511" t="s">
        <v>1712</v>
      </c>
      <c r="AW9" s="511" t="s">
        <v>1712</v>
      </c>
      <c r="AX9" s="511" t="s">
        <v>1712</v>
      </c>
      <c r="AY9" s="722"/>
      <c r="AZ9" s="511" t="s">
        <v>1712</v>
      </c>
      <c r="BA9" s="511" t="s">
        <v>1712</v>
      </c>
      <c r="BB9" s="511" t="s">
        <v>1712</v>
      </c>
      <c r="BC9" s="511" t="s">
        <v>1712</v>
      </c>
      <c r="BD9" s="511" t="s">
        <v>1712</v>
      </c>
      <c r="BE9" s="511" t="s">
        <v>1712</v>
      </c>
      <c r="BF9" s="511" t="s">
        <v>1712</v>
      </c>
      <c r="BG9" s="511" t="s">
        <v>1712</v>
      </c>
      <c r="BH9" s="511" t="s">
        <v>1712</v>
      </c>
      <c r="BI9" s="695" t="s">
        <v>1712</v>
      </c>
      <c r="BJ9" s="722"/>
      <c r="BK9" s="695" t="s">
        <v>1712</v>
      </c>
      <c r="BL9" s="695" t="s">
        <v>1712</v>
      </c>
      <c r="BM9" s="511" t="s">
        <v>1712</v>
      </c>
      <c r="BN9" s="695" t="s">
        <v>1712</v>
      </c>
      <c r="BO9" s="511" t="s">
        <v>1712</v>
      </c>
      <c r="BP9" s="511" t="s">
        <v>1712</v>
      </c>
      <c r="BQ9" s="511" t="s">
        <v>1712</v>
      </c>
      <c r="BR9" s="511" t="s">
        <v>1712</v>
      </c>
      <c r="BS9" s="511" t="s">
        <v>1712</v>
      </c>
      <c r="BT9" s="511" t="s">
        <v>1712</v>
      </c>
      <c r="BU9" s="511" t="s">
        <v>1712</v>
      </c>
      <c r="BV9" s="511" t="s">
        <v>1712</v>
      </c>
      <c r="BW9" s="511" t="s">
        <v>1712</v>
      </c>
      <c r="BX9" s="511" t="s">
        <v>1712</v>
      </c>
      <c r="BY9" s="511" t="s">
        <v>1712</v>
      </c>
      <c r="BZ9" s="511" t="s">
        <v>1712</v>
      </c>
      <c r="CA9" s="511" t="s">
        <v>1712</v>
      </c>
      <c r="CB9" s="511" t="s">
        <v>1712</v>
      </c>
      <c r="CC9" s="511" t="s">
        <v>1712</v>
      </c>
      <c r="CD9" s="511" t="s">
        <v>1712</v>
      </c>
      <c r="CE9" s="511" t="s">
        <v>1712</v>
      </c>
      <c r="CF9" s="511" t="s">
        <v>1712</v>
      </c>
      <c r="CG9" s="511"/>
      <c r="CH9" s="511"/>
      <c r="CI9" s="722"/>
      <c r="CJ9" s="511"/>
      <c r="CK9" s="511"/>
      <c r="CL9" s="511"/>
      <c r="CM9" s="511"/>
      <c r="CN9" s="511"/>
      <c r="CO9" s="511"/>
      <c r="CP9" s="511"/>
      <c r="CQ9" s="511"/>
      <c r="CR9" s="511"/>
      <c r="CS9" s="511" t="s">
        <v>1712</v>
      </c>
    </row>
    <row r="10" spans="1:97" ht="15.75">
      <c r="A10" s="692" t="s">
        <v>1729</v>
      </c>
      <c r="B10" s="693" t="s">
        <v>1712</v>
      </c>
      <c r="C10" s="511" t="s">
        <v>1712</v>
      </c>
      <c r="D10" s="511" t="s">
        <v>1712</v>
      </c>
      <c r="E10" s="511" t="s">
        <v>1712</v>
      </c>
      <c r="F10" s="511" t="s">
        <v>1712</v>
      </c>
      <c r="G10" s="511" t="s">
        <v>1712</v>
      </c>
      <c r="H10" s="511" t="s">
        <v>1712</v>
      </c>
      <c r="I10" s="511" t="s">
        <v>1715</v>
      </c>
      <c r="J10" s="511" t="s">
        <v>1712</v>
      </c>
      <c r="K10" s="511" t="s">
        <v>1715</v>
      </c>
      <c r="L10" s="511" t="s">
        <v>1712</v>
      </c>
      <c r="M10" s="511" t="s">
        <v>1712</v>
      </c>
      <c r="N10" s="511" t="s">
        <v>1715</v>
      </c>
      <c r="O10" s="511" t="s">
        <v>1714</v>
      </c>
      <c r="P10" s="695" t="s">
        <v>1715</v>
      </c>
      <c r="Q10" s="511" t="s">
        <v>1715</v>
      </c>
      <c r="R10" s="511" t="s">
        <v>1712</v>
      </c>
      <c r="S10" s="511" t="s">
        <v>1712</v>
      </c>
      <c r="T10" s="511" t="s">
        <v>1712</v>
      </c>
      <c r="U10" s="695" t="s">
        <v>1715</v>
      </c>
      <c r="V10" s="511" t="s">
        <v>1712</v>
      </c>
      <c r="W10" s="511" t="s">
        <v>1712</v>
      </c>
      <c r="X10" s="511" t="s">
        <v>1712</v>
      </c>
      <c r="Y10" s="511" t="s">
        <v>1712</v>
      </c>
      <c r="Z10" s="511" t="s">
        <v>1712</v>
      </c>
      <c r="AA10" s="511" t="s">
        <v>1712</v>
      </c>
      <c r="AB10" s="511" t="s">
        <v>1712</v>
      </c>
      <c r="AC10" s="511" t="s">
        <v>1712</v>
      </c>
      <c r="AD10" s="511" t="s">
        <v>1712</v>
      </c>
      <c r="AE10" s="722"/>
      <c r="AF10" s="511" t="s">
        <v>1712</v>
      </c>
      <c r="AG10" s="511" t="s">
        <v>1712</v>
      </c>
      <c r="AH10" s="511" t="s">
        <v>1712</v>
      </c>
      <c r="AI10" s="511" t="s">
        <v>1712</v>
      </c>
      <c r="AJ10" s="511" t="s">
        <v>1712</v>
      </c>
      <c r="AK10" s="511" t="s">
        <v>1715</v>
      </c>
      <c r="AL10" s="722"/>
      <c r="AM10" s="511" t="s">
        <v>1715</v>
      </c>
      <c r="AN10" s="511" t="s">
        <v>1712</v>
      </c>
      <c r="AO10" s="511" t="s">
        <v>1712</v>
      </c>
      <c r="AP10" s="722"/>
      <c r="AQ10" s="511" t="s">
        <v>1712</v>
      </c>
      <c r="AR10" s="511" t="s">
        <v>1712</v>
      </c>
      <c r="AS10" s="722"/>
      <c r="AT10" s="511" t="s">
        <v>1712</v>
      </c>
      <c r="AU10" s="511" t="s">
        <v>1712</v>
      </c>
      <c r="AV10" s="511" t="s">
        <v>1712</v>
      </c>
      <c r="AW10" s="511" t="s">
        <v>1712</v>
      </c>
      <c r="AX10" s="511" t="s">
        <v>1712</v>
      </c>
      <c r="AY10" s="722"/>
      <c r="AZ10" s="511" t="s">
        <v>1712</v>
      </c>
      <c r="BA10" s="511" t="s">
        <v>1715</v>
      </c>
      <c r="BB10" s="511" t="s">
        <v>1715</v>
      </c>
      <c r="BC10" s="511" t="s">
        <v>1715</v>
      </c>
      <c r="BD10" s="511" t="s">
        <v>1715</v>
      </c>
      <c r="BE10" s="511" t="s">
        <v>1715</v>
      </c>
      <c r="BF10" s="511" t="s">
        <v>1712</v>
      </c>
      <c r="BG10" s="511" t="s">
        <v>1712</v>
      </c>
      <c r="BH10" s="511" t="s">
        <v>1712</v>
      </c>
      <c r="BI10" s="695" t="s">
        <v>1712</v>
      </c>
      <c r="BJ10" s="722"/>
      <c r="BK10" s="695" t="s">
        <v>1712</v>
      </c>
      <c r="BL10" s="695" t="s">
        <v>1712</v>
      </c>
      <c r="BM10" s="511" t="s">
        <v>1712</v>
      </c>
      <c r="BN10" s="695" t="s">
        <v>1712</v>
      </c>
      <c r="BO10" s="511" t="s">
        <v>1712</v>
      </c>
      <c r="BP10" s="511" t="s">
        <v>1712</v>
      </c>
      <c r="BQ10" s="511" t="s">
        <v>1712</v>
      </c>
      <c r="BR10" s="511" t="s">
        <v>1712</v>
      </c>
      <c r="BS10" s="511" t="s">
        <v>1712</v>
      </c>
      <c r="BT10" s="511" t="s">
        <v>1712</v>
      </c>
      <c r="BU10" s="511" t="s">
        <v>1712</v>
      </c>
      <c r="BV10" s="511" t="s">
        <v>1712</v>
      </c>
      <c r="BW10" s="511" t="s">
        <v>1715</v>
      </c>
      <c r="BX10" s="511" t="s">
        <v>1712</v>
      </c>
      <c r="BY10" s="511" t="s">
        <v>1712</v>
      </c>
      <c r="BZ10" s="511" t="s">
        <v>1712</v>
      </c>
      <c r="CA10" s="511" t="s">
        <v>1712</v>
      </c>
      <c r="CB10" s="511" t="s">
        <v>1712</v>
      </c>
      <c r="CC10" s="511" t="s">
        <v>1712</v>
      </c>
      <c r="CD10" s="511" t="s">
        <v>1712</v>
      </c>
      <c r="CE10" s="511" t="s">
        <v>1712</v>
      </c>
      <c r="CF10" s="511" t="s">
        <v>1712</v>
      </c>
      <c r="CG10" s="511"/>
      <c r="CH10" s="511"/>
      <c r="CI10" s="722"/>
      <c r="CJ10" s="511"/>
      <c r="CK10" s="511"/>
      <c r="CL10" s="511"/>
      <c r="CM10" s="511"/>
      <c r="CN10" s="511"/>
      <c r="CO10" s="511"/>
      <c r="CP10" s="511"/>
      <c r="CQ10" s="511"/>
      <c r="CR10" s="511"/>
      <c r="CS10" s="511" t="s">
        <v>1712</v>
      </c>
    </row>
    <row r="11" spans="1:97" ht="15.75">
      <c r="A11" s="692" t="s">
        <v>1730</v>
      </c>
      <c r="B11" s="693" t="s">
        <v>1712</v>
      </c>
      <c r="C11" s="511" t="s">
        <v>1712</v>
      </c>
      <c r="D11" s="511" t="s">
        <v>1712</v>
      </c>
      <c r="E11" s="511" t="s">
        <v>1712</v>
      </c>
      <c r="F11" s="511" t="s">
        <v>1712</v>
      </c>
      <c r="G11" s="511" t="s">
        <v>1712</v>
      </c>
      <c r="H11" s="511" t="s">
        <v>1712</v>
      </c>
      <c r="I11" s="511" t="s">
        <v>1712</v>
      </c>
      <c r="J11" s="511" t="s">
        <v>1731</v>
      </c>
      <c r="K11" s="511" t="s">
        <v>1715</v>
      </c>
      <c r="L11" s="511" t="s">
        <v>1712</v>
      </c>
      <c r="M11" s="511" t="s">
        <v>1715</v>
      </c>
      <c r="N11" s="511" t="s">
        <v>1712</v>
      </c>
      <c r="O11" s="511" t="s">
        <v>1714</v>
      </c>
      <c r="P11" s="695" t="s">
        <v>1712</v>
      </c>
      <c r="Q11" s="511" t="s">
        <v>1712</v>
      </c>
      <c r="R11" s="511" t="s">
        <v>1712</v>
      </c>
      <c r="S11" s="511" t="s">
        <v>1715</v>
      </c>
      <c r="T11" s="511" t="s">
        <v>1715</v>
      </c>
      <c r="U11" s="695" t="s">
        <v>1715</v>
      </c>
      <c r="V11" s="511" t="s">
        <v>1712</v>
      </c>
      <c r="W11" s="511" t="s">
        <v>1712</v>
      </c>
      <c r="X11" s="511" t="s">
        <v>1712</v>
      </c>
      <c r="Y11" s="511" t="s">
        <v>1712</v>
      </c>
      <c r="Z11" s="511" t="s">
        <v>1712</v>
      </c>
      <c r="AA11" s="511" t="s">
        <v>1712</v>
      </c>
      <c r="AB11" s="511" t="s">
        <v>1712</v>
      </c>
      <c r="AC11" s="511" t="s">
        <v>1712</v>
      </c>
      <c r="AD11" s="511" t="s">
        <v>1715</v>
      </c>
      <c r="AE11" s="722"/>
      <c r="AF11" s="511" t="s">
        <v>1712</v>
      </c>
      <c r="AG11" s="511" t="s">
        <v>1712</v>
      </c>
      <c r="AH11" s="511" t="s">
        <v>1712</v>
      </c>
      <c r="AI11" s="511" t="s">
        <v>1712</v>
      </c>
      <c r="AJ11" s="511" t="s">
        <v>1712</v>
      </c>
      <c r="AK11" s="511" t="s">
        <v>1712</v>
      </c>
      <c r="AL11" s="722"/>
      <c r="AM11" s="511" t="s">
        <v>1712</v>
      </c>
      <c r="AN11" s="511" t="s">
        <v>1712</v>
      </c>
      <c r="AO11" s="511" t="s">
        <v>1712</v>
      </c>
      <c r="AP11" s="722"/>
      <c r="AQ11" s="511" t="s">
        <v>1712</v>
      </c>
      <c r="AR11" s="511" t="s">
        <v>1712</v>
      </c>
      <c r="AS11" s="722"/>
      <c r="AT11" s="511" t="s">
        <v>1712</v>
      </c>
      <c r="AU11" s="511" t="s">
        <v>1715</v>
      </c>
      <c r="AV11" s="511" t="s">
        <v>1715</v>
      </c>
      <c r="AW11" s="511" t="s">
        <v>1712</v>
      </c>
      <c r="AX11" s="511" t="s">
        <v>1712</v>
      </c>
      <c r="AY11" s="722"/>
      <c r="AZ11" s="511" t="s">
        <v>1715</v>
      </c>
      <c r="BA11" s="511" t="s">
        <v>1712</v>
      </c>
      <c r="BB11" s="511" t="s">
        <v>1712</v>
      </c>
      <c r="BC11" s="511" t="s">
        <v>1712</v>
      </c>
      <c r="BD11" s="511" t="s">
        <v>1712</v>
      </c>
      <c r="BE11" s="511" t="s">
        <v>1715</v>
      </c>
      <c r="BF11" s="511" t="s">
        <v>1715</v>
      </c>
      <c r="BG11" s="511" t="s">
        <v>1715</v>
      </c>
      <c r="BH11" s="511" t="s">
        <v>1712</v>
      </c>
      <c r="BI11" s="695" t="s">
        <v>1712</v>
      </c>
      <c r="BJ11" s="722"/>
      <c r="BK11" s="695" t="s">
        <v>1712</v>
      </c>
      <c r="BL11" s="695" t="s">
        <v>1712</v>
      </c>
      <c r="BM11" s="511" t="s">
        <v>1712</v>
      </c>
      <c r="BN11" s="695" t="s">
        <v>1712</v>
      </c>
      <c r="BO11" s="511" t="s">
        <v>1715</v>
      </c>
      <c r="BP11" s="511" t="s">
        <v>1712</v>
      </c>
      <c r="BQ11" s="511" t="s">
        <v>1712</v>
      </c>
      <c r="BR11" s="511" t="s">
        <v>1732</v>
      </c>
      <c r="BS11" s="511" t="s">
        <v>1712</v>
      </c>
      <c r="BT11" s="511" t="s">
        <v>1712</v>
      </c>
      <c r="BU11" s="511" t="s">
        <v>1712</v>
      </c>
      <c r="BV11" s="511" t="s">
        <v>1712</v>
      </c>
      <c r="BW11" s="511" t="s">
        <v>1712</v>
      </c>
      <c r="BX11" s="511" t="s">
        <v>1712</v>
      </c>
      <c r="BY11" s="511" t="s">
        <v>1712</v>
      </c>
      <c r="BZ11" s="511" t="s">
        <v>1712</v>
      </c>
      <c r="CA11" s="511" t="s">
        <v>1712</v>
      </c>
      <c r="CB11" s="511" t="s">
        <v>1715</v>
      </c>
      <c r="CC11" s="511" t="s">
        <v>1715</v>
      </c>
      <c r="CD11" s="511" t="s">
        <v>1712</v>
      </c>
      <c r="CE11" s="511" t="s">
        <v>1712</v>
      </c>
      <c r="CF11" s="511" t="s">
        <v>1712</v>
      </c>
      <c r="CG11" s="511"/>
      <c r="CH11" s="511"/>
      <c r="CI11" s="722"/>
      <c r="CJ11" s="511"/>
      <c r="CK11" s="511"/>
      <c r="CL11" s="511"/>
      <c r="CM11" s="511"/>
      <c r="CN11" s="511"/>
      <c r="CO11" s="511"/>
      <c r="CP11" s="511"/>
      <c r="CQ11" s="511"/>
      <c r="CR11" s="511"/>
      <c r="CS11" s="511" t="s">
        <v>1712</v>
      </c>
    </row>
    <row r="12" spans="1:97" ht="15.75">
      <c r="A12" s="692" t="s">
        <v>876</v>
      </c>
      <c r="B12" s="693" t="s">
        <v>1712</v>
      </c>
      <c r="C12" s="511" t="s">
        <v>1715</v>
      </c>
      <c r="D12" s="511" t="s">
        <v>1712</v>
      </c>
      <c r="E12" s="511" t="s">
        <v>1712</v>
      </c>
      <c r="F12" s="511" t="s">
        <v>1715</v>
      </c>
      <c r="G12" s="511" t="s">
        <v>1715</v>
      </c>
      <c r="H12" s="511" t="s">
        <v>1712</v>
      </c>
      <c r="I12" s="511" t="s">
        <v>1715</v>
      </c>
      <c r="J12" s="511" t="s">
        <v>1712</v>
      </c>
      <c r="K12" s="511" t="s">
        <v>1715</v>
      </c>
      <c r="L12" s="511" t="s">
        <v>1712</v>
      </c>
      <c r="M12" s="511" t="s">
        <v>1715</v>
      </c>
      <c r="N12" s="511" t="s">
        <v>1715</v>
      </c>
      <c r="O12" s="511" t="s">
        <v>1714</v>
      </c>
      <c r="P12" s="695" t="s">
        <v>1712</v>
      </c>
      <c r="Q12" s="511" t="s">
        <v>1715</v>
      </c>
      <c r="R12" s="511" t="s">
        <v>1715</v>
      </c>
      <c r="S12" s="511" t="s">
        <v>1715</v>
      </c>
      <c r="T12" s="511" t="s">
        <v>1715</v>
      </c>
      <c r="U12" s="695" t="s">
        <v>1715</v>
      </c>
      <c r="V12" s="511" t="s">
        <v>1715</v>
      </c>
      <c r="W12" s="511" t="s">
        <v>1712</v>
      </c>
      <c r="X12" s="511" t="s">
        <v>1715</v>
      </c>
      <c r="Y12" s="511" t="s">
        <v>1715</v>
      </c>
      <c r="Z12" s="511" t="s">
        <v>1712</v>
      </c>
      <c r="AA12" s="511" t="s">
        <v>1715</v>
      </c>
      <c r="AB12" s="511" t="s">
        <v>1715</v>
      </c>
      <c r="AC12" s="511" t="s">
        <v>1712</v>
      </c>
      <c r="AD12" s="511" t="s">
        <v>1715</v>
      </c>
      <c r="AE12" s="722"/>
      <c r="AF12" s="511" t="s">
        <v>1715</v>
      </c>
      <c r="AG12" s="511" t="s">
        <v>1715</v>
      </c>
      <c r="AH12" s="511" t="s">
        <v>1715</v>
      </c>
      <c r="AI12" s="511" t="s">
        <v>1715</v>
      </c>
      <c r="AJ12" s="511" t="s">
        <v>1712</v>
      </c>
      <c r="AK12" s="511" t="s">
        <v>1712</v>
      </c>
      <c r="AL12" s="722"/>
      <c r="AM12" s="511" t="s">
        <v>1715</v>
      </c>
      <c r="AN12" s="511" t="s">
        <v>1715</v>
      </c>
      <c r="AO12" s="511" t="s">
        <v>1715</v>
      </c>
      <c r="AP12" s="722"/>
      <c r="AQ12" s="511" t="s">
        <v>1715</v>
      </c>
      <c r="AR12" s="511" t="s">
        <v>1715</v>
      </c>
      <c r="AS12" s="722"/>
      <c r="AT12" s="511" t="s">
        <v>1715</v>
      </c>
      <c r="AU12" s="511" t="s">
        <v>1715</v>
      </c>
      <c r="AV12" s="511" t="s">
        <v>1712</v>
      </c>
      <c r="AW12" s="511" t="s">
        <v>1712</v>
      </c>
      <c r="AX12" s="511" t="s">
        <v>1715</v>
      </c>
      <c r="AY12" s="722"/>
      <c r="AZ12" s="511" t="s">
        <v>1715</v>
      </c>
      <c r="BA12" s="511" t="s">
        <v>1715</v>
      </c>
      <c r="BB12" s="511" t="s">
        <v>1715</v>
      </c>
      <c r="BC12" s="511" t="s">
        <v>1712</v>
      </c>
      <c r="BD12" s="511" t="s">
        <v>1715</v>
      </c>
      <c r="BE12" s="511" t="s">
        <v>1712</v>
      </c>
      <c r="BF12" s="511" t="s">
        <v>1715</v>
      </c>
      <c r="BG12" s="511" t="s">
        <v>1715</v>
      </c>
      <c r="BH12" s="511" t="s">
        <v>1712</v>
      </c>
      <c r="BI12" s="695" t="s">
        <v>1715</v>
      </c>
      <c r="BJ12" s="722"/>
      <c r="BK12" s="695" t="s">
        <v>1715</v>
      </c>
      <c r="BL12" s="695" t="s">
        <v>1715</v>
      </c>
      <c r="BM12" s="511" t="s">
        <v>1712</v>
      </c>
      <c r="BN12" s="695" t="s">
        <v>1715</v>
      </c>
      <c r="BO12" s="511" t="s">
        <v>1715</v>
      </c>
      <c r="BP12" s="511" t="s">
        <v>1715</v>
      </c>
      <c r="BQ12" s="511" t="s">
        <v>1715</v>
      </c>
      <c r="BR12" s="511" t="s">
        <v>1712</v>
      </c>
      <c r="BS12" s="511" t="s">
        <v>1715</v>
      </c>
      <c r="BT12" s="511" t="s">
        <v>1715</v>
      </c>
      <c r="BU12" s="511" t="s">
        <v>1712</v>
      </c>
      <c r="BV12" s="511" t="s">
        <v>1712</v>
      </c>
      <c r="BW12" s="511" t="s">
        <v>1715</v>
      </c>
      <c r="BX12" s="511" t="s">
        <v>1715</v>
      </c>
      <c r="BY12" s="511" t="s">
        <v>1712</v>
      </c>
      <c r="BZ12" s="511" t="s">
        <v>1715</v>
      </c>
      <c r="CA12" s="511" t="s">
        <v>1715</v>
      </c>
      <c r="CB12" s="511" t="s">
        <v>1712</v>
      </c>
      <c r="CC12" s="511" t="s">
        <v>1715</v>
      </c>
      <c r="CD12" s="511" t="s">
        <v>1715</v>
      </c>
      <c r="CE12" s="511" t="s">
        <v>1712</v>
      </c>
      <c r="CF12" s="511" t="s">
        <v>1715</v>
      </c>
      <c r="CG12" s="511"/>
      <c r="CH12" s="511"/>
      <c r="CI12" s="722"/>
      <c r="CJ12" s="511"/>
      <c r="CK12" s="511"/>
      <c r="CL12" s="511"/>
      <c r="CM12" s="511"/>
      <c r="CN12" s="511"/>
      <c r="CO12" s="511"/>
      <c r="CP12" s="511"/>
      <c r="CQ12" s="511"/>
      <c r="CR12" s="511"/>
      <c r="CS12" s="511" t="s">
        <v>1715</v>
      </c>
    </row>
    <row r="13" spans="1:97" ht="15.75">
      <c r="A13" s="692" t="s">
        <v>1062</v>
      </c>
      <c r="B13" s="693" t="s">
        <v>1712</v>
      </c>
      <c r="C13" s="511" t="s">
        <v>1715</v>
      </c>
      <c r="D13" s="511" t="s">
        <v>1715</v>
      </c>
      <c r="E13" s="511" t="s">
        <v>1715</v>
      </c>
      <c r="F13" s="511" t="s">
        <v>1715</v>
      </c>
      <c r="G13" s="511" t="s">
        <v>1715</v>
      </c>
      <c r="H13" s="511" t="s">
        <v>1715</v>
      </c>
      <c r="I13" s="511" t="s">
        <v>1715</v>
      </c>
      <c r="J13" s="511" t="s">
        <v>1712</v>
      </c>
      <c r="K13" s="511" t="s">
        <v>1715</v>
      </c>
      <c r="L13" s="511" t="s">
        <v>1715</v>
      </c>
      <c r="M13" s="511" t="s">
        <v>1712</v>
      </c>
      <c r="N13" s="511" t="s">
        <v>1715</v>
      </c>
      <c r="O13" s="511" t="s">
        <v>1714</v>
      </c>
      <c r="P13" s="695" t="s">
        <v>1715</v>
      </c>
      <c r="Q13" s="511" t="s">
        <v>1715</v>
      </c>
      <c r="R13" s="511" t="s">
        <v>1715</v>
      </c>
      <c r="S13" s="511" t="s">
        <v>1715</v>
      </c>
      <c r="T13" s="511" t="s">
        <v>1715</v>
      </c>
      <c r="U13" s="695" t="s">
        <v>1715</v>
      </c>
      <c r="V13" s="511" t="s">
        <v>1712</v>
      </c>
      <c r="W13" s="511" t="s">
        <v>1715</v>
      </c>
      <c r="X13" s="511" t="s">
        <v>1715</v>
      </c>
      <c r="Y13" s="511" t="s">
        <v>1715</v>
      </c>
      <c r="Z13" s="511" t="s">
        <v>1715</v>
      </c>
      <c r="AA13" s="511" t="s">
        <v>1715</v>
      </c>
      <c r="AB13" s="511" t="s">
        <v>1715</v>
      </c>
      <c r="AC13" s="511" t="s">
        <v>1712</v>
      </c>
      <c r="AD13" s="511" t="s">
        <v>1715</v>
      </c>
      <c r="AE13" s="720"/>
      <c r="AF13" s="511" t="s">
        <v>1715</v>
      </c>
      <c r="AG13" s="511" t="s">
        <v>1715</v>
      </c>
      <c r="AH13" s="511" t="s">
        <v>1715</v>
      </c>
      <c r="AI13" s="511" t="s">
        <v>1712</v>
      </c>
      <c r="AJ13" s="511" t="s">
        <v>1715</v>
      </c>
      <c r="AK13" s="511" t="s">
        <v>1715</v>
      </c>
      <c r="AL13" s="720"/>
      <c r="AM13" s="511" t="s">
        <v>1715</v>
      </c>
      <c r="AN13" s="511" t="s">
        <v>1715</v>
      </c>
      <c r="AO13" s="511" t="s">
        <v>1715</v>
      </c>
      <c r="AP13" s="720"/>
      <c r="AQ13" s="511" t="s">
        <v>1715</v>
      </c>
      <c r="AR13" s="511" t="s">
        <v>1715</v>
      </c>
      <c r="AS13" s="720"/>
      <c r="AT13" s="511" t="s">
        <v>1715</v>
      </c>
      <c r="AU13" s="511" t="s">
        <v>1715</v>
      </c>
      <c r="AV13" s="511" t="s">
        <v>1715</v>
      </c>
      <c r="AW13" s="511" t="s">
        <v>1715</v>
      </c>
      <c r="AX13" s="511" t="s">
        <v>1715</v>
      </c>
      <c r="AY13" s="720"/>
      <c r="AZ13" s="511" t="s">
        <v>1715</v>
      </c>
      <c r="BA13" s="511" t="s">
        <v>1715</v>
      </c>
      <c r="BB13" s="511" t="s">
        <v>1715</v>
      </c>
      <c r="BC13" s="511" t="s">
        <v>1715</v>
      </c>
      <c r="BD13" s="511" t="s">
        <v>1715</v>
      </c>
      <c r="BE13" s="511" t="s">
        <v>1715</v>
      </c>
      <c r="BF13" s="511" t="s">
        <v>1715</v>
      </c>
      <c r="BG13" s="511" t="s">
        <v>1715</v>
      </c>
      <c r="BH13" s="511" t="s">
        <v>1715</v>
      </c>
      <c r="BI13" s="695" t="s">
        <v>1715</v>
      </c>
      <c r="BJ13" s="720"/>
      <c r="BK13" s="695" t="s">
        <v>1715</v>
      </c>
      <c r="BL13" s="695" t="s">
        <v>1715</v>
      </c>
      <c r="BM13" s="511" t="s">
        <v>1715</v>
      </c>
      <c r="BN13" s="695" t="s">
        <v>1715</v>
      </c>
      <c r="BO13" s="511" t="s">
        <v>1715</v>
      </c>
      <c r="BP13" s="511" t="s">
        <v>1715</v>
      </c>
      <c r="BQ13" s="511" t="s">
        <v>1715</v>
      </c>
      <c r="BR13" s="511" t="s">
        <v>1732</v>
      </c>
      <c r="BS13" s="511" t="s">
        <v>1715</v>
      </c>
      <c r="BT13" s="511" t="s">
        <v>1715</v>
      </c>
      <c r="BU13" s="511" t="s">
        <v>1715</v>
      </c>
      <c r="BV13" s="511" t="s">
        <v>1715</v>
      </c>
      <c r="BW13" s="511" t="s">
        <v>1715</v>
      </c>
      <c r="BX13" s="511" t="s">
        <v>1715</v>
      </c>
      <c r="BY13" s="511" t="s">
        <v>1715</v>
      </c>
      <c r="BZ13" s="511" t="s">
        <v>1715</v>
      </c>
      <c r="CA13" s="511" t="s">
        <v>1715</v>
      </c>
      <c r="CB13" s="511" t="s">
        <v>1715</v>
      </c>
      <c r="CC13" s="511" t="s">
        <v>1715</v>
      </c>
      <c r="CD13" s="511" t="s">
        <v>1712</v>
      </c>
      <c r="CE13" s="511" t="s">
        <v>1712</v>
      </c>
      <c r="CF13" s="511" t="s">
        <v>1712</v>
      </c>
      <c r="CG13" s="511"/>
      <c r="CH13" s="511"/>
      <c r="CI13" s="720"/>
      <c r="CJ13" s="511"/>
      <c r="CK13" s="511"/>
      <c r="CL13" s="511"/>
      <c r="CM13" s="511"/>
      <c r="CN13" s="511"/>
      <c r="CO13" s="511"/>
      <c r="CP13" s="511"/>
      <c r="CQ13" s="511"/>
      <c r="CR13" s="511"/>
      <c r="CS13" s="511" t="s">
        <v>1715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J4:BJ13"/>
    <mergeCell ref="CI4:CI13"/>
    <mergeCell ref="AE4:AE13"/>
    <mergeCell ref="AL4:AL13"/>
    <mergeCell ref="AP4:AP13"/>
    <mergeCell ref="AS4:AS13"/>
    <mergeCell ref="AY4:AY13"/>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0"/>
  <sheetViews>
    <sheetView workbookViewId="0"/>
  </sheetViews>
  <sheetFormatPr baseColWidth="10" defaultColWidth="11.21875" defaultRowHeight="15" customHeight="1"/>
  <cols>
    <col min="2" max="2" width="9.21875" customWidth="1"/>
    <col min="3" max="3" width="7.33203125" customWidth="1"/>
    <col min="4" max="4" width="12.109375" customWidth="1"/>
    <col min="5" max="5" width="11.77734375" customWidth="1"/>
    <col min="6" max="6" width="61.5546875" customWidth="1"/>
  </cols>
  <sheetData>
    <row r="1" spans="1:27" ht="15" customHeight="1">
      <c r="A1" s="697" t="s">
        <v>1733</v>
      </c>
      <c r="B1" s="698" t="s">
        <v>1734</v>
      </c>
      <c r="C1" s="698" t="s">
        <v>1735</v>
      </c>
      <c r="D1" s="698" t="s">
        <v>1736</v>
      </c>
      <c r="E1" s="698" t="s">
        <v>1737</v>
      </c>
      <c r="F1" s="699" t="s">
        <v>1738</v>
      </c>
    </row>
    <row r="2" spans="1:27" ht="15" customHeight="1">
      <c r="A2" s="700">
        <v>45793</v>
      </c>
      <c r="B2" s="701">
        <v>0.38333333333333336</v>
      </c>
      <c r="C2" s="701">
        <v>0.46527777777777779</v>
      </c>
      <c r="D2" s="701">
        <f t="shared" ref="D2:D4" si="0">C2-B2</f>
        <v>8.1944444444444431E-2</v>
      </c>
      <c r="E2" s="702" t="s">
        <v>1739</v>
      </c>
      <c r="F2" s="703" t="s">
        <v>1740</v>
      </c>
      <c r="G2" s="704"/>
      <c r="H2" s="704"/>
      <c r="I2" s="704"/>
      <c r="J2" s="704"/>
      <c r="K2" s="704"/>
      <c r="L2" s="704"/>
      <c r="M2" s="704"/>
      <c r="N2" s="704"/>
      <c r="O2" s="704"/>
      <c r="P2" s="704"/>
      <c r="Q2" s="704"/>
      <c r="R2" s="704"/>
      <c r="S2" s="704"/>
      <c r="T2" s="704"/>
      <c r="U2" s="704"/>
      <c r="V2" s="704"/>
      <c r="W2" s="704"/>
      <c r="X2" s="704"/>
      <c r="Y2" s="704"/>
      <c r="Z2" s="704"/>
      <c r="AA2" s="704"/>
    </row>
    <row r="3" spans="1:27" ht="15" customHeight="1">
      <c r="A3" s="700">
        <v>45817</v>
      </c>
      <c r="B3" s="705">
        <v>0.44236111111111109</v>
      </c>
      <c r="C3" s="705">
        <v>0.45069444444444445</v>
      </c>
      <c r="D3" s="701">
        <f t="shared" si="0"/>
        <v>8.3333333333333592E-3</v>
      </c>
      <c r="E3" s="706" t="s">
        <v>1739</v>
      </c>
      <c r="F3" s="707" t="s">
        <v>1741</v>
      </c>
    </row>
    <row r="4" spans="1:27" ht="15" customHeight="1">
      <c r="A4" s="708">
        <v>45817</v>
      </c>
      <c r="B4" s="709">
        <v>0.63263888888888886</v>
      </c>
      <c r="C4" s="709">
        <v>0.6479166666666667</v>
      </c>
      <c r="D4" s="710">
        <f t="shared" si="0"/>
        <v>1.5277777777777835E-2</v>
      </c>
      <c r="E4" s="711" t="s">
        <v>1739</v>
      </c>
      <c r="F4" s="712" t="s">
        <v>1742</v>
      </c>
    </row>
    <row r="5" spans="1:27" ht="15" customHeight="1">
      <c r="A5" s="713"/>
      <c r="B5" s="714"/>
      <c r="C5" s="714"/>
      <c r="D5" s="714"/>
      <c r="E5" s="714"/>
      <c r="F5" s="715"/>
    </row>
    <row r="6" spans="1:27" ht="15" customHeight="1">
      <c r="A6" s="713"/>
      <c r="B6" s="714"/>
      <c r="C6" s="714"/>
      <c r="D6" s="714"/>
      <c r="E6" s="714"/>
      <c r="F6" s="715"/>
    </row>
    <row r="7" spans="1:27" ht="15" customHeight="1">
      <c r="A7" s="713"/>
      <c r="B7" s="714"/>
      <c r="C7" s="714"/>
      <c r="D7" s="714"/>
      <c r="E7" s="714"/>
      <c r="F7" s="715"/>
    </row>
    <row r="8" spans="1:27" ht="15" customHeight="1">
      <c r="A8" s="713"/>
      <c r="B8" s="714"/>
      <c r="C8" s="714"/>
      <c r="D8" s="714"/>
      <c r="E8" s="714"/>
      <c r="F8" s="715"/>
    </row>
    <row r="9" spans="1:27" ht="15" customHeight="1">
      <c r="A9" s="713"/>
      <c r="B9" s="714"/>
      <c r="C9" s="714"/>
      <c r="D9" s="714"/>
      <c r="E9" s="714"/>
      <c r="F9" s="715"/>
    </row>
    <row r="10" spans="1:27" ht="15" customHeight="1">
      <c r="A10" s="713"/>
      <c r="B10" s="714"/>
      <c r="C10" s="714"/>
      <c r="D10" s="714"/>
      <c r="E10" s="714"/>
      <c r="F10" s="715"/>
    </row>
    <row r="11" spans="1:27" ht="15" customHeight="1">
      <c r="A11" s="713"/>
      <c r="B11" s="714"/>
      <c r="C11" s="714"/>
      <c r="D11" s="714"/>
      <c r="E11" s="714"/>
      <c r="F11" s="715"/>
    </row>
    <row r="12" spans="1:27" ht="15" customHeight="1">
      <c r="A12" s="713"/>
      <c r="B12" s="714"/>
      <c r="C12" s="714"/>
      <c r="D12" s="714"/>
      <c r="E12" s="714"/>
      <c r="F12" s="715"/>
    </row>
    <row r="13" spans="1:27" ht="15" customHeight="1">
      <c r="A13" s="713"/>
      <c r="B13" s="714"/>
      <c r="C13" s="714"/>
      <c r="D13" s="714"/>
      <c r="E13" s="714"/>
      <c r="F13" s="715"/>
    </row>
    <row r="14" spans="1:27" ht="15" customHeight="1">
      <c r="A14" s="713"/>
      <c r="B14" s="714"/>
      <c r="C14" s="714"/>
      <c r="D14" s="714"/>
      <c r="E14" s="714"/>
      <c r="F14" s="715"/>
    </row>
    <row r="15" spans="1:27" ht="15" customHeight="1">
      <c r="B15" s="684"/>
      <c r="C15" s="684"/>
      <c r="D15" s="684"/>
      <c r="E15" s="684"/>
      <c r="F15" s="716"/>
    </row>
    <row r="16" spans="1:27" ht="15" customHeight="1">
      <c r="B16" s="684"/>
      <c r="C16" s="684"/>
      <c r="D16" s="684"/>
      <c r="E16" s="684"/>
      <c r="F16" s="716"/>
    </row>
    <row r="17" spans="2:6" ht="15" customHeight="1">
      <c r="B17" s="684"/>
      <c r="C17" s="684"/>
      <c r="D17" s="684"/>
      <c r="E17" s="684"/>
      <c r="F17" s="716"/>
    </row>
    <row r="18" spans="2:6" ht="15" customHeight="1">
      <c r="B18" s="684"/>
      <c r="C18" s="684"/>
      <c r="D18" s="684"/>
      <c r="E18" s="684"/>
      <c r="F18" s="716"/>
    </row>
    <row r="19" spans="2:6" ht="15" customHeight="1">
      <c r="B19" s="684"/>
      <c r="C19" s="684"/>
      <c r="D19" s="684"/>
      <c r="E19" s="684"/>
      <c r="F19" s="716"/>
    </row>
    <row r="20" spans="2:6" ht="15" customHeight="1">
      <c r="B20" s="684"/>
      <c r="C20" s="684"/>
      <c r="D20" s="684"/>
      <c r="E20" s="684"/>
      <c r="F20" s="716"/>
    </row>
    <row r="21" spans="2:6" ht="15" customHeight="1">
      <c r="B21" s="684"/>
      <c r="C21" s="684"/>
      <c r="D21" s="684"/>
      <c r="E21" s="684"/>
      <c r="F21" s="716"/>
    </row>
    <row r="22" spans="2:6" ht="15" customHeight="1">
      <c r="B22" s="684"/>
      <c r="C22" s="684"/>
      <c r="D22" s="684"/>
      <c r="E22" s="684"/>
      <c r="F22" s="716"/>
    </row>
    <row r="23" spans="2:6" ht="15" customHeight="1">
      <c r="B23" s="684"/>
      <c r="C23" s="684"/>
      <c r="D23" s="684"/>
      <c r="E23" s="684"/>
      <c r="F23" s="716"/>
    </row>
    <row r="24" spans="2:6" ht="15" customHeight="1">
      <c r="B24" s="684"/>
      <c r="C24" s="684"/>
      <c r="D24" s="684"/>
      <c r="E24" s="684"/>
      <c r="F24" s="716"/>
    </row>
    <row r="25" spans="2:6" ht="15" customHeight="1">
      <c r="B25" s="684"/>
      <c r="C25" s="684"/>
      <c r="D25" s="684"/>
      <c r="E25" s="684"/>
      <c r="F25" s="716"/>
    </row>
    <row r="26" spans="2:6" ht="15" customHeight="1">
      <c r="B26" s="684"/>
      <c r="C26" s="684"/>
      <c r="D26" s="684"/>
      <c r="E26" s="684"/>
      <c r="F26" s="716"/>
    </row>
    <row r="27" spans="2:6" ht="15" customHeight="1">
      <c r="B27" s="684"/>
      <c r="C27" s="684"/>
      <c r="D27" s="684"/>
      <c r="E27" s="684"/>
      <c r="F27" s="716"/>
    </row>
    <row r="28" spans="2:6" ht="15" customHeight="1">
      <c r="B28" s="684"/>
      <c r="C28" s="684"/>
      <c r="D28" s="684"/>
      <c r="E28" s="684"/>
      <c r="F28" s="716"/>
    </row>
    <row r="29" spans="2:6" ht="15" customHeight="1">
      <c r="B29" s="684"/>
      <c r="C29" s="684"/>
      <c r="D29" s="684"/>
      <c r="E29" s="684"/>
      <c r="F29" s="716"/>
    </row>
    <row r="30" spans="2:6" ht="15" customHeight="1">
      <c r="B30" s="684"/>
      <c r="C30" s="684"/>
      <c r="D30" s="684"/>
      <c r="E30" s="684"/>
      <c r="F30" s="716"/>
    </row>
    <row r="31" spans="2:6" ht="15" customHeight="1">
      <c r="B31" s="684"/>
      <c r="C31" s="684"/>
      <c r="D31" s="684"/>
      <c r="E31" s="684"/>
      <c r="F31" s="716"/>
    </row>
    <row r="32" spans="2:6" ht="15" customHeight="1">
      <c r="B32" s="684"/>
      <c r="C32" s="684"/>
      <c r="D32" s="684"/>
      <c r="E32" s="684"/>
      <c r="F32" s="716"/>
    </row>
    <row r="33" spans="2:6" ht="15" customHeight="1">
      <c r="B33" s="684"/>
      <c r="C33" s="684"/>
      <c r="D33" s="684"/>
      <c r="E33" s="684"/>
      <c r="F33" s="716"/>
    </row>
    <row r="34" spans="2:6" ht="15" customHeight="1">
      <c r="B34" s="684"/>
      <c r="C34" s="684"/>
      <c r="D34" s="684"/>
      <c r="E34" s="684"/>
      <c r="F34" s="716"/>
    </row>
    <row r="35" spans="2:6" ht="15" customHeight="1">
      <c r="B35" s="684"/>
      <c r="C35" s="684"/>
      <c r="D35" s="684"/>
      <c r="E35" s="684"/>
      <c r="F35" s="716"/>
    </row>
    <row r="36" spans="2:6" ht="15" customHeight="1">
      <c r="B36" s="684"/>
      <c r="C36" s="684"/>
      <c r="D36" s="684"/>
      <c r="E36" s="684"/>
      <c r="F36" s="716"/>
    </row>
    <row r="37" spans="2:6" ht="15" customHeight="1">
      <c r="B37" s="684"/>
      <c r="C37" s="684"/>
      <c r="D37" s="684"/>
      <c r="E37" s="684"/>
      <c r="F37" s="716"/>
    </row>
    <row r="38" spans="2:6" ht="15" customHeight="1">
      <c r="B38" s="684"/>
      <c r="C38" s="684"/>
      <c r="D38" s="684"/>
      <c r="E38" s="684"/>
      <c r="F38" s="716"/>
    </row>
    <row r="39" spans="2:6" ht="15" customHeight="1">
      <c r="B39" s="684"/>
      <c r="C39" s="684"/>
      <c r="D39" s="684"/>
      <c r="E39" s="684"/>
      <c r="F39" s="716"/>
    </row>
    <row r="40" spans="2:6">
      <c r="B40" s="684"/>
      <c r="C40" s="684"/>
      <c r="D40" s="684"/>
      <c r="E40" s="684"/>
      <c r="F40" s="716"/>
    </row>
    <row r="41" spans="2:6">
      <c r="B41" s="684"/>
      <c r="C41" s="684"/>
      <c r="D41" s="684"/>
      <c r="E41" s="684"/>
      <c r="F41" s="716"/>
    </row>
    <row r="42" spans="2:6">
      <c r="B42" s="684"/>
      <c r="C42" s="684"/>
      <c r="D42" s="684"/>
      <c r="E42" s="684"/>
      <c r="F42" s="716"/>
    </row>
    <row r="43" spans="2:6">
      <c r="B43" s="684"/>
      <c r="C43" s="684"/>
      <c r="D43" s="684"/>
      <c r="E43" s="684"/>
      <c r="F43" s="716"/>
    </row>
    <row r="44" spans="2:6">
      <c r="B44" s="684"/>
      <c r="C44" s="684"/>
      <c r="D44" s="684"/>
      <c r="E44" s="684"/>
      <c r="F44" s="716"/>
    </row>
    <row r="45" spans="2:6">
      <c r="B45" s="684"/>
      <c r="C45" s="684"/>
      <c r="D45" s="684"/>
      <c r="E45" s="684"/>
      <c r="F45" s="716"/>
    </row>
    <row r="46" spans="2:6">
      <c r="B46" s="684"/>
      <c r="C46" s="684"/>
      <c r="D46" s="684"/>
      <c r="E46" s="684"/>
      <c r="F46" s="716"/>
    </row>
    <row r="47" spans="2:6">
      <c r="B47" s="684"/>
      <c r="C47" s="684"/>
      <c r="D47" s="684"/>
      <c r="E47" s="684"/>
      <c r="F47" s="716"/>
    </row>
    <row r="48" spans="2:6">
      <c r="B48" s="684"/>
      <c r="C48" s="684"/>
      <c r="D48" s="684"/>
      <c r="E48" s="684"/>
      <c r="F48" s="716"/>
    </row>
    <row r="49" spans="2:6">
      <c r="B49" s="684"/>
      <c r="C49" s="684"/>
      <c r="D49" s="684"/>
      <c r="E49" s="684"/>
      <c r="F49" s="716"/>
    </row>
    <row r="50" spans="2:6">
      <c r="B50" s="684"/>
      <c r="C50" s="684"/>
      <c r="D50" s="684"/>
      <c r="E50" s="684"/>
      <c r="F50" s="716"/>
    </row>
    <row r="51" spans="2:6">
      <c r="B51" s="684"/>
      <c r="C51" s="684"/>
      <c r="D51" s="684"/>
      <c r="E51" s="684"/>
      <c r="F51" s="716"/>
    </row>
    <row r="52" spans="2:6">
      <c r="B52" s="684"/>
      <c r="C52" s="684"/>
      <c r="D52" s="684"/>
      <c r="E52" s="684"/>
      <c r="F52" s="716"/>
    </row>
    <row r="53" spans="2:6">
      <c r="B53" s="684"/>
      <c r="C53" s="684"/>
      <c r="D53" s="684"/>
      <c r="E53" s="684"/>
      <c r="F53" s="716"/>
    </row>
    <row r="54" spans="2:6">
      <c r="B54" s="684"/>
      <c r="C54" s="684"/>
      <c r="D54" s="684"/>
      <c r="E54" s="684"/>
      <c r="F54" s="716"/>
    </row>
    <row r="55" spans="2:6">
      <c r="B55" s="684"/>
      <c r="C55" s="684"/>
      <c r="D55" s="684"/>
      <c r="E55" s="684"/>
      <c r="F55" s="716"/>
    </row>
    <row r="56" spans="2:6">
      <c r="B56" s="684"/>
      <c r="C56" s="684"/>
      <c r="D56" s="684"/>
      <c r="E56" s="684"/>
      <c r="F56" s="716"/>
    </row>
    <row r="57" spans="2:6">
      <c r="B57" s="684"/>
      <c r="C57" s="684"/>
      <c r="D57" s="684"/>
      <c r="E57" s="684"/>
      <c r="F57" s="716"/>
    </row>
    <row r="58" spans="2:6">
      <c r="B58" s="684"/>
      <c r="C58" s="684"/>
      <c r="D58" s="684"/>
      <c r="E58" s="684"/>
      <c r="F58" s="716"/>
    </row>
    <row r="59" spans="2:6">
      <c r="B59" s="684"/>
      <c r="C59" s="684"/>
      <c r="D59" s="684"/>
      <c r="E59" s="684"/>
      <c r="F59" s="716"/>
    </row>
    <row r="60" spans="2:6">
      <c r="B60" s="684"/>
      <c r="C60" s="684"/>
      <c r="D60" s="684"/>
      <c r="E60" s="684"/>
      <c r="F60" s="716"/>
    </row>
    <row r="61" spans="2:6">
      <c r="B61" s="684"/>
      <c r="C61" s="684"/>
      <c r="D61" s="684"/>
      <c r="E61" s="684"/>
      <c r="F61" s="716"/>
    </row>
    <row r="62" spans="2:6">
      <c r="B62" s="684"/>
      <c r="C62" s="684"/>
      <c r="D62" s="684"/>
      <c r="E62" s="684"/>
      <c r="F62" s="716"/>
    </row>
    <row r="63" spans="2:6">
      <c r="B63" s="684"/>
      <c r="C63" s="684"/>
      <c r="D63" s="684"/>
      <c r="E63" s="684"/>
      <c r="F63" s="716"/>
    </row>
    <row r="64" spans="2:6">
      <c r="B64" s="684"/>
      <c r="C64" s="684"/>
      <c r="D64" s="684"/>
      <c r="E64" s="684"/>
      <c r="F64" s="716"/>
    </row>
    <row r="65" spans="2:6">
      <c r="B65" s="684"/>
      <c r="C65" s="684"/>
      <c r="D65" s="684"/>
      <c r="E65" s="684"/>
      <c r="F65" s="716"/>
    </row>
    <row r="66" spans="2:6">
      <c r="B66" s="684"/>
      <c r="C66" s="684"/>
      <c r="D66" s="684"/>
      <c r="E66" s="684"/>
      <c r="F66" s="716"/>
    </row>
    <row r="67" spans="2:6">
      <c r="B67" s="684"/>
      <c r="C67" s="684"/>
      <c r="D67" s="684"/>
      <c r="E67" s="684"/>
      <c r="F67" s="716"/>
    </row>
    <row r="68" spans="2:6">
      <c r="B68" s="684"/>
      <c r="C68" s="684"/>
      <c r="D68" s="684"/>
      <c r="E68" s="684"/>
      <c r="F68" s="716"/>
    </row>
    <row r="69" spans="2:6">
      <c r="B69" s="684"/>
      <c r="C69" s="684"/>
      <c r="D69" s="684"/>
      <c r="E69" s="684"/>
      <c r="F69" s="716"/>
    </row>
    <row r="70" spans="2:6">
      <c r="B70" s="684"/>
      <c r="C70" s="684"/>
      <c r="D70" s="684"/>
      <c r="E70" s="684"/>
      <c r="F70" s="716"/>
    </row>
    <row r="71" spans="2:6">
      <c r="B71" s="684"/>
      <c r="C71" s="684"/>
      <c r="D71" s="684"/>
      <c r="E71" s="684"/>
      <c r="F71" s="716"/>
    </row>
    <row r="72" spans="2:6">
      <c r="B72" s="684"/>
      <c r="C72" s="684"/>
      <c r="D72" s="684"/>
      <c r="E72" s="684"/>
      <c r="F72" s="716"/>
    </row>
    <row r="73" spans="2:6">
      <c r="B73" s="684"/>
      <c r="C73" s="684"/>
      <c r="D73" s="684"/>
      <c r="E73" s="684"/>
      <c r="F73" s="716"/>
    </row>
    <row r="74" spans="2:6">
      <c r="B74" s="684"/>
      <c r="C74" s="684"/>
      <c r="D74" s="684"/>
      <c r="E74" s="684"/>
      <c r="F74" s="716"/>
    </row>
    <row r="75" spans="2:6">
      <c r="B75" s="684"/>
      <c r="C75" s="684"/>
      <c r="D75" s="684"/>
      <c r="E75" s="684"/>
      <c r="F75" s="716"/>
    </row>
    <row r="76" spans="2:6">
      <c r="B76" s="684"/>
      <c r="C76" s="684"/>
      <c r="D76" s="684"/>
      <c r="E76" s="684"/>
      <c r="F76" s="716"/>
    </row>
    <row r="77" spans="2:6">
      <c r="B77" s="684"/>
      <c r="C77" s="684"/>
      <c r="D77" s="684"/>
      <c r="E77" s="684"/>
      <c r="F77" s="716"/>
    </row>
    <row r="78" spans="2:6">
      <c r="B78" s="684"/>
      <c r="C78" s="684"/>
      <c r="D78" s="684"/>
      <c r="E78" s="684"/>
      <c r="F78" s="716"/>
    </row>
    <row r="79" spans="2:6">
      <c r="B79" s="684"/>
      <c r="C79" s="684"/>
      <c r="D79" s="684"/>
      <c r="E79" s="684"/>
      <c r="F79" s="716"/>
    </row>
    <row r="80" spans="2:6">
      <c r="B80" s="684"/>
      <c r="C80" s="684"/>
      <c r="D80" s="684"/>
      <c r="E80" s="684"/>
      <c r="F80" s="716"/>
    </row>
    <row r="81" spans="2:6">
      <c r="B81" s="684"/>
      <c r="C81" s="684"/>
      <c r="D81" s="684"/>
      <c r="E81" s="684"/>
      <c r="F81" s="716"/>
    </row>
    <row r="82" spans="2:6">
      <c r="B82" s="684"/>
      <c r="C82" s="684"/>
      <c r="D82" s="684"/>
      <c r="E82" s="684"/>
      <c r="F82" s="716"/>
    </row>
    <row r="83" spans="2:6">
      <c r="B83" s="684"/>
      <c r="C83" s="684"/>
      <c r="D83" s="684"/>
      <c r="E83" s="684"/>
      <c r="F83" s="716"/>
    </row>
    <row r="84" spans="2:6">
      <c r="B84" s="684"/>
      <c r="C84" s="684"/>
      <c r="D84" s="684"/>
      <c r="E84" s="684"/>
      <c r="F84" s="716"/>
    </row>
    <row r="85" spans="2:6">
      <c r="B85" s="684"/>
      <c r="C85" s="684"/>
      <c r="D85" s="684"/>
      <c r="E85" s="684"/>
      <c r="F85" s="716"/>
    </row>
    <row r="86" spans="2:6">
      <c r="B86" s="684"/>
      <c r="C86" s="684"/>
      <c r="D86" s="684"/>
      <c r="E86" s="684"/>
      <c r="F86" s="716"/>
    </row>
    <row r="87" spans="2:6">
      <c r="B87" s="684"/>
      <c r="C87" s="684"/>
      <c r="D87" s="684"/>
      <c r="E87" s="684"/>
      <c r="F87" s="716"/>
    </row>
    <row r="88" spans="2:6">
      <c r="B88" s="684"/>
      <c r="C88" s="684"/>
      <c r="D88" s="684"/>
      <c r="E88" s="684"/>
      <c r="F88" s="716"/>
    </row>
    <row r="89" spans="2:6">
      <c r="B89" s="684"/>
      <c r="C89" s="684"/>
      <c r="D89" s="684"/>
      <c r="E89" s="684"/>
      <c r="F89" s="716"/>
    </row>
    <row r="90" spans="2:6">
      <c r="B90" s="684"/>
      <c r="C90" s="684"/>
      <c r="D90" s="684"/>
      <c r="E90" s="684"/>
      <c r="F90" s="716"/>
    </row>
    <row r="91" spans="2:6">
      <c r="B91" s="684"/>
      <c r="C91" s="684"/>
      <c r="D91" s="684"/>
      <c r="E91" s="684"/>
      <c r="F91" s="716"/>
    </row>
    <row r="92" spans="2:6">
      <c r="B92" s="684"/>
      <c r="C92" s="684"/>
      <c r="D92" s="684"/>
      <c r="E92" s="684"/>
      <c r="F92" s="716"/>
    </row>
    <row r="93" spans="2:6">
      <c r="B93" s="684"/>
      <c r="C93" s="684"/>
      <c r="D93" s="684"/>
      <c r="E93" s="684"/>
      <c r="F93" s="716"/>
    </row>
    <row r="94" spans="2:6">
      <c r="B94" s="684"/>
      <c r="C94" s="684"/>
      <c r="D94" s="684"/>
      <c r="E94" s="684"/>
      <c r="F94" s="716"/>
    </row>
    <row r="95" spans="2:6">
      <c r="B95" s="684"/>
      <c r="C95" s="684"/>
      <c r="D95" s="684"/>
      <c r="E95" s="684"/>
      <c r="F95" s="716"/>
    </row>
    <row r="96" spans="2:6">
      <c r="B96" s="684"/>
      <c r="C96" s="684"/>
      <c r="D96" s="684"/>
      <c r="E96" s="684"/>
      <c r="F96" s="716"/>
    </row>
    <row r="97" spans="2:6">
      <c r="B97" s="684"/>
      <c r="C97" s="684"/>
      <c r="D97" s="684"/>
      <c r="E97" s="684"/>
      <c r="F97" s="716"/>
    </row>
    <row r="98" spans="2:6">
      <c r="B98" s="684"/>
      <c r="C98" s="684"/>
      <c r="D98" s="684"/>
      <c r="E98" s="684"/>
      <c r="F98" s="716"/>
    </row>
    <row r="99" spans="2:6">
      <c r="B99" s="684"/>
      <c r="C99" s="684"/>
      <c r="D99" s="684"/>
      <c r="E99" s="684"/>
      <c r="F99" s="716"/>
    </row>
    <row r="100" spans="2:6">
      <c r="B100" s="684"/>
      <c r="C100" s="684"/>
      <c r="D100" s="684"/>
      <c r="E100" s="684"/>
      <c r="F100" s="716"/>
    </row>
    <row r="101" spans="2:6">
      <c r="B101" s="684"/>
      <c r="C101" s="684"/>
      <c r="D101" s="684"/>
      <c r="E101" s="684"/>
      <c r="F101" s="716"/>
    </row>
    <row r="102" spans="2:6">
      <c r="B102" s="684"/>
      <c r="C102" s="684"/>
      <c r="D102" s="684"/>
      <c r="E102" s="684"/>
      <c r="F102" s="716"/>
    </row>
    <row r="103" spans="2:6">
      <c r="B103" s="684"/>
      <c r="C103" s="684"/>
      <c r="D103" s="684"/>
      <c r="E103" s="684"/>
      <c r="F103" s="716"/>
    </row>
    <row r="104" spans="2:6">
      <c r="B104" s="684"/>
      <c r="C104" s="684"/>
      <c r="D104" s="684"/>
      <c r="E104" s="684"/>
      <c r="F104" s="716"/>
    </row>
    <row r="105" spans="2:6">
      <c r="B105" s="684"/>
      <c r="C105" s="684"/>
      <c r="D105" s="684"/>
      <c r="E105" s="684"/>
      <c r="F105" s="716"/>
    </row>
    <row r="106" spans="2:6">
      <c r="B106" s="684"/>
      <c r="C106" s="684"/>
      <c r="D106" s="684"/>
      <c r="E106" s="684"/>
      <c r="F106" s="716"/>
    </row>
    <row r="107" spans="2:6">
      <c r="B107" s="684"/>
      <c r="C107" s="684"/>
      <c r="D107" s="684"/>
      <c r="E107" s="684"/>
      <c r="F107" s="716"/>
    </row>
    <row r="108" spans="2:6">
      <c r="B108" s="684"/>
      <c r="C108" s="684"/>
      <c r="D108" s="684"/>
      <c r="E108" s="684"/>
      <c r="F108" s="716"/>
    </row>
    <row r="109" spans="2:6">
      <c r="B109" s="684"/>
      <c r="C109" s="684"/>
      <c r="D109" s="684"/>
      <c r="E109" s="684"/>
      <c r="F109" s="716"/>
    </row>
    <row r="110" spans="2:6">
      <c r="B110" s="684"/>
      <c r="C110" s="684"/>
      <c r="D110" s="684"/>
      <c r="E110" s="684"/>
      <c r="F110" s="716"/>
    </row>
    <row r="111" spans="2:6">
      <c r="B111" s="684"/>
      <c r="C111" s="684"/>
      <c r="D111" s="684"/>
      <c r="E111" s="684"/>
      <c r="F111" s="716"/>
    </row>
    <row r="112" spans="2:6">
      <c r="B112" s="684"/>
      <c r="C112" s="684"/>
      <c r="D112" s="684"/>
      <c r="E112" s="684"/>
      <c r="F112" s="716"/>
    </row>
    <row r="113" spans="2:6">
      <c r="B113" s="684"/>
      <c r="C113" s="684"/>
      <c r="D113" s="684"/>
      <c r="E113" s="684"/>
      <c r="F113" s="716"/>
    </row>
    <row r="114" spans="2:6">
      <c r="B114" s="684"/>
      <c r="C114" s="684"/>
      <c r="D114" s="684"/>
      <c r="E114" s="684"/>
      <c r="F114" s="716"/>
    </row>
    <row r="115" spans="2:6">
      <c r="B115" s="684"/>
      <c r="C115" s="684"/>
      <c r="D115" s="684"/>
      <c r="E115" s="684"/>
      <c r="F115" s="716"/>
    </row>
    <row r="116" spans="2:6">
      <c r="B116" s="684"/>
      <c r="C116" s="684"/>
      <c r="D116" s="684"/>
      <c r="E116" s="684"/>
      <c r="F116" s="716"/>
    </row>
    <row r="117" spans="2:6">
      <c r="B117" s="684"/>
      <c r="C117" s="684"/>
      <c r="D117" s="684"/>
      <c r="E117" s="684"/>
      <c r="F117" s="716"/>
    </row>
    <row r="118" spans="2:6">
      <c r="B118" s="684"/>
      <c r="C118" s="684"/>
      <c r="D118" s="684"/>
      <c r="E118" s="684"/>
      <c r="F118" s="716"/>
    </row>
    <row r="119" spans="2:6">
      <c r="B119" s="684"/>
      <c r="C119" s="684"/>
      <c r="D119" s="684"/>
      <c r="E119" s="684"/>
      <c r="F119" s="716"/>
    </row>
    <row r="120" spans="2:6">
      <c r="B120" s="684"/>
      <c r="C120" s="684"/>
      <c r="D120" s="684"/>
      <c r="E120" s="684"/>
      <c r="F120" s="716"/>
    </row>
    <row r="121" spans="2:6">
      <c r="B121" s="684"/>
      <c r="C121" s="684"/>
      <c r="D121" s="684"/>
      <c r="E121" s="684"/>
      <c r="F121" s="716"/>
    </row>
    <row r="122" spans="2:6">
      <c r="B122" s="684"/>
      <c r="C122" s="684"/>
      <c r="D122" s="684"/>
      <c r="E122" s="684"/>
      <c r="F122" s="716"/>
    </row>
    <row r="123" spans="2:6">
      <c r="B123" s="684"/>
      <c r="C123" s="684"/>
      <c r="D123" s="684"/>
      <c r="E123" s="684"/>
      <c r="F123" s="716"/>
    </row>
    <row r="124" spans="2:6">
      <c r="B124" s="684"/>
      <c r="C124" s="684"/>
      <c r="D124" s="684"/>
      <c r="E124" s="684"/>
      <c r="F124" s="716"/>
    </row>
    <row r="125" spans="2:6">
      <c r="B125" s="684"/>
      <c r="C125" s="684"/>
      <c r="D125" s="684"/>
      <c r="E125" s="684"/>
      <c r="F125" s="716"/>
    </row>
    <row r="126" spans="2:6">
      <c r="B126" s="684"/>
      <c r="C126" s="684"/>
      <c r="D126" s="684"/>
      <c r="E126" s="684"/>
      <c r="F126" s="716"/>
    </row>
    <row r="127" spans="2:6">
      <c r="B127" s="684"/>
      <c r="C127" s="684"/>
      <c r="D127" s="684"/>
      <c r="E127" s="684"/>
      <c r="F127" s="716"/>
    </row>
    <row r="128" spans="2:6">
      <c r="B128" s="684"/>
      <c r="C128" s="684"/>
      <c r="D128" s="684"/>
      <c r="E128" s="684"/>
      <c r="F128" s="716"/>
    </row>
    <row r="129" spans="2:6">
      <c r="B129" s="684"/>
      <c r="C129" s="684"/>
      <c r="D129" s="684"/>
      <c r="E129" s="684"/>
      <c r="F129" s="716"/>
    </row>
    <row r="130" spans="2:6">
      <c r="B130" s="684"/>
      <c r="C130" s="684"/>
      <c r="D130" s="684"/>
      <c r="E130" s="684"/>
      <c r="F130" s="716"/>
    </row>
    <row r="131" spans="2:6">
      <c r="B131" s="684"/>
      <c r="C131" s="684"/>
      <c r="D131" s="684"/>
      <c r="E131" s="684"/>
      <c r="F131" s="716"/>
    </row>
    <row r="132" spans="2:6">
      <c r="B132" s="684"/>
      <c r="C132" s="684"/>
      <c r="D132" s="684"/>
      <c r="E132" s="684"/>
      <c r="F132" s="716"/>
    </row>
    <row r="133" spans="2:6">
      <c r="B133" s="684"/>
      <c r="C133" s="684"/>
      <c r="D133" s="684"/>
      <c r="E133" s="684"/>
      <c r="F133" s="716"/>
    </row>
    <row r="134" spans="2:6">
      <c r="B134" s="684"/>
      <c r="C134" s="684"/>
      <c r="D134" s="684"/>
      <c r="E134" s="684"/>
      <c r="F134" s="716"/>
    </row>
    <row r="135" spans="2:6">
      <c r="B135" s="684"/>
      <c r="C135" s="684"/>
      <c r="D135" s="684"/>
      <c r="E135" s="684"/>
      <c r="F135" s="716"/>
    </row>
    <row r="136" spans="2:6">
      <c r="B136" s="684"/>
      <c r="C136" s="684"/>
      <c r="D136" s="684"/>
      <c r="E136" s="684"/>
      <c r="F136" s="716"/>
    </row>
    <row r="137" spans="2:6">
      <c r="B137" s="684"/>
      <c r="C137" s="684"/>
      <c r="D137" s="684"/>
      <c r="E137" s="684"/>
      <c r="F137" s="716"/>
    </row>
    <row r="138" spans="2:6">
      <c r="B138" s="684"/>
      <c r="C138" s="684"/>
      <c r="D138" s="684"/>
      <c r="E138" s="684"/>
      <c r="F138" s="716"/>
    </row>
    <row r="139" spans="2:6">
      <c r="B139" s="684"/>
      <c r="C139" s="684"/>
      <c r="D139" s="684"/>
      <c r="E139" s="684"/>
      <c r="F139" s="716"/>
    </row>
    <row r="140" spans="2:6">
      <c r="B140" s="684"/>
      <c r="C140" s="684"/>
      <c r="D140" s="684"/>
      <c r="E140" s="684"/>
      <c r="F140" s="716"/>
    </row>
    <row r="141" spans="2:6">
      <c r="B141" s="684"/>
      <c r="C141" s="684"/>
      <c r="D141" s="684"/>
      <c r="E141" s="684"/>
      <c r="F141" s="716"/>
    </row>
    <row r="142" spans="2:6">
      <c r="B142" s="684"/>
      <c r="C142" s="684"/>
      <c r="D142" s="684"/>
      <c r="E142" s="684"/>
      <c r="F142" s="716"/>
    </row>
    <row r="143" spans="2:6">
      <c r="B143" s="684"/>
      <c r="C143" s="684"/>
      <c r="D143" s="684"/>
      <c r="E143" s="684"/>
      <c r="F143" s="716"/>
    </row>
    <row r="144" spans="2:6">
      <c r="B144" s="684"/>
      <c r="C144" s="684"/>
      <c r="D144" s="684"/>
      <c r="E144" s="684"/>
      <c r="F144" s="716"/>
    </row>
    <row r="145" spans="2:6">
      <c r="B145" s="684"/>
      <c r="C145" s="684"/>
      <c r="D145" s="684"/>
      <c r="E145" s="684"/>
      <c r="F145" s="716"/>
    </row>
    <row r="146" spans="2:6">
      <c r="B146" s="684"/>
      <c r="C146" s="684"/>
      <c r="D146" s="684"/>
      <c r="E146" s="684"/>
      <c r="F146" s="716"/>
    </row>
    <row r="147" spans="2:6">
      <c r="B147" s="684"/>
      <c r="C147" s="684"/>
      <c r="D147" s="684"/>
      <c r="E147" s="684"/>
      <c r="F147" s="716"/>
    </row>
    <row r="148" spans="2:6">
      <c r="B148" s="684"/>
      <c r="C148" s="684"/>
      <c r="D148" s="684"/>
      <c r="E148" s="684"/>
      <c r="F148" s="716"/>
    </row>
    <row r="149" spans="2:6">
      <c r="B149" s="684"/>
      <c r="C149" s="684"/>
      <c r="D149" s="684"/>
      <c r="E149" s="684"/>
      <c r="F149" s="716"/>
    </row>
    <row r="150" spans="2:6">
      <c r="B150" s="684"/>
      <c r="C150" s="684"/>
      <c r="D150" s="684"/>
      <c r="E150" s="684"/>
      <c r="F150" s="716"/>
    </row>
    <row r="151" spans="2:6">
      <c r="B151" s="684"/>
      <c r="C151" s="684"/>
      <c r="D151" s="684"/>
      <c r="E151" s="684"/>
      <c r="F151" s="716"/>
    </row>
    <row r="152" spans="2:6">
      <c r="B152" s="684"/>
      <c r="C152" s="684"/>
      <c r="D152" s="684"/>
      <c r="E152" s="684"/>
      <c r="F152" s="716"/>
    </row>
    <row r="153" spans="2:6">
      <c r="B153" s="684"/>
      <c r="C153" s="684"/>
      <c r="D153" s="684"/>
      <c r="E153" s="684"/>
      <c r="F153" s="716"/>
    </row>
    <row r="154" spans="2:6">
      <c r="B154" s="684"/>
      <c r="C154" s="684"/>
      <c r="D154" s="684"/>
      <c r="E154" s="684"/>
      <c r="F154" s="716"/>
    </row>
    <row r="155" spans="2:6">
      <c r="B155" s="684"/>
      <c r="C155" s="684"/>
      <c r="D155" s="684"/>
      <c r="E155" s="684"/>
      <c r="F155" s="716"/>
    </row>
    <row r="156" spans="2:6">
      <c r="B156" s="684"/>
      <c r="C156" s="684"/>
      <c r="D156" s="684"/>
      <c r="E156" s="684"/>
      <c r="F156" s="716"/>
    </row>
    <row r="157" spans="2:6">
      <c r="B157" s="684"/>
      <c r="C157" s="684"/>
      <c r="D157" s="684"/>
      <c r="E157" s="684"/>
      <c r="F157" s="716"/>
    </row>
    <row r="158" spans="2:6">
      <c r="B158" s="684"/>
      <c r="C158" s="684"/>
      <c r="D158" s="684"/>
      <c r="E158" s="684"/>
      <c r="F158" s="716"/>
    </row>
    <row r="159" spans="2:6">
      <c r="B159" s="684"/>
      <c r="C159" s="684"/>
      <c r="D159" s="684"/>
      <c r="E159" s="684"/>
      <c r="F159" s="716"/>
    </row>
    <row r="160" spans="2:6">
      <c r="B160" s="684"/>
      <c r="C160" s="684"/>
      <c r="D160" s="684"/>
      <c r="E160" s="684"/>
      <c r="F160" s="716"/>
    </row>
    <row r="161" spans="2:6">
      <c r="B161" s="684"/>
      <c r="C161" s="684"/>
      <c r="D161" s="684"/>
      <c r="E161" s="684"/>
      <c r="F161" s="716"/>
    </row>
    <row r="162" spans="2:6">
      <c r="B162" s="684"/>
      <c r="C162" s="684"/>
      <c r="D162" s="684"/>
      <c r="E162" s="684"/>
      <c r="F162" s="716"/>
    </row>
    <row r="163" spans="2:6">
      <c r="B163" s="684"/>
      <c r="C163" s="684"/>
      <c r="D163" s="684"/>
      <c r="E163" s="684"/>
      <c r="F163" s="716"/>
    </row>
    <row r="164" spans="2:6">
      <c r="B164" s="684"/>
      <c r="C164" s="684"/>
      <c r="D164" s="684"/>
      <c r="E164" s="684"/>
      <c r="F164" s="716"/>
    </row>
    <row r="165" spans="2:6">
      <c r="B165" s="684"/>
      <c r="C165" s="684"/>
      <c r="D165" s="684"/>
      <c r="E165" s="684"/>
      <c r="F165" s="716"/>
    </row>
    <row r="166" spans="2:6">
      <c r="B166" s="684"/>
      <c r="C166" s="684"/>
      <c r="D166" s="684"/>
      <c r="E166" s="684"/>
      <c r="F166" s="716"/>
    </row>
    <row r="167" spans="2:6">
      <c r="B167" s="684"/>
      <c r="C167" s="684"/>
      <c r="D167" s="684"/>
      <c r="E167" s="684"/>
      <c r="F167" s="716"/>
    </row>
    <row r="168" spans="2:6">
      <c r="B168" s="684"/>
      <c r="C168" s="684"/>
      <c r="D168" s="684"/>
      <c r="E168" s="684"/>
      <c r="F168" s="716"/>
    </row>
    <row r="169" spans="2:6">
      <c r="B169" s="684"/>
      <c r="C169" s="684"/>
      <c r="D169" s="684"/>
      <c r="E169" s="684"/>
      <c r="F169" s="716"/>
    </row>
    <row r="170" spans="2:6">
      <c r="B170" s="684"/>
      <c r="C170" s="684"/>
      <c r="D170" s="684"/>
      <c r="E170" s="684"/>
      <c r="F170" s="716"/>
    </row>
    <row r="171" spans="2:6">
      <c r="B171" s="684"/>
      <c r="C171" s="684"/>
      <c r="D171" s="684"/>
      <c r="E171" s="684"/>
      <c r="F171" s="716"/>
    </row>
    <row r="172" spans="2:6">
      <c r="B172" s="684"/>
      <c r="C172" s="684"/>
      <c r="D172" s="684"/>
      <c r="E172" s="684"/>
      <c r="F172" s="716"/>
    </row>
    <row r="173" spans="2:6">
      <c r="B173" s="684"/>
      <c r="C173" s="684"/>
      <c r="D173" s="684"/>
      <c r="E173" s="684"/>
      <c r="F173" s="716"/>
    </row>
    <row r="174" spans="2:6">
      <c r="B174" s="684"/>
      <c r="C174" s="684"/>
      <c r="D174" s="684"/>
      <c r="E174" s="684"/>
      <c r="F174" s="716"/>
    </row>
    <row r="175" spans="2:6">
      <c r="B175" s="684"/>
      <c r="C175" s="684"/>
      <c r="D175" s="684"/>
      <c r="E175" s="684"/>
      <c r="F175" s="716"/>
    </row>
    <row r="176" spans="2:6">
      <c r="B176" s="684"/>
      <c r="C176" s="684"/>
      <c r="D176" s="684"/>
      <c r="E176" s="684"/>
      <c r="F176" s="716"/>
    </row>
    <row r="177" spans="2:6">
      <c r="B177" s="684"/>
      <c r="C177" s="684"/>
      <c r="D177" s="684"/>
      <c r="E177" s="684"/>
      <c r="F177" s="716"/>
    </row>
    <row r="178" spans="2:6">
      <c r="B178" s="684"/>
      <c r="C178" s="684"/>
      <c r="D178" s="684"/>
      <c r="E178" s="684"/>
      <c r="F178" s="716"/>
    </row>
    <row r="179" spans="2:6">
      <c r="B179" s="684"/>
      <c r="C179" s="684"/>
      <c r="D179" s="684"/>
      <c r="E179" s="684"/>
      <c r="F179" s="716"/>
    </row>
    <row r="180" spans="2:6">
      <c r="B180" s="684"/>
      <c r="C180" s="684"/>
      <c r="D180" s="684"/>
      <c r="E180" s="684"/>
      <c r="F180" s="716"/>
    </row>
    <row r="181" spans="2:6">
      <c r="B181" s="684"/>
      <c r="C181" s="684"/>
      <c r="D181" s="684"/>
      <c r="E181" s="684"/>
      <c r="F181" s="716"/>
    </row>
    <row r="182" spans="2:6">
      <c r="B182" s="684"/>
      <c r="C182" s="684"/>
      <c r="D182" s="684"/>
      <c r="E182" s="684"/>
      <c r="F182" s="716"/>
    </row>
    <row r="183" spans="2:6">
      <c r="B183" s="684"/>
      <c r="C183" s="684"/>
      <c r="D183" s="684"/>
      <c r="E183" s="684"/>
      <c r="F183" s="716"/>
    </row>
    <row r="184" spans="2:6">
      <c r="B184" s="684"/>
      <c r="C184" s="684"/>
      <c r="D184" s="684"/>
      <c r="E184" s="684"/>
      <c r="F184" s="716"/>
    </row>
    <row r="185" spans="2:6">
      <c r="B185" s="684"/>
      <c r="C185" s="684"/>
      <c r="D185" s="684"/>
      <c r="E185" s="684"/>
      <c r="F185" s="716"/>
    </row>
    <row r="186" spans="2:6">
      <c r="B186" s="684"/>
      <c r="C186" s="684"/>
      <c r="D186" s="684"/>
      <c r="E186" s="684"/>
      <c r="F186" s="716"/>
    </row>
    <row r="187" spans="2:6">
      <c r="B187" s="684"/>
      <c r="C187" s="684"/>
      <c r="D187" s="684"/>
      <c r="E187" s="684"/>
      <c r="F187" s="716"/>
    </row>
    <row r="188" spans="2:6">
      <c r="B188" s="684"/>
      <c r="C188" s="684"/>
      <c r="D188" s="684"/>
      <c r="E188" s="684"/>
      <c r="F188" s="716"/>
    </row>
    <row r="189" spans="2:6">
      <c r="B189" s="684"/>
      <c r="C189" s="684"/>
      <c r="D189" s="684"/>
      <c r="E189" s="684"/>
      <c r="F189" s="716"/>
    </row>
    <row r="190" spans="2:6">
      <c r="B190" s="684"/>
      <c r="C190" s="684"/>
      <c r="D190" s="684"/>
      <c r="E190" s="684"/>
      <c r="F190" s="716"/>
    </row>
    <row r="191" spans="2:6">
      <c r="B191" s="684"/>
      <c r="C191" s="684"/>
      <c r="D191" s="684"/>
      <c r="E191" s="684"/>
      <c r="F191" s="716"/>
    </row>
    <row r="192" spans="2:6">
      <c r="B192" s="684"/>
      <c r="C192" s="684"/>
      <c r="D192" s="684"/>
      <c r="E192" s="684"/>
      <c r="F192" s="716"/>
    </row>
    <row r="193" spans="2:6">
      <c r="B193" s="684"/>
      <c r="C193" s="684"/>
      <c r="D193" s="684"/>
      <c r="E193" s="684"/>
      <c r="F193" s="716"/>
    </row>
    <row r="194" spans="2:6">
      <c r="B194" s="684"/>
      <c r="C194" s="684"/>
      <c r="D194" s="684"/>
      <c r="E194" s="684"/>
      <c r="F194" s="716"/>
    </row>
    <row r="195" spans="2:6">
      <c r="B195" s="684"/>
      <c r="C195" s="684"/>
      <c r="D195" s="684"/>
      <c r="E195" s="684"/>
      <c r="F195" s="716"/>
    </row>
    <row r="196" spans="2:6">
      <c r="B196" s="684"/>
      <c r="C196" s="684"/>
      <c r="D196" s="684"/>
      <c r="E196" s="684"/>
      <c r="F196" s="716"/>
    </row>
    <row r="197" spans="2:6">
      <c r="B197" s="684"/>
      <c r="C197" s="684"/>
      <c r="D197" s="684"/>
      <c r="E197" s="684"/>
      <c r="F197" s="716"/>
    </row>
    <row r="198" spans="2:6">
      <c r="B198" s="684"/>
      <c r="C198" s="684"/>
      <c r="D198" s="684"/>
      <c r="E198" s="684"/>
      <c r="F198" s="716"/>
    </row>
    <row r="199" spans="2:6">
      <c r="B199" s="684"/>
      <c r="C199" s="684"/>
      <c r="D199" s="684"/>
      <c r="E199" s="684"/>
      <c r="F199" s="716"/>
    </row>
    <row r="200" spans="2:6">
      <c r="B200" s="684"/>
      <c r="C200" s="684"/>
      <c r="D200" s="684"/>
      <c r="E200" s="684"/>
      <c r="F200" s="716"/>
    </row>
    <row r="201" spans="2:6">
      <c r="B201" s="684"/>
      <c r="C201" s="684"/>
      <c r="D201" s="684"/>
      <c r="E201" s="684"/>
      <c r="F201" s="716"/>
    </row>
    <row r="202" spans="2:6">
      <c r="B202" s="684"/>
      <c r="C202" s="684"/>
      <c r="D202" s="684"/>
      <c r="E202" s="684"/>
      <c r="F202" s="716"/>
    </row>
    <row r="203" spans="2:6">
      <c r="B203" s="684"/>
      <c r="C203" s="684"/>
      <c r="D203" s="684"/>
      <c r="E203" s="684"/>
      <c r="F203" s="716"/>
    </row>
    <row r="204" spans="2:6">
      <c r="B204" s="684"/>
      <c r="C204" s="684"/>
      <c r="D204" s="684"/>
      <c r="E204" s="684"/>
      <c r="F204" s="716"/>
    </row>
    <row r="205" spans="2:6">
      <c r="B205" s="684"/>
      <c r="C205" s="684"/>
      <c r="D205" s="684"/>
      <c r="E205" s="684"/>
      <c r="F205" s="716"/>
    </row>
    <row r="206" spans="2:6">
      <c r="B206" s="684"/>
      <c r="C206" s="684"/>
      <c r="D206" s="684"/>
      <c r="E206" s="684"/>
      <c r="F206" s="716"/>
    </row>
    <row r="207" spans="2:6">
      <c r="B207" s="684"/>
      <c r="C207" s="684"/>
      <c r="D207" s="684"/>
      <c r="E207" s="684"/>
      <c r="F207" s="716"/>
    </row>
    <row r="208" spans="2:6">
      <c r="B208" s="684"/>
      <c r="C208" s="684"/>
      <c r="D208" s="684"/>
      <c r="E208" s="684"/>
      <c r="F208" s="716"/>
    </row>
    <row r="209" spans="2:6">
      <c r="B209" s="684"/>
      <c r="C209" s="684"/>
      <c r="D209" s="684"/>
      <c r="E209" s="684"/>
      <c r="F209" s="716"/>
    </row>
    <row r="210" spans="2:6">
      <c r="B210" s="684"/>
      <c r="C210" s="684"/>
      <c r="D210" s="684"/>
      <c r="E210" s="684"/>
      <c r="F210" s="716"/>
    </row>
    <row r="211" spans="2:6">
      <c r="B211" s="684"/>
      <c r="C211" s="684"/>
      <c r="D211" s="684"/>
      <c r="E211" s="684"/>
      <c r="F211" s="716"/>
    </row>
    <row r="212" spans="2:6">
      <c r="B212" s="684"/>
      <c r="C212" s="684"/>
      <c r="D212" s="684"/>
      <c r="E212" s="684"/>
      <c r="F212" s="716"/>
    </row>
    <row r="213" spans="2:6">
      <c r="B213" s="684"/>
      <c r="C213" s="684"/>
      <c r="D213" s="684"/>
      <c r="E213" s="684"/>
      <c r="F213" s="716"/>
    </row>
    <row r="214" spans="2:6">
      <c r="B214" s="684"/>
      <c r="C214" s="684"/>
      <c r="D214" s="684"/>
      <c r="E214" s="684"/>
      <c r="F214" s="716"/>
    </row>
    <row r="215" spans="2:6">
      <c r="B215" s="684"/>
      <c r="C215" s="684"/>
      <c r="D215" s="684"/>
      <c r="E215" s="684"/>
      <c r="F215" s="716"/>
    </row>
    <row r="216" spans="2:6">
      <c r="B216" s="684"/>
      <c r="C216" s="684"/>
      <c r="D216" s="684"/>
      <c r="E216" s="684"/>
      <c r="F216" s="716"/>
    </row>
    <row r="217" spans="2:6">
      <c r="B217" s="684"/>
      <c r="C217" s="684"/>
      <c r="D217" s="684"/>
      <c r="E217" s="684"/>
      <c r="F217" s="716"/>
    </row>
    <row r="218" spans="2:6">
      <c r="B218" s="684"/>
      <c r="C218" s="684"/>
      <c r="D218" s="684"/>
      <c r="E218" s="684"/>
      <c r="F218" s="716"/>
    </row>
    <row r="219" spans="2:6">
      <c r="B219" s="684"/>
      <c r="C219" s="684"/>
      <c r="D219" s="684"/>
      <c r="E219" s="684"/>
      <c r="F219" s="716"/>
    </row>
    <row r="220" spans="2:6">
      <c r="B220" s="684"/>
      <c r="C220" s="684"/>
      <c r="D220" s="684"/>
      <c r="E220" s="684"/>
      <c r="F220" s="716"/>
    </row>
    <row r="221" spans="2:6">
      <c r="B221" s="684"/>
      <c r="C221" s="684"/>
      <c r="D221" s="684"/>
      <c r="E221" s="684"/>
      <c r="F221" s="716"/>
    </row>
    <row r="222" spans="2:6">
      <c r="B222" s="684"/>
      <c r="C222" s="684"/>
      <c r="D222" s="684"/>
      <c r="E222" s="684"/>
      <c r="F222" s="716"/>
    </row>
    <row r="223" spans="2:6">
      <c r="B223" s="684"/>
      <c r="C223" s="684"/>
      <c r="D223" s="684"/>
      <c r="E223" s="684"/>
      <c r="F223" s="716"/>
    </row>
    <row r="224" spans="2:6">
      <c r="B224" s="684"/>
      <c r="C224" s="684"/>
      <c r="D224" s="684"/>
      <c r="E224" s="684"/>
      <c r="F224" s="716"/>
    </row>
    <row r="225" spans="2:6">
      <c r="B225" s="684"/>
      <c r="C225" s="684"/>
      <c r="D225" s="684"/>
      <c r="E225" s="684"/>
      <c r="F225" s="716"/>
    </row>
    <row r="226" spans="2:6">
      <c r="B226" s="684"/>
      <c r="C226" s="684"/>
      <c r="D226" s="684"/>
      <c r="E226" s="684"/>
      <c r="F226" s="716"/>
    </row>
    <row r="227" spans="2:6">
      <c r="B227" s="684"/>
      <c r="C227" s="684"/>
      <c r="D227" s="684"/>
      <c r="E227" s="684"/>
      <c r="F227" s="716"/>
    </row>
    <row r="228" spans="2:6">
      <c r="B228" s="684"/>
      <c r="C228" s="684"/>
      <c r="D228" s="684"/>
      <c r="E228" s="684"/>
      <c r="F228" s="716"/>
    </row>
    <row r="229" spans="2:6">
      <c r="B229" s="684"/>
      <c r="C229" s="684"/>
      <c r="D229" s="684"/>
      <c r="E229" s="684"/>
      <c r="F229" s="716"/>
    </row>
    <row r="230" spans="2:6">
      <c r="B230" s="684"/>
      <c r="C230" s="684"/>
      <c r="D230" s="684"/>
      <c r="E230" s="684"/>
      <c r="F230" s="716"/>
    </row>
    <row r="231" spans="2:6">
      <c r="B231" s="684"/>
      <c r="C231" s="684"/>
      <c r="D231" s="684"/>
      <c r="E231" s="684"/>
      <c r="F231" s="716"/>
    </row>
    <row r="232" spans="2:6">
      <c r="B232" s="684"/>
      <c r="C232" s="684"/>
      <c r="D232" s="684"/>
      <c r="E232" s="684"/>
      <c r="F232" s="716"/>
    </row>
    <row r="233" spans="2:6">
      <c r="B233" s="684"/>
      <c r="C233" s="684"/>
      <c r="D233" s="684"/>
      <c r="E233" s="684"/>
      <c r="F233" s="716"/>
    </row>
    <row r="234" spans="2:6">
      <c r="B234" s="684"/>
      <c r="C234" s="684"/>
      <c r="D234" s="684"/>
      <c r="E234" s="684"/>
      <c r="F234" s="716"/>
    </row>
    <row r="235" spans="2:6">
      <c r="B235" s="684"/>
      <c r="C235" s="684"/>
      <c r="D235" s="684"/>
      <c r="E235" s="684"/>
      <c r="F235" s="716"/>
    </row>
    <row r="236" spans="2:6">
      <c r="B236" s="684"/>
      <c r="C236" s="684"/>
      <c r="D236" s="684"/>
      <c r="E236" s="684"/>
      <c r="F236" s="716"/>
    </row>
    <row r="237" spans="2:6">
      <c r="B237" s="684"/>
      <c r="C237" s="684"/>
      <c r="D237" s="684"/>
      <c r="E237" s="684"/>
      <c r="F237" s="716"/>
    </row>
    <row r="238" spans="2:6">
      <c r="B238" s="684"/>
      <c r="C238" s="684"/>
      <c r="D238" s="684"/>
      <c r="E238" s="684"/>
      <c r="F238" s="716"/>
    </row>
    <row r="239" spans="2:6">
      <c r="B239" s="684"/>
      <c r="C239" s="684"/>
      <c r="D239" s="684"/>
      <c r="E239" s="684"/>
      <c r="F239" s="716"/>
    </row>
    <row r="240" spans="2:6">
      <c r="B240" s="684"/>
      <c r="C240" s="684"/>
      <c r="D240" s="684"/>
      <c r="E240" s="684"/>
      <c r="F240" s="716"/>
    </row>
    <row r="241" spans="2:6">
      <c r="B241" s="684"/>
      <c r="C241" s="684"/>
      <c r="D241" s="684"/>
      <c r="E241" s="684"/>
      <c r="F241" s="716"/>
    </row>
    <row r="242" spans="2:6">
      <c r="B242" s="684"/>
      <c r="C242" s="684"/>
      <c r="D242" s="684"/>
      <c r="E242" s="684"/>
      <c r="F242" s="716"/>
    </row>
    <row r="243" spans="2:6">
      <c r="B243" s="684"/>
      <c r="C243" s="684"/>
      <c r="D243" s="684"/>
      <c r="E243" s="684"/>
      <c r="F243" s="716"/>
    </row>
    <row r="244" spans="2:6">
      <c r="B244" s="684"/>
      <c r="C244" s="684"/>
      <c r="D244" s="684"/>
      <c r="E244" s="684"/>
      <c r="F244" s="716"/>
    </row>
    <row r="245" spans="2:6">
      <c r="B245" s="684"/>
      <c r="C245" s="684"/>
      <c r="D245" s="684"/>
      <c r="E245" s="684"/>
      <c r="F245" s="716"/>
    </row>
    <row r="246" spans="2:6">
      <c r="B246" s="684"/>
      <c r="C246" s="684"/>
      <c r="D246" s="684"/>
      <c r="E246" s="684"/>
      <c r="F246" s="716"/>
    </row>
    <row r="247" spans="2:6">
      <c r="B247" s="684"/>
      <c r="C247" s="684"/>
      <c r="D247" s="684"/>
      <c r="E247" s="684"/>
      <c r="F247" s="716"/>
    </row>
    <row r="248" spans="2:6">
      <c r="B248" s="684"/>
      <c r="C248" s="684"/>
      <c r="D248" s="684"/>
      <c r="E248" s="684"/>
      <c r="F248" s="716"/>
    </row>
    <row r="249" spans="2:6">
      <c r="B249" s="684"/>
      <c r="C249" s="684"/>
      <c r="D249" s="684"/>
      <c r="E249" s="684"/>
      <c r="F249" s="716"/>
    </row>
    <row r="250" spans="2:6">
      <c r="B250" s="684"/>
      <c r="C250" s="684"/>
      <c r="D250" s="684"/>
      <c r="E250" s="684"/>
      <c r="F250" s="716"/>
    </row>
    <row r="251" spans="2:6">
      <c r="B251" s="684"/>
      <c r="C251" s="684"/>
      <c r="D251" s="684"/>
      <c r="E251" s="684"/>
      <c r="F251" s="716"/>
    </row>
    <row r="252" spans="2:6">
      <c r="B252" s="684"/>
      <c r="C252" s="684"/>
      <c r="D252" s="684"/>
      <c r="E252" s="684"/>
      <c r="F252" s="716"/>
    </row>
    <row r="253" spans="2:6">
      <c r="B253" s="684"/>
      <c r="C253" s="684"/>
      <c r="D253" s="684"/>
      <c r="E253" s="684"/>
      <c r="F253" s="716"/>
    </row>
    <row r="254" spans="2:6">
      <c r="B254" s="684"/>
      <c r="C254" s="684"/>
      <c r="D254" s="684"/>
      <c r="E254" s="684"/>
      <c r="F254" s="716"/>
    </row>
    <row r="255" spans="2:6">
      <c r="B255" s="684"/>
      <c r="C255" s="684"/>
      <c r="D255" s="684"/>
      <c r="E255" s="684"/>
      <c r="F255" s="716"/>
    </row>
    <row r="256" spans="2:6">
      <c r="B256" s="684"/>
      <c r="C256" s="684"/>
      <c r="D256" s="684"/>
      <c r="E256" s="684"/>
      <c r="F256" s="716"/>
    </row>
    <row r="257" spans="2:6">
      <c r="B257" s="684"/>
      <c r="C257" s="684"/>
      <c r="D257" s="684"/>
      <c r="E257" s="684"/>
      <c r="F257" s="716"/>
    </row>
    <row r="258" spans="2:6">
      <c r="B258" s="684"/>
      <c r="C258" s="684"/>
      <c r="D258" s="684"/>
      <c r="E258" s="684"/>
      <c r="F258" s="716"/>
    </row>
    <row r="259" spans="2:6">
      <c r="B259" s="684"/>
      <c r="C259" s="684"/>
      <c r="D259" s="684"/>
      <c r="E259" s="684"/>
      <c r="F259" s="716"/>
    </row>
    <row r="260" spans="2:6">
      <c r="B260" s="684"/>
      <c r="C260" s="684"/>
      <c r="D260" s="684"/>
      <c r="E260" s="684"/>
      <c r="F260" s="716"/>
    </row>
    <row r="261" spans="2:6">
      <c r="B261" s="684"/>
      <c r="C261" s="684"/>
      <c r="D261" s="684"/>
      <c r="E261" s="684"/>
      <c r="F261" s="716"/>
    </row>
    <row r="262" spans="2:6">
      <c r="B262" s="684"/>
      <c r="C262" s="684"/>
      <c r="D262" s="684"/>
      <c r="E262" s="684"/>
      <c r="F262" s="716"/>
    </row>
    <row r="263" spans="2:6">
      <c r="B263" s="684"/>
      <c r="C263" s="684"/>
      <c r="D263" s="684"/>
      <c r="E263" s="684"/>
      <c r="F263" s="716"/>
    </row>
    <row r="264" spans="2:6">
      <c r="B264" s="684"/>
      <c r="C264" s="684"/>
      <c r="D264" s="684"/>
      <c r="E264" s="684"/>
      <c r="F264" s="716"/>
    </row>
    <row r="265" spans="2:6">
      <c r="B265" s="684"/>
      <c r="C265" s="684"/>
      <c r="D265" s="684"/>
      <c r="E265" s="684"/>
      <c r="F265" s="716"/>
    </row>
    <row r="266" spans="2:6">
      <c r="B266" s="684"/>
      <c r="C266" s="684"/>
      <c r="D266" s="684"/>
      <c r="E266" s="684"/>
      <c r="F266" s="716"/>
    </row>
    <row r="267" spans="2:6">
      <c r="B267" s="684"/>
      <c r="C267" s="684"/>
      <c r="D267" s="684"/>
      <c r="E267" s="684"/>
      <c r="F267" s="716"/>
    </row>
    <row r="268" spans="2:6">
      <c r="B268" s="684"/>
      <c r="C268" s="684"/>
      <c r="D268" s="684"/>
      <c r="E268" s="684"/>
      <c r="F268" s="716"/>
    </row>
    <row r="269" spans="2:6">
      <c r="B269" s="684"/>
      <c r="C269" s="684"/>
      <c r="D269" s="684"/>
      <c r="E269" s="684"/>
      <c r="F269" s="716"/>
    </row>
    <row r="270" spans="2:6">
      <c r="B270" s="684"/>
      <c r="C270" s="684"/>
      <c r="D270" s="684"/>
      <c r="E270" s="684"/>
      <c r="F270" s="716"/>
    </row>
    <row r="271" spans="2:6">
      <c r="B271" s="684"/>
      <c r="C271" s="684"/>
      <c r="D271" s="684"/>
      <c r="E271" s="684"/>
      <c r="F271" s="716"/>
    </row>
    <row r="272" spans="2:6">
      <c r="B272" s="684"/>
      <c r="C272" s="684"/>
      <c r="D272" s="684"/>
      <c r="E272" s="684"/>
      <c r="F272" s="716"/>
    </row>
    <row r="273" spans="2:6">
      <c r="B273" s="684"/>
      <c r="C273" s="684"/>
      <c r="D273" s="684"/>
      <c r="E273" s="684"/>
      <c r="F273" s="716"/>
    </row>
    <row r="274" spans="2:6">
      <c r="B274" s="684"/>
      <c r="C274" s="684"/>
      <c r="D274" s="684"/>
      <c r="E274" s="684"/>
      <c r="F274" s="716"/>
    </row>
    <row r="275" spans="2:6">
      <c r="B275" s="684"/>
      <c r="C275" s="684"/>
      <c r="D275" s="684"/>
      <c r="E275" s="684"/>
      <c r="F275" s="716"/>
    </row>
    <row r="276" spans="2:6">
      <c r="B276" s="684"/>
      <c r="C276" s="684"/>
      <c r="D276" s="684"/>
      <c r="E276" s="684"/>
      <c r="F276" s="716"/>
    </row>
    <row r="277" spans="2:6">
      <c r="B277" s="684"/>
      <c r="C277" s="684"/>
      <c r="D277" s="684"/>
      <c r="E277" s="684"/>
      <c r="F277" s="716"/>
    </row>
    <row r="278" spans="2:6">
      <c r="B278" s="684"/>
      <c r="C278" s="684"/>
      <c r="D278" s="684"/>
      <c r="E278" s="684"/>
      <c r="F278" s="716"/>
    </row>
    <row r="279" spans="2:6">
      <c r="B279" s="684"/>
      <c r="C279" s="684"/>
      <c r="D279" s="684"/>
      <c r="E279" s="684"/>
      <c r="F279" s="716"/>
    </row>
    <row r="280" spans="2:6">
      <c r="B280" s="684"/>
      <c r="C280" s="684"/>
      <c r="D280" s="684"/>
      <c r="E280" s="684"/>
      <c r="F280" s="716"/>
    </row>
    <row r="281" spans="2:6">
      <c r="B281" s="684"/>
      <c r="C281" s="684"/>
      <c r="D281" s="684"/>
      <c r="E281" s="684"/>
      <c r="F281" s="716"/>
    </row>
    <row r="282" spans="2:6">
      <c r="B282" s="684"/>
      <c r="C282" s="684"/>
      <c r="D282" s="684"/>
      <c r="E282" s="684"/>
      <c r="F282" s="716"/>
    </row>
    <row r="283" spans="2:6">
      <c r="B283" s="684"/>
      <c r="C283" s="684"/>
      <c r="D283" s="684"/>
      <c r="E283" s="684"/>
      <c r="F283" s="716"/>
    </row>
    <row r="284" spans="2:6">
      <c r="B284" s="684"/>
      <c r="C284" s="684"/>
      <c r="D284" s="684"/>
      <c r="E284" s="684"/>
      <c r="F284" s="716"/>
    </row>
    <row r="285" spans="2:6">
      <c r="B285" s="684"/>
      <c r="C285" s="684"/>
      <c r="D285" s="684"/>
      <c r="E285" s="684"/>
      <c r="F285" s="716"/>
    </row>
    <row r="286" spans="2:6">
      <c r="B286" s="684"/>
      <c r="C286" s="684"/>
      <c r="D286" s="684"/>
      <c r="E286" s="684"/>
      <c r="F286" s="716"/>
    </row>
    <row r="287" spans="2:6">
      <c r="B287" s="684"/>
      <c r="C287" s="684"/>
      <c r="D287" s="684"/>
      <c r="E287" s="684"/>
      <c r="F287" s="716"/>
    </row>
    <row r="288" spans="2:6">
      <c r="B288" s="684"/>
      <c r="C288" s="684"/>
      <c r="D288" s="684"/>
      <c r="E288" s="684"/>
      <c r="F288" s="716"/>
    </row>
    <row r="289" spans="2:6">
      <c r="B289" s="684"/>
      <c r="C289" s="684"/>
      <c r="D289" s="684"/>
      <c r="E289" s="684"/>
      <c r="F289" s="716"/>
    </row>
    <row r="290" spans="2:6">
      <c r="B290" s="684"/>
      <c r="C290" s="684"/>
      <c r="D290" s="684"/>
      <c r="E290" s="684"/>
      <c r="F290" s="716"/>
    </row>
    <row r="291" spans="2:6">
      <c r="B291" s="684"/>
      <c r="C291" s="684"/>
      <c r="D291" s="684"/>
      <c r="E291" s="684"/>
      <c r="F291" s="716"/>
    </row>
    <row r="292" spans="2:6">
      <c r="B292" s="684"/>
      <c r="C292" s="684"/>
      <c r="D292" s="684"/>
      <c r="E292" s="684"/>
      <c r="F292" s="716"/>
    </row>
    <row r="293" spans="2:6">
      <c r="B293" s="684"/>
      <c r="C293" s="684"/>
      <c r="D293" s="684"/>
      <c r="E293" s="684"/>
      <c r="F293" s="716"/>
    </row>
    <row r="294" spans="2:6">
      <c r="B294" s="684"/>
      <c r="C294" s="684"/>
      <c r="D294" s="684"/>
      <c r="E294" s="684"/>
      <c r="F294" s="716"/>
    </row>
    <row r="295" spans="2:6">
      <c r="B295" s="684"/>
      <c r="C295" s="684"/>
      <c r="D295" s="684"/>
      <c r="E295" s="684"/>
      <c r="F295" s="716"/>
    </row>
    <row r="296" spans="2:6">
      <c r="B296" s="684"/>
      <c r="C296" s="684"/>
      <c r="D296" s="684"/>
      <c r="E296" s="684"/>
      <c r="F296" s="716"/>
    </row>
    <row r="297" spans="2:6">
      <c r="B297" s="684"/>
      <c r="C297" s="684"/>
      <c r="D297" s="684"/>
      <c r="E297" s="684"/>
      <c r="F297" s="716"/>
    </row>
    <row r="298" spans="2:6">
      <c r="B298" s="684"/>
      <c r="C298" s="684"/>
      <c r="D298" s="684"/>
      <c r="E298" s="684"/>
      <c r="F298" s="716"/>
    </row>
    <row r="299" spans="2:6">
      <c r="B299" s="684"/>
      <c r="C299" s="684"/>
      <c r="D299" s="684"/>
      <c r="E299" s="684"/>
      <c r="F299" s="716"/>
    </row>
    <row r="300" spans="2:6">
      <c r="B300" s="684"/>
      <c r="C300" s="684"/>
      <c r="D300" s="684"/>
      <c r="E300" s="684"/>
      <c r="F300" s="716"/>
    </row>
    <row r="301" spans="2:6">
      <c r="B301" s="684"/>
      <c r="C301" s="684"/>
      <c r="D301" s="684"/>
      <c r="E301" s="684"/>
      <c r="F301" s="716"/>
    </row>
    <row r="302" spans="2:6">
      <c r="B302" s="684"/>
      <c r="C302" s="684"/>
      <c r="D302" s="684"/>
      <c r="E302" s="684"/>
      <c r="F302" s="716"/>
    </row>
    <row r="303" spans="2:6">
      <c r="B303" s="684"/>
      <c r="C303" s="684"/>
      <c r="D303" s="684"/>
      <c r="E303" s="684"/>
      <c r="F303" s="716"/>
    </row>
    <row r="304" spans="2:6">
      <c r="B304" s="684"/>
      <c r="C304" s="684"/>
      <c r="D304" s="684"/>
      <c r="E304" s="684"/>
      <c r="F304" s="716"/>
    </row>
    <row r="305" spans="2:6">
      <c r="B305" s="684"/>
      <c r="C305" s="684"/>
      <c r="D305" s="684"/>
      <c r="E305" s="684"/>
      <c r="F305" s="716"/>
    </row>
    <row r="306" spans="2:6">
      <c r="B306" s="684"/>
      <c r="C306" s="684"/>
      <c r="D306" s="684"/>
      <c r="E306" s="684"/>
      <c r="F306" s="716"/>
    </row>
    <row r="307" spans="2:6">
      <c r="B307" s="684"/>
      <c r="C307" s="684"/>
      <c r="D307" s="684"/>
      <c r="E307" s="684"/>
      <c r="F307" s="716"/>
    </row>
    <row r="308" spans="2:6">
      <c r="B308" s="684"/>
      <c r="C308" s="684"/>
      <c r="D308" s="684"/>
      <c r="E308" s="684"/>
      <c r="F308" s="716"/>
    </row>
    <row r="309" spans="2:6">
      <c r="B309" s="684"/>
      <c r="C309" s="684"/>
      <c r="D309" s="684"/>
      <c r="E309" s="684"/>
      <c r="F309" s="716"/>
    </row>
    <row r="310" spans="2:6">
      <c r="B310" s="684"/>
      <c r="C310" s="684"/>
      <c r="D310" s="684"/>
      <c r="E310" s="684"/>
      <c r="F310" s="716"/>
    </row>
    <row r="311" spans="2:6">
      <c r="B311" s="684"/>
      <c r="C311" s="684"/>
      <c r="D311" s="684"/>
      <c r="E311" s="684"/>
      <c r="F311" s="716"/>
    </row>
    <row r="312" spans="2:6">
      <c r="B312" s="684"/>
      <c r="C312" s="684"/>
      <c r="D312" s="684"/>
      <c r="E312" s="684"/>
      <c r="F312" s="716"/>
    </row>
    <row r="313" spans="2:6">
      <c r="B313" s="684"/>
      <c r="C313" s="684"/>
      <c r="D313" s="684"/>
      <c r="E313" s="684"/>
      <c r="F313" s="716"/>
    </row>
    <row r="314" spans="2:6">
      <c r="B314" s="684"/>
      <c r="C314" s="684"/>
      <c r="D314" s="684"/>
      <c r="E314" s="684"/>
      <c r="F314" s="716"/>
    </row>
    <row r="315" spans="2:6">
      <c r="B315" s="684"/>
      <c r="C315" s="684"/>
      <c r="D315" s="684"/>
      <c r="E315" s="684"/>
      <c r="F315" s="716"/>
    </row>
    <row r="316" spans="2:6">
      <c r="B316" s="684"/>
      <c r="C316" s="684"/>
      <c r="D316" s="684"/>
      <c r="E316" s="684"/>
      <c r="F316" s="716"/>
    </row>
    <row r="317" spans="2:6">
      <c r="B317" s="684"/>
      <c r="C317" s="684"/>
      <c r="D317" s="684"/>
      <c r="E317" s="684"/>
      <c r="F317" s="716"/>
    </row>
    <row r="318" spans="2:6">
      <c r="B318" s="684"/>
      <c r="C318" s="684"/>
      <c r="D318" s="684"/>
      <c r="E318" s="684"/>
      <c r="F318" s="716"/>
    </row>
    <row r="319" spans="2:6">
      <c r="B319" s="684"/>
      <c r="C319" s="684"/>
      <c r="D319" s="684"/>
      <c r="E319" s="684"/>
      <c r="F319" s="716"/>
    </row>
    <row r="320" spans="2:6">
      <c r="B320" s="684"/>
      <c r="C320" s="684"/>
      <c r="D320" s="684"/>
      <c r="E320" s="684"/>
      <c r="F320" s="716"/>
    </row>
    <row r="321" spans="2:6">
      <c r="B321" s="684"/>
      <c r="C321" s="684"/>
      <c r="D321" s="684"/>
      <c r="E321" s="684"/>
      <c r="F321" s="716"/>
    </row>
    <row r="322" spans="2:6">
      <c r="B322" s="684"/>
      <c r="C322" s="684"/>
      <c r="D322" s="684"/>
      <c r="E322" s="684"/>
      <c r="F322" s="716"/>
    </row>
    <row r="323" spans="2:6">
      <c r="B323" s="684"/>
      <c r="C323" s="684"/>
      <c r="D323" s="684"/>
      <c r="E323" s="684"/>
      <c r="F323" s="716"/>
    </row>
    <row r="324" spans="2:6">
      <c r="B324" s="684"/>
      <c r="C324" s="684"/>
      <c r="D324" s="684"/>
      <c r="E324" s="684"/>
      <c r="F324" s="716"/>
    </row>
    <row r="325" spans="2:6">
      <c r="B325" s="684"/>
      <c r="C325" s="684"/>
      <c r="D325" s="684"/>
      <c r="E325" s="684"/>
      <c r="F325" s="716"/>
    </row>
    <row r="326" spans="2:6">
      <c r="B326" s="684"/>
      <c r="C326" s="684"/>
      <c r="D326" s="684"/>
      <c r="E326" s="684"/>
      <c r="F326" s="716"/>
    </row>
    <row r="327" spans="2:6">
      <c r="B327" s="684"/>
      <c r="C327" s="684"/>
      <c r="D327" s="684"/>
      <c r="E327" s="684"/>
      <c r="F327" s="716"/>
    </row>
    <row r="328" spans="2:6">
      <c r="B328" s="684"/>
      <c r="C328" s="684"/>
      <c r="D328" s="684"/>
      <c r="E328" s="684"/>
      <c r="F328" s="716"/>
    </row>
    <row r="329" spans="2:6">
      <c r="B329" s="684"/>
      <c r="C329" s="684"/>
      <c r="D329" s="684"/>
      <c r="E329" s="684"/>
      <c r="F329" s="716"/>
    </row>
    <row r="330" spans="2:6">
      <c r="B330" s="684"/>
      <c r="C330" s="684"/>
      <c r="D330" s="684"/>
      <c r="E330" s="684"/>
      <c r="F330" s="716"/>
    </row>
    <row r="331" spans="2:6">
      <c r="B331" s="684"/>
      <c r="C331" s="684"/>
      <c r="D331" s="684"/>
      <c r="E331" s="684"/>
      <c r="F331" s="716"/>
    </row>
    <row r="332" spans="2:6">
      <c r="B332" s="684"/>
      <c r="C332" s="684"/>
      <c r="D332" s="684"/>
      <c r="E332" s="684"/>
      <c r="F332" s="716"/>
    </row>
    <row r="333" spans="2:6">
      <c r="B333" s="684"/>
      <c r="C333" s="684"/>
      <c r="D333" s="684"/>
      <c r="E333" s="684"/>
      <c r="F333" s="716"/>
    </row>
    <row r="334" spans="2:6">
      <c r="B334" s="684"/>
      <c r="C334" s="684"/>
      <c r="D334" s="684"/>
      <c r="E334" s="684"/>
      <c r="F334" s="716"/>
    </row>
    <row r="335" spans="2:6">
      <c r="B335" s="684"/>
      <c r="C335" s="684"/>
      <c r="D335" s="684"/>
      <c r="E335" s="684"/>
      <c r="F335" s="716"/>
    </row>
    <row r="336" spans="2:6">
      <c r="B336" s="684"/>
      <c r="C336" s="684"/>
      <c r="D336" s="684"/>
      <c r="E336" s="684"/>
      <c r="F336" s="716"/>
    </row>
    <row r="337" spans="2:6">
      <c r="B337" s="684"/>
      <c r="C337" s="684"/>
      <c r="D337" s="684"/>
      <c r="E337" s="684"/>
      <c r="F337" s="716"/>
    </row>
    <row r="338" spans="2:6">
      <c r="B338" s="684"/>
      <c r="C338" s="684"/>
      <c r="D338" s="684"/>
      <c r="E338" s="684"/>
      <c r="F338" s="716"/>
    </row>
    <row r="339" spans="2:6">
      <c r="B339" s="684"/>
      <c r="C339" s="684"/>
      <c r="D339" s="684"/>
      <c r="E339" s="684"/>
      <c r="F339" s="716"/>
    </row>
    <row r="340" spans="2:6">
      <c r="B340" s="684"/>
      <c r="C340" s="684"/>
      <c r="D340" s="684"/>
      <c r="E340" s="684"/>
      <c r="F340" s="716"/>
    </row>
    <row r="341" spans="2:6">
      <c r="B341" s="684"/>
      <c r="C341" s="684"/>
      <c r="D341" s="684"/>
      <c r="E341" s="684"/>
      <c r="F341" s="716"/>
    </row>
    <row r="342" spans="2:6">
      <c r="B342" s="684"/>
      <c r="C342" s="684"/>
      <c r="D342" s="684"/>
      <c r="E342" s="684"/>
      <c r="F342" s="716"/>
    </row>
    <row r="343" spans="2:6">
      <c r="B343" s="684"/>
      <c r="C343" s="684"/>
      <c r="D343" s="684"/>
      <c r="E343" s="684"/>
      <c r="F343" s="716"/>
    </row>
    <row r="344" spans="2:6">
      <c r="B344" s="684"/>
      <c r="C344" s="684"/>
      <c r="D344" s="684"/>
      <c r="E344" s="684"/>
      <c r="F344" s="716"/>
    </row>
    <row r="345" spans="2:6">
      <c r="B345" s="684"/>
      <c r="C345" s="684"/>
      <c r="D345" s="684"/>
      <c r="E345" s="684"/>
      <c r="F345" s="716"/>
    </row>
    <row r="346" spans="2:6">
      <c r="B346" s="684"/>
      <c r="C346" s="684"/>
      <c r="D346" s="684"/>
      <c r="E346" s="684"/>
      <c r="F346" s="716"/>
    </row>
    <row r="347" spans="2:6">
      <c r="B347" s="684"/>
      <c r="C347" s="684"/>
      <c r="D347" s="684"/>
      <c r="E347" s="684"/>
      <c r="F347" s="716"/>
    </row>
    <row r="348" spans="2:6">
      <c r="B348" s="684"/>
      <c r="C348" s="684"/>
      <c r="D348" s="684"/>
      <c r="E348" s="684"/>
      <c r="F348" s="716"/>
    </row>
    <row r="349" spans="2:6">
      <c r="B349" s="684"/>
      <c r="C349" s="684"/>
      <c r="D349" s="684"/>
      <c r="E349" s="684"/>
      <c r="F349" s="716"/>
    </row>
    <row r="350" spans="2:6">
      <c r="B350" s="684"/>
      <c r="C350" s="684"/>
      <c r="D350" s="684"/>
      <c r="E350" s="684"/>
      <c r="F350" s="716"/>
    </row>
    <row r="351" spans="2:6">
      <c r="B351" s="684"/>
      <c r="C351" s="684"/>
      <c r="D351" s="684"/>
      <c r="E351" s="684"/>
      <c r="F351" s="716"/>
    </row>
    <row r="352" spans="2:6">
      <c r="B352" s="684"/>
      <c r="C352" s="684"/>
      <c r="D352" s="684"/>
      <c r="E352" s="684"/>
      <c r="F352" s="716"/>
    </row>
    <row r="353" spans="2:6">
      <c r="B353" s="684"/>
      <c r="C353" s="684"/>
      <c r="D353" s="684"/>
      <c r="E353" s="684"/>
      <c r="F353" s="716"/>
    </row>
    <row r="354" spans="2:6">
      <c r="B354" s="684"/>
      <c r="C354" s="684"/>
      <c r="D354" s="684"/>
      <c r="E354" s="684"/>
      <c r="F354" s="716"/>
    </row>
    <row r="355" spans="2:6">
      <c r="B355" s="684"/>
      <c r="C355" s="684"/>
      <c r="D355" s="684"/>
      <c r="E355" s="684"/>
      <c r="F355" s="716"/>
    </row>
    <row r="356" spans="2:6">
      <c r="B356" s="684"/>
      <c r="C356" s="684"/>
      <c r="D356" s="684"/>
      <c r="E356" s="684"/>
      <c r="F356" s="716"/>
    </row>
    <row r="357" spans="2:6">
      <c r="B357" s="684"/>
      <c r="C357" s="684"/>
      <c r="D357" s="684"/>
      <c r="E357" s="684"/>
      <c r="F357" s="716"/>
    </row>
    <row r="358" spans="2:6">
      <c r="B358" s="684"/>
      <c r="C358" s="684"/>
      <c r="D358" s="684"/>
      <c r="E358" s="684"/>
      <c r="F358" s="716"/>
    </row>
    <row r="359" spans="2:6">
      <c r="B359" s="684"/>
      <c r="C359" s="684"/>
      <c r="D359" s="684"/>
      <c r="E359" s="684"/>
      <c r="F359" s="716"/>
    </row>
    <row r="360" spans="2:6">
      <c r="B360" s="684"/>
      <c r="C360" s="684"/>
      <c r="D360" s="684"/>
      <c r="E360" s="684"/>
      <c r="F360" s="716"/>
    </row>
    <row r="361" spans="2:6">
      <c r="B361" s="684"/>
      <c r="C361" s="684"/>
      <c r="D361" s="684"/>
      <c r="E361" s="684"/>
      <c r="F361" s="716"/>
    </row>
    <row r="362" spans="2:6">
      <c r="B362" s="684"/>
      <c r="C362" s="684"/>
      <c r="D362" s="684"/>
      <c r="E362" s="684"/>
      <c r="F362" s="716"/>
    </row>
    <row r="363" spans="2:6">
      <c r="B363" s="684"/>
      <c r="C363" s="684"/>
      <c r="D363" s="684"/>
      <c r="E363" s="684"/>
      <c r="F363" s="716"/>
    </row>
    <row r="364" spans="2:6">
      <c r="B364" s="684"/>
      <c r="C364" s="684"/>
      <c r="D364" s="684"/>
      <c r="E364" s="684"/>
      <c r="F364" s="716"/>
    </row>
    <row r="365" spans="2:6">
      <c r="B365" s="684"/>
      <c r="C365" s="684"/>
      <c r="D365" s="684"/>
      <c r="E365" s="684"/>
      <c r="F365" s="716"/>
    </row>
    <row r="366" spans="2:6">
      <c r="B366" s="684"/>
      <c r="C366" s="684"/>
      <c r="D366" s="684"/>
      <c r="E366" s="684"/>
      <c r="F366" s="716"/>
    </row>
    <row r="367" spans="2:6">
      <c r="B367" s="684"/>
      <c r="C367" s="684"/>
      <c r="D367" s="684"/>
      <c r="E367" s="684"/>
      <c r="F367" s="716"/>
    </row>
    <row r="368" spans="2:6">
      <c r="B368" s="684"/>
      <c r="C368" s="684"/>
      <c r="D368" s="684"/>
      <c r="E368" s="684"/>
      <c r="F368" s="716"/>
    </row>
    <row r="369" spans="2:6">
      <c r="B369" s="684"/>
      <c r="C369" s="684"/>
      <c r="D369" s="684"/>
      <c r="E369" s="684"/>
      <c r="F369" s="716"/>
    </row>
    <row r="370" spans="2:6">
      <c r="B370" s="684"/>
      <c r="C370" s="684"/>
      <c r="D370" s="684"/>
      <c r="E370" s="684"/>
      <c r="F370" s="716"/>
    </row>
    <row r="371" spans="2:6">
      <c r="B371" s="684"/>
      <c r="C371" s="684"/>
      <c r="D371" s="684"/>
      <c r="E371" s="684"/>
      <c r="F371" s="716"/>
    </row>
    <row r="372" spans="2:6">
      <c r="B372" s="684"/>
      <c r="C372" s="684"/>
      <c r="D372" s="684"/>
      <c r="E372" s="684"/>
      <c r="F372" s="716"/>
    </row>
    <row r="373" spans="2:6">
      <c r="B373" s="684"/>
      <c r="C373" s="684"/>
      <c r="D373" s="684"/>
      <c r="E373" s="684"/>
      <c r="F373" s="716"/>
    </row>
    <row r="374" spans="2:6">
      <c r="B374" s="684"/>
      <c r="C374" s="684"/>
      <c r="D374" s="684"/>
      <c r="E374" s="684"/>
      <c r="F374" s="716"/>
    </row>
    <row r="375" spans="2:6">
      <c r="B375" s="684"/>
      <c r="C375" s="684"/>
      <c r="D375" s="684"/>
      <c r="E375" s="684"/>
      <c r="F375" s="716"/>
    </row>
    <row r="376" spans="2:6">
      <c r="B376" s="684"/>
      <c r="C376" s="684"/>
      <c r="D376" s="684"/>
      <c r="E376" s="684"/>
      <c r="F376" s="716"/>
    </row>
    <row r="377" spans="2:6">
      <c r="B377" s="684"/>
      <c r="C377" s="684"/>
      <c r="D377" s="684"/>
      <c r="E377" s="684"/>
      <c r="F377" s="716"/>
    </row>
    <row r="378" spans="2:6">
      <c r="B378" s="684"/>
      <c r="C378" s="684"/>
      <c r="D378" s="684"/>
      <c r="E378" s="684"/>
      <c r="F378" s="716"/>
    </row>
    <row r="379" spans="2:6">
      <c r="B379" s="684"/>
      <c r="C379" s="684"/>
      <c r="D379" s="684"/>
      <c r="E379" s="684"/>
      <c r="F379" s="716"/>
    </row>
    <row r="380" spans="2:6">
      <c r="B380" s="684"/>
      <c r="C380" s="684"/>
      <c r="D380" s="684"/>
      <c r="E380" s="684"/>
      <c r="F380" s="716"/>
    </row>
    <row r="381" spans="2:6">
      <c r="B381" s="684"/>
      <c r="C381" s="684"/>
      <c r="D381" s="684"/>
      <c r="E381" s="684"/>
      <c r="F381" s="716"/>
    </row>
    <row r="382" spans="2:6">
      <c r="B382" s="684"/>
      <c r="C382" s="684"/>
      <c r="D382" s="684"/>
      <c r="E382" s="684"/>
      <c r="F382" s="716"/>
    </row>
    <row r="383" spans="2:6">
      <c r="B383" s="684"/>
      <c r="C383" s="684"/>
      <c r="D383" s="684"/>
      <c r="E383" s="684"/>
      <c r="F383" s="716"/>
    </row>
    <row r="384" spans="2:6">
      <c r="B384" s="684"/>
      <c r="C384" s="684"/>
      <c r="D384" s="684"/>
      <c r="E384" s="684"/>
      <c r="F384" s="716"/>
    </row>
    <row r="385" spans="2:6">
      <c r="B385" s="684"/>
      <c r="C385" s="684"/>
      <c r="D385" s="684"/>
      <c r="E385" s="684"/>
      <c r="F385" s="716"/>
    </row>
    <row r="386" spans="2:6">
      <c r="B386" s="684"/>
      <c r="C386" s="684"/>
      <c r="D386" s="684"/>
      <c r="E386" s="684"/>
      <c r="F386" s="716"/>
    </row>
    <row r="387" spans="2:6">
      <c r="B387" s="684"/>
      <c r="C387" s="684"/>
      <c r="D387" s="684"/>
      <c r="E387" s="684"/>
      <c r="F387" s="716"/>
    </row>
    <row r="388" spans="2:6">
      <c r="B388" s="684"/>
      <c r="C388" s="684"/>
      <c r="D388" s="684"/>
      <c r="E388" s="684"/>
      <c r="F388" s="716"/>
    </row>
    <row r="389" spans="2:6">
      <c r="B389" s="684"/>
      <c r="C389" s="684"/>
      <c r="D389" s="684"/>
      <c r="E389" s="684"/>
      <c r="F389" s="716"/>
    </row>
    <row r="390" spans="2:6">
      <c r="B390" s="684"/>
      <c r="C390" s="684"/>
      <c r="D390" s="684"/>
      <c r="E390" s="684"/>
      <c r="F390" s="716"/>
    </row>
    <row r="391" spans="2:6">
      <c r="B391" s="684"/>
      <c r="C391" s="684"/>
      <c r="D391" s="684"/>
      <c r="E391" s="684"/>
      <c r="F391" s="716"/>
    </row>
    <row r="392" spans="2:6">
      <c r="B392" s="684"/>
      <c r="C392" s="684"/>
      <c r="D392" s="684"/>
      <c r="E392" s="684"/>
      <c r="F392" s="716"/>
    </row>
    <row r="393" spans="2:6">
      <c r="B393" s="684"/>
      <c r="C393" s="684"/>
      <c r="D393" s="684"/>
      <c r="E393" s="684"/>
      <c r="F393" s="716"/>
    </row>
    <row r="394" spans="2:6">
      <c r="B394" s="684"/>
      <c r="C394" s="684"/>
      <c r="D394" s="684"/>
      <c r="E394" s="684"/>
      <c r="F394" s="716"/>
    </row>
    <row r="395" spans="2:6">
      <c r="B395" s="684"/>
      <c r="C395" s="684"/>
      <c r="D395" s="684"/>
      <c r="E395" s="684"/>
      <c r="F395" s="716"/>
    </row>
    <row r="396" spans="2:6">
      <c r="B396" s="684"/>
      <c r="C396" s="684"/>
      <c r="D396" s="684"/>
      <c r="E396" s="684"/>
      <c r="F396" s="716"/>
    </row>
    <row r="397" spans="2:6">
      <c r="B397" s="684"/>
      <c r="C397" s="684"/>
      <c r="D397" s="684"/>
      <c r="E397" s="684"/>
      <c r="F397" s="716"/>
    </row>
    <row r="398" spans="2:6">
      <c r="B398" s="684"/>
      <c r="C398" s="684"/>
      <c r="D398" s="684"/>
      <c r="E398" s="684"/>
      <c r="F398" s="716"/>
    </row>
    <row r="399" spans="2:6">
      <c r="B399" s="684"/>
      <c r="C399" s="684"/>
      <c r="D399" s="684"/>
      <c r="E399" s="684"/>
      <c r="F399" s="716"/>
    </row>
    <row r="400" spans="2:6">
      <c r="B400" s="684"/>
      <c r="C400" s="684"/>
      <c r="D400" s="684"/>
      <c r="E400" s="684"/>
      <c r="F400" s="716"/>
    </row>
    <row r="401" spans="2:6">
      <c r="B401" s="684"/>
      <c r="C401" s="684"/>
      <c r="D401" s="684"/>
      <c r="E401" s="684"/>
      <c r="F401" s="716"/>
    </row>
    <row r="402" spans="2:6">
      <c r="B402" s="684"/>
      <c r="C402" s="684"/>
      <c r="D402" s="684"/>
      <c r="E402" s="684"/>
      <c r="F402" s="716"/>
    </row>
    <row r="403" spans="2:6">
      <c r="B403" s="684"/>
      <c r="C403" s="684"/>
      <c r="D403" s="684"/>
      <c r="E403" s="684"/>
      <c r="F403" s="716"/>
    </row>
    <row r="404" spans="2:6">
      <c r="B404" s="684"/>
      <c r="C404" s="684"/>
      <c r="D404" s="684"/>
      <c r="E404" s="684"/>
      <c r="F404" s="716"/>
    </row>
    <row r="405" spans="2:6">
      <c r="B405" s="684"/>
      <c r="C405" s="684"/>
      <c r="D405" s="684"/>
      <c r="E405" s="684"/>
      <c r="F405" s="716"/>
    </row>
    <row r="406" spans="2:6">
      <c r="B406" s="684"/>
      <c r="C406" s="684"/>
      <c r="D406" s="684"/>
      <c r="E406" s="684"/>
      <c r="F406" s="716"/>
    </row>
    <row r="407" spans="2:6">
      <c r="B407" s="684"/>
      <c r="C407" s="684"/>
      <c r="D407" s="684"/>
      <c r="E407" s="684"/>
      <c r="F407" s="716"/>
    </row>
    <row r="408" spans="2:6">
      <c r="B408" s="684"/>
      <c r="C408" s="684"/>
      <c r="D408" s="684"/>
      <c r="E408" s="684"/>
      <c r="F408" s="716"/>
    </row>
    <row r="409" spans="2:6">
      <c r="B409" s="684"/>
      <c r="C409" s="684"/>
      <c r="D409" s="684"/>
      <c r="E409" s="684"/>
      <c r="F409" s="716"/>
    </row>
    <row r="410" spans="2:6">
      <c r="B410" s="684"/>
      <c r="C410" s="684"/>
      <c r="D410" s="684"/>
      <c r="E410" s="684"/>
      <c r="F410" s="716"/>
    </row>
    <row r="411" spans="2:6">
      <c r="B411" s="684"/>
      <c r="C411" s="684"/>
      <c r="D411" s="684"/>
      <c r="E411" s="684"/>
      <c r="F411" s="716"/>
    </row>
    <row r="412" spans="2:6">
      <c r="B412" s="684"/>
      <c r="C412" s="684"/>
      <c r="D412" s="684"/>
      <c r="E412" s="684"/>
      <c r="F412" s="716"/>
    </row>
    <row r="413" spans="2:6">
      <c r="B413" s="684"/>
      <c r="C413" s="684"/>
      <c r="D413" s="684"/>
      <c r="E413" s="684"/>
      <c r="F413" s="716"/>
    </row>
    <row r="414" spans="2:6">
      <c r="B414" s="684"/>
      <c r="C414" s="684"/>
      <c r="D414" s="684"/>
      <c r="E414" s="684"/>
      <c r="F414" s="716"/>
    </row>
    <row r="415" spans="2:6">
      <c r="B415" s="684"/>
      <c r="C415" s="684"/>
      <c r="D415" s="684"/>
      <c r="E415" s="684"/>
      <c r="F415" s="716"/>
    </row>
    <row r="416" spans="2:6">
      <c r="B416" s="684"/>
      <c r="C416" s="684"/>
      <c r="D416" s="684"/>
      <c r="E416" s="684"/>
      <c r="F416" s="716"/>
    </row>
    <row r="417" spans="2:6">
      <c r="B417" s="684"/>
      <c r="C417" s="684"/>
      <c r="D417" s="684"/>
      <c r="E417" s="684"/>
      <c r="F417" s="716"/>
    </row>
    <row r="418" spans="2:6">
      <c r="B418" s="684"/>
      <c r="C418" s="684"/>
      <c r="D418" s="684"/>
      <c r="E418" s="684"/>
      <c r="F418" s="716"/>
    </row>
    <row r="419" spans="2:6">
      <c r="B419" s="684"/>
      <c r="C419" s="684"/>
      <c r="D419" s="684"/>
      <c r="E419" s="684"/>
      <c r="F419" s="716"/>
    </row>
    <row r="420" spans="2:6">
      <c r="B420" s="684"/>
      <c r="C420" s="684"/>
      <c r="D420" s="684"/>
      <c r="E420" s="684"/>
      <c r="F420" s="716"/>
    </row>
    <row r="421" spans="2:6">
      <c r="B421" s="684"/>
      <c r="C421" s="684"/>
      <c r="D421" s="684"/>
      <c r="E421" s="684"/>
      <c r="F421" s="716"/>
    </row>
    <row r="422" spans="2:6">
      <c r="B422" s="684"/>
      <c r="C422" s="684"/>
      <c r="D422" s="684"/>
      <c r="E422" s="684"/>
      <c r="F422" s="716"/>
    </row>
    <row r="423" spans="2:6">
      <c r="B423" s="684"/>
      <c r="C423" s="684"/>
      <c r="D423" s="684"/>
      <c r="E423" s="684"/>
      <c r="F423" s="716"/>
    </row>
    <row r="424" spans="2:6">
      <c r="B424" s="684"/>
      <c r="C424" s="684"/>
      <c r="D424" s="684"/>
      <c r="E424" s="684"/>
      <c r="F424" s="716"/>
    </row>
    <row r="425" spans="2:6">
      <c r="B425" s="684"/>
      <c r="C425" s="684"/>
      <c r="D425" s="684"/>
      <c r="E425" s="684"/>
      <c r="F425" s="716"/>
    </row>
    <row r="426" spans="2:6">
      <c r="B426" s="684"/>
      <c r="C426" s="684"/>
      <c r="D426" s="684"/>
      <c r="E426" s="684"/>
      <c r="F426" s="716"/>
    </row>
    <row r="427" spans="2:6">
      <c r="B427" s="684"/>
      <c r="C427" s="684"/>
      <c r="D427" s="684"/>
      <c r="E427" s="684"/>
      <c r="F427" s="716"/>
    </row>
    <row r="428" spans="2:6">
      <c r="B428" s="684"/>
      <c r="C428" s="684"/>
      <c r="D428" s="684"/>
      <c r="E428" s="684"/>
      <c r="F428" s="716"/>
    </row>
    <row r="429" spans="2:6">
      <c r="B429" s="684"/>
      <c r="C429" s="684"/>
      <c r="D429" s="684"/>
      <c r="E429" s="684"/>
      <c r="F429" s="716"/>
    </row>
    <row r="430" spans="2:6">
      <c r="B430" s="684"/>
      <c r="C430" s="684"/>
      <c r="D430" s="684"/>
      <c r="E430" s="684"/>
      <c r="F430" s="716"/>
    </row>
    <row r="431" spans="2:6">
      <c r="B431" s="684"/>
      <c r="C431" s="684"/>
      <c r="D431" s="684"/>
      <c r="E431" s="684"/>
      <c r="F431" s="716"/>
    </row>
    <row r="432" spans="2:6">
      <c r="B432" s="684"/>
      <c r="C432" s="684"/>
      <c r="D432" s="684"/>
      <c r="E432" s="684"/>
      <c r="F432" s="716"/>
    </row>
    <row r="433" spans="2:6">
      <c r="B433" s="684"/>
      <c r="C433" s="684"/>
      <c r="D433" s="684"/>
      <c r="E433" s="684"/>
      <c r="F433" s="716"/>
    </row>
    <row r="434" spans="2:6">
      <c r="B434" s="684"/>
      <c r="C434" s="684"/>
      <c r="D434" s="684"/>
      <c r="E434" s="684"/>
      <c r="F434" s="716"/>
    </row>
    <row r="435" spans="2:6">
      <c r="B435" s="684"/>
      <c r="C435" s="684"/>
      <c r="D435" s="684"/>
      <c r="E435" s="684"/>
      <c r="F435" s="716"/>
    </row>
    <row r="436" spans="2:6">
      <c r="B436" s="684"/>
      <c r="C436" s="684"/>
      <c r="D436" s="684"/>
      <c r="E436" s="684"/>
      <c r="F436" s="716"/>
    </row>
    <row r="437" spans="2:6">
      <c r="B437" s="684"/>
      <c r="C437" s="684"/>
      <c r="D437" s="684"/>
      <c r="E437" s="684"/>
      <c r="F437" s="716"/>
    </row>
    <row r="438" spans="2:6">
      <c r="B438" s="684"/>
      <c r="C438" s="684"/>
      <c r="D438" s="684"/>
      <c r="E438" s="684"/>
      <c r="F438" s="716"/>
    </row>
    <row r="439" spans="2:6">
      <c r="B439" s="684"/>
      <c r="C439" s="684"/>
      <c r="D439" s="684"/>
      <c r="E439" s="684"/>
      <c r="F439" s="716"/>
    </row>
    <row r="440" spans="2:6">
      <c r="B440" s="684"/>
      <c r="C440" s="684"/>
      <c r="D440" s="684"/>
      <c r="E440" s="684"/>
      <c r="F440" s="716"/>
    </row>
    <row r="441" spans="2:6">
      <c r="B441" s="684"/>
      <c r="C441" s="684"/>
      <c r="D441" s="684"/>
      <c r="E441" s="684"/>
      <c r="F441" s="716"/>
    </row>
    <row r="442" spans="2:6">
      <c r="B442" s="684"/>
      <c r="C442" s="684"/>
      <c r="D442" s="684"/>
      <c r="E442" s="684"/>
      <c r="F442" s="716"/>
    </row>
    <row r="443" spans="2:6">
      <c r="B443" s="684"/>
      <c r="C443" s="684"/>
      <c r="D443" s="684"/>
      <c r="E443" s="684"/>
      <c r="F443" s="716"/>
    </row>
    <row r="444" spans="2:6">
      <c r="B444" s="684"/>
      <c r="C444" s="684"/>
      <c r="D444" s="684"/>
      <c r="E444" s="684"/>
      <c r="F444" s="716"/>
    </row>
    <row r="445" spans="2:6">
      <c r="B445" s="684"/>
      <c r="C445" s="684"/>
      <c r="D445" s="684"/>
      <c r="E445" s="684"/>
      <c r="F445" s="716"/>
    </row>
    <row r="446" spans="2:6">
      <c r="B446" s="684"/>
      <c r="C446" s="684"/>
      <c r="D446" s="684"/>
      <c r="E446" s="684"/>
      <c r="F446" s="716"/>
    </row>
    <row r="447" spans="2:6">
      <c r="B447" s="684"/>
      <c r="C447" s="684"/>
      <c r="D447" s="684"/>
      <c r="E447" s="684"/>
      <c r="F447" s="716"/>
    </row>
    <row r="448" spans="2:6">
      <c r="B448" s="684"/>
      <c r="C448" s="684"/>
      <c r="D448" s="684"/>
      <c r="E448" s="684"/>
      <c r="F448" s="716"/>
    </row>
    <row r="449" spans="2:6">
      <c r="B449" s="684"/>
      <c r="C449" s="684"/>
      <c r="D449" s="684"/>
      <c r="E449" s="684"/>
      <c r="F449" s="716"/>
    </row>
    <row r="450" spans="2:6">
      <c r="B450" s="684"/>
      <c r="C450" s="684"/>
      <c r="D450" s="684"/>
      <c r="E450" s="684"/>
      <c r="F450" s="716"/>
    </row>
    <row r="451" spans="2:6">
      <c r="B451" s="684"/>
      <c r="C451" s="684"/>
      <c r="D451" s="684"/>
      <c r="E451" s="684"/>
      <c r="F451" s="716"/>
    </row>
    <row r="452" spans="2:6">
      <c r="B452" s="684"/>
      <c r="C452" s="684"/>
      <c r="D452" s="684"/>
      <c r="E452" s="684"/>
      <c r="F452" s="716"/>
    </row>
    <row r="453" spans="2:6">
      <c r="B453" s="684"/>
      <c r="C453" s="684"/>
      <c r="D453" s="684"/>
      <c r="E453" s="684"/>
      <c r="F453" s="716"/>
    </row>
    <row r="454" spans="2:6">
      <c r="B454" s="684"/>
      <c r="C454" s="684"/>
      <c r="D454" s="684"/>
      <c r="E454" s="684"/>
      <c r="F454" s="716"/>
    </row>
    <row r="455" spans="2:6">
      <c r="B455" s="684"/>
      <c r="C455" s="684"/>
      <c r="D455" s="684"/>
      <c r="E455" s="684"/>
      <c r="F455" s="716"/>
    </row>
    <row r="456" spans="2:6">
      <c r="B456" s="684"/>
      <c r="C456" s="684"/>
      <c r="D456" s="684"/>
      <c r="E456" s="684"/>
      <c r="F456" s="716"/>
    </row>
    <row r="457" spans="2:6">
      <c r="B457" s="684"/>
      <c r="C457" s="684"/>
      <c r="D457" s="684"/>
      <c r="E457" s="684"/>
      <c r="F457" s="716"/>
    </row>
    <row r="458" spans="2:6">
      <c r="B458" s="684"/>
      <c r="C458" s="684"/>
      <c r="D458" s="684"/>
      <c r="E458" s="684"/>
      <c r="F458" s="716"/>
    </row>
    <row r="459" spans="2:6">
      <c r="B459" s="684"/>
      <c r="C459" s="684"/>
      <c r="D459" s="684"/>
      <c r="E459" s="684"/>
      <c r="F459" s="716"/>
    </row>
    <row r="460" spans="2:6">
      <c r="B460" s="684"/>
      <c r="C460" s="684"/>
      <c r="D460" s="684"/>
      <c r="E460" s="684"/>
      <c r="F460" s="716"/>
    </row>
    <row r="461" spans="2:6">
      <c r="B461" s="684"/>
      <c r="C461" s="684"/>
      <c r="D461" s="684"/>
      <c r="E461" s="684"/>
      <c r="F461" s="716"/>
    </row>
    <row r="462" spans="2:6">
      <c r="B462" s="684"/>
      <c r="C462" s="684"/>
      <c r="D462" s="684"/>
      <c r="E462" s="684"/>
      <c r="F462" s="716"/>
    </row>
    <row r="463" spans="2:6">
      <c r="B463" s="684"/>
      <c r="C463" s="684"/>
      <c r="D463" s="684"/>
      <c r="E463" s="684"/>
      <c r="F463" s="716"/>
    </row>
    <row r="464" spans="2:6">
      <c r="B464" s="684"/>
      <c r="C464" s="684"/>
      <c r="D464" s="684"/>
      <c r="E464" s="684"/>
      <c r="F464" s="716"/>
    </row>
    <row r="465" spans="2:6">
      <c r="B465" s="684"/>
      <c r="C465" s="684"/>
      <c r="D465" s="684"/>
      <c r="E465" s="684"/>
      <c r="F465" s="716"/>
    </row>
    <row r="466" spans="2:6">
      <c r="B466" s="684"/>
      <c r="C466" s="684"/>
      <c r="D466" s="684"/>
      <c r="E466" s="684"/>
      <c r="F466" s="716"/>
    </row>
    <row r="467" spans="2:6">
      <c r="B467" s="684"/>
      <c r="C467" s="684"/>
      <c r="D467" s="684"/>
      <c r="E467" s="684"/>
      <c r="F467" s="716"/>
    </row>
    <row r="468" spans="2:6">
      <c r="B468" s="684"/>
      <c r="C468" s="684"/>
      <c r="D468" s="684"/>
      <c r="E468" s="684"/>
      <c r="F468" s="716"/>
    </row>
    <row r="469" spans="2:6">
      <c r="B469" s="684"/>
      <c r="C469" s="684"/>
      <c r="D469" s="684"/>
      <c r="E469" s="684"/>
      <c r="F469" s="716"/>
    </row>
    <row r="470" spans="2:6">
      <c r="B470" s="684"/>
      <c r="C470" s="684"/>
      <c r="D470" s="684"/>
      <c r="E470" s="684"/>
      <c r="F470" s="716"/>
    </row>
    <row r="471" spans="2:6">
      <c r="B471" s="684"/>
      <c r="C471" s="684"/>
      <c r="D471" s="684"/>
      <c r="E471" s="684"/>
      <c r="F471" s="716"/>
    </row>
    <row r="472" spans="2:6">
      <c r="B472" s="684"/>
      <c r="C472" s="684"/>
      <c r="D472" s="684"/>
      <c r="E472" s="684"/>
      <c r="F472" s="716"/>
    </row>
    <row r="473" spans="2:6">
      <c r="B473" s="684"/>
      <c r="C473" s="684"/>
      <c r="D473" s="684"/>
      <c r="E473" s="684"/>
      <c r="F473" s="716"/>
    </row>
    <row r="474" spans="2:6">
      <c r="B474" s="684"/>
      <c r="C474" s="684"/>
      <c r="D474" s="684"/>
      <c r="E474" s="684"/>
      <c r="F474" s="716"/>
    </row>
    <row r="475" spans="2:6">
      <c r="B475" s="684"/>
      <c r="C475" s="684"/>
      <c r="D475" s="684"/>
      <c r="E475" s="684"/>
      <c r="F475" s="716"/>
    </row>
    <row r="476" spans="2:6">
      <c r="B476" s="684"/>
      <c r="C476" s="684"/>
      <c r="D476" s="684"/>
      <c r="E476" s="684"/>
      <c r="F476" s="716"/>
    </row>
    <row r="477" spans="2:6">
      <c r="B477" s="684"/>
      <c r="C477" s="684"/>
      <c r="D477" s="684"/>
      <c r="E477" s="684"/>
      <c r="F477" s="716"/>
    </row>
    <row r="478" spans="2:6">
      <c r="B478" s="684"/>
      <c r="C478" s="684"/>
      <c r="D478" s="684"/>
      <c r="E478" s="684"/>
      <c r="F478" s="716"/>
    </row>
    <row r="479" spans="2:6">
      <c r="B479" s="684"/>
      <c r="C479" s="684"/>
      <c r="D479" s="684"/>
      <c r="E479" s="684"/>
      <c r="F479" s="716"/>
    </row>
    <row r="480" spans="2:6">
      <c r="B480" s="684"/>
      <c r="C480" s="684"/>
      <c r="D480" s="684"/>
      <c r="E480" s="684"/>
      <c r="F480" s="716"/>
    </row>
    <row r="481" spans="2:6">
      <c r="B481" s="684"/>
      <c r="C481" s="684"/>
      <c r="D481" s="684"/>
      <c r="E481" s="684"/>
      <c r="F481" s="716"/>
    </row>
    <row r="482" spans="2:6">
      <c r="B482" s="684"/>
      <c r="C482" s="684"/>
      <c r="D482" s="684"/>
      <c r="E482" s="684"/>
      <c r="F482" s="716"/>
    </row>
    <row r="483" spans="2:6">
      <c r="B483" s="684"/>
      <c r="C483" s="684"/>
      <c r="D483" s="684"/>
      <c r="E483" s="684"/>
      <c r="F483" s="716"/>
    </row>
    <row r="484" spans="2:6">
      <c r="B484" s="684"/>
      <c r="C484" s="684"/>
      <c r="D484" s="684"/>
      <c r="E484" s="684"/>
      <c r="F484" s="716"/>
    </row>
    <row r="485" spans="2:6">
      <c r="B485" s="684"/>
      <c r="C485" s="684"/>
      <c r="D485" s="684"/>
      <c r="E485" s="684"/>
      <c r="F485" s="716"/>
    </row>
    <row r="486" spans="2:6">
      <c r="B486" s="684"/>
      <c r="C486" s="684"/>
      <c r="D486" s="684"/>
      <c r="E486" s="684"/>
      <c r="F486" s="716"/>
    </row>
    <row r="487" spans="2:6">
      <c r="B487" s="684"/>
      <c r="C487" s="684"/>
      <c r="D487" s="684"/>
      <c r="E487" s="684"/>
      <c r="F487" s="716"/>
    </row>
    <row r="488" spans="2:6">
      <c r="B488" s="684"/>
      <c r="C488" s="684"/>
      <c r="D488" s="684"/>
      <c r="E488" s="684"/>
      <c r="F488" s="716"/>
    </row>
    <row r="489" spans="2:6">
      <c r="B489" s="684"/>
      <c r="C489" s="684"/>
      <c r="D489" s="684"/>
      <c r="E489" s="684"/>
      <c r="F489" s="716"/>
    </row>
    <row r="490" spans="2:6">
      <c r="B490" s="684"/>
      <c r="C490" s="684"/>
      <c r="D490" s="684"/>
      <c r="E490" s="684"/>
      <c r="F490" s="716"/>
    </row>
    <row r="491" spans="2:6">
      <c r="B491" s="684"/>
      <c r="C491" s="684"/>
      <c r="D491" s="684"/>
      <c r="E491" s="684"/>
      <c r="F491" s="716"/>
    </row>
    <row r="492" spans="2:6">
      <c r="B492" s="684"/>
      <c r="C492" s="684"/>
      <c r="D492" s="684"/>
      <c r="E492" s="684"/>
      <c r="F492" s="716"/>
    </row>
    <row r="493" spans="2:6">
      <c r="B493" s="684"/>
      <c r="C493" s="684"/>
      <c r="D493" s="684"/>
      <c r="E493" s="684"/>
      <c r="F493" s="716"/>
    </row>
    <row r="494" spans="2:6">
      <c r="B494" s="684"/>
      <c r="C494" s="684"/>
      <c r="D494" s="684"/>
      <c r="E494" s="684"/>
      <c r="F494" s="716"/>
    </row>
    <row r="495" spans="2:6">
      <c r="B495" s="684"/>
      <c r="C495" s="684"/>
      <c r="D495" s="684"/>
      <c r="E495" s="684"/>
      <c r="F495" s="716"/>
    </row>
    <row r="496" spans="2:6">
      <c r="B496" s="684"/>
      <c r="C496" s="684"/>
      <c r="D496" s="684"/>
      <c r="E496" s="684"/>
      <c r="F496" s="716"/>
    </row>
    <row r="497" spans="2:6">
      <c r="B497" s="684"/>
      <c r="C497" s="684"/>
      <c r="D497" s="684"/>
      <c r="E497" s="684"/>
      <c r="F497" s="716"/>
    </row>
    <row r="498" spans="2:6">
      <c r="B498" s="684"/>
      <c r="C498" s="684"/>
      <c r="D498" s="684"/>
      <c r="E498" s="684"/>
      <c r="F498" s="716"/>
    </row>
    <row r="499" spans="2:6">
      <c r="B499" s="684"/>
      <c r="C499" s="684"/>
      <c r="D499" s="684"/>
      <c r="E499" s="684"/>
      <c r="F499" s="716"/>
    </row>
    <row r="500" spans="2:6">
      <c r="B500" s="684"/>
      <c r="C500" s="684"/>
      <c r="D500" s="684"/>
      <c r="E500" s="684"/>
      <c r="F500" s="716"/>
    </row>
    <row r="501" spans="2:6">
      <c r="B501" s="684"/>
      <c r="C501" s="684"/>
      <c r="D501" s="684"/>
      <c r="E501" s="684"/>
      <c r="F501" s="716"/>
    </row>
    <row r="502" spans="2:6">
      <c r="B502" s="684"/>
      <c r="C502" s="684"/>
      <c r="D502" s="684"/>
      <c r="E502" s="684"/>
      <c r="F502" s="716"/>
    </row>
    <row r="503" spans="2:6">
      <c r="B503" s="684"/>
      <c r="C503" s="684"/>
      <c r="D503" s="684"/>
      <c r="E503" s="684"/>
      <c r="F503" s="716"/>
    </row>
    <row r="504" spans="2:6">
      <c r="B504" s="684"/>
      <c r="C504" s="684"/>
      <c r="D504" s="684"/>
      <c r="E504" s="684"/>
      <c r="F504" s="716"/>
    </row>
    <row r="505" spans="2:6">
      <c r="B505" s="684"/>
      <c r="C505" s="684"/>
      <c r="D505" s="684"/>
      <c r="E505" s="684"/>
      <c r="F505" s="716"/>
    </row>
    <row r="506" spans="2:6">
      <c r="B506" s="684"/>
      <c r="C506" s="684"/>
      <c r="D506" s="684"/>
      <c r="E506" s="684"/>
      <c r="F506" s="716"/>
    </row>
    <row r="507" spans="2:6">
      <c r="B507" s="684"/>
      <c r="C507" s="684"/>
      <c r="D507" s="684"/>
      <c r="E507" s="684"/>
      <c r="F507" s="716"/>
    </row>
    <row r="508" spans="2:6">
      <c r="B508" s="684"/>
      <c r="C508" s="684"/>
      <c r="D508" s="684"/>
      <c r="E508" s="684"/>
      <c r="F508" s="716"/>
    </row>
    <row r="509" spans="2:6">
      <c r="B509" s="684"/>
      <c r="C509" s="684"/>
      <c r="D509" s="684"/>
      <c r="E509" s="684"/>
      <c r="F509" s="716"/>
    </row>
    <row r="510" spans="2:6">
      <c r="B510" s="684"/>
      <c r="C510" s="684"/>
      <c r="D510" s="684"/>
      <c r="E510" s="684"/>
      <c r="F510" s="716"/>
    </row>
    <row r="511" spans="2:6">
      <c r="B511" s="684"/>
      <c r="C511" s="684"/>
      <c r="D511" s="684"/>
      <c r="E511" s="684"/>
      <c r="F511" s="716"/>
    </row>
    <row r="512" spans="2:6">
      <c r="B512" s="684"/>
      <c r="C512" s="684"/>
      <c r="D512" s="684"/>
      <c r="E512" s="684"/>
      <c r="F512" s="716"/>
    </row>
    <row r="513" spans="2:6">
      <c r="B513" s="684"/>
      <c r="C513" s="684"/>
      <c r="D513" s="684"/>
      <c r="E513" s="684"/>
      <c r="F513" s="716"/>
    </row>
    <row r="514" spans="2:6">
      <c r="B514" s="684"/>
      <c r="C514" s="684"/>
      <c r="D514" s="684"/>
      <c r="E514" s="684"/>
      <c r="F514" s="716"/>
    </row>
    <row r="515" spans="2:6">
      <c r="B515" s="684"/>
      <c r="C515" s="684"/>
      <c r="D515" s="684"/>
      <c r="E515" s="684"/>
      <c r="F515" s="716"/>
    </row>
    <row r="516" spans="2:6">
      <c r="B516" s="684"/>
      <c r="C516" s="684"/>
      <c r="D516" s="684"/>
      <c r="E516" s="684"/>
      <c r="F516" s="716"/>
    </row>
    <row r="517" spans="2:6">
      <c r="B517" s="684"/>
      <c r="C517" s="684"/>
      <c r="D517" s="684"/>
      <c r="E517" s="684"/>
      <c r="F517" s="716"/>
    </row>
    <row r="518" spans="2:6">
      <c r="B518" s="684"/>
      <c r="C518" s="684"/>
      <c r="D518" s="684"/>
      <c r="E518" s="684"/>
      <c r="F518" s="716"/>
    </row>
    <row r="519" spans="2:6">
      <c r="B519" s="684"/>
      <c r="C519" s="684"/>
      <c r="D519" s="684"/>
      <c r="E519" s="684"/>
      <c r="F519" s="716"/>
    </row>
    <row r="520" spans="2:6">
      <c r="B520" s="684"/>
      <c r="C520" s="684"/>
      <c r="D520" s="684"/>
      <c r="E520" s="684"/>
      <c r="F520" s="716"/>
    </row>
    <row r="521" spans="2:6">
      <c r="B521" s="684"/>
      <c r="C521" s="684"/>
      <c r="D521" s="684"/>
      <c r="E521" s="684"/>
      <c r="F521" s="716"/>
    </row>
    <row r="522" spans="2:6">
      <c r="B522" s="684"/>
      <c r="C522" s="684"/>
      <c r="D522" s="684"/>
      <c r="E522" s="684"/>
      <c r="F522" s="716"/>
    </row>
    <row r="523" spans="2:6">
      <c r="B523" s="684"/>
      <c r="C523" s="684"/>
      <c r="D523" s="684"/>
      <c r="E523" s="684"/>
      <c r="F523" s="716"/>
    </row>
    <row r="524" spans="2:6">
      <c r="B524" s="684"/>
      <c r="C524" s="684"/>
      <c r="D524" s="684"/>
      <c r="E524" s="684"/>
      <c r="F524" s="716"/>
    </row>
    <row r="525" spans="2:6">
      <c r="B525" s="684"/>
      <c r="C525" s="684"/>
      <c r="D525" s="684"/>
      <c r="E525" s="684"/>
      <c r="F525" s="716"/>
    </row>
    <row r="526" spans="2:6">
      <c r="B526" s="684"/>
      <c r="C526" s="684"/>
      <c r="D526" s="684"/>
      <c r="E526" s="684"/>
      <c r="F526" s="716"/>
    </row>
    <row r="527" spans="2:6">
      <c r="B527" s="684"/>
      <c r="C527" s="684"/>
      <c r="D527" s="684"/>
      <c r="E527" s="684"/>
      <c r="F527" s="716"/>
    </row>
    <row r="528" spans="2:6">
      <c r="B528" s="684"/>
      <c r="C528" s="684"/>
      <c r="D528" s="684"/>
      <c r="E528" s="684"/>
      <c r="F528" s="716"/>
    </row>
    <row r="529" spans="2:6">
      <c r="B529" s="684"/>
      <c r="C529" s="684"/>
      <c r="D529" s="684"/>
      <c r="E529" s="684"/>
      <c r="F529" s="716"/>
    </row>
    <row r="530" spans="2:6">
      <c r="B530" s="684"/>
      <c r="C530" s="684"/>
      <c r="D530" s="684"/>
      <c r="E530" s="684"/>
      <c r="F530" s="716"/>
    </row>
    <row r="531" spans="2:6">
      <c r="B531" s="684"/>
      <c r="C531" s="684"/>
      <c r="D531" s="684"/>
      <c r="E531" s="684"/>
      <c r="F531" s="716"/>
    </row>
    <row r="532" spans="2:6">
      <c r="B532" s="684"/>
      <c r="C532" s="684"/>
      <c r="D532" s="684"/>
      <c r="E532" s="684"/>
      <c r="F532" s="716"/>
    </row>
    <row r="533" spans="2:6">
      <c r="B533" s="684"/>
      <c r="C533" s="684"/>
      <c r="D533" s="684"/>
      <c r="E533" s="684"/>
      <c r="F533" s="716"/>
    </row>
    <row r="534" spans="2:6">
      <c r="B534" s="684"/>
      <c r="C534" s="684"/>
      <c r="D534" s="684"/>
      <c r="E534" s="684"/>
      <c r="F534" s="716"/>
    </row>
    <row r="535" spans="2:6">
      <c r="B535" s="684"/>
      <c r="C535" s="684"/>
      <c r="D535" s="684"/>
      <c r="E535" s="684"/>
      <c r="F535" s="716"/>
    </row>
    <row r="536" spans="2:6">
      <c r="B536" s="684"/>
      <c r="C536" s="684"/>
      <c r="D536" s="684"/>
      <c r="E536" s="684"/>
      <c r="F536" s="716"/>
    </row>
    <row r="537" spans="2:6">
      <c r="B537" s="684"/>
      <c r="C537" s="684"/>
      <c r="D537" s="684"/>
      <c r="E537" s="684"/>
      <c r="F537" s="716"/>
    </row>
    <row r="538" spans="2:6">
      <c r="B538" s="684"/>
      <c r="C538" s="684"/>
      <c r="D538" s="684"/>
      <c r="E538" s="684"/>
      <c r="F538" s="716"/>
    </row>
    <row r="539" spans="2:6">
      <c r="B539" s="684"/>
      <c r="C539" s="684"/>
      <c r="D539" s="684"/>
      <c r="E539" s="684"/>
      <c r="F539" s="716"/>
    </row>
    <row r="540" spans="2:6">
      <c r="B540" s="684"/>
      <c r="C540" s="684"/>
      <c r="D540" s="684"/>
      <c r="E540" s="684"/>
      <c r="F540" s="716"/>
    </row>
    <row r="541" spans="2:6">
      <c r="B541" s="684"/>
      <c r="C541" s="684"/>
      <c r="D541" s="684"/>
      <c r="E541" s="684"/>
      <c r="F541" s="716"/>
    </row>
    <row r="542" spans="2:6">
      <c r="B542" s="684"/>
      <c r="C542" s="684"/>
      <c r="D542" s="684"/>
      <c r="E542" s="684"/>
      <c r="F542" s="716"/>
    </row>
    <row r="543" spans="2:6">
      <c r="B543" s="684"/>
      <c r="C543" s="684"/>
      <c r="D543" s="684"/>
      <c r="E543" s="684"/>
      <c r="F543" s="716"/>
    </row>
    <row r="544" spans="2:6">
      <c r="B544" s="684"/>
      <c r="C544" s="684"/>
      <c r="D544" s="684"/>
      <c r="E544" s="684"/>
      <c r="F544" s="716"/>
    </row>
    <row r="545" spans="2:6">
      <c r="B545" s="684"/>
      <c r="C545" s="684"/>
      <c r="D545" s="684"/>
      <c r="E545" s="684"/>
      <c r="F545" s="716"/>
    </row>
    <row r="546" spans="2:6">
      <c r="B546" s="684"/>
      <c r="C546" s="684"/>
      <c r="D546" s="684"/>
      <c r="E546" s="684"/>
      <c r="F546" s="716"/>
    </row>
    <row r="547" spans="2:6">
      <c r="B547" s="684"/>
      <c r="C547" s="684"/>
      <c r="D547" s="684"/>
      <c r="E547" s="684"/>
      <c r="F547" s="716"/>
    </row>
    <row r="548" spans="2:6">
      <c r="B548" s="684"/>
      <c r="C548" s="684"/>
      <c r="D548" s="684"/>
      <c r="E548" s="684"/>
      <c r="F548" s="716"/>
    </row>
    <row r="549" spans="2:6">
      <c r="B549" s="684"/>
      <c r="C549" s="684"/>
      <c r="D549" s="684"/>
      <c r="E549" s="684"/>
      <c r="F549" s="716"/>
    </row>
    <row r="550" spans="2:6">
      <c r="B550" s="684"/>
      <c r="C550" s="684"/>
      <c r="D550" s="684"/>
      <c r="E550" s="684"/>
      <c r="F550" s="716"/>
    </row>
    <row r="551" spans="2:6">
      <c r="B551" s="684"/>
      <c r="C551" s="684"/>
      <c r="D551" s="684"/>
      <c r="E551" s="684"/>
      <c r="F551" s="716"/>
    </row>
    <row r="552" spans="2:6">
      <c r="B552" s="684"/>
      <c r="C552" s="684"/>
      <c r="D552" s="684"/>
      <c r="E552" s="684"/>
      <c r="F552" s="716"/>
    </row>
    <row r="553" spans="2:6">
      <c r="B553" s="684"/>
      <c r="C553" s="684"/>
      <c r="D553" s="684"/>
      <c r="E553" s="684"/>
      <c r="F553" s="716"/>
    </row>
    <row r="554" spans="2:6">
      <c r="B554" s="684"/>
      <c r="C554" s="684"/>
      <c r="D554" s="684"/>
      <c r="E554" s="684"/>
      <c r="F554" s="716"/>
    </row>
    <row r="555" spans="2:6">
      <c r="B555" s="684"/>
      <c r="C555" s="684"/>
      <c r="D555" s="684"/>
      <c r="E555" s="684"/>
      <c r="F555" s="716"/>
    </row>
    <row r="556" spans="2:6">
      <c r="B556" s="684"/>
      <c r="C556" s="684"/>
      <c r="D556" s="684"/>
      <c r="E556" s="684"/>
      <c r="F556" s="716"/>
    </row>
    <row r="557" spans="2:6">
      <c r="B557" s="684"/>
      <c r="C557" s="684"/>
      <c r="D557" s="684"/>
      <c r="E557" s="684"/>
      <c r="F557" s="716"/>
    </row>
    <row r="558" spans="2:6">
      <c r="B558" s="684"/>
      <c r="C558" s="684"/>
      <c r="D558" s="684"/>
      <c r="E558" s="684"/>
      <c r="F558" s="716"/>
    </row>
    <row r="559" spans="2:6">
      <c r="B559" s="684"/>
      <c r="C559" s="684"/>
      <c r="D559" s="684"/>
      <c r="E559" s="684"/>
      <c r="F559" s="716"/>
    </row>
    <row r="560" spans="2:6">
      <c r="B560" s="684"/>
      <c r="C560" s="684"/>
      <c r="D560" s="684"/>
      <c r="E560" s="684"/>
      <c r="F560" s="716"/>
    </row>
    <row r="561" spans="2:6">
      <c r="B561" s="684"/>
      <c r="C561" s="684"/>
      <c r="D561" s="684"/>
      <c r="E561" s="684"/>
      <c r="F561" s="716"/>
    </row>
    <row r="562" spans="2:6">
      <c r="B562" s="684"/>
      <c r="C562" s="684"/>
      <c r="D562" s="684"/>
      <c r="E562" s="684"/>
      <c r="F562" s="716"/>
    </row>
    <row r="563" spans="2:6">
      <c r="B563" s="684"/>
      <c r="C563" s="684"/>
      <c r="D563" s="684"/>
      <c r="E563" s="684"/>
      <c r="F563" s="716"/>
    </row>
    <row r="564" spans="2:6">
      <c r="B564" s="684"/>
      <c r="C564" s="684"/>
      <c r="D564" s="684"/>
      <c r="E564" s="684"/>
      <c r="F564" s="716"/>
    </row>
    <row r="565" spans="2:6">
      <c r="B565" s="684"/>
      <c r="C565" s="684"/>
      <c r="D565" s="684"/>
      <c r="E565" s="684"/>
      <c r="F565" s="716"/>
    </row>
    <row r="566" spans="2:6">
      <c r="B566" s="684"/>
      <c r="C566" s="684"/>
      <c r="D566" s="684"/>
      <c r="E566" s="684"/>
      <c r="F566" s="716"/>
    </row>
    <row r="567" spans="2:6">
      <c r="B567" s="684"/>
      <c r="C567" s="684"/>
      <c r="D567" s="684"/>
      <c r="E567" s="684"/>
      <c r="F567" s="716"/>
    </row>
    <row r="568" spans="2:6">
      <c r="B568" s="684"/>
      <c r="C568" s="684"/>
      <c r="D568" s="684"/>
      <c r="E568" s="684"/>
      <c r="F568" s="716"/>
    </row>
    <row r="569" spans="2:6">
      <c r="B569" s="684"/>
      <c r="C569" s="684"/>
      <c r="D569" s="684"/>
      <c r="E569" s="684"/>
      <c r="F569" s="716"/>
    </row>
    <row r="570" spans="2:6">
      <c r="B570" s="684"/>
      <c r="C570" s="684"/>
      <c r="D570" s="684"/>
      <c r="E570" s="684"/>
      <c r="F570" s="716"/>
    </row>
    <row r="571" spans="2:6">
      <c r="B571" s="684"/>
      <c r="C571" s="684"/>
      <c r="D571" s="684"/>
      <c r="E571" s="684"/>
      <c r="F571" s="716"/>
    </row>
    <row r="572" spans="2:6">
      <c r="B572" s="684"/>
      <c r="C572" s="684"/>
      <c r="D572" s="684"/>
      <c r="E572" s="684"/>
      <c r="F572" s="716"/>
    </row>
    <row r="573" spans="2:6">
      <c r="B573" s="684"/>
      <c r="C573" s="684"/>
      <c r="D573" s="684"/>
      <c r="E573" s="684"/>
      <c r="F573" s="716"/>
    </row>
    <row r="574" spans="2:6">
      <c r="B574" s="684"/>
      <c r="C574" s="684"/>
      <c r="D574" s="684"/>
      <c r="E574" s="684"/>
      <c r="F574" s="716"/>
    </row>
    <row r="575" spans="2:6">
      <c r="B575" s="684"/>
      <c r="C575" s="684"/>
      <c r="D575" s="684"/>
      <c r="E575" s="684"/>
      <c r="F575" s="716"/>
    </row>
    <row r="576" spans="2:6">
      <c r="B576" s="684"/>
      <c r="C576" s="684"/>
      <c r="D576" s="684"/>
      <c r="E576" s="684"/>
      <c r="F576" s="716"/>
    </row>
    <row r="577" spans="2:6">
      <c r="B577" s="684"/>
      <c r="C577" s="684"/>
      <c r="D577" s="684"/>
      <c r="E577" s="684"/>
      <c r="F577" s="716"/>
    </row>
    <row r="578" spans="2:6">
      <c r="B578" s="684"/>
      <c r="C578" s="684"/>
      <c r="D578" s="684"/>
      <c r="E578" s="684"/>
      <c r="F578" s="716"/>
    </row>
    <row r="579" spans="2:6">
      <c r="B579" s="684"/>
      <c r="C579" s="684"/>
      <c r="D579" s="684"/>
      <c r="E579" s="684"/>
      <c r="F579" s="716"/>
    </row>
    <row r="580" spans="2:6">
      <c r="B580" s="684"/>
      <c r="C580" s="684"/>
      <c r="D580" s="684"/>
      <c r="E580" s="684"/>
      <c r="F580" s="716"/>
    </row>
    <row r="581" spans="2:6">
      <c r="B581" s="684"/>
      <c r="C581" s="684"/>
      <c r="D581" s="684"/>
      <c r="E581" s="684"/>
      <c r="F581" s="716"/>
    </row>
    <row r="582" spans="2:6">
      <c r="B582" s="684"/>
      <c r="C582" s="684"/>
      <c r="D582" s="684"/>
      <c r="E582" s="684"/>
      <c r="F582" s="716"/>
    </row>
    <row r="583" spans="2:6">
      <c r="B583" s="684"/>
      <c r="C583" s="684"/>
      <c r="D583" s="684"/>
      <c r="E583" s="684"/>
      <c r="F583" s="716"/>
    </row>
    <row r="584" spans="2:6">
      <c r="B584" s="684"/>
      <c r="C584" s="684"/>
      <c r="D584" s="684"/>
      <c r="E584" s="684"/>
      <c r="F584" s="716"/>
    </row>
    <row r="585" spans="2:6">
      <c r="B585" s="684"/>
      <c r="C585" s="684"/>
      <c r="D585" s="684"/>
      <c r="E585" s="684"/>
      <c r="F585" s="716"/>
    </row>
    <row r="586" spans="2:6">
      <c r="B586" s="684"/>
      <c r="C586" s="684"/>
      <c r="D586" s="684"/>
      <c r="E586" s="684"/>
      <c r="F586" s="716"/>
    </row>
    <row r="587" spans="2:6">
      <c r="B587" s="684"/>
      <c r="C587" s="684"/>
      <c r="D587" s="684"/>
      <c r="E587" s="684"/>
      <c r="F587" s="716"/>
    </row>
    <row r="588" spans="2:6">
      <c r="B588" s="684"/>
      <c r="C588" s="684"/>
      <c r="D588" s="684"/>
      <c r="E588" s="684"/>
      <c r="F588" s="716"/>
    </row>
    <row r="589" spans="2:6">
      <c r="B589" s="684"/>
      <c r="C589" s="684"/>
      <c r="D589" s="684"/>
      <c r="E589" s="684"/>
      <c r="F589" s="716"/>
    </row>
    <row r="590" spans="2:6">
      <c r="B590" s="684"/>
      <c r="C590" s="684"/>
      <c r="D590" s="684"/>
      <c r="E590" s="684"/>
      <c r="F590" s="716"/>
    </row>
    <row r="591" spans="2:6">
      <c r="B591" s="684"/>
      <c r="C591" s="684"/>
      <c r="D591" s="684"/>
      <c r="E591" s="684"/>
      <c r="F591" s="716"/>
    </row>
    <row r="592" spans="2:6">
      <c r="B592" s="684"/>
      <c r="C592" s="684"/>
      <c r="D592" s="684"/>
      <c r="E592" s="684"/>
      <c r="F592" s="716"/>
    </row>
    <row r="593" spans="2:6">
      <c r="B593" s="684"/>
      <c r="C593" s="684"/>
      <c r="D593" s="684"/>
      <c r="E593" s="684"/>
      <c r="F593" s="716"/>
    </row>
    <row r="594" spans="2:6">
      <c r="B594" s="684"/>
      <c r="C594" s="684"/>
      <c r="D594" s="684"/>
      <c r="E594" s="684"/>
      <c r="F594" s="716"/>
    </row>
    <row r="595" spans="2:6">
      <c r="B595" s="684"/>
      <c r="C595" s="684"/>
      <c r="D595" s="684"/>
      <c r="E595" s="684"/>
      <c r="F595" s="716"/>
    </row>
    <row r="596" spans="2:6">
      <c r="B596" s="684"/>
      <c r="C596" s="684"/>
      <c r="D596" s="684"/>
      <c r="E596" s="684"/>
      <c r="F596" s="716"/>
    </row>
    <row r="597" spans="2:6">
      <c r="B597" s="684"/>
      <c r="C597" s="684"/>
      <c r="D597" s="684"/>
      <c r="E597" s="684"/>
      <c r="F597" s="716"/>
    </row>
    <row r="598" spans="2:6">
      <c r="B598" s="684"/>
      <c r="C598" s="684"/>
      <c r="D598" s="684"/>
      <c r="E598" s="684"/>
      <c r="F598" s="716"/>
    </row>
    <row r="599" spans="2:6">
      <c r="B599" s="684"/>
      <c r="C599" s="684"/>
      <c r="D599" s="684"/>
      <c r="E599" s="684"/>
      <c r="F599" s="716"/>
    </row>
    <row r="600" spans="2:6">
      <c r="B600" s="684"/>
      <c r="C600" s="684"/>
      <c r="D600" s="684"/>
      <c r="E600" s="684"/>
      <c r="F600" s="716"/>
    </row>
    <row r="601" spans="2:6">
      <c r="B601" s="684"/>
      <c r="C601" s="684"/>
      <c r="D601" s="684"/>
      <c r="E601" s="684"/>
      <c r="F601" s="716"/>
    </row>
    <row r="602" spans="2:6">
      <c r="B602" s="684"/>
      <c r="C602" s="684"/>
      <c r="D602" s="684"/>
      <c r="E602" s="684"/>
      <c r="F602" s="716"/>
    </row>
    <row r="603" spans="2:6">
      <c r="B603" s="684"/>
      <c r="C603" s="684"/>
      <c r="D603" s="684"/>
      <c r="E603" s="684"/>
      <c r="F603" s="716"/>
    </row>
    <row r="604" spans="2:6">
      <c r="B604" s="684"/>
      <c r="C604" s="684"/>
      <c r="D604" s="684"/>
      <c r="E604" s="684"/>
      <c r="F604" s="716"/>
    </row>
    <row r="605" spans="2:6">
      <c r="B605" s="684"/>
      <c r="C605" s="684"/>
      <c r="D605" s="684"/>
      <c r="E605" s="684"/>
      <c r="F605" s="716"/>
    </row>
    <row r="606" spans="2:6">
      <c r="B606" s="684"/>
      <c r="C606" s="684"/>
      <c r="D606" s="684"/>
      <c r="E606" s="684"/>
      <c r="F606" s="716"/>
    </row>
    <row r="607" spans="2:6">
      <c r="B607" s="684"/>
      <c r="C607" s="684"/>
      <c r="D607" s="684"/>
      <c r="E607" s="684"/>
      <c r="F607" s="716"/>
    </row>
    <row r="608" spans="2:6">
      <c r="B608" s="684"/>
      <c r="C608" s="684"/>
      <c r="D608" s="684"/>
      <c r="E608" s="684"/>
      <c r="F608" s="716"/>
    </row>
    <row r="609" spans="2:6">
      <c r="B609" s="684"/>
      <c r="C609" s="684"/>
      <c r="D609" s="684"/>
      <c r="E609" s="684"/>
      <c r="F609" s="716"/>
    </row>
    <row r="610" spans="2:6">
      <c r="B610" s="684"/>
      <c r="C610" s="684"/>
      <c r="D610" s="684"/>
      <c r="E610" s="684"/>
      <c r="F610" s="716"/>
    </row>
    <row r="611" spans="2:6">
      <c r="B611" s="684"/>
      <c r="C611" s="684"/>
      <c r="D611" s="684"/>
      <c r="E611" s="684"/>
      <c r="F611" s="716"/>
    </row>
    <row r="612" spans="2:6">
      <c r="B612" s="684"/>
      <c r="C612" s="684"/>
      <c r="D612" s="684"/>
      <c r="E612" s="684"/>
      <c r="F612" s="716"/>
    </row>
    <row r="613" spans="2:6">
      <c r="B613" s="684"/>
      <c r="C613" s="684"/>
      <c r="D613" s="684"/>
      <c r="E613" s="684"/>
      <c r="F613" s="716"/>
    </row>
    <row r="614" spans="2:6">
      <c r="B614" s="684"/>
      <c r="C614" s="684"/>
      <c r="D614" s="684"/>
      <c r="E614" s="684"/>
      <c r="F614" s="716"/>
    </row>
    <row r="615" spans="2:6">
      <c r="B615" s="684"/>
      <c r="C615" s="684"/>
      <c r="D615" s="684"/>
      <c r="E615" s="684"/>
      <c r="F615" s="716"/>
    </row>
    <row r="616" spans="2:6">
      <c r="B616" s="684"/>
      <c r="C616" s="684"/>
      <c r="D616" s="684"/>
      <c r="E616" s="684"/>
      <c r="F616" s="716"/>
    </row>
    <row r="617" spans="2:6">
      <c r="B617" s="684"/>
      <c r="C617" s="684"/>
      <c r="D617" s="684"/>
      <c r="E617" s="684"/>
      <c r="F617" s="716"/>
    </row>
    <row r="618" spans="2:6">
      <c r="B618" s="684"/>
      <c r="C618" s="684"/>
      <c r="D618" s="684"/>
      <c r="E618" s="684"/>
      <c r="F618" s="716"/>
    </row>
    <row r="619" spans="2:6">
      <c r="B619" s="684"/>
      <c r="C619" s="684"/>
      <c r="D619" s="684"/>
      <c r="E619" s="684"/>
      <c r="F619" s="716"/>
    </row>
    <row r="620" spans="2:6">
      <c r="B620" s="684"/>
      <c r="C620" s="684"/>
      <c r="D620" s="684"/>
      <c r="E620" s="684"/>
      <c r="F620" s="716"/>
    </row>
    <row r="621" spans="2:6">
      <c r="B621" s="684"/>
      <c r="C621" s="684"/>
      <c r="D621" s="684"/>
      <c r="E621" s="684"/>
      <c r="F621" s="716"/>
    </row>
    <row r="622" spans="2:6">
      <c r="B622" s="684"/>
      <c r="C622" s="684"/>
      <c r="D622" s="684"/>
      <c r="E622" s="684"/>
      <c r="F622" s="716"/>
    </row>
    <row r="623" spans="2:6">
      <c r="B623" s="684"/>
      <c r="C623" s="684"/>
      <c r="D623" s="684"/>
      <c r="E623" s="684"/>
      <c r="F623" s="716"/>
    </row>
    <row r="624" spans="2:6">
      <c r="B624" s="684"/>
      <c r="C624" s="684"/>
      <c r="D624" s="684"/>
      <c r="E624" s="684"/>
      <c r="F624" s="716"/>
    </row>
    <row r="625" spans="2:6">
      <c r="B625" s="684"/>
      <c r="C625" s="684"/>
      <c r="D625" s="684"/>
      <c r="E625" s="684"/>
      <c r="F625" s="716"/>
    </row>
    <row r="626" spans="2:6">
      <c r="B626" s="684"/>
      <c r="C626" s="684"/>
      <c r="D626" s="684"/>
      <c r="E626" s="684"/>
      <c r="F626" s="716"/>
    </row>
    <row r="627" spans="2:6">
      <c r="B627" s="684"/>
      <c r="C627" s="684"/>
      <c r="D627" s="684"/>
      <c r="E627" s="684"/>
      <c r="F627" s="716"/>
    </row>
    <row r="628" spans="2:6">
      <c r="B628" s="684"/>
      <c r="C628" s="684"/>
      <c r="D628" s="684"/>
      <c r="E628" s="684"/>
      <c r="F628" s="716"/>
    </row>
    <row r="629" spans="2:6">
      <c r="B629" s="684"/>
      <c r="C629" s="684"/>
      <c r="D629" s="684"/>
      <c r="E629" s="684"/>
      <c r="F629" s="716"/>
    </row>
    <row r="630" spans="2:6">
      <c r="B630" s="684"/>
      <c r="C630" s="684"/>
      <c r="D630" s="684"/>
      <c r="E630" s="684"/>
      <c r="F630" s="716"/>
    </row>
    <row r="631" spans="2:6">
      <c r="B631" s="684"/>
      <c r="C631" s="684"/>
      <c r="D631" s="684"/>
      <c r="E631" s="684"/>
      <c r="F631" s="716"/>
    </row>
    <row r="632" spans="2:6">
      <c r="B632" s="684"/>
      <c r="C632" s="684"/>
      <c r="D632" s="684"/>
      <c r="E632" s="684"/>
      <c r="F632" s="716"/>
    </row>
    <row r="633" spans="2:6">
      <c r="B633" s="684"/>
      <c r="C633" s="684"/>
      <c r="D633" s="684"/>
      <c r="E633" s="684"/>
      <c r="F633" s="716"/>
    </row>
    <row r="634" spans="2:6">
      <c r="B634" s="684"/>
      <c r="C634" s="684"/>
      <c r="D634" s="684"/>
      <c r="E634" s="684"/>
      <c r="F634" s="716"/>
    </row>
    <row r="635" spans="2:6">
      <c r="B635" s="684"/>
      <c r="C635" s="684"/>
      <c r="D635" s="684"/>
      <c r="E635" s="684"/>
      <c r="F635" s="716"/>
    </row>
    <row r="636" spans="2:6">
      <c r="B636" s="684"/>
      <c r="C636" s="684"/>
      <c r="D636" s="684"/>
      <c r="E636" s="684"/>
      <c r="F636" s="716"/>
    </row>
    <row r="637" spans="2:6">
      <c r="B637" s="684"/>
      <c r="C637" s="684"/>
      <c r="D637" s="684"/>
      <c r="E637" s="684"/>
      <c r="F637" s="716"/>
    </row>
    <row r="638" spans="2:6">
      <c r="B638" s="684"/>
      <c r="C638" s="684"/>
      <c r="D638" s="684"/>
      <c r="E638" s="684"/>
      <c r="F638" s="716"/>
    </row>
    <row r="639" spans="2:6">
      <c r="B639" s="684"/>
      <c r="C639" s="684"/>
      <c r="D639" s="684"/>
      <c r="E639" s="684"/>
      <c r="F639" s="716"/>
    </row>
    <row r="640" spans="2:6">
      <c r="B640" s="684"/>
      <c r="C640" s="684"/>
      <c r="D640" s="684"/>
      <c r="E640" s="684"/>
      <c r="F640" s="716"/>
    </row>
    <row r="641" spans="2:6">
      <c r="B641" s="684"/>
      <c r="C641" s="684"/>
      <c r="D641" s="684"/>
      <c r="E641" s="684"/>
      <c r="F641" s="716"/>
    </row>
    <row r="642" spans="2:6">
      <c r="B642" s="684"/>
      <c r="C642" s="684"/>
      <c r="D642" s="684"/>
      <c r="E642" s="684"/>
      <c r="F642" s="716"/>
    </row>
    <row r="643" spans="2:6">
      <c r="B643" s="684"/>
      <c r="C643" s="684"/>
      <c r="D643" s="684"/>
      <c r="E643" s="684"/>
      <c r="F643" s="716"/>
    </row>
    <row r="644" spans="2:6">
      <c r="B644" s="684"/>
      <c r="C644" s="684"/>
      <c r="D644" s="684"/>
      <c r="E644" s="684"/>
      <c r="F644" s="716"/>
    </row>
    <row r="645" spans="2:6">
      <c r="B645" s="684"/>
      <c r="C645" s="684"/>
      <c r="D645" s="684"/>
      <c r="E645" s="684"/>
      <c r="F645" s="716"/>
    </row>
    <row r="646" spans="2:6">
      <c r="B646" s="684"/>
      <c r="C646" s="684"/>
      <c r="D646" s="684"/>
      <c r="E646" s="684"/>
      <c r="F646" s="716"/>
    </row>
    <row r="647" spans="2:6">
      <c r="B647" s="684"/>
      <c r="C647" s="684"/>
      <c r="D647" s="684"/>
      <c r="E647" s="684"/>
      <c r="F647" s="716"/>
    </row>
    <row r="648" spans="2:6">
      <c r="B648" s="684"/>
      <c r="C648" s="684"/>
      <c r="D648" s="684"/>
      <c r="E648" s="684"/>
      <c r="F648" s="716"/>
    </row>
    <row r="649" spans="2:6">
      <c r="B649" s="684"/>
      <c r="C649" s="684"/>
      <c r="D649" s="684"/>
      <c r="E649" s="684"/>
      <c r="F649" s="716"/>
    </row>
    <row r="650" spans="2:6">
      <c r="B650" s="684"/>
      <c r="C650" s="684"/>
      <c r="D650" s="684"/>
      <c r="E650" s="684"/>
      <c r="F650" s="716"/>
    </row>
    <row r="651" spans="2:6">
      <c r="B651" s="684"/>
      <c r="C651" s="684"/>
      <c r="D651" s="684"/>
      <c r="E651" s="684"/>
      <c r="F651" s="716"/>
    </row>
    <row r="652" spans="2:6">
      <c r="B652" s="684"/>
      <c r="C652" s="684"/>
      <c r="D652" s="684"/>
      <c r="E652" s="684"/>
      <c r="F652" s="716"/>
    </row>
    <row r="653" spans="2:6">
      <c r="B653" s="684"/>
      <c r="C653" s="684"/>
      <c r="D653" s="684"/>
      <c r="E653" s="684"/>
      <c r="F653" s="716"/>
    </row>
    <row r="654" spans="2:6">
      <c r="B654" s="684"/>
      <c r="C654" s="684"/>
      <c r="D654" s="684"/>
      <c r="E654" s="684"/>
      <c r="F654" s="716"/>
    </row>
    <row r="655" spans="2:6">
      <c r="B655" s="684"/>
      <c r="C655" s="684"/>
      <c r="D655" s="684"/>
      <c r="E655" s="684"/>
      <c r="F655" s="716"/>
    </row>
    <row r="656" spans="2:6">
      <c r="B656" s="684"/>
      <c r="C656" s="684"/>
      <c r="D656" s="684"/>
      <c r="E656" s="684"/>
      <c r="F656" s="716"/>
    </row>
    <row r="657" spans="2:6">
      <c r="B657" s="684"/>
      <c r="C657" s="684"/>
      <c r="D657" s="684"/>
      <c r="E657" s="684"/>
      <c r="F657" s="716"/>
    </row>
    <row r="658" spans="2:6">
      <c r="B658" s="684"/>
      <c r="C658" s="684"/>
      <c r="D658" s="684"/>
      <c r="E658" s="684"/>
      <c r="F658" s="716"/>
    </row>
    <row r="659" spans="2:6">
      <c r="B659" s="684"/>
      <c r="C659" s="684"/>
      <c r="D659" s="684"/>
      <c r="E659" s="684"/>
      <c r="F659" s="716"/>
    </row>
    <row r="660" spans="2:6">
      <c r="B660" s="684"/>
      <c r="C660" s="684"/>
      <c r="D660" s="684"/>
      <c r="E660" s="684"/>
      <c r="F660" s="716"/>
    </row>
    <row r="661" spans="2:6">
      <c r="B661" s="684"/>
      <c r="C661" s="684"/>
      <c r="D661" s="684"/>
      <c r="E661" s="684"/>
      <c r="F661" s="716"/>
    </row>
    <row r="662" spans="2:6">
      <c r="B662" s="684"/>
      <c r="C662" s="684"/>
      <c r="D662" s="684"/>
      <c r="E662" s="684"/>
      <c r="F662" s="716"/>
    </row>
    <row r="663" spans="2:6">
      <c r="B663" s="684"/>
      <c r="C663" s="684"/>
      <c r="D663" s="684"/>
      <c r="E663" s="684"/>
      <c r="F663" s="716"/>
    </row>
    <row r="664" spans="2:6">
      <c r="B664" s="684"/>
      <c r="C664" s="684"/>
      <c r="D664" s="684"/>
      <c r="E664" s="684"/>
      <c r="F664" s="716"/>
    </row>
    <row r="665" spans="2:6">
      <c r="B665" s="684"/>
      <c r="C665" s="684"/>
      <c r="D665" s="684"/>
      <c r="E665" s="684"/>
      <c r="F665" s="716"/>
    </row>
    <row r="666" spans="2:6">
      <c r="B666" s="684"/>
      <c r="C666" s="684"/>
      <c r="D666" s="684"/>
      <c r="E666" s="684"/>
      <c r="F666" s="716"/>
    </row>
    <row r="667" spans="2:6">
      <c r="B667" s="684"/>
      <c r="C667" s="684"/>
      <c r="D667" s="684"/>
      <c r="E667" s="684"/>
      <c r="F667" s="716"/>
    </row>
    <row r="668" spans="2:6">
      <c r="B668" s="684"/>
      <c r="C668" s="684"/>
      <c r="D668" s="684"/>
      <c r="E668" s="684"/>
      <c r="F668" s="716"/>
    </row>
    <row r="669" spans="2:6">
      <c r="B669" s="684"/>
      <c r="C669" s="684"/>
      <c r="D669" s="684"/>
      <c r="E669" s="684"/>
      <c r="F669" s="716"/>
    </row>
    <row r="670" spans="2:6">
      <c r="B670" s="684"/>
      <c r="C670" s="684"/>
      <c r="D670" s="684"/>
      <c r="E670" s="684"/>
      <c r="F670" s="716"/>
    </row>
    <row r="671" spans="2:6">
      <c r="B671" s="684"/>
      <c r="C671" s="684"/>
      <c r="D671" s="684"/>
      <c r="E671" s="684"/>
      <c r="F671" s="716"/>
    </row>
    <row r="672" spans="2:6">
      <c r="B672" s="684"/>
      <c r="C672" s="684"/>
      <c r="D672" s="684"/>
      <c r="E672" s="684"/>
      <c r="F672" s="716"/>
    </row>
    <row r="673" spans="2:6">
      <c r="B673" s="684"/>
      <c r="C673" s="684"/>
      <c r="D673" s="684"/>
      <c r="E673" s="684"/>
      <c r="F673" s="716"/>
    </row>
    <row r="674" spans="2:6">
      <c r="B674" s="684"/>
      <c r="C674" s="684"/>
      <c r="D674" s="684"/>
      <c r="E674" s="684"/>
      <c r="F674" s="716"/>
    </row>
    <row r="675" spans="2:6">
      <c r="B675" s="684"/>
      <c r="C675" s="684"/>
      <c r="D675" s="684"/>
      <c r="E675" s="684"/>
      <c r="F675" s="716"/>
    </row>
    <row r="676" spans="2:6">
      <c r="B676" s="684"/>
      <c r="C676" s="684"/>
      <c r="D676" s="684"/>
      <c r="E676" s="684"/>
      <c r="F676" s="716"/>
    </row>
    <row r="677" spans="2:6">
      <c r="B677" s="684"/>
      <c r="C677" s="684"/>
      <c r="D677" s="684"/>
      <c r="E677" s="684"/>
      <c r="F677" s="716"/>
    </row>
    <row r="678" spans="2:6">
      <c r="B678" s="684"/>
      <c r="C678" s="684"/>
      <c r="D678" s="684"/>
      <c r="E678" s="684"/>
      <c r="F678" s="716"/>
    </row>
    <row r="679" spans="2:6">
      <c r="B679" s="684"/>
      <c r="C679" s="684"/>
      <c r="D679" s="684"/>
      <c r="E679" s="684"/>
      <c r="F679" s="716"/>
    </row>
    <row r="680" spans="2:6">
      <c r="B680" s="684"/>
      <c r="C680" s="684"/>
      <c r="D680" s="684"/>
      <c r="E680" s="684"/>
      <c r="F680" s="716"/>
    </row>
    <row r="681" spans="2:6">
      <c r="B681" s="684"/>
      <c r="C681" s="684"/>
      <c r="D681" s="684"/>
      <c r="E681" s="684"/>
      <c r="F681" s="716"/>
    </row>
    <row r="682" spans="2:6">
      <c r="B682" s="684"/>
      <c r="C682" s="684"/>
      <c r="D682" s="684"/>
      <c r="E682" s="684"/>
      <c r="F682" s="716"/>
    </row>
    <row r="683" spans="2:6">
      <c r="B683" s="684"/>
      <c r="C683" s="684"/>
      <c r="D683" s="684"/>
      <c r="E683" s="684"/>
      <c r="F683" s="716"/>
    </row>
    <row r="684" spans="2:6">
      <c r="B684" s="684"/>
      <c r="C684" s="684"/>
      <c r="D684" s="684"/>
      <c r="E684" s="684"/>
      <c r="F684" s="716"/>
    </row>
    <row r="685" spans="2:6">
      <c r="B685" s="684"/>
      <c r="C685" s="684"/>
      <c r="D685" s="684"/>
      <c r="E685" s="684"/>
      <c r="F685" s="716"/>
    </row>
    <row r="686" spans="2:6">
      <c r="B686" s="684"/>
      <c r="C686" s="684"/>
      <c r="D686" s="684"/>
      <c r="E686" s="684"/>
      <c r="F686" s="716"/>
    </row>
    <row r="687" spans="2:6">
      <c r="B687" s="684"/>
      <c r="C687" s="684"/>
      <c r="D687" s="684"/>
      <c r="E687" s="684"/>
      <c r="F687" s="716"/>
    </row>
    <row r="688" spans="2:6">
      <c r="B688" s="684"/>
      <c r="C688" s="684"/>
      <c r="D688" s="684"/>
      <c r="E688" s="684"/>
      <c r="F688" s="716"/>
    </row>
    <row r="689" spans="2:6">
      <c r="B689" s="684"/>
      <c r="C689" s="684"/>
      <c r="D689" s="684"/>
      <c r="E689" s="684"/>
      <c r="F689" s="716"/>
    </row>
    <row r="690" spans="2:6">
      <c r="B690" s="684"/>
      <c r="C690" s="684"/>
      <c r="D690" s="684"/>
      <c r="E690" s="684"/>
      <c r="F690" s="716"/>
    </row>
    <row r="691" spans="2:6">
      <c r="B691" s="684"/>
      <c r="C691" s="684"/>
      <c r="D691" s="684"/>
      <c r="E691" s="684"/>
      <c r="F691" s="716"/>
    </row>
    <row r="692" spans="2:6">
      <c r="B692" s="684"/>
      <c r="C692" s="684"/>
      <c r="D692" s="684"/>
      <c r="E692" s="684"/>
      <c r="F692" s="716"/>
    </row>
    <row r="693" spans="2:6">
      <c r="B693" s="684"/>
      <c r="C693" s="684"/>
      <c r="D693" s="684"/>
      <c r="E693" s="684"/>
      <c r="F693" s="716"/>
    </row>
    <row r="694" spans="2:6">
      <c r="B694" s="684"/>
      <c r="C694" s="684"/>
      <c r="D694" s="684"/>
      <c r="E694" s="684"/>
      <c r="F694" s="716"/>
    </row>
    <row r="695" spans="2:6">
      <c r="B695" s="684"/>
      <c r="C695" s="684"/>
      <c r="D695" s="684"/>
      <c r="E695" s="684"/>
      <c r="F695" s="716"/>
    </row>
    <row r="696" spans="2:6">
      <c r="B696" s="684"/>
      <c r="C696" s="684"/>
      <c r="D696" s="684"/>
      <c r="E696" s="684"/>
      <c r="F696" s="716"/>
    </row>
    <row r="697" spans="2:6">
      <c r="B697" s="684"/>
      <c r="C697" s="684"/>
      <c r="D697" s="684"/>
      <c r="E697" s="684"/>
      <c r="F697" s="716"/>
    </row>
    <row r="698" spans="2:6">
      <c r="B698" s="684"/>
      <c r="C698" s="684"/>
      <c r="D698" s="684"/>
      <c r="E698" s="684"/>
      <c r="F698" s="716"/>
    </row>
    <row r="699" spans="2:6">
      <c r="B699" s="684"/>
      <c r="C699" s="684"/>
      <c r="D699" s="684"/>
      <c r="E699" s="684"/>
      <c r="F699" s="716"/>
    </row>
    <row r="700" spans="2:6">
      <c r="B700" s="684"/>
      <c r="C700" s="684"/>
      <c r="D700" s="684"/>
      <c r="E700" s="684"/>
      <c r="F700" s="716"/>
    </row>
    <row r="701" spans="2:6">
      <c r="B701" s="684"/>
      <c r="C701" s="684"/>
      <c r="D701" s="684"/>
      <c r="E701" s="684"/>
      <c r="F701" s="716"/>
    </row>
    <row r="702" spans="2:6">
      <c r="B702" s="684"/>
      <c r="C702" s="684"/>
      <c r="D702" s="684"/>
      <c r="E702" s="684"/>
      <c r="F702" s="716"/>
    </row>
    <row r="703" spans="2:6">
      <c r="B703" s="684"/>
      <c r="C703" s="684"/>
      <c r="D703" s="684"/>
      <c r="E703" s="684"/>
      <c r="F703" s="716"/>
    </row>
    <row r="704" spans="2:6">
      <c r="B704" s="684"/>
      <c r="C704" s="684"/>
      <c r="D704" s="684"/>
      <c r="E704" s="684"/>
      <c r="F704" s="716"/>
    </row>
    <row r="705" spans="2:6">
      <c r="B705" s="684"/>
      <c r="C705" s="684"/>
      <c r="D705" s="684"/>
      <c r="E705" s="684"/>
      <c r="F705" s="716"/>
    </row>
    <row r="706" spans="2:6">
      <c r="B706" s="684"/>
      <c r="C706" s="684"/>
      <c r="D706" s="684"/>
      <c r="E706" s="684"/>
      <c r="F706" s="716"/>
    </row>
    <row r="707" spans="2:6">
      <c r="B707" s="684"/>
      <c r="C707" s="684"/>
      <c r="D707" s="684"/>
      <c r="E707" s="684"/>
      <c r="F707" s="716"/>
    </row>
    <row r="708" spans="2:6">
      <c r="B708" s="684"/>
      <c r="C708" s="684"/>
      <c r="D708" s="684"/>
      <c r="E708" s="684"/>
      <c r="F708" s="716"/>
    </row>
    <row r="709" spans="2:6">
      <c r="B709" s="684"/>
      <c r="C709" s="684"/>
      <c r="D709" s="684"/>
      <c r="E709" s="684"/>
      <c r="F709" s="716"/>
    </row>
    <row r="710" spans="2:6">
      <c r="B710" s="684"/>
      <c r="C710" s="684"/>
      <c r="D710" s="684"/>
      <c r="E710" s="684"/>
      <c r="F710" s="716"/>
    </row>
    <row r="711" spans="2:6">
      <c r="B711" s="684"/>
      <c r="C711" s="684"/>
      <c r="D711" s="684"/>
      <c r="E711" s="684"/>
      <c r="F711" s="716"/>
    </row>
    <row r="712" spans="2:6">
      <c r="B712" s="684"/>
      <c r="C712" s="684"/>
      <c r="D712" s="684"/>
      <c r="E712" s="684"/>
      <c r="F712" s="716"/>
    </row>
    <row r="713" spans="2:6">
      <c r="B713" s="684"/>
      <c r="C713" s="684"/>
      <c r="D713" s="684"/>
      <c r="E713" s="684"/>
      <c r="F713" s="716"/>
    </row>
    <row r="714" spans="2:6">
      <c r="B714" s="684"/>
      <c r="C714" s="684"/>
      <c r="D714" s="684"/>
      <c r="E714" s="684"/>
      <c r="F714" s="716"/>
    </row>
    <row r="715" spans="2:6">
      <c r="B715" s="684"/>
      <c r="C715" s="684"/>
      <c r="D715" s="684"/>
      <c r="E715" s="684"/>
      <c r="F715" s="716"/>
    </row>
    <row r="716" spans="2:6">
      <c r="B716" s="684"/>
      <c r="C716" s="684"/>
      <c r="D716" s="684"/>
      <c r="E716" s="684"/>
      <c r="F716" s="716"/>
    </row>
    <row r="717" spans="2:6">
      <c r="B717" s="684"/>
      <c r="C717" s="684"/>
      <c r="D717" s="684"/>
      <c r="E717" s="684"/>
      <c r="F717" s="716"/>
    </row>
    <row r="718" spans="2:6">
      <c r="B718" s="684"/>
      <c r="C718" s="684"/>
      <c r="D718" s="684"/>
      <c r="E718" s="684"/>
      <c r="F718" s="716"/>
    </row>
    <row r="719" spans="2:6">
      <c r="B719" s="684"/>
      <c r="C719" s="684"/>
      <c r="D719" s="684"/>
      <c r="E719" s="684"/>
      <c r="F719" s="716"/>
    </row>
    <row r="720" spans="2:6">
      <c r="B720" s="684"/>
      <c r="C720" s="684"/>
      <c r="D720" s="684"/>
      <c r="E720" s="684"/>
      <c r="F720" s="716"/>
    </row>
    <row r="721" spans="2:6">
      <c r="B721" s="684"/>
      <c r="C721" s="684"/>
      <c r="D721" s="684"/>
      <c r="E721" s="684"/>
      <c r="F721" s="716"/>
    </row>
    <row r="722" spans="2:6">
      <c r="B722" s="684"/>
      <c r="C722" s="684"/>
      <c r="D722" s="684"/>
      <c r="E722" s="684"/>
      <c r="F722" s="716"/>
    </row>
    <row r="723" spans="2:6">
      <c r="B723" s="684"/>
      <c r="C723" s="684"/>
      <c r="D723" s="684"/>
      <c r="E723" s="684"/>
      <c r="F723" s="716"/>
    </row>
    <row r="724" spans="2:6">
      <c r="B724" s="684"/>
      <c r="C724" s="684"/>
      <c r="D724" s="684"/>
      <c r="E724" s="684"/>
      <c r="F724" s="716"/>
    </row>
    <row r="725" spans="2:6">
      <c r="B725" s="684"/>
      <c r="C725" s="684"/>
      <c r="D725" s="684"/>
      <c r="E725" s="684"/>
      <c r="F725" s="716"/>
    </row>
    <row r="726" spans="2:6">
      <c r="B726" s="684"/>
      <c r="C726" s="684"/>
      <c r="D726" s="684"/>
      <c r="E726" s="684"/>
      <c r="F726" s="716"/>
    </row>
    <row r="727" spans="2:6">
      <c r="B727" s="684"/>
      <c r="C727" s="684"/>
      <c r="D727" s="684"/>
      <c r="E727" s="684"/>
      <c r="F727" s="716"/>
    </row>
    <row r="728" spans="2:6">
      <c r="B728" s="684"/>
      <c r="C728" s="684"/>
      <c r="D728" s="684"/>
      <c r="E728" s="684"/>
      <c r="F728" s="716"/>
    </row>
    <row r="729" spans="2:6">
      <c r="B729" s="684"/>
      <c r="C729" s="684"/>
      <c r="D729" s="684"/>
      <c r="E729" s="684"/>
      <c r="F729" s="716"/>
    </row>
    <row r="730" spans="2:6">
      <c r="B730" s="684"/>
      <c r="C730" s="684"/>
      <c r="D730" s="684"/>
      <c r="E730" s="684"/>
      <c r="F730" s="716"/>
    </row>
    <row r="731" spans="2:6">
      <c r="B731" s="684"/>
      <c r="C731" s="684"/>
      <c r="D731" s="684"/>
      <c r="E731" s="684"/>
      <c r="F731" s="716"/>
    </row>
    <row r="732" spans="2:6">
      <c r="B732" s="684"/>
      <c r="C732" s="684"/>
      <c r="D732" s="684"/>
      <c r="E732" s="684"/>
      <c r="F732" s="716"/>
    </row>
    <row r="733" spans="2:6">
      <c r="B733" s="684"/>
      <c r="C733" s="684"/>
      <c r="D733" s="684"/>
      <c r="E733" s="684"/>
      <c r="F733" s="716"/>
    </row>
    <row r="734" spans="2:6">
      <c r="B734" s="684"/>
      <c r="C734" s="684"/>
      <c r="D734" s="684"/>
      <c r="E734" s="684"/>
      <c r="F734" s="716"/>
    </row>
    <row r="735" spans="2:6">
      <c r="B735" s="684"/>
      <c r="C735" s="684"/>
      <c r="D735" s="684"/>
      <c r="E735" s="684"/>
      <c r="F735" s="716"/>
    </row>
    <row r="736" spans="2:6">
      <c r="B736" s="684"/>
      <c r="C736" s="684"/>
      <c r="D736" s="684"/>
      <c r="E736" s="684"/>
      <c r="F736" s="716"/>
    </row>
    <row r="737" spans="2:6">
      <c r="B737" s="684"/>
      <c r="C737" s="684"/>
      <c r="D737" s="684"/>
      <c r="E737" s="684"/>
      <c r="F737" s="716"/>
    </row>
    <row r="738" spans="2:6">
      <c r="B738" s="684"/>
      <c r="C738" s="684"/>
      <c r="D738" s="684"/>
      <c r="E738" s="684"/>
      <c r="F738" s="716"/>
    </row>
    <row r="739" spans="2:6">
      <c r="B739" s="684"/>
      <c r="C739" s="684"/>
      <c r="D739" s="684"/>
      <c r="E739" s="684"/>
      <c r="F739" s="716"/>
    </row>
    <row r="740" spans="2:6">
      <c r="B740" s="684"/>
      <c r="C740" s="684"/>
      <c r="D740" s="684"/>
      <c r="E740" s="684"/>
      <c r="F740" s="716"/>
    </row>
    <row r="741" spans="2:6">
      <c r="B741" s="684"/>
      <c r="C741" s="684"/>
      <c r="D741" s="684"/>
      <c r="E741" s="684"/>
      <c r="F741" s="716"/>
    </row>
    <row r="742" spans="2:6">
      <c r="B742" s="684"/>
      <c r="C742" s="684"/>
      <c r="D742" s="684"/>
      <c r="E742" s="684"/>
      <c r="F742" s="716"/>
    </row>
    <row r="743" spans="2:6">
      <c r="B743" s="684"/>
      <c r="C743" s="684"/>
      <c r="D743" s="684"/>
      <c r="E743" s="684"/>
      <c r="F743" s="716"/>
    </row>
    <row r="744" spans="2:6">
      <c r="B744" s="684"/>
      <c r="C744" s="684"/>
      <c r="D744" s="684"/>
      <c r="E744" s="684"/>
      <c r="F744" s="716"/>
    </row>
    <row r="745" spans="2:6">
      <c r="B745" s="684"/>
      <c r="C745" s="684"/>
      <c r="D745" s="684"/>
      <c r="E745" s="684"/>
      <c r="F745" s="716"/>
    </row>
    <row r="746" spans="2:6">
      <c r="B746" s="684"/>
      <c r="C746" s="684"/>
      <c r="D746" s="684"/>
      <c r="E746" s="684"/>
      <c r="F746" s="716"/>
    </row>
    <row r="747" spans="2:6">
      <c r="B747" s="684"/>
      <c r="C747" s="684"/>
      <c r="D747" s="684"/>
      <c r="E747" s="684"/>
      <c r="F747" s="716"/>
    </row>
    <row r="748" spans="2:6">
      <c r="B748" s="684"/>
      <c r="C748" s="684"/>
      <c r="D748" s="684"/>
      <c r="E748" s="684"/>
      <c r="F748" s="716"/>
    </row>
    <row r="749" spans="2:6">
      <c r="B749" s="684"/>
      <c r="C749" s="684"/>
      <c r="D749" s="684"/>
      <c r="E749" s="684"/>
      <c r="F749" s="716"/>
    </row>
    <row r="750" spans="2:6">
      <c r="B750" s="684"/>
      <c r="C750" s="684"/>
      <c r="D750" s="684"/>
      <c r="E750" s="684"/>
      <c r="F750" s="716"/>
    </row>
    <row r="751" spans="2:6">
      <c r="B751" s="684"/>
      <c r="C751" s="684"/>
      <c r="D751" s="684"/>
      <c r="E751" s="684"/>
      <c r="F751" s="716"/>
    </row>
    <row r="752" spans="2:6">
      <c r="B752" s="684"/>
      <c r="C752" s="684"/>
      <c r="D752" s="684"/>
      <c r="E752" s="684"/>
      <c r="F752" s="716"/>
    </row>
    <row r="753" spans="2:6">
      <c r="B753" s="684"/>
      <c r="C753" s="684"/>
      <c r="D753" s="684"/>
      <c r="E753" s="684"/>
      <c r="F753" s="716"/>
    </row>
    <row r="754" spans="2:6">
      <c r="B754" s="684"/>
      <c r="C754" s="684"/>
      <c r="D754" s="684"/>
      <c r="E754" s="684"/>
      <c r="F754" s="716"/>
    </row>
    <row r="755" spans="2:6">
      <c r="B755" s="684"/>
      <c r="C755" s="684"/>
      <c r="D755" s="684"/>
      <c r="E755" s="684"/>
      <c r="F755" s="716"/>
    </row>
    <row r="756" spans="2:6">
      <c r="B756" s="684"/>
      <c r="C756" s="684"/>
      <c r="D756" s="684"/>
      <c r="E756" s="684"/>
      <c r="F756" s="716"/>
    </row>
    <row r="757" spans="2:6">
      <c r="B757" s="684"/>
      <c r="C757" s="684"/>
      <c r="D757" s="684"/>
      <c r="E757" s="684"/>
      <c r="F757" s="716"/>
    </row>
    <row r="758" spans="2:6">
      <c r="B758" s="684"/>
      <c r="C758" s="684"/>
      <c r="D758" s="684"/>
      <c r="E758" s="684"/>
      <c r="F758" s="716"/>
    </row>
    <row r="759" spans="2:6">
      <c r="B759" s="684"/>
      <c r="C759" s="684"/>
      <c r="D759" s="684"/>
      <c r="E759" s="684"/>
      <c r="F759" s="716"/>
    </row>
    <row r="760" spans="2:6">
      <c r="B760" s="684"/>
      <c r="C760" s="684"/>
      <c r="D760" s="684"/>
      <c r="E760" s="684"/>
      <c r="F760" s="716"/>
    </row>
    <row r="761" spans="2:6">
      <c r="B761" s="684"/>
      <c r="C761" s="684"/>
      <c r="D761" s="684"/>
      <c r="E761" s="684"/>
      <c r="F761" s="716"/>
    </row>
    <row r="762" spans="2:6">
      <c r="B762" s="684"/>
      <c r="C762" s="684"/>
      <c r="D762" s="684"/>
      <c r="E762" s="684"/>
      <c r="F762" s="716"/>
    </row>
    <row r="763" spans="2:6">
      <c r="B763" s="684"/>
      <c r="C763" s="684"/>
      <c r="D763" s="684"/>
      <c r="E763" s="684"/>
      <c r="F763" s="716"/>
    </row>
    <row r="764" spans="2:6">
      <c r="B764" s="684"/>
      <c r="C764" s="684"/>
      <c r="D764" s="684"/>
      <c r="E764" s="684"/>
      <c r="F764" s="716"/>
    </row>
    <row r="765" spans="2:6">
      <c r="B765" s="684"/>
      <c r="C765" s="684"/>
      <c r="D765" s="684"/>
      <c r="E765" s="684"/>
      <c r="F765" s="716"/>
    </row>
    <row r="766" spans="2:6">
      <c r="B766" s="684"/>
      <c r="C766" s="684"/>
      <c r="D766" s="684"/>
      <c r="E766" s="684"/>
      <c r="F766" s="716"/>
    </row>
    <row r="767" spans="2:6">
      <c r="B767" s="684"/>
      <c r="C767" s="684"/>
      <c r="D767" s="684"/>
      <c r="E767" s="684"/>
      <c r="F767" s="716"/>
    </row>
    <row r="768" spans="2:6">
      <c r="B768" s="684"/>
      <c r="C768" s="684"/>
      <c r="D768" s="684"/>
      <c r="E768" s="684"/>
      <c r="F768" s="716"/>
    </row>
    <row r="769" spans="2:6">
      <c r="B769" s="684"/>
      <c r="C769" s="684"/>
      <c r="D769" s="684"/>
      <c r="E769" s="684"/>
      <c r="F769" s="716"/>
    </row>
    <row r="770" spans="2:6">
      <c r="B770" s="684"/>
      <c r="C770" s="684"/>
      <c r="D770" s="684"/>
      <c r="E770" s="684"/>
      <c r="F770" s="716"/>
    </row>
    <row r="771" spans="2:6">
      <c r="B771" s="684"/>
      <c r="C771" s="684"/>
      <c r="D771" s="684"/>
      <c r="E771" s="684"/>
      <c r="F771" s="716"/>
    </row>
    <row r="772" spans="2:6">
      <c r="B772" s="684"/>
      <c r="C772" s="684"/>
      <c r="D772" s="684"/>
      <c r="E772" s="684"/>
      <c r="F772" s="716"/>
    </row>
    <row r="773" spans="2:6">
      <c r="B773" s="684"/>
      <c r="C773" s="684"/>
      <c r="D773" s="684"/>
      <c r="E773" s="684"/>
      <c r="F773" s="716"/>
    </row>
    <row r="774" spans="2:6">
      <c r="B774" s="684"/>
      <c r="C774" s="684"/>
      <c r="D774" s="684"/>
      <c r="E774" s="684"/>
      <c r="F774" s="716"/>
    </row>
    <row r="775" spans="2:6">
      <c r="B775" s="684"/>
      <c r="C775" s="684"/>
      <c r="D775" s="684"/>
      <c r="E775" s="684"/>
      <c r="F775" s="716"/>
    </row>
    <row r="776" spans="2:6">
      <c r="B776" s="684"/>
      <c r="C776" s="684"/>
      <c r="D776" s="684"/>
      <c r="E776" s="684"/>
      <c r="F776" s="716"/>
    </row>
    <row r="777" spans="2:6">
      <c r="B777" s="684"/>
      <c r="C777" s="684"/>
      <c r="D777" s="684"/>
      <c r="E777" s="684"/>
      <c r="F777" s="716"/>
    </row>
    <row r="778" spans="2:6">
      <c r="B778" s="684"/>
      <c r="C778" s="684"/>
      <c r="D778" s="684"/>
      <c r="E778" s="684"/>
      <c r="F778" s="716"/>
    </row>
    <row r="779" spans="2:6">
      <c r="B779" s="684"/>
      <c r="C779" s="684"/>
      <c r="D779" s="684"/>
      <c r="E779" s="684"/>
      <c r="F779" s="716"/>
    </row>
    <row r="780" spans="2:6">
      <c r="B780" s="684"/>
      <c r="C780" s="684"/>
      <c r="D780" s="684"/>
      <c r="E780" s="684"/>
      <c r="F780" s="716"/>
    </row>
    <row r="781" spans="2:6">
      <c r="B781" s="684"/>
      <c r="C781" s="684"/>
      <c r="D781" s="684"/>
      <c r="E781" s="684"/>
      <c r="F781" s="716"/>
    </row>
    <row r="782" spans="2:6">
      <c r="B782" s="684"/>
      <c r="C782" s="684"/>
      <c r="D782" s="684"/>
      <c r="E782" s="684"/>
      <c r="F782" s="716"/>
    </row>
    <row r="783" spans="2:6">
      <c r="B783" s="684"/>
      <c r="C783" s="684"/>
      <c r="D783" s="684"/>
      <c r="E783" s="684"/>
      <c r="F783" s="716"/>
    </row>
    <row r="784" spans="2:6">
      <c r="B784" s="684"/>
      <c r="C784" s="684"/>
      <c r="D784" s="684"/>
      <c r="E784" s="684"/>
      <c r="F784" s="716"/>
    </row>
    <row r="785" spans="2:6">
      <c r="B785" s="684"/>
      <c r="C785" s="684"/>
      <c r="D785" s="684"/>
      <c r="E785" s="684"/>
      <c r="F785" s="716"/>
    </row>
    <row r="786" spans="2:6">
      <c r="B786" s="684"/>
      <c r="C786" s="684"/>
      <c r="D786" s="684"/>
      <c r="E786" s="684"/>
      <c r="F786" s="716"/>
    </row>
    <row r="787" spans="2:6">
      <c r="B787" s="684"/>
      <c r="C787" s="684"/>
      <c r="D787" s="684"/>
      <c r="E787" s="684"/>
      <c r="F787" s="716"/>
    </row>
    <row r="788" spans="2:6">
      <c r="B788" s="684"/>
      <c r="C788" s="684"/>
      <c r="D788" s="684"/>
      <c r="E788" s="684"/>
      <c r="F788" s="716"/>
    </row>
    <row r="789" spans="2:6">
      <c r="B789" s="684"/>
      <c r="C789" s="684"/>
      <c r="D789" s="684"/>
      <c r="E789" s="684"/>
      <c r="F789" s="716"/>
    </row>
    <row r="790" spans="2:6">
      <c r="B790" s="684"/>
      <c r="C790" s="684"/>
      <c r="D790" s="684"/>
      <c r="E790" s="684"/>
      <c r="F790" s="716"/>
    </row>
    <row r="791" spans="2:6">
      <c r="B791" s="684"/>
      <c r="C791" s="684"/>
      <c r="D791" s="684"/>
      <c r="E791" s="684"/>
      <c r="F791" s="716"/>
    </row>
    <row r="792" spans="2:6">
      <c r="B792" s="684"/>
      <c r="C792" s="684"/>
      <c r="D792" s="684"/>
      <c r="E792" s="684"/>
      <c r="F792" s="716"/>
    </row>
    <row r="793" spans="2:6">
      <c r="B793" s="684"/>
      <c r="C793" s="684"/>
      <c r="D793" s="684"/>
      <c r="E793" s="684"/>
      <c r="F793" s="716"/>
    </row>
    <row r="794" spans="2:6">
      <c r="B794" s="684"/>
      <c r="C794" s="684"/>
      <c r="D794" s="684"/>
      <c r="E794" s="684"/>
      <c r="F794" s="716"/>
    </row>
    <row r="795" spans="2:6">
      <c r="B795" s="684"/>
      <c r="C795" s="684"/>
      <c r="D795" s="684"/>
      <c r="E795" s="684"/>
      <c r="F795" s="716"/>
    </row>
    <row r="796" spans="2:6">
      <c r="B796" s="684"/>
      <c r="C796" s="684"/>
      <c r="D796" s="684"/>
      <c r="E796" s="684"/>
      <c r="F796" s="716"/>
    </row>
    <row r="797" spans="2:6">
      <c r="B797" s="684"/>
      <c r="C797" s="684"/>
      <c r="D797" s="684"/>
      <c r="E797" s="684"/>
      <c r="F797" s="716"/>
    </row>
    <row r="798" spans="2:6">
      <c r="B798" s="684"/>
      <c r="C798" s="684"/>
      <c r="D798" s="684"/>
      <c r="E798" s="684"/>
      <c r="F798" s="716"/>
    </row>
    <row r="799" spans="2:6">
      <c r="B799" s="684"/>
      <c r="C799" s="684"/>
      <c r="D799" s="684"/>
      <c r="E799" s="684"/>
      <c r="F799" s="716"/>
    </row>
    <row r="800" spans="2:6">
      <c r="B800" s="684"/>
      <c r="C800" s="684"/>
      <c r="D800" s="684"/>
      <c r="E800" s="684"/>
      <c r="F800" s="716"/>
    </row>
    <row r="801" spans="2:6">
      <c r="B801" s="684"/>
      <c r="C801" s="684"/>
      <c r="D801" s="684"/>
      <c r="E801" s="684"/>
      <c r="F801" s="716"/>
    </row>
    <row r="802" spans="2:6">
      <c r="B802" s="684"/>
      <c r="C802" s="684"/>
      <c r="D802" s="684"/>
      <c r="E802" s="684"/>
      <c r="F802" s="716"/>
    </row>
    <row r="803" spans="2:6">
      <c r="B803" s="684"/>
      <c r="C803" s="684"/>
      <c r="D803" s="684"/>
      <c r="E803" s="684"/>
      <c r="F803" s="716"/>
    </row>
    <row r="804" spans="2:6">
      <c r="B804" s="684"/>
      <c r="C804" s="684"/>
      <c r="D804" s="684"/>
      <c r="E804" s="684"/>
      <c r="F804" s="716"/>
    </row>
    <row r="805" spans="2:6">
      <c r="B805" s="684"/>
      <c r="C805" s="684"/>
      <c r="D805" s="684"/>
      <c r="E805" s="684"/>
      <c r="F805" s="716"/>
    </row>
    <row r="806" spans="2:6">
      <c r="B806" s="684"/>
      <c r="C806" s="684"/>
      <c r="D806" s="684"/>
      <c r="E806" s="684"/>
      <c r="F806" s="716"/>
    </row>
    <row r="807" spans="2:6">
      <c r="B807" s="684"/>
      <c r="C807" s="684"/>
      <c r="D807" s="684"/>
      <c r="E807" s="684"/>
      <c r="F807" s="716"/>
    </row>
    <row r="808" spans="2:6">
      <c r="B808" s="684"/>
      <c r="C808" s="684"/>
      <c r="D808" s="684"/>
      <c r="E808" s="684"/>
      <c r="F808" s="716"/>
    </row>
    <row r="809" spans="2:6">
      <c r="B809" s="684"/>
      <c r="C809" s="684"/>
      <c r="D809" s="684"/>
      <c r="E809" s="684"/>
      <c r="F809" s="716"/>
    </row>
    <row r="810" spans="2:6">
      <c r="B810" s="684"/>
      <c r="C810" s="684"/>
      <c r="D810" s="684"/>
      <c r="E810" s="684"/>
      <c r="F810" s="716"/>
    </row>
    <row r="811" spans="2:6">
      <c r="B811" s="684"/>
      <c r="C811" s="684"/>
      <c r="D811" s="684"/>
      <c r="E811" s="684"/>
      <c r="F811" s="716"/>
    </row>
    <row r="812" spans="2:6">
      <c r="B812" s="684"/>
      <c r="C812" s="684"/>
      <c r="D812" s="684"/>
      <c r="E812" s="684"/>
      <c r="F812" s="716"/>
    </row>
    <row r="813" spans="2:6">
      <c r="B813" s="684"/>
      <c r="C813" s="684"/>
      <c r="D813" s="684"/>
      <c r="E813" s="684"/>
      <c r="F813" s="716"/>
    </row>
    <row r="814" spans="2:6">
      <c r="B814" s="684"/>
      <c r="C814" s="684"/>
      <c r="D814" s="684"/>
      <c r="E814" s="684"/>
      <c r="F814" s="716"/>
    </row>
    <row r="815" spans="2:6">
      <c r="B815" s="684"/>
      <c r="C815" s="684"/>
      <c r="D815" s="684"/>
      <c r="E815" s="684"/>
      <c r="F815" s="716"/>
    </row>
    <row r="816" spans="2:6">
      <c r="B816" s="684"/>
      <c r="C816" s="684"/>
      <c r="D816" s="684"/>
      <c r="E816" s="684"/>
      <c r="F816" s="716"/>
    </row>
    <row r="817" spans="2:6">
      <c r="B817" s="684"/>
      <c r="C817" s="684"/>
      <c r="D817" s="684"/>
      <c r="E817" s="684"/>
      <c r="F817" s="716"/>
    </row>
    <row r="818" spans="2:6">
      <c r="B818" s="684"/>
      <c r="C818" s="684"/>
      <c r="D818" s="684"/>
      <c r="E818" s="684"/>
      <c r="F818" s="716"/>
    </row>
    <row r="819" spans="2:6">
      <c r="B819" s="684"/>
      <c r="C819" s="684"/>
      <c r="D819" s="684"/>
      <c r="E819" s="684"/>
      <c r="F819" s="716"/>
    </row>
    <row r="820" spans="2:6">
      <c r="B820" s="684"/>
      <c r="C820" s="684"/>
      <c r="D820" s="684"/>
      <c r="E820" s="684"/>
      <c r="F820" s="716"/>
    </row>
    <row r="821" spans="2:6">
      <c r="B821" s="684"/>
      <c r="C821" s="684"/>
      <c r="D821" s="684"/>
      <c r="E821" s="684"/>
      <c r="F821" s="716"/>
    </row>
    <row r="822" spans="2:6">
      <c r="B822" s="684"/>
      <c r="C822" s="684"/>
      <c r="D822" s="684"/>
      <c r="E822" s="684"/>
      <c r="F822" s="716"/>
    </row>
    <row r="823" spans="2:6">
      <c r="B823" s="684"/>
      <c r="C823" s="684"/>
      <c r="D823" s="684"/>
      <c r="E823" s="684"/>
      <c r="F823" s="716"/>
    </row>
    <row r="824" spans="2:6">
      <c r="B824" s="684"/>
      <c r="C824" s="684"/>
      <c r="D824" s="684"/>
      <c r="E824" s="684"/>
      <c r="F824" s="716"/>
    </row>
    <row r="825" spans="2:6">
      <c r="B825" s="684"/>
      <c r="C825" s="684"/>
      <c r="D825" s="684"/>
      <c r="E825" s="684"/>
      <c r="F825" s="716"/>
    </row>
    <row r="826" spans="2:6">
      <c r="B826" s="684"/>
      <c r="C826" s="684"/>
      <c r="D826" s="684"/>
      <c r="E826" s="684"/>
      <c r="F826" s="716"/>
    </row>
    <row r="827" spans="2:6">
      <c r="B827" s="684"/>
      <c r="C827" s="684"/>
      <c r="D827" s="684"/>
      <c r="E827" s="684"/>
      <c r="F827" s="716"/>
    </row>
    <row r="828" spans="2:6">
      <c r="B828" s="684"/>
      <c r="C828" s="684"/>
      <c r="D828" s="684"/>
      <c r="E828" s="684"/>
      <c r="F828" s="716"/>
    </row>
    <row r="829" spans="2:6">
      <c r="B829" s="684"/>
      <c r="C829" s="684"/>
      <c r="D829" s="684"/>
      <c r="E829" s="684"/>
      <c r="F829" s="716"/>
    </row>
    <row r="830" spans="2:6">
      <c r="B830" s="684"/>
      <c r="C830" s="684"/>
      <c r="D830" s="684"/>
      <c r="E830" s="684"/>
      <c r="F830" s="716"/>
    </row>
    <row r="831" spans="2:6">
      <c r="B831" s="684"/>
      <c r="C831" s="684"/>
      <c r="D831" s="684"/>
      <c r="E831" s="684"/>
      <c r="F831" s="716"/>
    </row>
    <row r="832" spans="2:6">
      <c r="B832" s="684"/>
      <c r="C832" s="684"/>
      <c r="D832" s="684"/>
      <c r="E832" s="684"/>
      <c r="F832" s="716"/>
    </row>
    <row r="833" spans="2:6">
      <c r="B833" s="684"/>
      <c r="C833" s="684"/>
      <c r="D833" s="684"/>
      <c r="E833" s="684"/>
      <c r="F833" s="716"/>
    </row>
    <row r="834" spans="2:6">
      <c r="B834" s="684"/>
      <c r="C834" s="684"/>
      <c r="D834" s="684"/>
      <c r="E834" s="684"/>
      <c r="F834" s="716"/>
    </row>
    <row r="835" spans="2:6">
      <c r="B835" s="684"/>
      <c r="C835" s="684"/>
      <c r="D835" s="684"/>
      <c r="E835" s="684"/>
      <c r="F835" s="716"/>
    </row>
    <row r="836" spans="2:6">
      <c r="B836" s="684"/>
      <c r="C836" s="684"/>
      <c r="D836" s="684"/>
      <c r="E836" s="684"/>
      <c r="F836" s="716"/>
    </row>
    <row r="837" spans="2:6">
      <c r="B837" s="684"/>
      <c r="C837" s="684"/>
      <c r="D837" s="684"/>
      <c r="E837" s="684"/>
      <c r="F837" s="716"/>
    </row>
    <row r="838" spans="2:6">
      <c r="B838" s="684"/>
      <c r="C838" s="684"/>
      <c r="D838" s="684"/>
      <c r="E838" s="684"/>
      <c r="F838" s="716"/>
    </row>
    <row r="839" spans="2:6">
      <c r="B839" s="684"/>
      <c r="C839" s="684"/>
      <c r="D839" s="684"/>
      <c r="E839" s="684"/>
      <c r="F839" s="716"/>
    </row>
    <row r="840" spans="2:6">
      <c r="B840" s="684"/>
      <c r="C840" s="684"/>
      <c r="D840" s="684"/>
      <c r="E840" s="684"/>
      <c r="F840" s="716"/>
    </row>
    <row r="841" spans="2:6">
      <c r="B841" s="684"/>
      <c r="C841" s="684"/>
      <c r="D841" s="684"/>
      <c r="E841" s="684"/>
      <c r="F841" s="716"/>
    </row>
    <row r="842" spans="2:6">
      <c r="B842" s="684"/>
      <c r="C842" s="684"/>
      <c r="D842" s="684"/>
      <c r="E842" s="684"/>
      <c r="F842" s="716"/>
    </row>
    <row r="843" spans="2:6">
      <c r="B843" s="684"/>
      <c r="C843" s="684"/>
      <c r="D843" s="684"/>
      <c r="E843" s="684"/>
      <c r="F843" s="716"/>
    </row>
    <row r="844" spans="2:6">
      <c r="B844" s="684"/>
      <c r="C844" s="684"/>
      <c r="D844" s="684"/>
      <c r="E844" s="684"/>
      <c r="F844" s="716"/>
    </row>
    <row r="845" spans="2:6">
      <c r="B845" s="684"/>
      <c r="C845" s="684"/>
      <c r="D845" s="684"/>
      <c r="E845" s="684"/>
      <c r="F845" s="716"/>
    </row>
    <row r="846" spans="2:6">
      <c r="B846" s="684"/>
      <c r="C846" s="684"/>
      <c r="D846" s="684"/>
      <c r="E846" s="684"/>
      <c r="F846" s="716"/>
    </row>
    <row r="847" spans="2:6">
      <c r="B847" s="684"/>
      <c r="C847" s="684"/>
      <c r="D847" s="684"/>
      <c r="E847" s="684"/>
      <c r="F847" s="716"/>
    </row>
    <row r="848" spans="2:6">
      <c r="B848" s="684"/>
      <c r="C848" s="684"/>
      <c r="D848" s="684"/>
      <c r="E848" s="684"/>
      <c r="F848" s="716"/>
    </row>
    <row r="849" spans="2:6">
      <c r="B849" s="684"/>
      <c r="C849" s="684"/>
      <c r="D849" s="684"/>
      <c r="E849" s="684"/>
      <c r="F849" s="716"/>
    </row>
    <row r="850" spans="2:6">
      <c r="B850" s="684"/>
      <c r="C850" s="684"/>
      <c r="D850" s="684"/>
      <c r="E850" s="684"/>
      <c r="F850" s="716"/>
    </row>
    <row r="851" spans="2:6">
      <c r="B851" s="684"/>
      <c r="C851" s="684"/>
      <c r="D851" s="684"/>
      <c r="E851" s="684"/>
      <c r="F851" s="716"/>
    </row>
    <row r="852" spans="2:6">
      <c r="B852" s="684"/>
      <c r="C852" s="684"/>
      <c r="D852" s="684"/>
      <c r="E852" s="684"/>
      <c r="F852" s="716"/>
    </row>
    <row r="853" spans="2:6">
      <c r="B853" s="684"/>
      <c r="C853" s="684"/>
      <c r="D853" s="684"/>
      <c r="E853" s="684"/>
      <c r="F853" s="716"/>
    </row>
    <row r="854" spans="2:6">
      <c r="B854" s="684"/>
      <c r="C854" s="684"/>
      <c r="D854" s="684"/>
      <c r="E854" s="684"/>
      <c r="F854" s="716"/>
    </row>
    <row r="855" spans="2:6">
      <c r="B855" s="684"/>
      <c r="C855" s="684"/>
      <c r="D855" s="684"/>
      <c r="E855" s="684"/>
      <c r="F855" s="716"/>
    </row>
    <row r="856" spans="2:6">
      <c r="B856" s="684"/>
      <c r="C856" s="684"/>
      <c r="D856" s="684"/>
      <c r="E856" s="684"/>
      <c r="F856" s="716"/>
    </row>
    <row r="857" spans="2:6">
      <c r="B857" s="684"/>
      <c r="C857" s="684"/>
      <c r="D857" s="684"/>
      <c r="E857" s="684"/>
      <c r="F857" s="716"/>
    </row>
    <row r="858" spans="2:6">
      <c r="B858" s="684"/>
      <c r="C858" s="684"/>
      <c r="D858" s="684"/>
      <c r="E858" s="684"/>
      <c r="F858" s="716"/>
    </row>
    <row r="859" spans="2:6">
      <c r="B859" s="684"/>
      <c r="C859" s="684"/>
      <c r="D859" s="684"/>
      <c r="E859" s="684"/>
      <c r="F859" s="716"/>
    </row>
    <row r="860" spans="2:6">
      <c r="B860" s="684"/>
      <c r="C860" s="684"/>
      <c r="D860" s="684"/>
      <c r="E860" s="684"/>
      <c r="F860" s="716"/>
    </row>
    <row r="861" spans="2:6">
      <c r="B861" s="684"/>
      <c r="C861" s="684"/>
      <c r="D861" s="684"/>
      <c r="E861" s="684"/>
      <c r="F861" s="716"/>
    </row>
    <row r="862" spans="2:6">
      <c r="B862" s="684"/>
      <c r="C862" s="684"/>
      <c r="D862" s="684"/>
      <c r="E862" s="684"/>
      <c r="F862" s="716"/>
    </row>
    <row r="863" spans="2:6">
      <c r="B863" s="684"/>
      <c r="C863" s="684"/>
      <c r="D863" s="684"/>
      <c r="E863" s="684"/>
      <c r="F863" s="716"/>
    </row>
    <row r="864" spans="2:6">
      <c r="B864" s="684"/>
      <c r="C864" s="684"/>
      <c r="D864" s="684"/>
      <c r="E864" s="684"/>
      <c r="F864" s="716"/>
    </row>
    <row r="865" spans="2:6">
      <c r="B865" s="684"/>
      <c r="C865" s="684"/>
      <c r="D865" s="684"/>
      <c r="E865" s="684"/>
      <c r="F865" s="716"/>
    </row>
    <row r="866" spans="2:6">
      <c r="B866" s="684"/>
      <c r="C866" s="684"/>
      <c r="D866" s="684"/>
      <c r="E866" s="684"/>
      <c r="F866" s="716"/>
    </row>
    <row r="867" spans="2:6">
      <c r="B867" s="684"/>
      <c r="C867" s="684"/>
      <c r="D867" s="684"/>
      <c r="E867" s="684"/>
      <c r="F867" s="716"/>
    </row>
    <row r="868" spans="2:6">
      <c r="B868" s="684"/>
      <c r="C868" s="684"/>
      <c r="D868" s="684"/>
      <c r="E868" s="684"/>
      <c r="F868" s="716"/>
    </row>
    <row r="869" spans="2:6">
      <c r="B869" s="684"/>
      <c r="C869" s="684"/>
      <c r="D869" s="684"/>
      <c r="E869" s="684"/>
      <c r="F869" s="716"/>
    </row>
    <row r="870" spans="2:6">
      <c r="B870" s="684"/>
      <c r="C870" s="684"/>
      <c r="D870" s="684"/>
      <c r="E870" s="684"/>
      <c r="F870" s="716"/>
    </row>
    <row r="871" spans="2:6">
      <c r="B871" s="684"/>
      <c r="C871" s="684"/>
      <c r="D871" s="684"/>
      <c r="E871" s="684"/>
      <c r="F871" s="716"/>
    </row>
    <row r="872" spans="2:6">
      <c r="B872" s="684"/>
      <c r="C872" s="684"/>
      <c r="D872" s="684"/>
      <c r="E872" s="684"/>
      <c r="F872" s="716"/>
    </row>
    <row r="873" spans="2:6">
      <c r="B873" s="684"/>
      <c r="C873" s="684"/>
      <c r="D873" s="684"/>
      <c r="E873" s="684"/>
      <c r="F873" s="716"/>
    </row>
    <row r="874" spans="2:6">
      <c r="B874" s="684"/>
      <c r="C874" s="684"/>
      <c r="D874" s="684"/>
      <c r="E874" s="684"/>
      <c r="F874" s="716"/>
    </row>
    <row r="875" spans="2:6">
      <c r="B875" s="684"/>
      <c r="C875" s="684"/>
      <c r="D875" s="684"/>
      <c r="E875" s="684"/>
      <c r="F875" s="716"/>
    </row>
    <row r="876" spans="2:6">
      <c r="B876" s="684"/>
      <c r="C876" s="684"/>
      <c r="D876" s="684"/>
      <c r="E876" s="684"/>
      <c r="F876" s="716"/>
    </row>
    <row r="877" spans="2:6">
      <c r="B877" s="684"/>
      <c r="C877" s="684"/>
      <c r="D877" s="684"/>
      <c r="E877" s="684"/>
      <c r="F877" s="716"/>
    </row>
    <row r="878" spans="2:6">
      <c r="B878" s="684"/>
      <c r="C878" s="684"/>
      <c r="D878" s="684"/>
      <c r="E878" s="684"/>
      <c r="F878" s="716"/>
    </row>
    <row r="879" spans="2:6">
      <c r="B879" s="684"/>
      <c r="C879" s="684"/>
      <c r="D879" s="684"/>
      <c r="E879" s="684"/>
      <c r="F879" s="716"/>
    </row>
    <row r="880" spans="2:6">
      <c r="B880" s="684"/>
      <c r="C880" s="684"/>
      <c r="D880" s="684"/>
      <c r="E880" s="684"/>
      <c r="F880" s="716"/>
    </row>
    <row r="881" spans="2:6">
      <c r="B881" s="684"/>
      <c r="C881" s="684"/>
      <c r="D881" s="684"/>
      <c r="E881" s="684"/>
      <c r="F881" s="716"/>
    </row>
    <row r="882" spans="2:6">
      <c r="B882" s="684"/>
      <c r="C882" s="684"/>
      <c r="D882" s="684"/>
      <c r="E882" s="684"/>
      <c r="F882" s="716"/>
    </row>
    <row r="883" spans="2:6">
      <c r="B883" s="684"/>
      <c r="C883" s="684"/>
      <c r="D883" s="684"/>
      <c r="E883" s="684"/>
      <c r="F883" s="716"/>
    </row>
    <row r="884" spans="2:6">
      <c r="B884" s="684"/>
      <c r="C884" s="684"/>
      <c r="D884" s="684"/>
      <c r="E884" s="684"/>
      <c r="F884" s="716"/>
    </row>
    <row r="885" spans="2:6">
      <c r="B885" s="684"/>
      <c r="C885" s="684"/>
      <c r="D885" s="684"/>
      <c r="E885" s="684"/>
      <c r="F885" s="716"/>
    </row>
    <row r="886" spans="2:6">
      <c r="B886" s="684"/>
      <c r="C886" s="684"/>
      <c r="D886" s="684"/>
      <c r="E886" s="684"/>
      <c r="F886" s="716"/>
    </row>
    <row r="887" spans="2:6">
      <c r="B887" s="684"/>
      <c r="C887" s="684"/>
      <c r="D887" s="684"/>
      <c r="E887" s="684"/>
      <c r="F887" s="716"/>
    </row>
    <row r="888" spans="2:6">
      <c r="B888" s="684"/>
      <c r="C888" s="684"/>
      <c r="D888" s="684"/>
      <c r="E888" s="684"/>
      <c r="F888" s="716"/>
    </row>
    <row r="889" spans="2:6">
      <c r="B889" s="684"/>
      <c r="C889" s="684"/>
      <c r="D889" s="684"/>
      <c r="E889" s="684"/>
      <c r="F889" s="716"/>
    </row>
    <row r="890" spans="2:6">
      <c r="B890" s="684"/>
      <c r="C890" s="684"/>
      <c r="D890" s="684"/>
      <c r="E890" s="684"/>
      <c r="F890" s="716"/>
    </row>
    <row r="891" spans="2:6">
      <c r="B891" s="684"/>
      <c r="C891" s="684"/>
      <c r="D891" s="684"/>
      <c r="E891" s="684"/>
      <c r="F891" s="716"/>
    </row>
    <row r="892" spans="2:6">
      <c r="B892" s="684"/>
      <c r="C892" s="684"/>
      <c r="D892" s="684"/>
      <c r="E892" s="684"/>
      <c r="F892" s="716"/>
    </row>
    <row r="893" spans="2:6">
      <c r="B893" s="684"/>
      <c r="C893" s="684"/>
      <c r="D893" s="684"/>
      <c r="E893" s="684"/>
      <c r="F893" s="716"/>
    </row>
    <row r="894" spans="2:6">
      <c r="B894" s="684"/>
      <c r="C894" s="684"/>
      <c r="D894" s="684"/>
      <c r="E894" s="684"/>
      <c r="F894" s="716"/>
    </row>
    <row r="895" spans="2:6">
      <c r="B895" s="684"/>
      <c r="C895" s="684"/>
      <c r="D895" s="684"/>
      <c r="E895" s="684"/>
      <c r="F895" s="716"/>
    </row>
    <row r="896" spans="2:6">
      <c r="B896" s="684"/>
      <c r="C896" s="684"/>
      <c r="D896" s="684"/>
      <c r="E896" s="684"/>
      <c r="F896" s="716"/>
    </row>
    <row r="897" spans="2:6">
      <c r="B897" s="684"/>
      <c r="C897" s="684"/>
      <c r="D897" s="684"/>
      <c r="E897" s="684"/>
      <c r="F897" s="716"/>
    </row>
    <row r="898" spans="2:6">
      <c r="B898" s="684"/>
      <c r="C898" s="684"/>
      <c r="D898" s="684"/>
      <c r="E898" s="684"/>
      <c r="F898" s="716"/>
    </row>
    <row r="899" spans="2:6">
      <c r="B899" s="684"/>
      <c r="C899" s="684"/>
      <c r="D899" s="684"/>
      <c r="E899" s="684"/>
      <c r="F899" s="716"/>
    </row>
    <row r="900" spans="2:6">
      <c r="B900" s="684"/>
      <c r="C900" s="684"/>
      <c r="D900" s="684"/>
      <c r="E900" s="684"/>
      <c r="F900" s="716"/>
    </row>
    <row r="901" spans="2:6">
      <c r="B901" s="684"/>
      <c r="C901" s="684"/>
      <c r="D901" s="684"/>
      <c r="E901" s="684"/>
      <c r="F901" s="716"/>
    </row>
    <row r="902" spans="2:6">
      <c r="B902" s="684"/>
      <c r="C902" s="684"/>
      <c r="D902" s="684"/>
      <c r="E902" s="684"/>
      <c r="F902" s="716"/>
    </row>
    <row r="903" spans="2:6">
      <c r="B903" s="684"/>
      <c r="C903" s="684"/>
      <c r="D903" s="684"/>
      <c r="E903" s="684"/>
      <c r="F903" s="716"/>
    </row>
    <row r="904" spans="2:6">
      <c r="B904" s="684"/>
      <c r="C904" s="684"/>
      <c r="D904" s="684"/>
      <c r="E904" s="684"/>
      <c r="F904" s="716"/>
    </row>
    <row r="905" spans="2:6">
      <c r="B905" s="684"/>
      <c r="C905" s="684"/>
      <c r="D905" s="684"/>
      <c r="E905" s="684"/>
      <c r="F905" s="716"/>
    </row>
    <row r="906" spans="2:6">
      <c r="B906" s="684"/>
      <c r="C906" s="684"/>
      <c r="D906" s="684"/>
      <c r="E906" s="684"/>
      <c r="F906" s="716"/>
    </row>
    <row r="907" spans="2:6">
      <c r="B907" s="684"/>
      <c r="C907" s="684"/>
      <c r="D907" s="684"/>
      <c r="E907" s="684"/>
      <c r="F907" s="716"/>
    </row>
    <row r="908" spans="2:6">
      <c r="B908" s="684"/>
      <c r="C908" s="684"/>
      <c r="D908" s="684"/>
      <c r="E908" s="684"/>
      <c r="F908" s="716"/>
    </row>
    <row r="909" spans="2:6">
      <c r="B909" s="684"/>
      <c r="C909" s="684"/>
      <c r="D909" s="684"/>
      <c r="E909" s="684"/>
      <c r="F909" s="716"/>
    </row>
    <row r="910" spans="2:6">
      <c r="B910" s="684"/>
      <c r="C910" s="684"/>
      <c r="D910" s="684"/>
      <c r="E910" s="684"/>
      <c r="F910" s="716"/>
    </row>
    <row r="911" spans="2:6">
      <c r="B911" s="684"/>
      <c r="C911" s="684"/>
      <c r="D911" s="684"/>
      <c r="E911" s="684"/>
      <c r="F911" s="716"/>
    </row>
    <row r="912" spans="2:6">
      <c r="B912" s="684"/>
      <c r="C912" s="684"/>
      <c r="D912" s="684"/>
      <c r="E912" s="684"/>
      <c r="F912" s="716"/>
    </row>
    <row r="913" spans="2:6">
      <c r="B913" s="684"/>
      <c r="C913" s="684"/>
      <c r="D913" s="684"/>
      <c r="E913" s="684"/>
      <c r="F913" s="716"/>
    </row>
    <row r="914" spans="2:6">
      <c r="B914" s="684"/>
      <c r="C914" s="684"/>
      <c r="D914" s="684"/>
      <c r="E914" s="684"/>
      <c r="F914" s="716"/>
    </row>
    <row r="915" spans="2:6">
      <c r="B915" s="684"/>
      <c r="C915" s="684"/>
      <c r="D915" s="684"/>
      <c r="E915" s="684"/>
      <c r="F915" s="716"/>
    </row>
    <row r="916" spans="2:6">
      <c r="B916" s="684"/>
      <c r="C916" s="684"/>
      <c r="D916" s="684"/>
      <c r="E916" s="684"/>
      <c r="F916" s="716"/>
    </row>
    <row r="917" spans="2:6">
      <c r="B917" s="684"/>
      <c r="C917" s="684"/>
      <c r="D917" s="684"/>
      <c r="E917" s="684"/>
      <c r="F917" s="716"/>
    </row>
    <row r="918" spans="2:6">
      <c r="B918" s="684"/>
      <c r="C918" s="684"/>
      <c r="D918" s="684"/>
      <c r="E918" s="684"/>
      <c r="F918" s="716"/>
    </row>
    <row r="919" spans="2:6">
      <c r="B919" s="684"/>
      <c r="C919" s="684"/>
      <c r="D919" s="684"/>
      <c r="E919" s="684"/>
      <c r="F919" s="716"/>
    </row>
    <row r="920" spans="2:6">
      <c r="B920" s="684"/>
      <c r="C920" s="684"/>
      <c r="D920" s="684"/>
      <c r="E920" s="684"/>
      <c r="F920" s="716"/>
    </row>
    <row r="921" spans="2:6">
      <c r="B921" s="684"/>
      <c r="C921" s="684"/>
      <c r="D921" s="684"/>
      <c r="E921" s="684"/>
      <c r="F921" s="716"/>
    </row>
    <row r="922" spans="2:6">
      <c r="B922" s="684"/>
      <c r="C922" s="684"/>
      <c r="D922" s="684"/>
      <c r="E922" s="684"/>
      <c r="F922" s="716"/>
    </row>
    <row r="923" spans="2:6">
      <c r="B923" s="684"/>
      <c r="C923" s="684"/>
      <c r="D923" s="684"/>
      <c r="E923" s="684"/>
      <c r="F923" s="716"/>
    </row>
    <row r="924" spans="2:6">
      <c r="B924" s="684"/>
      <c r="C924" s="684"/>
      <c r="D924" s="684"/>
      <c r="E924" s="684"/>
      <c r="F924" s="716"/>
    </row>
    <row r="925" spans="2:6">
      <c r="B925" s="684"/>
      <c r="C925" s="684"/>
      <c r="D925" s="684"/>
      <c r="E925" s="684"/>
      <c r="F925" s="716"/>
    </row>
    <row r="926" spans="2:6">
      <c r="B926" s="684"/>
      <c r="C926" s="684"/>
      <c r="D926" s="684"/>
      <c r="E926" s="684"/>
      <c r="F926" s="716"/>
    </row>
    <row r="927" spans="2:6">
      <c r="B927" s="684"/>
      <c r="C927" s="684"/>
      <c r="D927" s="684"/>
      <c r="E927" s="684"/>
      <c r="F927" s="716"/>
    </row>
    <row r="928" spans="2:6">
      <c r="B928" s="684"/>
      <c r="C928" s="684"/>
      <c r="D928" s="684"/>
      <c r="E928" s="684"/>
      <c r="F928" s="716"/>
    </row>
    <row r="929" spans="2:6">
      <c r="B929" s="684"/>
      <c r="C929" s="684"/>
      <c r="D929" s="684"/>
      <c r="E929" s="684"/>
      <c r="F929" s="716"/>
    </row>
    <row r="930" spans="2:6">
      <c r="B930" s="684"/>
      <c r="C930" s="684"/>
      <c r="D930" s="684"/>
      <c r="E930" s="684"/>
      <c r="F930" s="716"/>
    </row>
    <row r="931" spans="2:6">
      <c r="B931" s="684"/>
      <c r="C931" s="684"/>
      <c r="D931" s="684"/>
      <c r="E931" s="684"/>
      <c r="F931" s="716"/>
    </row>
    <row r="932" spans="2:6">
      <c r="B932" s="684"/>
      <c r="C932" s="684"/>
      <c r="D932" s="684"/>
      <c r="E932" s="684"/>
      <c r="F932" s="716"/>
    </row>
    <row r="933" spans="2:6">
      <c r="B933" s="684"/>
      <c r="C933" s="684"/>
      <c r="D933" s="684"/>
      <c r="E933" s="684"/>
      <c r="F933" s="716"/>
    </row>
    <row r="934" spans="2:6">
      <c r="B934" s="684"/>
      <c r="C934" s="684"/>
      <c r="D934" s="684"/>
      <c r="E934" s="684"/>
      <c r="F934" s="716"/>
    </row>
    <row r="935" spans="2:6">
      <c r="B935" s="684"/>
      <c r="C935" s="684"/>
      <c r="D935" s="684"/>
      <c r="E935" s="684"/>
      <c r="F935" s="716"/>
    </row>
    <row r="936" spans="2:6">
      <c r="B936" s="684"/>
      <c r="C936" s="684"/>
      <c r="D936" s="684"/>
      <c r="E936" s="684"/>
      <c r="F936" s="716"/>
    </row>
    <row r="937" spans="2:6">
      <c r="B937" s="684"/>
      <c r="C937" s="684"/>
      <c r="D937" s="684"/>
      <c r="E937" s="684"/>
      <c r="F937" s="716"/>
    </row>
    <row r="938" spans="2:6">
      <c r="B938" s="684"/>
      <c r="C938" s="684"/>
      <c r="D938" s="684"/>
      <c r="E938" s="684"/>
      <c r="F938" s="716"/>
    </row>
    <row r="939" spans="2:6">
      <c r="B939" s="684"/>
      <c r="C939" s="684"/>
      <c r="D939" s="684"/>
      <c r="E939" s="684"/>
      <c r="F939" s="716"/>
    </row>
    <row r="940" spans="2:6">
      <c r="B940" s="684"/>
      <c r="C940" s="684"/>
      <c r="D940" s="684"/>
      <c r="E940" s="684"/>
      <c r="F940" s="716"/>
    </row>
    <row r="941" spans="2:6">
      <c r="B941" s="684"/>
      <c r="C941" s="684"/>
      <c r="D941" s="684"/>
      <c r="E941" s="684"/>
      <c r="F941" s="716"/>
    </row>
    <row r="942" spans="2:6">
      <c r="B942" s="684"/>
      <c r="C942" s="684"/>
      <c r="D942" s="684"/>
      <c r="E942" s="684"/>
      <c r="F942" s="716"/>
    </row>
    <row r="943" spans="2:6">
      <c r="B943" s="684"/>
      <c r="C943" s="684"/>
      <c r="D943" s="684"/>
      <c r="E943" s="684"/>
      <c r="F943" s="716"/>
    </row>
    <row r="944" spans="2:6">
      <c r="B944" s="684"/>
      <c r="C944" s="684"/>
      <c r="D944" s="684"/>
      <c r="E944" s="684"/>
      <c r="F944" s="716"/>
    </row>
    <row r="945" spans="2:6">
      <c r="B945" s="684"/>
      <c r="C945" s="684"/>
      <c r="D945" s="684"/>
      <c r="E945" s="684"/>
      <c r="F945" s="716"/>
    </row>
    <row r="946" spans="2:6">
      <c r="B946" s="684"/>
      <c r="C946" s="684"/>
      <c r="D946" s="684"/>
      <c r="E946" s="684"/>
      <c r="F946" s="716"/>
    </row>
    <row r="947" spans="2:6">
      <c r="B947" s="684"/>
      <c r="C947" s="684"/>
      <c r="D947" s="684"/>
      <c r="E947" s="684"/>
      <c r="F947" s="716"/>
    </row>
    <row r="948" spans="2:6">
      <c r="B948" s="684"/>
      <c r="C948" s="684"/>
      <c r="D948" s="684"/>
      <c r="E948" s="684"/>
      <c r="F948" s="716"/>
    </row>
    <row r="949" spans="2:6">
      <c r="B949" s="684"/>
      <c r="C949" s="684"/>
      <c r="D949" s="684"/>
      <c r="E949" s="684"/>
      <c r="F949" s="716"/>
    </row>
    <row r="950" spans="2:6">
      <c r="B950" s="684"/>
      <c r="C950" s="684"/>
      <c r="D950" s="684"/>
      <c r="E950" s="684"/>
      <c r="F950" s="716"/>
    </row>
    <row r="951" spans="2:6">
      <c r="B951" s="684"/>
      <c r="C951" s="684"/>
      <c r="D951" s="684"/>
      <c r="E951" s="684"/>
      <c r="F951" s="716"/>
    </row>
    <row r="952" spans="2:6">
      <c r="B952" s="684"/>
      <c r="C952" s="684"/>
      <c r="D952" s="684"/>
      <c r="E952" s="684"/>
      <c r="F952" s="716"/>
    </row>
    <row r="953" spans="2:6">
      <c r="B953" s="684"/>
      <c r="C953" s="684"/>
      <c r="D953" s="684"/>
      <c r="E953" s="684"/>
      <c r="F953" s="716"/>
    </row>
    <row r="954" spans="2:6">
      <c r="B954" s="684"/>
      <c r="C954" s="684"/>
      <c r="D954" s="684"/>
      <c r="E954" s="684"/>
      <c r="F954" s="716"/>
    </row>
    <row r="955" spans="2:6">
      <c r="B955" s="684"/>
      <c r="C955" s="684"/>
      <c r="D955" s="684"/>
      <c r="E955" s="684"/>
      <c r="F955" s="716"/>
    </row>
    <row r="956" spans="2:6">
      <c r="B956" s="684"/>
      <c r="C956" s="684"/>
      <c r="D956" s="684"/>
      <c r="E956" s="684"/>
      <c r="F956" s="716"/>
    </row>
    <row r="957" spans="2:6">
      <c r="B957" s="684"/>
      <c r="C957" s="684"/>
      <c r="D957" s="684"/>
      <c r="E957" s="684"/>
      <c r="F957" s="716"/>
    </row>
    <row r="958" spans="2:6">
      <c r="B958" s="684"/>
      <c r="C958" s="684"/>
      <c r="D958" s="684"/>
      <c r="E958" s="684"/>
      <c r="F958" s="716"/>
    </row>
    <row r="959" spans="2:6">
      <c r="B959" s="684"/>
      <c r="C959" s="684"/>
      <c r="D959" s="684"/>
      <c r="E959" s="684"/>
      <c r="F959" s="716"/>
    </row>
    <row r="960" spans="2:6">
      <c r="B960" s="684"/>
      <c r="C960" s="684"/>
      <c r="D960" s="684"/>
      <c r="E960" s="684"/>
      <c r="F960" s="716"/>
    </row>
    <row r="961" spans="2:6">
      <c r="B961" s="684"/>
      <c r="C961" s="684"/>
      <c r="D961" s="684"/>
      <c r="E961" s="684"/>
      <c r="F961" s="716"/>
    </row>
    <row r="962" spans="2:6">
      <c r="B962" s="684"/>
      <c r="C962" s="684"/>
      <c r="D962" s="684"/>
      <c r="E962" s="684"/>
      <c r="F962" s="716"/>
    </row>
    <row r="963" spans="2:6">
      <c r="B963" s="684"/>
      <c r="C963" s="684"/>
      <c r="D963" s="684"/>
      <c r="E963" s="684"/>
      <c r="F963" s="716"/>
    </row>
    <row r="964" spans="2:6">
      <c r="B964" s="684"/>
      <c r="C964" s="684"/>
      <c r="D964" s="684"/>
      <c r="E964" s="684"/>
      <c r="F964" s="716"/>
    </row>
    <row r="965" spans="2:6">
      <c r="B965" s="684"/>
      <c r="C965" s="684"/>
      <c r="D965" s="684"/>
      <c r="E965" s="684"/>
      <c r="F965" s="716"/>
    </row>
    <row r="966" spans="2:6">
      <c r="B966" s="684"/>
      <c r="C966" s="684"/>
      <c r="D966" s="684"/>
      <c r="E966" s="684"/>
      <c r="F966" s="716"/>
    </row>
    <row r="967" spans="2:6">
      <c r="B967" s="684"/>
      <c r="C967" s="684"/>
      <c r="D967" s="684"/>
      <c r="E967" s="684"/>
      <c r="F967" s="716"/>
    </row>
    <row r="968" spans="2:6">
      <c r="B968" s="684"/>
      <c r="C968" s="684"/>
      <c r="D968" s="684"/>
      <c r="E968" s="684"/>
      <c r="F968" s="716"/>
    </row>
    <row r="969" spans="2:6">
      <c r="B969" s="684"/>
      <c r="C969" s="684"/>
      <c r="D969" s="684"/>
      <c r="E969" s="684"/>
      <c r="F969" s="716"/>
    </row>
    <row r="970" spans="2:6">
      <c r="B970" s="684"/>
      <c r="C970" s="684"/>
      <c r="D970" s="684"/>
      <c r="E970" s="684"/>
      <c r="F970" s="716"/>
    </row>
    <row r="971" spans="2:6">
      <c r="B971" s="684"/>
      <c r="C971" s="684"/>
      <c r="D971" s="684"/>
      <c r="E971" s="684"/>
      <c r="F971" s="716"/>
    </row>
    <row r="972" spans="2:6">
      <c r="B972" s="684"/>
      <c r="C972" s="684"/>
      <c r="D972" s="684"/>
      <c r="E972" s="684"/>
      <c r="F972" s="716"/>
    </row>
    <row r="973" spans="2:6">
      <c r="B973" s="684"/>
      <c r="C973" s="684"/>
      <c r="D973" s="684"/>
      <c r="E973" s="684"/>
      <c r="F973" s="716"/>
    </row>
    <row r="974" spans="2:6">
      <c r="B974" s="684"/>
      <c r="C974" s="684"/>
      <c r="D974" s="684"/>
      <c r="E974" s="684"/>
      <c r="F974" s="716"/>
    </row>
    <row r="975" spans="2:6">
      <c r="B975" s="684"/>
      <c r="C975" s="684"/>
      <c r="D975" s="684"/>
      <c r="E975" s="684"/>
      <c r="F975" s="716"/>
    </row>
    <row r="976" spans="2:6">
      <c r="B976" s="684"/>
      <c r="C976" s="684"/>
      <c r="D976" s="684"/>
      <c r="E976" s="684"/>
      <c r="F976" s="716"/>
    </row>
    <row r="977" spans="2:6">
      <c r="B977" s="684"/>
      <c r="C977" s="684"/>
      <c r="D977" s="684"/>
      <c r="E977" s="684"/>
      <c r="F977" s="716"/>
    </row>
    <row r="978" spans="2:6">
      <c r="B978" s="684"/>
      <c r="C978" s="684"/>
      <c r="D978" s="684"/>
      <c r="E978" s="684"/>
      <c r="F978" s="716"/>
    </row>
    <row r="979" spans="2:6">
      <c r="B979" s="684"/>
      <c r="C979" s="684"/>
      <c r="D979" s="684"/>
      <c r="E979" s="684"/>
      <c r="F979" s="716"/>
    </row>
    <row r="980" spans="2:6">
      <c r="B980" s="684"/>
      <c r="C980" s="684"/>
      <c r="D980" s="684"/>
      <c r="E980" s="684"/>
      <c r="F980" s="716"/>
    </row>
    <row r="981" spans="2:6">
      <c r="B981" s="684"/>
      <c r="C981" s="684"/>
      <c r="D981" s="684"/>
      <c r="E981" s="684"/>
      <c r="F981" s="716"/>
    </row>
    <row r="982" spans="2:6">
      <c r="B982" s="684"/>
      <c r="C982" s="684"/>
      <c r="D982" s="684"/>
      <c r="E982" s="684"/>
      <c r="F982" s="716"/>
    </row>
    <row r="983" spans="2:6">
      <c r="B983" s="684"/>
      <c r="C983" s="684"/>
      <c r="D983" s="684"/>
      <c r="E983" s="684"/>
      <c r="F983" s="716"/>
    </row>
    <row r="984" spans="2:6">
      <c r="B984" s="684"/>
      <c r="C984" s="684"/>
      <c r="D984" s="684"/>
      <c r="E984" s="684"/>
      <c r="F984" s="716"/>
    </row>
    <row r="985" spans="2:6">
      <c r="B985" s="684"/>
      <c r="C985" s="684"/>
      <c r="D985" s="684"/>
      <c r="E985" s="684"/>
      <c r="F985" s="716"/>
    </row>
    <row r="986" spans="2:6">
      <c r="B986" s="684"/>
      <c r="C986" s="684"/>
      <c r="D986" s="684"/>
      <c r="E986" s="684"/>
      <c r="F986" s="716"/>
    </row>
    <row r="987" spans="2:6">
      <c r="B987" s="684"/>
      <c r="C987" s="684"/>
      <c r="D987" s="684"/>
      <c r="E987" s="684"/>
      <c r="F987" s="716"/>
    </row>
    <row r="988" spans="2:6">
      <c r="B988" s="684"/>
      <c r="C988" s="684"/>
      <c r="D988" s="684"/>
      <c r="E988" s="684"/>
      <c r="F988" s="716"/>
    </row>
    <row r="989" spans="2:6">
      <c r="B989" s="684"/>
      <c r="C989" s="684"/>
      <c r="D989" s="684"/>
      <c r="E989" s="684"/>
      <c r="F989" s="716"/>
    </row>
    <row r="990" spans="2:6">
      <c r="B990" s="684"/>
      <c r="C990" s="684"/>
      <c r="D990" s="684"/>
      <c r="E990" s="684"/>
      <c r="F990" s="716"/>
    </row>
    <row r="991" spans="2:6">
      <c r="B991" s="684"/>
      <c r="C991" s="684"/>
      <c r="D991" s="684"/>
      <c r="E991" s="684"/>
      <c r="F991" s="716"/>
    </row>
    <row r="992" spans="2:6">
      <c r="B992" s="684"/>
      <c r="C992" s="684"/>
      <c r="D992" s="684"/>
      <c r="E992" s="684"/>
      <c r="F992" s="716"/>
    </row>
    <row r="993" spans="2:6">
      <c r="B993" s="684"/>
      <c r="C993" s="684"/>
      <c r="D993" s="684"/>
      <c r="E993" s="684"/>
      <c r="F993" s="716"/>
    </row>
    <row r="994" spans="2:6">
      <c r="B994" s="684"/>
      <c r="C994" s="684"/>
      <c r="D994" s="684"/>
      <c r="E994" s="684"/>
      <c r="F994" s="716"/>
    </row>
    <row r="995" spans="2:6">
      <c r="B995" s="684"/>
      <c r="C995" s="684"/>
      <c r="D995" s="684"/>
      <c r="E995" s="684"/>
      <c r="F995" s="716"/>
    </row>
    <row r="996" spans="2:6">
      <c r="B996" s="684"/>
      <c r="C996" s="684"/>
      <c r="D996" s="684"/>
      <c r="E996" s="684"/>
      <c r="F996" s="716"/>
    </row>
    <row r="997" spans="2:6">
      <c r="B997" s="684"/>
      <c r="C997" s="684"/>
      <c r="D997" s="684"/>
      <c r="E997" s="684"/>
      <c r="F997" s="716"/>
    </row>
    <row r="998" spans="2:6">
      <c r="B998" s="684"/>
      <c r="C998" s="684"/>
      <c r="D998" s="684"/>
      <c r="E998" s="684"/>
      <c r="F998" s="716"/>
    </row>
    <row r="999" spans="2:6">
      <c r="B999" s="684"/>
      <c r="C999" s="684"/>
      <c r="D999" s="684"/>
      <c r="E999" s="684"/>
      <c r="F999" s="716"/>
    </row>
    <row r="1000" spans="2:6">
      <c r="B1000" s="684"/>
      <c r="C1000" s="684"/>
      <c r="D1000" s="684"/>
      <c r="E1000" s="684"/>
      <c r="F1000" s="71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1.21875" defaultRowHeight="15" customHeight="1"/>
  <cols>
    <col min="1" max="1" width="13.109375" customWidth="1"/>
    <col min="2" max="2" width="35.77734375" customWidth="1"/>
    <col min="3" max="3" width="17.109375" customWidth="1"/>
    <col min="4" max="4" width="11.109375" customWidth="1"/>
    <col min="5" max="5" width="10.6640625" customWidth="1"/>
    <col min="7" max="7" width="10" customWidth="1"/>
    <col min="8" max="8" width="9.88671875" customWidth="1"/>
    <col min="9" max="9" width="4.77734375" customWidth="1"/>
    <col min="10" max="10" width="9.88671875" customWidth="1"/>
    <col min="11" max="11" width="13.33203125" customWidth="1"/>
    <col min="12" max="12" width="66.6640625" customWidth="1"/>
    <col min="13" max="26" width="10.5546875" customWidth="1"/>
  </cols>
  <sheetData>
    <row r="1" spans="1:26" ht="25.5">
      <c r="A1" s="717" t="s">
        <v>757</v>
      </c>
      <c r="B1" s="717" t="s">
        <v>2</v>
      </c>
      <c r="C1" s="717" t="s">
        <v>3</v>
      </c>
      <c r="D1" s="717" t="s">
        <v>4</v>
      </c>
      <c r="E1" s="354" t="s">
        <v>6</v>
      </c>
      <c r="F1" s="354" t="s">
        <v>7</v>
      </c>
      <c r="G1" s="355" t="s">
        <v>758</v>
      </c>
      <c r="H1" s="354" t="s">
        <v>9</v>
      </c>
      <c r="I1" s="358" t="s">
        <v>759</v>
      </c>
      <c r="J1" s="356" t="s">
        <v>12</v>
      </c>
      <c r="K1" s="357" t="s">
        <v>13</v>
      </c>
      <c r="L1" s="358" t="s">
        <v>760</v>
      </c>
      <c r="M1" s="265"/>
      <c r="N1" s="265"/>
      <c r="O1" s="265"/>
      <c r="P1" s="265"/>
      <c r="Q1" s="265"/>
      <c r="R1" s="265"/>
      <c r="S1" s="265"/>
      <c r="T1" s="265"/>
      <c r="U1" s="265"/>
      <c r="V1" s="265"/>
      <c r="W1" s="265"/>
      <c r="X1" s="265"/>
      <c r="Y1" s="265"/>
      <c r="Z1" s="265"/>
    </row>
    <row r="2" spans="1:26" ht="38.25">
      <c r="A2" s="394" t="s">
        <v>768</v>
      </c>
      <c r="B2" s="374" t="s">
        <v>1743</v>
      </c>
      <c r="C2" s="361"/>
      <c r="D2" s="361" t="s">
        <v>37</v>
      </c>
      <c r="E2" s="363">
        <v>45567</v>
      </c>
      <c r="F2" s="363">
        <v>45567</v>
      </c>
      <c r="G2" s="363">
        <v>45568</v>
      </c>
      <c r="H2" s="363">
        <v>45569</v>
      </c>
      <c r="I2" s="365">
        <f ca="1">IF(ISBLANK(H2), NETWORKDAYS(F2, TODAY(),fESTIVOS!$A$1:$A$18), NETWORKDAYS(F2, H2, fESTIVOS!$A$1:$A$18))</f>
        <v>3</v>
      </c>
      <c r="J2" s="363">
        <v>45572</v>
      </c>
      <c r="K2" s="362"/>
      <c r="L2" s="366" t="s">
        <v>1744</v>
      </c>
      <c r="M2" s="265"/>
      <c r="N2" s="265"/>
      <c r="O2" s="265"/>
      <c r="P2" s="265"/>
      <c r="Q2" s="265"/>
      <c r="R2" s="265"/>
      <c r="S2" s="265"/>
      <c r="T2" s="265"/>
      <c r="U2" s="265"/>
      <c r="V2" s="265"/>
      <c r="W2" s="265"/>
      <c r="X2" s="265"/>
      <c r="Y2" s="265"/>
      <c r="Z2" s="265"/>
    </row>
    <row r="3" spans="1:26" ht="51">
      <c r="A3" s="394" t="s">
        <v>883</v>
      </c>
      <c r="B3" s="723" t="s">
        <v>1091</v>
      </c>
      <c r="C3" s="370" t="s">
        <v>1092</v>
      </c>
      <c r="D3" s="361" t="s">
        <v>40</v>
      </c>
      <c r="E3" s="363">
        <v>45575</v>
      </c>
      <c r="F3" s="363"/>
      <c r="G3" s="363"/>
      <c r="H3" s="362">
        <v>0</v>
      </c>
      <c r="I3" s="365">
        <f ca="1">IF(ISBLANK(H3), NETWORKDAYS(F3, TODAY(),fESTIVOS!$A$1:$A$18), NETWORKDAYS(F3, H3, fESTIVOS!$A$1:$A$18))</f>
        <v>0</v>
      </c>
      <c r="J3" s="363">
        <v>45569</v>
      </c>
      <c r="K3" s="363"/>
      <c r="L3" s="366" t="s">
        <v>1745</v>
      </c>
      <c r="M3" s="718"/>
      <c r="N3" s="265"/>
      <c r="O3" s="265"/>
      <c r="P3" s="265"/>
      <c r="Q3" s="265"/>
      <c r="R3" s="265"/>
      <c r="S3" s="265"/>
      <c r="T3" s="265"/>
      <c r="U3" s="265"/>
      <c r="V3" s="265"/>
      <c r="W3" s="265"/>
      <c r="X3" s="265"/>
      <c r="Y3" s="265"/>
      <c r="Z3" s="265"/>
    </row>
    <row r="4" spans="1:26" ht="51">
      <c r="A4" s="394" t="s">
        <v>883</v>
      </c>
      <c r="B4" s="722"/>
      <c r="C4" s="398" t="s">
        <v>1746</v>
      </c>
      <c r="D4" s="361" t="s">
        <v>40</v>
      </c>
      <c r="E4" s="363">
        <v>45575</v>
      </c>
      <c r="F4" s="387"/>
      <c r="G4" s="387"/>
      <c r="H4" s="389">
        <v>0</v>
      </c>
      <c r="I4" s="388">
        <f ca="1">IF(ISBLANK(H4), NETWORKDAYS(F4, TODAY(),fESTIVOS!$A$1:$A$18), NETWORKDAYS(F4, H4, fESTIVOS!$A$1:$A$18))</f>
        <v>0</v>
      </c>
      <c r="J4" s="387">
        <v>45569</v>
      </c>
      <c r="K4" s="387"/>
      <c r="L4" s="390" t="s">
        <v>1095</v>
      </c>
      <c r="M4" s="718"/>
      <c r="N4" s="265"/>
      <c r="O4" s="265"/>
      <c r="P4" s="265"/>
      <c r="Q4" s="265"/>
      <c r="R4" s="265"/>
      <c r="S4" s="265"/>
      <c r="T4" s="265"/>
      <c r="U4" s="265"/>
      <c r="V4" s="265"/>
      <c r="W4" s="265"/>
      <c r="X4" s="265"/>
      <c r="Y4" s="265"/>
      <c r="Z4" s="265"/>
    </row>
    <row r="5" spans="1:26" ht="51">
      <c r="A5" s="394" t="s">
        <v>883</v>
      </c>
      <c r="B5" s="358" t="s">
        <v>1022</v>
      </c>
      <c r="C5" s="361" t="s">
        <v>1096</v>
      </c>
      <c r="D5" s="361" t="s">
        <v>40</v>
      </c>
      <c r="E5" s="363">
        <v>45575</v>
      </c>
      <c r="F5" s="363"/>
      <c r="G5" s="363"/>
      <c r="H5" s="362">
        <v>0</v>
      </c>
      <c r="I5" s="365">
        <f ca="1">IF(ISBLANK(H5), NETWORKDAYS(F5, TODAY(),fESTIVOS!$A$1:$A$18), NETWORKDAYS(F5, H5, fESTIVOS!$A$1:$A$18))</f>
        <v>0</v>
      </c>
      <c r="J5" s="363">
        <v>45569</v>
      </c>
      <c r="K5" s="363"/>
      <c r="L5" s="366" t="s">
        <v>1095</v>
      </c>
      <c r="M5" s="718"/>
      <c r="N5" s="265"/>
      <c r="O5" s="265"/>
      <c r="P5" s="265"/>
      <c r="Q5" s="265"/>
      <c r="R5" s="265"/>
      <c r="S5" s="265"/>
      <c r="T5" s="265"/>
      <c r="U5" s="265"/>
      <c r="V5" s="265"/>
      <c r="W5" s="265"/>
      <c r="X5" s="265"/>
      <c r="Y5" s="265"/>
      <c r="Z5" s="265"/>
    </row>
    <row r="6" spans="1:26">
      <c r="A6" s="275"/>
      <c r="B6" s="275"/>
      <c r="C6" s="275"/>
      <c r="D6" s="275"/>
      <c r="E6" s="275"/>
      <c r="F6" s="275"/>
      <c r="G6" s="275"/>
      <c r="H6" s="275"/>
      <c r="I6" s="275"/>
      <c r="J6" s="275"/>
      <c r="K6" s="275"/>
      <c r="L6" s="275"/>
      <c r="M6" s="275"/>
      <c r="N6" s="275"/>
      <c r="O6" s="275"/>
      <c r="P6" s="275"/>
      <c r="Q6" s="275"/>
      <c r="R6" s="275"/>
      <c r="S6" s="275"/>
      <c r="T6" s="275"/>
      <c r="U6" s="275"/>
      <c r="V6" s="275"/>
      <c r="W6" s="275"/>
      <c r="X6" s="275"/>
      <c r="Y6" s="275"/>
      <c r="Z6" s="275"/>
    </row>
    <row r="7" spans="1:26">
      <c r="A7" s="275"/>
      <c r="B7" s="275"/>
      <c r="C7" s="275"/>
      <c r="D7" s="275"/>
      <c r="E7" s="275"/>
      <c r="F7" s="275"/>
      <c r="G7" s="275"/>
      <c r="H7" s="275"/>
      <c r="I7" s="275"/>
      <c r="J7" s="275"/>
      <c r="K7" s="275"/>
      <c r="L7" s="275"/>
      <c r="M7" s="275"/>
      <c r="N7" s="275"/>
      <c r="O7" s="275"/>
      <c r="P7" s="275"/>
      <c r="Q7" s="275"/>
      <c r="R7" s="275"/>
      <c r="S7" s="275"/>
      <c r="T7" s="275"/>
      <c r="U7" s="275"/>
      <c r="V7" s="275"/>
      <c r="W7" s="275"/>
      <c r="X7" s="275"/>
      <c r="Y7" s="275"/>
      <c r="Z7" s="275"/>
    </row>
    <row r="8" spans="1:26">
      <c r="A8" s="275"/>
      <c r="B8" s="275"/>
      <c r="C8" s="275"/>
      <c r="D8" s="275"/>
      <c r="E8" s="275"/>
      <c r="F8" s="275"/>
      <c r="G8" s="275"/>
      <c r="H8" s="275"/>
      <c r="I8" s="275"/>
      <c r="J8" s="275"/>
      <c r="K8" s="275"/>
      <c r="L8" s="275"/>
      <c r="M8" s="275"/>
      <c r="N8" s="275"/>
      <c r="O8" s="275"/>
      <c r="P8" s="275"/>
      <c r="Q8" s="275"/>
      <c r="R8" s="275"/>
      <c r="S8" s="275"/>
      <c r="T8" s="275"/>
      <c r="U8" s="275"/>
      <c r="V8" s="275"/>
      <c r="W8" s="275"/>
      <c r="X8" s="275"/>
      <c r="Y8" s="275"/>
      <c r="Z8" s="275"/>
    </row>
    <row r="9" spans="1:26">
      <c r="A9" s="275"/>
      <c r="B9" s="275"/>
      <c r="C9" s="275"/>
      <c r="D9" s="275"/>
      <c r="E9" s="275"/>
      <c r="F9" s="275"/>
      <c r="G9" s="275"/>
      <c r="H9" s="275"/>
      <c r="I9" s="275"/>
      <c r="J9" s="275"/>
      <c r="K9" s="275"/>
      <c r="L9" s="275"/>
      <c r="M9" s="275"/>
      <c r="N9" s="275"/>
      <c r="O9" s="275"/>
      <c r="P9" s="275"/>
      <c r="Q9" s="275"/>
      <c r="R9" s="275"/>
      <c r="S9" s="275"/>
      <c r="T9" s="275"/>
      <c r="U9" s="275"/>
      <c r="V9" s="275"/>
      <c r="W9" s="275"/>
      <c r="X9" s="275"/>
      <c r="Y9" s="275"/>
      <c r="Z9" s="275"/>
    </row>
    <row r="10" spans="1:26">
      <c r="A10" s="275"/>
      <c r="B10" s="275"/>
      <c r="C10" s="275"/>
      <c r="D10" s="275"/>
      <c r="E10" s="275"/>
      <c r="F10" s="275"/>
      <c r="G10" s="275"/>
      <c r="H10" s="275"/>
      <c r="I10" s="275"/>
      <c r="J10" s="275"/>
      <c r="K10" s="275"/>
      <c r="L10" s="275"/>
      <c r="M10" s="275"/>
      <c r="N10" s="275"/>
      <c r="O10" s="275"/>
      <c r="P10" s="275"/>
      <c r="Q10" s="275"/>
      <c r="R10" s="275"/>
      <c r="S10" s="275"/>
      <c r="T10" s="275"/>
      <c r="U10" s="275"/>
      <c r="V10" s="275"/>
      <c r="W10" s="275"/>
      <c r="X10" s="275"/>
      <c r="Y10" s="275"/>
      <c r="Z10" s="275"/>
    </row>
    <row r="11" spans="1:26">
      <c r="A11" s="275"/>
      <c r="B11" s="275"/>
      <c r="C11" s="275"/>
      <c r="D11" s="275"/>
      <c r="E11" s="275"/>
      <c r="F11" s="275"/>
      <c r="G11" s="275"/>
      <c r="H11" s="275"/>
      <c r="I11" s="275"/>
      <c r="J11" s="275"/>
      <c r="K11" s="275"/>
      <c r="L11" s="275"/>
      <c r="M11" s="275"/>
      <c r="N11" s="275"/>
      <c r="O11" s="275"/>
      <c r="P11" s="275"/>
      <c r="Q11" s="275"/>
      <c r="R11" s="275"/>
      <c r="S11" s="275"/>
      <c r="T11" s="275"/>
      <c r="U11" s="275"/>
      <c r="V11" s="275"/>
      <c r="W11" s="275"/>
      <c r="X11" s="275"/>
      <c r="Y11" s="275"/>
      <c r="Z11" s="275"/>
    </row>
    <row r="12" spans="1:26">
      <c r="A12" s="275"/>
      <c r="B12" s="275"/>
      <c r="C12" s="275"/>
      <c r="D12" s="275"/>
      <c r="E12" s="275"/>
      <c r="F12" s="275"/>
      <c r="G12" s="275"/>
      <c r="H12" s="275"/>
      <c r="I12" s="275"/>
      <c r="J12" s="275"/>
      <c r="K12" s="275"/>
      <c r="L12" s="275"/>
      <c r="M12" s="275"/>
      <c r="N12" s="275"/>
      <c r="O12" s="275"/>
      <c r="P12" s="275"/>
      <c r="Q12" s="275"/>
      <c r="R12" s="275"/>
      <c r="S12" s="275"/>
      <c r="T12" s="275"/>
      <c r="U12" s="275"/>
      <c r="V12" s="275"/>
      <c r="W12" s="275"/>
      <c r="X12" s="275"/>
      <c r="Y12" s="275"/>
      <c r="Z12" s="275"/>
    </row>
    <row r="13" spans="1:26">
      <c r="A13" s="275"/>
      <c r="B13" s="275"/>
      <c r="C13" s="275"/>
      <c r="D13" s="275"/>
      <c r="E13" s="275"/>
      <c r="F13" s="275"/>
      <c r="G13" s="275"/>
      <c r="H13" s="275"/>
      <c r="I13" s="275"/>
      <c r="J13" s="275"/>
      <c r="K13" s="275"/>
      <c r="L13" s="275"/>
      <c r="M13" s="275"/>
      <c r="N13" s="275"/>
      <c r="O13" s="275"/>
      <c r="P13" s="275"/>
      <c r="Q13" s="275"/>
      <c r="R13" s="275"/>
      <c r="S13" s="275"/>
      <c r="T13" s="275"/>
      <c r="U13" s="275"/>
      <c r="V13" s="275"/>
      <c r="W13" s="275"/>
      <c r="X13" s="275"/>
      <c r="Y13" s="275"/>
      <c r="Z13" s="275"/>
    </row>
    <row r="14" spans="1:26">
      <c r="A14" s="275"/>
      <c r="B14" s="275"/>
      <c r="C14" s="275"/>
      <c r="D14" s="275"/>
      <c r="E14" s="275"/>
      <c r="F14" s="275"/>
      <c r="G14" s="275"/>
      <c r="H14" s="275"/>
      <c r="I14" s="275"/>
      <c r="J14" s="275"/>
      <c r="K14" s="275"/>
      <c r="L14" s="275"/>
      <c r="M14" s="275"/>
      <c r="N14" s="275"/>
      <c r="O14" s="275"/>
      <c r="P14" s="275"/>
      <c r="Q14" s="275"/>
      <c r="R14" s="275"/>
      <c r="S14" s="275"/>
      <c r="T14" s="275"/>
      <c r="U14" s="275"/>
      <c r="V14" s="275"/>
      <c r="W14" s="275"/>
      <c r="X14" s="275"/>
      <c r="Y14" s="275"/>
      <c r="Z14" s="275"/>
    </row>
    <row r="15" spans="1:26">
      <c r="A15" s="275"/>
      <c r="B15" s="275"/>
      <c r="C15" s="275"/>
      <c r="D15" s="275"/>
      <c r="E15" s="275"/>
      <c r="F15" s="275"/>
      <c r="G15" s="275"/>
      <c r="H15" s="275"/>
      <c r="I15" s="275"/>
      <c r="J15" s="275"/>
      <c r="K15" s="275"/>
      <c r="L15" s="275"/>
      <c r="M15" s="275"/>
      <c r="N15" s="275"/>
      <c r="O15" s="275"/>
      <c r="P15" s="275"/>
      <c r="Q15" s="275"/>
      <c r="R15" s="275"/>
      <c r="S15" s="275"/>
      <c r="T15" s="275"/>
      <c r="U15" s="275"/>
      <c r="V15" s="275"/>
      <c r="W15" s="275"/>
      <c r="X15" s="275"/>
      <c r="Y15" s="275"/>
      <c r="Z15" s="275"/>
    </row>
    <row r="16" spans="1:26">
      <c r="A16" s="275"/>
      <c r="B16" s="275"/>
      <c r="C16" s="275"/>
      <c r="D16" s="275"/>
      <c r="E16" s="275"/>
      <c r="F16" s="275"/>
      <c r="G16" s="275"/>
      <c r="H16" s="275"/>
      <c r="I16" s="275"/>
      <c r="J16" s="275"/>
      <c r="K16" s="275"/>
      <c r="L16" s="275"/>
      <c r="M16" s="275"/>
      <c r="N16" s="275"/>
      <c r="O16" s="275"/>
      <c r="P16" s="275"/>
      <c r="Q16" s="275"/>
      <c r="R16" s="275"/>
      <c r="S16" s="275"/>
      <c r="T16" s="275"/>
      <c r="U16" s="275"/>
      <c r="V16" s="275"/>
      <c r="W16" s="275"/>
      <c r="X16" s="275"/>
      <c r="Y16" s="275"/>
      <c r="Z16" s="275"/>
    </row>
    <row r="17" spans="1:26">
      <c r="A17" s="275"/>
      <c r="B17" s="275"/>
      <c r="C17" s="275"/>
      <c r="D17" s="275"/>
      <c r="E17" s="275"/>
      <c r="F17" s="275"/>
      <c r="G17" s="275"/>
      <c r="H17" s="275"/>
      <c r="I17" s="275"/>
      <c r="J17" s="275"/>
      <c r="K17" s="275"/>
      <c r="L17" s="275"/>
      <c r="M17" s="275"/>
      <c r="N17" s="275"/>
      <c r="O17" s="275"/>
      <c r="P17" s="275"/>
      <c r="Q17" s="275"/>
      <c r="R17" s="275"/>
      <c r="S17" s="275"/>
      <c r="T17" s="275"/>
      <c r="U17" s="275"/>
      <c r="V17" s="275"/>
      <c r="W17" s="275"/>
      <c r="X17" s="275"/>
      <c r="Y17" s="275"/>
      <c r="Z17" s="275"/>
    </row>
    <row r="18" spans="1:26">
      <c r="A18" s="275"/>
      <c r="B18" s="275"/>
      <c r="C18" s="275"/>
      <c r="D18" s="275"/>
      <c r="E18" s="275"/>
      <c r="F18" s="275"/>
      <c r="G18" s="275"/>
      <c r="H18" s="275"/>
      <c r="I18" s="275"/>
      <c r="J18" s="275"/>
      <c r="K18" s="275"/>
      <c r="L18" s="275"/>
      <c r="M18" s="275"/>
      <c r="N18" s="275"/>
      <c r="O18" s="275"/>
      <c r="P18" s="275"/>
      <c r="Q18" s="275"/>
      <c r="R18" s="275"/>
      <c r="S18" s="275"/>
      <c r="T18" s="275"/>
      <c r="U18" s="275"/>
      <c r="V18" s="275"/>
      <c r="W18" s="275"/>
      <c r="X18" s="275"/>
      <c r="Y18" s="275"/>
      <c r="Z18" s="275"/>
    </row>
    <row r="19" spans="1:26">
      <c r="A19" s="275"/>
      <c r="B19" s="275"/>
      <c r="C19" s="275"/>
      <c r="D19" s="275"/>
      <c r="E19" s="275"/>
      <c r="F19" s="275"/>
      <c r="G19" s="275"/>
      <c r="H19" s="275"/>
      <c r="I19" s="275"/>
      <c r="J19" s="275"/>
      <c r="K19" s="275"/>
      <c r="L19" s="275"/>
      <c r="M19" s="275"/>
      <c r="N19" s="275"/>
      <c r="O19" s="275"/>
      <c r="P19" s="275"/>
      <c r="Q19" s="275"/>
      <c r="R19" s="275"/>
      <c r="S19" s="275"/>
      <c r="T19" s="275"/>
      <c r="U19" s="275"/>
      <c r="V19" s="275"/>
      <c r="W19" s="275"/>
      <c r="X19" s="275"/>
      <c r="Y19" s="275"/>
      <c r="Z19" s="275"/>
    </row>
    <row r="20" spans="1:26">
      <c r="A20" s="275"/>
      <c r="B20" s="275"/>
      <c r="C20" s="275"/>
      <c r="D20" s="275"/>
      <c r="E20" s="275"/>
      <c r="F20" s="275"/>
      <c r="G20" s="275"/>
      <c r="H20" s="275"/>
      <c r="I20" s="275"/>
      <c r="J20" s="275"/>
      <c r="K20" s="275"/>
      <c r="L20" s="275"/>
      <c r="M20" s="275"/>
      <c r="N20" s="275"/>
      <c r="O20" s="275"/>
      <c r="P20" s="275"/>
      <c r="Q20" s="275"/>
      <c r="R20" s="275"/>
      <c r="S20" s="275"/>
      <c r="T20" s="275"/>
      <c r="U20" s="275"/>
      <c r="V20" s="275"/>
      <c r="W20" s="275"/>
      <c r="X20" s="275"/>
      <c r="Y20" s="275"/>
      <c r="Z20" s="275"/>
    </row>
    <row r="21" spans="1:26" ht="15.75" customHeight="1">
      <c r="A21" s="275"/>
      <c r="B21" s="275"/>
      <c r="C21" s="275"/>
      <c r="D21" s="275"/>
      <c r="E21" s="275"/>
      <c r="F21" s="275"/>
      <c r="G21" s="275"/>
      <c r="H21" s="275"/>
      <c r="I21" s="275"/>
      <c r="J21" s="275"/>
      <c r="K21" s="275"/>
      <c r="L21" s="275"/>
      <c r="M21" s="275"/>
      <c r="N21" s="275"/>
      <c r="O21" s="275"/>
      <c r="P21" s="275"/>
      <c r="Q21" s="275"/>
      <c r="R21" s="275"/>
      <c r="S21" s="275"/>
      <c r="T21" s="275"/>
      <c r="U21" s="275"/>
      <c r="V21" s="275"/>
      <c r="W21" s="275"/>
      <c r="X21" s="275"/>
      <c r="Y21" s="275"/>
      <c r="Z21" s="275"/>
    </row>
    <row r="22" spans="1:26" ht="15.75" customHeight="1">
      <c r="A22" s="275"/>
      <c r="B22" s="275"/>
      <c r="C22" s="275"/>
      <c r="D22" s="275"/>
      <c r="E22" s="275"/>
      <c r="F22" s="275"/>
      <c r="G22" s="275"/>
      <c r="H22" s="275"/>
      <c r="I22" s="275"/>
      <c r="J22" s="275"/>
      <c r="K22" s="275"/>
      <c r="L22" s="275"/>
      <c r="M22" s="275"/>
      <c r="N22" s="275"/>
      <c r="O22" s="275"/>
      <c r="P22" s="275"/>
      <c r="Q22" s="275"/>
      <c r="R22" s="275"/>
      <c r="S22" s="275"/>
      <c r="T22" s="275"/>
      <c r="U22" s="275"/>
      <c r="V22" s="275"/>
      <c r="W22" s="275"/>
      <c r="X22" s="275"/>
      <c r="Y22" s="275"/>
      <c r="Z22" s="275"/>
    </row>
    <row r="23" spans="1:26" ht="15.75" customHeight="1">
      <c r="A23" s="275"/>
      <c r="B23" s="275"/>
      <c r="C23" s="275"/>
      <c r="D23" s="275"/>
      <c r="E23" s="275"/>
      <c r="F23" s="275"/>
      <c r="G23" s="275"/>
      <c r="H23" s="275"/>
      <c r="I23" s="275"/>
      <c r="J23" s="275"/>
      <c r="K23" s="275"/>
      <c r="L23" s="275"/>
      <c r="M23" s="275"/>
      <c r="N23" s="275"/>
      <c r="O23" s="275"/>
      <c r="P23" s="275"/>
      <c r="Q23" s="275"/>
      <c r="R23" s="275"/>
      <c r="S23" s="275"/>
      <c r="T23" s="275"/>
      <c r="U23" s="275"/>
      <c r="V23" s="275"/>
      <c r="W23" s="275"/>
      <c r="X23" s="275"/>
      <c r="Y23" s="275"/>
      <c r="Z23" s="275"/>
    </row>
    <row r="24" spans="1:26" ht="15.75" customHeight="1">
      <c r="A24" s="275"/>
      <c r="B24" s="275"/>
      <c r="C24" s="275"/>
      <c r="D24" s="275"/>
      <c r="E24" s="275"/>
      <c r="F24" s="275"/>
      <c r="G24" s="275"/>
      <c r="H24" s="275"/>
      <c r="I24" s="275"/>
      <c r="J24" s="275"/>
      <c r="K24" s="275"/>
      <c r="L24" s="275"/>
      <c r="M24" s="275"/>
      <c r="N24" s="275"/>
      <c r="O24" s="275"/>
      <c r="P24" s="275"/>
      <c r="Q24" s="275"/>
      <c r="R24" s="275"/>
      <c r="S24" s="275"/>
      <c r="T24" s="275"/>
      <c r="U24" s="275"/>
      <c r="V24" s="275"/>
      <c r="W24" s="275"/>
      <c r="X24" s="275"/>
      <c r="Y24" s="275"/>
      <c r="Z24" s="275"/>
    </row>
    <row r="25" spans="1:26" ht="15.75" customHeight="1">
      <c r="A25" s="275"/>
      <c r="B25" s="275"/>
      <c r="C25" s="275"/>
      <c r="D25" s="275"/>
      <c r="E25" s="275"/>
      <c r="F25" s="275"/>
      <c r="G25" s="275"/>
      <c r="H25" s="275"/>
      <c r="I25" s="275"/>
      <c r="J25" s="275"/>
      <c r="K25" s="275"/>
      <c r="L25" s="275"/>
      <c r="M25" s="275"/>
      <c r="N25" s="275"/>
      <c r="O25" s="275"/>
      <c r="P25" s="275"/>
      <c r="Q25" s="275"/>
      <c r="R25" s="275"/>
      <c r="S25" s="275"/>
      <c r="T25" s="275"/>
      <c r="U25" s="275"/>
      <c r="V25" s="275"/>
      <c r="W25" s="275"/>
      <c r="X25" s="275"/>
      <c r="Y25" s="275"/>
      <c r="Z25" s="275"/>
    </row>
    <row r="26" spans="1:26" ht="15.75" customHeight="1">
      <c r="A26" s="275"/>
      <c r="B26" s="275"/>
      <c r="C26" s="275"/>
      <c r="D26" s="275"/>
      <c r="E26" s="275"/>
      <c r="F26" s="275"/>
      <c r="G26" s="275"/>
      <c r="H26" s="275"/>
      <c r="I26" s="275"/>
      <c r="J26" s="275"/>
      <c r="K26" s="275"/>
      <c r="L26" s="275"/>
      <c r="M26" s="275"/>
      <c r="N26" s="275"/>
      <c r="O26" s="275"/>
      <c r="P26" s="275"/>
      <c r="Q26" s="275"/>
      <c r="R26" s="275"/>
      <c r="S26" s="275"/>
      <c r="T26" s="275"/>
      <c r="U26" s="275"/>
      <c r="V26" s="275"/>
      <c r="W26" s="275"/>
      <c r="X26" s="275"/>
      <c r="Y26" s="275"/>
      <c r="Z26" s="275"/>
    </row>
    <row r="27" spans="1:26" ht="15.75" customHeight="1">
      <c r="A27" s="275"/>
      <c r="B27" s="275"/>
      <c r="C27" s="275"/>
      <c r="D27" s="275"/>
      <c r="E27" s="275"/>
      <c r="F27" s="275"/>
      <c r="G27" s="275"/>
      <c r="H27" s="275"/>
      <c r="I27" s="275"/>
      <c r="J27" s="275"/>
      <c r="K27" s="275"/>
      <c r="L27" s="275"/>
      <c r="M27" s="275"/>
      <c r="N27" s="275"/>
      <c r="O27" s="275"/>
      <c r="P27" s="275"/>
      <c r="Q27" s="275"/>
      <c r="R27" s="275"/>
      <c r="S27" s="275"/>
      <c r="T27" s="275"/>
      <c r="U27" s="275"/>
      <c r="V27" s="275"/>
      <c r="W27" s="275"/>
      <c r="X27" s="275"/>
      <c r="Y27" s="275"/>
      <c r="Z27" s="275"/>
    </row>
    <row r="28" spans="1:26" ht="15.75" customHeight="1">
      <c r="A28" s="275"/>
      <c r="B28" s="275"/>
      <c r="C28" s="275"/>
      <c r="D28" s="275"/>
      <c r="E28" s="275"/>
      <c r="F28" s="275"/>
      <c r="G28" s="275"/>
      <c r="H28" s="275"/>
      <c r="I28" s="275"/>
      <c r="J28" s="275"/>
      <c r="K28" s="275"/>
      <c r="L28" s="275"/>
      <c r="M28" s="275"/>
      <c r="N28" s="275"/>
      <c r="O28" s="275"/>
      <c r="P28" s="275"/>
      <c r="Q28" s="275"/>
      <c r="R28" s="275"/>
      <c r="S28" s="275"/>
      <c r="T28" s="275"/>
      <c r="U28" s="275"/>
      <c r="V28" s="275"/>
      <c r="W28" s="275"/>
      <c r="X28" s="275"/>
      <c r="Y28" s="275"/>
      <c r="Z28" s="275"/>
    </row>
    <row r="29" spans="1:26" ht="15.75" customHeight="1">
      <c r="A29" s="275"/>
      <c r="B29" s="275"/>
      <c r="C29" s="275"/>
      <c r="D29" s="275"/>
      <c r="E29" s="275"/>
      <c r="F29" s="275"/>
      <c r="G29" s="275"/>
      <c r="H29" s="275"/>
      <c r="I29" s="275"/>
      <c r="J29" s="275"/>
      <c r="K29" s="275"/>
      <c r="L29" s="275"/>
      <c r="M29" s="275"/>
      <c r="N29" s="275"/>
      <c r="O29" s="275"/>
      <c r="P29" s="275"/>
      <c r="Q29" s="275"/>
      <c r="R29" s="275"/>
      <c r="S29" s="275"/>
      <c r="T29" s="275"/>
      <c r="U29" s="275"/>
      <c r="V29" s="275"/>
      <c r="W29" s="275"/>
      <c r="X29" s="275"/>
      <c r="Y29" s="275"/>
      <c r="Z29" s="275"/>
    </row>
    <row r="30" spans="1:26" ht="15.75" customHeight="1">
      <c r="A30" s="275"/>
      <c r="B30" s="275"/>
      <c r="C30" s="275"/>
      <c r="D30" s="275"/>
      <c r="E30" s="275"/>
      <c r="F30" s="275"/>
      <c r="G30" s="275"/>
      <c r="H30" s="275"/>
      <c r="I30" s="275"/>
      <c r="J30" s="275"/>
      <c r="K30" s="275"/>
      <c r="L30" s="275"/>
      <c r="M30" s="275"/>
      <c r="N30" s="275"/>
      <c r="O30" s="275"/>
      <c r="P30" s="275"/>
      <c r="Q30" s="275"/>
      <c r="R30" s="275"/>
      <c r="S30" s="275"/>
      <c r="T30" s="275"/>
      <c r="U30" s="275"/>
      <c r="V30" s="275"/>
      <c r="W30" s="275"/>
      <c r="X30" s="275"/>
      <c r="Y30" s="275"/>
      <c r="Z30" s="275"/>
    </row>
    <row r="31" spans="1:26" ht="15.75" customHeight="1">
      <c r="A31" s="275"/>
      <c r="B31" s="275"/>
      <c r="C31" s="275"/>
      <c r="D31" s="275"/>
      <c r="E31" s="275"/>
      <c r="F31" s="275"/>
      <c r="G31" s="275"/>
      <c r="H31" s="275"/>
      <c r="I31" s="275"/>
      <c r="J31" s="275"/>
      <c r="K31" s="275"/>
      <c r="L31" s="275"/>
      <c r="M31" s="275"/>
      <c r="N31" s="275"/>
      <c r="O31" s="275"/>
      <c r="P31" s="275"/>
      <c r="Q31" s="275"/>
      <c r="R31" s="275"/>
      <c r="S31" s="275"/>
      <c r="T31" s="275"/>
      <c r="U31" s="275"/>
      <c r="V31" s="275"/>
      <c r="W31" s="275"/>
      <c r="X31" s="275"/>
      <c r="Y31" s="275"/>
      <c r="Z31" s="275"/>
    </row>
    <row r="32" spans="1:26" ht="15.75" customHeight="1">
      <c r="A32" s="275"/>
      <c r="B32" s="275"/>
      <c r="C32" s="275"/>
      <c r="D32" s="275"/>
      <c r="E32" s="275"/>
      <c r="F32" s="275"/>
      <c r="G32" s="275"/>
      <c r="H32" s="275"/>
      <c r="I32" s="275"/>
      <c r="J32" s="275"/>
      <c r="K32" s="275"/>
      <c r="L32" s="275"/>
      <c r="M32" s="275"/>
      <c r="N32" s="275"/>
      <c r="O32" s="275"/>
      <c r="P32" s="275"/>
      <c r="Q32" s="275"/>
      <c r="R32" s="275"/>
      <c r="S32" s="275"/>
      <c r="T32" s="275"/>
      <c r="U32" s="275"/>
      <c r="V32" s="275"/>
      <c r="W32" s="275"/>
      <c r="X32" s="275"/>
      <c r="Y32" s="275"/>
      <c r="Z32" s="275"/>
    </row>
    <row r="33" spans="1:26" ht="15.75" customHeight="1">
      <c r="A33" s="275"/>
      <c r="B33" s="275"/>
      <c r="C33" s="275"/>
      <c r="D33" s="275"/>
      <c r="E33" s="275"/>
      <c r="F33" s="275"/>
      <c r="G33" s="275"/>
      <c r="H33" s="275"/>
      <c r="I33" s="275"/>
      <c r="J33" s="275"/>
      <c r="K33" s="275"/>
      <c r="L33" s="275"/>
      <c r="M33" s="275"/>
      <c r="N33" s="275"/>
      <c r="O33" s="275"/>
      <c r="P33" s="275"/>
      <c r="Q33" s="275"/>
      <c r="R33" s="275"/>
      <c r="S33" s="275"/>
      <c r="T33" s="275"/>
      <c r="U33" s="275"/>
      <c r="V33" s="275"/>
      <c r="W33" s="275"/>
      <c r="X33" s="275"/>
      <c r="Y33" s="275"/>
      <c r="Z33" s="275"/>
    </row>
    <row r="34" spans="1:26" ht="15.75" customHeight="1">
      <c r="A34" s="275"/>
      <c r="B34" s="275"/>
      <c r="C34" s="275"/>
      <c r="D34" s="275"/>
      <c r="E34" s="275"/>
      <c r="F34" s="275"/>
      <c r="G34" s="275"/>
      <c r="H34" s="275"/>
      <c r="I34" s="275"/>
      <c r="J34" s="275"/>
      <c r="K34" s="275"/>
      <c r="L34" s="275"/>
      <c r="M34" s="275"/>
      <c r="N34" s="275"/>
      <c r="O34" s="275"/>
      <c r="P34" s="275"/>
      <c r="Q34" s="275"/>
      <c r="R34" s="275"/>
      <c r="S34" s="275"/>
      <c r="T34" s="275"/>
      <c r="U34" s="275"/>
      <c r="V34" s="275"/>
      <c r="W34" s="275"/>
      <c r="X34" s="275"/>
      <c r="Y34" s="275"/>
      <c r="Z34" s="275"/>
    </row>
    <row r="35" spans="1:26" ht="15.75" customHeight="1">
      <c r="A35" s="275"/>
      <c r="B35" s="275"/>
      <c r="C35" s="275"/>
      <c r="D35" s="275"/>
      <c r="E35" s="275"/>
      <c r="F35" s="275"/>
      <c r="G35" s="275"/>
      <c r="H35" s="275"/>
      <c r="I35" s="275"/>
      <c r="J35" s="275"/>
      <c r="K35" s="275"/>
      <c r="L35" s="275"/>
      <c r="M35" s="275"/>
      <c r="N35" s="275"/>
      <c r="O35" s="275"/>
      <c r="P35" s="275"/>
      <c r="Q35" s="275"/>
      <c r="R35" s="275"/>
      <c r="S35" s="275"/>
      <c r="T35" s="275"/>
      <c r="U35" s="275"/>
      <c r="V35" s="275"/>
      <c r="W35" s="275"/>
      <c r="X35" s="275"/>
      <c r="Y35" s="275"/>
      <c r="Z35" s="275"/>
    </row>
    <row r="36" spans="1:26" ht="15.75" customHeight="1">
      <c r="A36" s="275"/>
      <c r="B36" s="275"/>
      <c r="C36" s="275"/>
      <c r="D36" s="275"/>
      <c r="E36" s="275"/>
      <c r="F36" s="275"/>
      <c r="G36" s="275"/>
      <c r="H36" s="275"/>
      <c r="I36" s="275"/>
      <c r="J36" s="275"/>
      <c r="K36" s="275"/>
      <c r="L36" s="275"/>
      <c r="M36" s="275"/>
      <c r="N36" s="275"/>
      <c r="O36" s="275"/>
      <c r="P36" s="275"/>
      <c r="Q36" s="275"/>
      <c r="R36" s="275"/>
      <c r="S36" s="275"/>
      <c r="T36" s="275"/>
      <c r="U36" s="275"/>
      <c r="V36" s="275"/>
      <c r="W36" s="275"/>
      <c r="X36" s="275"/>
      <c r="Y36" s="275"/>
      <c r="Z36" s="275"/>
    </row>
    <row r="37" spans="1:26" ht="15.75" customHeight="1">
      <c r="A37" s="275"/>
      <c r="B37" s="275"/>
      <c r="C37" s="275"/>
      <c r="D37" s="275"/>
      <c r="E37" s="275"/>
      <c r="F37" s="275"/>
      <c r="G37" s="275"/>
      <c r="H37" s="275"/>
      <c r="I37" s="275"/>
      <c r="J37" s="275"/>
      <c r="K37" s="275"/>
      <c r="L37" s="275"/>
      <c r="M37" s="275"/>
      <c r="N37" s="275"/>
      <c r="O37" s="275"/>
      <c r="P37" s="275"/>
      <c r="Q37" s="275"/>
      <c r="R37" s="275"/>
      <c r="S37" s="275"/>
      <c r="T37" s="275"/>
      <c r="U37" s="275"/>
      <c r="V37" s="275"/>
      <c r="W37" s="275"/>
      <c r="X37" s="275"/>
      <c r="Y37" s="275"/>
      <c r="Z37" s="275"/>
    </row>
    <row r="38" spans="1:26" ht="15.75" customHeight="1">
      <c r="A38" s="275"/>
      <c r="B38" s="275"/>
      <c r="C38" s="275"/>
      <c r="D38" s="275"/>
      <c r="E38" s="275"/>
      <c r="F38" s="275"/>
      <c r="G38" s="275"/>
      <c r="H38" s="275"/>
      <c r="I38" s="275"/>
      <c r="J38" s="275"/>
      <c r="K38" s="275"/>
      <c r="L38" s="275"/>
      <c r="M38" s="275"/>
      <c r="N38" s="275"/>
      <c r="O38" s="275"/>
      <c r="P38" s="275"/>
      <c r="Q38" s="275"/>
      <c r="R38" s="275"/>
      <c r="S38" s="275"/>
      <c r="T38" s="275"/>
      <c r="U38" s="275"/>
      <c r="V38" s="275"/>
      <c r="W38" s="275"/>
      <c r="X38" s="275"/>
      <c r="Y38" s="275"/>
      <c r="Z38" s="275"/>
    </row>
    <row r="39" spans="1:26" ht="15.75" customHeight="1">
      <c r="A39" s="275"/>
      <c r="B39" s="275"/>
      <c r="C39" s="275"/>
      <c r="D39" s="275"/>
      <c r="E39" s="275"/>
      <c r="F39" s="275"/>
      <c r="G39" s="275"/>
      <c r="H39" s="275"/>
      <c r="I39" s="275"/>
      <c r="J39" s="275"/>
      <c r="K39" s="275"/>
      <c r="L39" s="275"/>
      <c r="M39" s="275"/>
      <c r="N39" s="275"/>
      <c r="O39" s="275"/>
      <c r="P39" s="275"/>
      <c r="Q39" s="275"/>
      <c r="R39" s="275"/>
      <c r="S39" s="275"/>
      <c r="T39" s="275"/>
      <c r="U39" s="275"/>
      <c r="V39" s="275"/>
      <c r="W39" s="275"/>
      <c r="X39" s="275"/>
      <c r="Y39" s="275"/>
      <c r="Z39" s="275"/>
    </row>
    <row r="40" spans="1:26" ht="15.75" customHeight="1">
      <c r="A40" s="275"/>
      <c r="B40" s="275"/>
      <c r="C40" s="275"/>
      <c r="D40" s="275"/>
      <c r="E40" s="275"/>
      <c r="F40" s="275"/>
      <c r="G40" s="275"/>
      <c r="H40" s="275"/>
      <c r="I40" s="275"/>
      <c r="J40" s="275"/>
      <c r="K40" s="275"/>
      <c r="L40" s="275"/>
      <c r="M40" s="275"/>
      <c r="N40" s="275"/>
      <c r="O40" s="275"/>
      <c r="P40" s="275"/>
      <c r="Q40" s="275"/>
      <c r="R40" s="275"/>
      <c r="S40" s="275"/>
      <c r="T40" s="275"/>
      <c r="U40" s="275"/>
      <c r="V40" s="275"/>
      <c r="W40" s="275"/>
      <c r="X40" s="275"/>
      <c r="Y40" s="275"/>
      <c r="Z40" s="275"/>
    </row>
    <row r="41" spans="1:26" ht="15.75" customHeight="1">
      <c r="A41" s="275"/>
      <c r="B41" s="275"/>
      <c r="C41" s="275"/>
      <c r="D41" s="275"/>
      <c r="E41" s="275"/>
      <c r="F41" s="275"/>
      <c r="G41" s="275"/>
      <c r="H41" s="275"/>
      <c r="I41" s="275"/>
      <c r="J41" s="275"/>
      <c r="K41" s="275"/>
      <c r="L41" s="275"/>
      <c r="M41" s="275"/>
      <c r="N41" s="275"/>
      <c r="O41" s="275"/>
      <c r="P41" s="275"/>
      <c r="Q41" s="275"/>
      <c r="R41" s="275"/>
      <c r="S41" s="275"/>
      <c r="T41" s="275"/>
      <c r="U41" s="275"/>
      <c r="V41" s="275"/>
      <c r="W41" s="275"/>
      <c r="X41" s="275"/>
      <c r="Y41" s="275"/>
      <c r="Z41" s="275"/>
    </row>
    <row r="42" spans="1:26" ht="15.75" customHeight="1">
      <c r="A42" s="275"/>
      <c r="B42" s="275"/>
      <c r="C42" s="275"/>
      <c r="D42" s="275"/>
      <c r="E42" s="275"/>
      <c r="F42" s="275"/>
      <c r="G42" s="275"/>
      <c r="H42" s="275"/>
      <c r="I42" s="275"/>
      <c r="J42" s="275"/>
      <c r="K42" s="275"/>
      <c r="L42" s="275"/>
      <c r="M42" s="275"/>
      <c r="N42" s="275"/>
      <c r="O42" s="275"/>
      <c r="P42" s="275"/>
      <c r="Q42" s="275"/>
      <c r="R42" s="275"/>
      <c r="S42" s="275"/>
      <c r="T42" s="275"/>
      <c r="U42" s="275"/>
      <c r="V42" s="275"/>
      <c r="W42" s="275"/>
      <c r="X42" s="275"/>
      <c r="Y42" s="275"/>
      <c r="Z42" s="275"/>
    </row>
    <row r="43" spans="1:26" ht="15.75" customHeight="1">
      <c r="A43" s="275"/>
      <c r="B43" s="275"/>
      <c r="C43" s="275"/>
      <c r="D43" s="275"/>
      <c r="E43" s="275"/>
      <c r="F43" s="275"/>
      <c r="G43" s="275"/>
      <c r="H43" s="275"/>
      <c r="I43" s="275"/>
      <c r="J43" s="275"/>
      <c r="K43" s="275"/>
      <c r="L43" s="275"/>
      <c r="M43" s="275"/>
      <c r="N43" s="275"/>
      <c r="O43" s="275"/>
      <c r="P43" s="275"/>
      <c r="Q43" s="275"/>
      <c r="R43" s="275"/>
      <c r="S43" s="275"/>
      <c r="T43" s="275"/>
      <c r="U43" s="275"/>
      <c r="V43" s="275"/>
      <c r="W43" s="275"/>
      <c r="X43" s="275"/>
      <c r="Y43" s="275"/>
      <c r="Z43" s="275"/>
    </row>
    <row r="44" spans="1:26" ht="15.75" customHeight="1">
      <c r="A44" s="275"/>
      <c r="B44" s="275"/>
      <c r="C44" s="275"/>
      <c r="D44" s="275"/>
      <c r="E44" s="275"/>
      <c r="F44" s="275"/>
      <c r="G44" s="275"/>
      <c r="H44" s="275"/>
      <c r="I44" s="275"/>
      <c r="J44" s="275"/>
      <c r="K44" s="275"/>
      <c r="L44" s="275"/>
      <c r="M44" s="275"/>
      <c r="N44" s="275"/>
      <c r="O44" s="275"/>
      <c r="P44" s="275"/>
      <c r="Q44" s="275"/>
      <c r="R44" s="275"/>
      <c r="S44" s="275"/>
      <c r="T44" s="275"/>
      <c r="U44" s="275"/>
      <c r="V44" s="275"/>
      <c r="W44" s="275"/>
      <c r="X44" s="275"/>
      <c r="Y44" s="275"/>
      <c r="Z44" s="275"/>
    </row>
    <row r="45" spans="1:26" ht="15.75" customHeight="1">
      <c r="A45" s="275"/>
      <c r="B45" s="275"/>
      <c r="C45" s="275"/>
      <c r="D45" s="275"/>
      <c r="E45" s="275"/>
      <c r="F45" s="275"/>
      <c r="G45" s="275"/>
      <c r="H45" s="275"/>
      <c r="I45" s="275"/>
      <c r="J45" s="275"/>
      <c r="K45" s="275"/>
      <c r="L45" s="275"/>
      <c r="M45" s="275"/>
      <c r="N45" s="275"/>
      <c r="O45" s="275"/>
      <c r="P45" s="275"/>
      <c r="Q45" s="275"/>
      <c r="R45" s="275"/>
      <c r="S45" s="275"/>
      <c r="T45" s="275"/>
      <c r="U45" s="275"/>
      <c r="V45" s="275"/>
      <c r="W45" s="275"/>
      <c r="X45" s="275"/>
      <c r="Y45" s="275"/>
      <c r="Z45" s="275"/>
    </row>
    <row r="46" spans="1:26" ht="15.75" customHeight="1">
      <c r="A46" s="275"/>
      <c r="B46" s="275"/>
      <c r="C46" s="275"/>
      <c r="D46" s="275"/>
      <c r="E46" s="275"/>
      <c r="F46" s="275"/>
      <c r="G46" s="275"/>
      <c r="H46" s="275"/>
      <c r="I46" s="275"/>
      <c r="J46" s="275"/>
      <c r="K46" s="275"/>
      <c r="L46" s="275"/>
      <c r="M46" s="275"/>
      <c r="N46" s="275"/>
      <c r="O46" s="275"/>
      <c r="P46" s="275"/>
      <c r="Q46" s="275"/>
      <c r="R46" s="275"/>
      <c r="S46" s="275"/>
      <c r="T46" s="275"/>
      <c r="U46" s="275"/>
      <c r="V46" s="275"/>
      <c r="W46" s="275"/>
      <c r="X46" s="275"/>
      <c r="Y46" s="275"/>
      <c r="Z46" s="275"/>
    </row>
    <row r="47" spans="1:26" ht="15.75" customHeight="1">
      <c r="A47" s="275"/>
      <c r="B47" s="275"/>
      <c r="C47" s="275"/>
      <c r="D47" s="275"/>
      <c r="E47" s="275"/>
      <c r="F47" s="275"/>
      <c r="G47" s="275"/>
      <c r="H47" s="275"/>
      <c r="I47" s="275"/>
      <c r="J47" s="275"/>
      <c r="K47" s="275"/>
      <c r="L47" s="275"/>
      <c r="M47" s="275"/>
      <c r="N47" s="275"/>
      <c r="O47" s="275"/>
      <c r="P47" s="275"/>
      <c r="Q47" s="275"/>
      <c r="R47" s="275"/>
      <c r="S47" s="275"/>
      <c r="T47" s="275"/>
      <c r="U47" s="275"/>
      <c r="V47" s="275"/>
      <c r="W47" s="275"/>
      <c r="X47" s="275"/>
      <c r="Y47" s="275"/>
      <c r="Z47" s="275"/>
    </row>
    <row r="48" spans="1:26" ht="15.75" customHeight="1">
      <c r="A48" s="275"/>
      <c r="B48" s="275"/>
      <c r="C48" s="275"/>
      <c r="D48" s="275"/>
      <c r="E48" s="275"/>
      <c r="F48" s="275"/>
      <c r="G48" s="275"/>
      <c r="H48" s="275"/>
      <c r="I48" s="275"/>
      <c r="J48" s="275"/>
      <c r="K48" s="275"/>
      <c r="L48" s="275"/>
      <c r="M48" s="275"/>
      <c r="N48" s="275"/>
      <c r="O48" s="275"/>
      <c r="P48" s="275"/>
      <c r="Q48" s="275"/>
      <c r="R48" s="275"/>
      <c r="S48" s="275"/>
      <c r="T48" s="275"/>
      <c r="U48" s="275"/>
      <c r="V48" s="275"/>
      <c r="W48" s="275"/>
      <c r="X48" s="275"/>
      <c r="Y48" s="275"/>
      <c r="Z48" s="275"/>
    </row>
    <row r="49" spans="1:26" ht="15.75" customHeight="1">
      <c r="A49" s="275"/>
      <c r="B49" s="275"/>
      <c r="C49" s="275"/>
      <c r="D49" s="275"/>
      <c r="E49" s="275"/>
      <c r="F49" s="275"/>
      <c r="G49" s="275"/>
      <c r="H49" s="275"/>
      <c r="I49" s="275"/>
      <c r="J49" s="275"/>
      <c r="K49" s="275"/>
      <c r="L49" s="275"/>
      <c r="M49" s="275"/>
      <c r="N49" s="275"/>
      <c r="O49" s="275"/>
      <c r="P49" s="275"/>
      <c r="Q49" s="275"/>
      <c r="R49" s="275"/>
      <c r="S49" s="275"/>
      <c r="T49" s="275"/>
      <c r="U49" s="275"/>
      <c r="V49" s="275"/>
      <c r="W49" s="275"/>
      <c r="X49" s="275"/>
      <c r="Y49" s="275"/>
      <c r="Z49" s="275"/>
    </row>
    <row r="50" spans="1:26" ht="15.75" customHeight="1">
      <c r="A50" s="275"/>
      <c r="B50" s="275"/>
      <c r="C50" s="275"/>
      <c r="D50" s="275"/>
      <c r="E50" s="275"/>
      <c r="F50" s="275"/>
      <c r="G50" s="275"/>
      <c r="H50" s="275"/>
      <c r="I50" s="275"/>
      <c r="J50" s="275"/>
      <c r="K50" s="275"/>
      <c r="L50" s="275"/>
      <c r="M50" s="275"/>
      <c r="N50" s="275"/>
      <c r="O50" s="275"/>
      <c r="P50" s="275"/>
      <c r="Q50" s="275"/>
      <c r="R50" s="275"/>
      <c r="S50" s="275"/>
      <c r="T50" s="275"/>
      <c r="U50" s="275"/>
      <c r="V50" s="275"/>
      <c r="W50" s="275"/>
      <c r="X50" s="275"/>
      <c r="Y50" s="275"/>
      <c r="Z50" s="275"/>
    </row>
    <row r="51" spans="1:26" ht="15.75" customHeight="1">
      <c r="A51" s="275"/>
      <c r="B51" s="275"/>
      <c r="C51" s="275"/>
      <c r="D51" s="275"/>
      <c r="E51" s="275"/>
      <c r="F51" s="275"/>
      <c r="G51" s="275"/>
      <c r="H51" s="275"/>
      <c r="I51" s="275"/>
      <c r="J51" s="275"/>
      <c r="K51" s="275"/>
      <c r="L51" s="275"/>
      <c r="M51" s="275"/>
      <c r="N51" s="275"/>
      <c r="O51" s="275"/>
      <c r="P51" s="275"/>
      <c r="Q51" s="275"/>
      <c r="R51" s="275"/>
      <c r="S51" s="275"/>
      <c r="T51" s="275"/>
      <c r="U51" s="275"/>
      <c r="V51" s="275"/>
      <c r="W51" s="275"/>
      <c r="X51" s="275"/>
      <c r="Y51" s="275"/>
      <c r="Z51" s="275"/>
    </row>
    <row r="52" spans="1:26" ht="15.75" customHeight="1">
      <c r="A52" s="275"/>
      <c r="B52" s="275"/>
      <c r="C52" s="275"/>
      <c r="D52" s="275"/>
      <c r="E52" s="275"/>
      <c r="F52" s="275"/>
      <c r="G52" s="275"/>
      <c r="H52" s="275"/>
      <c r="I52" s="275"/>
      <c r="J52" s="275"/>
      <c r="K52" s="275"/>
      <c r="L52" s="275"/>
      <c r="M52" s="275"/>
      <c r="N52" s="275"/>
      <c r="O52" s="275"/>
      <c r="P52" s="275"/>
      <c r="Q52" s="275"/>
      <c r="R52" s="275"/>
      <c r="S52" s="275"/>
      <c r="T52" s="275"/>
      <c r="U52" s="275"/>
      <c r="V52" s="275"/>
      <c r="W52" s="275"/>
      <c r="X52" s="275"/>
      <c r="Y52" s="275"/>
      <c r="Z52" s="275"/>
    </row>
    <row r="53" spans="1:26" ht="15.75" customHeight="1">
      <c r="A53" s="275"/>
      <c r="B53" s="275"/>
      <c r="C53" s="275"/>
      <c r="D53" s="275"/>
      <c r="E53" s="275"/>
      <c r="F53" s="275"/>
      <c r="G53" s="275"/>
      <c r="H53" s="275"/>
      <c r="I53" s="275"/>
      <c r="J53" s="275"/>
      <c r="K53" s="275"/>
      <c r="L53" s="275"/>
      <c r="M53" s="275"/>
      <c r="N53" s="275"/>
      <c r="O53" s="275"/>
      <c r="P53" s="275"/>
      <c r="Q53" s="275"/>
      <c r="R53" s="275"/>
      <c r="S53" s="275"/>
      <c r="T53" s="275"/>
      <c r="U53" s="275"/>
      <c r="V53" s="275"/>
      <c r="W53" s="275"/>
      <c r="X53" s="275"/>
      <c r="Y53" s="275"/>
      <c r="Z53" s="275"/>
    </row>
    <row r="54" spans="1:26" ht="15.75" customHeight="1">
      <c r="A54" s="275"/>
      <c r="B54" s="275"/>
      <c r="C54" s="275"/>
      <c r="D54" s="275"/>
      <c r="E54" s="275"/>
      <c r="F54" s="275"/>
      <c r="G54" s="275"/>
      <c r="H54" s="275"/>
      <c r="I54" s="275"/>
      <c r="J54" s="275"/>
      <c r="K54" s="275"/>
      <c r="L54" s="275"/>
      <c r="M54" s="275"/>
      <c r="N54" s="275"/>
      <c r="O54" s="275"/>
      <c r="P54" s="275"/>
      <c r="Q54" s="275"/>
      <c r="R54" s="275"/>
      <c r="S54" s="275"/>
      <c r="T54" s="275"/>
      <c r="U54" s="275"/>
      <c r="V54" s="275"/>
      <c r="W54" s="275"/>
      <c r="X54" s="275"/>
      <c r="Y54" s="275"/>
      <c r="Z54" s="275"/>
    </row>
    <row r="55" spans="1:26" ht="15.75" customHeight="1">
      <c r="A55" s="275"/>
      <c r="B55" s="275"/>
      <c r="C55" s="275"/>
      <c r="D55" s="275"/>
      <c r="E55" s="275"/>
      <c r="F55" s="275"/>
      <c r="G55" s="275"/>
      <c r="H55" s="275"/>
      <c r="I55" s="275"/>
      <c r="J55" s="275"/>
      <c r="K55" s="275"/>
      <c r="L55" s="275"/>
      <c r="M55" s="275"/>
      <c r="N55" s="275"/>
      <c r="O55" s="275"/>
      <c r="P55" s="275"/>
      <c r="Q55" s="275"/>
      <c r="R55" s="275"/>
      <c r="S55" s="275"/>
      <c r="T55" s="275"/>
      <c r="U55" s="275"/>
      <c r="V55" s="275"/>
      <c r="W55" s="275"/>
      <c r="X55" s="275"/>
      <c r="Y55" s="275"/>
      <c r="Z55" s="275"/>
    </row>
    <row r="56" spans="1:26" ht="15.75" customHeight="1">
      <c r="A56" s="275"/>
      <c r="B56" s="275"/>
      <c r="C56" s="275"/>
      <c r="D56" s="275"/>
      <c r="E56" s="275"/>
      <c r="F56" s="275"/>
      <c r="G56" s="275"/>
      <c r="H56" s="275"/>
      <c r="I56" s="275"/>
      <c r="J56" s="275"/>
      <c r="K56" s="275"/>
      <c r="L56" s="275"/>
      <c r="M56" s="275"/>
      <c r="N56" s="275"/>
      <c r="O56" s="275"/>
      <c r="P56" s="275"/>
      <c r="Q56" s="275"/>
      <c r="R56" s="275"/>
      <c r="S56" s="275"/>
      <c r="T56" s="275"/>
      <c r="U56" s="275"/>
      <c r="V56" s="275"/>
      <c r="W56" s="275"/>
      <c r="X56" s="275"/>
      <c r="Y56" s="275"/>
      <c r="Z56" s="275"/>
    </row>
    <row r="57" spans="1:26" ht="15.75" customHeight="1">
      <c r="A57" s="275"/>
      <c r="B57" s="275"/>
      <c r="C57" s="275"/>
      <c r="D57" s="275"/>
      <c r="E57" s="275"/>
      <c r="F57" s="275"/>
      <c r="G57" s="275"/>
      <c r="H57" s="275"/>
      <c r="I57" s="275"/>
      <c r="J57" s="275"/>
      <c r="K57" s="275"/>
      <c r="L57" s="275"/>
      <c r="M57" s="275"/>
      <c r="N57" s="275"/>
      <c r="O57" s="275"/>
      <c r="P57" s="275"/>
      <c r="Q57" s="275"/>
      <c r="R57" s="275"/>
      <c r="S57" s="275"/>
      <c r="T57" s="275"/>
      <c r="U57" s="275"/>
      <c r="V57" s="275"/>
      <c r="W57" s="275"/>
      <c r="X57" s="275"/>
      <c r="Y57" s="275"/>
      <c r="Z57" s="275"/>
    </row>
    <row r="58" spans="1:26" ht="15.75" customHeight="1">
      <c r="A58" s="275"/>
      <c r="B58" s="275"/>
      <c r="C58" s="275"/>
      <c r="D58" s="275"/>
      <c r="E58" s="275"/>
      <c r="F58" s="275"/>
      <c r="G58" s="275"/>
      <c r="H58" s="275"/>
      <c r="I58" s="275"/>
      <c r="J58" s="275"/>
      <c r="K58" s="275"/>
      <c r="L58" s="275"/>
      <c r="M58" s="275"/>
      <c r="N58" s="275"/>
      <c r="O58" s="275"/>
      <c r="P58" s="275"/>
      <c r="Q58" s="275"/>
      <c r="R58" s="275"/>
      <c r="S58" s="275"/>
      <c r="T58" s="275"/>
      <c r="U58" s="275"/>
      <c r="V58" s="275"/>
      <c r="W58" s="275"/>
      <c r="X58" s="275"/>
      <c r="Y58" s="275"/>
      <c r="Z58" s="275"/>
    </row>
    <row r="59" spans="1:26" ht="15.75" customHeight="1">
      <c r="A59" s="275"/>
      <c r="B59" s="275"/>
      <c r="C59" s="275"/>
      <c r="D59" s="275"/>
      <c r="E59" s="275"/>
      <c r="F59" s="275"/>
      <c r="G59" s="275"/>
      <c r="H59" s="275"/>
      <c r="I59" s="275"/>
      <c r="J59" s="275"/>
      <c r="K59" s="275"/>
      <c r="L59" s="275"/>
      <c r="M59" s="275"/>
      <c r="N59" s="275"/>
      <c r="O59" s="275"/>
      <c r="P59" s="275"/>
      <c r="Q59" s="275"/>
      <c r="R59" s="275"/>
      <c r="S59" s="275"/>
      <c r="T59" s="275"/>
      <c r="U59" s="275"/>
      <c r="V59" s="275"/>
      <c r="W59" s="275"/>
      <c r="X59" s="275"/>
      <c r="Y59" s="275"/>
      <c r="Z59" s="275"/>
    </row>
    <row r="60" spans="1:26" ht="15.75" customHeight="1">
      <c r="A60" s="275"/>
      <c r="B60" s="275"/>
      <c r="C60" s="275"/>
      <c r="D60" s="275"/>
      <c r="E60" s="275"/>
      <c r="F60" s="275"/>
      <c r="G60" s="275"/>
      <c r="H60" s="275"/>
      <c r="I60" s="275"/>
      <c r="J60" s="275"/>
      <c r="K60" s="275"/>
      <c r="L60" s="275"/>
      <c r="M60" s="275"/>
      <c r="N60" s="275"/>
      <c r="O60" s="275"/>
      <c r="P60" s="275"/>
      <c r="Q60" s="275"/>
      <c r="R60" s="275"/>
      <c r="S60" s="275"/>
      <c r="T60" s="275"/>
      <c r="U60" s="275"/>
      <c r="V60" s="275"/>
      <c r="W60" s="275"/>
      <c r="X60" s="275"/>
      <c r="Y60" s="275"/>
      <c r="Z60" s="275"/>
    </row>
    <row r="61" spans="1:26" ht="15.75" customHeight="1">
      <c r="A61" s="275"/>
      <c r="B61" s="275"/>
      <c r="C61" s="275"/>
      <c r="D61" s="275"/>
      <c r="E61" s="275"/>
      <c r="F61" s="275"/>
      <c r="G61" s="275"/>
      <c r="H61" s="275"/>
      <c r="I61" s="275"/>
      <c r="J61" s="275"/>
      <c r="K61" s="275"/>
      <c r="L61" s="275"/>
      <c r="M61" s="275"/>
      <c r="N61" s="275"/>
      <c r="O61" s="275"/>
      <c r="P61" s="275"/>
      <c r="Q61" s="275"/>
      <c r="R61" s="275"/>
      <c r="S61" s="275"/>
      <c r="T61" s="275"/>
      <c r="U61" s="275"/>
      <c r="V61" s="275"/>
      <c r="W61" s="275"/>
      <c r="X61" s="275"/>
      <c r="Y61" s="275"/>
      <c r="Z61" s="275"/>
    </row>
    <row r="62" spans="1:26" ht="15.75" customHeight="1">
      <c r="A62" s="275"/>
      <c r="B62" s="275"/>
      <c r="C62" s="275"/>
      <c r="D62" s="275"/>
      <c r="E62" s="275"/>
      <c r="F62" s="275"/>
      <c r="G62" s="275"/>
      <c r="H62" s="275"/>
      <c r="I62" s="275"/>
      <c r="J62" s="275"/>
      <c r="K62" s="275"/>
      <c r="L62" s="275"/>
      <c r="M62" s="275"/>
      <c r="N62" s="275"/>
      <c r="O62" s="275"/>
      <c r="P62" s="275"/>
      <c r="Q62" s="275"/>
      <c r="R62" s="275"/>
      <c r="S62" s="275"/>
      <c r="T62" s="275"/>
      <c r="U62" s="275"/>
      <c r="V62" s="275"/>
      <c r="W62" s="275"/>
      <c r="X62" s="275"/>
      <c r="Y62" s="275"/>
      <c r="Z62" s="275"/>
    </row>
    <row r="63" spans="1:26" ht="15.75" customHeight="1">
      <c r="A63" s="275"/>
      <c r="B63" s="275"/>
      <c r="C63" s="275"/>
      <c r="D63" s="275"/>
      <c r="E63" s="275"/>
      <c r="F63" s="275"/>
      <c r="G63" s="275"/>
      <c r="H63" s="275"/>
      <c r="I63" s="275"/>
      <c r="J63" s="275"/>
      <c r="K63" s="275"/>
      <c r="L63" s="275"/>
      <c r="M63" s="275"/>
      <c r="N63" s="275"/>
      <c r="O63" s="275"/>
      <c r="P63" s="275"/>
      <c r="Q63" s="275"/>
      <c r="R63" s="275"/>
      <c r="S63" s="275"/>
      <c r="T63" s="275"/>
      <c r="U63" s="275"/>
      <c r="V63" s="275"/>
      <c r="W63" s="275"/>
      <c r="X63" s="275"/>
      <c r="Y63" s="275"/>
      <c r="Z63" s="275"/>
    </row>
    <row r="64" spans="1:26" ht="15.75" customHeight="1">
      <c r="A64" s="275"/>
      <c r="B64" s="275"/>
      <c r="C64" s="275"/>
      <c r="D64" s="275"/>
      <c r="E64" s="275"/>
      <c r="F64" s="275"/>
      <c r="G64" s="275"/>
      <c r="H64" s="275"/>
      <c r="I64" s="275"/>
      <c r="J64" s="275"/>
      <c r="K64" s="275"/>
      <c r="L64" s="275"/>
      <c r="M64" s="275"/>
      <c r="N64" s="275"/>
      <c r="O64" s="275"/>
      <c r="P64" s="275"/>
      <c r="Q64" s="275"/>
      <c r="R64" s="275"/>
      <c r="S64" s="275"/>
      <c r="T64" s="275"/>
      <c r="U64" s="275"/>
      <c r="V64" s="275"/>
      <c r="W64" s="275"/>
      <c r="X64" s="275"/>
      <c r="Y64" s="275"/>
      <c r="Z64" s="275"/>
    </row>
    <row r="65" spans="1:26" ht="15.75" customHeight="1">
      <c r="A65" s="275"/>
      <c r="B65" s="275"/>
      <c r="C65" s="275"/>
      <c r="D65" s="275"/>
      <c r="E65" s="275"/>
      <c r="F65" s="275"/>
      <c r="G65" s="275"/>
      <c r="H65" s="275"/>
      <c r="I65" s="275"/>
      <c r="J65" s="275"/>
      <c r="K65" s="275"/>
      <c r="L65" s="275"/>
      <c r="M65" s="275"/>
      <c r="N65" s="275"/>
      <c r="O65" s="275"/>
      <c r="P65" s="275"/>
      <c r="Q65" s="275"/>
      <c r="R65" s="275"/>
      <c r="S65" s="275"/>
      <c r="T65" s="275"/>
      <c r="U65" s="275"/>
      <c r="V65" s="275"/>
      <c r="W65" s="275"/>
      <c r="X65" s="275"/>
      <c r="Y65" s="275"/>
      <c r="Z65" s="275"/>
    </row>
    <row r="66" spans="1:26" ht="15.75" customHeight="1">
      <c r="A66" s="275"/>
      <c r="B66" s="275"/>
      <c r="C66" s="275"/>
      <c r="D66" s="275"/>
      <c r="E66" s="275"/>
      <c r="F66" s="275"/>
      <c r="G66" s="275"/>
      <c r="H66" s="275"/>
      <c r="I66" s="275"/>
      <c r="J66" s="275"/>
      <c r="K66" s="275"/>
      <c r="L66" s="275"/>
      <c r="M66" s="275"/>
      <c r="N66" s="275"/>
      <c r="O66" s="275"/>
      <c r="P66" s="275"/>
      <c r="Q66" s="275"/>
      <c r="R66" s="275"/>
      <c r="S66" s="275"/>
      <c r="T66" s="275"/>
      <c r="U66" s="275"/>
      <c r="V66" s="275"/>
      <c r="W66" s="275"/>
      <c r="X66" s="275"/>
      <c r="Y66" s="275"/>
      <c r="Z66" s="275"/>
    </row>
    <row r="67" spans="1:26" ht="15.75" customHeight="1">
      <c r="A67" s="275"/>
      <c r="B67" s="275"/>
      <c r="C67" s="275"/>
      <c r="D67" s="275"/>
      <c r="E67" s="275"/>
      <c r="F67" s="275"/>
      <c r="G67" s="275"/>
      <c r="H67" s="275"/>
      <c r="I67" s="275"/>
      <c r="J67" s="275"/>
      <c r="K67" s="275"/>
      <c r="L67" s="275"/>
      <c r="M67" s="275"/>
      <c r="N67" s="275"/>
      <c r="O67" s="275"/>
      <c r="P67" s="275"/>
      <c r="Q67" s="275"/>
      <c r="R67" s="275"/>
      <c r="S67" s="275"/>
      <c r="T67" s="275"/>
      <c r="U67" s="275"/>
      <c r="V67" s="275"/>
      <c r="W67" s="275"/>
      <c r="X67" s="275"/>
      <c r="Y67" s="275"/>
      <c r="Z67" s="275"/>
    </row>
    <row r="68" spans="1:26" ht="15.75" customHeight="1">
      <c r="A68" s="275"/>
      <c r="B68" s="275"/>
      <c r="C68" s="275"/>
      <c r="D68" s="275"/>
      <c r="E68" s="275"/>
      <c r="F68" s="275"/>
      <c r="G68" s="275"/>
      <c r="H68" s="275"/>
      <c r="I68" s="275"/>
      <c r="J68" s="275"/>
      <c r="K68" s="275"/>
      <c r="L68" s="275"/>
      <c r="M68" s="275"/>
      <c r="N68" s="275"/>
      <c r="O68" s="275"/>
      <c r="P68" s="275"/>
      <c r="Q68" s="275"/>
      <c r="R68" s="275"/>
      <c r="S68" s="275"/>
      <c r="T68" s="275"/>
      <c r="U68" s="275"/>
      <c r="V68" s="275"/>
      <c r="W68" s="275"/>
      <c r="X68" s="275"/>
      <c r="Y68" s="275"/>
      <c r="Z68" s="275"/>
    </row>
    <row r="69" spans="1:26" ht="15.75" customHeight="1">
      <c r="A69" s="275"/>
      <c r="B69" s="275"/>
      <c r="C69" s="275"/>
      <c r="D69" s="275"/>
      <c r="E69" s="275"/>
      <c r="F69" s="275"/>
      <c r="G69" s="275"/>
      <c r="H69" s="275"/>
      <c r="I69" s="275"/>
      <c r="J69" s="275"/>
      <c r="K69" s="275"/>
      <c r="L69" s="275"/>
      <c r="M69" s="275"/>
      <c r="N69" s="275"/>
      <c r="O69" s="275"/>
      <c r="P69" s="275"/>
      <c r="Q69" s="275"/>
      <c r="R69" s="275"/>
      <c r="S69" s="275"/>
      <c r="T69" s="275"/>
      <c r="U69" s="275"/>
      <c r="V69" s="275"/>
      <c r="W69" s="275"/>
      <c r="X69" s="275"/>
      <c r="Y69" s="275"/>
      <c r="Z69" s="275"/>
    </row>
    <row r="70" spans="1:26" ht="15.75" customHeight="1">
      <c r="A70" s="275"/>
      <c r="B70" s="275"/>
      <c r="C70" s="275"/>
      <c r="D70" s="275"/>
      <c r="E70" s="275"/>
      <c r="F70" s="275"/>
      <c r="G70" s="275"/>
      <c r="H70" s="275"/>
      <c r="I70" s="275"/>
      <c r="J70" s="275"/>
      <c r="K70" s="275"/>
      <c r="L70" s="275"/>
      <c r="M70" s="275"/>
      <c r="N70" s="275"/>
      <c r="O70" s="275"/>
      <c r="P70" s="275"/>
      <c r="Q70" s="275"/>
      <c r="R70" s="275"/>
      <c r="S70" s="275"/>
      <c r="T70" s="275"/>
      <c r="U70" s="275"/>
      <c r="V70" s="275"/>
      <c r="W70" s="275"/>
      <c r="X70" s="275"/>
      <c r="Y70" s="275"/>
      <c r="Z70" s="275"/>
    </row>
    <row r="71" spans="1:26" ht="15.75" customHeight="1">
      <c r="A71" s="275"/>
      <c r="B71" s="275"/>
      <c r="C71" s="275"/>
      <c r="D71" s="275"/>
      <c r="E71" s="275"/>
      <c r="F71" s="275"/>
      <c r="G71" s="275"/>
      <c r="H71" s="275"/>
      <c r="I71" s="275"/>
      <c r="J71" s="275"/>
      <c r="K71" s="275"/>
      <c r="L71" s="275"/>
      <c r="M71" s="275"/>
      <c r="N71" s="275"/>
      <c r="O71" s="275"/>
      <c r="P71" s="275"/>
      <c r="Q71" s="275"/>
      <c r="R71" s="275"/>
      <c r="S71" s="275"/>
      <c r="T71" s="275"/>
      <c r="U71" s="275"/>
      <c r="V71" s="275"/>
      <c r="W71" s="275"/>
      <c r="X71" s="275"/>
      <c r="Y71" s="275"/>
      <c r="Z71" s="275"/>
    </row>
    <row r="72" spans="1:26" ht="15.75" customHeight="1">
      <c r="A72" s="275"/>
      <c r="B72" s="275"/>
      <c r="C72" s="275"/>
      <c r="D72" s="275"/>
      <c r="E72" s="275"/>
      <c r="F72" s="275"/>
      <c r="G72" s="275"/>
      <c r="H72" s="275"/>
      <c r="I72" s="275"/>
      <c r="J72" s="275"/>
      <c r="K72" s="275"/>
      <c r="L72" s="275"/>
      <c r="M72" s="275"/>
      <c r="N72" s="275"/>
      <c r="O72" s="275"/>
      <c r="P72" s="275"/>
      <c r="Q72" s="275"/>
      <c r="R72" s="275"/>
      <c r="S72" s="275"/>
      <c r="T72" s="275"/>
      <c r="U72" s="275"/>
      <c r="V72" s="275"/>
      <c r="W72" s="275"/>
      <c r="X72" s="275"/>
      <c r="Y72" s="275"/>
      <c r="Z72" s="275"/>
    </row>
    <row r="73" spans="1:26" ht="15.75" customHeight="1">
      <c r="A73" s="275"/>
      <c r="B73" s="275"/>
      <c r="C73" s="275"/>
      <c r="D73" s="275"/>
      <c r="E73" s="275"/>
      <c r="F73" s="275"/>
      <c r="G73" s="275"/>
      <c r="H73" s="275"/>
      <c r="I73" s="275"/>
      <c r="J73" s="275"/>
      <c r="K73" s="275"/>
      <c r="L73" s="275"/>
      <c r="M73" s="275"/>
      <c r="N73" s="275"/>
      <c r="O73" s="275"/>
      <c r="P73" s="275"/>
      <c r="Q73" s="275"/>
      <c r="R73" s="275"/>
      <c r="S73" s="275"/>
      <c r="T73" s="275"/>
      <c r="U73" s="275"/>
      <c r="V73" s="275"/>
      <c r="W73" s="275"/>
      <c r="X73" s="275"/>
      <c r="Y73" s="275"/>
      <c r="Z73" s="275"/>
    </row>
    <row r="74" spans="1:26" ht="15.75" customHeight="1">
      <c r="A74" s="275"/>
      <c r="B74" s="275"/>
      <c r="C74" s="275"/>
      <c r="D74" s="275"/>
      <c r="E74" s="275"/>
      <c r="F74" s="275"/>
      <c r="G74" s="275"/>
      <c r="H74" s="275"/>
      <c r="I74" s="275"/>
      <c r="J74" s="275"/>
      <c r="K74" s="275"/>
      <c r="L74" s="275"/>
      <c r="M74" s="275"/>
      <c r="N74" s="275"/>
      <c r="O74" s="275"/>
      <c r="P74" s="275"/>
      <c r="Q74" s="275"/>
      <c r="R74" s="275"/>
      <c r="S74" s="275"/>
      <c r="T74" s="275"/>
      <c r="U74" s="275"/>
      <c r="V74" s="275"/>
      <c r="W74" s="275"/>
      <c r="X74" s="275"/>
      <c r="Y74" s="275"/>
      <c r="Z74" s="275"/>
    </row>
    <row r="75" spans="1:26" ht="15.75" customHeight="1">
      <c r="A75" s="275"/>
      <c r="B75" s="275"/>
      <c r="C75" s="275"/>
      <c r="D75" s="275"/>
      <c r="E75" s="275"/>
      <c r="F75" s="275"/>
      <c r="G75" s="275"/>
      <c r="H75" s="275"/>
      <c r="I75" s="275"/>
      <c r="J75" s="275"/>
      <c r="K75" s="275"/>
      <c r="L75" s="275"/>
      <c r="M75" s="275"/>
      <c r="N75" s="275"/>
      <c r="O75" s="275"/>
      <c r="P75" s="275"/>
      <c r="Q75" s="275"/>
      <c r="R75" s="275"/>
      <c r="S75" s="275"/>
      <c r="T75" s="275"/>
      <c r="U75" s="275"/>
      <c r="V75" s="275"/>
      <c r="W75" s="275"/>
      <c r="X75" s="275"/>
      <c r="Y75" s="275"/>
      <c r="Z75" s="275"/>
    </row>
    <row r="76" spans="1:26" ht="15.75" customHeight="1">
      <c r="A76" s="275"/>
      <c r="B76" s="275"/>
      <c r="C76" s="275"/>
      <c r="D76" s="275"/>
      <c r="E76" s="275"/>
      <c r="F76" s="275"/>
      <c r="G76" s="275"/>
      <c r="H76" s="275"/>
      <c r="I76" s="275"/>
      <c r="J76" s="275"/>
      <c r="K76" s="275"/>
      <c r="L76" s="275"/>
      <c r="M76" s="275"/>
      <c r="N76" s="275"/>
      <c r="O76" s="275"/>
      <c r="P76" s="275"/>
      <c r="Q76" s="275"/>
      <c r="R76" s="275"/>
      <c r="S76" s="275"/>
      <c r="T76" s="275"/>
      <c r="U76" s="275"/>
      <c r="V76" s="275"/>
      <c r="W76" s="275"/>
      <c r="X76" s="275"/>
      <c r="Y76" s="275"/>
      <c r="Z76" s="275"/>
    </row>
    <row r="77" spans="1:26" ht="15.75" customHeight="1">
      <c r="A77" s="275"/>
      <c r="B77" s="275"/>
      <c r="C77" s="275"/>
      <c r="D77" s="275"/>
      <c r="E77" s="275"/>
      <c r="F77" s="275"/>
      <c r="G77" s="275"/>
      <c r="H77" s="275"/>
      <c r="I77" s="275"/>
      <c r="J77" s="275"/>
      <c r="K77" s="275"/>
      <c r="L77" s="275"/>
      <c r="M77" s="275"/>
      <c r="N77" s="275"/>
      <c r="O77" s="275"/>
      <c r="P77" s="275"/>
      <c r="Q77" s="275"/>
      <c r="R77" s="275"/>
      <c r="S77" s="275"/>
      <c r="T77" s="275"/>
      <c r="U77" s="275"/>
      <c r="V77" s="275"/>
      <c r="W77" s="275"/>
      <c r="X77" s="275"/>
      <c r="Y77" s="275"/>
      <c r="Z77" s="275"/>
    </row>
    <row r="78" spans="1:26" ht="15.75" customHeight="1">
      <c r="A78" s="275"/>
      <c r="B78" s="275"/>
      <c r="C78" s="275"/>
      <c r="D78" s="275"/>
      <c r="E78" s="275"/>
      <c r="F78" s="275"/>
      <c r="G78" s="275"/>
      <c r="H78" s="275"/>
      <c r="I78" s="275"/>
      <c r="J78" s="275"/>
      <c r="K78" s="275"/>
      <c r="L78" s="275"/>
      <c r="M78" s="275"/>
      <c r="N78" s="275"/>
      <c r="O78" s="275"/>
      <c r="P78" s="275"/>
      <c r="Q78" s="275"/>
      <c r="R78" s="275"/>
      <c r="S78" s="275"/>
      <c r="T78" s="275"/>
      <c r="U78" s="275"/>
      <c r="V78" s="275"/>
      <c r="W78" s="275"/>
      <c r="X78" s="275"/>
      <c r="Y78" s="275"/>
      <c r="Z78" s="275"/>
    </row>
    <row r="79" spans="1:26" ht="15.75" customHeight="1">
      <c r="A79" s="275"/>
      <c r="B79" s="275"/>
      <c r="C79" s="275"/>
      <c r="D79" s="275"/>
      <c r="E79" s="275"/>
      <c r="F79" s="275"/>
      <c r="G79" s="275"/>
      <c r="H79" s="275"/>
      <c r="I79" s="275"/>
      <c r="J79" s="275"/>
      <c r="K79" s="275"/>
      <c r="L79" s="275"/>
      <c r="M79" s="275"/>
      <c r="N79" s="275"/>
      <c r="O79" s="275"/>
      <c r="P79" s="275"/>
      <c r="Q79" s="275"/>
      <c r="R79" s="275"/>
      <c r="S79" s="275"/>
      <c r="T79" s="275"/>
      <c r="U79" s="275"/>
      <c r="V79" s="275"/>
      <c r="W79" s="275"/>
      <c r="X79" s="275"/>
      <c r="Y79" s="275"/>
      <c r="Z79" s="275"/>
    </row>
    <row r="80" spans="1:26" ht="15.75" customHeight="1">
      <c r="A80" s="275"/>
      <c r="B80" s="275"/>
      <c r="C80" s="275"/>
      <c r="D80" s="275"/>
      <c r="E80" s="275"/>
      <c r="F80" s="275"/>
      <c r="G80" s="275"/>
      <c r="H80" s="275"/>
      <c r="I80" s="275"/>
      <c r="J80" s="275"/>
      <c r="K80" s="275"/>
      <c r="L80" s="275"/>
      <c r="M80" s="275"/>
      <c r="N80" s="275"/>
      <c r="O80" s="275"/>
      <c r="P80" s="275"/>
      <c r="Q80" s="275"/>
      <c r="R80" s="275"/>
      <c r="S80" s="275"/>
      <c r="T80" s="275"/>
      <c r="U80" s="275"/>
      <c r="V80" s="275"/>
      <c r="W80" s="275"/>
      <c r="X80" s="275"/>
      <c r="Y80" s="275"/>
      <c r="Z80" s="275"/>
    </row>
    <row r="81" spans="1:26" ht="15.75" customHeight="1">
      <c r="A81" s="275"/>
      <c r="B81" s="275"/>
      <c r="C81" s="275"/>
      <c r="D81" s="275"/>
      <c r="E81" s="275"/>
      <c r="F81" s="275"/>
      <c r="G81" s="275"/>
      <c r="H81" s="275"/>
      <c r="I81" s="275"/>
      <c r="J81" s="275"/>
      <c r="K81" s="275"/>
      <c r="L81" s="275"/>
      <c r="M81" s="275"/>
      <c r="N81" s="275"/>
      <c r="O81" s="275"/>
      <c r="P81" s="275"/>
      <c r="Q81" s="275"/>
      <c r="R81" s="275"/>
      <c r="S81" s="275"/>
      <c r="T81" s="275"/>
      <c r="U81" s="275"/>
      <c r="V81" s="275"/>
      <c r="W81" s="275"/>
      <c r="X81" s="275"/>
      <c r="Y81" s="275"/>
      <c r="Z81" s="275"/>
    </row>
    <row r="82" spans="1:26" ht="15.75" customHeight="1">
      <c r="A82" s="275"/>
      <c r="B82" s="275"/>
      <c r="C82" s="275"/>
      <c r="D82" s="275"/>
      <c r="E82" s="275"/>
      <c r="F82" s="275"/>
      <c r="G82" s="275"/>
      <c r="H82" s="275"/>
      <c r="I82" s="275"/>
      <c r="J82" s="275"/>
      <c r="K82" s="275"/>
      <c r="L82" s="275"/>
      <c r="M82" s="275"/>
      <c r="N82" s="275"/>
      <c r="O82" s="275"/>
      <c r="P82" s="275"/>
      <c r="Q82" s="275"/>
      <c r="R82" s="275"/>
      <c r="S82" s="275"/>
      <c r="T82" s="275"/>
      <c r="U82" s="275"/>
      <c r="V82" s="275"/>
      <c r="W82" s="275"/>
      <c r="X82" s="275"/>
      <c r="Y82" s="275"/>
      <c r="Z82" s="275"/>
    </row>
    <row r="83" spans="1:26" ht="15.75" customHeight="1">
      <c r="A83" s="275"/>
      <c r="B83" s="275"/>
      <c r="C83" s="275"/>
      <c r="D83" s="275"/>
      <c r="E83" s="275"/>
      <c r="F83" s="275"/>
      <c r="G83" s="275"/>
      <c r="H83" s="275"/>
      <c r="I83" s="275"/>
      <c r="J83" s="275"/>
      <c r="K83" s="275"/>
      <c r="L83" s="275"/>
      <c r="M83" s="275"/>
      <c r="N83" s="275"/>
      <c r="O83" s="275"/>
      <c r="P83" s="275"/>
      <c r="Q83" s="275"/>
      <c r="R83" s="275"/>
      <c r="S83" s="275"/>
      <c r="T83" s="275"/>
      <c r="U83" s="275"/>
      <c r="V83" s="275"/>
      <c r="W83" s="275"/>
      <c r="X83" s="275"/>
      <c r="Y83" s="275"/>
      <c r="Z83" s="275"/>
    </row>
    <row r="84" spans="1:26" ht="15.75" customHeight="1">
      <c r="A84" s="275"/>
      <c r="B84" s="275"/>
      <c r="C84" s="275"/>
      <c r="D84" s="275"/>
      <c r="E84" s="275"/>
      <c r="F84" s="275"/>
      <c r="G84" s="275"/>
      <c r="H84" s="275"/>
      <c r="I84" s="275"/>
      <c r="J84" s="275"/>
      <c r="K84" s="275"/>
      <c r="L84" s="275"/>
      <c r="M84" s="275"/>
      <c r="N84" s="275"/>
      <c r="O84" s="275"/>
      <c r="P84" s="275"/>
      <c r="Q84" s="275"/>
      <c r="R84" s="275"/>
      <c r="S84" s="275"/>
      <c r="T84" s="275"/>
      <c r="U84" s="275"/>
      <c r="V84" s="275"/>
      <c r="W84" s="275"/>
      <c r="X84" s="275"/>
      <c r="Y84" s="275"/>
      <c r="Z84" s="275"/>
    </row>
    <row r="85" spans="1:26" ht="15.75" customHeight="1">
      <c r="A85" s="275"/>
      <c r="B85" s="275"/>
      <c r="C85" s="275"/>
      <c r="D85" s="275"/>
      <c r="E85" s="275"/>
      <c r="F85" s="275"/>
      <c r="G85" s="275"/>
      <c r="H85" s="275"/>
      <c r="I85" s="275"/>
      <c r="J85" s="275"/>
      <c r="K85" s="275"/>
      <c r="L85" s="275"/>
      <c r="M85" s="275"/>
      <c r="N85" s="275"/>
      <c r="O85" s="275"/>
      <c r="P85" s="275"/>
      <c r="Q85" s="275"/>
      <c r="R85" s="275"/>
      <c r="S85" s="275"/>
      <c r="T85" s="275"/>
      <c r="U85" s="275"/>
      <c r="V85" s="275"/>
      <c r="W85" s="275"/>
      <c r="X85" s="275"/>
      <c r="Y85" s="275"/>
      <c r="Z85" s="275"/>
    </row>
    <row r="86" spans="1:26" ht="15.75" customHeight="1">
      <c r="A86" s="275"/>
      <c r="B86" s="275"/>
      <c r="C86" s="275"/>
      <c r="D86" s="275"/>
      <c r="E86" s="275"/>
      <c r="F86" s="275"/>
      <c r="G86" s="275"/>
      <c r="H86" s="275"/>
      <c r="I86" s="275"/>
      <c r="J86" s="275"/>
      <c r="K86" s="275"/>
      <c r="L86" s="275"/>
      <c r="M86" s="275"/>
      <c r="N86" s="275"/>
      <c r="O86" s="275"/>
      <c r="P86" s="275"/>
      <c r="Q86" s="275"/>
      <c r="R86" s="275"/>
      <c r="S86" s="275"/>
      <c r="T86" s="275"/>
      <c r="U86" s="275"/>
      <c r="V86" s="275"/>
      <c r="W86" s="275"/>
      <c r="X86" s="275"/>
      <c r="Y86" s="275"/>
      <c r="Z86" s="275"/>
    </row>
    <row r="87" spans="1:26" ht="15.75" customHeight="1">
      <c r="A87" s="275"/>
      <c r="B87" s="275"/>
      <c r="C87" s="275"/>
      <c r="D87" s="275"/>
      <c r="E87" s="275"/>
      <c r="F87" s="275"/>
      <c r="G87" s="275"/>
      <c r="H87" s="275"/>
      <c r="I87" s="275"/>
      <c r="J87" s="275"/>
      <c r="K87" s="275"/>
      <c r="L87" s="275"/>
      <c r="M87" s="275"/>
      <c r="N87" s="275"/>
      <c r="O87" s="275"/>
      <c r="P87" s="275"/>
      <c r="Q87" s="275"/>
      <c r="R87" s="275"/>
      <c r="S87" s="275"/>
      <c r="T87" s="275"/>
      <c r="U87" s="275"/>
      <c r="V87" s="275"/>
      <c r="W87" s="275"/>
      <c r="X87" s="275"/>
      <c r="Y87" s="275"/>
      <c r="Z87" s="275"/>
    </row>
    <row r="88" spans="1:26" ht="15.75" customHeight="1">
      <c r="A88" s="275"/>
      <c r="B88" s="275"/>
      <c r="C88" s="275"/>
      <c r="D88" s="275"/>
      <c r="E88" s="275"/>
      <c r="F88" s="275"/>
      <c r="G88" s="275"/>
      <c r="H88" s="275"/>
      <c r="I88" s="275"/>
      <c r="J88" s="275"/>
      <c r="K88" s="275"/>
      <c r="L88" s="275"/>
      <c r="M88" s="275"/>
      <c r="N88" s="275"/>
      <c r="O88" s="275"/>
      <c r="P88" s="275"/>
      <c r="Q88" s="275"/>
      <c r="R88" s="275"/>
      <c r="S88" s="275"/>
      <c r="T88" s="275"/>
      <c r="U88" s="275"/>
      <c r="V88" s="275"/>
      <c r="W88" s="275"/>
      <c r="X88" s="275"/>
      <c r="Y88" s="275"/>
      <c r="Z88" s="275"/>
    </row>
    <row r="89" spans="1:26" ht="15.75" customHeight="1">
      <c r="A89" s="275"/>
      <c r="B89" s="275"/>
      <c r="C89" s="275"/>
      <c r="D89" s="275"/>
      <c r="E89" s="275"/>
      <c r="F89" s="275"/>
      <c r="G89" s="275"/>
      <c r="H89" s="275"/>
      <c r="I89" s="275"/>
      <c r="J89" s="275"/>
      <c r="K89" s="275"/>
      <c r="L89" s="275"/>
      <c r="M89" s="275"/>
      <c r="N89" s="275"/>
      <c r="O89" s="275"/>
      <c r="P89" s="275"/>
      <c r="Q89" s="275"/>
      <c r="R89" s="275"/>
      <c r="S89" s="275"/>
      <c r="T89" s="275"/>
      <c r="U89" s="275"/>
      <c r="V89" s="275"/>
      <c r="W89" s="275"/>
      <c r="X89" s="275"/>
      <c r="Y89" s="275"/>
      <c r="Z89" s="275"/>
    </row>
    <row r="90" spans="1:26" ht="15.75" customHeight="1">
      <c r="A90" s="275"/>
      <c r="B90" s="275"/>
      <c r="C90" s="275"/>
      <c r="D90" s="275"/>
      <c r="E90" s="275"/>
      <c r="F90" s="275"/>
      <c r="G90" s="275"/>
      <c r="H90" s="275"/>
      <c r="I90" s="275"/>
      <c r="J90" s="275"/>
      <c r="K90" s="275"/>
      <c r="L90" s="275"/>
      <c r="M90" s="275"/>
      <c r="N90" s="275"/>
      <c r="O90" s="275"/>
      <c r="P90" s="275"/>
      <c r="Q90" s="275"/>
      <c r="R90" s="275"/>
      <c r="S90" s="275"/>
      <c r="T90" s="275"/>
      <c r="U90" s="275"/>
      <c r="V90" s="275"/>
      <c r="W90" s="275"/>
      <c r="X90" s="275"/>
      <c r="Y90" s="275"/>
      <c r="Z90" s="275"/>
    </row>
    <row r="91" spans="1:26" ht="15.75" customHeight="1">
      <c r="A91" s="275"/>
      <c r="B91" s="275"/>
      <c r="C91" s="275"/>
      <c r="D91" s="275"/>
      <c r="E91" s="275"/>
      <c r="F91" s="275"/>
      <c r="G91" s="275"/>
      <c r="H91" s="275"/>
      <c r="I91" s="275"/>
      <c r="J91" s="275"/>
      <c r="K91" s="275"/>
      <c r="L91" s="275"/>
      <c r="M91" s="275"/>
      <c r="N91" s="275"/>
      <c r="O91" s="275"/>
      <c r="P91" s="275"/>
      <c r="Q91" s="275"/>
      <c r="R91" s="275"/>
      <c r="S91" s="275"/>
      <c r="T91" s="275"/>
      <c r="U91" s="275"/>
      <c r="V91" s="275"/>
      <c r="W91" s="275"/>
      <c r="X91" s="275"/>
      <c r="Y91" s="275"/>
      <c r="Z91" s="275"/>
    </row>
    <row r="92" spans="1:26" ht="15.75" customHeight="1">
      <c r="A92" s="275"/>
      <c r="B92" s="275"/>
      <c r="C92" s="275"/>
      <c r="D92" s="275"/>
      <c r="E92" s="275"/>
      <c r="F92" s="275"/>
      <c r="G92" s="275"/>
      <c r="H92" s="275"/>
      <c r="I92" s="275"/>
      <c r="J92" s="275"/>
      <c r="K92" s="275"/>
      <c r="L92" s="275"/>
      <c r="M92" s="275"/>
      <c r="N92" s="275"/>
      <c r="O92" s="275"/>
      <c r="P92" s="275"/>
      <c r="Q92" s="275"/>
      <c r="R92" s="275"/>
      <c r="S92" s="275"/>
      <c r="T92" s="275"/>
      <c r="U92" s="275"/>
      <c r="V92" s="275"/>
      <c r="W92" s="275"/>
      <c r="X92" s="275"/>
      <c r="Y92" s="275"/>
      <c r="Z92" s="275"/>
    </row>
    <row r="93" spans="1:26" ht="15.75" customHeight="1">
      <c r="A93" s="275"/>
      <c r="B93" s="275"/>
      <c r="C93" s="275"/>
      <c r="D93" s="275"/>
      <c r="E93" s="275"/>
      <c r="F93" s="275"/>
      <c r="G93" s="275"/>
      <c r="H93" s="275"/>
      <c r="I93" s="275"/>
      <c r="J93" s="275"/>
      <c r="K93" s="275"/>
      <c r="L93" s="275"/>
      <c r="M93" s="275"/>
      <c r="N93" s="275"/>
      <c r="O93" s="275"/>
      <c r="P93" s="275"/>
      <c r="Q93" s="275"/>
      <c r="R93" s="275"/>
      <c r="S93" s="275"/>
      <c r="T93" s="275"/>
      <c r="U93" s="275"/>
      <c r="V93" s="275"/>
      <c r="W93" s="275"/>
      <c r="X93" s="275"/>
      <c r="Y93" s="275"/>
      <c r="Z93" s="275"/>
    </row>
    <row r="94" spans="1:26" ht="15.75" customHeight="1">
      <c r="A94" s="275"/>
      <c r="B94" s="275"/>
      <c r="C94" s="275"/>
      <c r="D94" s="275"/>
      <c r="E94" s="275"/>
      <c r="F94" s="275"/>
      <c r="G94" s="275"/>
      <c r="H94" s="275"/>
      <c r="I94" s="275"/>
      <c r="J94" s="275"/>
      <c r="K94" s="275"/>
      <c r="L94" s="275"/>
      <c r="M94" s="275"/>
      <c r="N94" s="275"/>
      <c r="O94" s="275"/>
      <c r="P94" s="275"/>
      <c r="Q94" s="275"/>
      <c r="R94" s="275"/>
      <c r="S94" s="275"/>
      <c r="T94" s="275"/>
      <c r="U94" s="275"/>
      <c r="V94" s="275"/>
      <c r="W94" s="275"/>
      <c r="X94" s="275"/>
      <c r="Y94" s="275"/>
      <c r="Z94" s="275"/>
    </row>
    <row r="95" spans="1:26" ht="15.75" customHeight="1">
      <c r="A95" s="275"/>
      <c r="B95" s="275"/>
      <c r="C95" s="275"/>
      <c r="D95" s="275"/>
      <c r="E95" s="275"/>
      <c r="F95" s="275"/>
      <c r="G95" s="275"/>
      <c r="H95" s="275"/>
      <c r="I95" s="275"/>
      <c r="J95" s="275"/>
      <c r="K95" s="275"/>
      <c r="L95" s="275"/>
      <c r="M95" s="275"/>
      <c r="N95" s="275"/>
      <c r="O95" s="275"/>
      <c r="P95" s="275"/>
      <c r="Q95" s="275"/>
      <c r="R95" s="275"/>
      <c r="S95" s="275"/>
      <c r="T95" s="275"/>
      <c r="U95" s="275"/>
      <c r="V95" s="275"/>
      <c r="W95" s="275"/>
      <c r="X95" s="275"/>
      <c r="Y95" s="275"/>
      <c r="Z95" s="275"/>
    </row>
    <row r="96" spans="1:26" ht="15.75" customHeight="1">
      <c r="A96" s="275"/>
      <c r="B96" s="275"/>
      <c r="C96" s="275"/>
      <c r="D96" s="275"/>
      <c r="E96" s="275"/>
      <c r="F96" s="275"/>
      <c r="G96" s="275"/>
      <c r="H96" s="275"/>
      <c r="I96" s="275"/>
      <c r="J96" s="275"/>
      <c r="K96" s="275"/>
      <c r="L96" s="275"/>
      <c r="M96" s="275"/>
      <c r="N96" s="275"/>
      <c r="O96" s="275"/>
      <c r="P96" s="275"/>
      <c r="Q96" s="275"/>
      <c r="R96" s="275"/>
      <c r="S96" s="275"/>
      <c r="T96" s="275"/>
      <c r="U96" s="275"/>
      <c r="V96" s="275"/>
      <c r="W96" s="275"/>
      <c r="X96" s="275"/>
      <c r="Y96" s="275"/>
      <c r="Z96" s="275"/>
    </row>
    <row r="97" spans="1:26" ht="15.75" customHeight="1">
      <c r="A97" s="275"/>
      <c r="B97" s="275"/>
      <c r="C97" s="275"/>
      <c r="D97" s="275"/>
      <c r="E97" s="275"/>
      <c r="F97" s="275"/>
      <c r="G97" s="275"/>
      <c r="H97" s="275"/>
      <c r="I97" s="275"/>
      <c r="J97" s="275"/>
      <c r="K97" s="275"/>
      <c r="L97" s="275"/>
      <c r="M97" s="275"/>
      <c r="N97" s="275"/>
      <c r="O97" s="275"/>
      <c r="P97" s="275"/>
      <c r="Q97" s="275"/>
      <c r="R97" s="275"/>
      <c r="S97" s="275"/>
      <c r="T97" s="275"/>
      <c r="U97" s="275"/>
      <c r="V97" s="275"/>
      <c r="W97" s="275"/>
      <c r="X97" s="275"/>
      <c r="Y97" s="275"/>
      <c r="Z97" s="275"/>
    </row>
    <row r="98" spans="1:26" ht="15.75" customHeight="1">
      <c r="A98" s="275"/>
      <c r="B98" s="275"/>
      <c r="C98" s="275"/>
      <c r="D98" s="275"/>
      <c r="E98" s="275"/>
      <c r="F98" s="275"/>
      <c r="G98" s="275"/>
      <c r="H98" s="275"/>
      <c r="I98" s="275"/>
      <c r="J98" s="275"/>
      <c r="K98" s="275"/>
      <c r="L98" s="275"/>
      <c r="M98" s="275"/>
      <c r="N98" s="275"/>
      <c r="O98" s="275"/>
      <c r="P98" s="275"/>
      <c r="Q98" s="275"/>
      <c r="R98" s="275"/>
      <c r="S98" s="275"/>
      <c r="T98" s="275"/>
      <c r="U98" s="275"/>
      <c r="V98" s="275"/>
      <c r="W98" s="275"/>
      <c r="X98" s="275"/>
      <c r="Y98" s="275"/>
      <c r="Z98" s="275"/>
    </row>
    <row r="99" spans="1:26" ht="15.75" customHeight="1">
      <c r="A99" s="275"/>
      <c r="B99" s="275"/>
      <c r="C99" s="275"/>
      <c r="D99" s="275"/>
      <c r="E99" s="275"/>
      <c r="F99" s="275"/>
      <c r="G99" s="275"/>
      <c r="H99" s="275"/>
      <c r="I99" s="275"/>
      <c r="J99" s="275"/>
      <c r="K99" s="275"/>
      <c r="L99" s="275"/>
      <c r="M99" s="275"/>
      <c r="N99" s="275"/>
      <c r="O99" s="275"/>
      <c r="P99" s="275"/>
      <c r="Q99" s="275"/>
      <c r="R99" s="275"/>
      <c r="S99" s="275"/>
      <c r="T99" s="275"/>
      <c r="U99" s="275"/>
      <c r="V99" s="275"/>
      <c r="W99" s="275"/>
      <c r="X99" s="275"/>
      <c r="Y99" s="275"/>
      <c r="Z99" s="275"/>
    </row>
    <row r="100" spans="1:26" ht="15.75" customHeight="1">
      <c r="A100" s="275"/>
      <c r="B100" s="275"/>
      <c r="C100" s="275"/>
      <c r="D100" s="275"/>
      <c r="E100" s="275"/>
      <c r="F100" s="275"/>
      <c r="G100" s="275"/>
      <c r="H100" s="275"/>
      <c r="I100" s="275"/>
      <c r="J100" s="275"/>
      <c r="K100" s="275"/>
      <c r="L100" s="275"/>
      <c r="M100" s="275"/>
      <c r="N100" s="275"/>
      <c r="O100" s="275"/>
      <c r="P100" s="275"/>
      <c r="Q100" s="275"/>
      <c r="R100" s="275"/>
      <c r="S100" s="275"/>
      <c r="T100" s="275"/>
      <c r="U100" s="275"/>
      <c r="V100" s="275"/>
      <c r="W100" s="275"/>
      <c r="X100" s="275"/>
      <c r="Y100" s="275"/>
      <c r="Z100" s="275"/>
    </row>
    <row r="101" spans="1:26" ht="15.75" customHeight="1">
      <c r="A101" s="275"/>
      <c r="B101" s="275"/>
      <c r="C101" s="275"/>
      <c r="D101" s="275"/>
      <c r="E101" s="275"/>
      <c r="F101" s="275"/>
      <c r="G101" s="275"/>
      <c r="H101" s="275"/>
      <c r="I101" s="275"/>
      <c r="J101" s="275"/>
      <c r="K101" s="275"/>
      <c r="L101" s="275"/>
      <c r="M101" s="275"/>
      <c r="N101" s="275"/>
      <c r="O101" s="275"/>
      <c r="P101" s="275"/>
      <c r="Q101" s="275"/>
      <c r="R101" s="275"/>
      <c r="S101" s="275"/>
      <c r="T101" s="275"/>
      <c r="U101" s="275"/>
      <c r="V101" s="275"/>
      <c r="W101" s="275"/>
      <c r="X101" s="275"/>
      <c r="Y101" s="275"/>
      <c r="Z101" s="275"/>
    </row>
    <row r="102" spans="1:26" ht="15.75" customHeight="1">
      <c r="A102" s="275"/>
      <c r="B102" s="275"/>
      <c r="C102" s="275"/>
      <c r="D102" s="275"/>
      <c r="E102" s="275"/>
      <c r="F102" s="275"/>
      <c r="G102" s="275"/>
      <c r="H102" s="275"/>
      <c r="I102" s="275"/>
      <c r="J102" s="275"/>
      <c r="K102" s="275"/>
      <c r="L102" s="275"/>
      <c r="M102" s="275"/>
      <c r="N102" s="275"/>
      <c r="O102" s="275"/>
      <c r="P102" s="275"/>
      <c r="Q102" s="275"/>
      <c r="R102" s="275"/>
      <c r="S102" s="275"/>
      <c r="T102" s="275"/>
      <c r="U102" s="275"/>
      <c r="V102" s="275"/>
      <c r="W102" s="275"/>
      <c r="X102" s="275"/>
      <c r="Y102" s="275"/>
      <c r="Z102" s="275"/>
    </row>
    <row r="103" spans="1:26" ht="15.75" customHeight="1">
      <c r="A103" s="275"/>
      <c r="B103" s="275"/>
      <c r="C103" s="275"/>
      <c r="D103" s="275"/>
      <c r="E103" s="275"/>
      <c r="F103" s="275"/>
      <c r="G103" s="275"/>
      <c r="H103" s="275"/>
      <c r="I103" s="275"/>
      <c r="J103" s="275"/>
      <c r="K103" s="275"/>
      <c r="L103" s="275"/>
      <c r="M103" s="275"/>
      <c r="N103" s="275"/>
      <c r="O103" s="275"/>
      <c r="P103" s="275"/>
      <c r="Q103" s="275"/>
      <c r="R103" s="275"/>
      <c r="S103" s="275"/>
      <c r="T103" s="275"/>
      <c r="U103" s="275"/>
      <c r="V103" s="275"/>
      <c r="W103" s="275"/>
      <c r="X103" s="275"/>
      <c r="Y103" s="275"/>
      <c r="Z103" s="275"/>
    </row>
    <row r="104" spans="1:26" ht="15.75" customHeight="1">
      <c r="A104" s="275"/>
      <c r="B104" s="275"/>
      <c r="C104" s="275"/>
      <c r="D104" s="275"/>
      <c r="E104" s="275"/>
      <c r="F104" s="275"/>
      <c r="G104" s="275"/>
      <c r="H104" s="275"/>
      <c r="I104" s="275"/>
      <c r="J104" s="275"/>
      <c r="K104" s="275"/>
      <c r="L104" s="275"/>
      <c r="M104" s="275"/>
      <c r="N104" s="275"/>
      <c r="O104" s="275"/>
      <c r="P104" s="275"/>
      <c r="Q104" s="275"/>
      <c r="R104" s="275"/>
      <c r="S104" s="275"/>
      <c r="T104" s="275"/>
      <c r="U104" s="275"/>
      <c r="V104" s="275"/>
      <c r="W104" s="275"/>
      <c r="X104" s="275"/>
      <c r="Y104" s="275"/>
      <c r="Z104" s="275"/>
    </row>
    <row r="105" spans="1:26" ht="15.75" customHeight="1">
      <c r="A105" s="275"/>
      <c r="B105" s="275"/>
      <c r="C105" s="275"/>
      <c r="D105" s="275"/>
      <c r="E105" s="275"/>
      <c r="F105" s="275"/>
      <c r="G105" s="275"/>
      <c r="H105" s="275"/>
      <c r="I105" s="275"/>
      <c r="J105" s="275"/>
      <c r="K105" s="275"/>
      <c r="L105" s="275"/>
      <c r="M105" s="275"/>
      <c r="N105" s="275"/>
      <c r="O105" s="275"/>
      <c r="P105" s="275"/>
      <c r="Q105" s="275"/>
      <c r="R105" s="275"/>
      <c r="S105" s="275"/>
      <c r="T105" s="275"/>
      <c r="U105" s="275"/>
      <c r="V105" s="275"/>
      <c r="W105" s="275"/>
      <c r="X105" s="275"/>
      <c r="Y105" s="275"/>
      <c r="Z105" s="275"/>
    </row>
    <row r="106" spans="1:26" ht="15.75" customHeight="1">
      <c r="A106" s="275"/>
      <c r="B106" s="275"/>
      <c r="C106" s="275"/>
      <c r="D106" s="275"/>
      <c r="E106" s="275"/>
      <c r="F106" s="275"/>
      <c r="G106" s="275"/>
      <c r="H106" s="275"/>
      <c r="I106" s="275"/>
      <c r="J106" s="275"/>
      <c r="K106" s="275"/>
      <c r="L106" s="275"/>
      <c r="M106" s="275"/>
      <c r="N106" s="275"/>
      <c r="O106" s="275"/>
      <c r="P106" s="275"/>
      <c r="Q106" s="275"/>
      <c r="R106" s="275"/>
      <c r="S106" s="275"/>
      <c r="T106" s="275"/>
      <c r="U106" s="275"/>
      <c r="V106" s="275"/>
      <c r="W106" s="275"/>
      <c r="X106" s="275"/>
      <c r="Y106" s="275"/>
      <c r="Z106" s="275"/>
    </row>
    <row r="107" spans="1:26" ht="15.75" customHeight="1">
      <c r="A107" s="275"/>
      <c r="B107" s="275"/>
      <c r="C107" s="275"/>
      <c r="D107" s="275"/>
      <c r="E107" s="275"/>
      <c r="F107" s="275"/>
      <c r="G107" s="275"/>
      <c r="H107" s="275"/>
      <c r="I107" s="275"/>
      <c r="J107" s="275"/>
      <c r="K107" s="275"/>
      <c r="L107" s="275"/>
      <c r="M107" s="275"/>
      <c r="N107" s="275"/>
      <c r="O107" s="275"/>
      <c r="P107" s="275"/>
      <c r="Q107" s="275"/>
      <c r="R107" s="275"/>
      <c r="S107" s="275"/>
      <c r="T107" s="275"/>
      <c r="U107" s="275"/>
      <c r="V107" s="275"/>
      <c r="W107" s="275"/>
      <c r="X107" s="275"/>
      <c r="Y107" s="275"/>
      <c r="Z107" s="275"/>
    </row>
    <row r="108" spans="1:26" ht="15.75" customHeight="1">
      <c r="A108" s="275"/>
      <c r="B108" s="275"/>
      <c r="C108" s="275"/>
      <c r="D108" s="275"/>
      <c r="E108" s="275"/>
      <c r="F108" s="275"/>
      <c r="G108" s="275"/>
      <c r="H108" s="275"/>
      <c r="I108" s="275"/>
      <c r="J108" s="275"/>
      <c r="K108" s="275"/>
      <c r="L108" s="275"/>
      <c r="M108" s="275"/>
      <c r="N108" s="275"/>
      <c r="O108" s="275"/>
      <c r="P108" s="275"/>
      <c r="Q108" s="275"/>
      <c r="R108" s="275"/>
      <c r="S108" s="275"/>
      <c r="T108" s="275"/>
      <c r="U108" s="275"/>
      <c r="V108" s="275"/>
      <c r="W108" s="275"/>
      <c r="X108" s="275"/>
      <c r="Y108" s="275"/>
      <c r="Z108" s="275"/>
    </row>
    <row r="109" spans="1:26" ht="15.75" customHeight="1">
      <c r="A109" s="275"/>
      <c r="B109" s="275"/>
      <c r="C109" s="275"/>
      <c r="D109" s="275"/>
      <c r="E109" s="275"/>
      <c r="F109" s="275"/>
      <c r="G109" s="275"/>
      <c r="H109" s="275"/>
      <c r="I109" s="275"/>
      <c r="J109" s="275"/>
      <c r="K109" s="275"/>
      <c r="L109" s="275"/>
      <c r="M109" s="275"/>
      <c r="N109" s="275"/>
      <c r="O109" s="275"/>
      <c r="P109" s="275"/>
      <c r="Q109" s="275"/>
      <c r="R109" s="275"/>
      <c r="S109" s="275"/>
      <c r="T109" s="275"/>
      <c r="U109" s="275"/>
      <c r="V109" s="275"/>
      <c r="W109" s="275"/>
      <c r="X109" s="275"/>
      <c r="Y109" s="275"/>
      <c r="Z109" s="275"/>
    </row>
    <row r="110" spans="1:26" ht="15.75" customHeight="1">
      <c r="A110" s="275"/>
      <c r="B110" s="275"/>
      <c r="C110" s="275"/>
      <c r="D110" s="275"/>
      <c r="E110" s="275"/>
      <c r="F110" s="275"/>
      <c r="G110" s="275"/>
      <c r="H110" s="275"/>
      <c r="I110" s="275"/>
      <c r="J110" s="275"/>
      <c r="K110" s="275"/>
      <c r="L110" s="275"/>
      <c r="M110" s="275"/>
      <c r="N110" s="275"/>
      <c r="O110" s="275"/>
      <c r="P110" s="275"/>
      <c r="Q110" s="275"/>
      <c r="R110" s="275"/>
      <c r="S110" s="275"/>
      <c r="T110" s="275"/>
      <c r="U110" s="275"/>
      <c r="V110" s="275"/>
      <c r="W110" s="275"/>
      <c r="X110" s="275"/>
      <c r="Y110" s="275"/>
      <c r="Z110" s="275"/>
    </row>
    <row r="111" spans="1:26" ht="15.75" customHeight="1">
      <c r="A111" s="275"/>
      <c r="B111" s="275"/>
      <c r="C111" s="275"/>
      <c r="D111" s="275"/>
      <c r="E111" s="275"/>
      <c r="F111" s="275"/>
      <c r="G111" s="275"/>
      <c r="H111" s="275"/>
      <c r="I111" s="275"/>
      <c r="J111" s="275"/>
      <c r="K111" s="275"/>
      <c r="L111" s="275"/>
      <c r="M111" s="275"/>
      <c r="N111" s="275"/>
      <c r="O111" s="275"/>
      <c r="P111" s="275"/>
      <c r="Q111" s="275"/>
      <c r="R111" s="275"/>
      <c r="S111" s="275"/>
      <c r="T111" s="275"/>
      <c r="U111" s="275"/>
      <c r="V111" s="275"/>
      <c r="W111" s="275"/>
      <c r="X111" s="275"/>
      <c r="Y111" s="275"/>
      <c r="Z111" s="275"/>
    </row>
    <row r="112" spans="1:26" ht="15.75" customHeight="1">
      <c r="A112" s="275"/>
      <c r="B112" s="275"/>
      <c r="C112" s="275"/>
      <c r="D112" s="275"/>
      <c r="E112" s="275"/>
      <c r="F112" s="275"/>
      <c r="G112" s="275"/>
      <c r="H112" s="275"/>
      <c r="I112" s="275"/>
      <c r="J112" s="275"/>
      <c r="K112" s="275"/>
      <c r="L112" s="275"/>
      <c r="M112" s="275"/>
      <c r="N112" s="275"/>
      <c r="O112" s="275"/>
      <c r="P112" s="275"/>
      <c r="Q112" s="275"/>
      <c r="R112" s="275"/>
      <c r="S112" s="275"/>
      <c r="T112" s="275"/>
      <c r="U112" s="275"/>
      <c r="V112" s="275"/>
      <c r="W112" s="275"/>
      <c r="X112" s="275"/>
      <c r="Y112" s="275"/>
      <c r="Z112" s="275"/>
    </row>
    <row r="113" spans="1:26" ht="15.75" customHeight="1">
      <c r="A113" s="275"/>
      <c r="B113" s="275"/>
      <c r="C113" s="275"/>
      <c r="D113" s="275"/>
      <c r="E113" s="275"/>
      <c r="F113" s="275"/>
      <c r="G113" s="275"/>
      <c r="H113" s="275"/>
      <c r="I113" s="275"/>
      <c r="J113" s="275"/>
      <c r="K113" s="275"/>
      <c r="L113" s="275"/>
      <c r="M113" s="275"/>
      <c r="N113" s="275"/>
      <c r="O113" s="275"/>
      <c r="P113" s="275"/>
      <c r="Q113" s="275"/>
      <c r="R113" s="275"/>
      <c r="S113" s="275"/>
      <c r="T113" s="275"/>
      <c r="U113" s="275"/>
      <c r="V113" s="275"/>
      <c r="W113" s="275"/>
      <c r="X113" s="275"/>
      <c r="Y113" s="275"/>
      <c r="Z113" s="275"/>
    </row>
    <row r="114" spans="1:26" ht="15.75" customHeight="1">
      <c r="A114" s="275"/>
      <c r="B114" s="275"/>
      <c r="C114" s="275"/>
      <c r="D114" s="275"/>
      <c r="E114" s="275"/>
      <c r="F114" s="275"/>
      <c r="G114" s="275"/>
      <c r="H114" s="275"/>
      <c r="I114" s="275"/>
      <c r="J114" s="275"/>
      <c r="K114" s="275"/>
      <c r="L114" s="275"/>
      <c r="M114" s="275"/>
      <c r="N114" s="275"/>
      <c r="O114" s="275"/>
      <c r="P114" s="275"/>
      <c r="Q114" s="275"/>
      <c r="R114" s="275"/>
      <c r="S114" s="275"/>
      <c r="T114" s="275"/>
      <c r="U114" s="275"/>
      <c r="V114" s="275"/>
      <c r="W114" s="275"/>
      <c r="X114" s="275"/>
      <c r="Y114" s="275"/>
      <c r="Z114" s="275"/>
    </row>
    <row r="115" spans="1:26" ht="15.75" customHeight="1">
      <c r="A115" s="275"/>
      <c r="B115" s="275"/>
      <c r="C115" s="275"/>
      <c r="D115" s="275"/>
      <c r="E115" s="275"/>
      <c r="F115" s="275"/>
      <c r="G115" s="275"/>
      <c r="H115" s="275"/>
      <c r="I115" s="275"/>
      <c r="J115" s="275"/>
      <c r="K115" s="275"/>
      <c r="L115" s="275"/>
      <c r="M115" s="275"/>
      <c r="N115" s="275"/>
      <c r="O115" s="275"/>
      <c r="P115" s="275"/>
      <c r="Q115" s="275"/>
      <c r="R115" s="275"/>
      <c r="S115" s="275"/>
      <c r="T115" s="275"/>
      <c r="U115" s="275"/>
      <c r="V115" s="275"/>
      <c r="W115" s="275"/>
      <c r="X115" s="275"/>
      <c r="Y115" s="275"/>
      <c r="Z115" s="275"/>
    </row>
    <row r="116" spans="1:26" ht="15.75" customHeight="1">
      <c r="A116" s="275"/>
      <c r="B116" s="275"/>
      <c r="C116" s="275"/>
      <c r="D116" s="275"/>
      <c r="E116" s="275"/>
      <c r="F116" s="275"/>
      <c r="G116" s="275"/>
      <c r="H116" s="275"/>
      <c r="I116" s="275"/>
      <c r="J116" s="275"/>
      <c r="K116" s="275"/>
      <c r="L116" s="275"/>
      <c r="M116" s="275"/>
      <c r="N116" s="275"/>
      <c r="O116" s="275"/>
      <c r="P116" s="275"/>
      <c r="Q116" s="275"/>
      <c r="R116" s="275"/>
      <c r="S116" s="275"/>
      <c r="T116" s="275"/>
      <c r="U116" s="275"/>
      <c r="V116" s="275"/>
      <c r="W116" s="275"/>
      <c r="X116" s="275"/>
      <c r="Y116" s="275"/>
      <c r="Z116" s="275"/>
    </row>
    <row r="117" spans="1:26" ht="15.75" customHeight="1">
      <c r="A117" s="275"/>
      <c r="B117" s="275"/>
      <c r="C117" s="275"/>
      <c r="D117" s="275"/>
      <c r="E117" s="275"/>
      <c r="F117" s="275"/>
      <c r="G117" s="275"/>
      <c r="H117" s="275"/>
      <c r="I117" s="275"/>
      <c r="J117" s="275"/>
      <c r="K117" s="275"/>
      <c r="L117" s="275"/>
      <c r="M117" s="275"/>
      <c r="N117" s="275"/>
      <c r="O117" s="275"/>
      <c r="P117" s="275"/>
      <c r="Q117" s="275"/>
      <c r="R117" s="275"/>
      <c r="S117" s="275"/>
      <c r="T117" s="275"/>
      <c r="U117" s="275"/>
      <c r="V117" s="275"/>
      <c r="W117" s="275"/>
      <c r="X117" s="275"/>
      <c r="Y117" s="275"/>
      <c r="Z117" s="275"/>
    </row>
    <row r="118" spans="1:26" ht="15.75" customHeight="1">
      <c r="A118" s="275"/>
      <c r="B118" s="275"/>
      <c r="C118" s="275"/>
      <c r="D118" s="275"/>
      <c r="E118" s="275"/>
      <c r="F118" s="275"/>
      <c r="G118" s="275"/>
      <c r="H118" s="275"/>
      <c r="I118" s="275"/>
      <c r="J118" s="275"/>
      <c r="K118" s="275"/>
      <c r="L118" s="275"/>
      <c r="M118" s="275"/>
      <c r="N118" s="275"/>
      <c r="O118" s="275"/>
      <c r="P118" s="275"/>
      <c r="Q118" s="275"/>
      <c r="R118" s="275"/>
      <c r="S118" s="275"/>
      <c r="T118" s="275"/>
      <c r="U118" s="275"/>
      <c r="V118" s="275"/>
      <c r="W118" s="275"/>
      <c r="X118" s="275"/>
      <c r="Y118" s="275"/>
      <c r="Z118" s="275"/>
    </row>
    <row r="119" spans="1:26" ht="15.75" customHeight="1">
      <c r="A119" s="275"/>
      <c r="B119" s="275"/>
      <c r="C119" s="275"/>
      <c r="D119" s="275"/>
      <c r="E119" s="275"/>
      <c r="F119" s="275"/>
      <c r="G119" s="275"/>
      <c r="H119" s="275"/>
      <c r="I119" s="275"/>
      <c r="J119" s="275"/>
      <c r="K119" s="275"/>
      <c r="L119" s="275"/>
      <c r="M119" s="275"/>
      <c r="N119" s="275"/>
      <c r="O119" s="275"/>
      <c r="P119" s="275"/>
      <c r="Q119" s="275"/>
      <c r="R119" s="275"/>
      <c r="S119" s="275"/>
      <c r="T119" s="275"/>
      <c r="U119" s="275"/>
      <c r="V119" s="275"/>
      <c r="W119" s="275"/>
      <c r="X119" s="275"/>
      <c r="Y119" s="275"/>
      <c r="Z119" s="275"/>
    </row>
    <row r="120" spans="1:26" ht="15.75" customHeight="1">
      <c r="A120" s="275"/>
      <c r="B120" s="275"/>
      <c r="C120" s="275"/>
      <c r="D120" s="275"/>
      <c r="E120" s="275"/>
      <c r="F120" s="275"/>
      <c r="G120" s="275"/>
      <c r="H120" s="275"/>
      <c r="I120" s="275"/>
      <c r="J120" s="275"/>
      <c r="K120" s="275"/>
      <c r="L120" s="275"/>
      <c r="M120" s="275"/>
      <c r="N120" s="275"/>
      <c r="O120" s="275"/>
      <c r="P120" s="275"/>
      <c r="Q120" s="275"/>
      <c r="R120" s="275"/>
      <c r="S120" s="275"/>
      <c r="T120" s="275"/>
      <c r="U120" s="275"/>
      <c r="V120" s="275"/>
      <c r="W120" s="275"/>
      <c r="X120" s="275"/>
      <c r="Y120" s="275"/>
      <c r="Z120" s="275"/>
    </row>
    <row r="121" spans="1:26" ht="15.75" customHeight="1">
      <c r="A121" s="275"/>
      <c r="B121" s="275"/>
      <c r="C121" s="275"/>
      <c r="D121" s="275"/>
      <c r="E121" s="275"/>
      <c r="F121" s="275"/>
      <c r="G121" s="275"/>
      <c r="H121" s="275"/>
      <c r="I121" s="275"/>
      <c r="J121" s="275"/>
      <c r="K121" s="275"/>
      <c r="L121" s="275"/>
      <c r="M121" s="275"/>
      <c r="N121" s="275"/>
      <c r="O121" s="275"/>
      <c r="P121" s="275"/>
      <c r="Q121" s="275"/>
      <c r="R121" s="275"/>
      <c r="S121" s="275"/>
      <c r="T121" s="275"/>
      <c r="U121" s="275"/>
      <c r="V121" s="275"/>
      <c r="W121" s="275"/>
      <c r="X121" s="275"/>
      <c r="Y121" s="275"/>
      <c r="Z121" s="275"/>
    </row>
    <row r="122" spans="1:26" ht="15.75" customHeight="1">
      <c r="A122" s="275"/>
      <c r="B122" s="275"/>
      <c r="C122" s="275"/>
      <c r="D122" s="275"/>
      <c r="E122" s="275"/>
      <c r="F122" s="275"/>
      <c r="G122" s="275"/>
      <c r="H122" s="275"/>
      <c r="I122" s="275"/>
      <c r="J122" s="275"/>
      <c r="K122" s="275"/>
      <c r="L122" s="275"/>
      <c r="M122" s="275"/>
      <c r="N122" s="275"/>
      <c r="O122" s="275"/>
      <c r="P122" s="275"/>
      <c r="Q122" s="275"/>
      <c r="R122" s="275"/>
      <c r="S122" s="275"/>
      <c r="T122" s="275"/>
      <c r="U122" s="275"/>
      <c r="V122" s="275"/>
      <c r="W122" s="275"/>
      <c r="X122" s="275"/>
      <c r="Y122" s="275"/>
      <c r="Z122" s="275"/>
    </row>
    <row r="123" spans="1:26" ht="15.75" customHeight="1">
      <c r="A123" s="275"/>
      <c r="B123" s="275"/>
      <c r="C123" s="275"/>
      <c r="D123" s="275"/>
      <c r="E123" s="275"/>
      <c r="F123" s="275"/>
      <c r="G123" s="275"/>
      <c r="H123" s="275"/>
      <c r="I123" s="275"/>
      <c r="J123" s="275"/>
      <c r="K123" s="275"/>
      <c r="L123" s="275"/>
      <c r="M123" s="275"/>
      <c r="N123" s="275"/>
      <c r="O123" s="275"/>
      <c r="P123" s="275"/>
      <c r="Q123" s="275"/>
      <c r="R123" s="275"/>
      <c r="S123" s="275"/>
      <c r="T123" s="275"/>
      <c r="U123" s="275"/>
      <c r="V123" s="275"/>
      <c r="W123" s="275"/>
      <c r="X123" s="275"/>
      <c r="Y123" s="275"/>
      <c r="Z123" s="275"/>
    </row>
    <row r="124" spans="1:26" ht="15.75" customHeight="1">
      <c r="A124" s="275"/>
      <c r="B124" s="275"/>
      <c r="C124" s="275"/>
      <c r="D124" s="275"/>
      <c r="E124" s="275"/>
      <c r="F124" s="275"/>
      <c r="G124" s="275"/>
      <c r="H124" s="275"/>
      <c r="I124" s="275"/>
      <c r="J124" s="275"/>
      <c r="K124" s="275"/>
      <c r="L124" s="275"/>
      <c r="M124" s="275"/>
      <c r="N124" s="275"/>
      <c r="O124" s="275"/>
      <c r="P124" s="275"/>
      <c r="Q124" s="275"/>
      <c r="R124" s="275"/>
      <c r="S124" s="275"/>
      <c r="T124" s="275"/>
      <c r="U124" s="275"/>
      <c r="V124" s="275"/>
      <c r="W124" s="275"/>
      <c r="X124" s="275"/>
      <c r="Y124" s="275"/>
      <c r="Z124" s="275"/>
    </row>
    <row r="125" spans="1:26" ht="15.75" customHeight="1">
      <c r="A125" s="275"/>
      <c r="B125" s="275"/>
      <c r="C125" s="275"/>
      <c r="D125" s="275"/>
      <c r="E125" s="275"/>
      <c r="F125" s="275"/>
      <c r="G125" s="275"/>
      <c r="H125" s="275"/>
      <c r="I125" s="275"/>
      <c r="J125" s="275"/>
      <c r="K125" s="275"/>
      <c r="L125" s="275"/>
      <c r="M125" s="275"/>
      <c r="N125" s="275"/>
      <c r="O125" s="275"/>
      <c r="P125" s="275"/>
      <c r="Q125" s="275"/>
      <c r="R125" s="275"/>
      <c r="S125" s="275"/>
      <c r="T125" s="275"/>
      <c r="U125" s="275"/>
      <c r="V125" s="275"/>
      <c r="W125" s="275"/>
      <c r="X125" s="275"/>
      <c r="Y125" s="275"/>
      <c r="Z125" s="275"/>
    </row>
    <row r="126" spans="1:26" ht="15.75" customHeight="1">
      <c r="A126" s="275"/>
      <c r="B126" s="275"/>
      <c r="C126" s="275"/>
      <c r="D126" s="275"/>
      <c r="E126" s="275"/>
      <c r="F126" s="275"/>
      <c r="G126" s="275"/>
      <c r="H126" s="275"/>
      <c r="I126" s="275"/>
      <c r="J126" s="275"/>
      <c r="K126" s="275"/>
      <c r="L126" s="275"/>
      <c r="M126" s="275"/>
      <c r="N126" s="275"/>
      <c r="O126" s="275"/>
      <c r="P126" s="275"/>
      <c r="Q126" s="275"/>
      <c r="R126" s="275"/>
      <c r="S126" s="275"/>
      <c r="T126" s="275"/>
      <c r="U126" s="275"/>
      <c r="V126" s="275"/>
      <c r="W126" s="275"/>
      <c r="X126" s="275"/>
      <c r="Y126" s="275"/>
      <c r="Z126" s="275"/>
    </row>
    <row r="127" spans="1:26" ht="15.75" customHeight="1">
      <c r="A127" s="275"/>
      <c r="B127" s="275"/>
      <c r="C127" s="275"/>
      <c r="D127" s="275"/>
      <c r="E127" s="275"/>
      <c r="F127" s="275"/>
      <c r="G127" s="275"/>
      <c r="H127" s="275"/>
      <c r="I127" s="275"/>
      <c r="J127" s="275"/>
      <c r="K127" s="275"/>
      <c r="L127" s="275"/>
      <c r="M127" s="275"/>
      <c r="N127" s="275"/>
      <c r="O127" s="275"/>
      <c r="P127" s="275"/>
      <c r="Q127" s="275"/>
      <c r="R127" s="275"/>
      <c r="S127" s="275"/>
      <c r="T127" s="275"/>
      <c r="U127" s="275"/>
      <c r="V127" s="275"/>
      <c r="W127" s="275"/>
      <c r="X127" s="275"/>
      <c r="Y127" s="275"/>
      <c r="Z127" s="275"/>
    </row>
    <row r="128" spans="1:26" ht="15.75" customHeight="1">
      <c r="A128" s="275"/>
      <c r="B128" s="275"/>
      <c r="C128" s="275"/>
      <c r="D128" s="275"/>
      <c r="E128" s="275"/>
      <c r="F128" s="275"/>
      <c r="G128" s="275"/>
      <c r="H128" s="275"/>
      <c r="I128" s="275"/>
      <c r="J128" s="275"/>
      <c r="K128" s="275"/>
      <c r="L128" s="275"/>
      <c r="M128" s="275"/>
      <c r="N128" s="275"/>
      <c r="O128" s="275"/>
      <c r="P128" s="275"/>
      <c r="Q128" s="275"/>
      <c r="R128" s="275"/>
      <c r="S128" s="275"/>
      <c r="T128" s="275"/>
      <c r="U128" s="275"/>
      <c r="V128" s="275"/>
      <c r="W128" s="275"/>
      <c r="X128" s="275"/>
      <c r="Y128" s="275"/>
      <c r="Z128" s="275"/>
    </row>
    <row r="129" spans="1:26" ht="15.75" customHeight="1">
      <c r="A129" s="275"/>
      <c r="B129" s="275"/>
      <c r="C129" s="275"/>
      <c r="D129" s="275"/>
      <c r="E129" s="275"/>
      <c r="F129" s="275"/>
      <c r="G129" s="275"/>
      <c r="H129" s="275"/>
      <c r="I129" s="275"/>
      <c r="J129" s="275"/>
      <c r="K129" s="275"/>
      <c r="L129" s="275"/>
      <c r="M129" s="275"/>
      <c r="N129" s="275"/>
      <c r="O129" s="275"/>
      <c r="P129" s="275"/>
      <c r="Q129" s="275"/>
      <c r="R129" s="275"/>
      <c r="S129" s="275"/>
      <c r="T129" s="275"/>
      <c r="U129" s="275"/>
      <c r="V129" s="275"/>
      <c r="W129" s="275"/>
      <c r="X129" s="275"/>
      <c r="Y129" s="275"/>
      <c r="Z129" s="275"/>
    </row>
    <row r="130" spans="1:26" ht="15.75" customHeight="1">
      <c r="A130" s="275"/>
      <c r="B130" s="275"/>
      <c r="C130" s="275"/>
      <c r="D130" s="275"/>
      <c r="E130" s="275"/>
      <c r="F130" s="275"/>
      <c r="G130" s="275"/>
      <c r="H130" s="275"/>
      <c r="I130" s="275"/>
      <c r="J130" s="275"/>
      <c r="K130" s="275"/>
      <c r="L130" s="275"/>
      <c r="M130" s="275"/>
      <c r="N130" s="275"/>
      <c r="O130" s="275"/>
      <c r="P130" s="275"/>
      <c r="Q130" s="275"/>
      <c r="R130" s="275"/>
      <c r="S130" s="275"/>
      <c r="T130" s="275"/>
      <c r="U130" s="275"/>
      <c r="V130" s="275"/>
      <c r="W130" s="275"/>
      <c r="X130" s="275"/>
      <c r="Y130" s="275"/>
      <c r="Z130" s="275"/>
    </row>
    <row r="131" spans="1:26" ht="15.75" customHeight="1">
      <c r="A131" s="275"/>
      <c r="B131" s="275"/>
      <c r="C131" s="275"/>
      <c r="D131" s="275"/>
      <c r="E131" s="275"/>
      <c r="F131" s="275"/>
      <c r="G131" s="275"/>
      <c r="H131" s="275"/>
      <c r="I131" s="275"/>
      <c r="J131" s="275"/>
      <c r="K131" s="275"/>
      <c r="L131" s="275"/>
      <c r="M131" s="275"/>
      <c r="N131" s="275"/>
      <c r="O131" s="275"/>
      <c r="P131" s="275"/>
      <c r="Q131" s="275"/>
      <c r="R131" s="275"/>
      <c r="S131" s="275"/>
      <c r="T131" s="275"/>
      <c r="U131" s="275"/>
      <c r="V131" s="275"/>
      <c r="W131" s="275"/>
      <c r="X131" s="275"/>
      <c r="Y131" s="275"/>
      <c r="Z131" s="275"/>
    </row>
    <row r="132" spans="1:26" ht="15.75" customHeight="1">
      <c r="A132" s="275"/>
      <c r="B132" s="275"/>
      <c r="C132" s="275"/>
      <c r="D132" s="275"/>
      <c r="E132" s="275"/>
      <c r="F132" s="275"/>
      <c r="G132" s="275"/>
      <c r="H132" s="275"/>
      <c r="I132" s="275"/>
      <c r="J132" s="275"/>
      <c r="K132" s="275"/>
      <c r="L132" s="275"/>
      <c r="M132" s="275"/>
      <c r="N132" s="275"/>
      <c r="O132" s="275"/>
      <c r="P132" s="275"/>
      <c r="Q132" s="275"/>
      <c r="R132" s="275"/>
      <c r="S132" s="275"/>
      <c r="T132" s="275"/>
      <c r="U132" s="275"/>
      <c r="V132" s="275"/>
      <c r="W132" s="275"/>
      <c r="X132" s="275"/>
      <c r="Y132" s="275"/>
      <c r="Z132" s="275"/>
    </row>
    <row r="133" spans="1:26" ht="15.75" customHeight="1">
      <c r="A133" s="275"/>
      <c r="B133" s="275"/>
      <c r="C133" s="275"/>
      <c r="D133" s="275"/>
      <c r="E133" s="275"/>
      <c r="F133" s="275"/>
      <c r="G133" s="275"/>
      <c r="H133" s="275"/>
      <c r="I133" s="275"/>
      <c r="J133" s="275"/>
      <c r="K133" s="275"/>
      <c r="L133" s="275"/>
      <c r="M133" s="275"/>
      <c r="N133" s="275"/>
      <c r="O133" s="275"/>
      <c r="P133" s="275"/>
      <c r="Q133" s="275"/>
      <c r="R133" s="275"/>
      <c r="S133" s="275"/>
      <c r="T133" s="275"/>
      <c r="U133" s="275"/>
      <c r="V133" s="275"/>
      <c r="W133" s="275"/>
      <c r="X133" s="275"/>
      <c r="Y133" s="275"/>
      <c r="Z133" s="275"/>
    </row>
    <row r="134" spans="1:26" ht="15.75" customHeight="1">
      <c r="A134" s="275"/>
      <c r="B134" s="275"/>
      <c r="C134" s="275"/>
      <c r="D134" s="275"/>
      <c r="E134" s="275"/>
      <c r="F134" s="275"/>
      <c r="G134" s="275"/>
      <c r="H134" s="275"/>
      <c r="I134" s="275"/>
      <c r="J134" s="275"/>
      <c r="K134" s="275"/>
      <c r="L134" s="275"/>
      <c r="M134" s="275"/>
      <c r="N134" s="275"/>
      <c r="O134" s="275"/>
      <c r="P134" s="275"/>
      <c r="Q134" s="275"/>
      <c r="R134" s="275"/>
      <c r="S134" s="275"/>
      <c r="T134" s="275"/>
      <c r="U134" s="275"/>
      <c r="V134" s="275"/>
      <c r="W134" s="275"/>
      <c r="X134" s="275"/>
      <c r="Y134" s="275"/>
      <c r="Z134" s="275"/>
    </row>
    <row r="135" spans="1:26" ht="15.75" customHeight="1">
      <c r="A135" s="275"/>
      <c r="B135" s="275"/>
      <c r="C135" s="275"/>
      <c r="D135" s="275"/>
      <c r="E135" s="275"/>
      <c r="F135" s="275"/>
      <c r="G135" s="275"/>
      <c r="H135" s="275"/>
      <c r="I135" s="275"/>
      <c r="J135" s="275"/>
      <c r="K135" s="275"/>
      <c r="L135" s="275"/>
      <c r="M135" s="275"/>
      <c r="N135" s="275"/>
      <c r="O135" s="275"/>
      <c r="P135" s="275"/>
      <c r="Q135" s="275"/>
      <c r="R135" s="275"/>
      <c r="S135" s="275"/>
      <c r="T135" s="275"/>
      <c r="U135" s="275"/>
      <c r="V135" s="275"/>
      <c r="W135" s="275"/>
      <c r="X135" s="275"/>
      <c r="Y135" s="275"/>
      <c r="Z135" s="275"/>
    </row>
    <row r="136" spans="1:26" ht="15.75" customHeight="1">
      <c r="A136" s="275"/>
      <c r="B136" s="275"/>
      <c r="C136" s="275"/>
      <c r="D136" s="275"/>
      <c r="E136" s="275"/>
      <c r="F136" s="275"/>
      <c r="G136" s="275"/>
      <c r="H136" s="275"/>
      <c r="I136" s="275"/>
      <c r="J136" s="275"/>
      <c r="K136" s="275"/>
      <c r="L136" s="275"/>
      <c r="M136" s="275"/>
      <c r="N136" s="275"/>
      <c r="O136" s="275"/>
      <c r="P136" s="275"/>
      <c r="Q136" s="275"/>
      <c r="R136" s="275"/>
      <c r="S136" s="275"/>
      <c r="T136" s="275"/>
      <c r="U136" s="275"/>
      <c r="V136" s="275"/>
      <c r="W136" s="275"/>
      <c r="X136" s="275"/>
      <c r="Y136" s="275"/>
      <c r="Z136" s="275"/>
    </row>
    <row r="137" spans="1:26" ht="15.75" customHeight="1">
      <c r="A137" s="275"/>
      <c r="B137" s="275"/>
      <c r="C137" s="275"/>
      <c r="D137" s="275"/>
      <c r="E137" s="275"/>
      <c r="F137" s="275"/>
      <c r="G137" s="275"/>
      <c r="H137" s="275"/>
      <c r="I137" s="275"/>
      <c r="J137" s="275"/>
      <c r="K137" s="275"/>
      <c r="L137" s="275"/>
      <c r="M137" s="275"/>
      <c r="N137" s="275"/>
      <c r="O137" s="275"/>
      <c r="P137" s="275"/>
      <c r="Q137" s="275"/>
      <c r="R137" s="275"/>
      <c r="S137" s="275"/>
      <c r="T137" s="275"/>
      <c r="U137" s="275"/>
      <c r="V137" s="275"/>
      <c r="W137" s="275"/>
      <c r="X137" s="275"/>
      <c r="Y137" s="275"/>
      <c r="Z137" s="275"/>
    </row>
    <row r="138" spans="1:26" ht="15.75" customHeight="1">
      <c r="A138" s="275"/>
      <c r="B138" s="275"/>
      <c r="C138" s="275"/>
      <c r="D138" s="275"/>
      <c r="E138" s="275"/>
      <c r="F138" s="275"/>
      <c r="G138" s="275"/>
      <c r="H138" s="275"/>
      <c r="I138" s="275"/>
      <c r="J138" s="275"/>
      <c r="K138" s="275"/>
      <c r="L138" s="275"/>
      <c r="M138" s="275"/>
      <c r="N138" s="275"/>
      <c r="O138" s="275"/>
      <c r="P138" s="275"/>
      <c r="Q138" s="275"/>
      <c r="R138" s="275"/>
      <c r="S138" s="275"/>
      <c r="T138" s="275"/>
      <c r="U138" s="275"/>
      <c r="V138" s="275"/>
      <c r="W138" s="275"/>
      <c r="X138" s="275"/>
      <c r="Y138" s="275"/>
      <c r="Z138" s="275"/>
    </row>
    <row r="139" spans="1:26" ht="15.75" customHeight="1">
      <c r="A139" s="275"/>
      <c r="B139" s="275"/>
      <c r="C139" s="275"/>
      <c r="D139" s="275"/>
      <c r="E139" s="275"/>
      <c r="F139" s="275"/>
      <c r="G139" s="275"/>
      <c r="H139" s="275"/>
      <c r="I139" s="275"/>
      <c r="J139" s="275"/>
      <c r="K139" s="275"/>
      <c r="L139" s="275"/>
      <c r="M139" s="275"/>
      <c r="N139" s="275"/>
      <c r="O139" s="275"/>
      <c r="P139" s="275"/>
      <c r="Q139" s="275"/>
      <c r="R139" s="275"/>
      <c r="S139" s="275"/>
      <c r="T139" s="275"/>
      <c r="U139" s="275"/>
      <c r="V139" s="275"/>
      <c r="W139" s="275"/>
      <c r="X139" s="275"/>
      <c r="Y139" s="275"/>
      <c r="Z139" s="275"/>
    </row>
    <row r="140" spans="1:26" ht="15.75" customHeight="1">
      <c r="A140" s="275"/>
      <c r="B140" s="275"/>
      <c r="C140" s="275"/>
      <c r="D140" s="275"/>
      <c r="E140" s="275"/>
      <c r="F140" s="275"/>
      <c r="G140" s="275"/>
      <c r="H140" s="275"/>
      <c r="I140" s="275"/>
      <c r="J140" s="275"/>
      <c r="K140" s="275"/>
      <c r="L140" s="275"/>
      <c r="M140" s="275"/>
      <c r="N140" s="275"/>
      <c r="O140" s="275"/>
      <c r="P140" s="275"/>
      <c r="Q140" s="275"/>
      <c r="R140" s="275"/>
      <c r="S140" s="275"/>
      <c r="T140" s="275"/>
      <c r="U140" s="275"/>
      <c r="V140" s="275"/>
      <c r="W140" s="275"/>
      <c r="X140" s="275"/>
      <c r="Y140" s="275"/>
      <c r="Z140" s="275"/>
    </row>
    <row r="141" spans="1:26" ht="15.75" customHeight="1">
      <c r="A141" s="275"/>
      <c r="B141" s="275"/>
      <c r="C141" s="275"/>
      <c r="D141" s="275"/>
      <c r="E141" s="275"/>
      <c r="F141" s="275"/>
      <c r="G141" s="275"/>
      <c r="H141" s="275"/>
      <c r="I141" s="275"/>
      <c r="J141" s="275"/>
      <c r="K141" s="275"/>
      <c r="L141" s="275"/>
      <c r="M141" s="275"/>
      <c r="N141" s="275"/>
      <c r="O141" s="275"/>
      <c r="P141" s="275"/>
      <c r="Q141" s="275"/>
      <c r="R141" s="275"/>
      <c r="S141" s="275"/>
      <c r="T141" s="275"/>
      <c r="U141" s="275"/>
      <c r="V141" s="275"/>
      <c r="W141" s="275"/>
      <c r="X141" s="275"/>
      <c r="Y141" s="275"/>
      <c r="Z141" s="275"/>
    </row>
    <row r="142" spans="1:26" ht="15.75" customHeight="1">
      <c r="A142" s="275"/>
      <c r="B142" s="275"/>
      <c r="C142" s="275"/>
      <c r="D142" s="275"/>
      <c r="E142" s="275"/>
      <c r="F142" s="275"/>
      <c r="G142" s="275"/>
      <c r="H142" s="275"/>
      <c r="I142" s="275"/>
      <c r="J142" s="275"/>
      <c r="K142" s="275"/>
      <c r="L142" s="275"/>
      <c r="M142" s="275"/>
      <c r="N142" s="275"/>
      <c r="O142" s="275"/>
      <c r="P142" s="275"/>
      <c r="Q142" s="275"/>
      <c r="R142" s="275"/>
      <c r="S142" s="275"/>
      <c r="T142" s="275"/>
      <c r="U142" s="275"/>
      <c r="V142" s="275"/>
      <c r="W142" s="275"/>
      <c r="X142" s="275"/>
      <c r="Y142" s="275"/>
      <c r="Z142" s="275"/>
    </row>
    <row r="143" spans="1:26" ht="15.75" customHeight="1">
      <c r="A143" s="275"/>
      <c r="B143" s="275"/>
      <c r="C143" s="275"/>
      <c r="D143" s="275"/>
      <c r="E143" s="275"/>
      <c r="F143" s="275"/>
      <c r="G143" s="275"/>
      <c r="H143" s="275"/>
      <c r="I143" s="275"/>
      <c r="J143" s="275"/>
      <c r="K143" s="275"/>
      <c r="L143" s="275"/>
      <c r="M143" s="275"/>
      <c r="N143" s="275"/>
      <c r="O143" s="275"/>
      <c r="P143" s="275"/>
      <c r="Q143" s="275"/>
      <c r="R143" s="275"/>
      <c r="S143" s="275"/>
      <c r="T143" s="275"/>
      <c r="U143" s="275"/>
      <c r="V143" s="275"/>
      <c r="W143" s="275"/>
      <c r="X143" s="275"/>
      <c r="Y143" s="275"/>
      <c r="Z143" s="275"/>
    </row>
    <row r="144" spans="1:26" ht="15.75" customHeight="1">
      <c r="A144" s="275"/>
      <c r="B144" s="275"/>
      <c r="C144" s="275"/>
      <c r="D144" s="275"/>
      <c r="E144" s="275"/>
      <c r="F144" s="275"/>
      <c r="G144" s="275"/>
      <c r="H144" s="275"/>
      <c r="I144" s="275"/>
      <c r="J144" s="275"/>
      <c r="K144" s="275"/>
      <c r="L144" s="275"/>
      <c r="M144" s="275"/>
      <c r="N144" s="275"/>
      <c r="O144" s="275"/>
      <c r="P144" s="275"/>
      <c r="Q144" s="275"/>
      <c r="R144" s="275"/>
      <c r="S144" s="275"/>
      <c r="T144" s="275"/>
      <c r="U144" s="275"/>
      <c r="V144" s="275"/>
      <c r="W144" s="275"/>
      <c r="X144" s="275"/>
      <c r="Y144" s="275"/>
      <c r="Z144" s="275"/>
    </row>
    <row r="145" spans="1:26" ht="15.75" customHeight="1">
      <c r="A145" s="275"/>
      <c r="B145" s="275"/>
      <c r="C145" s="275"/>
      <c r="D145" s="275"/>
      <c r="E145" s="275"/>
      <c r="F145" s="275"/>
      <c r="G145" s="275"/>
      <c r="H145" s="275"/>
      <c r="I145" s="275"/>
      <c r="J145" s="275"/>
      <c r="K145" s="275"/>
      <c r="L145" s="275"/>
      <c r="M145" s="275"/>
      <c r="N145" s="275"/>
      <c r="O145" s="275"/>
      <c r="P145" s="275"/>
      <c r="Q145" s="275"/>
      <c r="R145" s="275"/>
      <c r="S145" s="275"/>
      <c r="T145" s="275"/>
      <c r="U145" s="275"/>
      <c r="V145" s="275"/>
      <c r="W145" s="275"/>
      <c r="X145" s="275"/>
      <c r="Y145" s="275"/>
      <c r="Z145" s="275"/>
    </row>
    <row r="146" spans="1:26" ht="15.75" customHeight="1">
      <c r="A146" s="275"/>
      <c r="B146" s="275"/>
      <c r="C146" s="275"/>
      <c r="D146" s="275"/>
      <c r="E146" s="275"/>
      <c r="F146" s="275"/>
      <c r="G146" s="275"/>
      <c r="H146" s="275"/>
      <c r="I146" s="275"/>
      <c r="J146" s="275"/>
      <c r="K146" s="275"/>
      <c r="L146" s="275"/>
      <c r="M146" s="275"/>
      <c r="N146" s="275"/>
      <c r="O146" s="275"/>
      <c r="P146" s="275"/>
      <c r="Q146" s="275"/>
      <c r="R146" s="275"/>
      <c r="S146" s="275"/>
      <c r="T146" s="275"/>
      <c r="U146" s="275"/>
      <c r="V146" s="275"/>
      <c r="W146" s="275"/>
      <c r="X146" s="275"/>
      <c r="Y146" s="275"/>
      <c r="Z146" s="275"/>
    </row>
    <row r="147" spans="1:26" ht="15.75" customHeight="1">
      <c r="A147" s="275"/>
      <c r="B147" s="275"/>
      <c r="C147" s="275"/>
      <c r="D147" s="275"/>
      <c r="E147" s="275"/>
      <c r="F147" s="275"/>
      <c r="G147" s="275"/>
      <c r="H147" s="275"/>
      <c r="I147" s="275"/>
      <c r="J147" s="275"/>
      <c r="K147" s="275"/>
      <c r="L147" s="275"/>
      <c r="M147" s="275"/>
      <c r="N147" s="275"/>
      <c r="O147" s="275"/>
      <c r="P147" s="275"/>
      <c r="Q147" s="275"/>
      <c r="R147" s="275"/>
      <c r="S147" s="275"/>
      <c r="T147" s="275"/>
      <c r="U147" s="275"/>
      <c r="V147" s="275"/>
      <c r="W147" s="275"/>
      <c r="X147" s="275"/>
      <c r="Y147" s="275"/>
      <c r="Z147" s="275"/>
    </row>
    <row r="148" spans="1:26" ht="15.75" customHeight="1">
      <c r="A148" s="275"/>
      <c r="B148" s="275"/>
      <c r="C148" s="275"/>
      <c r="D148" s="275"/>
      <c r="E148" s="275"/>
      <c r="F148" s="275"/>
      <c r="G148" s="275"/>
      <c r="H148" s="275"/>
      <c r="I148" s="275"/>
      <c r="J148" s="275"/>
      <c r="K148" s="275"/>
      <c r="L148" s="275"/>
      <c r="M148" s="275"/>
      <c r="N148" s="275"/>
      <c r="O148" s="275"/>
      <c r="P148" s="275"/>
      <c r="Q148" s="275"/>
      <c r="R148" s="275"/>
      <c r="S148" s="275"/>
      <c r="T148" s="275"/>
      <c r="U148" s="275"/>
      <c r="V148" s="275"/>
      <c r="W148" s="275"/>
      <c r="X148" s="275"/>
      <c r="Y148" s="275"/>
      <c r="Z148" s="275"/>
    </row>
    <row r="149" spans="1:26" ht="15.75" customHeight="1">
      <c r="A149" s="275"/>
      <c r="B149" s="275"/>
      <c r="C149" s="275"/>
      <c r="D149" s="275"/>
      <c r="E149" s="275"/>
      <c r="F149" s="275"/>
      <c r="G149" s="275"/>
      <c r="H149" s="275"/>
      <c r="I149" s="275"/>
      <c r="J149" s="275"/>
      <c r="K149" s="275"/>
      <c r="L149" s="275"/>
      <c r="M149" s="275"/>
      <c r="N149" s="275"/>
      <c r="O149" s="275"/>
      <c r="P149" s="275"/>
      <c r="Q149" s="275"/>
      <c r="R149" s="275"/>
      <c r="S149" s="275"/>
      <c r="T149" s="275"/>
      <c r="U149" s="275"/>
      <c r="V149" s="275"/>
      <c r="W149" s="275"/>
      <c r="X149" s="275"/>
      <c r="Y149" s="275"/>
      <c r="Z149" s="275"/>
    </row>
    <row r="150" spans="1:26" ht="15.75" customHeight="1">
      <c r="A150" s="275"/>
      <c r="B150" s="275"/>
      <c r="C150" s="275"/>
      <c r="D150" s="275"/>
      <c r="E150" s="275"/>
      <c r="F150" s="275"/>
      <c r="G150" s="275"/>
      <c r="H150" s="275"/>
      <c r="I150" s="275"/>
      <c r="J150" s="275"/>
      <c r="K150" s="275"/>
      <c r="L150" s="275"/>
      <c r="M150" s="275"/>
      <c r="N150" s="275"/>
      <c r="O150" s="275"/>
      <c r="P150" s="275"/>
      <c r="Q150" s="275"/>
      <c r="R150" s="275"/>
      <c r="S150" s="275"/>
      <c r="T150" s="275"/>
      <c r="U150" s="275"/>
      <c r="V150" s="275"/>
      <c r="W150" s="275"/>
      <c r="X150" s="275"/>
      <c r="Y150" s="275"/>
      <c r="Z150" s="275"/>
    </row>
    <row r="151" spans="1:26" ht="15.75" customHeight="1">
      <c r="A151" s="275"/>
      <c r="B151" s="275"/>
      <c r="C151" s="275"/>
      <c r="D151" s="275"/>
      <c r="E151" s="275"/>
      <c r="F151" s="275"/>
      <c r="G151" s="275"/>
      <c r="H151" s="275"/>
      <c r="I151" s="275"/>
      <c r="J151" s="275"/>
      <c r="K151" s="275"/>
      <c r="L151" s="275"/>
      <c r="M151" s="275"/>
      <c r="N151" s="275"/>
      <c r="O151" s="275"/>
      <c r="P151" s="275"/>
      <c r="Q151" s="275"/>
      <c r="R151" s="275"/>
      <c r="S151" s="275"/>
      <c r="T151" s="275"/>
      <c r="U151" s="275"/>
      <c r="V151" s="275"/>
      <c r="W151" s="275"/>
      <c r="X151" s="275"/>
      <c r="Y151" s="275"/>
      <c r="Z151" s="275"/>
    </row>
    <row r="152" spans="1:26" ht="15.75" customHeight="1">
      <c r="A152" s="275"/>
      <c r="B152" s="275"/>
      <c r="C152" s="275"/>
      <c r="D152" s="275"/>
      <c r="E152" s="275"/>
      <c r="F152" s="275"/>
      <c r="G152" s="275"/>
      <c r="H152" s="275"/>
      <c r="I152" s="275"/>
      <c r="J152" s="275"/>
      <c r="K152" s="275"/>
      <c r="L152" s="275"/>
      <c r="M152" s="275"/>
      <c r="N152" s="275"/>
      <c r="O152" s="275"/>
      <c r="P152" s="275"/>
      <c r="Q152" s="275"/>
      <c r="R152" s="275"/>
      <c r="S152" s="275"/>
      <c r="T152" s="275"/>
      <c r="U152" s="275"/>
      <c r="V152" s="275"/>
      <c r="W152" s="275"/>
      <c r="X152" s="275"/>
      <c r="Y152" s="275"/>
      <c r="Z152" s="275"/>
    </row>
    <row r="153" spans="1:26" ht="15.75" customHeight="1">
      <c r="A153" s="275"/>
      <c r="B153" s="275"/>
      <c r="C153" s="275"/>
      <c r="D153" s="275"/>
      <c r="E153" s="275"/>
      <c r="F153" s="275"/>
      <c r="G153" s="275"/>
      <c r="H153" s="275"/>
      <c r="I153" s="275"/>
      <c r="J153" s="275"/>
      <c r="K153" s="275"/>
      <c r="L153" s="275"/>
      <c r="M153" s="275"/>
      <c r="N153" s="275"/>
      <c r="O153" s="275"/>
      <c r="P153" s="275"/>
      <c r="Q153" s="275"/>
      <c r="R153" s="275"/>
      <c r="S153" s="275"/>
      <c r="T153" s="275"/>
      <c r="U153" s="275"/>
      <c r="V153" s="275"/>
      <c r="W153" s="275"/>
      <c r="X153" s="275"/>
      <c r="Y153" s="275"/>
      <c r="Z153" s="275"/>
    </row>
    <row r="154" spans="1:26" ht="15.75" customHeight="1">
      <c r="A154" s="275"/>
      <c r="B154" s="275"/>
      <c r="C154" s="275"/>
      <c r="D154" s="275"/>
      <c r="E154" s="275"/>
      <c r="F154" s="275"/>
      <c r="G154" s="275"/>
      <c r="H154" s="275"/>
      <c r="I154" s="275"/>
      <c r="J154" s="275"/>
      <c r="K154" s="275"/>
      <c r="L154" s="275"/>
      <c r="M154" s="275"/>
      <c r="N154" s="275"/>
      <c r="O154" s="275"/>
      <c r="P154" s="275"/>
      <c r="Q154" s="275"/>
      <c r="R154" s="275"/>
      <c r="S154" s="275"/>
      <c r="T154" s="275"/>
      <c r="U154" s="275"/>
      <c r="V154" s="275"/>
      <c r="W154" s="275"/>
      <c r="X154" s="275"/>
      <c r="Y154" s="275"/>
      <c r="Z154" s="275"/>
    </row>
    <row r="155" spans="1:26" ht="15.75" customHeight="1">
      <c r="A155" s="275"/>
      <c r="B155" s="275"/>
      <c r="C155" s="275"/>
      <c r="D155" s="275"/>
      <c r="E155" s="275"/>
      <c r="F155" s="275"/>
      <c r="G155" s="275"/>
      <c r="H155" s="275"/>
      <c r="I155" s="275"/>
      <c r="J155" s="275"/>
      <c r="K155" s="275"/>
      <c r="L155" s="275"/>
      <c r="M155" s="275"/>
      <c r="N155" s="275"/>
      <c r="O155" s="275"/>
      <c r="P155" s="275"/>
      <c r="Q155" s="275"/>
      <c r="R155" s="275"/>
      <c r="S155" s="275"/>
      <c r="T155" s="275"/>
      <c r="U155" s="275"/>
      <c r="V155" s="275"/>
      <c r="W155" s="275"/>
      <c r="X155" s="275"/>
      <c r="Y155" s="275"/>
      <c r="Z155" s="275"/>
    </row>
    <row r="156" spans="1:26" ht="15.75" customHeight="1">
      <c r="A156" s="275"/>
      <c r="B156" s="275"/>
      <c r="C156" s="275"/>
      <c r="D156" s="275"/>
      <c r="E156" s="275"/>
      <c r="F156" s="275"/>
      <c r="G156" s="275"/>
      <c r="H156" s="275"/>
      <c r="I156" s="275"/>
      <c r="J156" s="275"/>
      <c r="K156" s="275"/>
      <c r="L156" s="275"/>
      <c r="M156" s="275"/>
      <c r="N156" s="275"/>
      <c r="O156" s="275"/>
      <c r="P156" s="275"/>
      <c r="Q156" s="275"/>
      <c r="R156" s="275"/>
      <c r="S156" s="275"/>
      <c r="T156" s="275"/>
      <c r="U156" s="275"/>
      <c r="V156" s="275"/>
      <c r="W156" s="275"/>
      <c r="X156" s="275"/>
      <c r="Y156" s="275"/>
      <c r="Z156" s="275"/>
    </row>
    <row r="157" spans="1:26" ht="15.75" customHeight="1">
      <c r="A157" s="275"/>
      <c r="B157" s="275"/>
      <c r="C157" s="275"/>
      <c r="D157" s="275"/>
      <c r="E157" s="275"/>
      <c r="F157" s="275"/>
      <c r="G157" s="275"/>
      <c r="H157" s="275"/>
      <c r="I157" s="275"/>
      <c r="J157" s="275"/>
      <c r="K157" s="275"/>
      <c r="L157" s="275"/>
      <c r="M157" s="275"/>
      <c r="N157" s="275"/>
      <c r="O157" s="275"/>
      <c r="P157" s="275"/>
      <c r="Q157" s="275"/>
      <c r="R157" s="275"/>
      <c r="S157" s="275"/>
      <c r="T157" s="275"/>
      <c r="U157" s="275"/>
      <c r="V157" s="275"/>
      <c r="W157" s="275"/>
      <c r="X157" s="275"/>
      <c r="Y157" s="275"/>
      <c r="Z157" s="275"/>
    </row>
    <row r="158" spans="1:26" ht="15.75" customHeight="1">
      <c r="A158" s="275"/>
      <c r="B158" s="275"/>
      <c r="C158" s="275"/>
      <c r="D158" s="275"/>
      <c r="E158" s="275"/>
      <c r="F158" s="275"/>
      <c r="G158" s="275"/>
      <c r="H158" s="275"/>
      <c r="I158" s="275"/>
      <c r="J158" s="275"/>
      <c r="K158" s="275"/>
      <c r="L158" s="275"/>
      <c r="M158" s="275"/>
      <c r="N158" s="275"/>
      <c r="O158" s="275"/>
      <c r="P158" s="275"/>
      <c r="Q158" s="275"/>
      <c r="R158" s="275"/>
      <c r="S158" s="275"/>
      <c r="T158" s="275"/>
      <c r="U158" s="275"/>
      <c r="V158" s="275"/>
      <c r="W158" s="275"/>
      <c r="X158" s="275"/>
      <c r="Y158" s="275"/>
      <c r="Z158" s="275"/>
    </row>
    <row r="159" spans="1:26" ht="15.75" customHeight="1">
      <c r="A159" s="275"/>
      <c r="B159" s="275"/>
      <c r="C159" s="275"/>
      <c r="D159" s="275"/>
      <c r="E159" s="275"/>
      <c r="F159" s="275"/>
      <c r="G159" s="275"/>
      <c r="H159" s="275"/>
      <c r="I159" s="275"/>
      <c r="J159" s="275"/>
      <c r="K159" s="275"/>
      <c r="L159" s="275"/>
      <c r="M159" s="275"/>
      <c r="N159" s="275"/>
      <c r="O159" s="275"/>
      <c r="P159" s="275"/>
      <c r="Q159" s="275"/>
      <c r="R159" s="275"/>
      <c r="S159" s="275"/>
      <c r="T159" s="275"/>
      <c r="U159" s="275"/>
      <c r="V159" s="275"/>
      <c r="W159" s="275"/>
      <c r="X159" s="275"/>
      <c r="Y159" s="275"/>
      <c r="Z159" s="275"/>
    </row>
    <row r="160" spans="1:26" ht="15.75" customHeight="1">
      <c r="A160" s="275"/>
      <c r="B160" s="275"/>
      <c r="C160" s="275"/>
      <c r="D160" s="275"/>
      <c r="E160" s="275"/>
      <c r="F160" s="275"/>
      <c r="G160" s="275"/>
      <c r="H160" s="275"/>
      <c r="I160" s="275"/>
      <c r="J160" s="275"/>
      <c r="K160" s="275"/>
      <c r="L160" s="275"/>
      <c r="M160" s="275"/>
      <c r="N160" s="275"/>
      <c r="O160" s="275"/>
      <c r="P160" s="275"/>
      <c r="Q160" s="275"/>
      <c r="R160" s="275"/>
      <c r="S160" s="275"/>
      <c r="T160" s="275"/>
      <c r="U160" s="275"/>
      <c r="V160" s="275"/>
      <c r="W160" s="275"/>
      <c r="X160" s="275"/>
      <c r="Y160" s="275"/>
      <c r="Z160" s="275"/>
    </row>
    <row r="161" spans="1:26" ht="15.75" customHeight="1">
      <c r="A161" s="275"/>
      <c r="B161" s="275"/>
      <c r="C161" s="275"/>
      <c r="D161" s="275"/>
      <c r="E161" s="275"/>
      <c r="F161" s="275"/>
      <c r="G161" s="275"/>
      <c r="H161" s="275"/>
      <c r="I161" s="275"/>
      <c r="J161" s="275"/>
      <c r="K161" s="275"/>
      <c r="L161" s="275"/>
      <c r="M161" s="275"/>
      <c r="N161" s="275"/>
      <c r="O161" s="275"/>
      <c r="P161" s="275"/>
      <c r="Q161" s="275"/>
      <c r="R161" s="275"/>
      <c r="S161" s="275"/>
      <c r="T161" s="275"/>
      <c r="U161" s="275"/>
      <c r="V161" s="275"/>
      <c r="W161" s="275"/>
      <c r="X161" s="275"/>
      <c r="Y161" s="275"/>
      <c r="Z161" s="275"/>
    </row>
    <row r="162" spans="1:26" ht="15.75" customHeight="1">
      <c r="A162" s="275"/>
      <c r="B162" s="275"/>
      <c r="C162" s="275"/>
      <c r="D162" s="275"/>
      <c r="E162" s="275"/>
      <c r="F162" s="275"/>
      <c r="G162" s="275"/>
      <c r="H162" s="275"/>
      <c r="I162" s="275"/>
      <c r="J162" s="275"/>
      <c r="K162" s="275"/>
      <c r="L162" s="275"/>
      <c r="M162" s="275"/>
      <c r="N162" s="275"/>
      <c r="O162" s="275"/>
      <c r="P162" s="275"/>
      <c r="Q162" s="275"/>
      <c r="R162" s="275"/>
      <c r="S162" s="275"/>
      <c r="T162" s="275"/>
      <c r="U162" s="275"/>
      <c r="V162" s="275"/>
      <c r="W162" s="275"/>
      <c r="X162" s="275"/>
      <c r="Y162" s="275"/>
      <c r="Z162" s="275"/>
    </row>
    <row r="163" spans="1:26" ht="15.75" customHeight="1">
      <c r="A163" s="275"/>
      <c r="B163" s="275"/>
      <c r="C163" s="275"/>
      <c r="D163" s="275"/>
      <c r="E163" s="275"/>
      <c r="F163" s="275"/>
      <c r="G163" s="275"/>
      <c r="H163" s="275"/>
      <c r="I163" s="275"/>
      <c r="J163" s="275"/>
      <c r="K163" s="275"/>
      <c r="L163" s="275"/>
      <c r="M163" s="275"/>
      <c r="N163" s="275"/>
      <c r="O163" s="275"/>
      <c r="P163" s="275"/>
      <c r="Q163" s="275"/>
      <c r="R163" s="275"/>
      <c r="S163" s="275"/>
      <c r="T163" s="275"/>
      <c r="U163" s="275"/>
      <c r="V163" s="275"/>
      <c r="W163" s="275"/>
      <c r="X163" s="275"/>
      <c r="Y163" s="275"/>
      <c r="Z163" s="275"/>
    </row>
    <row r="164" spans="1:26" ht="15.75" customHeight="1">
      <c r="A164" s="275"/>
      <c r="B164" s="275"/>
      <c r="C164" s="275"/>
      <c r="D164" s="275"/>
      <c r="E164" s="275"/>
      <c r="F164" s="275"/>
      <c r="G164" s="275"/>
      <c r="H164" s="275"/>
      <c r="I164" s="275"/>
      <c r="J164" s="275"/>
      <c r="K164" s="275"/>
      <c r="L164" s="275"/>
      <c r="M164" s="275"/>
      <c r="N164" s="275"/>
      <c r="O164" s="275"/>
      <c r="P164" s="275"/>
      <c r="Q164" s="275"/>
      <c r="R164" s="275"/>
      <c r="S164" s="275"/>
      <c r="T164" s="275"/>
      <c r="U164" s="275"/>
      <c r="V164" s="275"/>
      <c r="W164" s="275"/>
      <c r="X164" s="275"/>
      <c r="Y164" s="275"/>
      <c r="Z164" s="275"/>
    </row>
    <row r="165" spans="1:26" ht="15.75" customHeight="1">
      <c r="A165" s="275"/>
      <c r="B165" s="275"/>
      <c r="C165" s="275"/>
      <c r="D165" s="275"/>
      <c r="E165" s="275"/>
      <c r="F165" s="275"/>
      <c r="G165" s="275"/>
      <c r="H165" s="275"/>
      <c r="I165" s="275"/>
      <c r="J165" s="275"/>
      <c r="K165" s="275"/>
      <c r="L165" s="275"/>
      <c r="M165" s="275"/>
      <c r="N165" s="275"/>
      <c r="O165" s="275"/>
      <c r="P165" s="275"/>
      <c r="Q165" s="275"/>
      <c r="R165" s="275"/>
      <c r="S165" s="275"/>
      <c r="T165" s="275"/>
      <c r="U165" s="275"/>
      <c r="V165" s="275"/>
      <c r="W165" s="275"/>
      <c r="X165" s="275"/>
      <c r="Y165" s="275"/>
      <c r="Z165" s="275"/>
    </row>
    <row r="166" spans="1:26" ht="15.75" customHeight="1">
      <c r="A166" s="275"/>
      <c r="B166" s="275"/>
      <c r="C166" s="275"/>
      <c r="D166" s="275"/>
      <c r="E166" s="275"/>
      <c r="F166" s="275"/>
      <c r="G166" s="275"/>
      <c r="H166" s="275"/>
      <c r="I166" s="275"/>
      <c r="J166" s="275"/>
      <c r="K166" s="275"/>
      <c r="L166" s="275"/>
      <c r="M166" s="275"/>
      <c r="N166" s="275"/>
      <c r="O166" s="275"/>
      <c r="P166" s="275"/>
      <c r="Q166" s="275"/>
      <c r="R166" s="275"/>
      <c r="S166" s="275"/>
      <c r="T166" s="275"/>
      <c r="U166" s="275"/>
      <c r="V166" s="275"/>
      <c r="W166" s="275"/>
      <c r="X166" s="275"/>
      <c r="Y166" s="275"/>
      <c r="Z166" s="275"/>
    </row>
    <row r="167" spans="1:26" ht="15.75" customHeight="1">
      <c r="A167" s="275"/>
      <c r="B167" s="275"/>
      <c r="C167" s="275"/>
      <c r="D167" s="275"/>
      <c r="E167" s="275"/>
      <c r="F167" s="275"/>
      <c r="G167" s="275"/>
      <c r="H167" s="275"/>
      <c r="I167" s="275"/>
      <c r="J167" s="275"/>
      <c r="K167" s="275"/>
      <c r="L167" s="275"/>
      <c r="M167" s="275"/>
      <c r="N167" s="275"/>
      <c r="O167" s="275"/>
      <c r="P167" s="275"/>
      <c r="Q167" s="275"/>
      <c r="R167" s="275"/>
      <c r="S167" s="275"/>
      <c r="T167" s="275"/>
      <c r="U167" s="275"/>
      <c r="V167" s="275"/>
      <c r="W167" s="275"/>
      <c r="X167" s="275"/>
      <c r="Y167" s="275"/>
      <c r="Z167" s="275"/>
    </row>
    <row r="168" spans="1:26" ht="15.75" customHeight="1">
      <c r="A168" s="275"/>
      <c r="B168" s="275"/>
      <c r="C168" s="275"/>
      <c r="D168" s="275"/>
      <c r="E168" s="275"/>
      <c r="F168" s="275"/>
      <c r="G168" s="275"/>
      <c r="H168" s="275"/>
      <c r="I168" s="275"/>
      <c r="J168" s="275"/>
      <c r="K168" s="275"/>
      <c r="L168" s="275"/>
      <c r="M168" s="275"/>
      <c r="N168" s="275"/>
      <c r="O168" s="275"/>
      <c r="P168" s="275"/>
      <c r="Q168" s="275"/>
      <c r="R168" s="275"/>
      <c r="S168" s="275"/>
      <c r="T168" s="275"/>
      <c r="U168" s="275"/>
      <c r="V168" s="275"/>
      <c r="W168" s="275"/>
      <c r="X168" s="275"/>
      <c r="Y168" s="275"/>
      <c r="Z168" s="275"/>
    </row>
    <row r="169" spans="1:26" ht="15.75" customHeight="1">
      <c r="A169" s="275"/>
      <c r="B169" s="275"/>
      <c r="C169" s="275"/>
      <c r="D169" s="275"/>
      <c r="E169" s="275"/>
      <c r="F169" s="275"/>
      <c r="G169" s="275"/>
      <c r="H169" s="275"/>
      <c r="I169" s="275"/>
      <c r="J169" s="275"/>
      <c r="K169" s="275"/>
      <c r="L169" s="275"/>
      <c r="M169" s="275"/>
      <c r="N169" s="275"/>
      <c r="O169" s="275"/>
      <c r="P169" s="275"/>
      <c r="Q169" s="275"/>
      <c r="R169" s="275"/>
      <c r="S169" s="275"/>
      <c r="T169" s="275"/>
      <c r="U169" s="275"/>
      <c r="V169" s="275"/>
      <c r="W169" s="275"/>
      <c r="X169" s="275"/>
      <c r="Y169" s="275"/>
      <c r="Z169" s="275"/>
    </row>
    <row r="170" spans="1:26" ht="15.75" customHeight="1">
      <c r="A170" s="275"/>
      <c r="B170" s="275"/>
      <c r="C170" s="275"/>
      <c r="D170" s="275"/>
      <c r="E170" s="275"/>
      <c r="F170" s="275"/>
      <c r="G170" s="275"/>
      <c r="H170" s="275"/>
      <c r="I170" s="275"/>
      <c r="J170" s="275"/>
      <c r="K170" s="275"/>
      <c r="L170" s="275"/>
      <c r="M170" s="275"/>
      <c r="N170" s="275"/>
      <c r="O170" s="275"/>
      <c r="P170" s="275"/>
      <c r="Q170" s="275"/>
      <c r="R170" s="275"/>
      <c r="S170" s="275"/>
      <c r="T170" s="275"/>
      <c r="U170" s="275"/>
      <c r="V170" s="275"/>
      <c r="W170" s="275"/>
      <c r="X170" s="275"/>
      <c r="Y170" s="275"/>
      <c r="Z170" s="275"/>
    </row>
    <row r="171" spans="1:26" ht="15.75" customHeight="1">
      <c r="A171" s="275"/>
      <c r="B171" s="275"/>
      <c r="C171" s="275"/>
      <c r="D171" s="275"/>
      <c r="E171" s="275"/>
      <c r="F171" s="275"/>
      <c r="G171" s="275"/>
      <c r="H171" s="275"/>
      <c r="I171" s="275"/>
      <c r="J171" s="275"/>
      <c r="K171" s="275"/>
      <c r="L171" s="275"/>
      <c r="M171" s="275"/>
      <c r="N171" s="275"/>
      <c r="O171" s="275"/>
      <c r="P171" s="275"/>
      <c r="Q171" s="275"/>
      <c r="R171" s="275"/>
      <c r="S171" s="275"/>
      <c r="T171" s="275"/>
      <c r="U171" s="275"/>
      <c r="V171" s="275"/>
      <c r="W171" s="275"/>
      <c r="X171" s="275"/>
      <c r="Y171" s="275"/>
      <c r="Z171" s="275"/>
    </row>
    <row r="172" spans="1:26" ht="15.75" customHeight="1">
      <c r="A172" s="275"/>
      <c r="B172" s="275"/>
      <c r="C172" s="275"/>
      <c r="D172" s="275"/>
      <c r="E172" s="275"/>
      <c r="F172" s="275"/>
      <c r="G172" s="275"/>
      <c r="H172" s="275"/>
      <c r="I172" s="275"/>
      <c r="J172" s="275"/>
      <c r="K172" s="275"/>
      <c r="L172" s="275"/>
      <c r="M172" s="275"/>
      <c r="N172" s="275"/>
      <c r="O172" s="275"/>
      <c r="P172" s="275"/>
      <c r="Q172" s="275"/>
      <c r="R172" s="275"/>
      <c r="S172" s="275"/>
      <c r="T172" s="275"/>
      <c r="U172" s="275"/>
      <c r="V172" s="275"/>
      <c r="W172" s="275"/>
      <c r="X172" s="275"/>
      <c r="Y172" s="275"/>
      <c r="Z172" s="275"/>
    </row>
    <row r="173" spans="1:26" ht="15.75" customHeight="1">
      <c r="A173" s="275"/>
      <c r="B173" s="275"/>
      <c r="C173" s="275"/>
      <c r="D173" s="275"/>
      <c r="E173" s="275"/>
      <c r="F173" s="275"/>
      <c r="G173" s="275"/>
      <c r="H173" s="275"/>
      <c r="I173" s="275"/>
      <c r="J173" s="275"/>
      <c r="K173" s="275"/>
      <c r="L173" s="275"/>
      <c r="M173" s="275"/>
      <c r="N173" s="275"/>
      <c r="O173" s="275"/>
      <c r="P173" s="275"/>
      <c r="Q173" s="275"/>
      <c r="R173" s="275"/>
      <c r="S173" s="275"/>
      <c r="T173" s="275"/>
      <c r="U173" s="275"/>
      <c r="V173" s="275"/>
      <c r="W173" s="275"/>
      <c r="X173" s="275"/>
      <c r="Y173" s="275"/>
      <c r="Z173" s="275"/>
    </row>
    <row r="174" spans="1:26" ht="15.75" customHeight="1">
      <c r="A174" s="275"/>
      <c r="B174" s="275"/>
      <c r="C174" s="275"/>
      <c r="D174" s="275"/>
      <c r="E174" s="275"/>
      <c r="F174" s="275"/>
      <c r="G174" s="275"/>
      <c r="H174" s="275"/>
      <c r="I174" s="275"/>
      <c r="J174" s="275"/>
      <c r="K174" s="275"/>
      <c r="L174" s="275"/>
      <c r="M174" s="275"/>
      <c r="N174" s="275"/>
      <c r="O174" s="275"/>
      <c r="P174" s="275"/>
      <c r="Q174" s="275"/>
      <c r="R174" s="275"/>
      <c r="S174" s="275"/>
      <c r="T174" s="275"/>
      <c r="U174" s="275"/>
      <c r="V174" s="275"/>
      <c r="W174" s="275"/>
      <c r="X174" s="275"/>
      <c r="Y174" s="275"/>
      <c r="Z174" s="275"/>
    </row>
    <row r="175" spans="1:26" ht="15.75" customHeight="1">
      <c r="A175" s="275"/>
      <c r="B175" s="275"/>
      <c r="C175" s="275"/>
      <c r="D175" s="275"/>
      <c r="E175" s="275"/>
      <c r="F175" s="275"/>
      <c r="G175" s="275"/>
      <c r="H175" s="275"/>
      <c r="I175" s="275"/>
      <c r="J175" s="275"/>
      <c r="K175" s="275"/>
      <c r="L175" s="275"/>
      <c r="M175" s="275"/>
      <c r="N175" s="275"/>
      <c r="O175" s="275"/>
      <c r="P175" s="275"/>
      <c r="Q175" s="275"/>
      <c r="R175" s="275"/>
      <c r="S175" s="275"/>
      <c r="T175" s="275"/>
      <c r="U175" s="275"/>
      <c r="V175" s="275"/>
      <c r="W175" s="275"/>
      <c r="X175" s="275"/>
      <c r="Y175" s="275"/>
      <c r="Z175" s="275"/>
    </row>
    <row r="176" spans="1:26" ht="15.75" customHeight="1">
      <c r="A176" s="275"/>
      <c r="B176" s="275"/>
      <c r="C176" s="275"/>
      <c r="D176" s="275"/>
      <c r="E176" s="275"/>
      <c r="F176" s="275"/>
      <c r="G176" s="275"/>
      <c r="H176" s="275"/>
      <c r="I176" s="275"/>
      <c r="J176" s="275"/>
      <c r="K176" s="275"/>
      <c r="L176" s="275"/>
      <c r="M176" s="275"/>
      <c r="N176" s="275"/>
      <c r="O176" s="275"/>
      <c r="P176" s="275"/>
      <c r="Q176" s="275"/>
      <c r="R176" s="275"/>
      <c r="S176" s="275"/>
      <c r="T176" s="275"/>
      <c r="U176" s="275"/>
      <c r="V176" s="275"/>
      <c r="W176" s="275"/>
      <c r="X176" s="275"/>
      <c r="Y176" s="275"/>
      <c r="Z176" s="275"/>
    </row>
    <row r="177" spans="1:26" ht="15.75" customHeight="1">
      <c r="A177" s="275"/>
      <c r="B177" s="275"/>
      <c r="C177" s="275"/>
      <c r="D177" s="275"/>
      <c r="E177" s="275"/>
      <c r="F177" s="275"/>
      <c r="G177" s="275"/>
      <c r="H177" s="275"/>
      <c r="I177" s="275"/>
      <c r="J177" s="275"/>
      <c r="K177" s="275"/>
      <c r="L177" s="275"/>
      <c r="M177" s="275"/>
      <c r="N177" s="275"/>
      <c r="O177" s="275"/>
      <c r="P177" s="275"/>
      <c r="Q177" s="275"/>
      <c r="R177" s="275"/>
      <c r="S177" s="275"/>
      <c r="T177" s="275"/>
      <c r="U177" s="275"/>
      <c r="V177" s="275"/>
      <c r="W177" s="275"/>
      <c r="X177" s="275"/>
      <c r="Y177" s="275"/>
      <c r="Z177" s="275"/>
    </row>
    <row r="178" spans="1:26" ht="15.75" customHeight="1">
      <c r="A178" s="275"/>
      <c r="B178" s="275"/>
      <c r="C178" s="275"/>
      <c r="D178" s="275"/>
      <c r="E178" s="275"/>
      <c r="F178" s="275"/>
      <c r="G178" s="275"/>
      <c r="H178" s="275"/>
      <c r="I178" s="275"/>
      <c r="J178" s="275"/>
      <c r="K178" s="275"/>
      <c r="L178" s="275"/>
      <c r="M178" s="275"/>
      <c r="N178" s="275"/>
      <c r="O178" s="275"/>
      <c r="P178" s="275"/>
      <c r="Q178" s="275"/>
      <c r="R178" s="275"/>
      <c r="S178" s="275"/>
      <c r="T178" s="275"/>
      <c r="U178" s="275"/>
      <c r="V178" s="275"/>
      <c r="W178" s="275"/>
      <c r="X178" s="275"/>
      <c r="Y178" s="275"/>
      <c r="Z178" s="275"/>
    </row>
    <row r="179" spans="1:26" ht="15.75" customHeight="1">
      <c r="A179" s="275"/>
      <c r="B179" s="275"/>
      <c r="C179" s="275"/>
      <c r="D179" s="275"/>
      <c r="E179" s="275"/>
      <c r="F179" s="275"/>
      <c r="G179" s="275"/>
      <c r="H179" s="275"/>
      <c r="I179" s="275"/>
      <c r="J179" s="275"/>
      <c r="K179" s="275"/>
      <c r="L179" s="275"/>
      <c r="M179" s="275"/>
      <c r="N179" s="275"/>
      <c r="O179" s="275"/>
      <c r="P179" s="275"/>
      <c r="Q179" s="275"/>
      <c r="R179" s="275"/>
      <c r="S179" s="275"/>
      <c r="T179" s="275"/>
      <c r="U179" s="275"/>
      <c r="V179" s="275"/>
      <c r="W179" s="275"/>
      <c r="X179" s="275"/>
      <c r="Y179" s="275"/>
      <c r="Z179" s="275"/>
    </row>
    <row r="180" spans="1:26" ht="15.75" customHeight="1">
      <c r="A180" s="275"/>
      <c r="B180" s="275"/>
      <c r="C180" s="275"/>
      <c r="D180" s="275"/>
      <c r="E180" s="275"/>
      <c r="F180" s="275"/>
      <c r="G180" s="275"/>
      <c r="H180" s="275"/>
      <c r="I180" s="275"/>
      <c r="J180" s="275"/>
      <c r="K180" s="275"/>
      <c r="L180" s="275"/>
      <c r="M180" s="275"/>
      <c r="N180" s="275"/>
      <c r="O180" s="275"/>
      <c r="P180" s="275"/>
      <c r="Q180" s="275"/>
      <c r="R180" s="275"/>
      <c r="S180" s="275"/>
      <c r="T180" s="275"/>
      <c r="U180" s="275"/>
      <c r="V180" s="275"/>
      <c r="W180" s="275"/>
      <c r="X180" s="275"/>
      <c r="Y180" s="275"/>
      <c r="Z180" s="275"/>
    </row>
    <row r="181" spans="1:26" ht="15.75" customHeight="1">
      <c r="A181" s="275"/>
      <c r="B181" s="275"/>
      <c r="C181" s="275"/>
      <c r="D181" s="275"/>
      <c r="E181" s="275"/>
      <c r="F181" s="275"/>
      <c r="G181" s="275"/>
      <c r="H181" s="275"/>
      <c r="I181" s="275"/>
      <c r="J181" s="275"/>
      <c r="K181" s="275"/>
      <c r="L181" s="275"/>
      <c r="M181" s="275"/>
      <c r="N181" s="275"/>
      <c r="O181" s="275"/>
      <c r="P181" s="275"/>
      <c r="Q181" s="275"/>
      <c r="R181" s="275"/>
      <c r="S181" s="275"/>
      <c r="T181" s="275"/>
      <c r="U181" s="275"/>
      <c r="V181" s="275"/>
      <c r="W181" s="275"/>
      <c r="X181" s="275"/>
      <c r="Y181" s="275"/>
      <c r="Z181" s="275"/>
    </row>
    <row r="182" spans="1:26" ht="15.75" customHeight="1">
      <c r="A182" s="275"/>
      <c r="B182" s="275"/>
      <c r="C182" s="275"/>
      <c r="D182" s="275"/>
      <c r="E182" s="275"/>
      <c r="F182" s="275"/>
      <c r="G182" s="275"/>
      <c r="H182" s="275"/>
      <c r="I182" s="275"/>
      <c r="J182" s="275"/>
      <c r="K182" s="275"/>
      <c r="L182" s="275"/>
      <c r="M182" s="275"/>
      <c r="N182" s="275"/>
      <c r="O182" s="275"/>
      <c r="P182" s="275"/>
      <c r="Q182" s="275"/>
      <c r="R182" s="275"/>
      <c r="S182" s="275"/>
      <c r="T182" s="275"/>
      <c r="U182" s="275"/>
      <c r="V182" s="275"/>
      <c r="W182" s="275"/>
      <c r="X182" s="275"/>
      <c r="Y182" s="275"/>
      <c r="Z182" s="275"/>
    </row>
    <row r="183" spans="1:26" ht="15.75" customHeight="1">
      <c r="A183" s="275"/>
      <c r="B183" s="275"/>
      <c r="C183" s="275"/>
      <c r="D183" s="275"/>
      <c r="E183" s="275"/>
      <c r="F183" s="275"/>
      <c r="G183" s="275"/>
      <c r="H183" s="275"/>
      <c r="I183" s="275"/>
      <c r="J183" s="275"/>
      <c r="K183" s="275"/>
      <c r="L183" s="275"/>
      <c r="M183" s="275"/>
      <c r="N183" s="275"/>
      <c r="O183" s="275"/>
      <c r="P183" s="275"/>
      <c r="Q183" s="275"/>
      <c r="R183" s="275"/>
      <c r="S183" s="275"/>
      <c r="T183" s="275"/>
      <c r="U183" s="275"/>
      <c r="V183" s="275"/>
      <c r="W183" s="275"/>
      <c r="X183" s="275"/>
      <c r="Y183" s="275"/>
      <c r="Z183" s="275"/>
    </row>
    <row r="184" spans="1:26" ht="15.75" customHeight="1">
      <c r="A184" s="275"/>
      <c r="B184" s="275"/>
      <c r="C184" s="275"/>
      <c r="D184" s="275"/>
      <c r="E184" s="275"/>
      <c r="F184" s="275"/>
      <c r="G184" s="275"/>
      <c r="H184" s="275"/>
      <c r="I184" s="275"/>
      <c r="J184" s="275"/>
      <c r="K184" s="275"/>
      <c r="L184" s="275"/>
      <c r="M184" s="275"/>
      <c r="N184" s="275"/>
      <c r="O184" s="275"/>
      <c r="P184" s="275"/>
      <c r="Q184" s="275"/>
      <c r="R184" s="275"/>
      <c r="S184" s="275"/>
      <c r="T184" s="275"/>
      <c r="U184" s="275"/>
      <c r="V184" s="275"/>
      <c r="W184" s="275"/>
      <c r="X184" s="275"/>
      <c r="Y184" s="275"/>
      <c r="Z184" s="275"/>
    </row>
    <row r="185" spans="1:26" ht="15.75" customHeight="1">
      <c r="A185" s="275"/>
      <c r="B185" s="275"/>
      <c r="C185" s="275"/>
      <c r="D185" s="275"/>
      <c r="E185" s="275"/>
      <c r="F185" s="275"/>
      <c r="G185" s="275"/>
      <c r="H185" s="275"/>
      <c r="I185" s="275"/>
      <c r="J185" s="275"/>
      <c r="K185" s="275"/>
      <c r="L185" s="275"/>
      <c r="M185" s="275"/>
      <c r="N185" s="275"/>
      <c r="O185" s="275"/>
      <c r="P185" s="275"/>
      <c r="Q185" s="275"/>
      <c r="R185" s="275"/>
      <c r="S185" s="275"/>
      <c r="T185" s="275"/>
      <c r="U185" s="275"/>
      <c r="V185" s="275"/>
      <c r="W185" s="275"/>
      <c r="X185" s="275"/>
      <c r="Y185" s="275"/>
      <c r="Z185" s="275"/>
    </row>
    <row r="186" spans="1:26" ht="15.75" customHeight="1">
      <c r="A186" s="275"/>
      <c r="B186" s="275"/>
      <c r="C186" s="275"/>
      <c r="D186" s="275"/>
      <c r="E186" s="275"/>
      <c r="F186" s="275"/>
      <c r="G186" s="275"/>
      <c r="H186" s="275"/>
      <c r="I186" s="275"/>
      <c r="J186" s="275"/>
      <c r="K186" s="275"/>
      <c r="L186" s="275"/>
      <c r="M186" s="275"/>
      <c r="N186" s="275"/>
      <c r="O186" s="275"/>
      <c r="P186" s="275"/>
      <c r="Q186" s="275"/>
      <c r="R186" s="275"/>
      <c r="S186" s="275"/>
      <c r="T186" s="275"/>
      <c r="U186" s="275"/>
      <c r="V186" s="275"/>
      <c r="W186" s="275"/>
      <c r="X186" s="275"/>
      <c r="Y186" s="275"/>
      <c r="Z186" s="275"/>
    </row>
    <row r="187" spans="1:26" ht="15.75" customHeight="1">
      <c r="A187" s="275"/>
      <c r="B187" s="275"/>
      <c r="C187" s="275"/>
      <c r="D187" s="275"/>
      <c r="E187" s="275"/>
      <c r="F187" s="275"/>
      <c r="G187" s="275"/>
      <c r="H187" s="275"/>
      <c r="I187" s="275"/>
      <c r="J187" s="275"/>
      <c r="K187" s="275"/>
      <c r="L187" s="275"/>
      <c r="M187" s="275"/>
      <c r="N187" s="275"/>
      <c r="O187" s="275"/>
      <c r="P187" s="275"/>
      <c r="Q187" s="275"/>
      <c r="R187" s="275"/>
      <c r="S187" s="275"/>
      <c r="T187" s="275"/>
      <c r="U187" s="275"/>
      <c r="V187" s="275"/>
      <c r="W187" s="275"/>
      <c r="X187" s="275"/>
      <c r="Y187" s="275"/>
      <c r="Z187" s="275"/>
    </row>
    <row r="188" spans="1:26" ht="15.75" customHeight="1">
      <c r="A188" s="275"/>
      <c r="B188" s="275"/>
      <c r="C188" s="275"/>
      <c r="D188" s="275"/>
      <c r="E188" s="275"/>
      <c r="F188" s="275"/>
      <c r="G188" s="275"/>
      <c r="H188" s="275"/>
      <c r="I188" s="275"/>
      <c r="J188" s="275"/>
      <c r="K188" s="275"/>
      <c r="L188" s="275"/>
      <c r="M188" s="275"/>
      <c r="N188" s="275"/>
      <c r="O188" s="275"/>
      <c r="P188" s="275"/>
      <c r="Q188" s="275"/>
      <c r="R188" s="275"/>
      <c r="S188" s="275"/>
      <c r="T188" s="275"/>
      <c r="U188" s="275"/>
      <c r="V188" s="275"/>
      <c r="W188" s="275"/>
      <c r="X188" s="275"/>
      <c r="Y188" s="275"/>
      <c r="Z188" s="275"/>
    </row>
    <row r="189" spans="1:26" ht="15.75" customHeight="1">
      <c r="A189" s="275"/>
      <c r="B189" s="275"/>
      <c r="C189" s="275"/>
      <c r="D189" s="275"/>
      <c r="E189" s="275"/>
      <c r="F189" s="275"/>
      <c r="G189" s="275"/>
      <c r="H189" s="275"/>
      <c r="I189" s="275"/>
      <c r="J189" s="275"/>
      <c r="K189" s="275"/>
      <c r="L189" s="275"/>
      <c r="M189" s="275"/>
      <c r="N189" s="275"/>
      <c r="O189" s="275"/>
      <c r="P189" s="275"/>
      <c r="Q189" s="275"/>
      <c r="R189" s="275"/>
      <c r="S189" s="275"/>
      <c r="T189" s="275"/>
      <c r="U189" s="275"/>
      <c r="V189" s="275"/>
      <c r="W189" s="275"/>
      <c r="X189" s="275"/>
      <c r="Y189" s="275"/>
      <c r="Z189" s="275"/>
    </row>
    <row r="190" spans="1:26" ht="15.75" customHeight="1">
      <c r="A190" s="275"/>
      <c r="B190" s="275"/>
      <c r="C190" s="275"/>
      <c r="D190" s="275"/>
      <c r="E190" s="275"/>
      <c r="F190" s="275"/>
      <c r="G190" s="275"/>
      <c r="H190" s="275"/>
      <c r="I190" s="275"/>
      <c r="J190" s="275"/>
      <c r="K190" s="275"/>
      <c r="L190" s="275"/>
      <c r="M190" s="275"/>
      <c r="N190" s="275"/>
      <c r="O190" s="275"/>
      <c r="P190" s="275"/>
      <c r="Q190" s="275"/>
      <c r="R190" s="275"/>
      <c r="S190" s="275"/>
      <c r="T190" s="275"/>
      <c r="U190" s="275"/>
      <c r="V190" s="275"/>
      <c r="W190" s="275"/>
      <c r="X190" s="275"/>
      <c r="Y190" s="275"/>
      <c r="Z190" s="275"/>
    </row>
    <row r="191" spans="1:26" ht="15.75" customHeight="1">
      <c r="A191" s="275"/>
      <c r="B191" s="275"/>
      <c r="C191" s="275"/>
      <c r="D191" s="275"/>
      <c r="E191" s="275"/>
      <c r="F191" s="275"/>
      <c r="G191" s="275"/>
      <c r="H191" s="275"/>
      <c r="I191" s="275"/>
      <c r="J191" s="275"/>
      <c r="K191" s="275"/>
      <c r="L191" s="275"/>
      <c r="M191" s="275"/>
      <c r="N191" s="275"/>
      <c r="O191" s="275"/>
      <c r="P191" s="275"/>
      <c r="Q191" s="275"/>
      <c r="R191" s="275"/>
      <c r="S191" s="275"/>
      <c r="T191" s="275"/>
      <c r="U191" s="275"/>
      <c r="V191" s="275"/>
      <c r="W191" s="275"/>
      <c r="X191" s="275"/>
      <c r="Y191" s="275"/>
      <c r="Z191" s="275"/>
    </row>
    <row r="192" spans="1:26" ht="15.75" customHeight="1">
      <c r="A192" s="275"/>
      <c r="B192" s="275"/>
      <c r="C192" s="275"/>
      <c r="D192" s="275"/>
      <c r="E192" s="275"/>
      <c r="F192" s="275"/>
      <c r="G192" s="275"/>
      <c r="H192" s="275"/>
      <c r="I192" s="275"/>
      <c r="J192" s="275"/>
      <c r="K192" s="275"/>
      <c r="L192" s="275"/>
      <c r="M192" s="275"/>
      <c r="N192" s="275"/>
      <c r="O192" s="275"/>
      <c r="P192" s="275"/>
      <c r="Q192" s="275"/>
      <c r="R192" s="275"/>
      <c r="S192" s="275"/>
      <c r="T192" s="275"/>
      <c r="U192" s="275"/>
      <c r="V192" s="275"/>
      <c r="W192" s="275"/>
      <c r="X192" s="275"/>
      <c r="Y192" s="275"/>
      <c r="Z192" s="275"/>
    </row>
    <row r="193" spans="1:26" ht="15.75" customHeight="1">
      <c r="A193" s="275"/>
      <c r="B193" s="275"/>
      <c r="C193" s="275"/>
      <c r="D193" s="275"/>
      <c r="E193" s="275"/>
      <c r="F193" s="275"/>
      <c r="G193" s="275"/>
      <c r="H193" s="275"/>
      <c r="I193" s="275"/>
      <c r="J193" s="275"/>
      <c r="K193" s="275"/>
      <c r="L193" s="275"/>
      <c r="M193" s="275"/>
      <c r="N193" s="275"/>
      <c r="O193" s="275"/>
      <c r="P193" s="275"/>
      <c r="Q193" s="275"/>
      <c r="R193" s="275"/>
      <c r="S193" s="275"/>
      <c r="T193" s="275"/>
      <c r="U193" s="275"/>
      <c r="V193" s="275"/>
      <c r="W193" s="275"/>
      <c r="X193" s="275"/>
      <c r="Y193" s="275"/>
      <c r="Z193" s="275"/>
    </row>
    <row r="194" spans="1:26" ht="15.75" customHeight="1">
      <c r="A194" s="275"/>
      <c r="B194" s="275"/>
      <c r="C194" s="275"/>
      <c r="D194" s="275"/>
      <c r="E194" s="275"/>
      <c r="F194" s="275"/>
      <c r="G194" s="275"/>
      <c r="H194" s="275"/>
      <c r="I194" s="275"/>
      <c r="J194" s="275"/>
      <c r="K194" s="275"/>
      <c r="L194" s="275"/>
      <c r="M194" s="275"/>
      <c r="N194" s="275"/>
      <c r="O194" s="275"/>
      <c r="P194" s="275"/>
      <c r="Q194" s="275"/>
      <c r="R194" s="275"/>
      <c r="S194" s="275"/>
      <c r="T194" s="275"/>
      <c r="U194" s="275"/>
      <c r="V194" s="275"/>
      <c r="W194" s="275"/>
      <c r="X194" s="275"/>
      <c r="Y194" s="275"/>
      <c r="Z194" s="275"/>
    </row>
    <row r="195" spans="1:26" ht="15.75" customHeight="1">
      <c r="A195" s="275"/>
      <c r="B195" s="275"/>
      <c r="C195" s="275"/>
      <c r="D195" s="275"/>
      <c r="E195" s="275"/>
      <c r="F195" s="275"/>
      <c r="G195" s="275"/>
      <c r="H195" s="275"/>
      <c r="I195" s="275"/>
      <c r="J195" s="275"/>
      <c r="K195" s="275"/>
      <c r="L195" s="275"/>
      <c r="M195" s="275"/>
      <c r="N195" s="275"/>
      <c r="O195" s="275"/>
      <c r="P195" s="275"/>
      <c r="Q195" s="275"/>
      <c r="R195" s="275"/>
      <c r="S195" s="275"/>
      <c r="T195" s="275"/>
      <c r="U195" s="275"/>
      <c r="V195" s="275"/>
      <c r="W195" s="275"/>
      <c r="X195" s="275"/>
      <c r="Y195" s="275"/>
      <c r="Z195" s="275"/>
    </row>
    <row r="196" spans="1:26" ht="15.75" customHeight="1">
      <c r="A196" s="275"/>
      <c r="B196" s="275"/>
      <c r="C196" s="275"/>
      <c r="D196" s="275"/>
      <c r="E196" s="275"/>
      <c r="F196" s="275"/>
      <c r="G196" s="275"/>
      <c r="H196" s="275"/>
      <c r="I196" s="275"/>
      <c r="J196" s="275"/>
      <c r="K196" s="275"/>
      <c r="L196" s="275"/>
      <c r="M196" s="275"/>
      <c r="N196" s="275"/>
      <c r="O196" s="275"/>
      <c r="P196" s="275"/>
      <c r="Q196" s="275"/>
      <c r="R196" s="275"/>
      <c r="S196" s="275"/>
      <c r="T196" s="275"/>
      <c r="U196" s="275"/>
      <c r="V196" s="275"/>
      <c r="W196" s="275"/>
      <c r="X196" s="275"/>
      <c r="Y196" s="275"/>
      <c r="Z196" s="275"/>
    </row>
    <row r="197" spans="1:26" ht="15.75" customHeight="1">
      <c r="A197" s="275"/>
      <c r="B197" s="275"/>
      <c r="C197" s="275"/>
      <c r="D197" s="275"/>
      <c r="E197" s="275"/>
      <c r="F197" s="275"/>
      <c r="G197" s="275"/>
      <c r="H197" s="275"/>
      <c r="I197" s="275"/>
      <c r="J197" s="275"/>
      <c r="K197" s="275"/>
      <c r="L197" s="275"/>
      <c r="M197" s="275"/>
      <c r="N197" s="275"/>
      <c r="O197" s="275"/>
      <c r="P197" s="275"/>
      <c r="Q197" s="275"/>
      <c r="R197" s="275"/>
      <c r="S197" s="275"/>
      <c r="T197" s="275"/>
      <c r="U197" s="275"/>
      <c r="V197" s="275"/>
      <c r="W197" s="275"/>
      <c r="X197" s="275"/>
      <c r="Y197" s="275"/>
      <c r="Z197" s="275"/>
    </row>
    <row r="198" spans="1:26" ht="15.75" customHeight="1">
      <c r="A198" s="275"/>
      <c r="B198" s="275"/>
      <c r="C198" s="275"/>
      <c r="D198" s="275"/>
      <c r="E198" s="275"/>
      <c r="F198" s="275"/>
      <c r="G198" s="275"/>
      <c r="H198" s="275"/>
      <c r="I198" s="275"/>
      <c r="J198" s="275"/>
      <c r="K198" s="275"/>
      <c r="L198" s="275"/>
      <c r="M198" s="275"/>
      <c r="N198" s="275"/>
      <c r="O198" s="275"/>
      <c r="P198" s="275"/>
      <c r="Q198" s="275"/>
      <c r="R198" s="275"/>
      <c r="S198" s="275"/>
      <c r="T198" s="275"/>
      <c r="U198" s="275"/>
      <c r="V198" s="275"/>
      <c r="W198" s="275"/>
      <c r="X198" s="275"/>
      <c r="Y198" s="275"/>
      <c r="Z198" s="275"/>
    </row>
    <row r="199" spans="1:26" ht="15.75" customHeight="1">
      <c r="A199" s="275"/>
      <c r="B199" s="275"/>
      <c r="C199" s="275"/>
      <c r="D199" s="275"/>
      <c r="E199" s="275"/>
      <c r="F199" s="275"/>
      <c r="G199" s="275"/>
      <c r="H199" s="275"/>
      <c r="I199" s="275"/>
      <c r="J199" s="275"/>
      <c r="K199" s="275"/>
      <c r="L199" s="275"/>
      <c r="M199" s="275"/>
      <c r="N199" s="275"/>
      <c r="O199" s="275"/>
      <c r="P199" s="275"/>
      <c r="Q199" s="275"/>
      <c r="R199" s="275"/>
      <c r="S199" s="275"/>
      <c r="T199" s="275"/>
      <c r="U199" s="275"/>
      <c r="V199" s="275"/>
      <c r="W199" s="275"/>
      <c r="X199" s="275"/>
      <c r="Y199" s="275"/>
      <c r="Z199" s="275"/>
    </row>
    <row r="200" spans="1:26" ht="15.75" customHeight="1">
      <c r="A200" s="275"/>
      <c r="B200" s="275"/>
      <c r="C200" s="275"/>
      <c r="D200" s="275"/>
      <c r="E200" s="275"/>
      <c r="F200" s="275"/>
      <c r="G200" s="275"/>
      <c r="H200" s="275"/>
      <c r="I200" s="275"/>
      <c r="J200" s="275"/>
      <c r="K200" s="275"/>
      <c r="L200" s="275"/>
      <c r="M200" s="275"/>
      <c r="N200" s="275"/>
      <c r="O200" s="275"/>
      <c r="P200" s="275"/>
      <c r="Q200" s="275"/>
      <c r="R200" s="275"/>
      <c r="S200" s="275"/>
      <c r="T200" s="275"/>
      <c r="U200" s="275"/>
      <c r="V200" s="275"/>
      <c r="W200" s="275"/>
      <c r="X200" s="275"/>
      <c r="Y200" s="275"/>
      <c r="Z200" s="275"/>
    </row>
    <row r="201" spans="1:26" ht="15.75" customHeight="1">
      <c r="A201" s="275"/>
      <c r="B201" s="275"/>
      <c r="C201" s="275"/>
      <c r="D201" s="275"/>
      <c r="E201" s="275"/>
      <c r="F201" s="275"/>
      <c r="G201" s="275"/>
      <c r="H201" s="275"/>
      <c r="I201" s="275"/>
      <c r="J201" s="275"/>
      <c r="K201" s="275"/>
      <c r="L201" s="275"/>
      <c r="M201" s="275"/>
      <c r="N201" s="275"/>
      <c r="O201" s="275"/>
      <c r="P201" s="275"/>
      <c r="Q201" s="275"/>
      <c r="R201" s="275"/>
      <c r="S201" s="275"/>
      <c r="T201" s="275"/>
      <c r="U201" s="275"/>
      <c r="V201" s="275"/>
      <c r="W201" s="275"/>
      <c r="X201" s="275"/>
      <c r="Y201" s="275"/>
      <c r="Z201" s="275"/>
    </row>
    <row r="202" spans="1:26" ht="15.75" customHeight="1">
      <c r="A202" s="275"/>
      <c r="B202" s="275"/>
      <c r="C202" s="275"/>
      <c r="D202" s="275"/>
      <c r="E202" s="275"/>
      <c r="F202" s="275"/>
      <c r="G202" s="275"/>
      <c r="H202" s="275"/>
      <c r="I202" s="275"/>
      <c r="J202" s="275"/>
      <c r="K202" s="275"/>
      <c r="L202" s="275"/>
      <c r="M202" s="275"/>
      <c r="N202" s="275"/>
      <c r="O202" s="275"/>
      <c r="P202" s="275"/>
      <c r="Q202" s="275"/>
      <c r="R202" s="275"/>
      <c r="S202" s="275"/>
      <c r="T202" s="275"/>
      <c r="U202" s="275"/>
      <c r="V202" s="275"/>
      <c r="W202" s="275"/>
      <c r="X202" s="275"/>
      <c r="Y202" s="275"/>
      <c r="Z202" s="275"/>
    </row>
    <row r="203" spans="1:26" ht="15.75" customHeight="1">
      <c r="A203" s="275"/>
      <c r="B203" s="275"/>
      <c r="C203" s="275"/>
      <c r="D203" s="275"/>
      <c r="E203" s="275"/>
      <c r="F203" s="275"/>
      <c r="G203" s="275"/>
      <c r="H203" s="275"/>
      <c r="I203" s="275"/>
      <c r="J203" s="275"/>
      <c r="K203" s="275"/>
      <c r="L203" s="275"/>
      <c r="M203" s="275"/>
      <c r="N203" s="275"/>
      <c r="O203" s="275"/>
      <c r="P203" s="275"/>
      <c r="Q203" s="275"/>
      <c r="R203" s="275"/>
      <c r="S203" s="275"/>
      <c r="T203" s="275"/>
      <c r="U203" s="275"/>
      <c r="V203" s="275"/>
      <c r="W203" s="275"/>
      <c r="X203" s="275"/>
      <c r="Y203" s="275"/>
      <c r="Z203" s="275"/>
    </row>
    <row r="204" spans="1:26" ht="15.75" customHeight="1">
      <c r="A204" s="275"/>
      <c r="B204" s="275"/>
      <c r="C204" s="275"/>
      <c r="D204" s="275"/>
      <c r="E204" s="275"/>
      <c r="F204" s="275"/>
      <c r="G204" s="275"/>
      <c r="H204" s="275"/>
      <c r="I204" s="275"/>
      <c r="J204" s="275"/>
      <c r="K204" s="275"/>
      <c r="L204" s="275"/>
      <c r="M204" s="275"/>
      <c r="N204" s="275"/>
      <c r="O204" s="275"/>
      <c r="P204" s="275"/>
      <c r="Q204" s="275"/>
      <c r="R204" s="275"/>
      <c r="S204" s="275"/>
      <c r="T204" s="275"/>
      <c r="U204" s="275"/>
      <c r="V204" s="275"/>
      <c r="W204" s="275"/>
      <c r="X204" s="275"/>
      <c r="Y204" s="275"/>
      <c r="Z204" s="275"/>
    </row>
    <row r="205" spans="1:26" ht="15.75" customHeight="1">
      <c r="A205" s="275"/>
      <c r="B205" s="275"/>
      <c r="C205" s="275"/>
      <c r="D205" s="275"/>
      <c r="E205" s="275"/>
      <c r="F205" s="275"/>
      <c r="G205" s="275"/>
      <c r="H205" s="275"/>
      <c r="I205" s="275"/>
      <c r="J205" s="275"/>
      <c r="K205" s="275"/>
      <c r="L205" s="275"/>
      <c r="M205" s="275"/>
      <c r="N205" s="275"/>
      <c r="O205" s="275"/>
      <c r="P205" s="275"/>
      <c r="Q205" s="275"/>
      <c r="R205" s="275"/>
      <c r="S205" s="275"/>
      <c r="T205" s="275"/>
      <c r="U205" s="275"/>
      <c r="V205" s="275"/>
      <c r="W205" s="275"/>
      <c r="X205" s="275"/>
      <c r="Y205" s="275"/>
      <c r="Z205" s="275"/>
    </row>
    <row r="206" spans="1:26" ht="15.75" customHeight="1">
      <c r="A206" s="275"/>
      <c r="B206" s="275"/>
      <c r="C206" s="275"/>
      <c r="D206" s="275"/>
      <c r="E206" s="275"/>
      <c r="F206" s="275"/>
      <c r="G206" s="275"/>
      <c r="H206" s="275"/>
      <c r="I206" s="275"/>
      <c r="J206" s="275"/>
      <c r="K206" s="275"/>
      <c r="L206" s="275"/>
      <c r="M206" s="275"/>
      <c r="N206" s="275"/>
      <c r="O206" s="275"/>
      <c r="P206" s="275"/>
      <c r="Q206" s="275"/>
      <c r="R206" s="275"/>
      <c r="S206" s="275"/>
      <c r="T206" s="275"/>
      <c r="U206" s="275"/>
      <c r="V206" s="275"/>
      <c r="W206" s="275"/>
      <c r="X206" s="275"/>
      <c r="Y206" s="275"/>
      <c r="Z206" s="275"/>
    </row>
    <row r="207" spans="1:26" ht="15.75" customHeight="1">
      <c r="A207" s="275"/>
      <c r="B207" s="275"/>
      <c r="C207" s="275"/>
      <c r="D207" s="275"/>
      <c r="E207" s="275"/>
      <c r="F207" s="275"/>
      <c r="G207" s="275"/>
      <c r="H207" s="275"/>
      <c r="I207" s="275"/>
      <c r="J207" s="275"/>
      <c r="K207" s="275"/>
      <c r="L207" s="275"/>
      <c r="M207" s="275"/>
      <c r="N207" s="275"/>
      <c r="O207" s="275"/>
      <c r="P207" s="275"/>
      <c r="Q207" s="275"/>
      <c r="R207" s="275"/>
      <c r="S207" s="275"/>
      <c r="T207" s="275"/>
      <c r="U207" s="275"/>
      <c r="V207" s="275"/>
      <c r="W207" s="275"/>
      <c r="X207" s="275"/>
      <c r="Y207" s="275"/>
      <c r="Z207" s="275"/>
    </row>
    <row r="208" spans="1:26" ht="15.75" customHeight="1">
      <c r="A208" s="275"/>
      <c r="B208" s="275"/>
      <c r="C208" s="275"/>
      <c r="D208" s="275"/>
      <c r="E208" s="275"/>
      <c r="F208" s="275"/>
      <c r="G208" s="275"/>
      <c r="H208" s="275"/>
      <c r="I208" s="275"/>
      <c r="J208" s="275"/>
      <c r="K208" s="275"/>
      <c r="L208" s="275"/>
      <c r="M208" s="275"/>
      <c r="N208" s="275"/>
      <c r="O208" s="275"/>
      <c r="P208" s="275"/>
      <c r="Q208" s="275"/>
      <c r="R208" s="275"/>
      <c r="S208" s="275"/>
      <c r="T208" s="275"/>
      <c r="U208" s="275"/>
      <c r="V208" s="275"/>
      <c r="W208" s="275"/>
      <c r="X208" s="275"/>
      <c r="Y208" s="275"/>
      <c r="Z208" s="275"/>
    </row>
    <row r="209" spans="1:26" ht="15.75" customHeight="1">
      <c r="A209" s="275"/>
      <c r="B209" s="275"/>
      <c r="C209" s="275"/>
      <c r="D209" s="275"/>
      <c r="E209" s="275"/>
      <c r="F209" s="275"/>
      <c r="G209" s="275"/>
      <c r="H209" s="275"/>
      <c r="I209" s="275"/>
      <c r="J209" s="275"/>
      <c r="K209" s="275"/>
      <c r="L209" s="275"/>
      <c r="M209" s="275"/>
      <c r="N209" s="275"/>
      <c r="O209" s="275"/>
      <c r="P209" s="275"/>
      <c r="Q209" s="275"/>
      <c r="R209" s="275"/>
      <c r="S209" s="275"/>
      <c r="T209" s="275"/>
      <c r="U209" s="275"/>
      <c r="V209" s="275"/>
      <c r="W209" s="275"/>
      <c r="X209" s="275"/>
      <c r="Y209" s="275"/>
      <c r="Z209" s="275"/>
    </row>
    <row r="210" spans="1:26" ht="15.75" customHeight="1">
      <c r="A210" s="275"/>
      <c r="B210" s="275"/>
      <c r="C210" s="275"/>
      <c r="D210" s="275"/>
      <c r="E210" s="275"/>
      <c r="F210" s="275"/>
      <c r="G210" s="275"/>
      <c r="H210" s="275"/>
      <c r="I210" s="275"/>
      <c r="J210" s="275"/>
      <c r="K210" s="275"/>
      <c r="L210" s="275"/>
      <c r="M210" s="275"/>
      <c r="N210" s="275"/>
      <c r="O210" s="275"/>
      <c r="P210" s="275"/>
      <c r="Q210" s="275"/>
      <c r="R210" s="275"/>
      <c r="S210" s="275"/>
      <c r="T210" s="275"/>
      <c r="U210" s="275"/>
      <c r="V210" s="275"/>
      <c r="W210" s="275"/>
      <c r="X210" s="275"/>
      <c r="Y210" s="275"/>
      <c r="Z210" s="275"/>
    </row>
    <row r="211" spans="1:26" ht="15.75" customHeight="1">
      <c r="A211" s="275"/>
      <c r="B211" s="275"/>
      <c r="C211" s="275"/>
      <c r="D211" s="275"/>
      <c r="E211" s="275"/>
      <c r="F211" s="275"/>
      <c r="G211" s="275"/>
      <c r="H211" s="275"/>
      <c r="I211" s="275"/>
      <c r="J211" s="275"/>
      <c r="K211" s="275"/>
      <c r="L211" s="275"/>
      <c r="M211" s="275"/>
      <c r="N211" s="275"/>
      <c r="O211" s="275"/>
      <c r="P211" s="275"/>
      <c r="Q211" s="275"/>
      <c r="R211" s="275"/>
      <c r="S211" s="275"/>
      <c r="T211" s="275"/>
      <c r="U211" s="275"/>
      <c r="V211" s="275"/>
      <c r="W211" s="275"/>
      <c r="X211" s="275"/>
      <c r="Y211" s="275"/>
      <c r="Z211" s="275"/>
    </row>
    <row r="212" spans="1:26" ht="15.75" customHeight="1">
      <c r="A212" s="275"/>
      <c r="B212" s="275"/>
      <c r="C212" s="275"/>
      <c r="D212" s="275"/>
      <c r="E212" s="275"/>
      <c r="F212" s="275"/>
      <c r="G212" s="275"/>
      <c r="H212" s="275"/>
      <c r="I212" s="275"/>
      <c r="J212" s="275"/>
      <c r="K212" s="275"/>
      <c r="L212" s="275"/>
      <c r="M212" s="275"/>
      <c r="N212" s="275"/>
      <c r="O212" s="275"/>
      <c r="P212" s="275"/>
      <c r="Q212" s="275"/>
      <c r="R212" s="275"/>
      <c r="S212" s="275"/>
      <c r="T212" s="275"/>
      <c r="U212" s="275"/>
      <c r="V212" s="275"/>
      <c r="W212" s="275"/>
      <c r="X212" s="275"/>
      <c r="Y212" s="275"/>
      <c r="Z212" s="275"/>
    </row>
    <row r="213" spans="1:26" ht="15.75" customHeight="1">
      <c r="A213" s="275"/>
      <c r="B213" s="275"/>
      <c r="C213" s="275"/>
      <c r="D213" s="275"/>
      <c r="E213" s="275"/>
      <c r="F213" s="275"/>
      <c r="G213" s="275"/>
      <c r="H213" s="275"/>
      <c r="I213" s="275"/>
      <c r="J213" s="275"/>
      <c r="K213" s="275"/>
      <c r="L213" s="275"/>
      <c r="M213" s="275"/>
      <c r="N213" s="275"/>
      <c r="O213" s="275"/>
      <c r="P213" s="275"/>
      <c r="Q213" s="275"/>
      <c r="R213" s="275"/>
      <c r="S213" s="275"/>
      <c r="T213" s="275"/>
      <c r="U213" s="275"/>
      <c r="V213" s="275"/>
      <c r="W213" s="275"/>
      <c r="X213" s="275"/>
      <c r="Y213" s="275"/>
      <c r="Z213" s="275"/>
    </row>
    <row r="214" spans="1:26" ht="15.75" customHeight="1">
      <c r="A214" s="275"/>
      <c r="B214" s="275"/>
      <c r="C214" s="275"/>
      <c r="D214" s="275"/>
      <c r="E214" s="275"/>
      <c r="F214" s="275"/>
      <c r="G214" s="275"/>
      <c r="H214" s="275"/>
      <c r="I214" s="275"/>
      <c r="J214" s="275"/>
      <c r="K214" s="275"/>
      <c r="L214" s="275"/>
      <c r="M214" s="275"/>
      <c r="N214" s="275"/>
      <c r="O214" s="275"/>
      <c r="P214" s="275"/>
      <c r="Q214" s="275"/>
      <c r="R214" s="275"/>
      <c r="S214" s="275"/>
      <c r="T214" s="275"/>
      <c r="U214" s="275"/>
      <c r="V214" s="275"/>
      <c r="W214" s="275"/>
      <c r="X214" s="275"/>
      <c r="Y214" s="275"/>
      <c r="Z214" s="275"/>
    </row>
    <row r="215" spans="1:26" ht="15.75" customHeight="1">
      <c r="A215" s="275"/>
      <c r="B215" s="275"/>
      <c r="C215" s="275"/>
      <c r="D215" s="275"/>
      <c r="E215" s="275"/>
      <c r="F215" s="275"/>
      <c r="G215" s="275"/>
      <c r="H215" s="275"/>
      <c r="I215" s="275"/>
      <c r="J215" s="275"/>
      <c r="K215" s="275"/>
      <c r="L215" s="275"/>
      <c r="M215" s="275"/>
      <c r="N215" s="275"/>
      <c r="O215" s="275"/>
      <c r="P215" s="275"/>
      <c r="Q215" s="275"/>
      <c r="R215" s="275"/>
      <c r="S215" s="275"/>
      <c r="T215" s="275"/>
      <c r="U215" s="275"/>
      <c r="V215" s="275"/>
      <c r="W215" s="275"/>
      <c r="X215" s="275"/>
      <c r="Y215" s="275"/>
      <c r="Z215" s="275"/>
    </row>
    <row r="216" spans="1:26" ht="15.75" customHeight="1">
      <c r="A216" s="275"/>
      <c r="B216" s="275"/>
      <c r="C216" s="275"/>
      <c r="D216" s="275"/>
      <c r="E216" s="275"/>
      <c r="F216" s="275"/>
      <c r="G216" s="275"/>
      <c r="H216" s="275"/>
      <c r="I216" s="275"/>
      <c r="J216" s="275"/>
      <c r="K216" s="275"/>
      <c r="L216" s="275"/>
      <c r="M216" s="275"/>
      <c r="N216" s="275"/>
      <c r="O216" s="275"/>
      <c r="P216" s="275"/>
      <c r="Q216" s="275"/>
      <c r="R216" s="275"/>
      <c r="S216" s="275"/>
      <c r="T216" s="275"/>
      <c r="U216" s="275"/>
      <c r="V216" s="275"/>
      <c r="W216" s="275"/>
      <c r="X216" s="275"/>
      <c r="Y216" s="275"/>
      <c r="Z216" s="275"/>
    </row>
    <row r="217" spans="1:26" ht="15.75" customHeight="1">
      <c r="A217" s="275"/>
      <c r="B217" s="275"/>
      <c r="C217" s="275"/>
      <c r="D217" s="275"/>
      <c r="E217" s="275"/>
      <c r="F217" s="275"/>
      <c r="G217" s="275"/>
      <c r="H217" s="275"/>
      <c r="I217" s="275"/>
      <c r="J217" s="275"/>
      <c r="K217" s="275"/>
      <c r="L217" s="275"/>
      <c r="M217" s="275"/>
      <c r="N217" s="275"/>
      <c r="O217" s="275"/>
      <c r="P217" s="275"/>
      <c r="Q217" s="275"/>
      <c r="R217" s="275"/>
      <c r="S217" s="275"/>
      <c r="T217" s="275"/>
      <c r="U217" s="275"/>
      <c r="V217" s="275"/>
      <c r="W217" s="275"/>
      <c r="X217" s="275"/>
      <c r="Y217" s="275"/>
      <c r="Z217" s="275"/>
    </row>
    <row r="218" spans="1:26" ht="15.75" customHeight="1">
      <c r="A218" s="275"/>
      <c r="B218" s="275"/>
      <c r="C218" s="275"/>
      <c r="D218" s="275"/>
      <c r="E218" s="275"/>
      <c r="F218" s="275"/>
      <c r="G218" s="275"/>
      <c r="H218" s="275"/>
      <c r="I218" s="275"/>
      <c r="J218" s="275"/>
      <c r="K218" s="275"/>
      <c r="L218" s="275"/>
      <c r="M218" s="275"/>
      <c r="N218" s="275"/>
      <c r="O218" s="275"/>
      <c r="P218" s="275"/>
      <c r="Q218" s="275"/>
      <c r="R218" s="275"/>
      <c r="S218" s="275"/>
      <c r="T218" s="275"/>
      <c r="U218" s="275"/>
      <c r="V218" s="275"/>
      <c r="W218" s="275"/>
      <c r="X218" s="275"/>
      <c r="Y218" s="275"/>
      <c r="Z218" s="275"/>
    </row>
    <row r="219" spans="1:26" ht="15.75" customHeight="1">
      <c r="A219" s="275"/>
      <c r="B219" s="275"/>
      <c r="C219" s="275"/>
      <c r="D219" s="275"/>
      <c r="E219" s="275"/>
      <c r="F219" s="275"/>
      <c r="G219" s="275"/>
      <c r="H219" s="275"/>
      <c r="I219" s="275"/>
      <c r="J219" s="275"/>
      <c r="K219" s="275"/>
      <c r="L219" s="275"/>
      <c r="M219" s="275"/>
      <c r="N219" s="275"/>
      <c r="O219" s="275"/>
      <c r="P219" s="275"/>
      <c r="Q219" s="275"/>
      <c r="R219" s="275"/>
      <c r="S219" s="275"/>
      <c r="T219" s="275"/>
      <c r="U219" s="275"/>
      <c r="V219" s="275"/>
      <c r="W219" s="275"/>
      <c r="X219" s="275"/>
      <c r="Y219" s="275"/>
      <c r="Z219" s="275"/>
    </row>
    <row r="220" spans="1:26" ht="15.75" customHeight="1">
      <c r="A220" s="275"/>
      <c r="B220" s="275"/>
      <c r="C220" s="275"/>
      <c r="D220" s="275"/>
      <c r="E220" s="275"/>
      <c r="F220" s="275"/>
      <c r="G220" s="275"/>
      <c r="H220" s="275"/>
      <c r="I220" s="275"/>
      <c r="J220" s="275"/>
      <c r="K220" s="275"/>
      <c r="L220" s="275"/>
      <c r="M220" s="275"/>
      <c r="N220" s="275"/>
      <c r="O220" s="275"/>
      <c r="P220" s="275"/>
      <c r="Q220" s="275"/>
      <c r="R220" s="275"/>
      <c r="S220" s="275"/>
      <c r="T220" s="275"/>
      <c r="U220" s="275"/>
      <c r="V220" s="275"/>
      <c r="W220" s="275"/>
      <c r="X220" s="275"/>
      <c r="Y220" s="275"/>
      <c r="Z220" s="275"/>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B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EN PROCESO (Alfa)</vt:lpstr>
      <vt:lpstr>PRUEBAS BOLIVAR</vt:lpstr>
      <vt:lpstr>FINALIZADOS 2</vt:lpstr>
      <vt:lpstr>FINALIZADOS</vt:lpstr>
      <vt:lpstr>fESTIVOS</vt:lpstr>
      <vt:lpstr>ASISTENCIA</vt:lpstr>
      <vt:lpstr>Caidas del sistema</vt:lpstr>
      <vt:lpstr>pruebas 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 HERNAN FORERO GARZON</dc:creator>
  <cp:lastModifiedBy>FABIO HERNAN FORERO GARZON</cp:lastModifiedBy>
  <dcterms:created xsi:type="dcterms:W3CDTF">2024-10-01T20:42:53Z</dcterms:created>
  <dcterms:modified xsi:type="dcterms:W3CDTF">2026-06-24T14:46:19Z</dcterms:modified>
</cp:coreProperties>
</file>
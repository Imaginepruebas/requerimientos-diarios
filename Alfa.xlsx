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Alfa)" sheetId="1" r:id="rId1"/>
  </sheets>
  <externalReferences>
    <externalReference r:id="rId2"/>
  </externalReferences>
  <definedNames>
    <definedName name="_xlnm._FilterDatabase" localSheetId="0" hidden="1">'EN PROCESO (Alfa)'!$A$1:$S$196</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2" i="1" l="1"/>
  <c r="M2" i="1"/>
  <c r="H3" i="1"/>
  <c r="M3" i="1"/>
  <c r="H4" i="1"/>
  <c r="M4" i="1"/>
  <c r="H5" i="1"/>
  <c r="M5" i="1"/>
  <c r="H6" i="1"/>
  <c r="M6" i="1"/>
  <c r="H7" i="1"/>
  <c r="M7" i="1"/>
  <c r="H8" i="1"/>
  <c r="M8" i="1"/>
  <c r="H9" i="1"/>
  <c r="M9" i="1"/>
  <c r="H10" i="1"/>
  <c r="M10" i="1"/>
  <c r="H11" i="1"/>
  <c r="M11" i="1"/>
  <c r="H12" i="1"/>
  <c r="M12" i="1"/>
  <c r="H13" i="1"/>
  <c r="M13" i="1"/>
  <c r="H14" i="1"/>
  <c r="M14" i="1"/>
  <c r="H15" i="1"/>
  <c r="M15" i="1"/>
  <c r="H16" i="1"/>
  <c r="M16" i="1"/>
  <c r="H17" i="1"/>
  <c r="M17" i="1"/>
  <c r="H18" i="1"/>
  <c r="M18" i="1"/>
  <c r="H19" i="1"/>
  <c r="M19" i="1"/>
  <c r="H20" i="1"/>
  <c r="M20" i="1"/>
  <c r="H21" i="1"/>
  <c r="M21" i="1"/>
  <c r="H22" i="1"/>
  <c r="M22" i="1"/>
  <c r="H23" i="1"/>
  <c r="M23" i="1"/>
  <c r="H24" i="1"/>
  <c r="M24" i="1"/>
  <c r="H25" i="1"/>
  <c r="M25" i="1"/>
  <c r="H26" i="1"/>
  <c r="M26" i="1"/>
  <c r="H27" i="1"/>
  <c r="M27" i="1"/>
  <c r="H28" i="1"/>
  <c r="M28" i="1"/>
  <c r="H29" i="1"/>
  <c r="M29" i="1"/>
  <c r="H30" i="1"/>
  <c r="M30" i="1"/>
  <c r="H31" i="1"/>
  <c r="M31" i="1"/>
  <c r="H32" i="1"/>
  <c r="M32" i="1"/>
  <c r="H33" i="1"/>
  <c r="M33" i="1"/>
  <c r="H34" i="1"/>
  <c r="M34" i="1"/>
  <c r="H35" i="1"/>
  <c r="M35" i="1"/>
  <c r="H36" i="1"/>
  <c r="M36" i="1"/>
  <c r="H37" i="1"/>
  <c r="M37" i="1"/>
  <c r="H38" i="1"/>
  <c r="M38" i="1"/>
  <c r="H39" i="1"/>
  <c r="M39" i="1"/>
  <c r="H40" i="1"/>
  <c r="M40" i="1"/>
  <c r="H41" i="1"/>
  <c r="M41" i="1"/>
  <c r="H42" i="1"/>
  <c r="M42" i="1"/>
  <c r="H43" i="1"/>
  <c r="M43" i="1"/>
  <c r="H44" i="1"/>
  <c r="M44" i="1"/>
  <c r="H45" i="1"/>
  <c r="M45" i="1"/>
  <c r="H46" i="1"/>
  <c r="M46" i="1"/>
  <c r="H47" i="1"/>
  <c r="M47" i="1"/>
  <c r="H48" i="1"/>
  <c r="M48" i="1"/>
  <c r="H49" i="1"/>
  <c r="M49" i="1"/>
  <c r="H50" i="1"/>
  <c r="M50" i="1"/>
  <c r="H51" i="1"/>
  <c r="M51" i="1"/>
  <c r="H52" i="1"/>
  <c r="M52" i="1"/>
  <c r="H53" i="1"/>
  <c r="M53" i="1"/>
  <c r="H54" i="1"/>
  <c r="M54" i="1"/>
  <c r="H55" i="1"/>
  <c r="M55" i="1"/>
  <c r="H56" i="1"/>
  <c r="M56" i="1"/>
  <c r="H57" i="1"/>
  <c r="M57" i="1"/>
  <c r="H58" i="1"/>
  <c r="M58" i="1"/>
  <c r="H59" i="1"/>
  <c r="M59" i="1"/>
  <c r="H60" i="1"/>
  <c r="M60" i="1"/>
  <c r="H61" i="1"/>
  <c r="M61" i="1"/>
  <c r="H62" i="1"/>
  <c r="M62" i="1"/>
  <c r="H63" i="1"/>
  <c r="M63" i="1"/>
  <c r="H64" i="1"/>
  <c r="M64" i="1"/>
  <c r="H65" i="1"/>
  <c r="M65" i="1"/>
  <c r="H66" i="1"/>
  <c r="M66" i="1"/>
  <c r="H67" i="1"/>
  <c r="M67" i="1"/>
  <c r="H68" i="1"/>
  <c r="M68" i="1"/>
  <c r="H69" i="1"/>
  <c r="M69" i="1"/>
  <c r="H70" i="1"/>
  <c r="M70" i="1"/>
  <c r="H71" i="1"/>
  <c r="M71" i="1"/>
  <c r="H72" i="1"/>
  <c r="M72" i="1"/>
  <c r="H73" i="1"/>
  <c r="M73" i="1"/>
  <c r="H74" i="1"/>
  <c r="M74" i="1"/>
  <c r="H75" i="1"/>
  <c r="M75" i="1"/>
  <c r="H76" i="1"/>
  <c r="M76" i="1"/>
  <c r="H77" i="1"/>
  <c r="M77" i="1"/>
  <c r="H78" i="1"/>
  <c r="M78" i="1"/>
  <c r="H79" i="1"/>
  <c r="M79" i="1"/>
  <c r="H80" i="1"/>
  <c r="M80" i="1"/>
  <c r="H81" i="1"/>
  <c r="M81" i="1"/>
  <c r="H82" i="1"/>
  <c r="M82" i="1"/>
  <c r="H83" i="1"/>
  <c r="M83" i="1"/>
  <c r="H84" i="1"/>
  <c r="M84" i="1"/>
  <c r="H85" i="1"/>
  <c r="M85" i="1"/>
  <c r="H86" i="1"/>
  <c r="M86" i="1"/>
  <c r="H87" i="1"/>
  <c r="M87" i="1"/>
  <c r="H88" i="1"/>
  <c r="M88" i="1"/>
  <c r="H89" i="1"/>
  <c r="M89" i="1"/>
  <c r="H90" i="1"/>
  <c r="M90" i="1"/>
  <c r="H91" i="1"/>
  <c r="M91" i="1"/>
  <c r="H92" i="1"/>
  <c r="M92" i="1"/>
  <c r="H93" i="1"/>
  <c r="M93" i="1"/>
  <c r="H94" i="1"/>
  <c r="M94" i="1"/>
  <c r="H95" i="1"/>
  <c r="M95" i="1"/>
  <c r="H96" i="1"/>
  <c r="M96" i="1"/>
  <c r="H97" i="1"/>
  <c r="M97" i="1"/>
  <c r="H98" i="1"/>
  <c r="M98" i="1"/>
  <c r="H99" i="1"/>
  <c r="M99" i="1"/>
  <c r="H100" i="1"/>
  <c r="M100" i="1"/>
  <c r="H101" i="1"/>
  <c r="M101" i="1"/>
  <c r="H102" i="1"/>
  <c r="M102" i="1"/>
  <c r="H103" i="1"/>
  <c r="M103" i="1"/>
  <c r="H104" i="1"/>
  <c r="M104" i="1"/>
  <c r="H105" i="1"/>
  <c r="M105" i="1"/>
  <c r="H106" i="1"/>
  <c r="M106" i="1"/>
  <c r="H107" i="1"/>
  <c r="M107" i="1"/>
  <c r="H108" i="1"/>
  <c r="M108" i="1"/>
  <c r="H109" i="1"/>
  <c r="M109" i="1"/>
  <c r="H110" i="1"/>
  <c r="M110" i="1"/>
  <c r="H111" i="1"/>
  <c r="M111" i="1"/>
  <c r="H112" i="1"/>
  <c r="M112" i="1"/>
  <c r="H113" i="1"/>
  <c r="M113" i="1"/>
  <c r="H114" i="1"/>
  <c r="M114" i="1"/>
  <c r="H115" i="1"/>
  <c r="M115" i="1"/>
  <c r="H116" i="1"/>
  <c r="M116" i="1"/>
  <c r="H117" i="1"/>
  <c r="M117" i="1"/>
  <c r="H118" i="1"/>
  <c r="M118" i="1"/>
  <c r="H119" i="1"/>
  <c r="M119" i="1"/>
  <c r="H120" i="1"/>
  <c r="M120" i="1"/>
  <c r="H121" i="1"/>
  <c r="M121" i="1"/>
  <c r="H122" i="1"/>
  <c r="M122" i="1"/>
  <c r="H123" i="1"/>
  <c r="M123" i="1"/>
  <c r="H124" i="1"/>
  <c r="M124" i="1"/>
  <c r="H125" i="1"/>
  <c r="M125" i="1"/>
  <c r="H126" i="1"/>
  <c r="M126" i="1"/>
  <c r="H127" i="1"/>
  <c r="M127" i="1"/>
  <c r="H128" i="1"/>
  <c r="M128" i="1"/>
  <c r="H129" i="1"/>
  <c r="M129" i="1"/>
  <c r="H130" i="1"/>
  <c r="M130" i="1"/>
  <c r="H131" i="1"/>
  <c r="M131" i="1"/>
  <c r="H132" i="1"/>
  <c r="M132" i="1"/>
  <c r="H133" i="1"/>
  <c r="M133" i="1"/>
  <c r="H134" i="1"/>
  <c r="M134" i="1"/>
  <c r="H135" i="1"/>
  <c r="M135" i="1"/>
  <c r="H136" i="1"/>
  <c r="M136" i="1"/>
  <c r="H137" i="1"/>
  <c r="M137" i="1"/>
  <c r="H138" i="1"/>
  <c r="M138" i="1"/>
  <c r="H139" i="1"/>
  <c r="M139" i="1"/>
  <c r="H140" i="1"/>
  <c r="M140" i="1"/>
  <c r="H141" i="1"/>
  <c r="M141" i="1"/>
  <c r="H142" i="1"/>
  <c r="M142" i="1"/>
  <c r="H143" i="1"/>
  <c r="M143" i="1"/>
  <c r="H144" i="1"/>
  <c r="M144" i="1"/>
  <c r="H145" i="1"/>
  <c r="M145" i="1"/>
  <c r="H146" i="1"/>
  <c r="M146" i="1"/>
  <c r="H147" i="1"/>
  <c r="M147" i="1"/>
  <c r="H148" i="1"/>
  <c r="M148" i="1"/>
  <c r="H149" i="1"/>
  <c r="M149" i="1"/>
  <c r="H150" i="1"/>
  <c r="M150" i="1"/>
  <c r="H151" i="1"/>
  <c r="M151" i="1"/>
  <c r="H152" i="1"/>
  <c r="M152" i="1"/>
  <c r="H153" i="1"/>
  <c r="M153" i="1"/>
  <c r="H154" i="1"/>
  <c r="M154" i="1"/>
  <c r="H155" i="1"/>
  <c r="M155" i="1"/>
  <c r="H156" i="1"/>
  <c r="M156" i="1"/>
  <c r="H157" i="1"/>
  <c r="M157" i="1"/>
  <c r="H158" i="1"/>
  <c r="M158" i="1"/>
  <c r="H159" i="1"/>
  <c r="M159" i="1"/>
  <c r="H160" i="1"/>
  <c r="M160" i="1"/>
  <c r="H161" i="1"/>
  <c r="M161" i="1"/>
  <c r="H162" i="1"/>
  <c r="M162" i="1"/>
  <c r="H163" i="1"/>
  <c r="M163" i="1"/>
  <c r="H164" i="1"/>
  <c r="M164" i="1"/>
  <c r="H165" i="1"/>
  <c r="M165" i="1"/>
  <c r="H166" i="1"/>
  <c r="M166" i="1"/>
  <c r="H167" i="1"/>
  <c r="M167" i="1"/>
  <c r="H168" i="1"/>
  <c r="M168" i="1"/>
  <c r="H169" i="1"/>
  <c r="M169" i="1"/>
  <c r="H170" i="1"/>
  <c r="M170" i="1"/>
  <c r="H171" i="1"/>
  <c r="M171" i="1"/>
  <c r="H172" i="1"/>
  <c r="M172" i="1"/>
  <c r="H173" i="1"/>
  <c r="M173" i="1"/>
  <c r="H174" i="1"/>
  <c r="M174" i="1"/>
  <c r="H175" i="1"/>
  <c r="M175" i="1"/>
  <c r="H176" i="1"/>
  <c r="M176" i="1"/>
  <c r="H177" i="1"/>
  <c r="M177" i="1"/>
  <c r="H178" i="1"/>
  <c r="M178" i="1"/>
  <c r="H179" i="1"/>
  <c r="M179" i="1"/>
  <c r="H180" i="1"/>
  <c r="M180" i="1"/>
  <c r="H181" i="1"/>
  <c r="M181" i="1"/>
  <c r="H182" i="1"/>
  <c r="M182" i="1"/>
  <c r="H183" i="1"/>
  <c r="M183" i="1"/>
  <c r="H184" i="1"/>
  <c r="M184" i="1"/>
  <c r="H185" i="1"/>
  <c r="M185" i="1"/>
  <c r="H186" i="1"/>
  <c r="M186" i="1"/>
  <c r="H187" i="1"/>
  <c r="M187" i="1"/>
  <c r="H188" i="1"/>
  <c r="M188" i="1"/>
  <c r="H189" i="1"/>
  <c r="M189" i="1"/>
  <c r="H190" i="1"/>
  <c r="M190" i="1"/>
  <c r="H191" i="1"/>
  <c r="M191" i="1"/>
  <c r="H192" i="1"/>
  <c r="M192" i="1"/>
  <c r="H193" i="1"/>
  <c r="M193" i="1"/>
  <c r="H194" i="1"/>
  <c r="M194" i="1"/>
  <c r="H195" i="1"/>
  <c r="M195" i="1"/>
  <c r="H196" i="1"/>
  <c r="M196" i="1"/>
</calcChain>
</file>

<file path=xl/sharedStrings.xml><?xml version="1.0" encoding="utf-8"?>
<sst xmlns="http://schemas.openxmlformats.org/spreadsheetml/2006/main" count="1534" uniqueCount="709">
  <si>
    <t>TRUE</t>
  </si>
  <si>
    <t>05/06/2026: Durante las horas de la tarde del viernes, se realizó la instalación y configuración de las librerías y los paquetes correspondientes de Python directamente en el servidor de producción, dejando el entorno listo y optimizado para los requerimientos del sistema.</t>
  </si>
  <si>
    <t>FINALIZADO</t>
  </si>
  <si>
    <t>Imagine</t>
  </si>
  <si>
    <t>Configuración de Entorno Python en Producción.</t>
  </si>
  <si>
    <t>INFRAESTRUCTURA Y SERVIDORES (Producción)</t>
  </si>
  <si>
    <t>Img_2025_049</t>
  </si>
  <si>
    <t>MAURICIO</t>
  </si>
  <si>
    <t>01/06/2026 al 05/06/2026: Se ejecutó con éxito el cambio físico de las unidades de almacenamiento (File Systems) en el ambiente de producción. Esta migración de infraestructura optimiza y cambia las unidades tanto de los archivos de las aplicaciones como de los volúmenes de las bases de datos.</t>
  </si>
  <si>
    <t>Migración de File Systems en Servidores de Producción.</t>
  </si>
  <si>
    <t>Img_2025_048</t>
  </si>
  <si>
    <t>01/06/2026 al 04/06/2026: Se brindó soporte y se solucionó un bloqueo que impedía editar las órdenes de servicio cuando se modificaban sus unidades. Se realizó el ajuste respectivo en el sistema para permitir guardar estos cambios sin inconvenientes.</t>
  </si>
  <si>
    <t>SST</t>
  </si>
  <si>
    <t>Ajuste en Modificación de Órdenes de Servicio</t>
  </si>
  <si>
    <t>APLICATIVO ALFASST - Soporte Operativo</t>
  </si>
  <si>
    <t>SST_2025_049</t>
  </si>
  <si>
    <t xml:space="preserve">28/05/2026 AL 05/06/2026: Se revisó la gestión de radicación ante reportes de fallas en el envío de correos salientes. No se encontraron anomalías evidentes en los logs en el momento del análisis.
Se dejó el caso en observación. Se coordinó con los compañeros que operan el módulo para que nos informen apenas realicen el próximo proceso de radicación, permitiéndonos ejecutar un monitoreo en tiempo real del servidor de correo.
</t>
  </si>
  <si>
    <t>Revisión del Módulo de Radicación (Fallo en Envío de Correos)</t>
  </si>
  <si>
    <t>Correspondencia - Soporte</t>
  </si>
  <si>
    <t>Img_2025_047</t>
  </si>
  <si>
    <t>06/06/2026: Se realizó de manera exitosa el despliegue en el ambiente de producción de los dos nuevos módulos desarrollados: Reaseguros y Juntas.</t>
  </si>
  <si>
    <t>Previsional</t>
  </si>
  <si>
    <t>Despliegue en Producción</t>
  </si>
  <si>
    <t>Paso a Producción de Nuevos Módulos</t>
  </si>
  <si>
    <t>PRV_2025_066</t>
  </si>
  <si>
    <t xml:space="preserve">28/05/2026 al 06/06/2026: Se avanzó en la construcción del módulo para procesar los formatos del informe de Aviso a la Renta (hojas de Reservas, Pagos y Rentas Vitalicias).
Gestión con el Cliente: Se sostuvieron reuniones estratégicas con el usuario/cliente para validar los primeros resultados del informe de juntas, mostrándole la correcta generación y visualización de los datos correspondientes a la primera hoja de Rentas Vitalicias.
Avance Técnico: Se implementó exitosamente el cargue de los formatos de Rentas y Previsionales.
</t>
  </si>
  <si>
    <t>Desarrollo, Validación y Despliegue del Módulo de Juntas</t>
  </si>
  <si>
    <t>APLICATIVO DE PREVISIONALES - JUNTAS</t>
  </si>
  <si>
    <t>PRV_2025_065</t>
  </si>
  <si>
    <t>20/05/2026 al 22/05/2026: A raíz de la alerta emitida por el área tecnológica sobre el agotamiento de la capacidad de almacenamiento en el ambiente de contingencia (superada tras las pruebas masivas del fin de semana), se procedió con una revisión del sistema de archivos. Se está ejecutando un plan de limpieza, depuración de logs antiguos y compresión de tablas temporales. La meta es reducir el tamaño del almacenamiento para que el entorno de contingencia conserve la misma ligereza, peso y parámetros que el servidor de producción.
23/05/2026: Para mitigar las advertencias de almacenamiento lleno, se realizó un procedimiento técnico crítico: se respaldó la base de datos y se extrajo una copia de seguridad externa de la carpeta Data. Posteriormente, se procedió con el borrado de los archivos locales saturados y se ejecutó una sincronización mediante rsync desde el servidor de producción hacia el servidor de contingencia para restablecer la base de datos limpia y liberar espacio en el disco.
25/05/2026: El área de tecnología emitió una nueva alerta por superación de capacidad. Ante esto, se les ha venido manifestando formalmente que este comportamiento de alertamiento es recurrente y se presenta desde el 16 de mayo (cuando iniciaron las pruebas en este entorno). Se les reiteró que la falla persiste desde antes de las tareas del sábado, específicamente a raíz de la montada de dos nuevas unidades (files y www). Se mantiene la comunicación con el área tecnológica bajo las recomendaciones técnicas entregadas tras la actividad del sábado 23.</t>
  </si>
  <si>
    <t>EN PROCESO</t>
  </si>
  <si>
    <t>Diagnóstico y Depuración de Disco en Servidor de Contingencia.</t>
  </si>
  <si>
    <t>INFRAESTRUCTURA Y SERVIDORES</t>
  </si>
  <si>
    <t>Img_2025_046</t>
  </si>
  <si>
    <t xml:space="preserve">22/05/2026: Se solucionó un reporte de soporte técnico en el módulo del planificador de Alfasst, el cual estaba truncando los valores numéricos y omitiendo el procesamiento de los decimales en sus tareas automáticas. Se ajustó el formateo de las variables de cálculo para garantizar la precisión decimal exacta.
</t>
  </si>
  <si>
    <t>Soporte Crítico — Ajuste en Planificador</t>
  </si>
  <si>
    <t>APLICATIVO ALFASST</t>
  </si>
  <si>
    <t>SST_2025_048</t>
  </si>
  <si>
    <t>19/05/2026 al 21/05/2026: Debido al proceso masivo ejecutado anteriormente para desligar empresas de sus grupos empresariales, se identificó un efecto secundario en el reporte de prefacturación, el cual mezclaba datos históricos ya aprobados en meses anteriores con el periodo actual. Se corrigieron los filtros de la consulta SQL para aislar correctamente el histórico y devolver la consistencia a los reportes del mes.</t>
  </si>
  <si>
    <t xml:space="preserve">Soporte Crítico — Corrección Histórica de Prefacturas </t>
  </si>
  <si>
    <t>SST_2025_047</t>
  </si>
  <si>
    <t>18/05/2026 al 20/05/2026: Se intervino la vista encargada de actualizar los presupuestos corporativos extraídos desde la base de datos de Imagines. La solución consistió en modificar la lógica de la consulta para permitir la carga de periodos adicionales que antes quedaban por fuera. Ahora, el sistema identifica de manera dinámica el último periodo que registró un presupuesto activo vinculado a la póliza y lo utiliza como plantilla base para proyectar y complementar los meses restantes de forma automática.</t>
  </si>
  <si>
    <t>Optimización y Reajuste en Vista de Cotizaciones (cct.cotizacion).</t>
  </si>
  <si>
    <t>PRESUPUESTO EMPRESAS</t>
  </si>
  <si>
    <t>SST_2025_046</t>
  </si>
  <si>
    <t xml:space="preserve">16/05/2026 al 22/05/2026: Se inició la construcción técnica de este nuevo módulo con el fin de incorporar la funcionalidad de Libro Radicador (mecanismo adaptado del sistema de correspondencia). Se estructuró la lógica de extracción y mapeo para tres formatos clave: Base Siniestros, Saldo Reserva Cálculos y Libro Bodega de Datos. Actualmente, el cargue masivo para estos tres archivos base está prácticamente listo, y se avanza en la codificación de las reglas y excepciones particulares que exige el Libro Radicador para completar el flujo de información.
25/05/2026 al 27/05/2026: Se dio continuidad al desarrollo del módulo de Reaseguros, logrando la estabilización exitosa del proceso de cargue para el componente de Libro Radicador (utilizado en correspondencia) hacia la bodega de datos.
28/05/2026 al 06/06/2026: Se avanzó en la construcción del módulo para procesar los formatos del informe de Aviso a la Renta (hojas de Reservas, Pagos y Rentas Vitalicias).
Gestión con el Cliente: Se sostuvieron reuniones estratégicas con el usuario/cliente para validar los primeros resultados del informe de juntas, mostrándole la correcta generación y visualización de los datos correspondientes a la primera hoja de Rentas Vitalicias.
Avance Técnico: Se implementó exitosamente el cargue de los formatos de Rentas y Previsionales. 
</t>
  </si>
  <si>
    <t>Desarrollo del nuevo módulo de Reaseguros</t>
  </si>
  <si>
    <t>APLICATIVO DE PREVISIONALES - RASEGUROS</t>
  </si>
  <si>
    <t>PRV_2025_064</t>
  </si>
  <si>
    <t>07/05/2026 al 16/05/2026: Se realizó la restauración completa de las bases de datos de producción en el ambiente de contingencia.
* Cronograma de Pruebas: El viernes se ejecutó la primera fase de pruebas en este entorno. El sábado se continúa con el plan de pruebas exhaustivo para certificar y garantizar que el aplicativo funcione de manera idéntica y correcta frente a un escenario real de contingencia.</t>
  </si>
  <si>
    <t>Restauración y Pruebas en Ambiente de Contingencia</t>
  </si>
  <si>
    <t>INFRAESTRUCTURA Y PLAN DE CONTINGENCIA</t>
  </si>
  <si>
    <t>Img_2025_045</t>
  </si>
  <si>
    <t xml:space="preserve">07/05/2026 al 15/05/2026: Se realizó con éxito el despliegue oficial al entorno de producción de toda la batería de informes desarrollados:
*Informe de Movimientos de Cierre.
* Tablero de Cierre.
* Reporte de Procesos Jurídicos / Corte.
* Informe para la Superintendencia Financiera.
- Acción: Posterior al despliegue, se brindó soporte preventivo y acompañamiento para asegurar la estabilidad del módulo de carga y consultas.
</t>
  </si>
  <si>
    <t>Despliegue de Nuevos Reportes en Producción</t>
  </si>
  <si>
    <t>APLICATIVO DE PREVISIONALES (Paso a Producción)</t>
  </si>
  <si>
    <t>PRV_2025_063</t>
  </si>
  <si>
    <t>07/05/2026 al 15/05/2026: El aplicativo no cuenta actualmente con un módulo visual para este despliegue. Por lo tanto, se ejecutó un proceso a nivel de backend (por debajo) para revertir el presupuesto descontado cuando las empresas pertenecían al grupo empresarial. Posterior a esto, se corrió la funcionalidad de recálculo de presupuesto para asociarlas correctamente bajo la modalidad de Empresas VIP.</t>
  </si>
  <si>
    <t>Desasociación de Empresas y Recálculo VIP</t>
  </si>
  <si>
    <t>Modulo Empresas</t>
  </si>
  <si>
    <t>SST_2025_045</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</si>
  <si>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</si>
  <si>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23/04/2026 al 07/05/2026: Inclusión de un Certificado Adicional como adjunto en el envío masivo de correos de nómina.</t>
  </si>
  <si>
    <t xml:space="preserve">Rentas </t>
  </si>
  <si>
    <t>Comprobantes de Nómina</t>
  </si>
  <si>
    <t>MÓDULO DE RENTAS VITALICIAS</t>
  </si>
  <si>
    <t>REN_2026_002</t>
  </si>
  <si>
    <t>MAURICI2</t>
  </si>
  <si>
    <t>23/04/2026 al 07/05/2026: Ajuste de lógica para que archivos con estado "Rechazado" puedan pasar a "Pendiente" o "En Proceso" según condiciones para su reprocesamiento.</t>
  </si>
  <si>
    <t>Optimización de Estados</t>
  </si>
  <si>
    <t>REN_2026_001</t>
  </si>
  <si>
    <t>23/04/2026 al 07/05/2026: Corrección en la Opción Segunda Conciliación. Se ajustó la consulta eliminando condiciones que impedían la generación y descarga del reporte.</t>
  </si>
  <si>
    <t>Reporte Conciliaciones Loc</t>
  </si>
  <si>
    <t>APLICATIVO IMAGINEX (Correcciones Técnico-Operativas</t>
  </si>
  <si>
    <t>Img_2025_044</t>
  </si>
  <si>
    <t>23/04/2026 al 07/05/2026: Se retomó la intervención en el módulo de Profesionales para complementar y finalizar el proceso relacionado con el Cronograma de Trabajo.
07/05/2026 al 15/05/2026: Se venía trabajando en este módulo, pero las actividades se pausaron temporalmente debido a un requerimiento prioritario de negocio para desvincular varias empresas de sus grupos empresariales.
26/05/2026 al 27/05/2026: Se retomaron y avanzaron de manera paulatina las actividades de desarrollo dentro del módulo de Profesionales para seguir complementando el flujo de trabajo de la aplicación.</t>
  </si>
  <si>
    <t>Intervención modulo de profesionales con cronograma</t>
  </si>
  <si>
    <t>Módulo de Profesionales</t>
  </si>
  <si>
    <t>SST_2025_044</t>
  </si>
  <si>
    <t>23/04/2026 al 07/05/2026: Creación de un módulo específico para la trazabilidad de movimientos contables y operativos durante la etapa de cierre.</t>
  </si>
  <si>
    <t>Movimientos de Cierre (Nuevo Módulo)</t>
  </si>
  <si>
    <t>CIERRE</t>
  </si>
  <si>
    <t>PRV_2025_062</t>
  </si>
  <si>
    <t>23/04/2026 al 07/05/2026: Consolidación de información de Bodega de Datos y Precierre, permitiendo visualizar el estado de la operación antes del corte.</t>
  </si>
  <si>
    <t>Tablero de Cierre</t>
  </si>
  <si>
    <t>APLICATIVO DE PREVISIONALES (Informes y Gestión)</t>
  </si>
  <si>
    <t>PRV_2025_061</t>
  </si>
  <si>
    <t>18/04/2026 al 20/04/2026: Gestión con el equipo de TI para validar los nuevos parámetros de red y asegurar que las aplicaciones (Alfasst, Previsionales e Imaginex) tengan salida estable por el nuevo canal MPLS.</t>
  </si>
  <si>
    <t>Coordinación de Conectividad (VPN vs MPLS).</t>
  </si>
  <si>
    <t>VALIDACIÓN CONECTIVIDAD</t>
  </si>
  <si>
    <t>Img_2025_043</t>
  </si>
  <si>
    <t>19/04/2026 al 23/04/2026: Sesiones de soporte y reuniones constantes con el cliente para mitigar el impacto causado por el retraso de las notificaciones del fin de semana y asegurar la normalidad en la operación actual.
24/04/2026 al 07/05/2026: Se restableció la conexión con el servidor On-Premise de la base de datos de Imagines, necesaria para que Alfasst pueda cargar el presupuesto de cada empresa.</t>
  </si>
  <si>
    <t>Soporte y Acompañamiento al Cliente.</t>
  </si>
  <si>
    <t>Soporte Técnico y Atención a Eventualidades.</t>
  </si>
  <si>
    <t>SST_2025_043</t>
  </si>
  <si>
    <t>18/04/2026 al 21/04/2026: El sábado 18/04 se interrumpió la entrega de correos de prefacturación debido a un cambio de infraestructura (migración de VPN a MPLS) realizado por el área técnica, lo que causó la pérdida de conexión con el servidor de correos.
Tras coordinar con Infraestructura, se restableció el canal y se procedió con el reenvío masivo de todos los correos de prefacturación pendientes del día 18 a través del proceso interno de Alfasst.</t>
  </si>
  <si>
    <t>Contingencia por Fallo en Servidor de Correos.</t>
  </si>
  <si>
    <t>SST_2025_042</t>
  </si>
  <si>
    <t xml:space="preserve">16/04/2026 al 23/04/2026: Se inició el análisis para la creación de un nuevo módulo centralizado para la gestión de procesos jurídicos. El objetivo es permitir el registro de procesos nuevos, realizar seguimiento detallado y definir estados finales de gestión (Pago u Objeción).
24/04/2026 al 07/05/2026: Optimización del reporte para procesos jurídicos.
Nuevas Funcionalidades: * Descarga del informe para la Superintendencia Financiera.
Habilitación de cargue de formatos adicionales.
</t>
  </si>
  <si>
    <t>Análisis y Diseño del Módulo "Jurídicos Corte".</t>
  </si>
  <si>
    <t>PROCESOS JURIDICOS</t>
  </si>
  <si>
    <t>PRV_2025_060</t>
  </si>
  <si>
    <t>13/04/2026 al 15/04/2026: Se resolvió una dificultad técnica con la visualización de una ventana modal que presentaba errores. La corrección ya fue desplegada y verificada en el entorno de producción.</t>
  </si>
  <si>
    <t>Corrección de Interfaz en Producción.</t>
  </si>
  <si>
    <t>Modulo Imaginex - Soporte Tecnico</t>
  </si>
  <si>
    <t>Img_2025_042</t>
  </si>
  <si>
    <t xml:space="preserve">11/04/2026 al 15/04/2026: Se desarrolló la funcionalidad para eliminar registros y permitir re-cargas. Se habilitó la eliminación individual por formato y la eliminación masiva en las opciones de Tabla de Cierre e Anexo 1.
11/05/2026: Se finaliza funcionalidad </t>
  </si>
  <si>
    <t>Implementar funcionalidad para eliminar registros</t>
  </si>
  <si>
    <t>Implementación de Gestión de Registros</t>
  </si>
  <si>
    <t>PRV_2025_059</t>
  </si>
  <si>
    <t>07/04/2026: Desarrollo y ajuste del parseo de datos para asegurar que los separadores de miles y decimales sean interpretados correctamente por el motor de base de datos, garantizando la integridad financiera
04/05/2026: Se finaliza funcionalidad para cargue de Bodega de Datos.</t>
  </si>
  <si>
    <t>Reingeniería de Scripts de Importación</t>
  </si>
  <si>
    <t>MÓDULO DE PREVISIONALES (Cargas Críticas)</t>
  </si>
  <si>
    <t>PRV_2025_058</t>
  </si>
  <si>
    <t>06/04/2026 al 07/04/2026: Se está trabajando en la estabilización de los formatos de carga, específicamente en el archivo de Saldo Reserva, donde se identificaron dos bloqueos:
Tratamiento Numérico: El sistema omite decimales en valores con comas intermedias o grandes enteros (Ej: 711,000,750 o 650,000), afectando la precisión de los saldos.
Validación de Integridad: El proceso se detiene por duplicidad en la llave única de Periodo + Número de Siniestro en registros que no cumplen con el estándar del módulo.
09/04/2026 al 15/04/2026: Paso a Producción de nuevos formatos. Despliegue oficial de los formatos de Bodega de Datos y Precierre al servidor de producción, integrando la nueva lógica de estabilidad y control de bloqueos de archivos.</t>
  </si>
  <si>
    <t>Importación de Formatos (Bodega de Datos y Precierre)</t>
  </si>
  <si>
    <t>PRV_2025_057</t>
  </si>
  <si>
    <t>21/03/2026 al 01/04/2026: El sistema de colas mantiene un rendimiento rápido, seguro y estable en el envío de notificaciones.</t>
  </si>
  <si>
    <t>Monitoreo Postfix (Oracle Linux)</t>
  </si>
  <si>
    <t>INFRAESTRUCTURA Y REPORTES</t>
  </si>
  <si>
    <t>Img_2025_041</t>
  </si>
  <si>
    <t xml:space="preserve">01/04/2026: Reunión estratégica con el Jefe de Unidad y el equipo de trabajo para analizar las etapas del Wizard. Se definieron los objetivos iniciales de cada paso del proceso.
Próximo Paso: Sesión programada para la semana posterior a Semana Santa, donde se terminará de definir la integración de datos y requisitos por cada paso del Wizard.
</t>
  </si>
  <si>
    <t>Sesión de Definición Funcional (Wizard).</t>
  </si>
  <si>
    <t>Img_2025_040</t>
  </si>
  <si>
    <t>24/03/2026 al 31/03/2026: Se realizó un ajuste integral del diseño, incluyendo visualizaciones, iconos y estructura estética para mejorar la experiencia del usuario.
25/05/2026 al 27/05/2026: En este nuevo aplicativo se avanzó en la creación de la interfaz principal mediante tres tarjetas que representan los diferentes tipos de trámites: Independientes, Voluntarios por Empresa y Por Empresa. Adicionalmente, se desarrolló la funcionalidad para que, al interactuar con cualquiera de estas tarjetas, el sistema despliegue una ventana modal informativa que sirve de guía al usuario, detallando con precisión cuáles son los archivos específicos que se deben cargar para cada trámite.</t>
  </si>
  <si>
    <t>Refinamiento de Interfaz y UX.</t>
  </si>
  <si>
    <t>NUEVO APLICATIVO: INDEPENDIENTES (Diseño y Planeación)</t>
  </si>
  <si>
    <t>Img_2025_039</t>
  </si>
  <si>
    <t>29/03/2026 al 01/04/2026: Validación de los nuevos formatos generados. Se confirmó el correcto funcionamiento de las cargas principales.
* Pendiente: Validación final por parte del cliente del formato específico de Precierre.
08/04/2026 al 10/04/2026: Estabilización del Formato "Saldo Reserva". Se resolvieron las inconsistencias en el parseo numérico y se implementó un control de campos vacíos. Se integró una validación con el archivo impor_file.lock, permitiendo que si el sistema detecta datos vacíos, libere el proceso automáticamente para evitar bloqueos en los siguientes cargues.</t>
  </si>
  <si>
    <t>Funcionalidades y Cargas de archivos</t>
  </si>
  <si>
    <t>Validación de Formatos con el Cliente</t>
  </si>
  <si>
    <t>PRV_2025_056</t>
  </si>
  <si>
    <t>23/03/2026 al 28/03/2026: Desarrollo de opciones de carga para Bodega de Datos y Precierre. Se realizaron pruebas de integridad y carga inicial satisfactoriamente.</t>
  </si>
  <si>
    <t>Implementación de Bodega de Datos y Precierre</t>
  </si>
  <si>
    <t>PRV_2025_055</t>
  </si>
  <si>
    <t>21/03/2026 al 01/04/2026: Acompañamiento constante a los clientes en sus gestiones diarias, resolviendo incidentes de manera inmediata tras el cambio de funcionalidades.</t>
  </si>
  <si>
    <t>SST_2025_041</t>
  </si>
  <si>
    <t>21/03/2026 al 01/04/2026: Monitoreo y refinamiento continuo del modelo de Programa, Actividades y Temáticas. Se garantizó la consistencia de los datos migrados con la nueva lógica operativa</t>
  </si>
  <si>
    <t>Estabilización de la Migración Estructural</t>
  </si>
  <si>
    <t>SST_2025_040</t>
  </si>
  <si>
    <t>18/03/2026 al 20/03/2026: Adaptación de Tablero de Control, Ante-prefactura/Auditoría y Reporte General al nuevo esquema lógico.
21/03/2026 al 31/03/206: Calibración final de Tablero de Control, Auditoría y Reporte General bajo la nueva jerarquía.</t>
  </si>
  <si>
    <t>Reingeniería de Informes Críticos.</t>
  </si>
  <si>
    <t>REESTRUCTURACIÓN DE REPORTES</t>
  </si>
  <si>
    <t>SST_2025_039</t>
  </si>
  <si>
    <t>19/03/2026 al 20/03/2026: Integración con el agente de transferencia de correo Postfix en Oracle Linux. Permite un procesamiento de envíos más rápido y seguro.</t>
  </si>
  <si>
    <t>Optimización del Sistema de Notificaciones.</t>
  </si>
  <si>
    <t>OPTIMIZACIÓN DE INFRAESTRUCTURA</t>
  </si>
  <si>
    <t>Img_2025_038</t>
  </si>
  <si>
    <t>17/03/2026 al 20/03/2026: Demostración técnica y funcional del proceso de carga de formatos directamente en el entorno de producción.</t>
  </si>
  <si>
    <t>Sesiones de Acompañamiento y Capacitación.</t>
  </si>
  <si>
    <t>GESTIÓN CON EL CLIENTE Y CAPACITACIÓN</t>
  </si>
  <si>
    <t>PRV_2025_054</t>
  </si>
  <si>
    <t>17/03/2026 al 20/03/2026: Capacitación al equipo del cliente sobre las nuevas funcionalidades del modelo de Programa, Actividades y Temáticas.</t>
  </si>
  <si>
    <t>SST_2025_038</t>
  </si>
  <si>
    <t>19/03/2026: Despliegue exitoso de los módulos Plantillas Point y Anexo 1 en producción, incluyendo ajustes en diversos formatos para optimizar la carga.</t>
  </si>
  <si>
    <t>Despliegue de Mejoras en Aplicativo</t>
  </si>
  <si>
    <t>Despliegue en Servidor de Producción</t>
  </si>
  <si>
    <t>PRV_2025_053</t>
  </si>
  <si>
    <t>17/03/2026 al 20/03/2026: Monitoreo y corrección de inconsistencias derivadas del cambio lógico en Alfasst. Se ha trabajado activamente en mitigar inconvenientes para asegurar la estabilidad operativa del servicio.
01/04/2026: Finaliza estabilización de los servicios</t>
  </si>
  <si>
    <t>Estabilización de la Nueva Estructura.</t>
  </si>
  <si>
    <t>SST_2025_037</t>
  </si>
  <si>
    <t>16/03/2026: Se realizó el despliegue oficial bajo el nuevo modelo de Programa, Actividades y Temáticas. Se resolvieron conflictos críticos de fusión (merge) y se actualizaron librerías y dependencias.</t>
  </si>
  <si>
    <t>Despliegue en Producción y Gestión de Ramas</t>
  </si>
  <si>
    <t>SST_2025_036</t>
  </si>
  <si>
    <t>12/03/2026: Despliegue de nuevas funcionalidades del Plan de Trabajo en el entorno de pruebas para validación final</t>
  </si>
  <si>
    <t>Despliegue y QA</t>
  </si>
  <si>
    <t>Despliegue en Servidor de Pruebas</t>
  </si>
  <si>
    <t>SST_2025_035</t>
  </si>
  <si>
    <t xml:space="preserve">12/03/2026: Afectación en los archivos de base de datos del servidor on-premise (independiente a la infraestructura de Alfa). Se notificó al área tecnológica de Alfa para la restauración de servicios.
Resultado: Servicio restablecido exitosamente sin pérdida de información.
Nota: La infraestructura de Alfas y el entorno de pruebas se mantuvieron estables y operativos.
</t>
  </si>
  <si>
    <t>Gestión de Incidencias</t>
  </si>
  <si>
    <t>Incidencia en Servidor On-Premise (Producción)</t>
  </si>
  <si>
    <t>Img_2025_037</t>
  </si>
  <si>
    <t>13/03/2026: Actualización técnica en el módulo de plantillas para optimizar el procesamiento de los datos de recuperación.</t>
  </si>
  <si>
    <t>Ajuste en Data de Recuperación</t>
  </si>
  <si>
    <t>Plantillas Point</t>
  </si>
  <si>
    <t>PRV_2025_052</t>
  </si>
  <si>
    <t>12/03/2026: Adición de 7 campos nuevos al formato. Se ajustó el proceso de carga masiva a bloques de 500 registros (procesados de 100 en 100) para garantizar la estabilidad.</t>
  </si>
  <si>
    <t>Ajuste en Formato de Cálculos</t>
  </si>
  <si>
    <t>Anexo 1 - Formatos</t>
  </si>
  <si>
    <t>PRV_2025_051</t>
  </si>
  <si>
    <t>12/03/2026: Acción directa en el calendario para visualizar órdenes ejecutadas, generadas y sus valores.</t>
  </si>
  <si>
    <t>Trazabilidad en Calendario (Dashboard).</t>
  </si>
  <si>
    <t>Plan de Trabajo ALFASST - Trazabilidad</t>
  </si>
  <si>
    <t>SST_2025_034</t>
  </si>
  <si>
    <t>11/03/2026: Funcionalidad para visualizar flujo de órdenes totales vs. agendadas por prefijos.</t>
  </si>
  <si>
    <t>Reportes Dinámicos por Períodos</t>
  </si>
  <si>
    <t>Plan de Trabajo ALFASST - Reportes</t>
  </si>
  <si>
    <t>SST_2025_033</t>
  </si>
  <si>
    <t>09/03/2026 - 10/03/2026: Refacción completa del diseño en la interfaz de asignación de actividades.</t>
  </si>
  <si>
    <t>Optimización Visual y UX</t>
  </si>
  <si>
    <t>Plan de Trabajo ALFASST</t>
  </si>
  <si>
    <t>SST_2025_032</t>
  </si>
  <si>
    <t>06/03/2026: Pruebas finales para validar las mejoras, asegurando que la calidad de la información cumpla con las necesidades operativas de la unidad.</t>
  </si>
  <si>
    <t>Optimización de Importación Masiva.</t>
  </si>
  <si>
    <t>Reservas</t>
  </si>
  <si>
    <t>PRV_2025_050</t>
  </si>
  <si>
    <t>05/03/2026: Se eliminó el conteo de registros en caliente al adjuntar archivos, logrando una carga mucho más rápida y eficiente.</t>
  </si>
  <si>
    <t>PRV_2025_049</t>
  </si>
  <si>
    <t>03/03/2026 al 05/03/2026: Creación del módulo para carga masiva de reservas con formatos específicos. Se implementó un reporte dinámico para exportar información por tipo de formato.</t>
  </si>
  <si>
    <t>Nuevo Módulo de Carga (Reservas).</t>
  </si>
  <si>
    <t>PRV_2025_048</t>
  </si>
  <si>
    <t>04/03/2026: Optimización de la interfaz (UI) para la asignación de actividades, facilitando la gestión visual.</t>
  </si>
  <si>
    <t>Mejora Visual de Asignación.</t>
  </si>
  <si>
    <t>Plan de Trabajo ALFASST - Asignación actividades</t>
  </si>
  <si>
    <t>SST_2025_031</t>
  </si>
  <si>
    <t>04/03/2026: Fortalecimiento de procesos (Creación, Edición, Modificación y Eliminación). Ajuste de lógica para permitir la edición de planes cuando no existan agendas previas.</t>
  </si>
  <si>
    <t>Creación, Edición, Modificación y Eliminación</t>
  </si>
  <si>
    <t>Plan de Trabajo ALFASST - Optimización Integral (CRUD)</t>
  </si>
  <si>
    <t>SST_2025_030</t>
  </si>
  <si>
    <t>02/03/2026 - 03/03/2026: Desarrollo del proceso automático para la generación masiva de órdenes de servicio, sincronizada con la agenda programada.</t>
  </si>
  <si>
    <t>Tarea Programada de Agendamiento.</t>
  </si>
  <si>
    <t>Plan de Trabajo ALFASST - Ordenes de Servicio</t>
  </si>
  <si>
    <t>SST_2025_029</t>
  </si>
  <si>
    <t>27/02/2026: Corrección del error en el tablero de control que impedía la generación del año en vigencia, normalizando los reportes actuales.</t>
  </si>
  <si>
    <t>Ajuste de visualizaciòn de datos</t>
  </si>
  <si>
    <t>Tablero de Control - Control de cambios</t>
  </si>
  <si>
    <t>PRV_2025_047</t>
  </si>
  <si>
    <t>27/02/2026: Sesión de validación sobre la carga de archivos. Se planteó nuevamente la necesidad técnica de integrar la base de datos para optimizar los procesos.</t>
  </si>
  <si>
    <t>Sesión de validaciones</t>
  </si>
  <si>
    <t>Acompañamiento en sesiòn de unidad</t>
  </si>
  <si>
    <t>PRV_2025_046</t>
  </si>
  <si>
    <t>26/02/2026: Ajustes en la infraestructura para evitar caídas y detenciones del sistema causadas por el volumen excesivo de los archivos cargados.</t>
  </si>
  <si>
    <t xml:space="preserve">Ajustes de infraestructura en el servidor para cargar archivos </t>
  </si>
  <si>
    <t>Configuración de Servidor</t>
  </si>
  <si>
    <t>PRV_2025_045</t>
  </si>
  <si>
    <t>26/02/2026: Implementación de reglas técnicas y de negocio para asegurar que las agendas se generen sin errores ni traslapes.</t>
  </si>
  <si>
    <t>Se requiere que las OS sean agendadas correctamente</t>
  </si>
  <si>
    <t>Plan de Trabajo ALFASST - Logica de Validaciones</t>
  </si>
  <si>
    <t>SST_2025_028</t>
  </si>
  <si>
    <t>24/02/2026: Ajuste y optimización de la funcionalidad para modificar registros existentes de forma fluida.</t>
  </si>
  <si>
    <t>Se requiere que los datos registrados en las OS puedan ser editados</t>
  </si>
  <si>
    <t>Plan de Trabajo ALFASST - Modulo de Edición</t>
  </si>
  <si>
    <t>SST_2025_027</t>
  </si>
  <si>
    <t>20/02/2026:         A las 22:00 horas, se procedió con la detención programada de los servicios Apache y PostgreSQL. Esta interrupción se realizó con el fin de facilitar las actividades de gestión de acceso privilegiado (PAM) ejecutadas por el equipo Alfa.</t>
  </si>
  <si>
    <t>Acompañamiento en las pruebas de contingencia programadas por Alfa</t>
  </si>
  <si>
    <t>CONTINGENCIA</t>
  </si>
  <si>
    <t>Img_2025_036</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</si>
  <si>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</si>
  <si>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Validación y restauración de BD de backups en servidores Imagine</t>
  </si>
  <si>
    <t>FALLAS EN LOS SERVIDORES DE PRUEBAS Y PRODUCCIÓN</t>
  </si>
  <si>
    <t>Img_2025_035</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</si>
  <si>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</si>
  <si>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Acompañamiento en la instalación del programa en AWS</t>
  </si>
  <si>
    <t>INSTALACIÓN DE PYTHON EN AMBIENTE QA (INSTANCIA ALFASST)</t>
  </si>
  <si>
    <t>Img_2025_034</t>
  </si>
  <si>
    <t>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25/02/2026: Integración de la nueva funcionalidad para agendar órdenes de servicio (OS) directamente desde el plan de trabajo.</t>
  </si>
  <si>
    <t>Modificación en la creación y generación de ordenes de servicio</t>
  </si>
  <si>
    <t>Plan de Trabajo ALFASST - Pre-Orden de Servicio</t>
  </si>
  <si>
    <t>SST_2025_026</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</si>
  <si>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
23/02/2026: Rediseño integral del flujo para la creación de planes de trabajo, optimizando la entrada de datos.</t>
  </si>
  <si>
    <t>Se requiere reestructurar la forma como se crea el cronograma actualmente</t>
  </si>
  <si>
    <t>Plan de Trabajo ALFASST - Cronograma</t>
  </si>
  <si>
    <t>SST_2025_025</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</si>
  <si>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
27/02/2026: Se finaliza desarrollo y despliegue en ambientes de pruebas y producciòn</t>
  </si>
  <si>
    <t>Modificación en la selección de sedes y creación de campo ciudad</t>
  </si>
  <si>
    <t>Plan de Trabajo ALFASST - Sedes</t>
  </si>
  <si>
    <t>SST_2025_024</t>
  </si>
  <si>
    <t>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12/03/2026: Pendiente definiciòn nuevas funcionalidades por parte del cliente</t>
  </si>
  <si>
    <t>PAUSADO</t>
  </si>
  <si>
    <t>Modificación en la acreditación de profesionales a las ordenes de servicio</t>
  </si>
  <si>
    <t>Plan de Trabajo ALFASST - Acreditación Profesionales</t>
  </si>
  <si>
    <t>SST_2025_023</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</si>
  <si>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
26/02/2026: Se finaliza desarrollo y despliegue en ambientes de pruebas y producciòn</t>
  </si>
  <si>
    <t>Modificación en la asignación de productos y tarifas a los proveedores</t>
  </si>
  <si>
    <t>Plan de Trabajo ALFASST - Proveedor</t>
  </si>
  <si>
    <t>SST_2025_022</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</si>
  <si>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
25/02/2026: Se finaliza desarrollo y despliegue en ambientes de pruebas y producciòn</t>
  </si>
  <si>
    <t>Modificación en el tarifario</t>
  </si>
  <si>
    <t>Plan de Trabajo ALFASST - Actividades</t>
  </si>
  <si>
    <t>SST_2025_021</t>
  </si>
  <si>
    <t>11/02/2026: Se realizó el despliegue oficial del módulo de cálculo de intereses en el ambiente de producción.</t>
  </si>
  <si>
    <t>Despliegue a producción</t>
  </si>
  <si>
    <t>Cálculo de Intereses</t>
  </si>
  <si>
    <t>PRV_2025_044</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</si>
  <si>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</si>
  <si>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Subir al ambiente de pruebas data de producciòn</t>
  </si>
  <si>
    <t>Restauración Bases de Datos Imagine</t>
  </si>
  <si>
    <t>Img_2025_033</t>
  </si>
  <si>
    <t>09/02/2026 al 11/02/2026: Se está trabajando en el cargue de las diversas fuentes requeridas para la gestión de procesos jurídicos:
        Base siniestro y Bodega de datos.
        Cálculos y Consecutivos de Juntas.
        Resumen de Pago de Siniestros.
25/02/2026: Refacción de Archivos y Formatos. Adaptación de archivos de acuerdo a los procesos de la unidad. Se enfrentaron retos técnicos por carga de archivos de alta capacidad (más de 40 GB).
12/03/2026: Se finaliza desarrollo y se entrega para pruebas del cliente. Se proyecta paso a producciòn el sabado 15 de marzo</t>
  </si>
  <si>
    <t>Cargue de archivos</t>
  </si>
  <si>
    <t>Anexo Uno</t>
  </si>
  <si>
    <t>PRV_2025_043</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</si>
  <si>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</si>
  <si>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Duplicar Plan de Trabajo</t>
  </si>
  <si>
    <t>SST_2025_020</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</si>
  <si>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</si>
  <si>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Img_2025_032</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</si>
  <si>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
12/03/2026: El 16/02/2026 Se aplicaron los ajustes finales al módulo y se realizó el despliegue exitoso en el ambiente de producción.</t>
  </si>
  <si>
    <t>Análisis de pagos</t>
  </si>
  <si>
    <t>Fast Track</t>
  </si>
  <si>
    <t>PRV_2025_042</t>
  </si>
  <si>
    <t>19/01/2026: Se completó el despliegue del módulo en el ambiente de pruebas. El proceso queda pendiente únicamente de la ejecución y validación de las pruebas por parte de los interesados.</t>
  </si>
  <si>
    <t>Subir al ambiente de pruebas el desarrollo</t>
  </si>
  <si>
    <t>Transferencia de Aportes</t>
  </si>
  <si>
    <t>Img_2025_031</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</si>
  <si>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</si>
  <si>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Se requiere opciòn para cargue de archivos excel</t>
  </si>
  <si>
    <t>PRV_2025_041</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</si>
  <si>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</si>
  <si>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Validar incidencias reportadas para el módulo de Devoluciones y Objeciones</t>
  </si>
  <si>
    <t>Soporte Previsionales - Modulo Dev y Objeciones</t>
  </si>
  <si>
    <t>PRV_2025_040</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</si>
  <si>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</si>
  <si>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Validar permisos</t>
  </si>
  <si>
    <t>Soporte y Gestòn</t>
  </si>
  <si>
    <t>PRV_2025_039</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</si>
  <si>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</si>
  <si>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Validar de pagos y formatos</t>
  </si>
  <si>
    <t>Modulo Honorarios Jurídicos - Ajuste</t>
  </si>
  <si>
    <t>PRV_2025_038</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</si>
  <si>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</si>
  <si>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Validar Productos</t>
  </si>
  <si>
    <t>Plan de Trabajo ALFASST - Productos</t>
  </si>
  <si>
    <t>SST_2025_019</t>
  </si>
  <si>
    <t xml:space="preserve">05/12/2025: Nos notifican que esta teniendo problemas con el cambio de contraseña, se realiza refactorización de url y se le notifica al cliente. </t>
  </si>
  <si>
    <t>Validar cambios de contraseña</t>
  </si>
  <si>
    <t>Soporte Previsionales - Cambio de Contraseña</t>
  </si>
  <si>
    <t>PRV_2025_037</t>
  </si>
  <si>
    <t>05/12/2025: Se estuvo ajustando el módulo de productos, para que en los parametros de temáticas se puede asociar a un programa.
Para las actividades se les puede asociar un valor.</t>
  </si>
  <si>
    <t>Validar parámetros</t>
  </si>
  <si>
    <t>Plan de Trabajo ALFASST - Parámetros</t>
  </si>
  <si>
    <t>SST_2025_018</t>
  </si>
  <si>
    <t>03/12/2025: Solicitan asignar nuevos permisos a dos integrantes a los modulos que actualmente maneja Blanca.</t>
  </si>
  <si>
    <t>Asignar permisos</t>
  </si>
  <si>
    <t>Soporte Previsionales</t>
  </si>
  <si>
    <t>PRV_2025_036</t>
  </si>
  <si>
    <t xml:space="preserve">03/12/2025: Se presenta issu en el cargue de archivos debido a que el sistema tiene limitado el cargue 2MB, por lo tanto, de aumenta tamaño a 5MB </t>
  </si>
  <si>
    <t>Validar consumo de memoria</t>
  </si>
  <si>
    <t>Img_2025_030</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</si>
  <si>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</si>
  <si>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Validar cambios que se requieren para la elaboraciòn de Cronograma, generaciòn de OD</t>
  </si>
  <si>
    <t>SST_2025_017</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</si>
  <si>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</si>
  <si>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Notificaciòn de Alto Flujo de Memoria Servidor de Pruebas</t>
  </si>
  <si>
    <t>Img_2025_029</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</si>
  <si>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</si>
  <si>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Validar incidencias y cambios de control que surgieron en sesiòn de pruebas UAT</t>
  </si>
  <si>
    <t>PRV_2025_035</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</si>
  <si>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</si>
  <si>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Se require validar fechas de envio de notificaciones de aviso de incumplimiento</t>
  </si>
  <si>
    <t>Aviso de Incumplimiento</t>
  </si>
  <si>
    <t>Img_2025_028</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</si>
  <si>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</si>
  <si>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Se requiere soporte para despliegue a producciòn y pruebas del modulo certificados masivos</t>
  </si>
  <si>
    <t>Soporte a Wilson Aponte</t>
  </si>
  <si>
    <t>Img_2025_027</t>
  </si>
  <si>
    <t>21/11/2025: Se brindo apoyo para el cambio de contraseña a la Doc Claudia Vargas, ya que generaba error al redirigirla en la opciòn de cambiar la contraseña</t>
  </si>
  <si>
    <t>Se requiere validaciòn en cambio de contraseña, arroja error</t>
  </si>
  <si>
    <t>Soporte modulo Imaginex</t>
  </si>
  <si>
    <t>Img_2025_026</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</si>
  <si>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
12/03/2026: Se finaliza desarrollo y se entrega para pruebas del cliente. Se proyecta paso a producciòn el sabado 15 de marzo</t>
  </si>
  <si>
    <t>Se requiere reajustar la vista del requerimiento</t>
  </si>
  <si>
    <t>Informe Anexo 1</t>
  </si>
  <si>
    <t>PRV_2025_034</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</si>
  <si>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</si>
  <si>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Validar incidencia reportada por el àrea para el cargue de documentos por parte de los proveedores</t>
  </si>
  <si>
    <t>Soporte a Seguridad y Salud en el Trabajo - SST</t>
  </si>
  <si>
    <t>SST_2025_016</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</si>
  <si>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</si>
  <si>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Validar incidencia reportada por el àrea en cierre de ordenes de servicio</t>
  </si>
  <si>
    <t>SST_2025_015</t>
  </si>
  <si>
    <t>18/11/2025: Se brinda soporte a Wilson Aponte para bajar cambios de este modulo nuevo en producciòn y en pruebas. Durante el proceso se presento inconveniente con el repositorio debido a connection time out.</t>
  </si>
  <si>
    <t>Img_2025_025</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</si>
  <si>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</si>
  <si>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Se requiere un ajuste para que muestre todos los beneficiarios de las rentas y no solo prioridad</t>
  </si>
  <si>
    <t>Validación Documental_Ajuste</t>
  </si>
  <si>
    <t>REN_2025_09</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</si>
  <si>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</si>
  <si>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Se requiere eliminar imagenes</t>
  </si>
  <si>
    <t>SST_2025_014</t>
  </si>
  <si>
    <t>11/11/2025: Se desplegó en el ambiente de pruebas de Imagine, nueva funcionalidad de generaciòn de certificados masivos.</t>
  </si>
  <si>
    <t>Subir funcionalidad de certificados masivos</t>
  </si>
  <si>
    <t>Soporte a Wilson Aponte - Certificados Masivos</t>
  </si>
  <si>
    <t>Img_2025_024</t>
  </si>
  <si>
    <t>09/11/2025: Se realiza despliegue de los modulos Inventario, Devoluciòn y Objeciones y ANS Devoluciones y Objeciones. El proceso arranco a las 11:00 am y finalizó a las 3:00 pm</t>
  </si>
  <si>
    <t>Realizar paso a producciòn de 3 requerimientos de Previsionales</t>
  </si>
  <si>
    <t>Img_2025_023</t>
  </si>
  <si>
    <t>07/11/2025: Se brinda soporte a Rentas Vitalicias ya que estaba presentando error en el cargue de unas imagenes.</t>
  </si>
  <si>
    <t>REN_2025_08</t>
  </si>
  <si>
    <t>07/11/2025: Se brinda soporte a SST en el módulo Alfasst ya que presentaba incidencia en la creaciòn de una OD en el cronograma</t>
  </si>
  <si>
    <t>Validar incidencia en creaciòn de cronograma</t>
  </si>
  <si>
    <t>SST_2025_013</t>
  </si>
  <si>
    <t>06/11/2025: El dìa 06 de noviembre Mauricio no tuvo conexiòn debido al traslado de equipo fisico a otro punto. Por tanto, no pudo avanzar en requerimientos.</t>
  </si>
  <si>
    <t>Sin conexión</t>
  </si>
  <si>
    <t>Img_2025_022</t>
  </si>
  <si>
    <t>06/11/2025: Se clona maquina local y se genera export por solicitud de Wilson Aponte, para montar el ambiente en su maquina virtual.</t>
  </si>
  <si>
    <t>Img_2025_021</t>
  </si>
  <si>
    <t>05/11/2025: Se brinda soporte en el ambiente de pruebas de Imaginex para el proceso masivo de certificados</t>
  </si>
  <si>
    <t>Img_2025_020</t>
  </si>
  <si>
    <t>05/11/2025: Se brinda soporte en ALFASST, para la definición de actividades transversales</t>
  </si>
  <si>
    <t>SST_2025_012</t>
  </si>
  <si>
    <t>05/11/2025:Se brinda apoyo a rentas vitalicias en cuanto a la validación documental y unos errores que se estaban presentando con una tipología.</t>
  </si>
  <si>
    <t>REN_2025_07</t>
  </si>
  <si>
    <t>29/10/2025: Se soluciona la incidencia reportada en la validación documental para la tipificación DDEP</t>
  </si>
  <si>
    <t xml:space="preserve">rentas </t>
  </si>
  <si>
    <t>Validar y parametrizar los documentos en validacion documental en tipificación de documentos</t>
  </si>
  <si>
    <t>REN_2025_06</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</si>
  <si>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</si>
  <si>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Implementar módulo de pago de honorarios juridicos del área Previsionales</t>
  </si>
  <si>
    <t>Modulo Honorarios Jurídicos</t>
  </si>
  <si>
    <t>PRV_2025_033</t>
  </si>
  <si>
    <t>24/10/2025: Se ajusto la tarea programada para jecutar diariamente de lunes a viernes y días hábiles.</t>
  </si>
  <si>
    <t>Ajustar tarea programada para envío de notificaciones</t>
  </si>
  <si>
    <t>Modulo Objeciones y Devoluciones - Ajuste</t>
  </si>
  <si>
    <t>PRV_2025_032</t>
  </si>
  <si>
    <t>24/10/2025: Se implementó la opción de agregar indicadores de gestión</t>
  </si>
  <si>
    <t>Se requiere agregar ANS</t>
  </si>
  <si>
    <t>PRV_2025_031</t>
  </si>
  <si>
    <t>17/10/2025: Al finalizar el proceso de sincronización (Anexo 1), se agrogo la funcionalidad de exportar un reporte detallado. Este reporte ahora incluye el conteo de cuantos casos de procesos juridicos se tienen por aplicación (Sipren Plus o Sipren Tierra)</t>
  </si>
  <si>
    <t>Se requiere export con el  reporte de casos</t>
  </si>
  <si>
    <t>Modulo Anexo 1 - Ajuste</t>
  </si>
  <si>
    <t>PRV_2025_029_1</t>
  </si>
  <si>
    <t>20/10/2025: La solicitud original requeria ejecutar la tarea todos los viernes a las 6 pm con el ajuste al día anterior si era festivo, lo cual ha cambiado.  Ahora se requiere la ejecución diaria, de lunes a viernes a las 6pm</t>
  </si>
  <si>
    <t>Se requiere corregir programación de la tarea.</t>
  </si>
  <si>
    <t>Modulo Aviso a la Renta - Ajuste</t>
  </si>
  <si>
    <t>PRV_2025_030</t>
  </si>
  <si>
    <t>PRV_2025_029</t>
  </si>
  <si>
    <t>17/10/2025: Actualmente se esta trabajando en el cargue masivo de procesos juridicos.
20/10/2025: Se realiza la corrección en el cargue masivo, para evitar errores</t>
  </si>
  <si>
    <t>Ajustar el cargue masivo</t>
  </si>
  <si>
    <t>Modulo Procesos Juridicos - Ajuste</t>
  </si>
  <si>
    <t>PRV_2025_028</t>
  </si>
  <si>
    <t>17/10/2025: El 15 de octubre Se refactorizó el módulo de procesos jurídicos, implementando un botón para la sincronización de información</t>
  </si>
  <si>
    <t>Se requiere crear opción de sincronizaciòn de información</t>
  </si>
  <si>
    <t>Modulo Procesos Juridicos</t>
  </si>
  <si>
    <t>PRV_2025_027</t>
  </si>
  <si>
    <t>15/10/2025: El 14 de octubre se crea tarea programada para la sincronización de inventarios cada media hora.</t>
  </si>
  <si>
    <t>Crear tarea programada</t>
  </si>
  <si>
    <t>Modulo de Inventarios - Ajuste 2</t>
  </si>
  <si>
    <t>PRV_2025_026</t>
  </si>
  <si>
    <t>15/10/2025: El 14 de octubre se realiza ajuste a la vista de búsqueda de los servicios SAT Independientes</t>
  </si>
  <si>
    <t>Ajuste en vista</t>
  </si>
  <si>
    <t>Servicios SAT Independientes - Consultas</t>
  </si>
  <si>
    <t>Img_2025_019</t>
  </si>
  <si>
    <t>15/10/2025: El 14 de octubre se agrega opción para exportar informe.
Pendiente definir por el área que campos se mostrarán, ya que actualmente exporta todos los datos</t>
  </si>
  <si>
    <t>Crear export de detalles</t>
  </si>
  <si>
    <t>Modulo de Inventarios - Ajuste 1</t>
  </si>
  <si>
    <t>PRV_2025_025</t>
  </si>
  <si>
    <t>14/10/2025: El 10 de octubre, Mauricio realiza validacion y ajustes correspondientes en la incidencia presentada en cuanto al cargue de documentos como hoja de vida y licencia en la creaciòn de un profesional.</t>
  </si>
  <si>
    <t>Se requiere validar el cargue de documentos en la creacion del profesional, ya que no quedan adjuntos</t>
  </si>
  <si>
    <t>Ajuste modulo profesionales-Ajuste</t>
  </si>
  <si>
    <t>SST_2025_011</t>
  </si>
  <si>
    <t>14/10/2025: El viernes 10 de octubre, se notifico al area de TI Alfa, sobre la imposobilidad de sincronizar el servidor de produccion con el servidor de contingencia</t>
  </si>
  <si>
    <t>Sincronizacion BD</t>
  </si>
  <si>
    <t>Servidor de Produccion y Contingencia</t>
  </si>
  <si>
    <t>Img_2025_018</t>
  </si>
  <si>
    <t>14/10/2025: El 09 de octubre, Mauricio desarrolla el modulo de indicadores de pendientes, el cual muestra los casos sin resolver, clasificados por rangos de tiempo: Del dia 1 al dia 8, y mas de 8 dias. Este informe se presenta por usuario</t>
  </si>
  <si>
    <t>Se implementa modulo para mostrar los casos sin resolucion</t>
  </si>
  <si>
    <t>Modulo de Indicadores Pendientes</t>
  </si>
  <si>
    <t>PRV_2025_024</t>
  </si>
  <si>
    <t>14/10/2025: El 08 de octubre Mauricio implementò la opcion de tarea programada en el modulo de Objeciones y Devoluciones, para notificación diaria a las 4 pm</t>
  </si>
  <si>
    <t>Implementar tarea programada para envío de notificaciones</t>
  </si>
  <si>
    <t>PRV_2025_023</t>
  </si>
  <si>
    <t>08/10/2025: Entre 06 y 07 de octubre, se desarrolla formulario de consulta para servicios del Ministerio de Trabajadores Independientes Trasladables de ARL.</t>
  </si>
  <si>
    <t>Desarrollar consultas de los servicios creados en SAT para independientes de trabajadores trasladables</t>
  </si>
  <si>
    <t>Img_2025_017</t>
  </si>
  <si>
    <t>08/10/2025: Entre 06 y 07 de octubre, se desarrolla formulario de consulta para servicios del Ministerio del detalle de afiliaciones activas en la ARL</t>
  </si>
  <si>
    <t>Desarrollar consultas de los servicios creados en SAT para independientes de detalle de afiliaciones activas</t>
  </si>
  <si>
    <t>Img_2025_016</t>
  </si>
  <si>
    <t>08/10/2025: Entre 06 y 07 de octubre, se realizó el despliegue del servicio de Reporte de mora, acuerdos de pago e incumplimiento de Independientes en el ambiente de pruebas OnPremise</t>
  </si>
  <si>
    <t>Crear servicio del Ministerio de Salud y Protección Social de Reporte en Mora</t>
  </si>
  <si>
    <t>Servicios SAT Independientes - 6</t>
  </si>
  <si>
    <t>Img_2025_015</t>
  </si>
  <si>
    <t>08/10/2025: El 07 de octubre se agregan los campos de fecha cierre y fecha de notificaciòn, solicitados por el área.
Pendientes: Automatizar envio de informe y correr sincronizacion al cargar el Excel</t>
  </si>
  <si>
    <t>Se requiere agregar campos solicitados por el cliente</t>
  </si>
  <si>
    <t>Aviso a la Renta - Ajuste</t>
  </si>
  <si>
    <t>PRV_2025_022</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</si>
  <si>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</si>
  <si>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Modulo Objeciones y Devoluciones</t>
  </si>
  <si>
    <t>PRV_2025_021</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</si>
  <si>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</si>
  <si>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</si>
  <si>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Restauración BD Pruebas Imagine</t>
  </si>
  <si>
    <t>Img_2025_014</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</si>
  <si>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</si>
  <si>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Validar error de generación de doble correo en flujo de pagos</t>
  </si>
  <si>
    <t>Revisión generación de correo doble</t>
  </si>
  <si>
    <t>PRV_2025_020</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</si>
  <si>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</si>
  <si>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Validar error de restricción de URL/Bad Request</t>
  </si>
  <si>
    <t>Revisión error en URL</t>
  </si>
  <si>
    <t>PRV_2025_019</t>
  </si>
  <si>
    <t>03/10/2025: El 02 de octubre, Mauricio valida incidencia en la lentitud o no cargue al editar en modulo de profesionales en el rol Gestor en pruebas.</t>
  </si>
  <si>
    <t>Se requiere validar el modulo de profesionales ya que en pruebas no carga para realizar el test correspondiente, adicional presenta lentitud en algunas funciones</t>
  </si>
  <si>
    <t>Ajuste modulo profesionales-Lentitud</t>
  </si>
  <si>
    <t>SST_2025_010</t>
  </si>
  <si>
    <t>26/09/2025: El 25 de septiembre, se brinda soporte a Rentas, dando solución a una incidencia presentada en la parametrización de origen de archivos de Sustitucion con el parentesco Hijos.</t>
  </si>
  <si>
    <t>Validar y parametrizar los documentos en validacion documental para el nuevo origen Sustitucion, sin embargo, en el parentesco Hijos no mostraba informaciòn correcta</t>
  </si>
  <si>
    <t>REN_2025_05</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</si>
  <si>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</si>
  <si>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Desarrollar consultas de los servicios creados en SAT para independientes en Mora ARL</t>
  </si>
  <si>
    <t>Img_2025_013</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</si>
  <si>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</si>
  <si>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Desarrollar consultas de los servicios creados en SAT para independientes de afiliaciones activas</t>
  </si>
  <si>
    <t>Img_2025_012</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</si>
  <si>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</si>
  <si>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Se requiere crear un nuevo grupo para incluir los estados ANULADOS, en las gráficas del tablero de estadisticas</t>
  </si>
  <si>
    <t>ANS - TABLERO DE CONTROL  - Ajuste</t>
  </si>
  <si>
    <t>PRV_2025_018</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</si>
  <si>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</si>
  <si>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Crear servicio del Ministerio de Salud y Protección Social de Cambio de Ocupación en Independientes Voluntarios</t>
  </si>
  <si>
    <t>Servicios SAT Independientes - 5</t>
  </si>
  <si>
    <t>Img_2025_011</t>
  </si>
  <si>
    <t>18/09/2025: El 17 de septiembre se creo el servicio de Traslado de ARL de Trabajadores Independientes. 
Pendiente ajuste en el maestro de empleados.
08/10/2025: Se terminan desarrollos en el servicio SAT para traslado de ARL independientes</t>
  </si>
  <si>
    <t>Crear servicio del Ministerio de Salud y Protección Social de Traslado de ARL</t>
  </si>
  <si>
    <t>Servicios SAT Independientes - 4</t>
  </si>
  <si>
    <t>Img_2025_010</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</si>
  <si>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</si>
  <si>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Crear servicio del Ministerio de Salud y Protección Social de Terminación de Afiliación</t>
  </si>
  <si>
    <t>Servicios SAT Independientes - 3</t>
  </si>
  <si>
    <t>Img_2025_009</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</si>
  <si>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</si>
  <si>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 xml:space="preserve">Crear servicio del Ministerio de Salud y Protección Social de Retractación </t>
  </si>
  <si>
    <t>Servicios SAT Independientes - 2</t>
  </si>
  <si>
    <t>Img_2025_008</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</si>
  <si>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</si>
  <si>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Crear servicio del Ministerio de Salud y Protección Social de Afiliaciones Independientes</t>
  </si>
  <si>
    <t>Servicios SAT Independientes - 1</t>
  </si>
  <si>
    <t>Img_2025_007</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</si>
  <si>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</si>
  <si>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</si>
  <si>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Img_2025_003</t>
  </si>
  <si>
    <t>22/08/2025: El día 21 de agosto Mauricio se ha encargado de atender tareas asignadas por Jenry para mejorar el tema de control y seguimiento en ambiente de contingencia:
- Revisar cada cuanto se sincronizan las imagenes, si cada hora de lunes a viernes</t>
  </si>
  <si>
    <t>Validar servidor de contingencia - Tarea 3</t>
  </si>
  <si>
    <t>Img_2025_002-3</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</si>
  <si>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</si>
  <si>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Crear .bash para mostrar registros de contingencia en producción</t>
  </si>
  <si>
    <t>Validar servidor de contingencia - Tarea 2</t>
  </si>
  <si>
    <t>Img_2025_002-2</t>
  </si>
  <si>
    <t>22/08/2025: El día 21 de agosto Mauricio se ha encargado de atender tareas asignadas por Jenry para mejorar el tema de control y seguimiento en ambiente de contingencia:
- Parametrizar el mostrar los tiempos que demora la sincronización</t>
  </si>
  <si>
    <t>Validar servidor de contingencia - Tarea 1</t>
  </si>
  <si>
    <t>Img_2025_002-1</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</si>
  <si>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</si>
  <si>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Ajuste Auxilio Funerario</t>
  </si>
  <si>
    <t>PRV_2025_004-10</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</si>
  <si>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</si>
  <si>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PRV_2025_004-9</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</si>
  <si>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</si>
  <si>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PRV_2025_004-7</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</si>
  <si>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</si>
  <si>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Ajuste Aviso a la Renta</t>
  </si>
  <si>
    <t>PRV_2025_004-6</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</si>
  <si>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</si>
  <si>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Ajuste Modulo de Pagos 2</t>
  </si>
  <si>
    <t>PRV_2025_004-5</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</si>
  <si>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</si>
  <si>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Ajuste Modulo de Pagos 1</t>
  </si>
  <si>
    <t>PRV_2025_004-4</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</si>
  <si>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</si>
  <si>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Solicitar acceso a vistas y tablas</t>
  </si>
  <si>
    <t>PRV_2025_004-8</t>
  </si>
  <si>
    <t>CARLOS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</si>
  <si>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</si>
  <si>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Conexiones con Ministerio -SAT Independientes</t>
  </si>
  <si>
    <t>Img_2025_006</t>
  </si>
  <si>
    <t>Img_2025_005</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</si>
  <si>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</si>
  <si>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Se requiere optimizar rendimiento y capacidad de las funciones del aplicativo Alfasst</t>
  </si>
  <si>
    <t>Consultas y optimización de vistas (Alfa)</t>
  </si>
  <si>
    <t>PRV_2025_017</t>
  </si>
  <si>
    <t xml:space="preserve">04/09/2025: Se identificaron cambios en la configuración, por lo que se programó la reconfiguración de servicios en horas de la tarde.
</t>
  </si>
  <si>
    <t>Conexiones con Ministerio -SAT</t>
  </si>
  <si>
    <t>Img_2025_004</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</si>
  <si>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</si>
  <si>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Se incluye en las graficas aux funerarios</t>
  </si>
  <si>
    <t>Actualización Tablero de Estadistica y Cumplimiento</t>
  </si>
  <si>
    <t>PRV_2025_016</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</si>
  <si>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</si>
  <si>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Creaciòn de vistas en ambiente DLL Alfa para desarrollo de requerimientos previsionales</t>
  </si>
  <si>
    <t>Creaciòn Vistas en DLL Alfa</t>
  </si>
  <si>
    <t>PRV_2025_015</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</si>
  <si>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</si>
  <si>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Se requiere validar y realizar ajustes de errores e incidencias que se están presentando en el módulo para realizar las pruebas por parte del cliente y sea certificado el paso a producción</t>
  </si>
  <si>
    <t>Ajuste modulo profesionales</t>
  </si>
  <si>
    <t>SST_2025_009</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</si>
  <si>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</si>
  <si>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Aviso a la Renta Control de Cambios Reporte</t>
  </si>
  <si>
    <t>PRV_2025_014</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</si>
  <si>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</si>
  <si>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Auxilios Funerarios Control de Cambios Archivo</t>
  </si>
  <si>
    <t>PRV_2025_013</t>
  </si>
  <si>
    <t>29/08/2025: 25/08/2025: Se solucionaron errores en el módulo de profesionales y se realizaron correcciones funcionales en ambiente Imagine.</t>
  </si>
  <si>
    <t>Validación Modulo de Profesionales</t>
  </si>
  <si>
    <t>SST_2025_008</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</si>
  <si>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</si>
  <si>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Aviso a la Renta Control de Cambios</t>
  </si>
  <si>
    <t>PRV_2025_010</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</si>
  <si>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</si>
  <si>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Auxilios Funerarios Control de Cambios</t>
  </si>
  <si>
    <t>PRV_2025_012</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</si>
  <si>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</si>
  <si>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Flujo de Pagos Control de cambios</t>
  </si>
  <si>
    <t>PRV_2025_008</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</si>
  <si>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</si>
  <si>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Sincronización de estados de casos</t>
  </si>
  <si>
    <t>PRV_2025_0011</t>
  </si>
  <si>
    <t>29/08/2025: 25/08/2025: Se implementó el ajuste para que, al cambiar un caso de estado CORRECCIÓN → REVISADO, se ejecute la sincronización individual del valor, considerando posibles modificaciones.</t>
  </si>
  <si>
    <t>PRV_2025_006</t>
  </si>
  <si>
    <t>29/08/2025: 25/08/2025: Se ajustó la configuración de pgAdmin para garantizar la conexión con las distintas bases de datos de ALFASST.</t>
  </si>
  <si>
    <t>Accesos y configuración técnica QA ALFASST AWS</t>
  </si>
  <si>
    <t>SST_2025_007</t>
  </si>
  <si>
    <t>29/08/2025: 25/08/2025: Se refrescaron claves y accesos, especialmente en el servidor de pruebas, que presentaba problemas de ingreso.</t>
  </si>
  <si>
    <t>SST_2025_006</t>
  </si>
  <si>
    <t>29/08/2025: 25/08/2025: Se solucionaron errores en el módulo de profesionales y se realizaron correcciones funcionales.</t>
  </si>
  <si>
    <t>Validar el modulo de profesionales para que el àrea pueda realizar pruebas</t>
  </si>
  <si>
    <t>SST_2025_005</t>
  </si>
  <si>
    <t>29/08/2025: 25/08/2025: Se restablecieron los cronogramas del año vigente en los entornos QA y PT para habilitar el nuevo módulo de profesionales y permitir sus respectivas pruebas.</t>
  </si>
  <si>
    <t>Ajustes en servidores QA y PT de ALFASST AWS</t>
  </si>
  <si>
    <t>SST_2025_004</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</si>
  <si>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</si>
  <si>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SST_2025_003</t>
  </si>
  <si>
    <t>29/08/2025: 25/08/2025: Se retomaron las pruebas en los entornos QA y PT para validar nuevos requerimientos y hacer seguimiento al estado de aquellos que aún se encuentran pendientes por ser desplegados en producción.</t>
  </si>
  <si>
    <t>SST_2025_002</t>
  </si>
  <si>
    <t>29/08/2025: 25/08/2025: Los desarrollos para esta aplicación se encontraban detenidos desde el año pasado. Por lo cual los ambientes no se encontraban actualizados y/o con data actualizada para pruebas.</t>
  </si>
  <si>
    <t>SST_2025_001</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</si>
  <si>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</si>
  <si>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Crear .bash para notificar  sincronización en base de datos</t>
  </si>
  <si>
    <t>Validar servidor de contingencia</t>
  </si>
  <si>
    <t>Img_2025_002</t>
  </si>
  <si>
    <t>27/08/2025: El 26 de agosto se trabajo en el desarrollo del informe general de pagos y auxilios funerarios.</t>
  </si>
  <si>
    <t>Generar un informe con el detalle de mostrar consulta y la trazabilidad de los casos de los procesos entregados a producciòn en semanas anteriores.</t>
  </si>
  <si>
    <t xml:space="preserve">Genera  informes generales pagos y auxilios funerarios </t>
  </si>
  <si>
    <t>PRV_2025_004-3</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</si>
  <si>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</si>
  <si>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Ajustes auxilios funerarios y aviso a la renta</t>
  </si>
  <si>
    <t>PRV_2025_004-2</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</si>
  <si>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</si>
  <si>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Ajustes modulo auxilios funerario</t>
  </si>
  <si>
    <t>PRV_2025_004-1</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</si>
  <si>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</si>
  <si>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Img_2025_001</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</si>
  <si>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</si>
  <si>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AVISO A LA RENTA (Desarrollo)</t>
  </si>
  <si>
    <t>PRV_2025_003-1</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</si>
  <si>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</si>
  <si>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AVISO A LA RENTA (Levantamiento del requerimiento)</t>
  </si>
  <si>
    <t>PRV_2025_003</t>
  </si>
  <si>
    <t>Carlos y Cindy</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</si>
  <si>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</si>
  <si>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 xml:space="preserve">Ajuste flujo de  pagos </t>
  </si>
  <si>
    <t>PRV_2025_001</t>
  </si>
  <si>
    <t>17/10/2025: El 15 de octubre se termino el desarrollo del requerimiento Anexo 1, posteriormente se han realizado validaciones y ajustes que se cruzan con otros requerimientos, con el fin de no presentar incindencias</t>
  </si>
  <si>
    <t>REPORTE ANEXO 1 (desarrollo )</t>
  </si>
  <si>
    <t>PRV_2025_002-1</t>
  </si>
  <si>
    <t>17/07/2025 Se esta culminado el query para generar reporte</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</si>
  <si>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</si>
  <si>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REPORTE ANEXO 1 (Lentantamiento de requerimiento)</t>
  </si>
  <si>
    <t>PRV_2025_002</t>
  </si>
  <si>
    <t>17/07/2025 Se solicita realizar desarrollo inicial para lo que ya se encuentra en produccion en cuanto a pagos. Este modulo tambien debe conterner lo correpondiente a Auxilio funerario que actualmente se encuentra pausado</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</si>
  <si>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</si>
  <si>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ANS - TABLERO DE CONTROL  - dashboard</t>
  </si>
  <si>
    <t>PRV_2025_011</t>
  </si>
  <si>
    <t>16/07/2025: Se finaliza ajuste 15 de julio y se realiza despliegue a produccion el 16 de julio en la mañana.</t>
  </si>
  <si>
    <t>INCLUIR VALIDACIÓN ADICIONAL PARA RCMA – DDEP.</t>
  </si>
  <si>
    <t>AJUST_REN_2025_001_5</t>
  </si>
  <si>
    <t>11/07/2025: EL 10 de julio Se realizaron pruebas por parte de Carlos Rodríguez. Actualmente, el cambio se encuentra pendiente de ser implementado en el ambiente de producción.
15/07/2025:Se realizó el paso a producción el día 14 de julio.</t>
  </si>
  <si>
    <t>VALIDAR INCONSISTENCIA INFORME RENTAS RCMA – DDEP</t>
  </si>
  <si>
    <t>AJUST_REN_2025_001_4</t>
  </si>
  <si>
    <t>15/07/2025 Se inicia ajustes requeridos
17/07/2025 Requerimiento probado y en produccion. Se realizo paso a produccion el dia 17/07/2025</t>
  </si>
  <si>
    <t>15/07/2025: Se inician ajustes solicitados
18/07/2025 Se culminaron los ajustes requeridos por el área, se realiza paso a produccion el 17 de julio.</t>
  </si>
  <si>
    <t>CAMBIO DE ESTADO DE IMÁGENES PARA RENTAS NO CONTRATADAS</t>
  </si>
  <si>
    <t>AJUST_REN_2025_001_3</t>
  </si>
  <si>
    <t>26/06/2025 Se incluyen requerimientos de acuerdo  a sesiones con el cliente. Corresponde a ajustes a plataforma ya en produccion
10/07/2025 Se realizan ajustes solicitados por el area. Y ya se entregaron en produccion. El cliente realizo pruebas y confirmo ajuste.</t>
  </si>
  <si>
    <t>10/07/2025: Se realizaron los ajustes solicitados por el área y estos ya fueron entregados en el ambiente de producción. El cliente efectuó las pruebas correspondientes y confirmó que el ajuste fue aplicado correctamente.</t>
  </si>
  <si>
    <t xml:space="preserve">INFORME DE PRESIDENCIA (Validación Documental Rentas) </t>
  </si>
  <si>
    <t>AJUST_REN_2025_001_2</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</si>
  <si>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</si>
  <si>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</si>
  <si>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INCLUIR VALIDACION DOCUMENTAL PARA NUEVO ORIGEN SUSTITUCION PENSIONAL I</t>
  </si>
  <si>
    <t>AJUST_REN_2025_001_1</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</si>
  <si>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</si>
  <si>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</si>
  <si>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HISTORIA LABORAL</t>
  </si>
  <si>
    <t>PRV_2025_005</t>
  </si>
  <si>
    <t>10/07/2025 Posterior a pruebas se solicito ajuste a Mauricio para que no mostrara informacion diferentes a cod_origen 1,2
15/07/2025 Ya se encuenra en produccion</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</si>
  <si>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</si>
  <si>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CALCULO IBL</t>
  </si>
  <si>
    <t>PRV_2025_007</t>
  </si>
  <si>
    <t>15/07/2025 Ya se encuenra en produccion</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</si>
  <si>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</si>
  <si>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DESARROLLO PREVISIONALES  INCAPACIDADES</t>
  </si>
  <si>
    <t>PRV_2025_009</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</si>
  <si>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</si>
  <si>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AUXILIOS FUNERARIOS
PAGO AUX. FUNERARIOS</t>
  </si>
  <si>
    <t>PRV_2025_004</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</si>
  <si>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</si>
  <si>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VALIDACIÓN DE LOTE PARA PAGO,
NOTIFICACIÓN DE PAGO</t>
  </si>
  <si>
    <t>PRV_2025_001_2</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</si>
  <si>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</si>
  <si>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REVISIÓN DE LIQUIDACIÓN PARA PAGO,</t>
  </si>
  <si>
    <t>PRV_2025_001_1</t>
  </si>
  <si>
    <t>OBSERVACIONES  ALFA</t>
  </si>
  <si>
    <t>Visible</t>
  </si>
  <si>
    <t>OBSERVACIONES</t>
  </si>
  <si>
    <t>PRODUCCION</t>
  </si>
  <si>
    <t>TEST</t>
  </si>
  <si>
    <t>Fecha compromiso cliente</t>
  </si>
  <si>
    <t>Dias total desarrollo</t>
  </si>
  <si>
    <t>Finalizado</t>
  </si>
  <si>
    <t>Fecha estimada de entrega</t>
  </si>
  <si>
    <t>Fecha inicio</t>
  </si>
  <si>
    <t>F.Asignado</t>
  </si>
  <si>
    <t>Dias estimados desarrollo</t>
  </si>
  <si>
    <t>%</t>
  </si>
  <si>
    <t>ESTADO</t>
  </si>
  <si>
    <t xml:space="preserve">Proceso </t>
  </si>
  <si>
    <t>Detalle del requerimiento</t>
  </si>
  <si>
    <t xml:space="preserve">Requerimiento </t>
  </si>
  <si>
    <t># REQ</t>
  </si>
  <si>
    <t>Asignado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</si>
</sst>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34">
    <font>
      <sz val="12"/>
      <color theme="1"/>
      <name val="Calibri"/>
      <scheme val="minor"/>
    </font>
    <font>
      <sz val="12"/>
      <color theme="1"/>
      <name val="Calibri"/>
      <scheme val="minor"/>
    </font>
    <font>
      <sz val="10"/>
      <color theme="1"/>
      <name val="Quattrocento Sans"/>
    </font>
    <font>
      <sz val="12"/>
      <color theme="1"/>
      <name val="Quattrocento Sans"/>
    </font>
    <font>
      <sz val="11"/>
      <color theme="1"/>
      <name val="Quattrocento Sans"/>
    </font>
    <font>
      <b/>
      <sz val="10"/>
      <color theme="1"/>
      <name val="Quattrocento Sans"/>
    </font>
    <font>
      <b/>
      <u/>
      <sz val="12"/>
      <color rgb="FF434343"/>
      <name val="Quattrocento Sans"/>
    </font>
    <font>
      <b/>
      <sz val="12"/>
      <color rgb="FF434343"/>
      <name val="Quattrocento Sans"/>
    </font>
    <font>
      <b/>
      <sz val="12"/>
      <color theme="1"/>
      <name val="Quattrocento Sans"/>
    </font>
    <font>
      <sz val="12"/>
      <color rgb="FF434343"/>
      <name val="Quattrocento Sans"/>
    </font>
    <font>
      <u/>
      <sz val="12"/>
      <color rgb="FF473821"/>
      <name val="Quattrocento Sans"/>
    </font>
    <font>
      <u/>
      <sz val="12"/>
      <color rgb="FF434343"/>
      <name val="Quattrocento Sans"/>
    </font>
    <font>
      <u/>
      <sz val="11"/>
      <color rgb="FF434343"/>
      <name val="Quattrocento Sans"/>
    </font>
    <font>
      <b/>
      <u/>
      <sz val="9"/>
      <color rgb="FF434343"/>
      <name val="Quattrocento Sans"/>
    </font>
    <font>
      <u/>
      <sz val="12"/>
      <color rgb="FF11734B"/>
      <name val="Quattrocento Sans"/>
    </font>
    <font>
      <u/>
      <sz val="9"/>
      <color rgb="FF434343"/>
      <name val="Quattrocento Sans"/>
    </font>
    <font>
      <b/>
      <u/>
      <sz val="12"/>
      <color theme="1"/>
      <name val="Quattrocento Sans"/>
    </font>
    <font>
      <u/>
      <sz val="10"/>
      <color theme="1"/>
      <name val="Quattrocento Sans"/>
    </font>
    <font>
      <b/>
      <u/>
      <sz val="10"/>
      <color theme="1"/>
      <name val="Quattrocento Sans"/>
    </font>
    <font>
      <b/>
      <u/>
      <sz val="9"/>
      <color theme="1"/>
      <name val="Quattrocento Sans"/>
    </font>
    <font>
      <sz val="12"/>
      <color rgb="FF434343"/>
      <name val="Calibri"/>
    </font>
    <font>
      <sz val="12"/>
      <color theme="1"/>
      <name val="&quot;Calibri&quot;"/>
    </font>
    <font>
      <u/>
      <sz val="12"/>
      <color theme="1"/>
      <name val="Quattrocento Sans"/>
    </font>
    <font>
      <u/>
      <sz val="11"/>
      <color theme="1"/>
      <name val="Quattrocento Sans"/>
    </font>
    <font>
      <sz val="10"/>
      <color rgb="FF000000"/>
      <name val="&quot;Quattrocento Sans&quot;"/>
    </font>
    <font>
      <sz val="12"/>
      <color rgb="FF000000"/>
      <name val="&quot;Quattrocento Sans&quot;"/>
    </font>
    <font>
      <u/>
      <sz val="12"/>
      <color rgb="FF000000"/>
      <name val="&quot;Quattrocento Sans&quot;"/>
    </font>
    <font>
      <u/>
      <sz val="11"/>
      <color rgb="FF000000"/>
      <name val="&quot;Quattrocento Sans&quot;"/>
    </font>
    <font>
      <u/>
      <sz val="11"/>
      <color rgb="FF000000"/>
      <name val="Quattrocento Sans"/>
    </font>
    <font>
      <u/>
      <sz val="9"/>
      <color rgb="FF000000"/>
      <name val="Roboto"/>
    </font>
    <font>
      <b/>
      <u/>
      <sz val="11"/>
      <color theme="1"/>
      <name val="Quattrocento Sans"/>
    </font>
    <font>
      <b/>
      <u/>
      <sz val="12"/>
      <color rgb="FFFFFFFF"/>
      <name val="Quattrocento Sans"/>
    </font>
    <font>
      <b/>
      <sz val="10"/>
      <color rgb="FF434343"/>
      <name val="Quattrocento Sans"/>
    </font>
    <font>
      <b/>
      <sz val="8"/>
      <color theme="1"/>
      <name val="Quattrocento Sans"/>
    </font>
  </fonts>
  <fills count="8">
    <fill>
      <patternFill patternType="none"/>
    </fill>
    <fill>
      <patternFill patternType="gray125"/>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FF9900"/>
        <bgColor rgb="FFFF9900"/>
      </patternFill>
    </fill>
    <fill>
      <patternFill patternType="solid">
        <fgColor rgb="FF356854"/>
        <bgColor rgb="FF356854"/>
      </patternFill>
    </fill>
    <fill>
      <patternFill patternType="solid">
        <fgColor rgb="FFF4CCCC"/>
        <bgColor rgb="FFF4CCCC"/>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s>
  <cellStyleXfs count="1">
    <xf numFmtId="0" fontId="0" fillId="0" borderId="0"/>
  </cellStyleXfs>
  <cellXfs count="106">
    <xf numFmtId="0" fontId="0" fillId="0" borderId="0" xfId="0"/>
    <xf numFmtId="0" fontId="0" fillId="0" borderId="0" xfId="0" applyFont="1" applyAlignment="1"/>
    <xf numFmtId="1" fontId="2" fillId="2" borderId="1" xfId="0" applyNumberFormat="1" applyFont="1" applyFill="1" applyBorder="1" applyAlignment="1">
      <alignment horizontal="center" vertical="center" wrapText="1"/>
    </xf>
    <xf numFmtId="0" fontId="5" fillId="2" borderId="1" xfId="0" applyFont="1" applyFill="1" applyBorder="1" applyAlignment="1">
      <alignment horizontal="center" vertical="center"/>
    </xf>
    <xf numFmtId="1" fontId="9" fillId="3" borderId="1" xfId="0" applyNumberFormat="1" applyFont="1" applyFill="1" applyBorder="1" applyAlignment="1">
      <alignment horizontal="center" vertical="center" wrapText="1"/>
    </xf>
    <xf numFmtId="0" fontId="7" fillId="3" borderId="1" xfId="0" applyFont="1" applyFill="1" applyBorder="1" applyAlignment="1">
      <alignment horizontal="center" vertical="center"/>
    </xf>
    <xf numFmtId="0" fontId="3" fillId="2" borderId="1" xfId="0" applyFont="1" applyFill="1" applyBorder="1" applyAlignment="1">
      <alignment vertical="top"/>
    </xf>
    <xf numFmtId="49" fontId="6" fillId="2" borderId="1" xfId="0" applyNumberFormat="1" applyFont="1" applyFill="1" applyBorder="1" applyAlignment="1">
      <alignment vertical="center" wrapText="1"/>
    </xf>
    <xf numFmtId="0" fontId="9" fillId="2" borderId="1" xfId="0" applyFont="1" applyFill="1" applyBorder="1" applyAlignment="1">
      <alignment vertical="top"/>
    </xf>
    <xf numFmtId="14" fontId="3" fillId="2" borderId="1" xfId="0" applyNumberFormat="1" applyFont="1" applyFill="1" applyBorder="1" applyAlignment="1">
      <alignment vertical="center"/>
    </xf>
    <xf numFmtId="164" fontId="3" fillId="2" borderId="1" xfId="0" applyNumberFormat="1" applyFont="1" applyFill="1" applyBorder="1" applyAlignment="1">
      <alignment vertical="center"/>
    </xf>
    <xf numFmtId="1" fontId="3" fillId="2" borderId="1" xfId="0" applyNumberFormat="1" applyFont="1" applyFill="1" applyBorder="1" applyAlignment="1">
      <alignment horizontal="center" vertical="center" wrapText="1"/>
    </xf>
    <xf numFmtId="165" fontId="9" fillId="2" borderId="1" xfId="0" applyNumberFormat="1" applyFont="1" applyFill="1" applyBorder="1" applyAlignment="1">
      <alignment horizontal="right" vertical="center"/>
    </xf>
    <xf numFmtId="164" fontId="9" fillId="2" borderId="1" xfId="0" applyNumberFormat="1" applyFont="1" applyFill="1" applyBorder="1" applyAlignment="1">
      <alignment horizontal="right" vertical="center"/>
    </xf>
    <xf numFmtId="0" fontId="8" fillId="2" borderId="1" xfId="0" applyFont="1" applyFill="1" applyBorder="1" applyAlignment="1">
      <alignment horizontal="center" vertical="center"/>
    </xf>
    <xf numFmtId="0" fontId="9" fillId="2" borderId="1" xfId="0" applyFont="1" applyFill="1" applyBorder="1" applyAlignment="1">
      <alignment horizontal="center" vertical="center"/>
    </xf>
    <xf numFmtId="0" fontId="14" fillId="2" borderId="1" xfId="0" applyFont="1" applyFill="1" applyBorder="1" applyAlignment="1">
      <alignment vertical="center"/>
    </xf>
    <xf numFmtId="0" fontId="6" fillId="2" borderId="1" xfId="0" applyFont="1" applyFill="1" applyBorder="1" applyAlignment="1">
      <alignment horizontal="center" vertical="center" wrapText="1"/>
    </xf>
    <xf numFmtId="0" fontId="11" fillId="2" borderId="1" xfId="0" applyFont="1" applyFill="1" applyBorder="1" applyAlignment="1">
      <alignment vertical="center"/>
    </xf>
    <xf numFmtId="0" fontId="12" fillId="2" borderId="1" xfId="0" applyFont="1" applyFill="1" applyBorder="1" applyAlignment="1">
      <alignment vertical="center"/>
    </xf>
    <xf numFmtId="0" fontId="15" fillId="2" borderId="1" xfId="0" applyFont="1" applyFill="1" applyBorder="1" applyAlignment="1">
      <alignment horizontal="center" vertical="center" wrapText="1"/>
    </xf>
    <xf numFmtId="0" fontId="3" fillId="3" borderId="1" xfId="0" applyFont="1" applyFill="1" applyBorder="1" applyAlignment="1">
      <alignment vertical="top"/>
    </xf>
    <xf numFmtId="49" fontId="6" fillId="3" borderId="1" xfId="0" applyNumberFormat="1" applyFont="1" applyFill="1" applyBorder="1" applyAlignment="1">
      <alignment vertical="center" wrapText="1"/>
    </xf>
    <xf numFmtId="0" fontId="9" fillId="3" borderId="1" xfId="0" applyFont="1" applyFill="1" applyBorder="1" applyAlignment="1">
      <alignment vertical="top"/>
    </xf>
    <xf numFmtId="14" fontId="3" fillId="3" borderId="1" xfId="0" applyNumberFormat="1" applyFont="1" applyFill="1" applyBorder="1" applyAlignment="1">
      <alignment vertical="center"/>
    </xf>
    <xf numFmtId="164" fontId="3" fillId="3" borderId="1" xfId="0" applyNumberFormat="1" applyFont="1" applyFill="1" applyBorder="1" applyAlignment="1">
      <alignment vertical="center"/>
    </xf>
    <xf numFmtId="165" fontId="9" fillId="3" borderId="1" xfId="0" applyNumberFormat="1" applyFont="1" applyFill="1" applyBorder="1" applyAlignment="1">
      <alignment horizontal="right" vertical="center"/>
    </xf>
    <xf numFmtId="164" fontId="9" fillId="3" borderId="1" xfId="0" applyNumberFormat="1" applyFont="1" applyFill="1" applyBorder="1" applyAlignment="1">
      <alignment horizontal="right" vertical="center"/>
    </xf>
    <xf numFmtId="0" fontId="9" fillId="3" borderId="1" xfId="0" applyFont="1" applyFill="1" applyBorder="1" applyAlignment="1">
      <alignment horizontal="center" vertical="center"/>
    </xf>
    <xf numFmtId="0" fontId="14" fillId="3" borderId="1" xfId="0" applyFont="1" applyFill="1" applyBorder="1" applyAlignment="1">
      <alignment vertical="center"/>
    </xf>
    <xf numFmtId="0" fontId="6" fillId="3" borderId="1" xfId="0" applyFont="1" applyFill="1" applyBorder="1" applyAlignment="1">
      <alignment horizontal="center" vertical="center" wrapText="1"/>
    </xf>
    <xf numFmtId="0" fontId="9" fillId="3" borderId="1" xfId="0" applyFont="1" applyFill="1" applyBorder="1" applyAlignment="1">
      <alignment vertical="center"/>
    </xf>
    <xf numFmtId="0" fontId="12" fillId="3" borderId="1" xfId="0" applyFont="1" applyFill="1" applyBorder="1" applyAlignment="1">
      <alignment vertical="center"/>
    </xf>
    <xf numFmtId="0" fontId="13" fillId="3" borderId="1" xfId="0" applyFont="1" applyFill="1" applyBorder="1" applyAlignment="1">
      <alignment horizontal="center" vertical="center" wrapText="1"/>
    </xf>
    <xf numFmtId="0" fontId="13" fillId="2" borderId="1" xfId="0" applyFont="1" applyFill="1" applyBorder="1" applyAlignment="1">
      <alignment horizontal="center" vertical="center" wrapText="1"/>
    </xf>
    <xf numFmtId="0" fontId="3" fillId="3" borderId="1" xfId="0" applyFont="1" applyFill="1" applyBorder="1" applyAlignment="1">
      <alignment vertical="center"/>
    </xf>
    <xf numFmtId="0" fontId="5" fillId="2" borderId="1" xfId="0" applyFont="1" applyFill="1" applyBorder="1" applyAlignment="1">
      <alignment horizontal="left" vertical="top" wrapText="1"/>
    </xf>
    <xf numFmtId="49" fontId="16" fillId="2" borderId="1" xfId="0" applyNumberFormat="1" applyFont="1" applyFill="1" applyBorder="1" applyAlignment="1">
      <alignment vertical="center" wrapText="1"/>
    </xf>
    <xf numFmtId="14" fontId="5" fillId="2" borderId="1" xfId="0" applyNumberFormat="1" applyFont="1" applyFill="1" applyBorder="1" applyAlignment="1">
      <alignment vertical="center"/>
    </xf>
    <xf numFmtId="164" fontId="5" fillId="2" borderId="1" xfId="0" applyNumberFormat="1" applyFont="1" applyFill="1" applyBorder="1" applyAlignment="1">
      <alignment vertical="center"/>
    </xf>
    <xf numFmtId="0" fontId="2" fillId="2" borderId="1" xfId="0" applyFont="1" applyFill="1" applyBorder="1" applyAlignment="1">
      <alignment horizontal="center" vertical="center"/>
    </xf>
    <xf numFmtId="0" fontId="17" fillId="2" borderId="1" xfId="0" applyFont="1" applyFill="1" applyBorder="1" applyAlignment="1">
      <alignment vertical="center" wrapText="1"/>
    </xf>
    <xf numFmtId="0" fontId="16" fillId="2" borderId="1" xfId="0" applyFont="1" applyFill="1" applyBorder="1" applyAlignment="1">
      <alignment horizontal="center" vertical="center"/>
    </xf>
    <xf numFmtId="0" fontId="1" fillId="0" borderId="1" xfId="0" applyFont="1" applyBorder="1" applyAlignment="1">
      <alignment vertical="center"/>
    </xf>
    <xf numFmtId="0" fontId="18" fillId="2" borderId="1" xfId="0" applyFont="1" applyFill="1" applyBorder="1" applyAlignment="1">
      <alignment horizontal="center" vertical="center"/>
    </xf>
    <xf numFmtId="0" fontId="19" fillId="2" borderId="1" xfId="0" applyFont="1" applyFill="1" applyBorder="1" applyAlignment="1">
      <alignment horizontal="center" vertical="center" wrapText="1"/>
    </xf>
    <xf numFmtId="0" fontId="10" fillId="2" borderId="1" xfId="0" applyFont="1" applyFill="1" applyBorder="1" applyAlignment="1">
      <alignment vertical="center"/>
    </xf>
    <xf numFmtId="0" fontId="20" fillId="2" borderId="1" xfId="0" applyFont="1" applyFill="1" applyBorder="1" applyAlignment="1">
      <alignment vertical="center"/>
    </xf>
    <xf numFmtId="0" fontId="9" fillId="2" borderId="1" xfId="0" applyFont="1" applyFill="1" applyBorder="1" applyAlignment="1">
      <alignment vertical="center"/>
    </xf>
    <xf numFmtId="0" fontId="21" fillId="0" borderId="1" xfId="0" applyFont="1" applyBorder="1" applyAlignment="1">
      <alignment vertical="center"/>
    </xf>
    <xf numFmtId="0" fontId="22" fillId="2" borderId="1" xfId="0" applyFont="1" applyFill="1" applyBorder="1" applyAlignment="1">
      <alignment vertical="center"/>
    </xf>
    <xf numFmtId="0" fontId="23" fillId="3" borderId="1" xfId="0" applyFont="1" applyFill="1" applyBorder="1" applyAlignment="1">
      <alignment vertical="center"/>
    </xf>
    <xf numFmtId="0" fontId="3" fillId="2" borderId="1" xfId="0" applyFont="1" applyFill="1" applyBorder="1" applyAlignment="1">
      <alignment vertical="center"/>
    </xf>
    <xf numFmtId="0" fontId="10" fillId="3" borderId="1" xfId="0" applyFont="1" applyFill="1" applyBorder="1" applyAlignment="1">
      <alignment vertical="center"/>
    </xf>
    <xf numFmtId="0" fontId="11" fillId="3" borderId="1" xfId="0" applyFont="1" applyFill="1" applyBorder="1" applyAlignment="1">
      <alignment vertical="center"/>
    </xf>
    <xf numFmtId="165" fontId="3" fillId="2" borderId="1" xfId="0" applyNumberFormat="1" applyFont="1" applyFill="1" applyBorder="1" applyAlignment="1">
      <alignment horizontal="right" vertical="center"/>
    </xf>
    <xf numFmtId="164" fontId="3" fillId="2" borderId="1" xfId="0" applyNumberFormat="1" applyFont="1" applyFill="1" applyBorder="1" applyAlignment="1">
      <alignment horizontal="right" vertical="center"/>
    </xf>
    <xf numFmtId="0" fontId="3" fillId="2" borderId="1" xfId="0" applyFont="1" applyFill="1" applyBorder="1" applyAlignment="1">
      <alignment horizontal="center" vertical="center"/>
    </xf>
    <xf numFmtId="0" fontId="16" fillId="2" borderId="1" xfId="0" applyFont="1" applyFill="1" applyBorder="1" applyAlignment="1">
      <alignment horizontal="center" vertical="center" wrapText="1"/>
    </xf>
    <xf numFmtId="0" fontId="2" fillId="2" borderId="1" xfId="0" applyFont="1" applyFill="1" applyBorder="1" applyAlignment="1">
      <alignment horizontal="left" vertical="top"/>
    </xf>
    <xf numFmtId="0" fontId="23" fillId="0" borderId="1" xfId="0" applyFont="1" applyBorder="1" applyAlignment="1">
      <alignment horizontal="left" vertical="center"/>
    </xf>
    <xf numFmtId="0" fontId="18" fillId="2" borderId="1" xfId="0" applyFont="1" applyFill="1" applyBorder="1" applyAlignment="1">
      <alignment horizontal="center" vertical="center" wrapText="1"/>
    </xf>
    <xf numFmtId="0" fontId="2" fillId="2" borderId="1" xfId="0" applyFont="1" applyFill="1" applyBorder="1" applyAlignment="1">
      <alignment vertical="center" wrapText="1"/>
    </xf>
    <xf numFmtId="14" fontId="2" fillId="2" borderId="1" xfId="0" applyNumberFormat="1" applyFont="1" applyFill="1" applyBorder="1" applyAlignment="1">
      <alignment vertical="center"/>
    </xf>
    <xf numFmtId="164" fontId="2" fillId="2" borderId="1" xfId="0" applyNumberFormat="1" applyFont="1" applyFill="1" applyBorder="1" applyAlignment="1">
      <alignment vertical="center"/>
    </xf>
    <xf numFmtId="165" fontId="2" fillId="2" borderId="1" xfId="0" applyNumberFormat="1" applyFont="1" applyFill="1" applyBorder="1" applyAlignment="1">
      <alignment vertical="center"/>
    </xf>
    <xf numFmtId="0" fontId="17" fillId="2" borderId="1" xfId="0" applyFont="1" applyFill="1" applyBorder="1" applyAlignment="1">
      <alignment vertical="center"/>
    </xf>
    <xf numFmtId="0" fontId="23" fillId="2" borderId="1" xfId="0" applyFont="1" applyFill="1" applyBorder="1" applyAlignment="1">
      <alignment vertical="center"/>
    </xf>
    <xf numFmtId="164" fontId="24" fillId="2" borderId="1" xfId="0" applyNumberFormat="1" applyFont="1" applyFill="1" applyBorder="1" applyAlignment="1">
      <alignment horizontal="right" vertical="center"/>
    </xf>
    <xf numFmtId="0" fontId="18" fillId="2" borderId="1" xfId="0" applyFont="1" applyFill="1" applyBorder="1" applyAlignment="1">
      <alignment vertical="center"/>
    </xf>
    <xf numFmtId="0" fontId="25" fillId="2" borderId="1" xfId="0" applyFont="1" applyFill="1" applyBorder="1" applyAlignment="1">
      <alignment horizontal="center" vertical="center"/>
    </xf>
    <xf numFmtId="0" fontId="26" fillId="2" borderId="2" xfId="0" applyFont="1" applyFill="1" applyBorder="1" applyAlignment="1">
      <alignment vertical="center"/>
    </xf>
    <xf numFmtId="0" fontId="27" fillId="0" borderId="2" xfId="0" applyFont="1" applyBorder="1" applyAlignment="1">
      <alignment horizontal="left" vertical="top" wrapText="1"/>
    </xf>
    <xf numFmtId="0" fontId="2" fillId="2" borderId="1" xfId="0" applyFont="1" applyFill="1" applyBorder="1" applyAlignment="1">
      <alignment horizontal="left" vertical="top" wrapText="1"/>
    </xf>
    <xf numFmtId="0" fontId="2" fillId="2" borderId="1" xfId="0" applyFont="1" applyFill="1" applyBorder="1" applyAlignment="1">
      <alignment vertical="center"/>
    </xf>
    <xf numFmtId="165" fontId="2" fillId="2" borderId="1" xfId="0" applyNumberFormat="1" applyFont="1" applyFill="1" applyBorder="1" applyAlignment="1">
      <alignment vertical="center" wrapText="1"/>
    </xf>
    <xf numFmtId="0" fontId="19" fillId="4" borderId="1" xfId="0" applyFont="1" applyFill="1" applyBorder="1" applyAlignment="1">
      <alignment horizontal="center" vertical="center" wrapText="1"/>
    </xf>
    <xf numFmtId="0" fontId="2" fillId="2" borderId="1" xfId="0" applyFont="1" applyFill="1" applyBorder="1" applyAlignment="1">
      <alignment vertical="top"/>
    </xf>
    <xf numFmtId="0" fontId="23" fillId="0" borderId="1" xfId="0" applyFont="1" applyBorder="1" applyAlignment="1">
      <alignment horizontal="left" vertical="center" wrapText="1"/>
    </xf>
    <xf numFmtId="0" fontId="18" fillId="2" borderId="1" xfId="0" applyFont="1" applyFill="1" applyBorder="1" applyAlignment="1">
      <alignment vertical="center" wrapText="1"/>
    </xf>
    <xf numFmtId="165" fontId="5" fillId="2" borderId="1" xfId="0" applyNumberFormat="1" applyFont="1" applyFill="1" applyBorder="1" applyAlignment="1">
      <alignment vertical="center"/>
    </xf>
    <xf numFmtId="0" fontId="4" fillId="0" borderId="1" xfId="0" applyFont="1" applyBorder="1" applyAlignment="1">
      <alignment horizontal="left" vertical="center"/>
    </xf>
    <xf numFmtId="0" fontId="5" fillId="2" borderId="1" xfId="0" applyFont="1" applyFill="1" applyBorder="1" applyAlignment="1">
      <alignment horizontal="left" vertical="top"/>
    </xf>
    <xf numFmtId="164" fontId="2" fillId="2" borderId="1" xfId="0" applyNumberFormat="1" applyFont="1" applyFill="1" applyBorder="1" applyAlignment="1">
      <alignment vertical="center" wrapText="1"/>
    </xf>
    <xf numFmtId="165" fontId="5" fillId="2" borderId="1" xfId="0" applyNumberFormat="1" applyFont="1" applyFill="1" applyBorder="1" applyAlignment="1">
      <alignment vertical="center" wrapText="1"/>
    </xf>
    <xf numFmtId="0" fontId="2" fillId="2" borderId="1" xfId="0" applyFont="1" applyFill="1" applyBorder="1" applyAlignment="1">
      <alignment horizontal="center" vertical="center" wrapText="1"/>
    </xf>
    <xf numFmtId="0" fontId="28" fillId="0" borderId="1" xfId="0" applyFont="1" applyBorder="1" applyAlignment="1">
      <alignment horizontal="left" vertical="center" wrapText="1"/>
    </xf>
    <xf numFmtId="0" fontId="29" fillId="2" borderId="1" xfId="0" applyFont="1" applyFill="1" applyBorder="1" applyAlignment="1">
      <alignment horizontal="center" vertical="center"/>
    </xf>
    <xf numFmtId="165" fontId="25" fillId="2" borderId="1" xfId="0" applyNumberFormat="1" applyFont="1" applyFill="1" applyBorder="1" applyAlignment="1">
      <alignment horizontal="right" vertical="center"/>
    </xf>
    <xf numFmtId="0" fontId="30" fillId="0" borderId="1" xfId="0" applyFont="1" applyBorder="1" applyAlignment="1">
      <alignment horizontal="left" vertical="center" wrapText="1"/>
    </xf>
    <xf numFmtId="164" fontId="1" fillId="0" borderId="1" xfId="0" applyNumberFormat="1" applyFont="1" applyBorder="1" applyAlignment="1">
      <alignment vertical="center"/>
    </xf>
    <xf numFmtId="0" fontId="23" fillId="2" borderId="1" xfId="0" applyFont="1" applyFill="1" applyBorder="1" applyAlignment="1">
      <alignment horizontal="left" vertical="center" wrapText="1"/>
    </xf>
    <xf numFmtId="0" fontId="2" fillId="2" borderId="1" xfId="0" applyFont="1" applyFill="1" applyBorder="1" applyAlignment="1">
      <alignment horizontal="left"/>
    </xf>
    <xf numFmtId="0" fontId="5" fillId="5" borderId="0" xfId="0" applyFont="1" applyFill="1" applyAlignment="1">
      <alignment horizontal="center" vertical="top" wrapText="1"/>
    </xf>
    <xf numFmtId="49" fontId="31" fillId="6" borderId="3" xfId="0" applyNumberFormat="1" applyFont="1" applyFill="1" applyBorder="1" applyAlignment="1">
      <alignment horizontal="center" vertical="center"/>
    </xf>
    <xf numFmtId="14" fontId="5" fillId="0" borderId="0" xfId="0" applyNumberFormat="1" applyFont="1" applyAlignment="1">
      <alignment horizontal="center" vertical="top"/>
    </xf>
    <xf numFmtId="0" fontId="5" fillId="0" borderId="0" xfId="0" applyFont="1" applyAlignment="1">
      <alignment horizontal="center" vertical="center"/>
    </xf>
    <xf numFmtId="49" fontId="32" fillId="7" borderId="0" xfId="0" applyNumberFormat="1" applyFont="1" applyFill="1" applyAlignment="1">
      <alignment horizontal="center" vertical="center" wrapText="1"/>
    </xf>
    <xf numFmtId="0" fontId="5" fillId="0" borderId="0" xfId="0" applyFont="1" applyAlignment="1">
      <alignment horizontal="center" vertical="center" wrapText="1"/>
    </xf>
    <xf numFmtId="49" fontId="33" fillId="0" borderId="0" xfId="0" applyNumberFormat="1" applyFont="1" applyAlignment="1">
      <alignment horizontal="center" vertical="center" wrapText="1"/>
    </xf>
    <xf numFmtId="49" fontId="5" fillId="0" borderId="0" xfId="0" applyNumberFormat="1" applyFont="1" applyAlignment="1">
      <alignment horizontal="center" vertical="center"/>
    </xf>
    <xf numFmtId="0" fontId="17" fillId="0" borderId="0" xfId="0" applyFont="1" applyAlignment="1">
      <alignment horizontal="center" vertical="center" wrapText="1"/>
    </xf>
    <xf numFmtId="49" fontId="17" fillId="5" borderId="0" xfId="0" applyNumberFormat="1" applyFont="1" applyFill="1" applyAlignment="1">
      <alignment horizontal="center" vertical="center" wrapText="1"/>
    </xf>
    <xf numFmtId="0" fontId="23" fillId="0" borderId="0" xfId="0" applyFont="1" applyAlignment="1">
      <alignment horizontal="left" vertical="center"/>
    </xf>
    <xf numFmtId="0" fontId="18" fillId="0" borderId="0" xfId="0" applyFont="1" applyAlignment="1">
      <alignment horizontal="center" vertical="center"/>
    </xf>
    <xf numFmtId="0" fontId="19" fillId="0" borderId="0" xfId="0" applyFont="1" applyAlignment="1">
      <alignment horizontal="center"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PRUEBAS BOLIVAR"/>
      <sheetName val="FINALIZADOS 2"/>
      <sheetName val="FINALIZADOS"/>
      <sheetName val="fESTIVOS"/>
      <sheetName val="ASISTENCIA"/>
      <sheetName val="Caidas del sistema"/>
      <sheetName val="pruebas i"/>
    </sheetNames>
    <sheetDataSet>
      <sheetData sheetId="0"/>
      <sheetData sheetId="1"/>
      <sheetData sheetId="2"/>
      <sheetData sheetId="3"/>
      <sheetData sheetId="4">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row r="19">
          <cell r="A19">
            <v>45658</v>
          </cell>
        </row>
        <row r="20">
          <cell r="A20">
            <v>45663</v>
          </cell>
        </row>
        <row r="21">
          <cell r="A21">
            <v>45740</v>
          </cell>
        </row>
        <row r="22">
          <cell r="A22">
            <v>45764</v>
          </cell>
        </row>
        <row r="23">
          <cell r="A23">
            <v>45765</v>
          </cell>
        </row>
        <row r="24">
          <cell r="A24">
            <v>45778</v>
          </cell>
        </row>
        <row r="25">
          <cell r="A25">
            <v>45810</v>
          </cell>
        </row>
        <row r="26">
          <cell r="A26">
            <v>45831</v>
          </cell>
        </row>
        <row r="27">
          <cell r="A27">
            <v>45838</v>
          </cell>
        </row>
        <row r="28">
          <cell r="A28">
            <v>45858</v>
          </cell>
        </row>
        <row r="29">
          <cell r="A29">
            <v>45876</v>
          </cell>
        </row>
        <row r="30">
          <cell r="A30">
            <v>45887</v>
          </cell>
        </row>
        <row r="31">
          <cell r="A31">
            <v>45943</v>
          </cell>
        </row>
        <row r="32">
          <cell r="A32">
            <v>45964</v>
          </cell>
        </row>
        <row r="33">
          <cell r="A33">
            <v>45978</v>
          </cell>
        </row>
        <row r="34">
          <cell r="A34">
            <v>45999</v>
          </cell>
        </row>
        <row r="35">
          <cell r="A35">
            <v>46016</v>
          </cell>
        </row>
        <row r="36">
          <cell r="A36">
            <v>46023</v>
          </cell>
        </row>
        <row r="37">
          <cell r="A37">
            <v>46034</v>
          </cell>
        </row>
        <row r="38">
          <cell r="A38">
            <v>46104</v>
          </cell>
        </row>
        <row r="39">
          <cell r="A39">
            <v>46114</v>
          </cell>
        </row>
        <row r="40">
          <cell r="A40">
            <v>46115</v>
          </cell>
        </row>
        <row r="41">
          <cell r="A41">
            <v>46143</v>
          </cell>
        </row>
        <row r="42">
          <cell r="A42">
            <v>46160</v>
          </cell>
        </row>
        <row r="43">
          <cell r="A43">
            <v>46181</v>
          </cell>
        </row>
        <row r="44">
          <cell r="A44">
            <v>46188</v>
          </cell>
        </row>
        <row r="45">
          <cell r="A45">
            <v>46202</v>
          </cell>
        </row>
        <row r="46">
          <cell r="A46">
            <v>46223</v>
          </cell>
        </row>
        <row r="47">
          <cell r="A47">
            <v>46241</v>
          </cell>
        </row>
        <row r="48">
          <cell r="A48">
            <v>46251</v>
          </cell>
        </row>
        <row r="49">
          <cell r="A49">
            <v>46307</v>
          </cell>
        </row>
        <row r="50">
          <cell r="A50">
            <v>46328</v>
          </cell>
        </row>
        <row r="51">
          <cell r="A51">
            <v>46342</v>
          </cell>
        </row>
        <row r="52">
          <cell r="A52">
            <v>46364</v>
          </cell>
        </row>
        <row r="53">
          <cell r="A53">
            <v>46381</v>
          </cell>
        </row>
      </sheetData>
      <sheetData sheetId="5"/>
      <sheetData sheetId="6"/>
      <sheetData sheetId="7"/>
    </sheetDataSet>
  </externalBook>
</externalLink>
</file>

<file path=xl/tables/table1.xml><?xml version="1.0" encoding="utf-8"?>
<table xmlns="http://schemas.openxmlformats.org/spreadsheetml/2006/main" id="1" name="Tabla" displayName="Tabla" ref="A1:S196">
  <autoFilter ref="A1:S196"/>
  <tableColumns count="19">
    <tableColumn id="1" name="Asignado a"/>
    <tableColumn id="2" name="# REQ"/>
    <tableColumn id="3" name="Requerimiento "/>
    <tableColumn id="4" name="Detalle del requerimiento"/>
    <tableColumn id="5" name="Proceso "/>
    <tableColumn id="6" name="ESTADO"/>
    <tableColumn id="7" nam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116"/>
  <sheetViews>
    <sheetView tabSelected="1" workbookViewId="0">
      <pane ySplit="1" topLeftCell="A183" activePane="bottomLeft" state="frozen"/>
      <selection pane="bottomLeft" activeCell="A197" sqref="A197"/>
    </sheetView>
  </sheetViews>
  <sheetFormatPr baseColWidth="10" defaultColWidth="12.625" defaultRowHeight="15" customHeight="1"/>
  <cols>
    <col min="1" max="1" width="14.125" style="1" customWidth="1"/>
    <col min="2" max="2" width="19.375" style="1" customWidth="1"/>
    <col min="3" max="3" width="41.25" style="1" customWidth="1"/>
    <col min="4" max="4" width="27.75" style="1" customWidth="1"/>
    <col min="5" max="5" width="27.5" style="1" customWidth="1"/>
    <col min="6" max="6" width="19.125" style="1" customWidth="1"/>
    <col min="7" max="7" width="7.625" style="1" customWidth="1"/>
    <col min="8" max="8" width="16" style="1" customWidth="1"/>
    <col min="9" max="9" width="11.875" style="1" customWidth="1"/>
    <col min="10" max="10" width="11.375" style="1" customWidth="1"/>
    <col min="11" max="11" width="17" style="1" customWidth="1"/>
    <col min="12" max="12" width="13.75" style="1" customWidth="1"/>
    <col min="13" max="13" width="15.25" style="1" customWidth="1"/>
    <col min="14" max="14" width="17.5" style="1" customWidth="1"/>
    <col min="15" max="15" width="12.375" style="1" customWidth="1"/>
    <col min="16" max="16" width="15.875" style="1" customWidth="1"/>
    <col min="17" max="17" width="55.875" style="1" customWidth="1"/>
    <col min="18" max="18" width="14.5" style="1" customWidth="1"/>
    <col min="19" max="19" width="45.375" style="1" hidden="1" customWidth="1"/>
    <col min="20" max="16384" width="12.625" style="1"/>
  </cols>
  <sheetData>
    <row r="1" spans="1:19" ht="40.5" customHeight="1">
      <c r="A1" s="105" t="s">
        <v>708</v>
      </c>
      <c r="B1" s="104" t="s">
        <v>707</v>
      </c>
      <c r="C1" s="103" t="s">
        <v>706</v>
      </c>
      <c r="D1" s="102" t="s">
        <v>705</v>
      </c>
      <c r="E1" s="94" t="s">
        <v>704</v>
      </c>
      <c r="F1" s="101" t="s">
        <v>703</v>
      </c>
      <c r="G1" s="100" t="s">
        <v>702</v>
      </c>
      <c r="H1" s="99" t="s">
        <v>701</v>
      </c>
      <c r="I1" s="96" t="s">
        <v>700</v>
      </c>
      <c r="J1" s="96" t="s">
        <v>699</v>
      </c>
      <c r="K1" s="98" t="s">
        <v>698</v>
      </c>
      <c r="L1" s="98" t="s">
        <v>697</v>
      </c>
      <c r="M1" s="98" t="s">
        <v>696</v>
      </c>
      <c r="N1" s="97" t="s">
        <v>695</v>
      </c>
      <c r="O1" s="96" t="s">
        <v>694</v>
      </c>
      <c r="P1" s="96" t="s">
        <v>693</v>
      </c>
      <c r="Q1" s="95" t="s">
        <v>692</v>
      </c>
      <c r="R1" s="94" t="s">
        <v>691</v>
      </c>
      <c r="S1" s="93" t="s">
        <v>690</v>
      </c>
    </row>
    <row r="2" spans="1:19" ht="75.75" customHeight="1">
      <c r="A2" s="45" t="s">
        <v>7</v>
      </c>
      <c r="B2" s="61" t="s">
        <v>689</v>
      </c>
      <c r="C2" s="91" t="s">
        <v>688</v>
      </c>
      <c r="D2" s="41"/>
      <c r="E2" s="58" t="s">
        <v>21</v>
      </c>
      <c r="F2" s="41" t="s">
        <v>2</v>
      </c>
      <c r="G2" s="85">
        <v>100</v>
      </c>
      <c r="H2" s="3">
        <f>IF(OR(J2="",K2="",K2&lt;J2),0,NETWORKDAYS(J2,K2,[1]fESTIVOS!$A$2:$A$53))</f>
        <v>90</v>
      </c>
      <c r="I2" s="90"/>
      <c r="J2" s="75">
        <v>45691</v>
      </c>
      <c r="K2" s="80">
        <v>45821</v>
      </c>
      <c r="L2" s="75">
        <v>45824</v>
      </c>
      <c r="M2" s="2">
        <f ca="1">IF(OR(J2="",AND(L2="",TODAY()&lt;J2),AND(L2&lt;&gt;"",L2&lt;J2)),0,
   IF(L2="",
      NETWORKDAYS(J2,TODAY(),[1]fESTIVOS!$A$2:$A$53),
      NETWORKDAYS(J2,L2,[1]fESTIVOS!$A$2:$A$53)
   )
)</f>
        <v>91</v>
      </c>
      <c r="N2" s="83"/>
      <c r="O2" s="83"/>
      <c r="P2" s="38">
        <v>45843</v>
      </c>
      <c r="Q2" s="92" t="s">
        <v>687</v>
      </c>
      <c r="R2" s="37" t="s">
        <v>0</v>
      </c>
      <c r="S2" s="59"/>
    </row>
    <row r="3" spans="1:19" ht="75.75" customHeight="1">
      <c r="A3" s="45" t="s">
        <v>7</v>
      </c>
      <c r="B3" s="61" t="s">
        <v>686</v>
      </c>
      <c r="C3" s="91" t="s">
        <v>685</v>
      </c>
      <c r="D3" s="41"/>
      <c r="E3" s="58" t="s">
        <v>21</v>
      </c>
      <c r="F3" s="41" t="s">
        <v>2</v>
      </c>
      <c r="G3" s="85">
        <v>100</v>
      </c>
      <c r="H3" s="3">
        <f>IF(OR(J3="",K3="",K3&lt;J3),0,NETWORKDAYS(J3,K3,[1]fESTIVOS!$A$2:$A$53))</f>
        <v>3</v>
      </c>
      <c r="I3" s="90">
        <v>45824</v>
      </c>
      <c r="J3" s="75">
        <v>45824</v>
      </c>
      <c r="K3" s="80">
        <v>45826</v>
      </c>
      <c r="L3" s="75">
        <v>45827</v>
      </c>
      <c r="M3" s="2">
        <f ca="1">IF(OR(J3="",AND(L3="",TODAY()&lt;J3),AND(L3&lt;&gt;"",L3&lt;J3)),0,
   IF(L3="",
      NETWORKDAYS(J3,TODAY(),[1]fESTIVOS!$A$2:$A$53),
      NETWORKDAYS(J3,L3,[1]fESTIVOS!$A$2:$A$53)
   )
)</f>
        <v>4</v>
      </c>
      <c r="N3" s="83"/>
      <c r="O3" s="83"/>
      <c r="P3" s="38">
        <v>45843</v>
      </c>
      <c r="Q3" s="73" t="s">
        <v>684</v>
      </c>
      <c r="R3" s="37" t="s">
        <v>0</v>
      </c>
      <c r="S3" s="59"/>
    </row>
    <row r="4" spans="1:19" ht="154.5" customHeight="1">
      <c r="A4" s="45" t="s">
        <v>7</v>
      </c>
      <c r="B4" s="61" t="s">
        <v>683</v>
      </c>
      <c r="C4" s="89" t="s">
        <v>682</v>
      </c>
      <c r="D4" s="79"/>
      <c r="E4" s="58" t="s">
        <v>21</v>
      </c>
      <c r="F4" s="79" t="s">
        <v>2</v>
      </c>
      <c r="G4" s="85">
        <v>100</v>
      </c>
      <c r="H4" s="3">
        <f>IF(OR(J4="",K4="",K4&lt;J4),0,NETWORKDAYS(J4,K4,[1]fESTIVOS!$A$2:$A$53))</f>
        <v>4</v>
      </c>
      <c r="I4" s="83"/>
      <c r="J4" s="75">
        <v>45827</v>
      </c>
      <c r="K4" s="80">
        <v>45833</v>
      </c>
      <c r="L4" s="75">
        <v>45841</v>
      </c>
      <c r="M4" s="2">
        <f ca="1">IF(OR(J4="",AND(L4="",TODAY()&lt;J4),AND(L4&lt;&gt;"",L4&lt;J4)),0,
   IF(L4="",
      NETWORKDAYS(J4,TODAY(),[1]fESTIVOS!$A$2:$A$53),
      NETWORKDAYS(J4,L4,[1]fESTIVOS!$A$2:$A$53)
   )
)</f>
        <v>9</v>
      </c>
      <c r="N4" s="83"/>
      <c r="O4" s="83"/>
      <c r="P4" s="38">
        <v>45843</v>
      </c>
      <c r="Q4" s="82" t="s">
        <v>681</v>
      </c>
      <c r="R4" s="37" t="s">
        <v>0</v>
      </c>
      <c r="S4" s="82" t="s">
        <v>677</v>
      </c>
    </row>
    <row r="5" spans="1:19" ht="29.25" customHeight="1">
      <c r="A5" s="45" t="s">
        <v>7</v>
      </c>
      <c r="B5" s="61" t="s">
        <v>680</v>
      </c>
      <c r="C5" s="78" t="s">
        <v>679</v>
      </c>
      <c r="D5" s="41"/>
      <c r="E5" s="58" t="s">
        <v>21</v>
      </c>
      <c r="F5" s="41" t="s">
        <v>2</v>
      </c>
      <c r="G5" s="85">
        <v>100</v>
      </c>
      <c r="H5" s="3">
        <f>IF(OR(J5="",K5="",K5&lt;J5),0,NETWORKDAYS(J5,K5,[1]fESTIVOS!$A$2:$A$53))</f>
        <v>3</v>
      </c>
      <c r="I5" s="83">
        <v>45817</v>
      </c>
      <c r="J5" s="75">
        <v>45817</v>
      </c>
      <c r="K5" s="80">
        <v>45819</v>
      </c>
      <c r="L5" s="88">
        <v>45820</v>
      </c>
      <c r="M5" s="2">
        <f ca="1">IF(OR(J5="",AND(L5="",TODAY()&lt;J5),AND(L5&lt;&gt;"",L5&lt;J5)),0,
   IF(L5="",
      NETWORKDAYS(J5,TODAY(),[1]fESTIVOS!$A$2:$A$53),
      NETWORKDAYS(J5,L5,[1]fESTIVOS!$A$2:$A$53)
   )
)</f>
        <v>4</v>
      </c>
      <c r="N5" s="83"/>
      <c r="O5" s="83"/>
      <c r="P5" s="38">
        <v>45843</v>
      </c>
      <c r="Q5" s="82" t="s">
        <v>678</v>
      </c>
      <c r="R5" s="37" t="s">
        <v>0</v>
      </c>
      <c r="S5" s="82" t="s">
        <v>677</v>
      </c>
    </row>
    <row r="6" spans="1:19" ht="29.25" customHeight="1">
      <c r="A6" s="45" t="s">
        <v>7</v>
      </c>
      <c r="B6" s="61" t="s">
        <v>676</v>
      </c>
      <c r="C6" s="78" t="s">
        <v>675</v>
      </c>
      <c r="D6" s="41"/>
      <c r="E6" s="58" t="s">
        <v>21</v>
      </c>
      <c r="F6" s="41" t="s">
        <v>2</v>
      </c>
      <c r="G6" s="85">
        <v>100</v>
      </c>
      <c r="H6" s="3">
        <f>IF(OR(J6="",K6="",K6&lt;J6),0,NETWORKDAYS(J6,K6,[1]fESTIVOS!$A$2:$A$53))</f>
        <v>2</v>
      </c>
      <c r="I6" s="83">
        <v>45817</v>
      </c>
      <c r="J6" s="75">
        <v>45841</v>
      </c>
      <c r="K6" s="80">
        <v>45842</v>
      </c>
      <c r="L6" s="75">
        <v>45842</v>
      </c>
      <c r="M6" s="2">
        <f ca="1">IF(OR(J6="",AND(L6="",TODAY()&lt;J6),AND(L6&lt;&gt;"",L6&lt;J6)),0,
   IF(L6="",
      NETWORKDAYS(J6,TODAY(),[1]fESTIVOS!$A$2:$A$53),
      NETWORKDAYS(J6,L6,[1]fESTIVOS!$A$2:$A$53)
   )
)</f>
        <v>2</v>
      </c>
      <c r="N6" s="83"/>
      <c r="O6" s="83"/>
      <c r="P6" s="38">
        <v>45852</v>
      </c>
      <c r="Q6" s="59" t="s">
        <v>674</v>
      </c>
      <c r="R6" s="37" t="s">
        <v>0</v>
      </c>
      <c r="S6" s="59" t="s">
        <v>673</v>
      </c>
    </row>
    <row r="7" spans="1:19" ht="29.25" customHeight="1">
      <c r="A7" s="45" t="s">
        <v>7</v>
      </c>
      <c r="B7" s="87" t="s">
        <v>672</v>
      </c>
      <c r="C7" s="86" t="s">
        <v>671</v>
      </c>
      <c r="D7" s="41"/>
      <c r="E7" s="58" t="s">
        <v>63</v>
      </c>
      <c r="F7" s="41" t="s">
        <v>2</v>
      </c>
      <c r="G7" s="85">
        <v>100</v>
      </c>
      <c r="H7" s="3">
        <f>IF(OR(J7="",K7="",K7&lt;J7),0,NETWORKDAYS(J7,K7,[1]fESTIVOS!$A$2:$A$53))</f>
        <v>0</v>
      </c>
      <c r="I7" s="83">
        <v>45817</v>
      </c>
      <c r="J7" s="84">
        <v>45845</v>
      </c>
      <c r="K7" s="80"/>
      <c r="L7" s="75">
        <v>45847</v>
      </c>
      <c r="M7" s="2">
        <f ca="1">IF(OR(J7="",AND(L7="",TODAY()&lt;J7),AND(L7&lt;&gt;"",L7&lt;J7)),0,
   IF(L7="",
      NETWORKDAYS(J7,TODAY(),[1]fESTIVOS!$A$2:$A$53),
      NETWORKDAYS(J7,L7,[1]fESTIVOS!$A$2:$A$53)
   )
)</f>
        <v>3</v>
      </c>
      <c r="N7" s="83"/>
      <c r="O7" s="83"/>
      <c r="P7" s="38">
        <v>45852</v>
      </c>
      <c r="Q7" s="59" t="s">
        <v>670</v>
      </c>
      <c r="R7" s="37" t="s">
        <v>0</v>
      </c>
      <c r="S7" s="82" t="s">
        <v>669</v>
      </c>
    </row>
    <row r="8" spans="1:19" ht="29.25" customHeight="1">
      <c r="A8" s="45" t="s">
        <v>7</v>
      </c>
      <c r="B8" s="44" t="s">
        <v>668</v>
      </c>
      <c r="C8" s="60" t="s">
        <v>667</v>
      </c>
      <c r="D8" s="41"/>
      <c r="E8" s="42" t="s">
        <v>63</v>
      </c>
      <c r="F8" s="41" t="s">
        <v>2</v>
      </c>
      <c r="G8" s="40">
        <v>100</v>
      </c>
      <c r="H8" s="3">
        <f>IF(OR(J8="",K8="",K8&lt;J8),0,NETWORKDAYS(J8,K8,[1]fESTIVOS!$A$2:$A$53))</f>
        <v>0</v>
      </c>
      <c r="I8" s="64">
        <v>45834</v>
      </c>
      <c r="J8" s="80">
        <v>45848</v>
      </c>
      <c r="K8" s="74"/>
      <c r="L8" s="80">
        <v>45822</v>
      </c>
      <c r="M8" s="2">
        <f ca="1">IF(OR(J8="",AND(L8="",TODAY()&lt;J8),AND(L8&lt;&gt;"",L8&lt;J8)),0,
   IF(L8="",
      NETWORKDAYS(J8,TODAY(),[1]fESTIVOS!$A$2:$A$53),
      NETWORKDAYS(J8,L8,[1]fESTIVOS!$A$2:$A$53)
   )
)</f>
        <v>0</v>
      </c>
      <c r="N8" s="39"/>
      <c r="O8" s="39"/>
      <c r="P8" s="38">
        <v>45852</v>
      </c>
      <c r="Q8" s="36" t="s">
        <v>666</v>
      </c>
      <c r="R8" s="37" t="s">
        <v>0</v>
      </c>
      <c r="S8" s="36" t="s">
        <v>665</v>
      </c>
    </row>
    <row r="9" spans="1:19" ht="29.25" customHeight="1">
      <c r="A9" s="45" t="s">
        <v>7</v>
      </c>
      <c r="B9" s="44" t="s">
        <v>664</v>
      </c>
      <c r="C9" s="60" t="s">
        <v>663</v>
      </c>
      <c r="D9" s="41"/>
      <c r="E9" s="42" t="s">
        <v>63</v>
      </c>
      <c r="F9" s="41" t="s">
        <v>2</v>
      </c>
      <c r="G9" s="40">
        <v>100</v>
      </c>
      <c r="H9" s="3">
        <f>IF(OR(J9="",K9="",K9&lt;J9),0,NETWORKDAYS(J9,K9,[1]fESTIVOS!$A$2:$A$53))</f>
        <v>0</v>
      </c>
      <c r="I9" s="64">
        <v>45834</v>
      </c>
      <c r="J9" s="80">
        <v>45848</v>
      </c>
      <c r="K9" s="80"/>
      <c r="L9" s="80">
        <v>45848</v>
      </c>
      <c r="M9" s="2">
        <f ca="1">IF(OR(J9="",AND(L9="",TODAY()&lt;J9),AND(L9&lt;&gt;"",L9&lt;J9)),0,
   IF(L9="",
      NETWORKDAYS(J9,TODAY(),[1]fESTIVOS!$A$2:$A$53),
      NETWORKDAYS(J9,L9,[1]fESTIVOS!$A$2:$A$53)
   )
)</f>
        <v>1</v>
      </c>
      <c r="N9" s="39"/>
      <c r="O9" s="39"/>
      <c r="P9" s="38"/>
      <c r="Q9" s="36" t="s">
        <v>662</v>
      </c>
      <c r="R9" s="37" t="s">
        <v>0</v>
      </c>
      <c r="S9" s="36" t="s">
        <v>661</v>
      </c>
    </row>
    <row r="10" spans="1:19" ht="29.25" customHeight="1">
      <c r="A10" s="45" t="s">
        <v>7</v>
      </c>
      <c r="B10" s="44" t="s">
        <v>660</v>
      </c>
      <c r="C10" s="43" t="s">
        <v>659</v>
      </c>
      <c r="D10" s="41"/>
      <c r="E10" s="42" t="s">
        <v>63</v>
      </c>
      <c r="F10" s="41" t="s">
        <v>2</v>
      </c>
      <c r="G10" s="40">
        <v>100</v>
      </c>
      <c r="H10" s="3">
        <f>IF(OR(J10="",K10="",K10&lt;J10),0,NETWORKDAYS(J10,K10,[1]fESTIVOS!$A$2:$A$53))</f>
        <v>0</v>
      </c>
      <c r="I10" s="64">
        <v>45834</v>
      </c>
      <c r="J10" s="80">
        <v>45854</v>
      </c>
      <c r="K10" s="65"/>
      <c r="L10" s="80">
        <v>45855</v>
      </c>
      <c r="M10" s="2">
        <f ca="1">IF(OR(J10="",AND(L10="",TODAY()&lt;J10),AND(L10&lt;&gt;"",L10&lt;J10)),0,
   IF(L10="",
      NETWORKDAYS(J10,TODAY(),[1]fESTIVOS!$A$2:$A$53),
      NETWORKDAYS(J10,L10,[1]fESTIVOS!$A$2:$A$53)
   )
)</f>
        <v>2</v>
      </c>
      <c r="N10" s="39"/>
      <c r="O10" s="39"/>
      <c r="P10" s="38">
        <v>45855</v>
      </c>
      <c r="Q10" s="36" t="s">
        <v>658</v>
      </c>
      <c r="R10" s="37" t="s">
        <v>0</v>
      </c>
      <c r="S10" s="36" t="s">
        <v>657</v>
      </c>
    </row>
    <row r="11" spans="1:19" ht="29.25" customHeight="1">
      <c r="A11" s="45" t="s">
        <v>7</v>
      </c>
      <c r="B11" s="44" t="s">
        <v>656</v>
      </c>
      <c r="C11" s="43" t="s">
        <v>655</v>
      </c>
      <c r="D11" s="41"/>
      <c r="E11" s="42" t="s">
        <v>63</v>
      </c>
      <c r="F11" s="41" t="s">
        <v>2</v>
      </c>
      <c r="G11" s="40">
        <v>100</v>
      </c>
      <c r="H11" s="3">
        <f>IF(OR(J11="",K11="",K11&lt;J11),0,NETWORKDAYS(J11,K11,[1]fESTIVOS!$A$2:$A$53))</f>
        <v>0</v>
      </c>
      <c r="I11" s="64">
        <v>45834</v>
      </c>
      <c r="J11" s="80">
        <v>45848</v>
      </c>
      <c r="K11" s="65"/>
      <c r="L11" s="80">
        <v>45818</v>
      </c>
      <c r="M11" s="2">
        <f ca="1">IF(OR(J11="",AND(L11="",TODAY()&lt;J11),AND(L11&lt;&gt;"",L11&lt;J11)),0,
   IF(L11="",
      NETWORKDAYS(J11,TODAY(),[1]fESTIVOS!$A$2:$A$53),
      NETWORKDAYS(J11,L11,[1]fESTIVOS!$A$2:$A$53)
   )
)</f>
        <v>0</v>
      </c>
      <c r="N11" s="39"/>
      <c r="O11" s="39"/>
      <c r="P11" s="38">
        <v>45852</v>
      </c>
      <c r="Q11" s="36" t="s">
        <v>654</v>
      </c>
      <c r="R11" s="37" t="s">
        <v>0</v>
      </c>
      <c r="S11" s="36" t="s">
        <v>61</v>
      </c>
    </row>
    <row r="12" spans="1:19" ht="29.25" customHeight="1">
      <c r="A12" s="45" t="s">
        <v>7</v>
      </c>
      <c r="B12" s="44" t="s">
        <v>653</v>
      </c>
      <c r="C12" s="81" t="s">
        <v>652</v>
      </c>
      <c r="D12" s="62"/>
      <c r="E12" s="42" t="s">
        <v>63</v>
      </c>
      <c r="F12" s="62" t="s">
        <v>2</v>
      </c>
      <c r="G12" s="40">
        <v>100</v>
      </c>
      <c r="H12" s="3">
        <f>IF(OR(J12="",K12="",K12&lt;J12),0,NETWORKDAYS(J12,K12,[1]fESTIVOS!$A$2:$A$53))</f>
        <v>0</v>
      </c>
      <c r="I12" s="64">
        <v>45853</v>
      </c>
      <c r="J12" s="80">
        <v>45853</v>
      </c>
      <c r="K12" s="65"/>
      <c r="L12" s="80">
        <v>45854</v>
      </c>
      <c r="M12" s="2">
        <f ca="1">IF(OR(J12="",AND(L12="",TODAY()&lt;J12),AND(L12&lt;&gt;"",L12&lt;J12)),0,
   IF(L12="",
      NETWORKDAYS(J12,TODAY(),[1]fESTIVOS!$A$2:$A$53),
      NETWORKDAYS(J12,L12,[1]fESTIVOS!$A$2:$A$53)
   )
)</f>
        <v>2</v>
      </c>
      <c r="N12" s="39"/>
      <c r="O12" s="39"/>
      <c r="P12" s="38"/>
      <c r="Q12" s="36" t="s">
        <v>651</v>
      </c>
      <c r="R12" s="37" t="s">
        <v>0</v>
      </c>
      <c r="S12" s="36"/>
    </row>
    <row r="13" spans="1:19" ht="39" customHeight="1">
      <c r="A13" s="45" t="s">
        <v>7</v>
      </c>
      <c r="B13" s="61" t="s">
        <v>650</v>
      </c>
      <c r="C13" s="60" t="s">
        <v>649</v>
      </c>
      <c r="D13" s="79"/>
      <c r="E13" s="58" t="s">
        <v>21</v>
      </c>
      <c r="F13" s="41" t="s">
        <v>2</v>
      </c>
      <c r="G13" s="40">
        <v>100</v>
      </c>
      <c r="H13" s="3">
        <f>IF(OR(J13="",K13="",K13&lt;J13),0,NETWORKDAYS(J13,K13,[1]fESTIVOS!$A$2:$A$53))</f>
        <v>2</v>
      </c>
      <c r="I13" s="64">
        <v>45855</v>
      </c>
      <c r="J13" s="65">
        <v>45855</v>
      </c>
      <c r="K13" s="65">
        <v>45857</v>
      </c>
      <c r="L13" s="65">
        <v>45862</v>
      </c>
      <c r="M13" s="2">
        <f ca="1">IF(OR(J13="",AND(L13="",TODAY()&lt;J13),AND(L13&lt;&gt;"",L13&lt;J13)),0,
   IF(L13="",
      NETWORKDAYS(J13,TODAY(),[1]fESTIVOS!$A$2:$A$53),
      NETWORKDAYS(J13,L13,[1]fESTIVOS!$A$2:$A$53)
   )
)</f>
        <v>6</v>
      </c>
      <c r="N13" s="64"/>
      <c r="O13" s="64"/>
      <c r="P13" s="63"/>
      <c r="Q13" s="62" t="s">
        <v>648</v>
      </c>
      <c r="R13" s="37" t="s">
        <v>0</v>
      </c>
      <c r="S13" s="62" t="s">
        <v>647</v>
      </c>
    </row>
    <row r="14" spans="1:19" ht="29.25" customHeight="1">
      <c r="A14" s="45" t="s">
        <v>550</v>
      </c>
      <c r="B14" s="61" t="s">
        <v>646</v>
      </c>
      <c r="C14" s="78" t="s">
        <v>645</v>
      </c>
      <c r="D14" s="41"/>
      <c r="E14" s="58" t="s">
        <v>21</v>
      </c>
      <c r="F14" s="41" t="s">
        <v>2</v>
      </c>
      <c r="G14" s="40">
        <v>100</v>
      </c>
      <c r="H14" s="3">
        <f>IF(OR(J14="",K14="",K14&lt;J14),0,NETWORKDAYS(J14,K14,[1]fESTIVOS!$A$2:$A$53))</f>
        <v>26</v>
      </c>
      <c r="I14" s="64"/>
      <c r="J14" s="65">
        <v>45859</v>
      </c>
      <c r="K14" s="75">
        <v>45896</v>
      </c>
      <c r="L14" s="75">
        <v>45944</v>
      </c>
      <c r="M14" s="2">
        <f ca="1">IF(OR(J14="",AND(L14="",TODAY()&lt;J14),AND(L14&lt;&gt;"",L14&lt;J14)),0,
   IF(L14="",
      NETWORKDAYS(J14,TODAY(),[1]fESTIVOS!$A$2:$A$53),
      NETWORKDAYS(J14,L14,[1]fESTIVOS!$A$2:$A$53)
   )
)</f>
        <v>59</v>
      </c>
      <c r="N14" s="64"/>
      <c r="O14" s="64"/>
      <c r="P14" s="63"/>
      <c r="Q14" s="77" t="s">
        <v>644</v>
      </c>
      <c r="R14" s="37" t="s">
        <v>0</v>
      </c>
      <c r="S14" s="77" t="s">
        <v>643</v>
      </c>
    </row>
    <row r="15" spans="1:19" ht="29.25" customHeight="1">
      <c r="A15" s="45" t="s">
        <v>7</v>
      </c>
      <c r="B15" s="61" t="s">
        <v>642</v>
      </c>
      <c r="C15" s="78" t="s">
        <v>641</v>
      </c>
      <c r="D15" s="41"/>
      <c r="E15" s="58" t="s">
        <v>21</v>
      </c>
      <c r="F15" s="41" t="s">
        <v>2</v>
      </c>
      <c r="G15" s="40">
        <v>100</v>
      </c>
      <c r="H15" s="3">
        <f>IF(OR(J15="",K15="",K15&lt;J15),0,NETWORKDAYS(J15,K15,[1]fESTIVOS!$A$2:$A$53))</f>
        <v>4</v>
      </c>
      <c r="I15" s="64">
        <v>45940</v>
      </c>
      <c r="J15" s="65">
        <v>45940</v>
      </c>
      <c r="K15" s="75">
        <v>45946</v>
      </c>
      <c r="L15" s="75">
        <v>45951</v>
      </c>
      <c r="M15" s="2">
        <f ca="1">IF(OR(J15="",AND(L15="",TODAY()&lt;J15),AND(L15&lt;&gt;"",L15&lt;J15)),0,
   IF(L15="",
      NETWORKDAYS(J15,TODAY(),[1]fESTIVOS!$A$2:$A$53),
      NETWORKDAYS(J15,L15,[1]fESTIVOS!$A$2:$A$53)
   )
)</f>
        <v>7</v>
      </c>
      <c r="N15" s="64"/>
      <c r="O15" s="64"/>
      <c r="P15" s="63"/>
      <c r="Q15" s="77" t="s">
        <v>640</v>
      </c>
      <c r="R15" s="37" t="s">
        <v>0</v>
      </c>
      <c r="S15" s="77"/>
    </row>
    <row r="16" spans="1:19" ht="29.25" customHeight="1">
      <c r="A16" s="45" t="s">
        <v>7</v>
      </c>
      <c r="B16" s="61" t="s">
        <v>639</v>
      </c>
      <c r="C16" s="60" t="s">
        <v>638</v>
      </c>
      <c r="D16" s="41"/>
      <c r="E16" s="58" t="s">
        <v>21</v>
      </c>
      <c r="F16" s="41" t="s">
        <v>2</v>
      </c>
      <c r="G16" s="40">
        <v>100</v>
      </c>
      <c r="H16" s="3">
        <f>IF(OR(J16="",K16="",K16&lt;J16),0,NETWORKDAYS(J16,K16,[1]fESTIVOS!$A$2:$A$53))</f>
        <v>0</v>
      </c>
      <c r="I16" s="64">
        <v>45855</v>
      </c>
      <c r="J16" s="65">
        <v>45855</v>
      </c>
      <c r="K16" s="75"/>
      <c r="L16" s="75">
        <v>45860</v>
      </c>
      <c r="M16" s="2">
        <f ca="1">IF(OR(J16="",AND(L16="",TODAY()&lt;J16),AND(L16&lt;&gt;"",L16&lt;J16)),0,
   IF(L16="",
      NETWORKDAYS(J16,TODAY(),[1]fESTIVOS!$A$2:$A$53),
      NETWORKDAYS(J16,L16,[1]fESTIVOS!$A$2:$A$53)
   )
)</f>
        <v>4</v>
      </c>
      <c r="N16" s="64"/>
      <c r="O16" s="64"/>
      <c r="P16" s="63">
        <v>45885</v>
      </c>
      <c r="Q16" s="74" t="s">
        <v>637</v>
      </c>
      <c r="R16" s="37" t="s">
        <v>0</v>
      </c>
      <c r="S16" s="74"/>
    </row>
    <row r="17" spans="1:19" ht="29.25" customHeight="1">
      <c r="A17" s="76" t="s">
        <v>636</v>
      </c>
      <c r="B17" s="61" t="s">
        <v>635</v>
      </c>
      <c r="C17" s="60" t="s">
        <v>634</v>
      </c>
      <c r="D17" s="41"/>
      <c r="E17" s="58" t="s">
        <v>21</v>
      </c>
      <c r="F17" s="41" t="s">
        <v>2</v>
      </c>
      <c r="G17" s="40">
        <v>100</v>
      </c>
      <c r="H17" s="3">
        <f>IF(OR(J17="",K17="",K17&lt;J17),0,NETWORKDAYS(J17,K17,[1]fESTIVOS!$A$2:$A$53))</f>
        <v>1</v>
      </c>
      <c r="I17" s="64">
        <v>45863</v>
      </c>
      <c r="J17" s="65">
        <v>45863</v>
      </c>
      <c r="K17" s="75">
        <v>45863</v>
      </c>
      <c r="L17" s="65">
        <v>45885</v>
      </c>
      <c r="M17" s="2">
        <f ca="1">IF(OR(J17="",AND(L17="",TODAY()&lt;J17),AND(L17&lt;&gt;"",L17&lt;J17)),0,
   IF(L17="",
      NETWORKDAYS(J17,TODAY(),[1]fESTIVOS!$A$2:$A$53),
      NETWORKDAYS(J17,L17,[1]fESTIVOS!$A$2:$A$53)
   )
)</f>
        <v>15</v>
      </c>
      <c r="N17" s="64"/>
      <c r="O17" s="64"/>
      <c r="P17" s="63"/>
      <c r="Q17" s="74" t="s">
        <v>633</v>
      </c>
      <c r="R17" s="37" t="s">
        <v>0</v>
      </c>
      <c r="S17" s="74"/>
    </row>
    <row r="18" spans="1:19" ht="29.25" customHeight="1">
      <c r="A18" s="45" t="s">
        <v>7</v>
      </c>
      <c r="B18" s="61" t="s">
        <v>632</v>
      </c>
      <c r="C18" s="60" t="s">
        <v>631</v>
      </c>
      <c r="D18" s="66"/>
      <c r="E18" s="58" t="s">
        <v>21</v>
      </c>
      <c r="F18" s="66" t="s">
        <v>2</v>
      </c>
      <c r="G18" s="40">
        <v>100</v>
      </c>
      <c r="H18" s="3">
        <f>IF(OR(J18="",K18="",K18&lt;J18),0,NETWORKDAYS(J18,K18,[1]fESTIVOS!$A$2:$A$53))</f>
        <v>2</v>
      </c>
      <c r="I18" s="64">
        <v>45863</v>
      </c>
      <c r="J18" s="65">
        <v>45866</v>
      </c>
      <c r="K18" s="65">
        <v>45867</v>
      </c>
      <c r="L18" s="65">
        <v>45870</v>
      </c>
      <c r="M18" s="2">
        <f ca="1">IF(OR(J18="",AND(L18="",TODAY()&lt;J18),AND(L18&lt;&gt;"",L18&lt;J18)),0,
   IF(L18="",
      NETWORKDAYS(J18,TODAY(),[1]fESTIVOS!$A$2:$A$53),
      NETWORKDAYS(J18,L18,[1]fESTIVOS!$A$2:$A$53)
   )
)</f>
        <v>5</v>
      </c>
      <c r="N18" s="64"/>
      <c r="O18" s="64"/>
      <c r="P18" s="63">
        <v>45885</v>
      </c>
      <c r="Q18" s="73" t="s">
        <v>630</v>
      </c>
      <c r="R18" s="37" t="s">
        <v>0</v>
      </c>
      <c r="S18" s="73"/>
    </row>
    <row r="19" spans="1:19" ht="29.25" customHeight="1">
      <c r="A19" s="45" t="s">
        <v>7</v>
      </c>
      <c r="B19" s="61" t="s">
        <v>629</v>
      </c>
      <c r="C19" s="60" t="s">
        <v>616</v>
      </c>
      <c r="D19" s="62"/>
      <c r="E19" s="58" t="s">
        <v>3</v>
      </c>
      <c r="F19" s="62" t="s">
        <v>2</v>
      </c>
      <c r="G19" s="40">
        <v>100</v>
      </c>
      <c r="H19" s="3">
        <f>IF(OR(J19="",K19="",K19&lt;J19),0,NETWORKDAYS(J19,K19,[1]fESTIVOS!$A$2:$A$53))</f>
        <v>1</v>
      </c>
      <c r="I19" s="64">
        <v>45870</v>
      </c>
      <c r="J19" s="65">
        <v>45870</v>
      </c>
      <c r="K19" s="65">
        <v>45870</v>
      </c>
      <c r="L19" s="65">
        <v>45877</v>
      </c>
      <c r="M19" s="2">
        <f ca="1">IF(OR(J19="",AND(L19="",TODAY()&lt;J19),AND(L19&lt;&gt;"",L19&lt;J19)),0,
   IF(L19="",
      NETWORKDAYS(J19,TODAY(),[1]fESTIVOS!$A$2:$A$53),
      NETWORKDAYS(J19,L19,[1]fESTIVOS!$A$2:$A$53)
   )
)</f>
        <v>5</v>
      </c>
      <c r="N19" s="64"/>
      <c r="O19" s="64"/>
      <c r="P19" s="63"/>
      <c r="Q19" s="62" t="s">
        <v>628</v>
      </c>
      <c r="R19" s="37" t="s">
        <v>0</v>
      </c>
      <c r="S19" s="62"/>
    </row>
    <row r="20" spans="1:19" ht="29.25" customHeight="1">
      <c r="A20" s="45" t="s">
        <v>7</v>
      </c>
      <c r="B20" s="61" t="s">
        <v>627</v>
      </c>
      <c r="C20" s="60" t="s">
        <v>626</v>
      </c>
      <c r="D20" s="41"/>
      <c r="E20" s="58" t="s">
        <v>21</v>
      </c>
      <c r="F20" s="41" t="s">
        <v>2</v>
      </c>
      <c r="G20" s="40">
        <v>100</v>
      </c>
      <c r="H20" s="3">
        <f>IF(OR(J20="",K20="",K20&lt;J20),0,NETWORKDAYS(J20,K20,[1]fESTIVOS!$A$2:$A$53))</f>
        <v>0</v>
      </c>
      <c r="I20" s="64">
        <v>45874</v>
      </c>
      <c r="J20" s="65">
        <v>45874</v>
      </c>
      <c r="K20" s="65"/>
      <c r="L20" s="65">
        <v>45882</v>
      </c>
      <c r="M20" s="2">
        <f ca="1">IF(OR(J20="",AND(L20="",TODAY()&lt;J20),AND(L20&lt;&gt;"",L20&lt;J20)),0,
   IF(L20="",
      NETWORKDAYS(J20,TODAY(),[1]fESTIVOS!$A$2:$A$53),
      NETWORKDAYS(J20,L20,[1]fESTIVOS!$A$2:$A$53)
   )
)</f>
        <v>6</v>
      </c>
      <c r="N20" s="64"/>
      <c r="O20" s="64"/>
      <c r="P20" s="63">
        <v>45885</v>
      </c>
      <c r="Q20" s="59" t="s">
        <v>625</v>
      </c>
      <c r="R20" s="37" t="s">
        <v>0</v>
      </c>
      <c r="S20" s="59"/>
    </row>
    <row r="21" spans="1:19" ht="29.25" customHeight="1">
      <c r="A21" s="45" t="s">
        <v>7</v>
      </c>
      <c r="B21" s="61" t="s">
        <v>624</v>
      </c>
      <c r="C21" s="72" t="s">
        <v>623</v>
      </c>
      <c r="D21" s="71"/>
      <c r="E21" s="58" t="s">
        <v>21</v>
      </c>
      <c r="F21" s="71" t="s">
        <v>2</v>
      </c>
      <c r="G21" s="70">
        <v>100</v>
      </c>
      <c r="H21" s="3">
        <f>IF(OR(J21="",K21="",K21&lt;J21),0,NETWORKDAYS(J21,K21,[1]fESTIVOS!$A$2:$A$53))</f>
        <v>0</v>
      </c>
      <c r="I21" s="68">
        <v>45883</v>
      </c>
      <c r="J21" s="65">
        <v>45883</v>
      </c>
      <c r="K21" s="65"/>
      <c r="L21" s="65">
        <v>45883</v>
      </c>
      <c r="M21" s="2">
        <f ca="1">IF(OR(J21="",AND(L21="",TODAY()&lt;J21),AND(L21&lt;&gt;"",L21&lt;J21)),0,
   IF(L21="",
      NETWORKDAYS(J21,TODAY(),[1]fESTIVOS!$A$2:$A$53),
      NETWORKDAYS(J21,L21,[1]fESTIVOS!$A$2:$A$53)
   )
)</f>
        <v>1</v>
      </c>
      <c r="N21" s="64"/>
      <c r="O21" s="64"/>
      <c r="P21" s="63">
        <v>45885</v>
      </c>
      <c r="Q21" s="59" t="s">
        <v>622</v>
      </c>
      <c r="R21" s="37" t="s">
        <v>0</v>
      </c>
      <c r="S21" s="59"/>
    </row>
    <row r="22" spans="1:19" ht="29.25" customHeight="1">
      <c r="A22" s="45" t="s">
        <v>7</v>
      </c>
      <c r="B22" s="61" t="s">
        <v>621</v>
      </c>
      <c r="C22" s="72" t="s">
        <v>620</v>
      </c>
      <c r="D22" s="71" t="s">
        <v>619</v>
      </c>
      <c r="E22" s="58" t="s">
        <v>21</v>
      </c>
      <c r="F22" s="71" t="s">
        <v>2</v>
      </c>
      <c r="G22" s="70">
        <v>100</v>
      </c>
      <c r="H22" s="3">
        <f>IF(OR(J22="",K22="",K22&lt;J22),0,NETWORKDAYS(J22,K22,[1]fESTIVOS!$A$2:$A$53))</f>
        <v>0</v>
      </c>
      <c r="I22" s="68"/>
      <c r="J22" s="65">
        <v>45895</v>
      </c>
      <c r="K22" s="65"/>
      <c r="L22" s="65">
        <v>45895</v>
      </c>
      <c r="M22" s="2">
        <f ca="1">IF(OR(J22="",AND(L22="",TODAY()&lt;J22),AND(L22&lt;&gt;"",L22&lt;J22)),0,
   IF(L22="",
      NETWORKDAYS(J22,TODAY(),[1]fESTIVOS!$A$2:$A$53),
      NETWORKDAYS(J22,L22,[1]fESTIVOS!$A$2:$A$53)
   )
)</f>
        <v>1</v>
      </c>
      <c r="N22" s="64"/>
      <c r="O22" s="64"/>
      <c r="P22" s="63"/>
      <c r="Q22" s="59" t="s">
        <v>618</v>
      </c>
      <c r="R22" s="37" t="s">
        <v>0</v>
      </c>
      <c r="S22" s="59"/>
    </row>
    <row r="23" spans="1:19" ht="29.25" customHeight="1">
      <c r="A23" s="45" t="s">
        <v>7</v>
      </c>
      <c r="B23" s="61" t="s">
        <v>617</v>
      </c>
      <c r="C23" s="60" t="s">
        <v>616</v>
      </c>
      <c r="D23" s="66" t="s">
        <v>615</v>
      </c>
      <c r="E23" s="58" t="s">
        <v>3</v>
      </c>
      <c r="F23" s="66" t="s">
        <v>2</v>
      </c>
      <c r="G23" s="40">
        <v>100</v>
      </c>
      <c r="H23" s="3">
        <f>IF(OR(J23="",K23="",K23&lt;J23),0,NETWORKDAYS(J23,K23,[1]fESTIVOS!$A$2:$A$53))</f>
        <v>5</v>
      </c>
      <c r="I23" s="64">
        <v>45884</v>
      </c>
      <c r="J23" s="65">
        <v>45884</v>
      </c>
      <c r="K23" s="65">
        <v>45891</v>
      </c>
      <c r="L23" s="65">
        <v>45947</v>
      </c>
      <c r="M23" s="2">
        <f ca="1">IF(OR(J23="",AND(L23="",TODAY()&lt;J23),AND(L23&lt;&gt;"",L23&lt;J23)),0,
   IF(L23="",
      NETWORKDAYS(J23,TODAY(),[1]fESTIVOS!$A$2:$A$53),
      NETWORKDAYS(J23,L23,[1]fESTIVOS!$A$2:$A$53)
   )
)</f>
        <v>44</v>
      </c>
      <c r="N23" s="64"/>
      <c r="O23" s="64"/>
      <c r="P23" s="63"/>
      <c r="Q23" s="59" t="s">
        <v>614</v>
      </c>
      <c r="R23" s="37" t="s">
        <v>0</v>
      </c>
      <c r="S23" s="59"/>
    </row>
    <row r="24" spans="1:19" ht="29.25" customHeight="1">
      <c r="A24" s="45" t="s">
        <v>7</v>
      </c>
      <c r="B24" s="61" t="s">
        <v>613</v>
      </c>
      <c r="C24" s="60" t="s">
        <v>606</v>
      </c>
      <c r="D24" s="66"/>
      <c r="E24" s="58" t="s">
        <v>12</v>
      </c>
      <c r="F24" s="66" t="s">
        <v>2</v>
      </c>
      <c r="G24" s="40">
        <v>100</v>
      </c>
      <c r="H24" s="3">
        <f>IF(OR(J24="",K24="",K24&lt;J24),0,NETWORKDAYS(J24,K24,[1]fESTIVOS!$A$2:$A$53))</f>
        <v>5</v>
      </c>
      <c r="I24" s="64">
        <v>45894</v>
      </c>
      <c r="J24" s="65">
        <v>45894</v>
      </c>
      <c r="K24" s="65">
        <v>45898</v>
      </c>
      <c r="L24" s="65">
        <v>45897</v>
      </c>
      <c r="M24" s="2">
        <f ca="1">IF(OR(J24="",AND(L24="",TODAY()&lt;J24),AND(L24&lt;&gt;"",L24&lt;J24)),0,
   IF(L24="",
      NETWORKDAYS(J24,TODAY(),[1]fESTIVOS!$A$2:$A$53),
      NETWORKDAYS(J24,L24,[1]fESTIVOS!$A$2:$A$53)
   )
)</f>
        <v>4</v>
      </c>
      <c r="N24" s="64"/>
      <c r="O24" s="64"/>
      <c r="P24" s="63"/>
      <c r="Q24" s="59" t="s">
        <v>612</v>
      </c>
      <c r="R24" s="37" t="s">
        <v>0</v>
      </c>
      <c r="S24" s="59"/>
    </row>
    <row r="25" spans="1:19" ht="29.25" customHeight="1">
      <c r="A25" s="45" t="s">
        <v>7</v>
      </c>
      <c r="B25" s="61" t="s">
        <v>611</v>
      </c>
      <c r="C25" s="60" t="s">
        <v>606</v>
      </c>
      <c r="D25" s="66"/>
      <c r="E25" s="58" t="s">
        <v>12</v>
      </c>
      <c r="F25" s="66" t="s">
        <v>2</v>
      </c>
      <c r="G25" s="40">
        <v>100</v>
      </c>
      <c r="H25" s="3">
        <f>IF(OR(J25="",K25="",K25&lt;J25),0,NETWORKDAYS(J25,K25,[1]fESTIVOS!$A$2:$A$53))</f>
        <v>5</v>
      </c>
      <c r="I25" s="64">
        <v>45894</v>
      </c>
      <c r="J25" s="65">
        <v>45894</v>
      </c>
      <c r="K25" s="65">
        <v>45898</v>
      </c>
      <c r="L25" s="65">
        <v>45897</v>
      </c>
      <c r="M25" s="2">
        <f ca="1">IF(OR(J25="",AND(L25="",TODAY()&lt;J25),AND(L25&lt;&gt;"",L25&lt;J25)),0,
   IF(L25="",
      NETWORKDAYS(J25,TODAY(),[1]fESTIVOS!$A$2:$A$53),
      NETWORKDAYS(J25,L25,[1]fESTIVOS!$A$2:$A$53)
   )
)</f>
        <v>4</v>
      </c>
      <c r="N25" s="64"/>
      <c r="O25" s="64"/>
      <c r="P25" s="63"/>
      <c r="Q25" s="59" t="s">
        <v>610</v>
      </c>
      <c r="R25" s="37" t="s">
        <v>0</v>
      </c>
      <c r="S25" s="59"/>
    </row>
    <row r="26" spans="1:19" ht="29.25" customHeight="1">
      <c r="A26" s="45" t="s">
        <v>7</v>
      </c>
      <c r="B26" s="61" t="s">
        <v>609</v>
      </c>
      <c r="C26" s="60" t="s">
        <v>606</v>
      </c>
      <c r="D26" s="66"/>
      <c r="E26" s="58" t="s">
        <v>12</v>
      </c>
      <c r="F26" s="66" t="s">
        <v>2</v>
      </c>
      <c r="G26" s="40">
        <v>100</v>
      </c>
      <c r="H26" s="3">
        <f>IF(OR(J26="",K26="",K26&lt;J26),0,NETWORKDAYS(J26,K26,[1]fESTIVOS!$A$2:$A$53))</f>
        <v>5</v>
      </c>
      <c r="I26" s="64">
        <v>45894</v>
      </c>
      <c r="J26" s="65">
        <v>45894</v>
      </c>
      <c r="K26" s="65">
        <v>45898</v>
      </c>
      <c r="L26" s="65">
        <v>45897</v>
      </c>
      <c r="M26" s="2">
        <f ca="1">IF(OR(J26="",AND(L26="",TODAY()&lt;J26),AND(L26&lt;&gt;"",L26&lt;J26)),0,
   IF(L26="",
      NETWORKDAYS(J26,TODAY(),[1]fESTIVOS!$A$2:$A$53),
      NETWORKDAYS(J26,L26,[1]fESTIVOS!$A$2:$A$53)
   )
)</f>
        <v>4</v>
      </c>
      <c r="N26" s="64"/>
      <c r="O26" s="64"/>
      <c r="P26" s="63"/>
      <c r="Q26" s="59" t="s">
        <v>608</v>
      </c>
      <c r="R26" s="37" t="s">
        <v>0</v>
      </c>
      <c r="S26" s="59"/>
    </row>
    <row r="27" spans="1:19" ht="29.25" customHeight="1">
      <c r="A27" s="45" t="s">
        <v>7</v>
      </c>
      <c r="B27" s="61" t="s">
        <v>607</v>
      </c>
      <c r="C27" s="60" t="s">
        <v>606</v>
      </c>
      <c r="D27" s="69"/>
      <c r="E27" s="58" t="s">
        <v>12</v>
      </c>
      <c r="F27" s="66" t="s">
        <v>2</v>
      </c>
      <c r="G27" s="40">
        <v>100</v>
      </c>
      <c r="H27" s="3">
        <f>IF(OR(J27="",K27="",K27&lt;J27),0,NETWORKDAYS(J27,K27,[1]fESTIVOS!$A$2:$A$53))</f>
        <v>5</v>
      </c>
      <c r="I27" s="64">
        <v>45894</v>
      </c>
      <c r="J27" s="65">
        <v>45894</v>
      </c>
      <c r="K27" s="65">
        <v>45898</v>
      </c>
      <c r="L27" s="65">
        <v>45897</v>
      </c>
      <c r="M27" s="2">
        <f ca="1">IF(OR(J27="",AND(L27="",TODAY()&lt;J27),AND(L27&lt;&gt;"",L27&lt;J27)),0,
   IF(L27="",
      NETWORKDAYS(J27,TODAY(),[1]fESTIVOS!$A$2:$A$53),
      NETWORKDAYS(J27,L27,[1]fESTIVOS!$A$2:$A$53)
   )
)</f>
        <v>4</v>
      </c>
      <c r="N27" s="64"/>
      <c r="O27" s="64"/>
      <c r="P27" s="63"/>
      <c r="Q27" s="59" t="s">
        <v>605</v>
      </c>
      <c r="R27" s="37" t="s">
        <v>0</v>
      </c>
      <c r="S27" s="59"/>
    </row>
    <row r="28" spans="1:19" ht="29.25" customHeight="1">
      <c r="A28" s="45" t="s">
        <v>7</v>
      </c>
      <c r="B28" s="61" t="s">
        <v>604</v>
      </c>
      <c r="C28" s="60" t="s">
        <v>603</v>
      </c>
      <c r="D28" s="66"/>
      <c r="E28" s="58" t="s">
        <v>12</v>
      </c>
      <c r="F28" s="66" t="s">
        <v>2</v>
      </c>
      <c r="G28" s="40">
        <v>100</v>
      </c>
      <c r="H28" s="3">
        <f>IF(OR(J28="",K28="",K28&lt;J28),0,NETWORKDAYS(J28,K28,[1]fESTIVOS!$A$2:$A$53))</f>
        <v>4</v>
      </c>
      <c r="I28" s="64">
        <v>45894</v>
      </c>
      <c r="J28" s="65">
        <v>45895</v>
      </c>
      <c r="K28" s="65">
        <v>45898</v>
      </c>
      <c r="L28" s="65">
        <v>45897</v>
      </c>
      <c r="M28" s="2">
        <f ca="1">IF(OR(J28="",AND(L28="",TODAY()&lt;J28),AND(L28&lt;&gt;"",L28&lt;J28)),0,
   IF(L28="",
      NETWORKDAYS(J28,TODAY(),[1]fESTIVOS!$A$2:$A$53),
      NETWORKDAYS(J28,L28,[1]fESTIVOS!$A$2:$A$53)
   )
)</f>
        <v>3</v>
      </c>
      <c r="N28" s="64"/>
      <c r="O28" s="64"/>
      <c r="P28" s="63"/>
      <c r="Q28" s="59" t="s">
        <v>602</v>
      </c>
      <c r="R28" s="37" t="s">
        <v>0</v>
      </c>
      <c r="S28" s="59"/>
    </row>
    <row r="29" spans="1:19" ht="29.25" customHeight="1">
      <c r="A29" s="45" t="s">
        <v>7</v>
      </c>
      <c r="B29" s="61" t="s">
        <v>601</v>
      </c>
      <c r="C29" s="60" t="s">
        <v>598</v>
      </c>
      <c r="D29" s="66"/>
      <c r="E29" s="58" t="s">
        <v>12</v>
      </c>
      <c r="F29" s="66" t="s">
        <v>2</v>
      </c>
      <c r="G29" s="40">
        <v>100</v>
      </c>
      <c r="H29" s="3">
        <f>IF(OR(J29="",K29="",K29&lt;J29),0,NETWORKDAYS(J29,K29,[1]fESTIVOS!$A$2:$A$53))</f>
        <v>4</v>
      </c>
      <c r="I29" s="64">
        <v>45894</v>
      </c>
      <c r="J29" s="65">
        <v>45895</v>
      </c>
      <c r="K29" s="65">
        <v>45898</v>
      </c>
      <c r="L29" s="65">
        <v>45897</v>
      </c>
      <c r="M29" s="2">
        <f ca="1">IF(OR(J29="",AND(L29="",TODAY()&lt;J29),AND(L29&lt;&gt;"",L29&lt;J29)),0,
   IF(L29="",
      NETWORKDAYS(J29,TODAY(),[1]fESTIVOS!$A$2:$A$53),
      NETWORKDAYS(J29,L29,[1]fESTIVOS!$A$2:$A$53)
   )
)</f>
        <v>3</v>
      </c>
      <c r="N29" s="64"/>
      <c r="O29" s="64"/>
      <c r="P29" s="63"/>
      <c r="Q29" s="59" t="s">
        <v>600</v>
      </c>
      <c r="R29" s="37" t="s">
        <v>0</v>
      </c>
      <c r="S29" s="59"/>
    </row>
    <row r="30" spans="1:19" ht="29.25" customHeight="1">
      <c r="A30" s="45" t="s">
        <v>7</v>
      </c>
      <c r="B30" s="61" t="s">
        <v>599</v>
      </c>
      <c r="C30" s="60" t="s">
        <v>598</v>
      </c>
      <c r="D30" s="66"/>
      <c r="E30" s="58" t="s">
        <v>12</v>
      </c>
      <c r="F30" s="66" t="s">
        <v>2</v>
      </c>
      <c r="G30" s="40">
        <v>100</v>
      </c>
      <c r="H30" s="3">
        <f>IF(OR(J30="",K30="",K30&lt;J30),0,NETWORKDAYS(J30,K30,[1]fESTIVOS!$A$2:$A$53))</f>
        <v>4</v>
      </c>
      <c r="I30" s="64">
        <v>45894</v>
      </c>
      <c r="J30" s="65">
        <v>45895</v>
      </c>
      <c r="K30" s="65">
        <v>45898</v>
      </c>
      <c r="L30" s="65">
        <v>45897</v>
      </c>
      <c r="M30" s="2">
        <f ca="1">IF(OR(J30="",AND(L30="",TODAY()&lt;J30),AND(L30&lt;&gt;"",L30&lt;J30)),0,
   IF(L30="",
      NETWORKDAYS(J30,TODAY(),[1]fESTIVOS!$A$2:$A$53),
      NETWORKDAYS(J30,L30,[1]fESTIVOS!$A$2:$A$53)
   )
)</f>
        <v>3</v>
      </c>
      <c r="N30" s="64"/>
      <c r="O30" s="64"/>
      <c r="P30" s="63"/>
      <c r="Q30" s="59" t="s">
        <v>597</v>
      </c>
      <c r="R30" s="37" t="s">
        <v>0</v>
      </c>
      <c r="S30" s="59"/>
    </row>
    <row r="31" spans="1:19" ht="29.25" customHeight="1">
      <c r="A31" s="45" t="s">
        <v>7</v>
      </c>
      <c r="B31" s="61" t="s">
        <v>596</v>
      </c>
      <c r="C31" s="60" t="s">
        <v>593</v>
      </c>
      <c r="D31" s="66"/>
      <c r="E31" s="58" t="s">
        <v>21</v>
      </c>
      <c r="F31" s="66" t="s">
        <v>2</v>
      </c>
      <c r="G31" s="40">
        <v>100</v>
      </c>
      <c r="H31" s="3">
        <f>IF(OR(J31="",K31="",K31&lt;J31),0,NETWORKDAYS(J31,K31,[1]fESTIVOS!$A$2:$A$53))</f>
        <v>4</v>
      </c>
      <c r="I31" s="64">
        <v>45894</v>
      </c>
      <c r="J31" s="65">
        <v>45895</v>
      </c>
      <c r="K31" s="65">
        <v>45898</v>
      </c>
      <c r="L31" s="65">
        <v>45897</v>
      </c>
      <c r="M31" s="2">
        <f ca="1">IF(OR(J31="",AND(L31="",TODAY()&lt;J31),AND(L31&lt;&gt;"",L31&lt;J31)),0,
   IF(L31="",
      NETWORKDAYS(J31,TODAY(),[1]fESTIVOS!$A$2:$A$53),
      NETWORKDAYS(J31,L31,[1]fESTIVOS!$A$2:$A$53)
   )
)</f>
        <v>3</v>
      </c>
      <c r="N31" s="64"/>
      <c r="O31" s="64"/>
      <c r="P31" s="63"/>
      <c r="Q31" s="59" t="s">
        <v>595</v>
      </c>
      <c r="R31" s="37" t="s">
        <v>0</v>
      </c>
      <c r="S31" s="59"/>
    </row>
    <row r="32" spans="1:19" ht="29.25" customHeight="1">
      <c r="A32" s="45" t="s">
        <v>7</v>
      </c>
      <c r="B32" s="61" t="s">
        <v>594</v>
      </c>
      <c r="C32" s="60" t="s">
        <v>593</v>
      </c>
      <c r="D32" s="66"/>
      <c r="E32" s="58" t="s">
        <v>21</v>
      </c>
      <c r="F32" s="66" t="s">
        <v>2</v>
      </c>
      <c r="G32" s="40">
        <v>100</v>
      </c>
      <c r="H32" s="3">
        <f>IF(OR(J32="",K32="",K32&lt;J32),0,NETWORKDAYS(J32,K32,[1]fESTIVOS!$A$2:$A$53))</f>
        <v>4</v>
      </c>
      <c r="I32" s="64">
        <v>45894</v>
      </c>
      <c r="J32" s="65">
        <v>45896</v>
      </c>
      <c r="K32" s="65">
        <v>45901</v>
      </c>
      <c r="L32" s="65">
        <v>45930</v>
      </c>
      <c r="M32" s="2">
        <f ca="1">IF(OR(J32="",AND(L32="",TODAY()&lt;J32),AND(L32&lt;&gt;"",L32&lt;J32)),0,
   IF(L32="",
      NETWORKDAYS(J32,TODAY(),[1]fESTIVOS!$A$2:$A$53),
      NETWORKDAYS(J32,L32,[1]fESTIVOS!$A$2:$A$53)
   )
)</f>
        <v>25</v>
      </c>
      <c r="N32" s="64"/>
      <c r="O32" s="64"/>
      <c r="P32" s="63"/>
      <c r="Q32" s="59" t="s">
        <v>592</v>
      </c>
      <c r="R32" s="37" t="s">
        <v>0</v>
      </c>
      <c r="S32" s="59"/>
    </row>
    <row r="33" spans="1:19" ht="29.25" customHeight="1">
      <c r="A33" s="45" t="s">
        <v>7</v>
      </c>
      <c r="B33" s="61" t="s">
        <v>591</v>
      </c>
      <c r="C33" s="60" t="s">
        <v>590</v>
      </c>
      <c r="D33" s="66"/>
      <c r="E33" s="58" t="s">
        <v>21</v>
      </c>
      <c r="F33" s="66" t="s">
        <v>2</v>
      </c>
      <c r="G33" s="40">
        <v>100</v>
      </c>
      <c r="H33" s="3">
        <f>IF(OR(J33="",K33="",K33&lt;J33),0,NETWORKDAYS(J33,K33,[1]fESTIVOS!$A$2:$A$53))</f>
        <v>0</v>
      </c>
      <c r="I33" s="64">
        <v>45894</v>
      </c>
      <c r="J33" s="65">
        <v>45930</v>
      </c>
      <c r="K33" s="65">
        <v>45901</v>
      </c>
      <c r="L33" s="65">
        <v>45930</v>
      </c>
      <c r="M33" s="2">
        <f ca="1">IF(OR(J33="",AND(L33="",TODAY()&lt;J33),AND(L33&lt;&gt;"",L33&lt;J33)),0,
   IF(L33="",
      NETWORKDAYS(J33,TODAY(),[1]fESTIVOS!$A$2:$A$53),
      NETWORKDAYS(J33,L33,[1]fESTIVOS!$A$2:$A$53)
   )
)</f>
        <v>1</v>
      </c>
      <c r="N33" s="64"/>
      <c r="O33" s="64"/>
      <c r="P33" s="63"/>
      <c r="Q33" s="59" t="s">
        <v>589</v>
      </c>
      <c r="R33" s="37" t="s">
        <v>0</v>
      </c>
      <c r="S33" s="59"/>
    </row>
    <row r="34" spans="1:19" ht="29.25" customHeight="1">
      <c r="A34" s="45" t="s">
        <v>7</v>
      </c>
      <c r="B34" s="61" t="s">
        <v>588</v>
      </c>
      <c r="C34" s="60" t="s">
        <v>587</v>
      </c>
      <c r="D34" s="66"/>
      <c r="E34" s="58" t="s">
        <v>21</v>
      </c>
      <c r="F34" s="66" t="s">
        <v>2</v>
      </c>
      <c r="G34" s="40">
        <v>100</v>
      </c>
      <c r="H34" s="3">
        <f>IF(OR(J34="",K34="",K34&lt;J34),0,NETWORKDAYS(J34,K34,[1]fESTIVOS!$A$2:$A$53))</f>
        <v>0</v>
      </c>
      <c r="I34" s="64">
        <v>45894</v>
      </c>
      <c r="J34" s="65">
        <v>45930</v>
      </c>
      <c r="K34" s="65">
        <v>45901</v>
      </c>
      <c r="L34" s="65">
        <v>45930</v>
      </c>
      <c r="M34" s="2">
        <f ca="1">IF(OR(J34="",AND(L34="",TODAY()&lt;J34),AND(L34&lt;&gt;"",L34&lt;J34)),0,
   IF(L34="",
      NETWORKDAYS(J34,TODAY(),[1]fESTIVOS!$A$2:$A$53),
      NETWORKDAYS(J34,L34,[1]fESTIVOS!$A$2:$A$53)
   )
)</f>
        <v>1</v>
      </c>
      <c r="N34" s="64"/>
      <c r="O34" s="64"/>
      <c r="P34" s="63"/>
      <c r="Q34" s="59" t="s">
        <v>586</v>
      </c>
      <c r="R34" s="37" t="s">
        <v>0</v>
      </c>
      <c r="S34" s="59"/>
    </row>
    <row r="35" spans="1:19" ht="29.25" customHeight="1">
      <c r="A35" s="45" t="s">
        <v>7</v>
      </c>
      <c r="B35" s="61" t="s">
        <v>585</v>
      </c>
      <c r="C35" s="60" t="s">
        <v>584</v>
      </c>
      <c r="D35" s="66"/>
      <c r="E35" s="58" t="s">
        <v>21</v>
      </c>
      <c r="F35" s="66" t="s">
        <v>2</v>
      </c>
      <c r="G35" s="40">
        <v>100</v>
      </c>
      <c r="H35" s="3">
        <f>IF(OR(J35="",K35="",K35&lt;J35),0,NETWORKDAYS(J35,K35,[1]fESTIVOS!$A$2:$A$53))</f>
        <v>0</v>
      </c>
      <c r="I35" s="64">
        <v>45894</v>
      </c>
      <c r="J35" s="65">
        <v>45947</v>
      </c>
      <c r="K35" s="65">
        <v>45901</v>
      </c>
      <c r="L35" s="65">
        <v>45947</v>
      </c>
      <c r="M35" s="2">
        <f ca="1">IF(OR(J35="",AND(L35="",TODAY()&lt;J35),AND(L35&lt;&gt;"",L35&lt;J35)),0,
   IF(L35="",
      NETWORKDAYS(J35,TODAY(),[1]fESTIVOS!$A$2:$A$53),
      NETWORKDAYS(J35,L35,[1]fESTIVOS!$A$2:$A$53)
   )
)</f>
        <v>1</v>
      </c>
      <c r="N35" s="64"/>
      <c r="O35" s="64"/>
      <c r="P35" s="63"/>
      <c r="Q35" s="59" t="s">
        <v>583</v>
      </c>
      <c r="R35" s="37" t="s">
        <v>0</v>
      </c>
      <c r="S35" s="59"/>
    </row>
    <row r="36" spans="1:19" ht="29.25" customHeight="1">
      <c r="A36" s="45" t="s">
        <v>7</v>
      </c>
      <c r="B36" s="61" t="s">
        <v>582</v>
      </c>
      <c r="C36" s="60" t="s">
        <v>581</v>
      </c>
      <c r="D36" s="66"/>
      <c r="E36" s="58" t="s">
        <v>12</v>
      </c>
      <c r="F36" s="66" t="s">
        <v>2</v>
      </c>
      <c r="G36" s="40">
        <v>100</v>
      </c>
      <c r="H36" s="3">
        <f>IF(OR(J36="",K36="",K36&lt;J36),0,NETWORKDAYS(J36,K36,[1]fESTIVOS!$A$2:$A$53))</f>
        <v>4</v>
      </c>
      <c r="I36" s="64">
        <v>45894</v>
      </c>
      <c r="J36" s="65">
        <v>45895</v>
      </c>
      <c r="K36" s="65">
        <v>45898</v>
      </c>
      <c r="L36" s="65">
        <v>45897</v>
      </c>
      <c r="M36" s="2">
        <f ca="1">IF(OR(J36="",AND(L36="",TODAY()&lt;J36),AND(L36&lt;&gt;"",L36&lt;J36)),0,
   IF(L36="",
      NETWORKDAYS(J36,TODAY(),[1]fESTIVOS!$A$2:$A$53),
      NETWORKDAYS(J36,L36,[1]fESTIVOS!$A$2:$A$53)
   )
)</f>
        <v>3</v>
      </c>
      <c r="N36" s="64"/>
      <c r="O36" s="64"/>
      <c r="P36" s="63"/>
      <c r="Q36" s="59" t="s">
        <v>580</v>
      </c>
      <c r="R36" s="37" t="s">
        <v>0</v>
      </c>
      <c r="S36" s="59"/>
    </row>
    <row r="37" spans="1:19" ht="29.25" customHeight="1">
      <c r="A37" s="45" t="s">
        <v>7</v>
      </c>
      <c r="B37" s="61" t="s">
        <v>579</v>
      </c>
      <c r="C37" s="60" t="s">
        <v>578</v>
      </c>
      <c r="D37" s="66"/>
      <c r="E37" s="58" t="s">
        <v>21</v>
      </c>
      <c r="F37" s="66" t="s">
        <v>2</v>
      </c>
      <c r="G37" s="40">
        <v>100</v>
      </c>
      <c r="H37" s="3">
        <f>IF(OR(J37="",K37="",K37&lt;J37),0,NETWORKDAYS(J37,K37,[1]fESTIVOS!$A$2:$A$53))</f>
        <v>0</v>
      </c>
      <c r="I37" s="64">
        <v>45894</v>
      </c>
      <c r="J37" s="65">
        <v>45930</v>
      </c>
      <c r="K37" s="65">
        <v>45902</v>
      </c>
      <c r="L37" s="65">
        <v>45930</v>
      </c>
      <c r="M37" s="2">
        <f ca="1">IF(OR(J37="",AND(L37="",TODAY()&lt;J37),AND(L37&lt;&gt;"",L37&lt;J37)),0,
   IF(L37="",
      NETWORKDAYS(J37,TODAY(),[1]fESTIVOS!$A$2:$A$53),
      NETWORKDAYS(J37,L37,[1]fESTIVOS!$A$2:$A$53)
   )
)</f>
        <v>1</v>
      </c>
      <c r="N37" s="39"/>
      <c r="O37" s="39"/>
      <c r="P37" s="63"/>
      <c r="Q37" s="59" t="s">
        <v>577</v>
      </c>
      <c r="R37" s="37" t="s">
        <v>0</v>
      </c>
      <c r="S37" s="59"/>
    </row>
    <row r="38" spans="1:19" ht="29.25" customHeight="1">
      <c r="A38" s="45" t="s">
        <v>7</v>
      </c>
      <c r="B38" s="61" t="s">
        <v>576</v>
      </c>
      <c r="C38" s="60" t="s">
        <v>575</v>
      </c>
      <c r="D38" s="66"/>
      <c r="E38" s="58" t="s">
        <v>21</v>
      </c>
      <c r="F38" s="66" t="s">
        <v>2</v>
      </c>
      <c r="G38" s="40">
        <v>100</v>
      </c>
      <c r="H38" s="3">
        <f>IF(OR(J38="",K38="",K38&lt;J38),0,NETWORKDAYS(J38,K38,[1]fESTIVOS!$A$2:$A$53))</f>
        <v>3</v>
      </c>
      <c r="I38" s="64">
        <v>45894</v>
      </c>
      <c r="J38" s="65">
        <v>45938</v>
      </c>
      <c r="K38" s="65">
        <v>45940</v>
      </c>
      <c r="L38" s="65">
        <v>45947</v>
      </c>
      <c r="M38" s="2">
        <f ca="1">IF(OR(J38="",AND(L38="",TODAY()&lt;J38),AND(L38&lt;&gt;"",L38&lt;J38)),0,
   IF(L38="",
      NETWORKDAYS(J38,TODAY(),[1]fESTIVOS!$A$2:$A$53),
      NETWORKDAYS(J38,L38,[1]fESTIVOS!$A$2:$A$53)
   )
)</f>
        <v>7</v>
      </c>
      <c r="N38" s="64"/>
      <c r="O38" s="64"/>
      <c r="P38" s="63"/>
      <c r="Q38" s="59" t="s">
        <v>574</v>
      </c>
      <c r="R38" s="37" t="s">
        <v>0</v>
      </c>
      <c r="S38" s="59"/>
    </row>
    <row r="39" spans="1:19" ht="29.25" customHeight="1">
      <c r="A39" s="45" t="s">
        <v>7</v>
      </c>
      <c r="B39" s="58" t="s">
        <v>573</v>
      </c>
      <c r="C39" s="51" t="s">
        <v>572</v>
      </c>
      <c r="D39" s="52" t="s">
        <v>571</v>
      </c>
      <c r="E39" s="30" t="s">
        <v>12</v>
      </c>
      <c r="F39" s="16" t="s">
        <v>2</v>
      </c>
      <c r="G39" s="57">
        <v>100</v>
      </c>
      <c r="H39" s="3">
        <f>IF(OR(J39="",K39="",K39&lt;J39),0,NETWORKDAYS(J39,K39,[1]fESTIVOS!$A$2:$A$53))</f>
        <v>3</v>
      </c>
      <c r="I39" s="56">
        <v>45901</v>
      </c>
      <c r="J39" s="55">
        <v>45901</v>
      </c>
      <c r="K39" s="55">
        <v>45903</v>
      </c>
      <c r="L39" s="55">
        <v>45919</v>
      </c>
      <c r="M39" s="2">
        <f ca="1">IF(OR(J39="",AND(L39="",TODAY()&lt;J39),AND(L39&lt;&gt;"",L39&lt;J39)),0,
   IF(L39="",
      NETWORKDAYS(J39,TODAY(),[1]fESTIVOS!$A$2:$A$53),
      NETWORKDAYS(J39,L39,[1]fESTIVOS!$A$2:$A$53)
   )
)</f>
        <v>15</v>
      </c>
      <c r="N39" s="10"/>
      <c r="O39" s="10"/>
      <c r="P39" s="9"/>
      <c r="Q39" s="21" t="s">
        <v>570</v>
      </c>
      <c r="R39" s="22" t="s">
        <v>0</v>
      </c>
      <c r="S39" s="21"/>
    </row>
    <row r="40" spans="1:19" ht="29.25" customHeight="1">
      <c r="A40" s="45" t="s">
        <v>7</v>
      </c>
      <c r="B40" s="61" t="s">
        <v>569</v>
      </c>
      <c r="C40" s="60" t="s">
        <v>568</v>
      </c>
      <c r="D40" s="66" t="s">
        <v>567</v>
      </c>
      <c r="E40" s="58" t="s">
        <v>21</v>
      </c>
      <c r="F40" s="66" t="s">
        <v>2</v>
      </c>
      <c r="G40" s="40">
        <v>100</v>
      </c>
      <c r="H40" s="3">
        <f>IF(OR(J40="",K40="",K40&lt;J40),0,NETWORKDAYS(J40,K40,[1]fESTIVOS!$A$2:$A$53))</f>
        <v>4</v>
      </c>
      <c r="I40" s="64">
        <v>45898</v>
      </c>
      <c r="J40" s="65">
        <v>45898</v>
      </c>
      <c r="K40" s="55">
        <v>45903</v>
      </c>
      <c r="L40" s="65">
        <v>45932</v>
      </c>
      <c r="M40" s="2">
        <f ca="1">IF(OR(J40="",AND(L40="",TODAY()&lt;J40),AND(L40&lt;&gt;"",L40&lt;J40)),0,
   IF(L40="",
      NETWORKDAYS(J40,TODAY(),[1]fESTIVOS!$A$2:$A$53),
      NETWORKDAYS(J40,L40,[1]fESTIVOS!$A$2:$A$53)
   )
)</f>
        <v>25</v>
      </c>
      <c r="N40" s="64"/>
      <c r="O40" s="64"/>
      <c r="P40" s="63"/>
      <c r="Q40" s="21" t="s">
        <v>566</v>
      </c>
      <c r="R40" s="37" t="s">
        <v>0</v>
      </c>
      <c r="S40" s="59"/>
    </row>
    <row r="41" spans="1:19" ht="29.25" customHeight="1">
      <c r="A41" s="45" t="s">
        <v>7</v>
      </c>
      <c r="B41" s="61" t="s">
        <v>565</v>
      </c>
      <c r="C41" s="60" t="s">
        <v>564</v>
      </c>
      <c r="D41" s="66" t="s">
        <v>563</v>
      </c>
      <c r="E41" s="58" t="s">
        <v>21</v>
      </c>
      <c r="F41" s="66" t="s">
        <v>2</v>
      </c>
      <c r="G41" s="40">
        <v>100</v>
      </c>
      <c r="H41" s="3">
        <f>IF(OR(J41="",K41="",K41&lt;J41),0,NETWORKDAYS(J41,K41,[1]fESTIVOS!$A$2:$A$53))</f>
        <v>3</v>
      </c>
      <c r="I41" s="64">
        <v>45901</v>
      </c>
      <c r="J41" s="65">
        <v>45901</v>
      </c>
      <c r="K41" s="55">
        <v>45903</v>
      </c>
      <c r="L41" s="65">
        <v>45903</v>
      </c>
      <c r="M41" s="2">
        <f ca="1">IF(OR(J41="",AND(L41="",TODAY()&lt;J41),AND(L41&lt;&gt;"",L41&lt;J41)),0,
   IF(L41="",
      NETWORKDAYS(J41,TODAY(),[1]fESTIVOS!$A$2:$A$53),
      NETWORKDAYS(J41,L41,[1]fESTIVOS!$A$2:$A$53)
   )
)</f>
        <v>3</v>
      </c>
      <c r="N41" s="64"/>
      <c r="O41" s="64"/>
      <c r="P41" s="63"/>
      <c r="Q41" s="21" t="s">
        <v>562</v>
      </c>
      <c r="R41" s="37" t="s">
        <v>0</v>
      </c>
      <c r="S41" s="59"/>
    </row>
    <row r="42" spans="1:19" ht="29.25" customHeight="1">
      <c r="A42" s="45" t="s">
        <v>7</v>
      </c>
      <c r="B42" s="61" t="s">
        <v>561</v>
      </c>
      <c r="C42" s="60" t="s">
        <v>560</v>
      </c>
      <c r="D42" s="66"/>
      <c r="E42" s="58" t="s">
        <v>3</v>
      </c>
      <c r="F42" s="66" t="s">
        <v>2</v>
      </c>
      <c r="G42" s="40">
        <v>100</v>
      </c>
      <c r="H42" s="3">
        <f>IF(OR(J42="",K42="",K42&lt;J42),0,NETWORKDAYS(J42,K42,[1]fESTIVOS!$A$2:$A$53))</f>
        <v>1</v>
      </c>
      <c r="I42" s="64">
        <v>45902</v>
      </c>
      <c r="J42" s="65">
        <v>45903</v>
      </c>
      <c r="K42" s="55">
        <v>45903</v>
      </c>
      <c r="L42" s="65">
        <v>45903</v>
      </c>
      <c r="M42" s="2">
        <f ca="1">IF(OR(J42="",AND(L42="",TODAY()&lt;J42),AND(L42&lt;&gt;"",L42&lt;J42)),0,
   IF(L42="",
      NETWORKDAYS(J42,TODAY(),[1]fESTIVOS!$A$2:$A$53),
      NETWORKDAYS(J42,L42,[1]fESTIVOS!$A$2:$A$53)
   )
)</f>
        <v>1</v>
      </c>
      <c r="N42" s="64"/>
      <c r="O42" s="64"/>
      <c r="P42" s="63"/>
      <c r="Q42" s="21" t="s">
        <v>559</v>
      </c>
      <c r="R42" s="37" t="s">
        <v>0</v>
      </c>
      <c r="S42" s="59"/>
    </row>
    <row r="43" spans="1:19" ht="29.25" customHeight="1">
      <c r="A43" s="45" t="s">
        <v>7</v>
      </c>
      <c r="B43" s="58" t="s">
        <v>558</v>
      </c>
      <c r="C43" s="51" t="s">
        <v>557</v>
      </c>
      <c r="D43" s="50" t="s">
        <v>556</v>
      </c>
      <c r="E43" s="30" t="s">
        <v>21</v>
      </c>
      <c r="F43" s="16" t="s">
        <v>2</v>
      </c>
      <c r="G43" s="57">
        <v>100</v>
      </c>
      <c r="H43" s="3">
        <f>IF(OR(J43="",K43="",K43&lt;J43),0,NETWORKDAYS(J43,K43,[1]fESTIVOS!$A$2:$A$53))</f>
        <v>3</v>
      </c>
      <c r="I43" s="56">
        <v>45903</v>
      </c>
      <c r="J43" s="55">
        <v>45903</v>
      </c>
      <c r="K43" s="26">
        <v>45905</v>
      </c>
      <c r="L43" s="55">
        <v>46041</v>
      </c>
      <c r="M43" s="2">
        <f ca="1">IF(OR(J43="",AND(L43="",TODAY()&lt;J43),AND(L43&lt;&gt;"",L43&lt;J43)),0,
   IF(L43="",
      NETWORKDAYS(J43,TODAY(),[1]fESTIVOS!$A$2:$A$53),
      NETWORKDAYS(J43,L43,[1]fESTIVOS!$A$2:$A$53)
   )
)</f>
        <v>92</v>
      </c>
      <c r="N43" s="10"/>
      <c r="O43" s="10"/>
      <c r="P43" s="9"/>
      <c r="Q43" s="23" t="s">
        <v>555</v>
      </c>
      <c r="R43" s="22" t="s">
        <v>0</v>
      </c>
      <c r="S43" s="21"/>
    </row>
    <row r="44" spans="1:19" ht="29.25" customHeight="1">
      <c r="A44" s="45" t="s">
        <v>7</v>
      </c>
      <c r="B44" s="61" t="s">
        <v>554</v>
      </c>
      <c r="C44" s="51" t="s">
        <v>552</v>
      </c>
      <c r="D44" s="50"/>
      <c r="E44" s="30" t="s">
        <v>3</v>
      </c>
      <c r="F44" s="16" t="s">
        <v>2</v>
      </c>
      <c r="G44" s="57">
        <v>100</v>
      </c>
      <c r="H44" s="3">
        <f>IF(OR(J44="",K44="",K44&lt;J44),0,NETWORKDAYS(J44,K44,[1]fESTIVOS!$A$2:$A$53))</f>
        <v>4</v>
      </c>
      <c r="I44" s="56">
        <v>45905</v>
      </c>
      <c r="J44" s="55">
        <v>45905</v>
      </c>
      <c r="K44" s="26">
        <v>45910</v>
      </c>
      <c r="L44" s="55">
        <v>45910</v>
      </c>
      <c r="M44" s="2">
        <f ca="1">IF(OR(J44="",AND(L44="",TODAY()&lt;J44),AND(L44&lt;&gt;"",L44&lt;J44)),0,
   IF(L44="",
      NETWORKDAYS(J44,TODAY(),[1]fESTIVOS!$A$2:$A$53),
      NETWORKDAYS(J44,L44,[1]fESTIVOS!$A$2:$A$53)
   )
)</f>
        <v>4</v>
      </c>
      <c r="N44" s="10"/>
      <c r="O44" s="10"/>
      <c r="P44" s="9"/>
      <c r="Q44" s="23" t="s">
        <v>551</v>
      </c>
      <c r="R44" s="22" t="s">
        <v>0</v>
      </c>
      <c r="S44" s="21"/>
    </row>
    <row r="45" spans="1:19" ht="29.25" customHeight="1">
      <c r="A45" s="45" t="s">
        <v>7</v>
      </c>
      <c r="B45" s="61" t="s">
        <v>553</v>
      </c>
      <c r="C45" s="51" t="s">
        <v>552</v>
      </c>
      <c r="D45" s="50"/>
      <c r="E45" s="30" t="s">
        <v>3</v>
      </c>
      <c r="F45" s="16" t="s">
        <v>2</v>
      </c>
      <c r="G45" s="57">
        <v>100</v>
      </c>
      <c r="H45" s="3">
        <f>IF(OR(J45="",K45="",K45&lt;J45),0,NETWORKDAYS(J45,K45,[1]fESTIVOS!$A$2:$A$53))</f>
        <v>4</v>
      </c>
      <c r="I45" s="56">
        <v>45905</v>
      </c>
      <c r="J45" s="55">
        <v>45905</v>
      </c>
      <c r="K45" s="26">
        <v>45910</v>
      </c>
      <c r="L45" s="55">
        <v>45910</v>
      </c>
      <c r="M45" s="2">
        <f ca="1">IF(OR(J45="",AND(L45="",TODAY()&lt;J45),AND(L45&lt;&gt;"",L45&lt;J45)),0,
   IF(L45="",
      NETWORKDAYS(J45,TODAY(),[1]fESTIVOS!$A$2:$A$53),
      NETWORKDAYS(J45,L45,[1]fESTIVOS!$A$2:$A$53)
   )
)</f>
        <v>4</v>
      </c>
      <c r="N45" s="10"/>
      <c r="O45" s="10"/>
      <c r="P45" s="9"/>
      <c r="Q45" s="23" t="s">
        <v>551</v>
      </c>
      <c r="R45" s="22" t="s">
        <v>0</v>
      </c>
      <c r="S45" s="21"/>
    </row>
    <row r="46" spans="1:19" ht="29.25" customHeight="1">
      <c r="A46" s="45" t="s">
        <v>550</v>
      </c>
      <c r="B46" s="61" t="s">
        <v>549</v>
      </c>
      <c r="C46" s="60" t="s">
        <v>548</v>
      </c>
      <c r="D46" s="66"/>
      <c r="E46" s="58" t="s">
        <v>21</v>
      </c>
      <c r="F46" s="66" t="s">
        <v>2</v>
      </c>
      <c r="G46" s="40">
        <v>100</v>
      </c>
      <c r="H46" s="3">
        <f>IF(OR(J46="",K46="",K46&lt;J46),0,NETWORKDAYS(J46,K46,[1]fESTIVOS!$A$2:$A$53))</f>
        <v>0</v>
      </c>
      <c r="I46" s="68">
        <v>45884</v>
      </c>
      <c r="J46" s="65">
        <v>45884</v>
      </c>
      <c r="K46" s="65"/>
      <c r="L46" s="65">
        <v>45888</v>
      </c>
      <c r="M46" s="2">
        <f ca="1">IF(OR(J46="",AND(L46="",TODAY()&lt;J46),AND(L46&lt;&gt;"",L46&lt;J46)),0,
   IF(L46="",
      NETWORKDAYS(J46,TODAY(),[1]fESTIVOS!$A$2:$A$53),
      NETWORKDAYS(J46,L46,[1]fESTIVOS!$A$2:$A$53)
   )
)</f>
        <v>2</v>
      </c>
      <c r="N46" s="64"/>
      <c r="O46" s="64"/>
      <c r="P46" s="63"/>
      <c r="Q46" s="59" t="s">
        <v>547</v>
      </c>
      <c r="R46" s="37" t="s">
        <v>0</v>
      </c>
      <c r="S46" s="59"/>
    </row>
    <row r="47" spans="1:19" ht="29.25" customHeight="1">
      <c r="A47" s="45" t="s">
        <v>7</v>
      </c>
      <c r="B47" s="61" t="s">
        <v>546</v>
      </c>
      <c r="C47" s="60" t="s">
        <v>545</v>
      </c>
      <c r="D47" s="66"/>
      <c r="E47" s="58" t="s">
        <v>21</v>
      </c>
      <c r="F47" s="66" t="s">
        <v>2</v>
      </c>
      <c r="G47" s="40">
        <v>100</v>
      </c>
      <c r="H47" s="3">
        <f>IF(OR(J47="",K47="",K47&lt;J47),0,NETWORKDAYS(J47,K47,[1]fESTIVOS!$A$2:$A$53))</f>
        <v>2</v>
      </c>
      <c r="I47" s="64">
        <v>45889</v>
      </c>
      <c r="J47" s="65">
        <v>45889</v>
      </c>
      <c r="K47" s="65">
        <v>45890</v>
      </c>
      <c r="L47" s="65">
        <v>45889</v>
      </c>
      <c r="M47" s="2">
        <f ca="1">IF(OR(J47="",AND(L47="",TODAY()&lt;J47),AND(L47&lt;&gt;"",L47&lt;J47)),0,
   IF(L47="",
      NETWORKDAYS(J47,TODAY(),[1]fESTIVOS!$A$2:$A$53),
      NETWORKDAYS(J47,L47,[1]fESTIVOS!$A$2:$A$53)
   )
)</f>
        <v>1</v>
      </c>
      <c r="N47" s="64"/>
      <c r="O47" s="64"/>
      <c r="P47" s="63"/>
      <c r="Q47" s="59" t="s">
        <v>544</v>
      </c>
      <c r="R47" s="37" t="s">
        <v>0</v>
      </c>
      <c r="S47" s="59"/>
    </row>
    <row r="48" spans="1:19" ht="29.25" customHeight="1">
      <c r="A48" s="45" t="s">
        <v>7</v>
      </c>
      <c r="B48" s="61" t="s">
        <v>543</v>
      </c>
      <c r="C48" s="60" t="s">
        <v>542</v>
      </c>
      <c r="D48" s="66"/>
      <c r="E48" s="58" t="s">
        <v>21</v>
      </c>
      <c r="F48" s="66" t="s">
        <v>2</v>
      </c>
      <c r="G48" s="40">
        <v>100</v>
      </c>
      <c r="H48" s="3">
        <f>IF(OR(J48="",K48="",K48&lt;J48),0,NETWORKDAYS(J48,K48,[1]fESTIVOS!$A$2:$A$53))</f>
        <v>2</v>
      </c>
      <c r="I48" s="64">
        <v>45889</v>
      </c>
      <c r="J48" s="65">
        <v>45889</v>
      </c>
      <c r="K48" s="65">
        <v>45890</v>
      </c>
      <c r="L48" s="65">
        <v>45889</v>
      </c>
      <c r="M48" s="2">
        <f ca="1">IF(OR(J48="",AND(L48="",TODAY()&lt;J48),AND(L48&lt;&gt;"",L48&lt;J48)),0,
   IF(L48="",
      NETWORKDAYS(J48,TODAY(),[1]fESTIVOS!$A$2:$A$53),
      NETWORKDAYS(J48,L48,[1]fESTIVOS!$A$2:$A$53)
   )
)</f>
        <v>1</v>
      </c>
      <c r="N48" s="64"/>
      <c r="O48" s="64"/>
      <c r="P48" s="63"/>
      <c r="Q48" s="59" t="s">
        <v>541</v>
      </c>
      <c r="R48" s="37" t="s">
        <v>0</v>
      </c>
      <c r="S48" s="59"/>
    </row>
    <row r="49" spans="1:19" ht="29.25" customHeight="1">
      <c r="A49" s="45" t="s">
        <v>7</v>
      </c>
      <c r="B49" s="61" t="s">
        <v>540</v>
      </c>
      <c r="C49" s="60" t="s">
        <v>539</v>
      </c>
      <c r="D49" s="66"/>
      <c r="E49" s="58" t="s">
        <v>21</v>
      </c>
      <c r="F49" s="66" t="s">
        <v>2</v>
      </c>
      <c r="G49" s="40">
        <v>100</v>
      </c>
      <c r="H49" s="3">
        <f>IF(OR(J49="",K49="",K49&lt;J49),0,NETWORKDAYS(J49,K49,[1]fESTIVOS!$A$2:$A$53))</f>
        <v>2</v>
      </c>
      <c r="I49" s="64">
        <v>45889</v>
      </c>
      <c r="J49" s="65">
        <v>45889</v>
      </c>
      <c r="K49" s="65">
        <v>45890</v>
      </c>
      <c r="L49" s="65">
        <v>45889</v>
      </c>
      <c r="M49" s="2">
        <f ca="1">IF(OR(J49="",AND(L49="",TODAY()&lt;J49),AND(L49&lt;&gt;"",L49&lt;J49)),0,
   IF(L49="",
      NETWORKDAYS(J49,TODAY(),[1]fESTIVOS!$A$2:$A$53),
      NETWORKDAYS(J49,L49,[1]fESTIVOS!$A$2:$A$53)
   )
)</f>
        <v>1</v>
      </c>
      <c r="N49" s="64"/>
      <c r="O49" s="64"/>
      <c r="P49" s="63"/>
      <c r="Q49" s="59" t="s">
        <v>538</v>
      </c>
      <c r="R49" s="37" t="s">
        <v>0</v>
      </c>
      <c r="S49" s="59"/>
    </row>
    <row r="50" spans="1:19" ht="29.25" customHeight="1">
      <c r="A50" s="45" t="s">
        <v>7</v>
      </c>
      <c r="B50" s="61" t="s">
        <v>537</v>
      </c>
      <c r="C50" s="60" t="s">
        <v>532</v>
      </c>
      <c r="D50" s="66"/>
      <c r="E50" s="58" t="s">
        <v>21</v>
      </c>
      <c r="F50" s="66" t="s">
        <v>2</v>
      </c>
      <c r="G50" s="40">
        <v>100</v>
      </c>
      <c r="H50" s="3">
        <f>IF(OR(J50="",K50="",K50&lt;J50),0,NETWORKDAYS(J50,K50,[1]fESTIVOS!$A$2:$A$53))</f>
        <v>2</v>
      </c>
      <c r="I50" s="64">
        <v>45889</v>
      </c>
      <c r="J50" s="65">
        <v>45889</v>
      </c>
      <c r="K50" s="65">
        <v>45890</v>
      </c>
      <c r="L50" s="65">
        <v>45889</v>
      </c>
      <c r="M50" s="2">
        <f ca="1">IF(OR(J50="",AND(L50="",TODAY()&lt;J50),AND(L50&lt;&gt;"",L50&lt;J50)),0,
   IF(L50="",
      NETWORKDAYS(J50,TODAY(),[1]fESTIVOS!$A$2:$A$53),
      NETWORKDAYS(J50,L50,[1]fESTIVOS!$A$2:$A$53)
   )
)</f>
        <v>1</v>
      </c>
      <c r="N50" s="64"/>
      <c r="O50" s="64"/>
      <c r="P50" s="63"/>
      <c r="Q50" s="59" t="s">
        <v>536</v>
      </c>
      <c r="R50" s="37" t="s">
        <v>0</v>
      </c>
      <c r="S50" s="59"/>
    </row>
    <row r="51" spans="1:19" ht="29.25" customHeight="1">
      <c r="A51" s="45" t="s">
        <v>7</v>
      </c>
      <c r="B51" s="58" t="s">
        <v>535</v>
      </c>
      <c r="C51" s="67" t="s">
        <v>532</v>
      </c>
      <c r="D51" s="52"/>
      <c r="E51" s="30" t="s">
        <v>21</v>
      </c>
      <c r="F51" s="16" t="s">
        <v>2</v>
      </c>
      <c r="G51" s="57">
        <v>100</v>
      </c>
      <c r="H51" s="3">
        <f>IF(OR(J51="",K51="",K51&lt;J51),0,NETWORKDAYS(J51,K51,[1]fESTIVOS!$A$2:$A$53))</f>
        <v>2</v>
      </c>
      <c r="I51" s="56">
        <v>45889</v>
      </c>
      <c r="J51" s="55">
        <v>45889</v>
      </c>
      <c r="K51" s="55">
        <v>45890</v>
      </c>
      <c r="L51" s="55">
        <v>45889</v>
      </c>
      <c r="M51" s="2">
        <f ca="1">IF(OR(J51="",AND(L51="",TODAY()&lt;J51),AND(L51&lt;&gt;"",L51&lt;J51)),0,
   IF(L51="",
      NETWORKDAYS(J51,TODAY(),[1]fESTIVOS!$A$2:$A$53),
      NETWORKDAYS(J51,L51,[1]fESTIVOS!$A$2:$A$53)
   )
)</f>
        <v>1</v>
      </c>
      <c r="N51" s="10"/>
      <c r="O51" s="10"/>
      <c r="P51" s="9"/>
      <c r="Q51" s="59" t="s">
        <v>534</v>
      </c>
      <c r="R51" s="37" t="s">
        <v>0</v>
      </c>
      <c r="S51" s="6"/>
    </row>
    <row r="52" spans="1:19" ht="29.25" customHeight="1">
      <c r="A52" s="45" t="s">
        <v>7</v>
      </c>
      <c r="B52" s="58" t="s">
        <v>533</v>
      </c>
      <c r="C52" s="67" t="s">
        <v>532</v>
      </c>
      <c r="D52" s="52"/>
      <c r="E52" s="17" t="s">
        <v>21</v>
      </c>
      <c r="F52" s="16" t="s">
        <v>2</v>
      </c>
      <c r="G52" s="57">
        <v>100</v>
      </c>
      <c r="H52" s="3">
        <f>IF(OR(J52="",K52="",K52&lt;J52),0,NETWORKDAYS(J52,K52,[1]fESTIVOS!$A$2:$A$53))</f>
        <v>2</v>
      </c>
      <c r="I52" s="56">
        <v>45889</v>
      </c>
      <c r="J52" s="55">
        <v>45889</v>
      </c>
      <c r="K52" s="55">
        <v>45890</v>
      </c>
      <c r="L52" s="55">
        <v>45889</v>
      </c>
      <c r="M52" s="2">
        <f ca="1">IF(OR(J52="",AND(L52="",TODAY()&lt;J52),AND(L52&lt;&gt;"",L52&lt;J52)),0,
   IF(L52="",
      NETWORKDAYS(J52,TODAY(),[1]fESTIVOS!$A$2:$A$53),
      NETWORKDAYS(J52,L52,[1]fESTIVOS!$A$2:$A$53)
   )
)</f>
        <v>1</v>
      </c>
      <c r="N52" s="10"/>
      <c r="O52" s="10"/>
      <c r="P52" s="9"/>
      <c r="Q52" s="59" t="s">
        <v>531</v>
      </c>
      <c r="R52" s="37" t="s">
        <v>0</v>
      </c>
      <c r="S52" s="6"/>
    </row>
    <row r="53" spans="1:19" ht="29.25" customHeight="1">
      <c r="A53" s="45" t="s">
        <v>7</v>
      </c>
      <c r="B53" s="61" t="s">
        <v>530</v>
      </c>
      <c r="C53" s="60" t="s">
        <v>529</v>
      </c>
      <c r="D53" s="52"/>
      <c r="E53" s="58" t="s">
        <v>3</v>
      </c>
      <c r="F53" s="16" t="s">
        <v>2</v>
      </c>
      <c r="G53" s="57">
        <v>100</v>
      </c>
      <c r="H53" s="3">
        <f>IF(OR(J53="",K53="",K53&lt;J53),0,NETWORKDAYS(J53,K53,[1]fESTIVOS!$A$2:$A$53))</f>
        <v>2</v>
      </c>
      <c r="I53" s="56">
        <v>45890</v>
      </c>
      <c r="J53" s="55">
        <v>45890</v>
      </c>
      <c r="K53" s="55">
        <v>45891</v>
      </c>
      <c r="L53" s="55">
        <v>45890</v>
      </c>
      <c r="M53" s="2">
        <f ca="1">IF(OR(J53="",AND(L53="",TODAY()&lt;J53),AND(L53&lt;&gt;"",L53&lt;J53)),0,
   IF(L53="",
      NETWORKDAYS(J53,TODAY(),[1]fESTIVOS!$A$2:$A$53),
      NETWORKDAYS(J53,L53,[1]fESTIVOS!$A$2:$A$53)
   )
)</f>
        <v>1</v>
      </c>
      <c r="N53" s="10"/>
      <c r="O53" s="10"/>
      <c r="P53" s="9"/>
      <c r="Q53" s="59" t="s">
        <v>528</v>
      </c>
      <c r="R53" s="37" t="s">
        <v>0</v>
      </c>
      <c r="S53" s="6"/>
    </row>
    <row r="54" spans="1:19" ht="29.25" customHeight="1">
      <c r="A54" s="45" t="s">
        <v>7</v>
      </c>
      <c r="B54" s="61" t="s">
        <v>527</v>
      </c>
      <c r="C54" s="60" t="s">
        <v>526</v>
      </c>
      <c r="D54" s="66" t="s">
        <v>525</v>
      </c>
      <c r="E54" s="58" t="s">
        <v>3</v>
      </c>
      <c r="F54" s="16" t="s">
        <v>2</v>
      </c>
      <c r="G54" s="15">
        <v>100</v>
      </c>
      <c r="H54" s="3">
        <f>IF(OR(J54="",K54="",K54&lt;J54),0,NETWORKDAYS(J54,K54,[1]fESTIVOS!$A$2:$A$53))</f>
        <v>1</v>
      </c>
      <c r="I54" s="56">
        <v>45890</v>
      </c>
      <c r="J54" s="55">
        <v>45891</v>
      </c>
      <c r="K54" s="55">
        <v>45891</v>
      </c>
      <c r="L54" s="55">
        <v>45891</v>
      </c>
      <c r="M54" s="2">
        <f ca="1">IF(OR(J54="",AND(L54="",TODAY()&lt;J54),AND(L54&lt;&gt;"",L54&lt;J54)),0,
   IF(L54="",
      NETWORKDAYS(J54,TODAY(),[1]fESTIVOS!$A$2:$A$53),
      NETWORKDAYS(J54,L54,[1]fESTIVOS!$A$2:$A$53)
   )
)</f>
        <v>1</v>
      </c>
      <c r="N54" s="10"/>
      <c r="O54" s="10"/>
      <c r="P54" s="9"/>
      <c r="Q54" s="59" t="s">
        <v>524</v>
      </c>
      <c r="R54" s="7" t="s">
        <v>0</v>
      </c>
      <c r="S54" s="6"/>
    </row>
    <row r="55" spans="1:19" ht="29.25" customHeight="1">
      <c r="A55" s="45" t="s">
        <v>7</v>
      </c>
      <c r="B55" s="61" t="s">
        <v>523</v>
      </c>
      <c r="C55" s="60" t="s">
        <v>522</v>
      </c>
      <c r="D55" s="52"/>
      <c r="E55" s="58" t="s">
        <v>3</v>
      </c>
      <c r="F55" s="16" t="s">
        <v>2</v>
      </c>
      <c r="G55" s="15">
        <v>100</v>
      </c>
      <c r="H55" s="3">
        <f>IF(OR(J55="",K55="",K55&lt;J55),0,NETWORKDAYS(J55,K55,[1]fESTIVOS!$A$2:$A$53))</f>
        <v>2</v>
      </c>
      <c r="I55" s="56">
        <v>45890</v>
      </c>
      <c r="J55" s="55">
        <v>45890</v>
      </c>
      <c r="K55" s="55">
        <v>45891</v>
      </c>
      <c r="L55" s="55">
        <v>45890</v>
      </c>
      <c r="M55" s="2">
        <f ca="1">IF(OR(J55="",AND(L55="",TODAY()&lt;J55),AND(L55&lt;&gt;"",L55&lt;J55)),0,
   IF(L55="",
      NETWORKDAYS(J55,TODAY(),[1]fESTIVOS!$A$2:$A$53),
      NETWORKDAYS(J55,L55,[1]fESTIVOS!$A$2:$A$53)
   )
)</f>
        <v>1</v>
      </c>
      <c r="N55" s="10"/>
      <c r="O55" s="10"/>
      <c r="P55" s="9"/>
      <c r="Q55" s="59" t="s">
        <v>521</v>
      </c>
      <c r="R55" s="7" t="s">
        <v>0</v>
      </c>
      <c r="S55" s="6"/>
    </row>
    <row r="56" spans="1:19" ht="29.25" customHeight="1">
      <c r="A56" s="45" t="s">
        <v>7</v>
      </c>
      <c r="B56" s="61" t="s">
        <v>520</v>
      </c>
      <c r="C56" s="60" t="s">
        <v>471</v>
      </c>
      <c r="D56" s="52" t="s">
        <v>519</v>
      </c>
      <c r="E56" s="58" t="s">
        <v>3</v>
      </c>
      <c r="F56" s="16" t="s">
        <v>2</v>
      </c>
      <c r="G56" s="15">
        <v>100</v>
      </c>
      <c r="H56" s="3">
        <f>IF(OR(J56="",K56="",K56&lt;J56),0,NETWORKDAYS(J56,K56,[1]fESTIVOS!$A$2:$A$53))</f>
        <v>2</v>
      </c>
      <c r="I56" s="56">
        <v>45890</v>
      </c>
      <c r="J56" s="55">
        <v>45890</v>
      </c>
      <c r="K56" s="55">
        <v>45892</v>
      </c>
      <c r="L56" s="55">
        <v>45892</v>
      </c>
      <c r="M56" s="2">
        <f ca="1">IF(OR(J56="",AND(L56="",TODAY()&lt;J56),AND(L56&lt;&gt;"",L56&lt;J56)),0,
   IF(L56="",
      NETWORKDAYS(J56,TODAY(),[1]fESTIVOS!$A$2:$A$53),
      NETWORKDAYS(J56,L56,[1]fESTIVOS!$A$2:$A$53)
   )
)</f>
        <v>2</v>
      </c>
      <c r="N56" s="10"/>
      <c r="O56" s="10"/>
      <c r="P56" s="9"/>
      <c r="Q56" s="59" t="s">
        <v>518</v>
      </c>
      <c r="R56" s="7" t="s">
        <v>0</v>
      </c>
      <c r="S56" s="6"/>
    </row>
    <row r="57" spans="1:19" ht="29.25" customHeight="1">
      <c r="A57" s="45" t="s">
        <v>7</v>
      </c>
      <c r="B57" s="61" t="s">
        <v>517</v>
      </c>
      <c r="C57" s="51" t="s">
        <v>516</v>
      </c>
      <c r="D57" s="50" t="s">
        <v>515</v>
      </c>
      <c r="E57" s="30" t="s">
        <v>3</v>
      </c>
      <c r="F57" s="16" t="s">
        <v>2</v>
      </c>
      <c r="G57" s="57">
        <v>100</v>
      </c>
      <c r="H57" s="3">
        <f>IF(OR(J57="",K57="",K57&lt;J57),0,NETWORKDAYS(J57,K57,[1]fESTIVOS!$A$2:$A$53))</f>
        <v>3</v>
      </c>
      <c r="I57" s="56">
        <v>45910</v>
      </c>
      <c r="J57" s="55">
        <v>45910</v>
      </c>
      <c r="K57" s="26">
        <v>45912</v>
      </c>
      <c r="L57" s="55">
        <v>45937</v>
      </c>
      <c r="M57" s="2">
        <f ca="1">IF(OR(J57="",AND(L57="",TODAY()&lt;J57),AND(L57&lt;&gt;"",L57&lt;J57)),0,
   IF(L57="",
      NETWORKDAYS(J57,TODAY(),[1]fESTIVOS!$A$2:$A$53),
      NETWORKDAYS(J57,L57,[1]fESTIVOS!$A$2:$A$53)
   )
)</f>
        <v>20</v>
      </c>
      <c r="N57" s="10"/>
      <c r="O57" s="10"/>
      <c r="P57" s="9"/>
      <c r="Q57" s="23" t="s">
        <v>514</v>
      </c>
      <c r="R57" s="22" t="s">
        <v>0</v>
      </c>
      <c r="S57" s="21"/>
    </row>
    <row r="58" spans="1:19" ht="29.25" customHeight="1">
      <c r="A58" s="45" t="s">
        <v>7</v>
      </c>
      <c r="B58" s="61" t="s">
        <v>513</v>
      </c>
      <c r="C58" s="51" t="s">
        <v>512</v>
      </c>
      <c r="D58" s="50" t="s">
        <v>511</v>
      </c>
      <c r="E58" s="30" t="s">
        <v>3</v>
      </c>
      <c r="F58" s="16" t="s">
        <v>2</v>
      </c>
      <c r="G58" s="57">
        <v>100</v>
      </c>
      <c r="H58" s="3">
        <f>IF(OR(J58="",K58="",K58&lt;J58),0,NETWORKDAYS(J58,K58,[1]fESTIVOS!$A$2:$A$53))</f>
        <v>2</v>
      </c>
      <c r="I58" s="56">
        <v>45912</v>
      </c>
      <c r="J58" s="55">
        <v>45912</v>
      </c>
      <c r="K58" s="26">
        <v>45915</v>
      </c>
      <c r="L58" s="55">
        <v>45937</v>
      </c>
      <c r="M58" s="2">
        <f ca="1">IF(OR(J58="",AND(L58="",TODAY()&lt;J58),AND(L58&lt;&gt;"",L58&lt;J58)),0,
   IF(L58="",
      NETWORKDAYS(J58,TODAY(),[1]fESTIVOS!$A$2:$A$53),
      NETWORKDAYS(J58,L58,[1]fESTIVOS!$A$2:$A$53)
   )
)</f>
        <v>18</v>
      </c>
      <c r="N58" s="10"/>
      <c r="O58" s="10"/>
      <c r="P58" s="9"/>
      <c r="Q58" s="23" t="s">
        <v>510</v>
      </c>
      <c r="R58" s="22" t="s">
        <v>0</v>
      </c>
      <c r="S58" s="21"/>
    </row>
    <row r="59" spans="1:19" ht="29.25" customHeight="1">
      <c r="A59" s="33" t="s">
        <v>7</v>
      </c>
      <c r="B59" s="58" t="s">
        <v>509</v>
      </c>
      <c r="C59" s="32" t="s">
        <v>508</v>
      </c>
      <c r="D59" s="50" t="s">
        <v>507</v>
      </c>
      <c r="E59" s="30" t="s">
        <v>3</v>
      </c>
      <c r="F59" s="53" t="s">
        <v>2</v>
      </c>
      <c r="G59" s="28">
        <v>100</v>
      </c>
      <c r="H59" s="3">
        <f>IF(OR(J59="",K59="",K59&lt;J59),0,NETWORKDAYS(J59,K59,[1]fESTIVOS!$A$2:$A$53))</f>
        <v>2</v>
      </c>
      <c r="I59" s="56">
        <v>45912</v>
      </c>
      <c r="J59" s="55">
        <v>45912</v>
      </c>
      <c r="K59" s="26">
        <v>45915</v>
      </c>
      <c r="L59" s="55">
        <v>45937</v>
      </c>
      <c r="M59" s="2">
        <f ca="1">IF(OR(J59="",AND(L59="",TODAY()&lt;J59),AND(L59&lt;&gt;"",L59&lt;J59)),0,
   IF(L59="",
      NETWORKDAYS(J59,TODAY(),[1]fESTIVOS!$A$2:$A$53),
      NETWORKDAYS(J59,L59,[1]fESTIVOS!$A$2:$A$53)
   )
)</f>
        <v>18</v>
      </c>
      <c r="N59" s="25"/>
      <c r="O59" s="25"/>
      <c r="P59" s="24"/>
      <c r="Q59" s="23" t="s">
        <v>506</v>
      </c>
      <c r="R59" s="22" t="s">
        <v>0</v>
      </c>
      <c r="S59" s="21"/>
    </row>
    <row r="60" spans="1:19" ht="29.25" customHeight="1">
      <c r="A60" s="33" t="s">
        <v>7</v>
      </c>
      <c r="B60" s="30" t="s">
        <v>505</v>
      </c>
      <c r="C60" s="32" t="s">
        <v>504</v>
      </c>
      <c r="D60" s="54" t="s">
        <v>503</v>
      </c>
      <c r="E60" s="30" t="s">
        <v>3</v>
      </c>
      <c r="F60" s="53" t="s">
        <v>2</v>
      </c>
      <c r="G60" s="28">
        <v>100</v>
      </c>
      <c r="H60" s="3">
        <f>IF(OR(J60="",K60="",K60&lt;J60),0,NETWORKDAYS(J60,K60,[1]fESTIVOS!$A$2:$A$53))</f>
        <v>3</v>
      </c>
      <c r="I60" s="27">
        <v>45917</v>
      </c>
      <c r="J60" s="26">
        <v>45917</v>
      </c>
      <c r="K60" s="26">
        <v>45919</v>
      </c>
      <c r="L60" s="55">
        <v>45937</v>
      </c>
      <c r="M60" s="2">
        <f ca="1">IF(OR(J60="",AND(L60="",TODAY()&lt;J60),AND(L60&lt;&gt;"",L60&lt;J60)),0,
   IF(L60="",
      NETWORKDAYS(J60,TODAY(),[1]fESTIVOS!$A$2:$A$53),
      NETWORKDAYS(J60,L60,[1]fESTIVOS!$A$2:$A$53)
   )
)</f>
        <v>15</v>
      </c>
      <c r="N60" s="25"/>
      <c r="O60" s="25"/>
      <c r="P60" s="24"/>
      <c r="Q60" s="23" t="s">
        <v>502</v>
      </c>
      <c r="R60" s="22" t="s">
        <v>0</v>
      </c>
      <c r="S60" s="21"/>
    </row>
    <row r="61" spans="1:19" ht="29.25" customHeight="1">
      <c r="A61" s="33" t="s">
        <v>7</v>
      </c>
      <c r="B61" s="30" t="s">
        <v>501</v>
      </c>
      <c r="C61" s="32" t="s">
        <v>500</v>
      </c>
      <c r="D61" s="54" t="s">
        <v>499</v>
      </c>
      <c r="E61" s="30" t="s">
        <v>3</v>
      </c>
      <c r="F61" s="53" t="s">
        <v>2</v>
      </c>
      <c r="G61" s="28">
        <v>100</v>
      </c>
      <c r="H61" s="3">
        <f>IF(OR(J61="",K61="",K61&lt;J61),0,NETWORKDAYS(J61,K61,[1]fESTIVOS!$A$2:$A$53))</f>
        <v>3</v>
      </c>
      <c r="I61" s="27">
        <v>45917</v>
      </c>
      <c r="J61" s="26">
        <v>45917</v>
      </c>
      <c r="K61" s="26">
        <v>45919</v>
      </c>
      <c r="L61" s="55">
        <v>45937</v>
      </c>
      <c r="M61" s="2">
        <f ca="1">IF(OR(J61="",AND(L61="",TODAY()&lt;J61),AND(L61&lt;&gt;"",L61&lt;J61)),0,
   IF(L61="",
      NETWORKDAYS(J61,TODAY(),[1]fESTIVOS!$A$2:$A$53),
      NETWORKDAYS(J61,L61,[1]fESTIVOS!$A$2:$A$53)
   )
)</f>
        <v>15</v>
      </c>
      <c r="N61" s="25"/>
      <c r="O61" s="25"/>
      <c r="P61" s="24"/>
      <c r="Q61" s="23" t="s">
        <v>498</v>
      </c>
      <c r="R61" s="22" t="s">
        <v>0</v>
      </c>
      <c r="S61" s="21"/>
    </row>
    <row r="62" spans="1:19" ht="39" customHeight="1">
      <c r="A62" s="45" t="s">
        <v>7</v>
      </c>
      <c r="B62" s="61" t="s">
        <v>497</v>
      </c>
      <c r="C62" s="60" t="s">
        <v>496</v>
      </c>
      <c r="D62" s="41" t="s">
        <v>495</v>
      </c>
      <c r="E62" s="58" t="s">
        <v>21</v>
      </c>
      <c r="F62" s="41" t="s">
        <v>2</v>
      </c>
      <c r="G62" s="40">
        <v>100</v>
      </c>
      <c r="H62" s="3">
        <f>IF(OR(J62="",K62="",K62&lt;J62),0,NETWORKDAYS(J62,K62,[1]fESTIVOS!$A$2:$A$53))</f>
        <v>1</v>
      </c>
      <c r="I62" s="64">
        <v>45919</v>
      </c>
      <c r="J62" s="65">
        <v>45919</v>
      </c>
      <c r="K62" s="65">
        <v>45919</v>
      </c>
      <c r="L62" s="65">
        <v>45919</v>
      </c>
      <c r="M62" s="2">
        <f ca="1">IF(OR(J62="",AND(L62="",TODAY()&lt;J62),AND(L62&lt;&gt;"",L62&lt;J62)),0,
   IF(L62="",
      NETWORKDAYS(J62,TODAY(),[1]fESTIVOS!$A$2:$A$53),
      NETWORKDAYS(J62,L62,[1]fESTIVOS!$A$2:$A$53)
   )
)</f>
        <v>1</v>
      </c>
      <c r="N62" s="64"/>
      <c r="O62" s="64"/>
      <c r="P62" s="63"/>
      <c r="Q62" s="23" t="s">
        <v>494</v>
      </c>
      <c r="R62" s="37" t="s">
        <v>0</v>
      </c>
      <c r="S62" s="62"/>
    </row>
    <row r="63" spans="1:19" ht="29.25" customHeight="1">
      <c r="A63" s="33" t="s">
        <v>7</v>
      </c>
      <c r="B63" s="30" t="s">
        <v>493</v>
      </c>
      <c r="C63" s="32" t="s">
        <v>431</v>
      </c>
      <c r="D63" s="54" t="s">
        <v>492</v>
      </c>
      <c r="E63" s="30" t="s">
        <v>3</v>
      </c>
      <c r="F63" s="53" t="s">
        <v>2</v>
      </c>
      <c r="G63" s="28">
        <v>100</v>
      </c>
      <c r="H63" s="3">
        <f>IF(OR(J63="",K63="",K63&lt;J63),0,NETWORKDAYS(J63,K63,[1]fESTIVOS!$A$2:$A$53))</f>
        <v>0</v>
      </c>
      <c r="I63" s="27">
        <v>45922</v>
      </c>
      <c r="J63" s="26">
        <v>45922</v>
      </c>
      <c r="K63" s="26"/>
      <c r="L63" s="26">
        <v>45937</v>
      </c>
      <c r="M63" s="2">
        <f ca="1">IF(OR(J63="",AND(L63="",TODAY()&lt;J63),AND(L63&lt;&gt;"",L63&lt;J63)),0,
   IF(L63="",
      NETWORKDAYS(J63,TODAY(),[1]fESTIVOS!$A$2:$A$53),
      NETWORKDAYS(J63,L63,[1]fESTIVOS!$A$2:$A$53)
   )
)</f>
        <v>12</v>
      </c>
      <c r="N63" s="25"/>
      <c r="O63" s="25"/>
      <c r="P63" s="24"/>
      <c r="Q63" s="23" t="s">
        <v>491</v>
      </c>
      <c r="R63" s="22" t="s">
        <v>0</v>
      </c>
      <c r="S63" s="21"/>
    </row>
    <row r="64" spans="1:19" ht="29.25" customHeight="1">
      <c r="A64" s="33" t="s">
        <v>7</v>
      </c>
      <c r="B64" s="30" t="s">
        <v>490</v>
      </c>
      <c r="C64" s="32" t="s">
        <v>431</v>
      </c>
      <c r="D64" s="54" t="s">
        <v>489</v>
      </c>
      <c r="E64" s="30" t="s">
        <v>3</v>
      </c>
      <c r="F64" s="53" t="s">
        <v>2</v>
      </c>
      <c r="G64" s="28">
        <v>100</v>
      </c>
      <c r="H64" s="3">
        <f>IF(OR(J64="",K64="",K64&lt;J64),0,NETWORKDAYS(J64,K64,[1]fESTIVOS!$A$2:$A$53))</f>
        <v>0</v>
      </c>
      <c r="I64" s="27">
        <v>45922</v>
      </c>
      <c r="J64" s="26">
        <v>45922</v>
      </c>
      <c r="K64" s="26"/>
      <c r="L64" s="26">
        <v>45937</v>
      </c>
      <c r="M64" s="2">
        <f ca="1">IF(OR(J64="",AND(L64="",TODAY()&lt;J64),AND(L64&lt;&gt;"",L64&lt;J64)),0,
   IF(L64="",
      NETWORKDAYS(J64,TODAY(),[1]fESTIVOS!$A$2:$A$53),
      NETWORKDAYS(J64,L64,[1]fESTIVOS!$A$2:$A$53)
   )
)</f>
        <v>12</v>
      </c>
      <c r="N64" s="25"/>
      <c r="O64" s="25"/>
      <c r="P64" s="24"/>
      <c r="Q64" s="23" t="s">
        <v>488</v>
      </c>
      <c r="R64" s="22" t="s">
        <v>0</v>
      </c>
      <c r="S64" s="21"/>
    </row>
    <row r="65" spans="1:19" ht="29.25" customHeight="1">
      <c r="A65" s="33" t="s">
        <v>7</v>
      </c>
      <c r="B65" s="30" t="s">
        <v>487</v>
      </c>
      <c r="C65" s="32" t="s">
        <v>365</v>
      </c>
      <c r="D65" s="54" t="s">
        <v>486</v>
      </c>
      <c r="E65" s="30" t="s">
        <v>3</v>
      </c>
      <c r="F65" s="53" t="s">
        <v>2</v>
      </c>
      <c r="G65" s="28">
        <v>100</v>
      </c>
      <c r="H65" s="3">
        <f>IF(OR(J65="",K65="",K65&lt;J65),0,NETWORKDAYS(J65,K65,[1]fESTIVOS!$A$2:$A$53))</f>
        <v>1</v>
      </c>
      <c r="I65" s="27">
        <v>45925</v>
      </c>
      <c r="J65" s="26">
        <v>45925</v>
      </c>
      <c r="K65" s="26">
        <v>45925</v>
      </c>
      <c r="L65" s="26">
        <v>45925</v>
      </c>
      <c r="M65" s="2">
        <f ca="1">IF(OR(J65="",AND(L65="",TODAY()&lt;J65),AND(L65&lt;&gt;"",L65&lt;J65)),0,
   IF(L65="",
      NETWORKDAYS(J65,TODAY(),[1]fESTIVOS!$A$2:$A$53),
      NETWORKDAYS(J65,L65,[1]fESTIVOS!$A$2:$A$53)
   )
)</f>
        <v>1</v>
      </c>
      <c r="N65" s="25"/>
      <c r="O65" s="25"/>
      <c r="P65" s="24"/>
      <c r="Q65" s="23" t="s">
        <v>485</v>
      </c>
      <c r="R65" s="22" t="s">
        <v>0</v>
      </c>
      <c r="S65" s="21"/>
    </row>
    <row r="66" spans="1:19" ht="29.25" customHeight="1">
      <c r="A66" s="45" t="s">
        <v>7</v>
      </c>
      <c r="B66" s="58" t="s">
        <v>484</v>
      </c>
      <c r="C66" s="51" t="s">
        <v>483</v>
      </c>
      <c r="D66" s="52" t="s">
        <v>482</v>
      </c>
      <c r="E66" s="30" t="s">
        <v>12</v>
      </c>
      <c r="F66" s="16" t="s">
        <v>2</v>
      </c>
      <c r="G66" s="57">
        <v>100</v>
      </c>
      <c r="H66" s="3">
        <f>IF(OR(J66="",K66="",K66&lt;J66),0,NETWORKDAYS(J66,K66,[1]fESTIVOS!$A$2:$A$53))</f>
        <v>1</v>
      </c>
      <c r="I66" s="56">
        <v>45931</v>
      </c>
      <c r="J66" s="55">
        <v>45932</v>
      </c>
      <c r="K66" s="55">
        <v>45932</v>
      </c>
      <c r="L66" s="55">
        <v>45932</v>
      </c>
      <c r="M66" s="2">
        <f ca="1">IF(OR(J66="",AND(L66="",TODAY()&lt;J66),AND(L66&lt;&gt;"",L66&lt;J66)),0,
   IF(L66="",
      NETWORKDAYS(J66,TODAY(),[1]fESTIVOS!$A$2:$A$53),
      NETWORKDAYS(J66,L66,[1]fESTIVOS!$A$2:$A$53)
   )
)</f>
        <v>1</v>
      </c>
      <c r="N66" s="10"/>
      <c r="O66" s="10"/>
      <c r="P66" s="9"/>
      <c r="Q66" s="21" t="s">
        <v>481</v>
      </c>
      <c r="R66" s="22" t="s">
        <v>0</v>
      </c>
      <c r="S66" s="21"/>
    </row>
    <row r="67" spans="1:19" ht="29.25" customHeight="1">
      <c r="A67" s="45" t="s">
        <v>7</v>
      </c>
      <c r="B67" s="58" t="s">
        <v>480</v>
      </c>
      <c r="C67" s="51" t="s">
        <v>479</v>
      </c>
      <c r="D67" s="50" t="s">
        <v>478</v>
      </c>
      <c r="E67" s="30" t="s">
        <v>21</v>
      </c>
      <c r="F67" s="16" t="s">
        <v>2</v>
      </c>
      <c r="G67" s="57">
        <v>100</v>
      </c>
      <c r="H67" s="3">
        <f>IF(OR(J67="",K67="",K67&lt;J67),0,NETWORKDAYS(J67,K67,[1]fESTIVOS!$A$2:$A$53))</f>
        <v>0</v>
      </c>
      <c r="I67" s="56">
        <v>45932</v>
      </c>
      <c r="J67" s="55">
        <v>45934</v>
      </c>
      <c r="K67" s="55">
        <v>45934</v>
      </c>
      <c r="L67" s="55">
        <v>45934</v>
      </c>
      <c r="M67" s="2">
        <f ca="1">IF(OR(J67="",AND(L67="",TODAY()&lt;J67),AND(L67&lt;&gt;"",L67&lt;J67)),0,
   IF(L67="",
      NETWORKDAYS(J67,TODAY(),[1]fESTIVOS!$A$2:$A$53),
      NETWORKDAYS(J67,L67,[1]fESTIVOS!$A$2:$A$53)
   )
)</f>
        <v>0</v>
      </c>
      <c r="N67" s="10"/>
      <c r="O67" s="10"/>
      <c r="P67" s="9"/>
      <c r="Q67" s="23" t="s">
        <v>477</v>
      </c>
      <c r="R67" s="22" t="s">
        <v>0</v>
      </c>
      <c r="S67" s="21"/>
    </row>
    <row r="68" spans="1:19" ht="29.25" customHeight="1">
      <c r="A68" s="45" t="s">
        <v>7</v>
      </c>
      <c r="B68" s="58" t="s">
        <v>476</v>
      </c>
      <c r="C68" s="51" t="s">
        <v>475</v>
      </c>
      <c r="D68" s="50" t="s">
        <v>474</v>
      </c>
      <c r="E68" s="30" t="s">
        <v>21</v>
      </c>
      <c r="F68" s="16" t="s">
        <v>2</v>
      </c>
      <c r="G68" s="57">
        <v>100</v>
      </c>
      <c r="H68" s="3">
        <f>IF(OR(J68="",K68="",K68&lt;J68),0,NETWORKDAYS(J68,K68,[1]fESTIVOS!$A$2:$A$53))</f>
        <v>0</v>
      </c>
      <c r="I68" s="56">
        <v>45932</v>
      </c>
      <c r="J68" s="55">
        <v>45934</v>
      </c>
      <c r="K68" s="55">
        <v>45934</v>
      </c>
      <c r="L68" s="55">
        <v>45934</v>
      </c>
      <c r="M68" s="2">
        <f ca="1">IF(OR(J68="",AND(L68="",TODAY()&lt;J68),AND(L68&lt;&gt;"",L68&lt;J68)),0,
   IF(L68="",
      NETWORKDAYS(J68,TODAY(),[1]fESTIVOS!$A$2:$A$53),
      NETWORKDAYS(J68,L68,[1]fESTIVOS!$A$2:$A$53)
   )
)</f>
        <v>0</v>
      </c>
      <c r="N68" s="10"/>
      <c r="O68" s="10"/>
      <c r="P68" s="9"/>
      <c r="Q68" s="23" t="s">
        <v>473</v>
      </c>
      <c r="R68" s="22" t="s">
        <v>0</v>
      </c>
      <c r="S68" s="21"/>
    </row>
    <row r="69" spans="1:19" ht="29.25" customHeight="1">
      <c r="A69" s="45" t="s">
        <v>7</v>
      </c>
      <c r="B69" s="61" t="s">
        <v>472</v>
      </c>
      <c r="C69" s="60" t="s">
        <v>471</v>
      </c>
      <c r="D69" s="52" t="s">
        <v>470</v>
      </c>
      <c r="E69" s="58" t="s">
        <v>3</v>
      </c>
      <c r="F69" s="16" t="s">
        <v>2</v>
      </c>
      <c r="G69" s="15">
        <v>100</v>
      </c>
      <c r="H69" s="3">
        <f>IF(OR(J69="",K69="",K69&lt;J69),0,NETWORKDAYS(J69,K69,[1]fESTIVOS!$A$2:$A$53))</f>
        <v>0</v>
      </c>
      <c r="I69" s="56">
        <v>45932</v>
      </c>
      <c r="J69" s="55">
        <v>45934</v>
      </c>
      <c r="K69" s="55">
        <v>45934</v>
      </c>
      <c r="L69" s="55">
        <v>45934</v>
      </c>
      <c r="M69" s="2">
        <f ca="1">IF(OR(J69="",AND(L69="",TODAY()&lt;J69),AND(L69&lt;&gt;"",L69&lt;J69)),0,
   IF(L69="",
      NETWORKDAYS(J69,TODAY(),[1]fESTIVOS!$A$2:$A$53),
      NETWORKDAYS(J69,L69,[1]fESTIVOS!$A$2:$A$53)
   )
)</f>
        <v>0</v>
      </c>
      <c r="N69" s="10"/>
      <c r="O69" s="10"/>
      <c r="P69" s="9"/>
      <c r="Q69" s="59" t="s">
        <v>469</v>
      </c>
      <c r="R69" s="7" t="s">
        <v>0</v>
      </c>
      <c r="S69" s="6"/>
    </row>
    <row r="70" spans="1:19" ht="29.25" customHeight="1">
      <c r="A70" s="45" t="s">
        <v>7</v>
      </c>
      <c r="B70" s="58" t="s">
        <v>468</v>
      </c>
      <c r="C70" s="51" t="s">
        <v>467</v>
      </c>
      <c r="D70" s="50"/>
      <c r="E70" s="30" t="s">
        <v>21</v>
      </c>
      <c r="F70" s="16" t="s">
        <v>2</v>
      </c>
      <c r="G70" s="57">
        <v>100</v>
      </c>
      <c r="H70" s="3">
        <f>IF(OR(J70="",K70="",K70&lt;J70),0,NETWORKDAYS(J70,K70,[1]fESTIVOS!$A$2:$A$53))</f>
        <v>2</v>
      </c>
      <c r="I70" s="56">
        <v>45936</v>
      </c>
      <c r="J70" s="55">
        <v>45936</v>
      </c>
      <c r="K70" s="55">
        <v>45937</v>
      </c>
      <c r="L70" s="55">
        <v>45937</v>
      </c>
      <c r="M70" s="2">
        <f ca="1">IF(OR(J70="",AND(L70="",TODAY()&lt;J70),AND(L70&lt;&gt;"",L70&lt;J70)),0,
   IF(L70="",
      NETWORKDAYS(J70,TODAY(),[1]fESTIVOS!$A$2:$A$53),
      NETWORKDAYS(J70,L70,[1]fESTIVOS!$A$2:$A$53)
   )
)</f>
        <v>2</v>
      </c>
      <c r="N70" s="10"/>
      <c r="O70" s="10"/>
      <c r="P70" s="9"/>
      <c r="Q70" s="23" t="s">
        <v>466</v>
      </c>
      <c r="R70" s="22" t="s">
        <v>0</v>
      </c>
      <c r="S70" s="21"/>
    </row>
    <row r="71" spans="1:19" ht="29.25" customHeight="1">
      <c r="A71" s="45" t="s">
        <v>7</v>
      </c>
      <c r="B71" s="58" t="s">
        <v>465</v>
      </c>
      <c r="C71" s="51" t="s">
        <v>464</v>
      </c>
      <c r="D71" s="50" t="s">
        <v>463</v>
      </c>
      <c r="E71" s="30" t="s">
        <v>21</v>
      </c>
      <c r="F71" s="16" t="s">
        <v>2</v>
      </c>
      <c r="G71" s="57">
        <v>100</v>
      </c>
      <c r="H71" s="3">
        <f>IF(OR(J71="",K71="",K71&lt;J71),0,NETWORKDAYS(J71,K71,[1]fESTIVOS!$A$2:$A$53))</f>
        <v>2</v>
      </c>
      <c r="I71" s="56">
        <v>45936</v>
      </c>
      <c r="J71" s="55">
        <v>45936</v>
      </c>
      <c r="K71" s="55">
        <v>45937</v>
      </c>
      <c r="L71" s="55">
        <v>45937</v>
      </c>
      <c r="M71" s="2">
        <f ca="1">IF(OR(J71="",AND(L71="",TODAY()&lt;J71),AND(L71&lt;&gt;"",L71&lt;J71)),0,
   IF(L71="",
      NETWORKDAYS(J71,TODAY(),[1]fESTIVOS!$A$2:$A$53),
      NETWORKDAYS(J71,L71,[1]fESTIVOS!$A$2:$A$53)
   )
)</f>
        <v>2</v>
      </c>
      <c r="N71" s="10"/>
      <c r="O71" s="10"/>
      <c r="P71" s="9"/>
      <c r="Q71" s="23" t="s">
        <v>462</v>
      </c>
      <c r="R71" s="22" t="s">
        <v>0</v>
      </c>
      <c r="S71" s="21"/>
    </row>
    <row r="72" spans="1:19" ht="29.25" customHeight="1">
      <c r="A72" s="33" t="s">
        <v>7</v>
      </c>
      <c r="B72" s="30" t="s">
        <v>461</v>
      </c>
      <c r="C72" s="32" t="s">
        <v>460</v>
      </c>
      <c r="D72" s="50" t="s">
        <v>459</v>
      </c>
      <c r="E72" s="30" t="s">
        <v>3</v>
      </c>
      <c r="F72" s="53" t="s">
        <v>2</v>
      </c>
      <c r="G72" s="28">
        <v>100</v>
      </c>
      <c r="H72" s="3">
        <f>IF(OR(J72="",K72="",K72&lt;J72),0,NETWORKDAYS(J72,K72,[1]fESTIVOS!$A$2:$A$53))</f>
        <v>2</v>
      </c>
      <c r="I72" s="56">
        <v>45936</v>
      </c>
      <c r="J72" s="55">
        <v>45936</v>
      </c>
      <c r="K72" s="55">
        <v>45937</v>
      </c>
      <c r="L72" s="55">
        <v>45937</v>
      </c>
      <c r="M72" s="2">
        <f ca="1">IF(OR(J72="",AND(L72="",TODAY()&lt;J72),AND(L72&lt;&gt;"",L72&lt;J72)),0,
   IF(L72="",
      NETWORKDAYS(J72,TODAY(),[1]fESTIVOS!$A$2:$A$53),
      NETWORKDAYS(J72,L72,[1]fESTIVOS!$A$2:$A$53)
   )
)</f>
        <v>2</v>
      </c>
      <c r="N72" s="25"/>
      <c r="O72" s="25"/>
      <c r="P72" s="24"/>
      <c r="Q72" s="23" t="s">
        <v>458</v>
      </c>
      <c r="R72" s="22" t="s">
        <v>0</v>
      </c>
      <c r="S72" s="21"/>
    </row>
    <row r="73" spans="1:19" ht="29.25" customHeight="1">
      <c r="A73" s="34" t="s">
        <v>7</v>
      </c>
      <c r="B73" s="17" t="s">
        <v>457</v>
      </c>
      <c r="C73" s="19" t="s">
        <v>431</v>
      </c>
      <c r="D73" s="54" t="s">
        <v>456</v>
      </c>
      <c r="E73" s="17" t="s">
        <v>3</v>
      </c>
      <c r="F73" s="46" t="s">
        <v>2</v>
      </c>
      <c r="G73" s="15">
        <v>100</v>
      </c>
      <c r="H73" s="3">
        <f>IF(OR(J73="",K73="",K73&lt;J73),0,NETWORKDAYS(J73,K73,[1]fESTIVOS!$A$2:$A$53))</f>
        <v>2</v>
      </c>
      <c r="I73" s="56">
        <v>45936</v>
      </c>
      <c r="J73" s="55">
        <v>45936</v>
      </c>
      <c r="K73" s="55">
        <v>45937</v>
      </c>
      <c r="L73" s="55">
        <v>45937</v>
      </c>
      <c r="M73" s="2">
        <f ca="1">IF(OR(J73="",AND(L73="",TODAY()&lt;J73),AND(L73&lt;&gt;"",L73&lt;J73)),0,
   IF(L73="",
      NETWORKDAYS(J73,TODAY(),[1]fESTIVOS!$A$2:$A$53),
      NETWORKDAYS(J73,L73,[1]fESTIVOS!$A$2:$A$53)
   )
)</f>
        <v>2</v>
      </c>
      <c r="N73" s="10"/>
      <c r="O73" s="10"/>
      <c r="P73" s="9"/>
      <c r="Q73" s="23" t="s">
        <v>455</v>
      </c>
      <c r="R73" s="7" t="s">
        <v>0</v>
      </c>
      <c r="S73" s="6"/>
    </row>
    <row r="74" spans="1:19" ht="29.25" customHeight="1">
      <c r="A74" s="33" t="s">
        <v>7</v>
      </c>
      <c r="B74" s="30" t="s">
        <v>454</v>
      </c>
      <c r="C74" s="32" t="s">
        <v>431</v>
      </c>
      <c r="D74" s="54" t="s">
        <v>453</v>
      </c>
      <c r="E74" s="30" t="s">
        <v>3</v>
      </c>
      <c r="F74" s="53" t="s">
        <v>2</v>
      </c>
      <c r="G74" s="28">
        <v>100</v>
      </c>
      <c r="H74" s="3">
        <f>IF(OR(J74="",K74="",K74&lt;J74),0,NETWORKDAYS(J74,K74,[1]fESTIVOS!$A$2:$A$53))</f>
        <v>2</v>
      </c>
      <c r="I74" s="56">
        <v>45936</v>
      </c>
      <c r="J74" s="55">
        <v>45936</v>
      </c>
      <c r="K74" s="55">
        <v>45937</v>
      </c>
      <c r="L74" s="55">
        <v>45937</v>
      </c>
      <c r="M74" s="2">
        <f ca="1">IF(OR(J74="",AND(L74="",TODAY()&lt;J74),AND(L74&lt;&gt;"",L74&lt;J74)),0,
   IF(L74="",
      NETWORKDAYS(J74,TODAY(),[1]fESTIVOS!$A$2:$A$53),
      NETWORKDAYS(J74,L74,[1]fESTIVOS!$A$2:$A$53)
   )
)</f>
        <v>2</v>
      </c>
      <c r="N74" s="25"/>
      <c r="O74" s="25"/>
      <c r="P74" s="24"/>
      <c r="Q74" s="23" t="s">
        <v>452</v>
      </c>
      <c r="R74" s="22" t="s">
        <v>0</v>
      </c>
      <c r="S74" s="21"/>
    </row>
    <row r="75" spans="1:19" ht="29.25" customHeight="1">
      <c r="A75" s="45" t="s">
        <v>7</v>
      </c>
      <c r="B75" s="58" t="s">
        <v>451</v>
      </c>
      <c r="C75" s="51" t="s">
        <v>403</v>
      </c>
      <c r="D75" s="50" t="s">
        <v>450</v>
      </c>
      <c r="E75" s="30" t="s">
        <v>21</v>
      </c>
      <c r="F75" s="16" t="s">
        <v>2</v>
      </c>
      <c r="G75" s="57">
        <v>100</v>
      </c>
      <c r="H75" s="3">
        <f>IF(OR(J75="",K75="",K75&lt;J75),0,NETWORKDAYS(J75,K75,[1]fESTIVOS!$A$2:$A$53))</f>
        <v>2</v>
      </c>
      <c r="I75" s="56">
        <v>45938</v>
      </c>
      <c r="J75" s="55">
        <v>45938</v>
      </c>
      <c r="K75" s="55">
        <v>45939</v>
      </c>
      <c r="L75" s="55">
        <v>45938</v>
      </c>
      <c r="M75" s="2">
        <f ca="1">IF(OR(J75="",AND(L75="",TODAY()&lt;J75),AND(L75&lt;&gt;"",L75&lt;J75)),0,
   IF(L75="",
      NETWORKDAYS(J75,TODAY(),[1]fESTIVOS!$A$2:$A$53),
      NETWORKDAYS(J75,L75,[1]fESTIVOS!$A$2:$A$53)
   )
)</f>
        <v>1</v>
      </c>
      <c r="N75" s="10"/>
      <c r="O75" s="10"/>
      <c r="P75" s="9"/>
      <c r="Q75" s="23" t="s">
        <v>449</v>
      </c>
      <c r="R75" s="22" t="s">
        <v>0</v>
      </c>
      <c r="S75" s="21"/>
    </row>
    <row r="76" spans="1:19" ht="29.25" customHeight="1">
      <c r="A76" s="45" t="s">
        <v>7</v>
      </c>
      <c r="B76" s="58" t="s">
        <v>448</v>
      </c>
      <c r="C76" s="51" t="s">
        <v>447</v>
      </c>
      <c r="D76" s="50" t="s">
        <v>446</v>
      </c>
      <c r="E76" s="30" t="s">
        <v>21</v>
      </c>
      <c r="F76" s="16" t="s">
        <v>2</v>
      </c>
      <c r="G76" s="57">
        <v>100</v>
      </c>
      <c r="H76" s="3">
        <f>IF(OR(J76="",K76="",K76&lt;J76),0,NETWORKDAYS(J76,K76,[1]fESTIVOS!$A$2:$A$53))</f>
        <v>2</v>
      </c>
      <c r="I76" s="56">
        <v>45939</v>
      </c>
      <c r="J76" s="55">
        <v>45939</v>
      </c>
      <c r="K76" s="55">
        <v>45940</v>
      </c>
      <c r="L76" s="55">
        <v>45939</v>
      </c>
      <c r="M76" s="2">
        <f ca="1">IF(OR(J76="",AND(L76="",TODAY()&lt;J76),AND(L76&lt;&gt;"",L76&lt;J76)),0,
   IF(L76="",
      NETWORKDAYS(J76,TODAY(),[1]fESTIVOS!$A$2:$A$53),
      NETWORKDAYS(J76,L76,[1]fESTIVOS!$A$2:$A$53)
   )
)</f>
        <v>1</v>
      </c>
      <c r="N76" s="10"/>
      <c r="O76" s="10"/>
      <c r="P76" s="9"/>
      <c r="Q76" s="23" t="s">
        <v>445</v>
      </c>
      <c r="R76" s="22" t="s">
        <v>0</v>
      </c>
      <c r="S76" s="21"/>
    </row>
    <row r="77" spans="1:19" ht="29.25" customHeight="1">
      <c r="A77" s="33" t="s">
        <v>7</v>
      </c>
      <c r="B77" s="30" t="s">
        <v>444</v>
      </c>
      <c r="C77" s="32" t="s">
        <v>443</v>
      </c>
      <c r="D77" s="54" t="s">
        <v>442</v>
      </c>
      <c r="E77" s="30" t="s">
        <v>3</v>
      </c>
      <c r="F77" s="29" t="s">
        <v>2</v>
      </c>
      <c r="G77" s="28">
        <v>100</v>
      </c>
      <c r="H77" s="3">
        <f>IF(OR(J77="",K77="",K77&lt;J77),0,NETWORKDAYS(J77,K77,[1]fESTIVOS!$A$2:$A$53))</f>
        <v>1</v>
      </c>
      <c r="I77" s="27">
        <v>45940</v>
      </c>
      <c r="J77" s="26">
        <v>45940</v>
      </c>
      <c r="K77" s="26">
        <v>45940</v>
      </c>
      <c r="L77" s="26">
        <v>45940</v>
      </c>
      <c r="M77" s="2">
        <f ca="1">IF(OR(J77="",AND(L77="",TODAY()&lt;J77),AND(L77&lt;&gt;"",L77&lt;J77)),0,
   IF(L77="",
      NETWORKDAYS(J77,TODAY(),[1]fESTIVOS!$A$2:$A$53),
      NETWORKDAYS(J77,L77,[1]fESTIVOS!$A$2:$A$53)
   )
)</f>
        <v>1</v>
      </c>
      <c r="N77" s="25"/>
      <c r="O77" s="25"/>
      <c r="P77" s="24"/>
      <c r="Q77" s="23" t="s">
        <v>441</v>
      </c>
      <c r="R77" s="22" t="s">
        <v>0</v>
      </c>
      <c r="S77" s="21"/>
    </row>
    <row r="78" spans="1:19" ht="29.25" customHeight="1">
      <c r="A78" s="33" t="s">
        <v>7</v>
      </c>
      <c r="B78" s="30" t="s">
        <v>440</v>
      </c>
      <c r="C78" s="32" t="s">
        <v>439</v>
      </c>
      <c r="D78" s="31" t="s">
        <v>438</v>
      </c>
      <c r="E78" s="30" t="s">
        <v>12</v>
      </c>
      <c r="F78" s="29" t="s">
        <v>2</v>
      </c>
      <c r="G78" s="28">
        <v>100</v>
      </c>
      <c r="H78" s="3">
        <f>IF(OR(J78="",K78="",K78&lt;J78),0,NETWORKDAYS(J78,K78,[1]fESTIVOS!$A$2:$A$53))</f>
        <v>1</v>
      </c>
      <c r="I78" s="27">
        <v>45937</v>
      </c>
      <c r="J78" s="26">
        <v>45940</v>
      </c>
      <c r="K78" s="26">
        <v>45940</v>
      </c>
      <c r="L78" s="26">
        <v>45940</v>
      </c>
      <c r="M78" s="2">
        <f ca="1">IF(OR(J78="",AND(L78="",TODAY()&lt;J78),AND(L78&lt;&gt;"",L78&lt;J78)),0,
   IF(L78="",
      NETWORKDAYS(J78,TODAY(),[1]fESTIVOS!$A$2:$A$53),
      NETWORKDAYS(J78,L78,[1]fESTIVOS!$A$2:$A$53)
   )
)</f>
        <v>1</v>
      </c>
      <c r="N78" s="25"/>
      <c r="O78" s="25"/>
      <c r="P78" s="24"/>
      <c r="Q78" s="23" t="s">
        <v>437</v>
      </c>
      <c r="R78" s="22" t="s">
        <v>0</v>
      </c>
      <c r="S78" s="21"/>
    </row>
    <row r="79" spans="1:19" ht="29.25" customHeight="1">
      <c r="A79" s="34" t="s">
        <v>7</v>
      </c>
      <c r="B79" s="17" t="s">
        <v>436</v>
      </c>
      <c r="C79" s="19" t="s">
        <v>435</v>
      </c>
      <c r="D79" s="18" t="s">
        <v>434</v>
      </c>
      <c r="E79" s="17" t="s">
        <v>21</v>
      </c>
      <c r="F79" s="16" t="s">
        <v>2</v>
      </c>
      <c r="G79" s="28">
        <v>100</v>
      </c>
      <c r="H79" s="3">
        <f>IF(OR(J79="",K79="",K79&lt;J79),0,NETWORKDAYS(J79,K79,[1]fESTIVOS!$A$2:$A$53))</f>
        <v>1</v>
      </c>
      <c r="I79" s="13">
        <v>45944</v>
      </c>
      <c r="J79" s="12">
        <v>45944</v>
      </c>
      <c r="K79" s="12">
        <v>45944</v>
      </c>
      <c r="L79" s="12">
        <v>45944</v>
      </c>
      <c r="M79" s="2">
        <f ca="1">IF(OR(J79="",AND(L79="",TODAY()&lt;J79),AND(L79&lt;&gt;"",L79&lt;J79)),0,
   IF(L79="",
      NETWORKDAYS(J79,TODAY(),[1]fESTIVOS!$A$2:$A$53),
      NETWORKDAYS(J79,L79,[1]fESTIVOS!$A$2:$A$53)
   )
)</f>
        <v>1</v>
      </c>
      <c r="N79" s="10"/>
      <c r="O79" s="10"/>
      <c r="P79" s="9"/>
      <c r="Q79" s="8" t="s">
        <v>433</v>
      </c>
      <c r="R79" s="7" t="s">
        <v>0</v>
      </c>
      <c r="S79" s="6"/>
    </row>
    <row r="80" spans="1:19" ht="29.25" customHeight="1">
      <c r="A80" s="33" t="s">
        <v>7</v>
      </c>
      <c r="B80" s="30" t="s">
        <v>432</v>
      </c>
      <c r="C80" s="32" t="s">
        <v>431</v>
      </c>
      <c r="D80" s="54" t="s">
        <v>430</v>
      </c>
      <c r="E80" s="30" t="s">
        <v>3</v>
      </c>
      <c r="F80" s="29" t="s">
        <v>2</v>
      </c>
      <c r="G80" s="28">
        <v>100</v>
      </c>
      <c r="H80" s="3">
        <f>IF(OR(J80="",K80="",K80&lt;J80),0,NETWORKDAYS(J80,K80,[1]fESTIVOS!$A$2:$A$53))</f>
        <v>1</v>
      </c>
      <c r="I80" s="13">
        <v>45944</v>
      </c>
      <c r="J80" s="12">
        <v>45944</v>
      </c>
      <c r="K80" s="12">
        <v>45944</v>
      </c>
      <c r="L80" s="12">
        <v>45944</v>
      </c>
      <c r="M80" s="2">
        <f ca="1">IF(OR(J80="",AND(L80="",TODAY()&lt;J80),AND(L80&lt;&gt;"",L80&lt;J80)),0,
   IF(L80="",
      NETWORKDAYS(J80,TODAY(),[1]fESTIVOS!$A$2:$A$53),
      NETWORKDAYS(J80,L80,[1]fESTIVOS!$A$2:$A$53)
   )
)</f>
        <v>1</v>
      </c>
      <c r="N80" s="25"/>
      <c r="O80" s="25"/>
      <c r="P80" s="24"/>
      <c r="Q80" s="8" t="s">
        <v>429</v>
      </c>
      <c r="R80" s="22" t="s">
        <v>0</v>
      </c>
      <c r="S80" s="21"/>
    </row>
    <row r="81" spans="1:19" ht="29.25" customHeight="1">
      <c r="A81" s="33" t="s">
        <v>7</v>
      </c>
      <c r="B81" s="30" t="s">
        <v>428</v>
      </c>
      <c r="C81" s="19" t="s">
        <v>427</v>
      </c>
      <c r="D81" s="54" t="s">
        <v>426</v>
      </c>
      <c r="E81" s="30" t="s">
        <v>21</v>
      </c>
      <c r="F81" s="29" t="s">
        <v>2</v>
      </c>
      <c r="G81" s="28">
        <v>100</v>
      </c>
      <c r="H81" s="3">
        <f>IF(OR(J81="",K81="",K81&lt;J81),0,NETWORKDAYS(J81,K81,[1]fESTIVOS!$A$2:$A$53))</f>
        <v>1</v>
      </c>
      <c r="I81" s="13">
        <v>45944</v>
      </c>
      <c r="J81" s="12">
        <v>45944</v>
      </c>
      <c r="K81" s="12">
        <v>45944</v>
      </c>
      <c r="L81" s="12">
        <v>45944</v>
      </c>
      <c r="M81" s="2">
        <f ca="1">IF(OR(J81="",AND(L81="",TODAY()&lt;J81),AND(L81&lt;&gt;"",L81&lt;J81)),0,
   IF(L81="",
      NETWORKDAYS(J81,TODAY(),[1]fESTIVOS!$A$2:$A$53),
      NETWORKDAYS(J81,L81,[1]fESTIVOS!$A$2:$A$53)
   )
)</f>
        <v>1</v>
      </c>
      <c r="N81" s="25"/>
      <c r="O81" s="25"/>
      <c r="P81" s="24"/>
      <c r="Q81" s="8" t="s">
        <v>425</v>
      </c>
      <c r="R81" s="22" t="s">
        <v>0</v>
      </c>
      <c r="S81" s="21"/>
    </row>
    <row r="82" spans="1:19" ht="29.25" customHeight="1">
      <c r="A82" s="33" t="s">
        <v>7</v>
      </c>
      <c r="B82" s="30" t="s">
        <v>424</v>
      </c>
      <c r="C82" s="19" t="s">
        <v>423</v>
      </c>
      <c r="D82" s="54" t="s">
        <v>422</v>
      </c>
      <c r="E82" s="30" t="s">
        <v>21</v>
      </c>
      <c r="F82" s="29" t="s">
        <v>2</v>
      </c>
      <c r="G82" s="28">
        <v>100</v>
      </c>
      <c r="H82" s="3">
        <f>IF(OR(J82="",K82="",K82&lt;J82),0,NETWORKDAYS(J82,K82,[1]fESTIVOS!$A$2:$A$53))</f>
        <v>1</v>
      </c>
      <c r="I82" s="13">
        <v>45945</v>
      </c>
      <c r="J82" s="12">
        <v>45945</v>
      </c>
      <c r="K82" s="12">
        <v>45945</v>
      </c>
      <c r="L82" s="12">
        <v>45945</v>
      </c>
      <c r="M82" s="2">
        <f ca="1">IF(OR(J82="",AND(L82="",TODAY()&lt;J82),AND(L82&lt;&gt;"",L82&lt;J82)),0,
   IF(L82="",
      NETWORKDAYS(J82,TODAY(),[1]fESTIVOS!$A$2:$A$53),
      NETWORKDAYS(J82,L82,[1]fESTIVOS!$A$2:$A$53)
   )
)</f>
        <v>1</v>
      </c>
      <c r="N82" s="25"/>
      <c r="O82" s="25"/>
      <c r="P82" s="24"/>
      <c r="Q82" s="8" t="s">
        <v>421</v>
      </c>
      <c r="R82" s="22" t="s">
        <v>0</v>
      </c>
      <c r="S82" s="21"/>
    </row>
    <row r="83" spans="1:19" ht="29.25" customHeight="1">
      <c r="A83" s="33" t="s">
        <v>7</v>
      </c>
      <c r="B83" s="30" t="s">
        <v>420</v>
      </c>
      <c r="C83" s="19" t="s">
        <v>419</v>
      </c>
      <c r="D83" s="54" t="s">
        <v>418</v>
      </c>
      <c r="E83" s="30" t="s">
        <v>21</v>
      </c>
      <c r="F83" s="29" t="s">
        <v>2</v>
      </c>
      <c r="G83" s="28">
        <v>100</v>
      </c>
      <c r="H83" s="3">
        <f>IF(OR(J83="",K83="",K83&lt;J83),0,NETWORKDAYS(J83,K83,[1]fESTIVOS!$A$2:$A$53))</f>
        <v>3</v>
      </c>
      <c r="I83" s="13">
        <v>45946</v>
      </c>
      <c r="J83" s="12">
        <v>45946</v>
      </c>
      <c r="K83" s="12">
        <v>45950</v>
      </c>
      <c r="L83" s="12">
        <v>45947</v>
      </c>
      <c r="M83" s="2">
        <f ca="1">IF(OR(J83="",AND(L83="",TODAY()&lt;J83),AND(L83&lt;&gt;"",L83&lt;J83)),0,
   IF(L83="",
      NETWORKDAYS(J83,TODAY(),[1]fESTIVOS!$A$2:$A$53),
      NETWORKDAYS(J83,L83,[1]fESTIVOS!$A$2:$A$53)
   )
)</f>
        <v>2</v>
      </c>
      <c r="N83" s="25"/>
      <c r="O83" s="25"/>
      <c r="P83" s="24"/>
      <c r="Q83" s="8" t="s">
        <v>417</v>
      </c>
      <c r="R83" s="22" t="s">
        <v>0</v>
      </c>
      <c r="S83" s="21"/>
    </row>
    <row r="84" spans="1:19" ht="29.25" customHeight="1">
      <c r="A84" s="33" t="s">
        <v>7</v>
      </c>
      <c r="B84" s="30" t="s">
        <v>416</v>
      </c>
      <c r="C84" s="19" t="s">
        <v>410</v>
      </c>
      <c r="D84" s="54" t="s">
        <v>409</v>
      </c>
      <c r="E84" s="30" t="s">
        <v>21</v>
      </c>
      <c r="F84" s="29" t="s">
        <v>2</v>
      </c>
      <c r="G84" s="28">
        <v>100</v>
      </c>
      <c r="H84" s="3">
        <f>IF(OR(J84="",K84="",K84&lt;J84),0,NETWORKDAYS(J84,K84,[1]fESTIVOS!$A$2:$A$53))</f>
        <v>2</v>
      </c>
      <c r="I84" s="13">
        <v>45946</v>
      </c>
      <c r="J84" s="12">
        <v>45946</v>
      </c>
      <c r="K84" s="12">
        <v>45947</v>
      </c>
      <c r="L84" s="12">
        <v>45946</v>
      </c>
      <c r="M84" s="2">
        <f ca="1">IF(OR(J84="",AND(L84="",TODAY()&lt;J84),AND(L84&lt;&gt;"",L84&lt;J84)),0,
   IF(L84="",
      NETWORKDAYS(J84,TODAY(),[1]fESTIVOS!$A$2:$A$53),
      NETWORKDAYS(J84,L84,[1]fESTIVOS!$A$2:$A$53)
   )
)</f>
        <v>1</v>
      </c>
      <c r="N84" s="25"/>
      <c r="O84" s="25"/>
      <c r="P84" s="24"/>
      <c r="Q84" s="8" t="s">
        <v>408</v>
      </c>
      <c r="R84" s="22" t="s">
        <v>0</v>
      </c>
      <c r="S84" s="21"/>
    </row>
    <row r="85" spans="1:19" ht="29.25" customHeight="1">
      <c r="A85" s="33" t="s">
        <v>7</v>
      </c>
      <c r="B85" s="30" t="s">
        <v>415</v>
      </c>
      <c r="C85" s="19" t="s">
        <v>414</v>
      </c>
      <c r="D85" s="54" t="s">
        <v>413</v>
      </c>
      <c r="E85" s="30" t="s">
        <v>21</v>
      </c>
      <c r="F85" s="29" t="s">
        <v>2</v>
      </c>
      <c r="G85" s="28">
        <v>100</v>
      </c>
      <c r="H85" s="3">
        <f>IF(OR(J85="",K85="",K85&lt;J85),0,NETWORKDAYS(J85,K85,[1]fESTIVOS!$A$2:$A$53))</f>
        <v>3</v>
      </c>
      <c r="I85" s="13">
        <v>45947</v>
      </c>
      <c r="J85" s="12">
        <v>45950</v>
      </c>
      <c r="K85" s="12">
        <v>45952</v>
      </c>
      <c r="L85" s="12">
        <v>45951</v>
      </c>
      <c r="M85" s="2">
        <f ca="1">IF(OR(J85="",AND(L85="",TODAY()&lt;J85),AND(L85&lt;&gt;"",L85&lt;J85)),0,
   IF(L85="",
      NETWORKDAYS(J85,TODAY(),[1]fESTIVOS!$A$2:$A$53),
      NETWORKDAYS(J85,L85,[1]fESTIVOS!$A$2:$A$53)
   )
)</f>
        <v>2</v>
      </c>
      <c r="N85" s="25"/>
      <c r="O85" s="25"/>
      <c r="P85" s="24"/>
      <c r="Q85" s="8" t="s">
        <v>412</v>
      </c>
      <c r="R85" s="22" t="s">
        <v>0</v>
      </c>
      <c r="S85" s="21"/>
    </row>
    <row r="86" spans="1:19" ht="29.25" customHeight="1">
      <c r="A86" s="34" t="s">
        <v>7</v>
      </c>
      <c r="B86" s="17" t="s">
        <v>411</v>
      </c>
      <c r="C86" s="19" t="s">
        <v>410</v>
      </c>
      <c r="D86" s="18" t="s">
        <v>409</v>
      </c>
      <c r="E86" s="17" t="s">
        <v>21</v>
      </c>
      <c r="F86" s="16" t="s">
        <v>2</v>
      </c>
      <c r="G86" s="15">
        <v>100</v>
      </c>
      <c r="H86" s="3">
        <f>IF(OR(J86="",K86="",K86&lt;J86),0,NETWORKDAYS(J86,K86,[1]fESTIVOS!$A$2:$A$53))</f>
        <v>2</v>
      </c>
      <c r="I86" s="13">
        <v>45946</v>
      </c>
      <c r="J86" s="12">
        <v>45946</v>
      </c>
      <c r="K86" s="12">
        <v>45947</v>
      </c>
      <c r="L86" s="12">
        <v>45946</v>
      </c>
      <c r="M86" s="2">
        <f ca="1">IF(OR(J86="",AND(L86="",TODAY()&lt;J86),AND(L86&lt;&gt;"",L86&lt;J86)),0,
   IF(L86="",
      NETWORKDAYS(J86,TODAY(),[1]fESTIVOS!$A$2:$A$53),
      NETWORKDAYS(J86,L86,[1]fESTIVOS!$A$2:$A$53)
   )
)</f>
        <v>1</v>
      </c>
      <c r="N86" s="10"/>
      <c r="O86" s="10"/>
      <c r="P86" s="9"/>
      <c r="Q86" s="8" t="s">
        <v>408</v>
      </c>
      <c r="R86" s="7" t="s">
        <v>0</v>
      </c>
      <c r="S86" s="6"/>
    </row>
    <row r="87" spans="1:19" ht="29.25" customHeight="1">
      <c r="A87" s="45" t="s">
        <v>7</v>
      </c>
      <c r="B87" s="58" t="s">
        <v>407</v>
      </c>
      <c r="C87" s="51" t="s">
        <v>403</v>
      </c>
      <c r="D87" s="50" t="s">
        <v>406</v>
      </c>
      <c r="E87" s="30" t="s">
        <v>21</v>
      </c>
      <c r="F87" s="16" t="s">
        <v>2</v>
      </c>
      <c r="G87" s="57">
        <v>100</v>
      </c>
      <c r="H87" s="3">
        <f>IF(OR(J87="",K87="",K87&lt;J87),0,NETWORKDAYS(J87,K87,[1]fESTIVOS!$A$2:$A$53))</f>
        <v>2</v>
      </c>
      <c r="I87" s="56">
        <v>45951</v>
      </c>
      <c r="J87" s="55">
        <v>45952</v>
      </c>
      <c r="K87" s="55">
        <v>45953</v>
      </c>
      <c r="L87" s="55">
        <v>45952</v>
      </c>
      <c r="M87" s="2">
        <f ca="1">IF(OR(J87="",AND(L87="",TODAY()&lt;J87),AND(L87&lt;&gt;"",L87&lt;J87)),0,
   IF(L87="",
      NETWORKDAYS(J87,TODAY(),[1]fESTIVOS!$A$2:$A$53),
      NETWORKDAYS(J87,L87,[1]fESTIVOS!$A$2:$A$53)
   )
)</f>
        <v>1</v>
      </c>
      <c r="N87" s="10"/>
      <c r="O87" s="10"/>
      <c r="P87" s="9"/>
      <c r="Q87" s="23" t="s">
        <v>405</v>
      </c>
      <c r="R87" s="22" t="s">
        <v>0</v>
      </c>
      <c r="S87" s="21"/>
    </row>
    <row r="88" spans="1:19" ht="29.25" customHeight="1">
      <c r="A88" s="45" t="s">
        <v>7</v>
      </c>
      <c r="B88" s="58" t="s">
        <v>404</v>
      </c>
      <c r="C88" s="51" t="s">
        <v>403</v>
      </c>
      <c r="D88" s="50" t="s">
        <v>402</v>
      </c>
      <c r="E88" s="30" t="s">
        <v>21</v>
      </c>
      <c r="F88" s="16" t="s">
        <v>2</v>
      </c>
      <c r="G88" s="57">
        <v>100</v>
      </c>
      <c r="H88" s="3">
        <f>IF(OR(J88="",K88="",K88&lt;J88),0,NETWORKDAYS(J88,K88,[1]fESTIVOS!$A$2:$A$53))</f>
        <v>2</v>
      </c>
      <c r="I88" s="56">
        <v>45951</v>
      </c>
      <c r="J88" s="55">
        <v>45952</v>
      </c>
      <c r="K88" s="55">
        <v>45953</v>
      </c>
      <c r="L88" s="55">
        <v>45953</v>
      </c>
      <c r="M88" s="2">
        <f ca="1">IF(OR(J88="",AND(L88="",TODAY()&lt;J88),AND(L88&lt;&gt;"",L88&lt;J88)),0,
   IF(L88="",
      NETWORKDAYS(J88,TODAY(),[1]fESTIVOS!$A$2:$A$53),
      NETWORKDAYS(J88,L88,[1]fESTIVOS!$A$2:$A$53)
   )
)</f>
        <v>2</v>
      </c>
      <c r="N88" s="10"/>
      <c r="O88" s="10"/>
      <c r="P88" s="9"/>
      <c r="Q88" s="23" t="s">
        <v>401</v>
      </c>
      <c r="R88" s="22" t="s">
        <v>0</v>
      </c>
      <c r="S88" s="21"/>
    </row>
    <row r="89" spans="1:19" ht="29.25" customHeight="1">
      <c r="A89" s="45" t="s">
        <v>7</v>
      </c>
      <c r="B89" s="58" t="s">
        <v>400</v>
      </c>
      <c r="C89" s="51" t="s">
        <v>399</v>
      </c>
      <c r="D89" s="50" t="s">
        <v>398</v>
      </c>
      <c r="E89" s="30" t="s">
        <v>21</v>
      </c>
      <c r="F89" s="16" t="s">
        <v>2</v>
      </c>
      <c r="G89" s="57">
        <v>100</v>
      </c>
      <c r="H89" s="3">
        <f>IF(OR(J89="",K89="",K89&lt;J89),0,NETWORKDAYS(J89,K89,[1]fESTIVOS!$A$2:$A$53))</f>
        <v>14</v>
      </c>
      <c r="I89" s="56">
        <v>45957</v>
      </c>
      <c r="J89" s="55">
        <v>45957</v>
      </c>
      <c r="K89" s="55">
        <v>45976</v>
      </c>
      <c r="L89" s="55">
        <v>45986</v>
      </c>
      <c r="M89" s="2">
        <f ca="1">IF(OR(J89="",AND(L89="",TODAY()&lt;J89),AND(L89&lt;&gt;"",L89&lt;J89)),0,
   IF(L89="",
      NETWORKDAYS(J89,TODAY(),[1]fESTIVOS!$A$2:$A$53),
      NETWORKDAYS(J89,L89,[1]fESTIVOS!$A$2:$A$53)
   )
)</f>
        <v>20</v>
      </c>
      <c r="N89" s="10"/>
      <c r="O89" s="10"/>
      <c r="P89" s="9"/>
      <c r="Q89" s="23" t="s">
        <v>397</v>
      </c>
      <c r="R89" s="22" t="s">
        <v>0</v>
      </c>
      <c r="S89" s="21"/>
    </row>
    <row r="90" spans="1:19" ht="29.25" customHeight="1">
      <c r="A90" s="33" t="s">
        <v>7</v>
      </c>
      <c r="B90" s="30" t="s">
        <v>396</v>
      </c>
      <c r="C90" s="32" t="s">
        <v>365</v>
      </c>
      <c r="D90" s="54" t="s">
        <v>395</v>
      </c>
      <c r="E90" s="30" t="s">
        <v>394</v>
      </c>
      <c r="F90" s="53" t="s">
        <v>2</v>
      </c>
      <c r="G90" s="28">
        <v>100</v>
      </c>
      <c r="H90" s="3">
        <f>IF(OR(J90="",K90="",K90&lt;J90),0,NETWORKDAYS(J90,K90,[1]fESTIVOS!$A$2:$A$53))</f>
        <v>3</v>
      </c>
      <c r="I90" s="27">
        <v>45957</v>
      </c>
      <c r="J90" s="55">
        <v>45957</v>
      </c>
      <c r="K90" s="26">
        <v>45959</v>
      </c>
      <c r="L90" s="26">
        <v>45958</v>
      </c>
      <c r="M90" s="2">
        <f ca="1">IF(OR(J90="",AND(L90="",TODAY()&lt;J90),AND(L90&lt;&gt;"",L90&lt;J90)),0,
   IF(L90="",
      NETWORKDAYS(J90,TODAY(),[1]fESTIVOS!$A$2:$A$53),
      NETWORKDAYS(J90,L90,[1]fESTIVOS!$A$2:$A$53)
   )
)</f>
        <v>2</v>
      </c>
      <c r="N90" s="25"/>
      <c r="O90" s="25"/>
      <c r="P90" s="24"/>
      <c r="Q90" s="23" t="s">
        <v>393</v>
      </c>
      <c r="R90" s="22" t="s">
        <v>0</v>
      </c>
      <c r="S90" s="21"/>
    </row>
    <row r="91" spans="1:19" ht="29.25" customHeight="1">
      <c r="A91" s="33" t="s">
        <v>7</v>
      </c>
      <c r="B91" s="30" t="s">
        <v>392</v>
      </c>
      <c r="C91" s="32" t="s">
        <v>365</v>
      </c>
      <c r="D91" s="54"/>
      <c r="E91" s="30" t="s">
        <v>63</v>
      </c>
      <c r="F91" s="53" t="s">
        <v>2</v>
      </c>
      <c r="G91" s="28">
        <v>100</v>
      </c>
      <c r="H91" s="3">
        <f>IF(OR(J91="",K91="",K91&lt;J91),0,NETWORKDAYS(J91,K91,[1]fESTIVOS!$A$2:$A$53))</f>
        <v>1</v>
      </c>
      <c r="I91" s="27">
        <v>45961</v>
      </c>
      <c r="J91" s="26">
        <v>45961</v>
      </c>
      <c r="K91" s="26">
        <v>45961</v>
      </c>
      <c r="L91" s="26">
        <v>45961</v>
      </c>
      <c r="M91" s="2">
        <f ca="1">IF(OR(J91="",AND(L91="",TODAY()&lt;J91),AND(L91&lt;&gt;"",L91&lt;J91)),0,
   IF(L91="",
      NETWORKDAYS(J91,TODAY(),[1]fESTIVOS!$A$2:$A$53),
      NETWORKDAYS(J91,L91,[1]fESTIVOS!$A$2:$A$53)
   )
)</f>
        <v>1</v>
      </c>
      <c r="N91" s="25"/>
      <c r="O91" s="25"/>
      <c r="P91" s="24"/>
      <c r="Q91" s="23" t="s">
        <v>391</v>
      </c>
      <c r="R91" s="22" t="s">
        <v>0</v>
      </c>
      <c r="S91" s="21"/>
    </row>
    <row r="92" spans="1:19" ht="29.25" customHeight="1">
      <c r="A92" s="33" t="s">
        <v>7</v>
      </c>
      <c r="B92" s="30" t="s">
        <v>390</v>
      </c>
      <c r="C92" s="32" t="s">
        <v>356</v>
      </c>
      <c r="D92" s="31"/>
      <c r="E92" s="30" t="s">
        <v>12</v>
      </c>
      <c r="F92" s="29" t="s">
        <v>2</v>
      </c>
      <c r="G92" s="28">
        <v>100</v>
      </c>
      <c r="H92" s="3">
        <f>IF(OR(J92="",K92="",K92&lt;J92),0,NETWORKDAYS(J92,K92,[1]fESTIVOS!$A$2:$A$53))</f>
        <v>2</v>
      </c>
      <c r="I92" s="27">
        <v>45961</v>
      </c>
      <c r="J92" s="26">
        <v>45965</v>
      </c>
      <c r="K92" s="26">
        <v>45966</v>
      </c>
      <c r="L92" s="26">
        <v>45965</v>
      </c>
      <c r="M92" s="2">
        <f ca="1">IF(OR(J92="",AND(L92="",TODAY()&lt;J92),AND(L92&lt;&gt;"",L92&lt;J92)),0,
   IF(L92="",
      NETWORKDAYS(J92,TODAY(),[1]fESTIVOS!$A$2:$A$53),
      NETWORKDAYS(J92,L92,[1]fESTIVOS!$A$2:$A$53)
   )
)</f>
        <v>1</v>
      </c>
      <c r="N92" s="25"/>
      <c r="O92" s="25"/>
      <c r="P92" s="24"/>
      <c r="Q92" s="23" t="s">
        <v>389</v>
      </c>
      <c r="R92" s="22" t="s">
        <v>0</v>
      </c>
      <c r="S92" s="21"/>
    </row>
    <row r="93" spans="1:19" ht="29.25" customHeight="1">
      <c r="A93" s="33" t="s">
        <v>7</v>
      </c>
      <c r="B93" s="30" t="s">
        <v>388</v>
      </c>
      <c r="C93" s="32" t="s">
        <v>344</v>
      </c>
      <c r="D93" s="54"/>
      <c r="E93" s="30" t="s">
        <v>3</v>
      </c>
      <c r="F93" s="29" t="s">
        <v>2</v>
      </c>
      <c r="G93" s="28">
        <v>100</v>
      </c>
      <c r="H93" s="3">
        <f>IF(OR(J93="",K93="",K93&lt;J93),0,NETWORKDAYS(J93,K93,[1]fESTIVOS!$A$2:$A$53))</f>
        <v>1</v>
      </c>
      <c r="I93" s="13">
        <v>45965</v>
      </c>
      <c r="J93" s="12">
        <v>45966</v>
      </c>
      <c r="K93" s="12">
        <v>45966</v>
      </c>
      <c r="L93" s="12">
        <v>45966</v>
      </c>
      <c r="M93" s="2">
        <f ca="1">IF(OR(J93="",AND(L93="",TODAY()&lt;J93),AND(L93&lt;&gt;"",L93&lt;J93)),0,
   IF(L93="",
      NETWORKDAYS(J93,TODAY(),[1]fESTIVOS!$A$2:$A$53),
      NETWORKDAYS(J93,L93,[1]fESTIVOS!$A$2:$A$53)
   )
)</f>
        <v>1</v>
      </c>
      <c r="N93" s="25"/>
      <c r="O93" s="25"/>
      <c r="P93" s="24"/>
      <c r="Q93" s="23" t="s">
        <v>387</v>
      </c>
      <c r="R93" s="22" t="s">
        <v>0</v>
      </c>
      <c r="S93" s="21"/>
    </row>
    <row r="94" spans="1:19" ht="29.25" customHeight="1">
      <c r="A94" s="33" t="s">
        <v>7</v>
      </c>
      <c r="B94" s="30" t="s">
        <v>386</v>
      </c>
      <c r="C94" s="32" t="s">
        <v>344</v>
      </c>
      <c r="D94" s="54"/>
      <c r="E94" s="30" t="s">
        <v>3</v>
      </c>
      <c r="F94" s="29" t="s">
        <v>2</v>
      </c>
      <c r="G94" s="28">
        <v>100</v>
      </c>
      <c r="H94" s="3">
        <f>IF(OR(J94="",K94="",K94&lt;J94),0,NETWORKDAYS(J94,K94,[1]fESTIVOS!$A$2:$A$53))</f>
        <v>1</v>
      </c>
      <c r="I94" s="13">
        <v>45967</v>
      </c>
      <c r="J94" s="12">
        <v>45967</v>
      </c>
      <c r="K94" s="12">
        <v>45967</v>
      </c>
      <c r="L94" s="12">
        <v>45967</v>
      </c>
      <c r="M94" s="2">
        <f ca="1">IF(OR(J94="",AND(L94="",TODAY()&lt;J94),AND(L94&lt;&gt;"",L94&lt;J94)),0,
   IF(L94="",
      NETWORKDAYS(J94,TODAY(),[1]fESTIVOS!$A$2:$A$53),
      NETWORKDAYS(J94,L94,[1]fESTIVOS!$A$2:$A$53)
   )
)</f>
        <v>1</v>
      </c>
      <c r="N94" s="25"/>
      <c r="O94" s="25"/>
      <c r="P94" s="24"/>
      <c r="Q94" s="23" t="s">
        <v>385</v>
      </c>
      <c r="R94" s="22" t="s">
        <v>0</v>
      </c>
      <c r="S94" s="21"/>
    </row>
    <row r="95" spans="1:19" ht="29.25" customHeight="1">
      <c r="A95" s="33" t="s">
        <v>7</v>
      </c>
      <c r="B95" s="30" t="s">
        <v>384</v>
      </c>
      <c r="C95" s="32" t="s">
        <v>383</v>
      </c>
      <c r="D95" s="54"/>
      <c r="E95" s="30" t="s">
        <v>3</v>
      </c>
      <c r="F95" s="29" t="s">
        <v>2</v>
      </c>
      <c r="G95" s="28">
        <v>100</v>
      </c>
      <c r="H95" s="3">
        <f>IF(OR(J95="",K95="",K95&lt;J95),0,NETWORKDAYS(J95,K95,[1]fESTIVOS!$A$2:$A$53))</f>
        <v>1</v>
      </c>
      <c r="I95" s="13">
        <v>45967</v>
      </c>
      <c r="J95" s="12">
        <v>45967</v>
      </c>
      <c r="K95" s="12">
        <v>45967</v>
      </c>
      <c r="L95" s="12">
        <v>45967</v>
      </c>
      <c r="M95" s="2">
        <f ca="1">IF(OR(J95="",AND(L95="",TODAY()&lt;J95),AND(L95&lt;&gt;"",L95&lt;J95)),0,
   IF(L95="",
      NETWORKDAYS(J95,TODAY(),[1]fESTIVOS!$A$2:$A$53),
      NETWORKDAYS(J95,L95,[1]fESTIVOS!$A$2:$A$53)
   )
)</f>
        <v>1</v>
      </c>
      <c r="N95" s="25"/>
      <c r="O95" s="25"/>
      <c r="P95" s="24"/>
      <c r="Q95" s="23" t="s">
        <v>382</v>
      </c>
      <c r="R95" s="22" t="s">
        <v>0</v>
      </c>
      <c r="S95" s="21"/>
    </row>
    <row r="96" spans="1:19" ht="29.25" customHeight="1">
      <c r="A96" s="33" t="s">
        <v>7</v>
      </c>
      <c r="B96" s="30" t="s">
        <v>381</v>
      </c>
      <c r="C96" s="32" t="s">
        <v>356</v>
      </c>
      <c r="D96" s="31" t="s">
        <v>380</v>
      </c>
      <c r="E96" s="30" t="s">
        <v>12</v>
      </c>
      <c r="F96" s="29" t="s">
        <v>2</v>
      </c>
      <c r="G96" s="28">
        <v>100</v>
      </c>
      <c r="H96" s="3">
        <f>IF(OR(J96="",K96="",K96&lt;J96),0,NETWORKDAYS(J96,K96,[1]fESTIVOS!$A$2:$A$53))</f>
        <v>1</v>
      </c>
      <c r="I96" s="27">
        <v>45968</v>
      </c>
      <c r="J96" s="26">
        <v>45968</v>
      </c>
      <c r="K96" s="26">
        <v>45968</v>
      </c>
      <c r="L96" s="26">
        <v>45968</v>
      </c>
      <c r="M96" s="2">
        <f ca="1">IF(OR(J96="",AND(L96="",TODAY()&lt;J96),AND(L96&lt;&gt;"",L96&lt;J96)),0,
   IF(L96="",
      NETWORKDAYS(J96,TODAY(),[1]fESTIVOS!$A$2:$A$53),
      NETWORKDAYS(J96,L96,[1]fESTIVOS!$A$2:$A$53)
   )
)</f>
        <v>1</v>
      </c>
      <c r="N96" s="25"/>
      <c r="O96" s="25"/>
      <c r="P96" s="24"/>
      <c r="Q96" s="23" t="s">
        <v>379</v>
      </c>
      <c r="R96" s="22" t="s">
        <v>0</v>
      </c>
      <c r="S96" s="21"/>
    </row>
    <row r="97" spans="1:19" ht="29.25" customHeight="1">
      <c r="A97" s="33" t="s">
        <v>7</v>
      </c>
      <c r="B97" s="30" t="s">
        <v>378</v>
      </c>
      <c r="C97" s="32" t="s">
        <v>365</v>
      </c>
      <c r="D97" s="54"/>
      <c r="E97" s="30" t="s">
        <v>63</v>
      </c>
      <c r="F97" s="53" t="s">
        <v>2</v>
      </c>
      <c r="G97" s="28">
        <v>100</v>
      </c>
      <c r="H97" s="3">
        <f>IF(OR(J97="",K97="",K97&lt;J97),0,NETWORKDAYS(J97,K97,[1]fESTIVOS!$A$2:$A$53))</f>
        <v>1</v>
      </c>
      <c r="I97" s="27">
        <v>45968</v>
      </c>
      <c r="J97" s="26">
        <v>45968</v>
      </c>
      <c r="K97" s="26">
        <v>45968</v>
      </c>
      <c r="L97" s="26">
        <v>45968</v>
      </c>
      <c r="M97" s="2">
        <f ca="1">IF(OR(J97="",AND(L97="",TODAY()&lt;J97),AND(L97&lt;&gt;"",L97&lt;J97)),0,
   IF(L97="",
      NETWORKDAYS(J97,TODAY(),[1]fESTIVOS!$A$2:$A$53),
      NETWORKDAYS(J97,L97,[1]fESTIVOS!$A$2:$A$53)
   )
)</f>
        <v>1</v>
      </c>
      <c r="N97" s="25"/>
      <c r="O97" s="25"/>
      <c r="P97" s="24"/>
      <c r="Q97" s="23" t="s">
        <v>377</v>
      </c>
      <c r="R97" s="22" t="s">
        <v>0</v>
      </c>
      <c r="S97" s="21"/>
    </row>
    <row r="98" spans="1:19" ht="29.25" customHeight="1">
      <c r="A98" s="33" t="s">
        <v>7</v>
      </c>
      <c r="B98" s="30" t="s">
        <v>376</v>
      </c>
      <c r="C98" s="32" t="s">
        <v>271</v>
      </c>
      <c r="D98" s="54" t="s">
        <v>375</v>
      </c>
      <c r="E98" s="30" t="s">
        <v>3</v>
      </c>
      <c r="F98" s="29" t="s">
        <v>2</v>
      </c>
      <c r="G98" s="28">
        <v>100</v>
      </c>
      <c r="H98" s="3">
        <f>IF(OR(J98="",K98="",K98&lt;J98),0,NETWORKDAYS(J98,K98,[1]fESTIVOS!$A$2:$A$53))</f>
        <v>0</v>
      </c>
      <c r="I98" s="13">
        <v>45970</v>
      </c>
      <c r="J98" s="12">
        <v>45970</v>
      </c>
      <c r="K98" s="12">
        <v>45970</v>
      </c>
      <c r="L98" s="12">
        <v>45970</v>
      </c>
      <c r="M98" s="2">
        <f ca="1">IF(OR(J98="",AND(L98="",TODAY()&lt;J98),AND(L98&lt;&gt;"",L98&lt;J98)),0,
   IF(L98="",
      NETWORKDAYS(J98,TODAY(),[1]fESTIVOS!$A$2:$A$53),
      NETWORKDAYS(J98,L98,[1]fESTIVOS!$A$2:$A$53)
   )
)</f>
        <v>0</v>
      </c>
      <c r="N98" s="25"/>
      <c r="O98" s="25"/>
      <c r="P98" s="24"/>
      <c r="Q98" s="23" t="s">
        <v>374</v>
      </c>
      <c r="R98" s="22" t="s">
        <v>0</v>
      </c>
      <c r="S98" s="21"/>
    </row>
    <row r="99" spans="1:19" ht="29.25" customHeight="1">
      <c r="A99" s="33" t="s">
        <v>7</v>
      </c>
      <c r="B99" s="30" t="s">
        <v>373</v>
      </c>
      <c r="C99" s="32" t="s">
        <v>372</v>
      </c>
      <c r="D99" s="54" t="s">
        <v>371</v>
      </c>
      <c r="E99" s="30" t="s">
        <v>3</v>
      </c>
      <c r="F99" s="29" t="s">
        <v>2</v>
      </c>
      <c r="G99" s="28">
        <v>100</v>
      </c>
      <c r="H99" s="3">
        <f>IF(OR(J99="",K99="",K99&lt;J99),0,NETWORKDAYS(J99,K99,[1]fESTIVOS!$A$2:$A$53))</f>
        <v>1</v>
      </c>
      <c r="I99" s="13">
        <v>45972</v>
      </c>
      <c r="J99" s="12">
        <v>45972</v>
      </c>
      <c r="K99" s="12">
        <v>45972</v>
      </c>
      <c r="L99" s="12">
        <v>45972</v>
      </c>
      <c r="M99" s="2">
        <f ca="1">IF(OR(J99="",AND(L99="",TODAY()&lt;J99),AND(L99&lt;&gt;"",L99&lt;J99)),0,
   IF(L99="",
      NETWORKDAYS(J99,TODAY(),[1]fESTIVOS!$A$2:$A$53),
      NETWORKDAYS(J99,L99,[1]fESTIVOS!$A$2:$A$53)
   )
)</f>
        <v>1</v>
      </c>
      <c r="N99" s="25"/>
      <c r="O99" s="25"/>
      <c r="P99" s="24"/>
      <c r="Q99" s="23" t="s">
        <v>370</v>
      </c>
      <c r="R99" s="22" t="s">
        <v>0</v>
      </c>
      <c r="S99" s="21"/>
    </row>
    <row r="100" spans="1:19" ht="29.25" customHeight="1">
      <c r="A100" s="33" t="s">
        <v>7</v>
      </c>
      <c r="B100" s="30" t="s">
        <v>369</v>
      </c>
      <c r="C100" s="32" t="s">
        <v>356</v>
      </c>
      <c r="D100" s="31" t="s">
        <v>368</v>
      </c>
      <c r="E100" s="30" t="s">
        <v>12</v>
      </c>
      <c r="F100" s="29" t="s">
        <v>2</v>
      </c>
      <c r="G100" s="28">
        <v>100</v>
      </c>
      <c r="H100" s="3">
        <f>IF(OR(J100="",K100="",K100&lt;J100),0,NETWORKDAYS(J100,K100,[1]fESTIVOS!$A$2:$A$53))</f>
        <v>3</v>
      </c>
      <c r="I100" s="27">
        <v>45974</v>
      </c>
      <c r="J100" s="26">
        <v>45974</v>
      </c>
      <c r="K100" s="26">
        <v>45979</v>
      </c>
      <c r="L100" s="26">
        <v>46040</v>
      </c>
      <c r="M100" s="2">
        <f ca="1">IF(OR(J100="",AND(L100="",TODAY()&lt;J100),AND(L100&lt;&gt;"",L100&lt;J100)),0,
   IF(L100="",
      NETWORKDAYS(J100,TODAY(),[1]fESTIVOS!$A$2:$A$53),
      NETWORKDAYS(J100,L100,[1]fESTIVOS!$A$2:$A$53)
   )
)</f>
        <v>42</v>
      </c>
      <c r="N100" s="25"/>
      <c r="O100" s="25"/>
      <c r="P100" s="24"/>
      <c r="Q100" s="23" t="s">
        <v>367</v>
      </c>
      <c r="R100" s="22" t="s">
        <v>0</v>
      </c>
      <c r="S100" s="21"/>
    </row>
    <row r="101" spans="1:19" ht="29.25" customHeight="1">
      <c r="A101" s="33" t="s">
        <v>7</v>
      </c>
      <c r="B101" s="30" t="s">
        <v>366</v>
      </c>
      <c r="C101" s="32" t="s">
        <v>365</v>
      </c>
      <c r="D101" s="54" t="s">
        <v>364</v>
      </c>
      <c r="E101" s="30" t="s">
        <v>63</v>
      </c>
      <c r="F101" s="53" t="s">
        <v>2</v>
      </c>
      <c r="G101" s="28">
        <v>100</v>
      </c>
      <c r="H101" s="3">
        <f>IF(OR(J101="",K101="",K101&lt;J101),0,NETWORKDAYS(J101,K101,[1]fESTIVOS!$A$2:$A$53))</f>
        <v>1</v>
      </c>
      <c r="I101" s="27">
        <v>45974</v>
      </c>
      <c r="J101" s="26">
        <v>45974</v>
      </c>
      <c r="K101" s="26">
        <v>45974</v>
      </c>
      <c r="L101" s="26">
        <v>45974</v>
      </c>
      <c r="M101" s="2">
        <f ca="1">IF(OR(J101="",AND(L101="",TODAY()&lt;J101),AND(L101&lt;&gt;"",L101&lt;J101)),0,
   IF(L101="",
      NETWORKDAYS(J101,TODAY(),[1]fESTIVOS!$A$2:$A$53),
      NETWORKDAYS(J101,L101,[1]fESTIVOS!$A$2:$A$53)
   )
)</f>
        <v>1</v>
      </c>
      <c r="N101" s="25"/>
      <c r="O101" s="25"/>
      <c r="P101" s="24"/>
      <c r="Q101" s="23" t="s">
        <v>363</v>
      </c>
      <c r="R101" s="22" t="s">
        <v>0</v>
      </c>
      <c r="S101" s="21"/>
    </row>
    <row r="102" spans="1:19" ht="29.25" customHeight="1">
      <c r="A102" s="34" t="s">
        <v>7</v>
      </c>
      <c r="B102" s="17" t="s">
        <v>362</v>
      </c>
      <c r="C102" s="19" t="s">
        <v>344</v>
      </c>
      <c r="D102" s="52" t="s">
        <v>343</v>
      </c>
      <c r="E102" s="17" t="s">
        <v>3</v>
      </c>
      <c r="F102" s="16" t="s">
        <v>2</v>
      </c>
      <c r="G102" s="15">
        <v>100</v>
      </c>
      <c r="H102" s="3">
        <f>IF(OR(J102="",K102="",K102&lt;J102),0,NETWORKDAYS(J102,K102,[1]fESTIVOS!$A$2:$A$53))</f>
        <v>1</v>
      </c>
      <c r="I102" s="13">
        <v>45979</v>
      </c>
      <c r="J102" s="12">
        <v>45979</v>
      </c>
      <c r="K102" s="12">
        <v>45979</v>
      </c>
      <c r="L102" s="12">
        <v>45979</v>
      </c>
      <c r="M102" s="2">
        <f ca="1">IF(OR(J102="",AND(L102="",TODAY()&lt;J102),AND(L102&lt;&gt;"",L102&lt;J102)),0,
   IF(L102="",
      NETWORKDAYS(J102,TODAY(),[1]fESTIVOS!$A$2:$A$53),
      NETWORKDAYS(J102,L102,[1]fESTIVOS!$A$2:$A$53)
   )
)</f>
        <v>1</v>
      </c>
      <c r="N102" s="10"/>
      <c r="O102" s="10"/>
      <c r="P102" s="9"/>
      <c r="Q102" s="8" t="s">
        <v>361</v>
      </c>
      <c r="R102" s="7" t="s">
        <v>0</v>
      </c>
      <c r="S102" s="6"/>
    </row>
    <row r="103" spans="1:19" ht="29.25" customHeight="1">
      <c r="A103" s="33" t="s">
        <v>7</v>
      </c>
      <c r="B103" s="30" t="s">
        <v>360</v>
      </c>
      <c r="C103" s="32" t="s">
        <v>356</v>
      </c>
      <c r="D103" s="31" t="s">
        <v>359</v>
      </c>
      <c r="E103" s="30" t="s">
        <v>12</v>
      </c>
      <c r="F103" s="29" t="s">
        <v>2</v>
      </c>
      <c r="G103" s="28">
        <v>100</v>
      </c>
      <c r="H103" s="3">
        <f>IF(OR(J103="",K103="",K103&lt;J103),0,NETWORKDAYS(J103,K103,[1]fESTIVOS!$A$2:$A$53))</f>
        <v>1</v>
      </c>
      <c r="I103" s="27">
        <v>45980</v>
      </c>
      <c r="J103" s="26">
        <v>45980</v>
      </c>
      <c r="K103" s="26">
        <v>45980</v>
      </c>
      <c r="L103" s="26">
        <v>45980</v>
      </c>
      <c r="M103" s="2">
        <f ca="1">IF(OR(J103="",AND(L103="",TODAY()&lt;J103),AND(L103&lt;&gt;"",L103&lt;J103)),0,
   IF(L103="",
      NETWORKDAYS(J103,TODAY(),[1]fESTIVOS!$A$2:$A$53),
      NETWORKDAYS(J103,L103,[1]fESTIVOS!$A$2:$A$53)
   )
)</f>
        <v>1</v>
      </c>
      <c r="N103" s="25"/>
      <c r="O103" s="25"/>
      <c r="P103" s="24"/>
      <c r="Q103" s="23" t="s">
        <v>358</v>
      </c>
      <c r="R103" s="22" t="s">
        <v>0</v>
      </c>
      <c r="S103" s="21"/>
    </row>
    <row r="104" spans="1:19" ht="29.25" customHeight="1">
      <c r="A104" s="33" t="s">
        <v>7</v>
      </c>
      <c r="B104" s="30" t="s">
        <v>357</v>
      </c>
      <c r="C104" s="32" t="s">
        <v>356</v>
      </c>
      <c r="D104" s="31" t="s">
        <v>355</v>
      </c>
      <c r="E104" s="30" t="s">
        <v>12</v>
      </c>
      <c r="F104" s="29" t="s">
        <v>2</v>
      </c>
      <c r="G104" s="28">
        <v>100</v>
      </c>
      <c r="H104" s="3">
        <f>IF(OR(J104="",K104="",K104&lt;J104),0,NETWORKDAYS(J104,K104,[1]fESTIVOS!$A$2:$A$53))</f>
        <v>1</v>
      </c>
      <c r="I104" s="27">
        <v>45981</v>
      </c>
      <c r="J104" s="26">
        <v>45981</v>
      </c>
      <c r="K104" s="26">
        <v>45981</v>
      </c>
      <c r="L104" s="26">
        <v>45981</v>
      </c>
      <c r="M104" s="2">
        <f ca="1">IF(OR(J104="",AND(L104="",TODAY()&lt;J104),AND(L104&lt;&gt;"",L104&lt;J104)),0,
   IF(L104="",
      NETWORKDAYS(J104,TODAY(),[1]fESTIVOS!$A$2:$A$53),
      NETWORKDAYS(J104,L104,[1]fESTIVOS!$A$2:$A$53)
   )
)</f>
        <v>1</v>
      </c>
      <c r="N104" s="25"/>
      <c r="O104" s="25"/>
      <c r="P104" s="24"/>
      <c r="Q104" s="23" t="s">
        <v>354</v>
      </c>
      <c r="R104" s="22" t="s">
        <v>0</v>
      </c>
      <c r="S104" s="21"/>
    </row>
    <row r="105" spans="1:19" ht="29.25" customHeight="1">
      <c r="A105" s="33" t="s">
        <v>7</v>
      </c>
      <c r="B105" s="30" t="s">
        <v>353</v>
      </c>
      <c r="C105" s="32" t="s">
        <v>352</v>
      </c>
      <c r="D105" s="54" t="s">
        <v>351</v>
      </c>
      <c r="E105" s="30" t="s">
        <v>21</v>
      </c>
      <c r="F105" s="53" t="s">
        <v>2</v>
      </c>
      <c r="G105" s="28">
        <v>100</v>
      </c>
      <c r="H105" s="3">
        <f>IF(OR(J105="",K105="",K105&lt;J105),0,NETWORKDAYS(J105,K105,[1]fESTIVOS!$A$2:$A$53))</f>
        <v>77</v>
      </c>
      <c r="I105" s="27">
        <v>45981</v>
      </c>
      <c r="J105" s="26">
        <v>45981</v>
      </c>
      <c r="K105" s="26">
        <v>46093</v>
      </c>
      <c r="L105" s="26">
        <v>46093</v>
      </c>
      <c r="M105" s="2">
        <f ca="1">IF(OR(J105="",AND(L105="",TODAY()&lt;J105),AND(L105&lt;&gt;"",L105&lt;J105)),0,
   IF(L105="",
      NETWORKDAYS(J105,TODAY(),[1]fESTIVOS!$A$2:$A$53),
      NETWORKDAYS(J105,L105,[1]fESTIVOS!$A$2:$A$53)
   )
)</f>
        <v>77</v>
      </c>
      <c r="N105" s="25"/>
      <c r="O105" s="25"/>
      <c r="P105" s="24"/>
      <c r="Q105" s="23" t="s">
        <v>350</v>
      </c>
      <c r="R105" s="22" t="s">
        <v>0</v>
      </c>
      <c r="S105" s="21"/>
    </row>
    <row r="106" spans="1:19" ht="29.25" customHeight="1">
      <c r="A106" s="34" t="s">
        <v>7</v>
      </c>
      <c r="B106" s="17" t="s">
        <v>349</v>
      </c>
      <c r="C106" s="19" t="s">
        <v>348</v>
      </c>
      <c r="D106" s="52" t="s">
        <v>347</v>
      </c>
      <c r="E106" s="17" t="s">
        <v>3</v>
      </c>
      <c r="F106" s="16" t="s">
        <v>2</v>
      </c>
      <c r="G106" s="15">
        <v>100</v>
      </c>
      <c r="H106" s="3">
        <f>IF(OR(J106="",K106="",K106&lt;J106),0,NETWORKDAYS(J106,K106,[1]fESTIVOS!$A$2:$A$53))</f>
        <v>1</v>
      </c>
      <c r="I106" s="13">
        <v>45982</v>
      </c>
      <c r="J106" s="12">
        <v>45982</v>
      </c>
      <c r="K106" s="12">
        <v>45982</v>
      </c>
      <c r="L106" s="12">
        <v>45982</v>
      </c>
      <c r="M106" s="2">
        <f ca="1">IF(OR(J106="",AND(L106="",TODAY()&lt;J106),AND(L106&lt;&gt;"",L106&lt;J106)),0,
   IF(L106="",
      NETWORKDAYS(J106,TODAY(),[1]fESTIVOS!$A$2:$A$53),
      NETWORKDAYS(J106,L106,[1]fESTIVOS!$A$2:$A$53)
   )
)</f>
        <v>1</v>
      </c>
      <c r="N106" s="10"/>
      <c r="O106" s="10"/>
      <c r="P106" s="9"/>
      <c r="Q106" s="8" t="s">
        <v>346</v>
      </c>
      <c r="R106" s="7" t="s">
        <v>0</v>
      </c>
      <c r="S106" s="6"/>
    </row>
    <row r="107" spans="1:19" ht="29.25" customHeight="1">
      <c r="A107" s="34" t="s">
        <v>7</v>
      </c>
      <c r="B107" s="17" t="s">
        <v>345</v>
      </c>
      <c r="C107" s="19" t="s">
        <v>344</v>
      </c>
      <c r="D107" s="52" t="s">
        <v>343</v>
      </c>
      <c r="E107" s="17" t="s">
        <v>3</v>
      </c>
      <c r="F107" s="16" t="s">
        <v>2</v>
      </c>
      <c r="G107" s="15">
        <v>100</v>
      </c>
      <c r="H107" s="3">
        <f>IF(OR(J107="",K107="",K107&lt;J107),0,NETWORKDAYS(J107,K107,[1]fESTIVOS!$A$2:$A$53))</f>
        <v>1</v>
      </c>
      <c r="I107" s="13">
        <v>45981</v>
      </c>
      <c r="J107" s="12">
        <v>45981</v>
      </c>
      <c r="K107" s="12">
        <v>45981</v>
      </c>
      <c r="L107" s="12">
        <v>45981</v>
      </c>
      <c r="M107" s="2">
        <f ca="1">IF(OR(J107="",AND(L107="",TODAY()&lt;J107),AND(L107&lt;&gt;"",L107&lt;J107)),0,
   IF(L107="",
      NETWORKDAYS(J107,TODAY(),[1]fESTIVOS!$A$2:$A$53),
      NETWORKDAYS(J107,L107,[1]fESTIVOS!$A$2:$A$53)
   )
)</f>
        <v>1</v>
      </c>
      <c r="N107" s="10"/>
      <c r="O107" s="10"/>
      <c r="P107" s="9"/>
      <c r="Q107" s="8" t="s">
        <v>342</v>
      </c>
      <c r="R107" s="7" t="s">
        <v>0</v>
      </c>
      <c r="S107" s="6"/>
    </row>
    <row r="108" spans="1:19" ht="29.25" customHeight="1">
      <c r="A108" s="34" t="s">
        <v>7</v>
      </c>
      <c r="B108" s="17" t="s">
        <v>341</v>
      </c>
      <c r="C108" s="19" t="s">
        <v>340</v>
      </c>
      <c r="D108" s="52" t="s">
        <v>339</v>
      </c>
      <c r="E108" s="17" t="s">
        <v>3</v>
      </c>
      <c r="F108" s="16" t="s">
        <v>2</v>
      </c>
      <c r="G108" s="15">
        <v>100</v>
      </c>
      <c r="H108" s="3">
        <f>IF(OR(J108="",K108="",K108&lt;J108),0,NETWORKDAYS(J108,K108,[1]fESTIVOS!$A$2:$A$53))</f>
        <v>2</v>
      </c>
      <c r="I108" s="13">
        <v>45986</v>
      </c>
      <c r="J108" s="12">
        <v>45986</v>
      </c>
      <c r="K108" s="12">
        <v>45987</v>
      </c>
      <c r="L108" s="12">
        <v>45986</v>
      </c>
      <c r="M108" s="2">
        <f ca="1">IF(OR(J108="",AND(L108="",TODAY()&lt;J108),AND(L108&lt;&gt;"",L108&lt;J108)),0,
   IF(L108="",
      NETWORKDAYS(J108,TODAY(),[1]fESTIVOS!$A$2:$A$53),
      NETWORKDAYS(J108,L108,[1]fESTIVOS!$A$2:$A$53)
   )
)</f>
        <v>1</v>
      </c>
      <c r="N108" s="10"/>
      <c r="O108" s="10"/>
      <c r="P108" s="9"/>
      <c r="Q108" s="8" t="s">
        <v>338</v>
      </c>
      <c r="R108" s="7" t="s">
        <v>0</v>
      </c>
      <c r="S108" s="6"/>
    </row>
    <row r="109" spans="1:19" ht="29.25" customHeight="1">
      <c r="A109" s="34" t="s">
        <v>7</v>
      </c>
      <c r="B109" s="30" t="s">
        <v>337</v>
      </c>
      <c r="C109" s="51" t="s">
        <v>308</v>
      </c>
      <c r="D109" s="50" t="s">
        <v>336</v>
      </c>
      <c r="E109" s="30" t="s">
        <v>21</v>
      </c>
      <c r="F109" s="16" t="s">
        <v>2</v>
      </c>
      <c r="G109" s="15">
        <v>100</v>
      </c>
      <c r="H109" s="3">
        <f>IF(OR(J109="",K109="",K109&lt;J109),0,NETWORKDAYS(J109,K109,[1]fESTIVOS!$A$2:$A$53))</f>
        <v>2</v>
      </c>
      <c r="I109" s="13">
        <v>45987</v>
      </c>
      <c r="J109" s="12">
        <v>45987</v>
      </c>
      <c r="K109" s="12">
        <v>45988</v>
      </c>
      <c r="L109" s="12">
        <v>45995</v>
      </c>
      <c r="M109" s="2">
        <f ca="1">IF(OR(J109="",AND(L109="",TODAY()&lt;J109),AND(L109&lt;&gt;"",L109&lt;J109)),0,
   IF(L109="",
      NETWORKDAYS(J109,TODAY(),[1]fESTIVOS!$A$2:$A$53),
      NETWORKDAYS(J109,L109,[1]fESTIVOS!$A$2:$A$53)
   )
)</f>
        <v>7</v>
      </c>
      <c r="N109" s="10"/>
      <c r="O109" s="10"/>
      <c r="P109" s="9"/>
      <c r="Q109" s="8" t="s">
        <v>335</v>
      </c>
      <c r="R109" s="7" t="s">
        <v>0</v>
      </c>
      <c r="S109" s="6"/>
    </row>
    <row r="110" spans="1:19" ht="29.25" customHeight="1">
      <c r="A110" s="34" t="s">
        <v>7</v>
      </c>
      <c r="B110" s="17" t="s">
        <v>334</v>
      </c>
      <c r="C110" s="19" t="s">
        <v>333</v>
      </c>
      <c r="D110" s="52" t="s">
        <v>327</v>
      </c>
      <c r="E110" s="17" t="s">
        <v>3</v>
      </c>
      <c r="F110" s="16" t="s">
        <v>2</v>
      </c>
      <c r="G110" s="15">
        <v>100</v>
      </c>
      <c r="H110" s="3">
        <f>IF(OR(J110="",K110="",K110&lt;J110),0,NETWORKDAYS(J110,K110,[1]fESTIVOS!$A$2:$A$53))</f>
        <v>31</v>
      </c>
      <c r="I110" s="13">
        <v>45989</v>
      </c>
      <c r="J110" s="12">
        <v>45989</v>
      </c>
      <c r="K110" s="12">
        <v>46037</v>
      </c>
      <c r="L110" s="12">
        <v>46037</v>
      </c>
      <c r="M110" s="2">
        <f ca="1">IF(OR(J110="",AND(L110="",TODAY()&lt;J110),AND(L110&lt;&gt;"",L110&lt;J110)),0,
   IF(L110="",
      NETWORKDAYS(J110,TODAY(),[1]fESTIVOS!$A$2:$A$53),
      NETWORKDAYS(J110,L110,[1]fESTIVOS!$A$2:$A$53)
   )
)</f>
        <v>31</v>
      </c>
      <c r="N110" s="10"/>
      <c r="O110" s="10"/>
      <c r="P110" s="9"/>
      <c r="Q110" s="8" t="s">
        <v>332</v>
      </c>
      <c r="R110" s="7" t="s">
        <v>0</v>
      </c>
      <c r="S110" s="6"/>
    </row>
    <row r="111" spans="1:19" ht="29.25" customHeight="1">
      <c r="A111" s="33" t="s">
        <v>7</v>
      </c>
      <c r="B111" s="30" t="s">
        <v>331</v>
      </c>
      <c r="C111" s="32" t="s">
        <v>190</v>
      </c>
      <c r="D111" s="31" t="s">
        <v>330</v>
      </c>
      <c r="E111" s="30" t="s">
        <v>12</v>
      </c>
      <c r="F111" s="29" t="s">
        <v>2</v>
      </c>
      <c r="G111" s="28">
        <v>100</v>
      </c>
      <c r="H111" s="3">
        <f>IF(OR(J111="",K111="",K111&lt;J111),0,NETWORKDAYS(J111,K111,[1]fESTIVOS!$A$2:$A$53))</f>
        <v>5</v>
      </c>
      <c r="I111" s="27">
        <v>45992</v>
      </c>
      <c r="J111" s="26">
        <v>45992</v>
      </c>
      <c r="K111" s="26">
        <v>45996</v>
      </c>
      <c r="L111" s="26">
        <v>45994</v>
      </c>
      <c r="M111" s="2">
        <f ca="1">IF(OR(J111="",AND(L111="",TODAY()&lt;J111),AND(L111&lt;&gt;"",L111&lt;J111)),0,
   IF(L111="",
      NETWORKDAYS(J111,TODAY(),[1]fESTIVOS!$A$2:$A$53),
      NETWORKDAYS(J111,L111,[1]fESTIVOS!$A$2:$A$53)
   )
)</f>
        <v>3</v>
      </c>
      <c r="N111" s="25"/>
      <c r="O111" s="25"/>
      <c r="P111" s="24"/>
      <c r="Q111" s="23" t="s">
        <v>329</v>
      </c>
      <c r="R111" s="22" t="s">
        <v>0</v>
      </c>
      <c r="S111" s="21"/>
    </row>
    <row r="112" spans="1:19" ht="29.25" customHeight="1">
      <c r="A112" s="34" t="s">
        <v>7</v>
      </c>
      <c r="B112" s="17" t="s">
        <v>328</v>
      </c>
      <c r="C112" s="19" t="s">
        <v>18</v>
      </c>
      <c r="D112" s="52" t="s">
        <v>327</v>
      </c>
      <c r="E112" s="17" t="s">
        <v>3</v>
      </c>
      <c r="F112" s="16" t="s">
        <v>2</v>
      </c>
      <c r="G112" s="15">
        <v>100</v>
      </c>
      <c r="H112" s="3">
        <f>IF(OR(J112="",K112="",K112&lt;J112),0,NETWORKDAYS(J112,K112,[1]fESTIVOS!$A$2:$A$53))</f>
        <v>1</v>
      </c>
      <c r="I112" s="13">
        <v>45994</v>
      </c>
      <c r="J112" s="12">
        <v>45994</v>
      </c>
      <c r="K112" s="12">
        <v>45994</v>
      </c>
      <c r="L112" s="12">
        <v>45994</v>
      </c>
      <c r="M112" s="2">
        <f ca="1">IF(OR(J112="",AND(L112="",TODAY()&lt;J112),AND(L112&lt;&gt;"",L112&lt;J112)),0,
   IF(L112="",
      NETWORKDAYS(J112,TODAY(),[1]fESTIVOS!$A$2:$A$53),
      NETWORKDAYS(J112,L112,[1]fESTIVOS!$A$2:$A$53)
   )
)</f>
        <v>1</v>
      </c>
      <c r="N112" s="10"/>
      <c r="O112" s="10"/>
      <c r="P112" s="9"/>
      <c r="Q112" s="8" t="s">
        <v>326</v>
      </c>
      <c r="R112" s="7" t="s">
        <v>0</v>
      </c>
      <c r="S112" s="6"/>
    </row>
    <row r="113" spans="1:19" ht="29.25" customHeight="1">
      <c r="A113" s="34" t="s">
        <v>7</v>
      </c>
      <c r="B113" s="30" t="s">
        <v>325</v>
      </c>
      <c r="C113" s="51" t="s">
        <v>324</v>
      </c>
      <c r="D113" s="50" t="s">
        <v>323</v>
      </c>
      <c r="E113" s="30" t="s">
        <v>21</v>
      </c>
      <c r="F113" s="16" t="s">
        <v>2</v>
      </c>
      <c r="G113" s="15">
        <v>100</v>
      </c>
      <c r="H113" s="3">
        <f>IF(OR(J113="",K113="",K113&lt;J113),0,NETWORKDAYS(J113,K113,[1]fESTIVOS!$A$2:$A$53))</f>
        <v>1</v>
      </c>
      <c r="I113" s="13">
        <v>45994</v>
      </c>
      <c r="J113" s="12">
        <v>45994</v>
      </c>
      <c r="K113" s="12">
        <v>45994</v>
      </c>
      <c r="L113" s="12">
        <v>45994</v>
      </c>
      <c r="M113" s="2">
        <f ca="1">IF(OR(J113="",AND(L113="",TODAY()&lt;J113),AND(L113&lt;&gt;"",L113&lt;J113)),0,
   IF(L113="",
      NETWORKDAYS(J113,TODAY(),[1]fESTIVOS!$A$2:$A$53),
      NETWORKDAYS(J113,L113,[1]fESTIVOS!$A$2:$A$53)
   )
)</f>
        <v>1</v>
      </c>
      <c r="N113" s="10"/>
      <c r="O113" s="10"/>
      <c r="P113" s="9"/>
      <c r="Q113" s="8" t="s">
        <v>322</v>
      </c>
      <c r="R113" s="7" t="s">
        <v>0</v>
      </c>
      <c r="S113" s="6"/>
    </row>
    <row r="114" spans="1:19" ht="29.25" customHeight="1">
      <c r="A114" s="33" t="s">
        <v>7</v>
      </c>
      <c r="B114" s="30" t="s">
        <v>321</v>
      </c>
      <c r="C114" s="32" t="s">
        <v>320</v>
      </c>
      <c r="D114" s="31" t="s">
        <v>319</v>
      </c>
      <c r="E114" s="30" t="s">
        <v>12</v>
      </c>
      <c r="F114" s="29" t="s">
        <v>2</v>
      </c>
      <c r="G114" s="28">
        <v>100</v>
      </c>
      <c r="H114" s="3">
        <f>IF(OR(J114="",K114="",K114&lt;J114),0,NETWORKDAYS(J114,K114,[1]fESTIVOS!$A$2:$A$53))</f>
        <v>2</v>
      </c>
      <c r="I114" s="27">
        <v>45995</v>
      </c>
      <c r="J114" s="26">
        <v>45995</v>
      </c>
      <c r="K114" s="26">
        <v>45996</v>
      </c>
      <c r="L114" s="26">
        <v>45996</v>
      </c>
      <c r="M114" s="2">
        <f ca="1">IF(OR(J114="",AND(L114="",TODAY()&lt;J114),AND(L114&lt;&gt;"",L114&lt;J114)),0,
   IF(L114="",
      NETWORKDAYS(J114,TODAY(),[1]fESTIVOS!$A$2:$A$53),
      NETWORKDAYS(J114,L114,[1]fESTIVOS!$A$2:$A$53)
   )
)</f>
        <v>2</v>
      </c>
      <c r="N114" s="25"/>
      <c r="O114" s="25"/>
      <c r="P114" s="24"/>
      <c r="Q114" s="23" t="s">
        <v>318</v>
      </c>
      <c r="R114" s="22" t="s">
        <v>0</v>
      </c>
      <c r="S114" s="21"/>
    </row>
    <row r="115" spans="1:19" ht="29.25" customHeight="1">
      <c r="A115" s="34" t="s">
        <v>7</v>
      </c>
      <c r="B115" s="30" t="s">
        <v>317</v>
      </c>
      <c r="C115" s="51" t="s">
        <v>316</v>
      </c>
      <c r="D115" s="50" t="s">
        <v>315</v>
      </c>
      <c r="E115" s="30" t="s">
        <v>21</v>
      </c>
      <c r="F115" s="16" t="s">
        <v>2</v>
      </c>
      <c r="G115" s="15">
        <v>100</v>
      </c>
      <c r="H115" s="3">
        <f>IF(OR(J115="",K115="",K115&lt;J115),0,NETWORKDAYS(J115,K115,[1]fESTIVOS!$A$2:$A$53))</f>
        <v>1</v>
      </c>
      <c r="I115" s="13">
        <v>45996</v>
      </c>
      <c r="J115" s="12">
        <v>45996</v>
      </c>
      <c r="K115" s="12">
        <v>45996</v>
      </c>
      <c r="L115" s="12">
        <v>45996</v>
      </c>
      <c r="M115" s="2">
        <f ca="1">IF(OR(J115="",AND(L115="",TODAY()&lt;J115),AND(L115&lt;&gt;"",L115&lt;J115)),0,
   IF(L115="",
      NETWORKDAYS(J115,TODAY(),[1]fESTIVOS!$A$2:$A$53),
      NETWORKDAYS(J115,L115,[1]fESTIVOS!$A$2:$A$53)
   )
)</f>
        <v>1</v>
      </c>
      <c r="N115" s="10"/>
      <c r="O115" s="10"/>
      <c r="P115" s="9"/>
      <c r="Q115" s="8" t="s">
        <v>314</v>
      </c>
      <c r="R115" s="7" t="s">
        <v>0</v>
      </c>
      <c r="S115" s="6"/>
    </row>
    <row r="116" spans="1:19" ht="29.25" customHeight="1">
      <c r="A116" s="33" t="s">
        <v>7</v>
      </c>
      <c r="B116" s="30" t="s">
        <v>313</v>
      </c>
      <c r="C116" s="32" t="s">
        <v>312</v>
      </c>
      <c r="D116" s="31" t="s">
        <v>311</v>
      </c>
      <c r="E116" s="30" t="s">
        <v>12</v>
      </c>
      <c r="F116" s="29" t="s">
        <v>2</v>
      </c>
      <c r="G116" s="28">
        <v>100</v>
      </c>
      <c r="H116" s="3">
        <f>IF(OR(J116="",K116="",K116&lt;J116),0,NETWORKDAYS(J116,K116,[1]fESTIVOS!$A$2:$A$53))</f>
        <v>0</v>
      </c>
      <c r="I116" s="27">
        <v>46001</v>
      </c>
      <c r="J116" s="26">
        <v>46001</v>
      </c>
      <c r="K116" s="26"/>
      <c r="L116" s="26">
        <v>46058</v>
      </c>
      <c r="M116" s="2">
        <f ca="1">IF(OR(J116="",AND(L116="",TODAY()&lt;J116),AND(L116&lt;&gt;"",L116&lt;J116)),0,
   IF(L116="",
      NETWORKDAYS(J116,TODAY(),[1]fESTIVOS!$A$2:$A$53),
      NETWORKDAYS(J116,L116,[1]fESTIVOS!$A$2:$A$53)
   )
)</f>
        <v>39</v>
      </c>
      <c r="N116" s="25"/>
      <c r="O116" s="25"/>
      <c r="P116" s="24"/>
      <c r="Q116" s="23" t="s">
        <v>310</v>
      </c>
      <c r="R116" s="22" t="s">
        <v>0</v>
      </c>
      <c r="S116" s="21"/>
    </row>
    <row r="117" spans="1:19" ht="29.25" customHeight="1">
      <c r="A117" s="34" t="s">
        <v>7</v>
      </c>
      <c r="B117" s="30" t="s">
        <v>309</v>
      </c>
      <c r="C117" s="51" t="s">
        <v>308</v>
      </c>
      <c r="D117" s="50" t="s">
        <v>307</v>
      </c>
      <c r="E117" s="30" t="s">
        <v>21</v>
      </c>
      <c r="F117" s="16" t="s">
        <v>2</v>
      </c>
      <c r="G117" s="15">
        <v>100</v>
      </c>
      <c r="H117" s="3">
        <f>IF(OR(J117="",K117="",K117&lt;J117),0,NETWORKDAYS(J117,K117,[1]fESTIVOS!$A$2:$A$53))</f>
        <v>26</v>
      </c>
      <c r="I117" s="27">
        <v>46001</v>
      </c>
      <c r="J117" s="26">
        <v>46001</v>
      </c>
      <c r="K117" s="12">
        <v>46041</v>
      </c>
      <c r="L117" s="12">
        <v>46045</v>
      </c>
      <c r="M117" s="2">
        <f ca="1">IF(OR(J117="",AND(L117="",TODAY()&lt;J117),AND(L117&lt;&gt;"",L117&lt;J117)),0,
   IF(L117="",
      NETWORKDAYS(J117,TODAY(),[1]fESTIVOS!$A$2:$A$53),
      NETWORKDAYS(J117,L117,[1]fESTIVOS!$A$2:$A$53)
   )
)</f>
        <v>30</v>
      </c>
      <c r="N117" s="10"/>
      <c r="O117" s="10"/>
      <c r="P117" s="9"/>
      <c r="Q117" s="8" t="s">
        <v>306</v>
      </c>
      <c r="R117" s="7" t="s">
        <v>0</v>
      </c>
      <c r="S117" s="6"/>
    </row>
    <row r="118" spans="1:19" ht="29.25" customHeight="1">
      <c r="A118" s="34" t="s">
        <v>7</v>
      </c>
      <c r="B118" s="30" t="s">
        <v>305</v>
      </c>
      <c r="C118" s="51" t="s">
        <v>304</v>
      </c>
      <c r="D118" s="50" t="s">
        <v>303</v>
      </c>
      <c r="E118" s="30" t="s">
        <v>21</v>
      </c>
      <c r="F118" s="16" t="s">
        <v>2</v>
      </c>
      <c r="G118" s="15">
        <v>100</v>
      </c>
      <c r="H118" s="3">
        <f>IF(OR(J118="",K118="",K118&lt;J118),0,NETWORKDAYS(J118,K118,[1]fESTIVOS!$A$2:$A$53))</f>
        <v>26</v>
      </c>
      <c r="I118" s="27">
        <v>46003</v>
      </c>
      <c r="J118" s="26">
        <v>46003</v>
      </c>
      <c r="K118" s="12">
        <v>46043</v>
      </c>
      <c r="L118" s="12">
        <v>46043</v>
      </c>
      <c r="M118" s="2">
        <f ca="1">IF(OR(J118="",AND(L118="",TODAY()&lt;J118),AND(L118&lt;&gt;"",L118&lt;J118)),0,
   IF(L118="",
      NETWORKDAYS(J118,TODAY(),[1]fESTIVOS!$A$2:$A$53),
      NETWORKDAYS(J118,L118,[1]fESTIVOS!$A$2:$A$53)
   )
)</f>
        <v>26</v>
      </c>
      <c r="N118" s="10"/>
      <c r="O118" s="10"/>
      <c r="P118" s="9"/>
      <c r="Q118" s="8" t="s">
        <v>302</v>
      </c>
      <c r="R118" s="7" t="s">
        <v>0</v>
      </c>
      <c r="S118" s="6"/>
    </row>
    <row r="119" spans="1:19" ht="29.25" customHeight="1">
      <c r="A119" s="33" t="s">
        <v>7</v>
      </c>
      <c r="B119" s="30" t="s">
        <v>301</v>
      </c>
      <c r="C119" s="51" t="s">
        <v>300</v>
      </c>
      <c r="D119" s="50" t="s">
        <v>299</v>
      </c>
      <c r="E119" s="30" t="s">
        <v>21</v>
      </c>
      <c r="F119" s="29" t="s">
        <v>2</v>
      </c>
      <c r="G119" s="28">
        <v>100</v>
      </c>
      <c r="H119" s="3">
        <f>IF(OR(J119="",K119="",K119&lt;J119),0,NETWORKDAYS(J119,K119,[1]fESTIVOS!$A$2:$A$53))</f>
        <v>22</v>
      </c>
      <c r="I119" s="27">
        <v>46009</v>
      </c>
      <c r="J119" s="26">
        <v>46009</v>
      </c>
      <c r="K119" s="26">
        <v>46043</v>
      </c>
      <c r="L119" s="26">
        <v>46043</v>
      </c>
      <c r="M119" s="2">
        <f ca="1">IF(OR(J119="",AND(L119="",TODAY()&lt;J119),AND(L119&lt;&gt;"",L119&lt;J119)),0,
   IF(L119="",
      NETWORKDAYS(J119,TODAY(),[1]fESTIVOS!$A$2:$A$53),
      NETWORKDAYS(J119,L119,[1]fESTIVOS!$A$2:$A$53)
   )
)</f>
        <v>22</v>
      </c>
      <c r="N119" s="25"/>
      <c r="O119" s="25"/>
      <c r="P119" s="24"/>
      <c r="Q119" s="23" t="s">
        <v>298</v>
      </c>
      <c r="R119" s="22" t="s">
        <v>0</v>
      </c>
      <c r="S119" s="21"/>
    </row>
    <row r="120" spans="1:19" ht="29.25" customHeight="1">
      <c r="A120" s="33" t="s">
        <v>7</v>
      </c>
      <c r="B120" s="30" t="s">
        <v>297</v>
      </c>
      <c r="C120" s="51" t="s">
        <v>272</v>
      </c>
      <c r="D120" s="50" t="s">
        <v>296</v>
      </c>
      <c r="E120" s="30" t="s">
        <v>21</v>
      </c>
      <c r="F120" s="29" t="s">
        <v>2</v>
      </c>
      <c r="G120" s="28">
        <v>100</v>
      </c>
      <c r="H120" s="3">
        <f>IF(OR(J120="",K120="",K120&lt;J120),0,NETWORKDAYS(J120,K120,[1]fESTIVOS!$A$2:$A$53))</f>
        <v>9</v>
      </c>
      <c r="I120" s="27">
        <v>46035</v>
      </c>
      <c r="J120" s="26">
        <v>46035</v>
      </c>
      <c r="K120" s="26">
        <v>46045</v>
      </c>
      <c r="L120" s="26">
        <v>46044</v>
      </c>
      <c r="M120" s="2">
        <f ca="1">IF(OR(J120="",AND(L120="",TODAY()&lt;J120),AND(L120&lt;&gt;"",L120&lt;J120)),0,
   IF(L120="",
      NETWORKDAYS(J120,TODAY(),[1]fESTIVOS!$A$2:$A$53),
      NETWORKDAYS(J120,L120,[1]fESTIVOS!$A$2:$A$53)
   )
)</f>
        <v>8</v>
      </c>
      <c r="N120" s="25"/>
      <c r="O120" s="25"/>
      <c r="P120" s="24"/>
      <c r="Q120" s="23" t="s">
        <v>295</v>
      </c>
      <c r="R120" s="22" t="s">
        <v>0</v>
      </c>
      <c r="S120" s="21"/>
    </row>
    <row r="121" spans="1:19" ht="29.25" customHeight="1">
      <c r="A121" s="34" t="s">
        <v>7</v>
      </c>
      <c r="B121" s="17" t="s">
        <v>294</v>
      </c>
      <c r="C121" s="19" t="s">
        <v>293</v>
      </c>
      <c r="D121" s="18" t="s">
        <v>292</v>
      </c>
      <c r="E121" s="17" t="s">
        <v>3</v>
      </c>
      <c r="F121" s="46" t="s">
        <v>2</v>
      </c>
      <c r="G121" s="15">
        <v>100</v>
      </c>
      <c r="H121" s="3">
        <f>IF(OR(J121="",K121="",K121&lt;J121),0,NETWORKDAYS(J121,K121,[1]fESTIVOS!$A$2:$A$53))</f>
        <v>1</v>
      </c>
      <c r="I121" s="13">
        <v>46041</v>
      </c>
      <c r="J121" s="12">
        <v>46041</v>
      </c>
      <c r="K121" s="12">
        <v>46041</v>
      </c>
      <c r="L121" s="12">
        <v>46041</v>
      </c>
      <c r="M121" s="2">
        <f ca="1">IF(OR(J121="",AND(L121="",TODAY()&lt;J121),AND(L121&lt;&gt;"",L121&lt;J121)),0,
   IF(L121="",
      NETWORKDAYS(J121,TODAY(),[1]fESTIVOS!$A$2:$A$53),
      NETWORKDAYS(J121,L121,[1]fESTIVOS!$A$2:$A$53)
   )
)</f>
        <v>1</v>
      </c>
      <c r="N121" s="10"/>
      <c r="O121" s="10"/>
      <c r="P121" s="9"/>
      <c r="Q121" s="8" t="s">
        <v>291</v>
      </c>
      <c r="R121" s="7" t="s">
        <v>0</v>
      </c>
      <c r="S121" s="6"/>
    </row>
    <row r="122" spans="1:19" ht="29.25" customHeight="1">
      <c r="A122" s="34" t="s">
        <v>7</v>
      </c>
      <c r="B122" s="30" t="s">
        <v>290</v>
      </c>
      <c r="C122" s="19" t="s">
        <v>289</v>
      </c>
      <c r="D122" s="18" t="s">
        <v>288</v>
      </c>
      <c r="E122" s="17" t="s">
        <v>21</v>
      </c>
      <c r="F122" s="46" t="s">
        <v>2</v>
      </c>
      <c r="G122" s="15">
        <v>100</v>
      </c>
      <c r="H122" s="3">
        <f>IF(OR(J122="",K122="",K122&lt;J122),0,NETWORKDAYS(J122,K122,[1]fESTIVOS!$A$2:$A$53))</f>
        <v>18</v>
      </c>
      <c r="I122" s="13">
        <v>46044</v>
      </c>
      <c r="J122" s="12">
        <v>46044</v>
      </c>
      <c r="K122" s="12">
        <v>46069</v>
      </c>
      <c r="L122" s="12">
        <v>46069</v>
      </c>
      <c r="M122" s="2">
        <f ca="1">IF(OR(J122="",AND(L122="",TODAY()&lt;J122),AND(L122&lt;&gt;"",L122&lt;J122)),0,
   IF(L122="",
      NETWORKDAYS(J122,TODAY(),[1]fESTIVOS!$A$2:$A$53),
      NETWORKDAYS(J122,L122,[1]fESTIVOS!$A$2:$A$53)
   )
)</f>
        <v>18</v>
      </c>
      <c r="N122" s="10"/>
      <c r="O122" s="10"/>
      <c r="P122" s="9"/>
      <c r="Q122" s="8" t="s">
        <v>287</v>
      </c>
      <c r="R122" s="7" t="s">
        <v>0</v>
      </c>
      <c r="S122" s="6"/>
    </row>
    <row r="123" spans="1:19" ht="29.25" customHeight="1">
      <c r="A123" s="34" t="s">
        <v>7</v>
      </c>
      <c r="B123" s="17" t="s">
        <v>286</v>
      </c>
      <c r="C123" s="19" t="s">
        <v>276</v>
      </c>
      <c r="D123" s="18" t="s">
        <v>275</v>
      </c>
      <c r="E123" s="17" t="s">
        <v>3</v>
      </c>
      <c r="F123" s="46" t="s">
        <v>2</v>
      </c>
      <c r="G123" s="15">
        <v>100</v>
      </c>
      <c r="H123" s="3">
        <f>IF(OR(J123="",K123="",K123&lt;J123),0,NETWORKDAYS(J123,K123,[1]fESTIVOS!$A$2:$A$53))</f>
        <v>1</v>
      </c>
      <c r="I123" s="13">
        <v>46055</v>
      </c>
      <c r="J123" s="12">
        <v>46055</v>
      </c>
      <c r="K123" s="12">
        <v>46055</v>
      </c>
      <c r="L123" s="12">
        <v>46055</v>
      </c>
      <c r="M123" s="2">
        <f ca="1">IF(OR(J123="",AND(L123="",TODAY()&lt;J123),AND(L123&lt;&gt;"",L123&lt;J123)),0,
   IF(L123="",
      NETWORKDAYS(J123,TODAY(),[1]fESTIVOS!$A$2:$A$53),
      NETWORKDAYS(J123,L123,[1]fESTIVOS!$A$2:$A$53)
   )
)</f>
        <v>1</v>
      </c>
      <c r="N123" s="10"/>
      <c r="O123" s="10"/>
      <c r="P123" s="9"/>
      <c r="Q123" s="8" t="s">
        <v>285</v>
      </c>
      <c r="R123" s="7" t="s">
        <v>0</v>
      </c>
      <c r="S123" s="6"/>
    </row>
    <row r="124" spans="1:19" ht="29.25" customHeight="1">
      <c r="A124" s="33" t="s">
        <v>7</v>
      </c>
      <c r="B124" s="30" t="s">
        <v>284</v>
      </c>
      <c r="C124" s="32" t="s">
        <v>190</v>
      </c>
      <c r="D124" s="31" t="s">
        <v>283</v>
      </c>
      <c r="E124" s="30" t="s">
        <v>12</v>
      </c>
      <c r="F124" s="29" t="s">
        <v>2</v>
      </c>
      <c r="G124" s="28">
        <v>100</v>
      </c>
      <c r="H124" s="3">
        <f>IF(OR(J124="",K124="",K124&lt;J124),0,NETWORKDAYS(J124,K124,[1]fESTIVOS!$A$2:$A$53))</f>
        <v>4</v>
      </c>
      <c r="I124" s="27">
        <v>46055</v>
      </c>
      <c r="J124" s="26">
        <v>46055</v>
      </c>
      <c r="K124" s="26">
        <v>46058</v>
      </c>
      <c r="L124" s="26">
        <v>46056</v>
      </c>
      <c r="M124" s="2">
        <f ca="1">IF(OR(J124="",AND(L124="",TODAY()&lt;J124),AND(L124&lt;&gt;"",L124&lt;J124)),0,
   IF(L124="",
      NETWORKDAYS(J124,TODAY(),[1]fESTIVOS!$A$2:$A$53),
      NETWORKDAYS(J124,L124,[1]fESTIVOS!$A$2:$A$53)
   )
)</f>
        <v>2</v>
      </c>
      <c r="N124" s="25"/>
      <c r="O124" s="25"/>
      <c r="P124" s="24"/>
      <c r="Q124" s="23" t="s">
        <v>282</v>
      </c>
      <c r="R124" s="22" t="s">
        <v>0</v>
      </c>
      <c r="S124" s="21"/>
    </row>
    <row r="125" spans="1:19" ht="29.25" customHeight="1">
      <c r="A125" s="34" t="s">
        <v>7</v>
      </c>
      <c r="B125" s="30" t="s">
        <v>281</v>
      </c>
      <c r="C125" s="19" t="s">
        <v>280</v>
      </c>
      <c r="D125" s="18" t="s">
        <v>279</v>
      </c>
      <c r="E125" s="17" t="s">
        <v>21</v>
      </c>
      <c r="F125" s="46" t="s">
        <v>2</v>
      </c>
      <c r="G125" s="15">
        <v>100</v>
      </c>
      <c r="H125" s="3">
        <f>IF(OR(J125="",K125="",K125&lt;J125),0,NETWORKDAYS(J125,K125,[1]fESTIVOS!$A$2:$A$53))</f>
        <v>24</v>
      </c>
      <c r="I125" s="13">
        <v>46062</v>
      </c>
      <c r="J125" s="12">
        <v>46062</v>
      </c>
      <c r="K125" s="12">
        <v>46093</v>
      </c>
      <c r="L125" s="12">
        <v>46093</v>
      </c>
      <c r="M125" s="2">
        <f ca="1">IF(OR(J125="",AND(L125="",TODAY()&lt;J125),AND(L125&lt;&gt;"",L125&lt;J125)),0,
   IF(L125="",
      NETWORKDAYS(J125,TODAY(),[1]fESTIVOS!$A$2:$A$53),
      NETWORKDAYS(J125,L125,[1]fESTIVOS!$A$2:$A$53)
   )
)</f>
        <v>24</v>
      </c>
      <c r="N125" s="10"/>
      <c r="O125" s="10"/>
      <c r="P125" s="9"/>
      <c r="Q125" s="8" t="s">
        <v>278</v>
      </c>
      <c r="R125" s="7" t="s">
        <v>0</v>
      </c>
      <c r="S125" s="6"/>
    </row>
    <row r="126" spans="1:19" ht="29.25" customHeight="1">
      <c r="A126" s="34" t="s">
        <v>7</v>
      </c>
      <c r="B126" s="17" t="s">
        <v>277</v>
      </c>
      <c r="C126" s="19" t="s">
        <v>276</v>
      </c>
      <c r="D126" s="18" t="s">
        <v>275</v>
      </c>
      <c r="E126" s="17" t="s">
        <v>3</v>
      </c>
      <c r="F126" s="46" t="s">
        <v>2</v>
      </c>
      <c r="G126" s="15">
        <v>100</v>
      </c>
      <c r="H126" s="3">
        <f>IF(OR(J126="",K126="",K126&lt;J126),0,NETWORKDAYS(J126,K126,[1]fESTIVOS!$A$2:$A$53))</f>
        <v>1</v>
      </c>
      <c r="I126" s="13">
        <v>46063</v>
      </c>
      <c r="J126" s="12">
        <v>46063</v>
      </c>
      <c r="K126" s="12">
        <v>46063</v>
      </c>
      <c r="L126" s="12">
        <v>46063</v>
      </c>
      <c r="M126" s="2">
        <f ca="1">IF(OR(J126="",AND(L126="",TODAY()&lt;J126),AND(L126&lt;&gt;"",L126&lt;J126)),0,
   IF(L126="",
      NETWORKDAYS(J126,TODAY(),[1]fESTIVOS!$A$2:$A$53),
      NETWORKDAYS(J126,L126,[1]fESTIVOS!$A$2:$A$53)
   )
)</f>
        <v>1</v>
      </c>
      <c r="N126" s="10"/>
      <c r="O126" s="10"/>
      <c r="P126" s="9"/>
      <c r="Q126" s="8" t="s">
        <v>274</v>
      </c>
      <c r="R126" s="7" t="s">
        <v>0</v>
      </c>
      <c r="S126" s="6"/>
    </row>
    <row r="127" spans="1:19" ht="29.25" customHeight="1">
      <c r="A127" s="34" t="s">
        <v>7</v>
      </c>
      <c r="B127" s="30" t="s">
        <v>273</v>
      </c>
      <c r="C127" s="19" t="s">
        <v>272</v>
      </c>
      <c r="D127" s="18" t="s">
        <v>271</v>
      </c>
      <c r="E127" s="17" t="s">
        <v>21</v>
      </c>
      <c r="F127" s="46" t="s">
        <v>2</v>
      </c>
      <c r="G127" s="15">
        <v>100</v>
      </c>
      <c r="H127" s="3">
        <f>IF(OR(J127="",K127="",K127&lt;J127),0,NETWORKDAYS(J127,K127,[1]fESTIVOS!$A$2:$A$53))</f>
        <v>1</v>
      </c>
      <c r="I127" s="13">
        <v>46064</v>
      </c>
      <c r="J127" s="12">
        <v>46064</v>
      </c>
      <c r="K127" s="12">
        <v>46064</v>
      </c>
      <c r="L127" s="12">
        <v>46064</v>
      </c>
      <c r="M127" s="2">
        <f ca="1">IF(OR(J127="",AND(L127="",TODAY()&lt;J127),AND(L127&lt;&gt;"",L127&lt;J127)),0,
   IF(L127="",
      NETWORKDAYS(J127,TODAY(),[1]fESTIVOS!$A$2:$A$53),
      NETWORKDAYS(J127,L127,[1]fESTIVOS!$A$2:$A$53)
   )
)</f>
        <v>1</v>
      </c>
      <c r="N127" s="10"/>
      <c r="O127" s="10"/>
      <c r="P127" s="9"/>
      <c r="Q127" s="8" t="s">
        <v>270</v>
      </c>
      <c r="R127" s="7" t="s">
        <v>0</v>
      </c>
      <c r="S127" s="6"/>
    </row>
    <row r="128" spans="1:19" ht="29.25" customHeight="1">
      <c r="A128" s="33" t="s">
        <v>7</v>
      </c>
      <c r="B128" s="30" t="s">
        <v>269</v>
      </c>
      <c r="C128" s="32" t="s">
        <v>268</v>
      </c>
      <c r="D128" s="31" t="s">
        <v>267</v>
      </c>
      <c r="E128" s="30" t="s">
        <v>12</v>
      </c>
      <c r="F128" s="29" t="s">
        <v>2</v>
      </c>
      <c r="G128" s="28">
        <v>100</v>
      </c>
      <c r="H128" s="3">
        <f>IF(OR(J128="",K128="",K128&lt;J128),0,NETWORKDAYS(J128,K128,[1]fESTIVOS!$A$2:$A$53))</f>
        <v>11</v>
      </c>
      <c r="I128" s="27">
        <v>46064</v>
      </c>
      <c r="J128" s="26">
        <v>46064</v>
      </c>
      <c r="K128" s="26">
        <v>46078</v>
      </c>
      <c r="L128" s="26">
        <v>46078</v>
      </c>
      <c r="M128" s="2">
        <f ca="1">IF(OR(J128="",AND(L128="",TODAY()&lt;J128),AND(L128&lt;&gt;"",L128&lt;J128)),0,
   IF(L128="",
      NETWORKDAYS(J128,TODAY(),[1]fESTIVOS!$A$2:$A$53),
      NETWORKDAYS(J128,L128,[1]fESTIVOS!$A$2:$A$53)
   )
)</f>
        <v>11</v>
      </c>
      <c r="N128" s="25"/>
      <c r="O128" s="25"/>
      <c r="P128" s="24"/>
      <c r="Q128" s="49" t="s">
        <v>266</v>
      </c>
      <c r="R128" s="22" t="s">
        <v>0</v>
      </c>
      <c r="S128" s="21"/>
    </row>
    <row r="129" spans="1:19" ht="29.25" customHeight="1">
      <c r="A129" s="33" t="s">
        <v>7</v>
      </c>
      <c r="B129" s="30" t="s">
        <v>265</v>
      </c>
      <c r="C129" s="32" t="s">
        <v>264</v>
      </c>
      <c r="D129" s="31" t="s">
        <v>263</v>
      </c>
      <c r="E129" s="30" t="s">
        <v>12</v>
      </c>
      <c r="F129" s="29" t="s">
        <v>2</v>
      </c>
      <c r="G129" s="28">
        <v>100</v>
      </c>
      <c r="H129" s="3">
        <f>IF(OR(J129="",K129="",K129&lt;J129),0,NETWORKDAYS(J129,K129,[1]fESTIVOS!$A$2:$A$53))</f>
        <v>12</v>
      </c>
      <c r="I129" s="27">
        <v>46064</v>
      </c>
      <c r="J129" s="26">
        <v>46064</v>
      </c>
      <c r="K129" s="26">
        <v>46079</v>
      </c>
      <c r="L129" s="26">
        <v>46079</v>
      </c>
      <c r="M129" s="2">
        <f ca="1">IF(OR(J129="",AND(L129="",TODAY()&lt;J129),AND(L129&lt;&gt;"",L129&lt;J129)),0,
   IF(L129="",
      NETWORKDAYS(J129,TODAY(),[1]fESTIVOS!$A$2:$A$53),
      NETWORKDAYS(J129,L129,[1]fESTIVOS!$A$2:$A$53)
   )
)</f>
        <v>12</v>
      </c>
      <c r="N129" s="25"/>
      <c r="O129" s="25"/>
      <c r="P129" s="24"/>
      <c r="Q129" s="49" t="s">
        <v>262</v>
      </c>
      <c r="R129" s="22" t="s">
        <v>0</v>
      </c>
      <c r="S129" s="21"/>
    </row>
    <row r="130" spans="1:19" ht="29.25" customHeight="1">
      <c r="A130" s="33" t="s">
        <v>7</v>
      </c>
      <c r="B130" s="30" t="s">
        <v>261</v>
      </c>
      <c r="C130" s="32" t="s">
        <v>260</v>
      </c>
      <c r="D130" s="31" t="s">
        <v>259</v>
      </c>
      <c r="E130" s="30" t="s">
        <v>12</v>
      </c>
      <c r="F130" s="29" t="s">
        <v>258</v>
      </c>
      <c r="G130" s="28">
        <v>10</v>
      </c>
      <c r="H130" s="3">
        <f>IF(OR(J130="",K130="",K130&lt;J130),0,NETWORKDAYS(J130,K130,[1]fESTIVOS!$A$2:$A$53))</f>
        <v>0</v>
      </c>
      <c r="I130" s="27">
        <v>46064</v>
      </c>
      <c r="J130" s="26">
        <v>46064</v>
      </c>
      <c r="K130" s="26"/>
      <c r="L130" s="26"/>
      <c r="M130" s="2">
        <f ca="1">IF(OR(J130="",AND(L130="",TODAY()&lt;J130),AND(L130&lt;&gt;"",L130&lt;J130)),0,
   IF(L130="",
      NETWORKDAYS(J130,TODAY(),[1]fESTIVOS!$A$2:$A$53),
      NETWORKDAYS(J130,L130,[1]fESTIVOS!$A$2:$A$53)
   )
)</f>
        <v>79</v>
      </c>
      <c r="N130" s="25"/>
      <c r="O130" s="25"/>
      <c r="P130" s="24"/>
      <c r="Q130" s="49" t="s">
        <v>257</v>
      </c>
      <c r="R130" s="22" t="s">
        <v>0</v>
      </c>
      <c r="S130" s="21"/>
    </row>
    <row r="131" spans="1:19" ht="29.25" customHeight="1">
      <c r="A131" s="33" t="s">
        <v>7</v>
      </c>
      <c r="B131" s="30" t="s">
        <v>256</v>
      </c>
      <c r="C131" s="32" t="s">
        <v>255</v>
      </c>
      <c r="D131" s="31" t="s">
        <v>254</v>
      </c>
      <c r="E131" s="30" t="s">
        <v>12</v>
      </c>
      <c r="F131" s="29" t="s">
        <v>2</v>
      </c>
      <c r="G131" s="28">
        <v>100</v>
      </c>
      <c r="H131" s="3">
        <f>IF(OR(J131="",K131="",K131&lt;J131),0,NETWORKDAYS(J131,K131,[1]fESTIVOS!$A$2:$A$53))</f>
        <v>13</v>
      </c>
      <c r="I131" s="27">
        <v>46064</v>
      </c>
      <c r="J131" s="26">
        <v>46064</v>
      </c>
      <c r="K131" s="26">
        <v>46080</v>
      </c>
      <c r="L131" s="26">
        <v>46080</v>
      </c>
      <c r="M131" s="2">
        <f ca="1">IF(OR(J131="",AND(L131="",TODAY()&lt;J131),AND(L131&lt;&gt;"",L131&lt;J131)),0,
   IF(L131="",
      NETWORKDAYS(J131,TODAY(),[1]fESTIVOS!$A$2:$A$53),
      NETWORKDAYS(J131,L131,[1]fESTIVOS!$A$2:$A$53)
   )
)</f>
        <v>13</v>
      </c>
      <c r="N131" s="25"/>
      <c r="O131" s="25"/>
      <c r="P131" s="24"/>
      <c r="Q131" s="49" t="s">
        <v>253</v>
      </c>
      <c r="R131" s="22" t="s">
        <v>0</v>
      </c>
      <c r="S131" s="21"/>
    </row>
    <row r="132" spans="1:19" ht="29.25" customHeight="1">
      <c r="A132" s="33" t="s">
        <v>7</v>
      </c>
      <c r="B132" s="30" t="s">
        <v>252</v>
      </c>
      <c r="C132" s="32" t="s">
        <v>251</v>
      </c>
      <c r="D132" s="31" t="s">
        <v>250</v>
      </c>
      <c r="E132" s="30" t="s">
        <v>12</v>
      </c>
      <c r="F132" s="29" t="s">
        <v>2</v>
      </c>
      <c r="G132" s="28">
        <v>100</v>
      </c>
      <c r="H132" s="3">
        <f>IF(OR(J133="",K132="",K132&lt;J133),0,NETWORKDAYS(J133,K132,[1]fESTIVOS!$A$2:$A$53))</f>
        <v>9</v>
      </c>
      <c r="I132" s="27">
        <v>46064</v>
      </c>
      <c r="J132" s="26">
        <v>46064</v>
      </c>
      <c r="K132" s="26">
        <v>46076</v>
      </c>
      <c r="L132" s="26">
        <v>46076</v>
      </c>
      <c r="M132" s="2">
        <f ca="1">IF(OR(J133="",AND(L132="",TODAY()&lt;J133),AND(L132&lt;&gt;"",L132&lt;J133)),0,
   IF(L132="",
      NETWORKDAYS(J133,TODAY(),[1]fESTIVOS!$A$2:$A$53),
      NETWORKDAYS(J133,L132,[1]fESTIVOS!$A$2:$A$53)
   )
)</f>
        <v>9</v>
      </c>
      <c r="N132" s="25"/>
      <c r="O132" s="25"/>
      <c r="P132" s="24"/>
      <c r="Q132" s="49" t="s">
        <v>249</v>
      </c>
      <c r="R132" s="22" t="s">
        <v>0</v>
      </c>
      <c r="S132" s="21"/>
    </row>
    <row r="133" spans="1:19" ht="29.25" customHeight="1">
      <c r="A133" s="33" t="s">
        <v>7</v>
      </c>
      <c r="B133" s="30" t="s">
        <v>248</v>
      </c>
      <c r="C133" s="32" t="s">
        <v>247</v>
      </c>
      <c r="D133" s="31" t="s">
        <v>246</v>
      </c>
      <c r="E133" s="30" t="s">
        <v>12</v>
      </c>
      <c r="F133" s="29" t="s">
        <v>2</v>
      </c>
      <c r="G133" s="28">
        <v>100</v>
      </c>
      <c r="H133" s="3" t="e">
        <f>IF(OR(#REF!="",K133="",K133&lt;#REF!),0,NETWORKDAYS(#REF!,K133,[1]fESTIVOS!$A$2:$A$53))</f>
        <v>#REF!</v>
      </c>
      <c r="I133" s="27">
        <v>46064</v>
      </c>
      <c r="J133" s="26">
        <v>46064</v>
      </c>
      <c r="K133" s="26">
        <v>46078</v>
      </c>
      <c r="L133" s="26">
        <v>46078</v>
      </c>
      <c r="M133" s="2" t="e">
        <f ca="1">IF(OR(#REF!="",AND(L133="",TODAY()&lt;#REF!),AND(L133&lt;&gt;"",L133&lt;#REF!)),0,
   IF(L133="",
      NETWORKDAYS(#REF!,TODAY(),[1]fESTIVOS!$A$2:$A$53),
      NETWORKDAYS(#REF!,L133,[1]fESTIVOS!$A$2:$A$53)
   )
)</f>
        <v>#REF!</v>
      </c>
      <c r="N133" s="25"/>
      <c r="O133" s="25"/>
      <c r="P133" s="24"/>
      <c r="Q133" s="49" t="s">
        <v>245</v>
      </c>
      <c r="R133" s="22" t="s">
        <v>0</v>
      </c>
      <c r="S133" s="21"/>
    </row>
    <row r="134" spans="1:19" ht="29.25" customHeight="1">
      <c r="A134" s="34" t="s">
        <v>7</v>
      </c>
      <c r="B134" s="17" t="s">
        <v>244</v>
      </c>
      <c r="C134" s="19" t="s">
        <v>243</v>
      </c>
      <c r="D134" s="18" t="s">
        <v>242</v>
      </c>
      <c r="E134" s="17" t="s">
        <v>3</v>
      </c>
      <c r="F134" s="46" t="s">
        <v>2</v>
      </c>
      <c r="G134" s="15">
        <v>100</v>
      </c>
      <c r="H134" s="3">
        <f>IF(OR(J134="",K134="",K134&lt;J134),0,NETWORKDAYS(J134,K134,[1]fESTIVOS!$A$2:$A$53))</f>
        <v>1</v>
      </c>
      <c r="I134" s="13">
        <v>46071</v>
      </c>
      <c r="J134" s="12">
        <v>46071</v>
      </c>
      <c r="K134" s="12">
        <v>46071</v>
      </c>
      <c r="L134" s="12">
        <v>46071</v>
      </c>
      <c r="M134" s="2">
        <f ca="1">IF(OR(J134="",AND(L134="",TODAY()&lt;J134),AND(L134&lt;&gt;"",L134&lt;J134)),0,
   IF(L134="",
      NETWORKDAYS(J134,TODAY(),[1]fESTIVOS!$A$2:$A$53),
      NETWORKDAYS(J134,L134,[1]fESTIVOS!$A$2:$A$53)
   )
)</f>
        <v>1</v>
      </c>
      <c r="N134" s="10"/>
      <c r="O134" s="10"/>
      <c r="P134" s="9"/>
      <c r="Q134" s="8" t="s">
        <v>241</v>
      </c>
      <c r="R134" s="7" t="s">
        <v>0</v>
      </c>
      <c r="S134" s="6"/>
    </row>
    <row r="135" spans="1:19" ht="29.25" customHeight="1">
      <c r="A135" s="34" t="s">
        <v>7</v>
      </c>
      <c r="B135" s="17" t="s">
        <v>240</v>
      </c>
      <c r="C135" s="19" t="s">
        <v>239</v>
      </c>
      <c r="D135" s="18" t="s">
        <v>238</v>
      </c>
      <c r="E135" s="17" t="s">
        <v>3</v>
      </c>
      <c r="F135" s="46" t="s">
        <v>2</v>
      </c>
      <c r="G135" s="15">
        <v>100</v>
      </c>
      <c r="H135" s="3">
        <f>IF(OR(J135="",K135="",K135&lt;J135),0,NETWORKDAYS(J135,K135,[1]fESTIVOS!$A$2:$A$53))</f>
        <v>1</v>
      </c>
      <c r="I135" s="13">
        <v>46073</v>
      </c>
      <c r="J135" s="12">
        <v>46073</v>
      </c>
      <c r="K135" s="12">
        <v>46073</v>
      </c>
      <c r="L135" s="12">
        <v>46073</v>
      </c>
      <c r="M135" s="2">
        <f ca="1">IF(OR(J135="",AND(L135="",TODAY()&lt;J135),AND(L135&lt;&gt;"",L135&lt;J135)),0,
   IF(L135="",
      NETWORKDAYS(J135,TODAY(),[1]fESTIVOS!$A$2:$A$53),
      NETWORKDAYS(J135,L135,[1]fESTIVOS!$A$2:$A$53)
   )
)</f>
        <v>1</v>
      </c>
      <c r="N135" s="10"/>
      <c r="O135" s="10"/>
      <c r="P135" s="9"/>
      <c r="Q135" s="8" t="s">
        <v>237</v>
      </c>
      <c r="R135" s="7" t="s">
        <v>0</v>
      </c>
      <c r="S135" s="6"/>
    </row>
    <row r="136" spans="1:19" ht="29.25" customHeight="1">
      <c r="A136" s="34" t="s">
        <v>7</v>
      </c>
      <c r="B136" s="17" t="s">
        <v>236</v>
      </c>
      <c r="C136" s="19" t="s">
        <v>235</v>
      </c>
      <c r="D136" s="18" t="s">
        <v>234</v>
      </c>
      <c r="E136" s="17" t="s">
        <v>3</v>
      </c>
      <c r="F136" s="46" t="s">
        <v>2</v>
      </c>
      <c r="G136" s="15">
        <v>100</v>
      </c>
      <c r="H136" s="3">
        <f>IF(OR(J136="",K136="",K136&lt;J136),0,NETWORKDAYS(J136,K136,[1]fESTIVOS!$A$2:$A$53))</f>
        <v>1</v>
      </c>
      <c r="I136" s="13">
        <v>46073</v>
      </c>
      <c r="J136" s="12">
        <v>46073</v>
      </c>
      <c r="K136" s="12">
        <v>46073</v>
      </c>
      <c r="L136" s="12">
        <v>46073</v>
      </c>
      <c r="M136" s="2">
        <f ca="1">IF(OR(J136="",AND(L136="",TODAY()&lt;J136),AND(L136&lt;&gt;"",L136&lt;J136)),0,
   IF(L136="",
      NETWORKDAYS(J136,TODAY(),[1]fESTIVOS!$A$2:$A$53),
      NETWORKDAYS(J136,L136,[1]fESTIVOS!$A$2:$A$53)
   )
)</f>
        <v>1</v>
      </c>
      <c r="N136" s="10"/>
      <c r="O136" s="10"/>
      <c r="P136" s="9"/>
      <c r="Q136" s="8" t="s">
        <v>233</v>
      </c>
      <c r="R136" s="7" t="s">
        <v>0</v>
      </c>
      <c r="S136" s="6"/>
    </row>
    <row r="137" spans="1:19" ht="29.25" customHeight="1">
      <c r="A137" s="33" t="s">
        <v>7</v>
      </c>
      <c r="B137" s="30" t="s">
        <v>232</v>
      </c>
      <c r="C137" s="32" t="s">
        <v>231</v>
      </c>
      <c r="D137" s="31" t="s">
        <v>230</v>
      </c>
      <c r="E137" s="30" t="s">
        <v>12</v>
      </c>
      <c r="F137" s="29" t="s">
        <v>2</v>
      </c>
      <c r="G137" s="28">
        <v>100</v>
      </c>
      <c r="H137" s="3" t="e">
        <f>IF(OR(#REF!="",K137="",K137&lt;#REF!),0,NETWORKDAYS(#REF!,K137,[1]fESTIVOS!$A$2:$A$53))</f>
        <v>#REF!</v>
      </c>
      <c r="I137" s="27">
        <v>46077</v>
      </c>
      <c r="J137" s="26">
        <v>46077</v>
      </c>
      <c r="K137" s="26">
        <v>46077</v>
      </c>
      <c r="L137" s="26">
        <v>46077</v>
      </c>
      <c r="M137" s="2" t="e">
        <f ca="1">IF(OR(#REF!="",AND(L137="",TODAY()&lt;#REF!),AND(L137&lt;&gt;"",L137&lt;#REF!)),0,
   IF(L137="",
      NETWORKDAYS(#REF!,TODAY(),[1]fESTIVOS!$A$2:$A$53),
      NETWORKDAYS(#REF!,L137,[1]fESTIVOS!$A$2:$A$53)
   )
)</f>
        <v>#REF!</v>
      </c>
      <c r="N137" s="25"/>
      <c r="O137" s="25"/>
      <c r="P137" s="24"/>
      <c r="Q137" s="49" t="s">
        <v>229</v>
      </c>
      <c r="R137" s="22" t="s">
        <v>0</v>
      </c>
      <c r="S137" s="21"/>
    </row>
    <row r="138" spans="1:19" ht="29.25" customHeight="1">
      <c r="A138" s="33" t="s">
        <v>7</v>
      </c>
      <c r="B138" s="30" t="s">
        <v>228</v>
      </c>
      <c r="C138" s="32" t="s">
        <v>227</v>
      </c>
      <c r="D138" s="31" t="s">
        <v>226</v>
      </c>
      <c r="E138" s="30" t="s">
        <v>12</v>
      </c>
      <c r="F138" s="29" t="s">
        <v>2</v>
      </c>
      <c r="G138" s="28">
        <v>100</v>
      </c>
      <c r="H138" s="3" t="e">
        <f>IF(OR(#REF!="",K138="",K138&lt;#REF!),0,NETWORKDAYS(#REF!,K138,[1]fESTIVOS!$A$2:$A$53))</f>
        <v>#REF!</v>
      </c>
      <c r="I138" s="27">
        <v>46079</v>
      </c>
      <c r="J138" s="26">
        <v>46079</v>
      </c>
      <c r="K138" s="26">
        <v>46079</v>
      </c>
      <c r="L138" s="26">
        <v>46079</v>
      </c>
      <c r="M138" s="2" t="e">
        <f ca="1">IF(OR(#REF!="",AND(L138="",TODAY()&lt;#REF!),AND(L138&lt;&gt;"",L138&lt;#REF!)),0,
   IF(L138="",
      NETWORKDAYS(#REF!,TODAY(),[1]fESTIVOS!$A$2:$A$53),
      NETWORKDAYS(#REF!,L138,[1]fESTIVOS!$A$2:$A$53)
   )
)</f>
        <v>#REF!</v>
      </c>
      <c r="N138" s="25"/>
      <c r="O138" s="25"/>
      <c r="P138" s="24"/>
      <c r="Q138" s="49" t="s">
        <v>225</v>
      </c>
      <c r="R138" s="22" t="s">
        <v>0</v>
      </c>
      <c r="S138" s="21"/>
    </row>
    <row r="139" spans="1:19" ht="29.25" customHeight="1">
      <c r="A139" s="34" t="s">
        <v>7</v>
      </c>
      <c r="B139" s="30" t="s">
        <v>224</v>
      </c>
      <c r="C139" s="19" t="s">
        <v>223</v>
      </c>
      <c r="D139" s="18" t="s">
        <v>222</v>
      </c>
      <c r="E139" s="17" t="s">
        <v>21</v>
      </c>
      <c r="F139" s="46" t="s">
        <v>2</v>
      </c>
      <c r="G139" s="15">
        <v>100</v>
      </c>
      <c r="H139" s="3">
        <f>IF(OR(J139="",K139="",K139&lt;J139),0,NETWORKDAYS(J139,K139,[1]fESTIVOS!$A$2:$A$53))</f>
        <v>1</v>
      </c>
      <c r="I139" s="27">
        <v>46079</v>
      </c>
      <c r="J139" s="26">
        <v>46079</v>
      </c>
      <c r="K139" s="26">
        <v>46079</v>
      </c>
      <c r="L139" s="26">
        <v>46079</v>
      </c>
      <c r="M139" s="2">
        <f ca="1">IF(OR(J139="",AND(L139="",TODAY()&lt;J139),AND(L139&lt;&gt;"",L139&lt;J139)),0,
   IF(L139="",
      NETWORKDAYS(J139,TODAY(),[1]fESTIVOS!$A$2:$A$53),
      NETWORKDAYS(J139,L139,[1]fESTIVOS!$A$2:$A$53)
   )
)</f>
        <v>1</v>
      </c>
      <c r="N139" s="10"/>
      <c r="O139" s="10"/>
      <c r="P139" s="9"/>
      <c r="Q139" s="8" t="s">
        <v>221</v>
      </c>
      <c r="R139" s="7" t="s">
        <v>0</v>
      </c>
      <c r="S139" s="6"/>
    </row>
    <row r="140" spans="1:19" ht="29.25" customHeight="1">
      <c r="A140" s="34" t="s">
        <v>7</v>
      </c>
      <c r="B140" s="30" t="s">
        <v>220</v>
      </c>
      <c r="C140" s="19" t="s">
        <v>219</v>
      </c>
      <c r="D140" s="18" t="s">
        <v>218</v>
      </c>
      <c r="E140" s="17" t="s">
        <v>21</v>
      </c>
      <c r="F140" s="46" t="s">
        <v>2</v>
      </c>
      <c r="G140" s="15">
        <v>100</v>
      </c>
      <c r="H140" s="3">
        <f>IF(OR(J140="",K140="",K140&lt;J140),0,NETWORKDAYS(J140,K140,[1]fESTIVOS!$A$2:$A$53))</f>
        <v>1</v>
      </c>
      <c r="I140" s="27">
        <v>46080</v>
      </c>
      <c r="J140" s="26">
        <v>46080</v>
      </c>
      <c r="K140" s="26">
        <v>46080</v>
      </c>
      <c r="L140" s="26">
        <v>46080</v>
      </c>
      <c r="M140" s="2">
        <f ca="1">IF(OR(J140="",AND(L140="",TODAY()&lt;J140),AND(L140&lt;&gt;"",L140&lt;J140)),0,
   IF(L140="",
      NETWORKDAYS(J140,TODAY(),[1]fESTIVOS!$A$2:$A$53),
      NETWORKDAYS(J140,L140,[1]fESTIVOS!$A$2:$A$53)
   )
)</f>
        <v>1</v>
      </c>
      <c r="N140" s="10"/>
      <c r="O140" s="10"/>
      <c r="P140" s="9"/>
      <c r="Q140" s="8" t="s">
        <v>217</v>
      </c>
      <c r="R140" s="7" t="s">
        <v>0</v>
      </c>
      <c r="S140" s="6"/>
    </row>
    <row r="141" spans="1:19" ht="29.25" customHeight="1">
      <c r="A141" s="34" t="s">
        <v>7</v>
      </c>
      <c r="B141" s="30" t="s">
        <v>216</v>
      </c>
      <c r="C141" s="19" t="s">
        <v>215</v>
      </c>
      <c r="D141" s="18" t="s">
        <v>214</v>
      </c>
      <c r="E141" s="17" t="s">
        <v>21</v>
      </c>
      <c r="F141" s="46" t="s">
        <v>2</v>
      </c>
      <c r="G141" s="15">
        <v>100</v>
      </c>
      <c r="H141" s="3">
        <f>IF(OR(J141="",K141="",K141&lt;J141),0,NETWORKDAYS(J141,K141,[1]fESTIVOS!$A$2:$A$53))</f>
        <v>1</v>
      </c>
      <c r="I141" s="27">
        <v>46080</v>
      </c>
      <c r="J141" s="26">
        <v>46080</v>
      </c>
      <c r="K141" s="26">
        <v>46080</v>
      </c>
      <c r="L141" s="26">
        <v>46080</v>
      </c>
      <c r="M141" s="2">
        <f ca="1">IF(OR(J141="",AND(L141="",TODAY()&lt;J141),AND(L141&lt;&gt;"",L141&lt;J141)),0,
   IF(L141="",
      NETWORKDAYS(J141,TODAY(),[1]fESTIVOS!$A$2:$A$53),
      NETWORKDAYS(J141,L141,[1]fESTIVOS!$A$2:$A$53)
   )
)</f>
        <v>1</v>
      </c>
      <c r="N141" s="10"/>
      <c r="O141" s="10"/>
      <c r="P141" s="9"/>
      <c r="Q141" s="8" t="s">
        <v>213</v>
      </c>
      <c r="R141" s="7" t="s">
        <v>0</v>
      </c>
      <c r="S141" s="6"/>
    </row>
    <row r="142" spans="1:19" ht="29.25" customHeight="1">
      <c r="A142" s="33" t="s">
        <v>7</v>
      </c>
      <c r="B142" s="30" t="s">
        <v>212</v>
      </c>
      <c r="C142" s="32" t="s">
        <v>211</v>
      </c>
      <c r="D142" s="31" t="s">
        <v>210</v>
      </c>
      <c r="E142" s="30" t="s">
        <v>12</v>
      </c>
      <c r="F142" s="29" t="s">
        <v>2</v>
      </c>
      <c r="G142" s="28">
        <v>100</v>
      </c>
      <c r="H142" s="3" t="e">
        <f>IF(OR(#REF!="",K142="",K142&lt;#REF!),0,NETWORKDAYS(#REF!,K142,[1]fESTIVOS!$A$2:$A$53))</f>
        <v>#REF!</v>
      </c>
      <c r="I142" s="27">
        <v>46083</v>
      </c>
      <c r="J142" s="26">
        <v>46083</v>
      </c>
      <c r="K142" s="26">
        <v>46084</v>
      </c>
      <c r="L142" s="26">
        <v>46084</v>
      </c>
      <c r="M142" s="2" t="e">
        <f ca="1">IF(OR(#REF!="",AND(L142="",TODAY()&lt;#REF!),AND(L142&lt;&gt;"",L142&lt;#REF!)),0,
   IF(L142="",
      NETWORKDAYS(#REF!,TODAY(),[1]fESTIVOS!$A$2:$A$53),
      NETWORKDAYS(#REF!,L142,[1]fESTIVOS!$A$2:$A$53)
   )
)</f>
        <v>#REF!</v>
      </c>
      <c r="N142" s="25"/>
      <c r="O142" s="25"/>
      <c r="P142" s="24"/>
      <c r="Q142" s="49" t="s">
        <v>209</v>
      </c>
      <c r="R142" s="22" t="s">
        <v>0</v>
      </c>
      <c r="S142" s="21"/>
    </row>
    <row r="143" spans="1:19" ht="29.25" customHeight="1">
      <c r="A143" s="33" t="s">
        <v>7</v>
      </c>
      <c r="B143" s="30" t="s">
        <v>208</v>
      </c>
      <c r="C143" s="32" t="s">
        <v>207</v>
      </c>
      <c r="D143" s="31" t="s">
        <v>206</v>
      </c>
      <c r="E143" s="30" t="s">
        <v>12</v>
      </c>
      <c r="F143" s="29" t="s">
        <v>2</v>
      </c>
      <c r="G143" s="28">
        <v>100</v>
      </c>
      <c r="H143" s="3" t="e">
        <f>IF(OR(#REF!="",K143="",K143&lt;#REF!),0,NETWORKDAYS(#REF!,K143,[1]fESTIVOS!$A$2:$A$53))</f>
        <v>#REF!</v>
      </c>
      <c r="I143" s="27">
        <v>46085</v>
      </c>
      <c r="J143" s="26">
        <v>46085</v>
      </c>
      <c r="K143" s="26">
        <v>46085</v>
      </c>
      <c r="L143" s="26">
        <v>46085</v>
      </c>
      <c r="M143" s="2" t="e">
        <f ca="1">IF(OR(#REF!="",AND(L143="",TODAY()&lt;#REF!),AND(L143&lt;&gt;"",L143&lt;#REF!)),0,
   IF(L143="",
      NETWORKDAYS(#REF!,TODAY(),[1]fESTIVOS!$A$2:$A$53),
      NETWORKDAYS(#REF!,L143,[1]fESTIVOS!$A$2:$A$53)
   )
)</f>
        <v>#REF!</v>
      </c>
      <c r="N143" s="25"/>
      <c r="O143" s="25"/>
      <c r="P143" s="24"/>
      <c r="Q143" s="49" t="s">
        <v>205</v>
      </c>
      <c r="R143" s="22" t="s">
        <v>0</v>
      </c>
      <c r="S143" s="21"/>
    </row>
    <row r="144" spans="1:19" ht="29.25" customHeight="1">
      <c r="A144" s="33" t="s">
        <v>7</v>
      </c>
      <c r="B144" s="30" t="s">
        <v>204</v>
      </c>
      <c r="C144" s="32" t="s">
        <v>203</v>
      </c>
      <c r="D144" s="31" t="s">
        <v>202</v>
      </c>
      <c r="E144" s="30" t="s">
        <v>12</v>
      </c>
      <c r="F144" s="29" t="s">
        <v>2</v>
      </c>
      <c r="G144" s="28">
        <v>100</v>
      </c>
      <c r="H144" s="3" t="e">
        <f>IF(OR(#REF!="",K144="",K144&lt;#REF!),0,NETWORKDAYS(#REF!,K144,[1]fESTIVOS!$A$2:$A$53))</f>
        <v>#REF!</v>
      </c>
      <c r="I144" s="27">
        <v>46085</v>
      </c>
      <c r="J144" s="26">
        <v>46085</v>
      </c>
      <c r="K144" s="26">
        <v>46085</v>
      </c>
      <c r="L144" s="26">
        <v>46085</v>
      </c>
      <c r="M144" s="2" t="e">
        <f ca="1">IF(OR(#REF!="",AND(L144="",TODAY()&lt;#REF!),AND(L144&lt;&gt;"",L144&lt;#REF!)),0,
   IF(L144="",
      NETWORKDAYS(#REF!,TODAY(),[1]fESTIVOS!$A$2:$A$53),
      NETWORKDAYS(#REF!,L144,[1]fESTIVOS!$A$2:$A$53)
   )
)</f>
        <v>#REF!</v>
      </c>
      <c r="N144" s="25"/>
      <c r="O144" s="25"/>
      <c r="P144" s="24"/>
      <c r="Q144" s="49" t="s">
        <v>201</v>
      </c>
      <c r="R144" s="22" t="s">
        <v>0</v>
      </c>
      <c r="S144" s="21"/>
    </row>
    <row r="145" spans="1:19" ht="29.25" customHeight="1">
      <c r="A145" s="34" t="s">
        <v>7</v>
      </c>
      <c r="B145" s="30" t="s">
        <v>200</v>
      </c>
      <c r="C145" s="19" t="s">
        <v>194</v>
      </c>
      <c r="D145" s="18" t="s">
        <v>199</v>
      </c>
      <c r="E145" s="17" t="s">
        <v>21</v>
      </c>
      <c r="F145" s="46" t="s">
        <v>2</v>
      </c>
      <c r="G145" s="15">
        <v>100</v>
      </c>
      <c r="H145" s="3">
        <f>IF(OR(J145="",K145="",K145&lt;J145),0,NETWORKDAYS(J145,K145,[1]fESTIVOS!$A$2:$A$53))</f>
        <v>3</v>
      </c>
      <c r="I145" s="27">
        <v>46084</v>
      </c>
      <c r="J145" s="26">
        <v>46084</v>
      </c>
      <c r="K145" s="26">
        <v>46086</v>
      </c>
      <c r="L145" s="26">
        <v>46086</v>
      </c>
      <c r="M145" s="2">
        <f ca="1">IF(OR(J145="",AND(L145="",TODAY()&lt;J145),AND(L145&lt;&gt;"",L145&lt;J145)),0,
   IF(L145="",
      NETWORKDAYS(J145,TODAY(),[1]fESTIVOS!$A$2:$A$53),
      NETWORKDAYS(J145,L145,[1]fESTIVOS!$A$2:$A$53)
   )
)</f>
        <v>3</v>
      </c>
      <c r="N145" s="10"/>
      <c r="O145" s="10"/>
      <c r="P145" s="9"/>
      <c r="Q145" s="8" t="s">
        <v>198</v>
      </c>
      <c r="R145" s="7" t="s">
        <v>0</v>
      </c>
      <c r="S145" s="6"/>
    </row>
    <row r="146" spans="1:19" ht="29.25" customHeight="1">
      <c r="A146" s="34" t="s">
        <v>7</v>
      </c>
      <c r="B146" s="30" t="s">
        <v>197</v>
      </c>
      <c r="C146" s="19" t="s">
        <v>194</v>
      </c>
      <c r="D146" s="18" t="s">
        <v>193</v>
      </c>
      <c r="E146" s="17" t="s">
        <v>21</v>
      </c>
      <c r="F146" s="46" t="s">
        <v>2</v>
      </c>
      <c r="G146" s="15">
        <v>100</v>
      </c>
      <c r="H146" s="3">
        <f>IF(OR(J146="",K146="",K146&lt;J146),0,NETWORKDAYS(J146,K146,[1]fESTIVOS!$A$2:$A$53))</f>
        <v>1</v>
      </c>
      <c r="I146" s="27">
        <v>46086</v>
      </c>
      <c r="J146" s="26">
        <v>46086</v>
      </c>
      <c r="K146" s="26">
        <v>46086</v>
      </c>
      <c r="L146" s="26">
        <v>46086</v>
      </c>
      <c r="M146" s="2">
        <f ca="1">IF(OR(J146="",AND(L146="",TODAY()&lt;J146),AND(L146&lt;&gt;"",L146&lt;J146)),0,
   IF(L146="",
      NETWORKDAYS(J146,TODAY(),[1]fESTIVOS!$A$2:$A$53),
      NETWORKDAYS(J146,L146,[1]fESTIVOS!$A$2:$A$53)
   )
)</f>
        <v>1</v>
      </c>
      <c r="N146" s="10"/>
      <c r="O146" s="10"/>
      <c r="P146" s="9"/>
      <c r="Q146" s="8" t="s">
        <v>196</v>
      </c>
      <c r="R146" s="7" t="s">
        <v>0</v>
      </c>
      <c r="S146" s="6"/>
    </row>
    <row r="147" spans="1:19" ht="29.25" customHeight="1">
      <c r="A147" s="34" t="s">
        <v>7</v>
      </c>
      <c r="B147" s="30" t="s">
        <v>195</v>
      </c>
      <c r="C147" s="19" t="s">
        <v>194</v>
      </c>
      <c r="D147" s="18" t="s">
        <v>193</v>
      </c>
      <c r="E147" s="17" t="s">
        <v>21</v>
      </c>
      <c r="F147" s="46" t="s">
        <v>2</v>
      </c>
      <c r="G147" s="15">
        <v>100</v>
      </c>
      <c r="H147" s="3">
        <f>IF(OR(J147="",K147="",K147&lt;J147),0,NETWORKDAYS(J147,K147,[1]fESTIVOS!$A$2:$A$53))</f>
        <v>1</v>
      </c>
      <c r="I147" s="27">
        <v>46087</v>
      </c>
      <c r="J147" s="26">
        <v>46087</v>
      </c>
      <c r="K147" s="26">
        <v>46087</v>
      </c>
      <c r="L147" s="26">
        <v>46087</v>
      </c>
      <c r="M147" s="2">
        <f ca="1">IF(OR(J147="",AND(L147="",TODAY()&lt;J147),AND(L147&lt;&gt;"",L147&lt;J147)),0,
   IF(L147="",
      NETWORKDAYS(J147,TODAY(),[1]fESTIVOS!$A$2:$A$53),
      NETWORKDAYS(J147,L147,[1]fESTIVOS!$A$2:$A$53)
   )
)</f>
        <v>1</v>
      </c>
      <c r="N147" s="10"/>
      <c r="O147" s="10"/>
      <c r="P147" s="9"/>
      <c r="Q147" s="8" t="s">
        <v>192</v>
      </c>
      <c r="R147" s="7" t="s">
        <v>0</v>
      </c>
      <c r="S147" s="6"/>
    </row>
    <row r="148" spans="1:19" ht="29.25" customHeight="1">
      <c r="A148" s="34" t="s">
        <v>7</v>
      </c>
      <c r="B148" s="17" t="s">
        <v>191</v>
      </c>
      <c r="C148" s="19" t="s">
        <v>190</v>
      </c>
      <c r="D148" s="48" t="s">
        <v>189</v>
      </c>
      <c r="E148" s="17" t="s">
        <v>12</v>
      </c>
      <c r="F148" s="16" t="s">
        <v>2</v>
      </c>
      <c r="G148" s="15">
        <v>100</v>
      </c>
      <c r="H148" s="14" t="e">
        <f>IF(OR(#REF!="",K148="",K148&lt;#REF!),0,NETWORKDAYS(#REF!,K148,[1]fESTIVOS!$A$2:$A$53))</f>
        <v>#REF!</v>
      </c>
      <c r="I148" s="13">
        <v>46090</v>
      </c>
      <c r="J148" s="12">
        <v>46091</v>
      </c>
      <c r="K148" s="12">
        <v>46091</v>
      </c>
      <c r="L148" s="12">
        <v>46091</v>
      </c>
      <c r="M148" s="11" t="e">
        <f ca="1">IF(OR(#REF!="",AND(L148="",TODAY()&lt;#REF!),AND(L148&lt;&gt;"",L148&lt;#REF!)),0,
   IF(L148="",
      NETWORKDAYS(#REF!,TODAY(),[1]fESTIVOS!$A$2:$A$53),
      NETWORKDAYS(#REF!,L148,[1]fESTIVOS!$A$2:$A$53)
   )
)</f>
        <v>#REF!</v>
      </c>
      <c r="N148" s="10"/>
      <c r="O148" s="10"/>
      <c r="P148" s="9"/>
      <c r="Q148" s="47" t="s">
        <v>188</v>
      </c>
      <c r="R148" s="7" t="s">
        <v>0</v>
      </c>
      <c r="S148" s="6"/>
    </row>
    <row r="149" spans="1:19" ht="29.25" customHeight="1">
      <c r="A149" s="34" t="s">
        <v>7</v>
      </c>
      <c r="B149" s="17" t="s">
        <v>187</v>
      </c>
      <c r="C149" s="19" t="s">
        <v>186</v>
      </c>
      <c r="D149" s="48" t="s">
        <v>185</v>
      </c>
      <c r="E149" s="17" t="s">
        <v>12</v>
      </c>
      <c r="F149" s="16" t="s">
        <v>2</v>
      </c>
      <c r="G149" s="15">
        <v>100</v>
      </c>
      <c r="H149" s="14" t="e">
        <f>IF(OR(#REF!="",K149="",K149&lt;#REF!),0,NETWORKDAYS(#REF!,K149,[1]fESTIVOS!$A$2:$A$53))</f>
        <v>#REF!</v>
      </c>
      <c r="I149" s="13">
        <v>46092</v>
      </c>
      <c r="J149" s="12">
        <v>46092</v>
      </c>
      <c r="K149" s="12">
        <v>46092</v>
      </c>
      <c r="L149" s="12">
        <v>46092</v>
      </c>
      <c r="M149" s="11" t="e">
        <f ca="1">IF(OR(#REF!="",AND(L149="",TODAY()&lt;#REF!),AND(L149&lt;&gt;"",L149&lt;#REF!)),0,
   IF(L149="",
      NETWORKDAYS(#REF!,TODAY(),[1]fESTIVOS!$A$2:$A$53),
      NETWORKDAYS(#REF!,L149,[1]fESTIVOS!$A$2:$A$53)
   )
)</f>
        <v>#REF!</v>
      </c>
      <c r="N149" s="10"/>
      <c r="O149" s="10"/>
      <c r="P149" s="9"/>
      <c r="Q149" s="47" t="s">
        <v>184</v>
      </c>
      <c r="R149" s="7" t="s">
        <v>0</v>
      </c>
      <c r="S149" s="6"/>
    </row>
    <row r="150" spans="1:19" ht="29.25" customHeight="1">
      <c r="A150" s="34" t="s">
        <v>7</v>
      </c>
      <c r="B150" s="17" t="s">
        <v>183</v>
      </c>
      <c r="C150" s="19" t="s">
        <v>182</v>
      </c>
      <c r="D150" s="48" t="s">
        <v>181</v>
      </c>
      <c r="E150" s="17" t="s">
        <v>12</v>
      </c>
      <c r="F150" s="16" t="s">
        <v>2</v>
      </c>
      <c r="G150" s="15">
        <v>100</v>
      </c>
      <c r="H150" s="14" t="e">
        <f>IF(OR(#REF!="",K150="",K150&lt;#REF!),0,NETWORKDAYS(#REF!,K150,[1]fESTIVOS!$A$2:$A$53))</f>
        <v>#REF!</v>
      </c>
      <c r="I150" s="13">
        <v>46093</v>
      </c>
      <c r="J150" s="12">
        <v>46093</v>
      </c>
      <c r="K150" s="12">
        <v>46093</v>
      </c>
      <c r="L150" s="12">
        <v>46093</v>
      </c>
      <c r="M150" s="11" t="e">
        <f ca="1">IF(OR(#REF!="",AND(L150="",TODAY()&lt;#REF!),AND(L150&lt;&gt;"",L150&lt;#REF!)),0,
   IF(L150="",
      NETWORKDAYS(#REF!,TODAY(),[1]fESTIVOS!$A$2:$A$53),
      NETWORKDAYS(#REF!,L150,[1]fESTIVOS!$A$2:$A$53)
   )
)</f>
        <v>#REF!</v>
      </c>
      <c r="N150" s="10"/>
      <c r="O150" s="10"/>
      <c r="P150" s="9"/>
      <c r="Q150" s="47" t="s">
        <v>180</v>
      </c>
      <c r="R150" s="7" t="s">
        <v>0</v>
      </c>
      <c r="S150" s="6"/>
    </row>
    <row r="151" spans="1:19" ht="29.25" customHeight="1">
      <c r="A151" s="34" t="s">
        <v>7</v>
      </c>
      <c r="B151" s="30" t="s">
        <v>179</v>
      </c>
      <c r="C151" s="19" t="s">
        <v>178</v>
      </c>
      <c r="D151" s="18" t="s">
        <v>177</v>
      </c>
      <c r="E151" s="17" t="s">
        <v>21</v>
      </c>
      <c r="F151" s="46" t="s">
        <v>2</v>
      </c>
      <c r="G151" s="15">
        <v>100</v>
      </c>
      <c r="H151" s="3">
        <f>IF(OR(J151="",K151="",K151&lt;J151),0,NETWORKDAYS(J151,K151,[1]fESTIVOS!$A$2:$A$53))</f>
        <v>1</v>
      </c>
      <c r="I151" s="27">
        <v>46093</v>
      </c>
      <c r="J151" s="26">
        <v>46093</v>
      </c>
      <c r="K151" s="26">
        <v>46093</v>
      </c>
      <c r="L151" s="26">
        <v>46093</v>
      </c>
      <c r="M151" s="2">
        <f ca="1">IF(OR(J151="",AND(L151="",TODAY()&lt;J151),AND(L151&lt;&gt;"",L151&lt;J151)),0,
   IF(L151="",
      NETWORKDAYS(J151,TODAY(),[1]fESTIVOS!$A$2:$A$53),
      NETWORKDAYS(J151,L151,[1]fESTIVOS!$A$2:$A$53)
   )
)</f>
        <v>1</v>
      </c>
      <c r="N151" s="10"/>
      <c r="O151" s="10"/>
      <c r="P151" s="9"/>
      <c r="Q151" s="8" t="s">
        <v>176</v>
      </c>
      <c r="R151" s="7" t="s">
        <v>0</v>
      </c>
      <c r="S151" s="6"/>
    </row>
    <row r="152" spans="1:19" ht="29.25" customHeight="1">
      <c r="A152" s="34" t="s">
        <v>7</v>
      </c>
      <c r="B152" s="30" t="s">
        <v>175</v>
      </c>
      <c r="C152" s="19" t="s">
        <v>174</v>
      </c>
      <c r="D152" s="18" t="s">
        <v>173</v>
      </c>
      <c r="E152" s="17" t="s">
        <v>21</v>
      </c>
      <c r="F152" s="46" t="s">
        <v>2</v>
      </c>
      <c r="G152" s="15">
        <v>100</v>
      </c>
      <c r="H152" s="3">
        <f>IF(OR(J152="",K152="",K152&lt;J152),0,NETWORKDAYS(J152,K152,[1]fESTIVOS!$A$2:$A$53))</f>
        <v>1</v>
      </c>
      <c r="I152" s="27">
        <v>46094</v>
      </c>
      <c r="J152" s="26">
        <v>46094</v>
      </c>
      <c r="K152" s="26">
        <v>46094</v>
      </c>
      <c r="L152" s="26">
        <v>46094</v>
      </c>
      <c r="M152" s="2">
        <f ca="1">IF(OR(J152="",AND(L152="",TODAY()&lt;J152),AND(L152&lt;&gt;"",L152&lt;J152)),0,
   IF(L152="",
      NETWORKDAYS(J152,TODAY(),[1]fESTIVOS!$A$2:$A$53),
      NETWORKDAYS(J152,L152,[1]fESTIVOS!$A$2:$A$53)
   )
)</f>
        <v>1</v>
      </c>
      <c r="N152" s="10"/>
      <c r="O152" s="10"/>
      <c r="P152" s="9"/>
      <c r="Q152" s="8" t="s">
        <v>172</v>
      </c>
      <c r="R152" s="7" t="s">
        <v>0</v>
      </c>
      <c r="S152" s="6"/>
    </row>
    <row r="153" spans="1:19" ht="29.25" customHeight="1">
      <c r="A153" s="34" t="s">
        <v>7</v>
      </c>
      <c r="B153" s="17" t="s">
        <v>171</v>
      </c>
      <c r="C153" s="19" t="s">
        <v>170</v>
      </c>
      <c r="D153" s="18" t="s">
        <v>169</v>
      </c>
      <c r="E153" s="17" t="s">
        <v>3</v>
      </c>
      <c r="F153" s="46" t="s">
        <v>2</v>
      </c>
      <c r="G153" s="15">
        <v>100</v>
      </c>
      <c r="H153" s="3">
        <f>IF(OR(J153="",K153="",K153&lt;J153),0,NETWORKDAYS(J153,K153,[1]fESTIVOS!$A$2:$A$53))</f>
        <v>1</v>
      </c>
      <c r="I153" s="13">
        <v>46093</v>
      </c>
      <c r="J153" s="12">
        <v>46093</v>
      </c>
      <c r="K153" s="12">
        <v>46093</v>
      </c>
      <c r="L153" s="12">
        <v>46093</v>
      </c>
      <c r="M153" s="2">
        <f ca="1">IF(OR(J153="",AND(L153="",TODAY()&lt;J153),AND(L153&lt;&gt;"",L153&lt;J153)),0,
   IF(L153="",
      NETWORKDAYS(J153,TODAY(),[1]fESTIVOS!$A$2:$A$53),
      NETWORKDAYS(J153,L153,[1]fESTIVOS!$A$2:$A$53)
   )
)</f>
        <v>1</v>
      </c>
      <c r="N153" s="10"/>
      <c r="O153" s="10"/>
      <c r="P153" s="9"/>
      <c r="Q153" s="8" t="s">
        <v>168</v>
      </c>
      <c r="R153" s="7" t="s">
        <v>0</v>
      </c>
      <c r="S153" s="6"/>
    </row>
    <row r="154" spans="1:19" ht="29.25" customHeight="1">
      <c r="A154" s="34" t="s">
        <v>7</v>
      </c>
      <c r="B154" s="17" t="s">
        <v>167</v>
      </c>
      <c r="C154" s="19" t="s">
        <v>166</v>
      </c>
      <c r="D154" s="18" t="s">
        <v>165</v>
      </c>
      <c r="E154" s="17" t="s">
        <v>12</v>
      </c>
      <c r="F154" s="46" t="s">
        <v>2</v>
      </c>
      <c r="G154" s="15">
        <v>100</v>
      </c>
      <c r="H154" s="3">
        <f>IF(OR(J154="",K154="",K154&lt;J154),0,NETWORKDAYS(J154,K154,[1]fESTIVOS!$A$2:$A$53))</f>
        <v>1</v>
      </c>
      <c r="I154" s="13">
        <v>46093</v>
      </c>
      <c r="J154" s="12">
        <v>46093</v>
      </c>
      <c r="K154" s="12">
        <v>46093</v>
      </c>
      <c r="L154" s="12">
        <v>46093</v>
      </c>
      <c r="M154" s="2">
        <f ca="1">IF(OR(J154="",AND(L154="",TODAY()&lt;J154),AND(L154&lt;&gt;"",L154&lt;J154)),0,
   IF(L154="",
      NETWORKDAYS(J154,TODAY(),[1]fESTIVOS!$A$2:$A$53),
      NETWORKDAYS(J154,L154,[1]fESTIVOS!$A$2:$A$53)
   )
)</f>
        <v>1</v>
      </c>
      <c r="N154" s="10"/>
      <c r="O154" s="10"/>
      <c r="P154" s="9"/>
      <c r="Q154" s="8" t="s">
        <v>164</v>
      </c>
      <c r="R154" s="7" t="s">
        <v>0</v>
      </c>
      <c r="S154" s="6"/>
    </row>
    <row r="155" spans="1:19" ht="29.25" customHeight="1">
      <c r="A155" s="34" t="s">
        <v>7</v>
      </c>
      <c r="B155" s="17" t="s">
        <v>163</v>
      </c>
      <c r="C155" s="19" t="s">
        <v>156</v>
      </c>
      <c r="D155" s="18" t="s">
        <v>162</v>
      </c>
      <c r="E155" s="17" t="s">
        <v>12</v>
      </c>
      <c r="F155" s="16" t="s">
        <v>2</v>
      </c>
      <c r="G155" s="15">
        <v>100</v>
      </c>
      <c r="H155" s="14">
        <f>IF(OR(J155="",K155="",K155&lt;J155),0,NETWORKDAYS(J155,K155,[1]fESTIVOS!$A$2:$A$53))</f>
        <v>1</v>
      </c>
      <c r="I155" s="13">
        <v>46097</v>
      </c>
      <c r="J155" s="12">
        <v>46097</v>
      </c>
      <c r="K155" s="12">
        <v>46097</v>
      </c>
      <c r="L155" s="12">
        <v>46097</v>
      </c>
      <c r="M155" s="11">
        <f ca="1">IF(OR(J155="",AND(L155="",TODAY()&lt;J155),AND(L155&lt;&gt;"",L155&lt;J155)),0,
   IF(L155="",
      NETWORKDAYS(J155,TODAY(),[1]fESTIVOS!$A$2:$A$53),
      NETWORKDAYS(J155,L155,[1]fESTIVOS!$A$2:$A$53)
   )
)</f>
        <v>1</v>
      </c>
      <c r="N155" s="10"/>
      <c r="O155" s="10"/>
      <c r="P155" s="9"/>
      <c r="Q155" s="8" t="s">
        <v>161</v>
      </c>
      <c r="R155" s="7" t="s">
        <v>0</v>
      </c>
      <c r="S155" s="6"/>
    </row>
    <row r="156" spans="1:19" ht="29.25" customHeight="1">
      <c r="A156" s="34" t="s">
        <v>7</v>
      </c>
      <c r="B156" s="17" t="s">
        <v>160</v>
      </c>
      <c r="C156" s="19" t="s">
        <v>159</v>
      </c>
      <c r="D156" s="19" t="s">
        <v>159</v>
      </c>
      <c r="E156" s="17" t="s">
        <v>12</v>
      </c>
      <c r="F156" s="16" t="s">
        <v>2</v>
      </c>
      <c r="G156" s="15">
        <v>100</v>
      </c>
      <c r="H156" s="14">
        <f>IF(OR(J156="",K156="",K156&lt;J156),0,NETWORKDAYS(J156,K156,[1]fESTIVOS!$A$2:$A$53))</f>
        <v>11</v>
      </c>
      <c r="I156" s="13">
        <v>46098</v>
      </c>
      <c r="J156" s="12">
        <v>46098</v>
      </c>
      <c r="K156" s="12">
        <v>46113</v>
      </c>
      <c r="L156" s="12">
        <v>46113</v>
      </c>
      <c r="M156" s="11">
        <f ca="1">IF(OR(J156="",AND(L156="",TODAY()&lt;J156),AND(L156&lt;&gt;"",L156&lt;J156)),0,
   IF(L156="",
      NETWORKDAYS(J156,TODAY(),[1]fESTIVOS!$A$2:$A$53),
      NETWORKDAYS(J156,L156,[1]fESTIVOS!$A$2:$A$53)
   )
)</f>
        <v>11</v>
      </c>
      <c r="N156" s="10"/>
      <c r="O156" s="10"/>
      <c r="P156" s="9"/>
      <c r="Q156" s="8" t="s">
        <v>158</v>
      </c>
      <c r="R156" s="7" t="s">
        <v>0</v>
      </c>
      <c r="S156" s="6"/>
    </row>
    <row r="157" spans="1:19" ht="29.25" customHeight="1">
      <c r="A157" s="34" t="s">
        <v>7</v>
      </c>
      <c r="B157" s="30" t="s">
        <v>157</v>
      </c>
      <c r="C157" s="19" t="s">
        <v>156</v>
      </c>
      <c r="D157" s="18" t="s">
        <v>155</v>
      </c>
      <c r="E157" s="17" t="s">
        <v>21</v>
      </c>
      <c r="F157" s="46" t="s">
        <v>2</v>
      </c>
      <c r="G157" s="15">
        <v>100</v>
      </c>
      <c r="H157" s="3">
        <f>IF(OR(J157="",K157="",K157&lt;J157),0,NETWORKDAYS(J157,K157,[1]fESTIVOS!$A$2:$A$53))</f>
        <v>3</v>
      </c>
      <c r="I157" s="27">
        <v>46098</v>
      </c>
      <c r="J157" s="26">
        <v>46098</v>
      </c>
      <c r="K157" s="26">
        <v>46100</v>
      </c>
      <c r="L157" s="26">
        <v>46100</v>
      </c>
      <c r="M157" s="2">
        <f ca="1">IF(OR(J157="",AND(L157="",TODAY()&lt;J157),AND(L157&lt;&gt;"",L157&lt;J157)),0,
   IF(L157="",
      NETWORKDAYS(J157,TODAY(),[1]fESTIVOS!$A$2:$A$53),
      NETWORKDAYS(J157,L157,[1]fESTIVOS!$A$2:$A$53)
   )
)</f>
        <v>3</v>
      </c>
      <c r="N157" s="10"/>
      <c r="O157" s="10"/>
      <c r="P157" s="9"/>
      <c r="Q157" s="8" t="s">
        <v>154</v>
      </c>
      <c r="R157" s="7" t="s">
        <v>0</v>
      </c>
      <c r="S157" s="6"/>
    </row>
    <row r="158" spans="1:19" ht="29.25" customHeight="1">
      <c r="A158" s="34" t="s">
        <v>7</v>
      </c>
      <c r="B158" s="17" t="s">
        <v>153</v>
      </c>
      <c r="C158" s="19" t="s">
        <v>150</v>
      </c>
      <c r="D158" s="19" t="s">
        <v>149</v>
      </c>
      <c r="E158" s="17" t="s">
        <v>12</v>
      </c>
      <c r="F158" s="16" t="s">
        <v>2</v>
      </c>
      <c r="G158" s="15">
        <v>100</v>
      </c>
      <c r="H158" s="14">
        <f>IF(OR(J158="",K158="",K158&lt;J158),0,NETWORKDAYS(J158,K158,[1]fESTIVOS!$A$2:$A$53))</f>
        <v>4</v>
      </c>
      <c r="I158" s="13">
        <v>46098</v>
      </c>
      <c r="J158" s="12">
        <v>46098</v>
      </c>
      <c r="K158" s="12">
        <v>46101</v>
      </c>
      <c r="L158" s="12">
        <v>46101</v>
      </c>
      <c r="M158" s="11">
        <f ca="1">IF(OR(J158="",AND(L158="",TODAY()&lt;J158),AND(L158&lt;&gt;"",L158&lt;J158)),0,
   IF(L158="",
      NETWORKDAYS(J158,TODAY(),[1]fESTIVOS!$A$2:$A$53),
      NETWORKDAYS(J158,L158,[1]fESTIVOS!$A$2:$A$53)
   )
)</f>
        <v>4</v>
      </c>
      <c r="N158" s="10"/>
      <c r="O158" s="10"/>
      <c r="P158" s="9"/>
      <c r="Q158" s="8" t="s">
        <v>152</v>
      </c>
      <c r="R158" s="7" t="s">
        <v>0</v>
      </c>
      <c r="S158" s="6"/>
    </row>
    <row r="159" spans="1:19" ht="29.25" customHeight="1">
      <c r="A159" s="34" t="s">
        <v>7</v>
      </c>
      <c r="B159" s="30" t="s">
        <v>151</v>
      </c>
      <c r="C159" s="19" t="s">
        <v>150</v>
      </c>
      <c r="D159" s="19" t="s">
        <v>149</v>
      </c>
      <c r="E159" s="17" t="s">
        <v>21</v>
      </c>
      <c r="F159" s="46" t="s">
        <v>2</v>
      </c>
      <c r="G159" s="15">
        <v>100</v>
      </c>
      <c r="H159" s="3">
        <f>IF(OR(J159="",K159="",K159&lt;J159),0,NETWORKDAYS(J159,K159,[1]fESTIVOS!$A$2:$A$53))</f>
        <v>4</v>
      </c>
      <c r="I159" s="13">
        <v>46098</v>
      </c>
      <c r="J159" s="12">
        <v>46098</v>
      </c>
      <c r="K159" s="12">
        <v>46101</v>
      </c>
      <c r="L159" s="12">
        <v>46101</v>
      </c>
      <c r="M159" s="2">
        <f ca="1">IF(OR(J159="",AND(L159="",TODAY()&lt;J159),AND(L159&lt;&gt;"",L159&lt;J159)),0,
   IF(L159="",
      NETWORKDAYS(J159,TODAY(),[1]fESTIVOS!$A$2:$A$53),
      NETWORKDAYS(J159,L159,[1]fESTIVOS!$A$2:$A$53)
   )
)</f>
        <v>4</v>
      </c>
      <c r="N159" s="10"/>
      <c r="O159" s="10"/>
      <c r="P159" s="9"/>
      <c r="Q159" s="8" t="s">
        <v>148</v>
      </c>
      <c r="R159" s="7" t="s">
        <v>0</v>
      </c>
      <c r="S159" s="6"/>
    </row>
    <row r="160" spans="1:19" ht="29.25" customHeight="1">
      <c r="A160" s="34" t="s">
        <v>7</v>
      </c>
      <c r="B160" s="17" t="s">
        <v>147</v>
      </c>
      <c r="C160" s="19" t="s">
        <v>146</v>
      </c>
      <c r="D160" s="18" t="s">
        <v>145</v>
      </c>
      <c r="E160" s="17" t="s">
        <v>3</v>
      </c>
      <c r="F160" s="46" t="s">
        <v>2</v>
      </c>
      <c r="G160" s="15">
        <v>100</v>
      </c>
      <c r="H160" s="3">
        <f>IF(OR(J160="",K160="",K160&lt;J160),0,NETWORKDAYS(J160,K160,[1]fESTIVOS!$A$2:$A$53))</f>
        <v>2</v>
      </c>
      <c r="I160" s="13">
        <v>46100</v>
      </c>
      <c r="J160" s="12">
        <v>46100</v>
      </c>
      <c r="K160" s="12">
        <v>46101</v>
      </c>
      <c r="L160" s="12">
        <v>46101</v>
      </c>
      <c r="M160" s="2">
        <f ca="1">IF(OR(J160="",AND(L160="",TODAY()&lt;J160),AND(L160&lt;&gt;"",L160&lt;J160)),0,
   IF(L160="",
      NETWORKDAYS(J160,TODAY(),[1]fESTIVOS!$A$2:$A$53),
      NETWORKDAYS(J160,L160,[1]fESTIVOS!$A$2:$A$53)
   )
)</f>
        <v>2</v>
      </c>
      <c r="N160" s="10"/>
      <c r="O160" s="10"/>
      <c r="P160" s="9"/>
      <c r="Q160" s="8" t="s">
        <v>144</v>
      </c>
      <c r="R160" s="7" t="s">
        <v>0</v>
      </c>
      <c r="S160" s="6"/>
    </row>
    <row r="161" spans="1:19" ht="29.25" customHeight="1">
      <c r="A161" s="34" t="s">
        <v>7</v>
      </c>
      <c r="B161" s="17" t="s">
        <v>143</v>
      </c>
      <c r="C161" s="19" t="s">
        <v>142</v>
      </c>
      <c r="D161" s="19" t="s">
        <v>141</v>
      </c>
      <c r="E161" s="17" t="s">
        <v>12</v>
      </c>
      <c r="F161" s="16" t="s">
        <v>2</v>
      </c>
      <c r="G161" s="15">
        <v>100</v>
      </c>
      <c r="H161" s="14">
        <f>IF(OR(J161="",K161="",K161&lt;J161),0,NETWORKDAYS(J161,K161,[1]fESTIVOS!$A$2:$A$53))</f>
        <v>9</v>
      </c>
      <c r="I161" s="13">
        <v>46099</v>
      </c>
      <c r="J161" s="12">
        <v>46099</v>
      </c>
      <c r="K161" s="12">
        <v>46112</v>
      </c>
      <c r="L161" s="12">
        <v>46112</v>
      </c>
      <c r="M161" s="11">
        <f ca="1">IF(OR(J161="",AND(L161="",TODAY()&lt;J161),AND(L161&lt;&gt;"",L161&lt;J161)),0,
   IF(L161="",
      NETWORKDAYS(J161,TODAY(),[1]fESTIVOS!$A$2:$A$53),
      NETWORKDAYS(J161,L161,[1]fESTIVOS!$A$2:$A$53)
   )
)</f>
        <v>9</v>
      </c>
      <c r="N161" s="10"/>
      <c r="O161" s="10"/>
      <c r="P161" s="9"/>
      <c r="Q161" s="8" t="s">
        <v>140</v>
      </c>
      <c r="R161" s="7" t="s">
        <v>0</v>
      </c>
      <c r="S161" s="6"/>
    </row>
    <row r="162" spans="1:19" ht="29.25" customHeight="1">
      <c r="A162" s="34" t="s">
        <v>7</v>
      </c>
      <c r="B162" s="17" t="s">
        <v>139</v>
      </c>
      <c r="C162" s="19" t="s">
        <v>138</v>
      </c>
      <c r="D162" s="19"/>
      <c r="E162" s="17" t="s">
        <v>12</v>
      </c>
      <c r="F162" s="16" t="s">
        <v>2</v>
      </c>
      <c r="G162" s="15">
        <v>100</v>
      </c>
      <c r="H162" s="14">
        <f>IF(OR(J162="",K162="",K162&lt;J162),0,NETWORKDAYS(J162,K162,[1]fESTIVOS!$A$2:$A$53))</f>
        <v>7</v>
      </c>
      <c r="I162" s="13">
        <v>46102</v>
      </c>
      <c r="J162" s="12">
        <v>46102</v>
      </c>
      <c r="K162" s="12">
        <v>46113</v>
      </c>
      <c r="L162" s="12">
        <v>46113</v>
      </c>
      <c r="M162" s="11">
        <f ca="1">IF(OR(J162="",AND(L162="",TODAY()&lt;J162),AND(L162&lt;&gt;"",L162&lt;J162)),0,
   IF(L162="",
      NETWORKDAYS(J162,TODAY(),[1]fESTIVOS!$A$2:$A$53),
      NETWORKDAYS(J162,L162,[1]fESTIVOS!$A$2:$A$53)
   )
)</f>
        <v>7</v>
      </c>
      <c r="N162" s="10"/>
      <c r="O162" s="10"/>
      <c r="P162" s="9"/>
      <c r="Q162" s="8" t="s">
        <v>137</v>
      </c>
      <c r="R162" s="7" t="s">
        <v>0</v>
      </c>
      <c r="S162" s="6"/>
    </row>
    <row r="163" spans="1:19" ht="29.25" customHeight="1">
      <c r="A163" s="34" t="s">
        <v>7</v>
      </c>
      <c r="B163" s="17" t="s">
        <v>136</v>
      </c>
      <c r="C163" s="19" t="s">
        <v>93</v>
      </c>
      <c r="D163" s="19"/>
      <c r="E163" s="17" t="s">
        <v>12</v>
      </c>
      <c r="F163" s="16" t="s">
        <v>2</v>
      </c>
      <c r="G163" s="15">
        <v>100</v>
      </c>
      <c r="H163" s="14">
        <f>IF(OR(J163="",K163="",K163&lt;J163),0,NETWORKDAYS(J163,K163,[1]fESTIVOS!$A$2:$A$53))</f>
        <v>7</v>
      </c>
      <c r="I163" s="13">
        <v>46102</v>
      </c>
      <c r="J163" s="12">
        <v>46102</v>
      </c>
      <c r="K163" s="12">
        <v>46113</v>
      </c>
      <c r="L163" s="12">
        <v>46113</v>
      </c>
      <c r="M163" s="11">
        <f ca="1">IF(OR(J163="",AND(L163="",TODAY()&lt;J163),AND(L163&lt;&gt;"",L163&lt;J163)),0,
   IF(L163="",
      NETWORKDAYS(J163,TODAY(),[1]fESTIVOS!$A$2:$A$53),
      NETWORKDAYS(J163,L163,[1]fESTIVOS!$A$2:$A$53)
   )
)</f>
        <v>7</v>
      </c>
      <c r="N163" s="10"/>
      <c r="O163" s="10"/>
      <c r="P163" s="9"/>
      <c r="Q163" s="8" t="s">
        <v>135</v>
      </c>
      <c r="R163" s="7" t="s">
        <v>0</v>
      </c>
      <c r="S163" s="6"/>
    </row>
    <row r="164" spans="1:19" ht="29.25" customHeight="1">
      <c r="A164" s="34" t="s">
        <v>7</v>
      </c>
      <c r="B164" s="30" t="s">
        <v>134</v>
      </c>
      <c r="C164" s="19" t="s">
        <v>133</v>
      </c>
      <c r="D164" s="19" t="s">
        <v>129</v>
      </c>
      <c r="E164" s="17" t="s">
        <v>21</v>
      </c>
      <c r="F164" s="16" t="s">
        <v>2</v>
      </c>
      <c r="G164" s="15">
        <v>100</v>
      </c>
      <c r="H164" s="14">
        <f>IF(OR(J164="",K164="",K164&lt;J164),0,NETWORKDAYS(J164,K164,[1]fESTIVOS!$A$2:$A$53))</f>
        <v>4</v>
      </c>
      <c r="I164" s="13">
        <v>46104</v>
      </c>
      <c r="J164" s="12">
        <v>46104</v>
      </c>
      <c r="K164" s="12">
        <v>46109</v>
      </c>
      <c r="L164" s="12">
        <v>46109</v>
      </c>
      <c r="M164" s="11">
        <f ca="1">IF(OR(J164="",AND(L164="",TODAY()&lt;J164),AND(L164&lt;&gt;"",L164&lt;J164)),0,
   IF(L164="",
      NETWORKDAYS(J164,TODAY(),[1]fESTIVOS!$A$2:$A$53),
      NETWORKDAYS(J164,L164,[1]fESTIVOS!$A$2:$A$53)
   )
)</f>
        <v>4</v>
      </c>
      <c r="N164" s="10"/>
      <c r="O164" s="10"/>
      <c r="P164" s="9"/>
      <c r="Q164" s="8" t="s">
        <v>132</v>
      </c>
      <c r="R164" s="7" t="s">
        <v>0</v>
      </c>
      <c r="S164" s="6"/>
    </row>
    <row r="165" spans="1:19" ht="29.25" customHeight="1">
      <c r="A165" s="34" t="s">
        <v>7</v>
      </c>
      <c r="B165" s="30" t="s">
        <v>131</v>
      </c>
      <c r="C165" s="19" t="s">
        <v>130</v>
      </c>
      <c r="D165" s="19" t="s">
        <v>129</v>
      </c>
      <c r="E165" s="17" t="s">
        <v>21</v>
      </c>
      <c r="F165" s="16" t="s">
        <v>2</v>
      </c>
      <c r="G165" s="15">
        <v>100</v>
      </c>
      <c r="H165" s="14">
        <f>IF(OR(J165="",K165="",K165&lt;J165),0,NETWORKDAYS(J165,K165,[1]fESTIVOS!$A$2:$A$53))</f>
        <v>8</v>
      </c>
      <c r="I165" s="13">
        <v>46110</v>
      </c>
      <c r="J165" s="12">
        <v>46110</v>
      </c>
      <c r="K165" s="12">
        <v>46122</v>
      </c>
      <c r="L165" s="12">
        <v>46122</v>
      </c>
      <c r="M165" s="11">
        <f ca="1">IF(OR(J165="",AND(L165="",TODAY()&lt;J165),AND(L165&lt;&gt;"",L165&lt;J165)),0,
   IF(L165="",
      NETWORKDAYS(J165,TODAY(),[1]fESTIVOS!$A$2:$A$53),
      NETWORKDAYS(J165,L165,[1]fESTIVOS!$A$2:$A$53)
   )
)</f>
        <v>8</v>
      </c>
      <c r="N165" s="10"/>
      <c r="O165" s="10"/>
      <c r="P165" s="9"/>
      <c r="Q165" s="8" t="s">
        <v>128</v>
      </c>
      <c r="R165" s="7" t="s">
        <v>0</v>
      </c>
      <c r="S165" s="6"/>
    </row>
    <row r="166" spans="1:19" ht="29.25" customHeight="1">
      <c r="A166" s="34" t="s">
        <v>7</v>
      </c>
      <c r="B166" s="17" t="s">
        <v>127</v>
      </c>
      <c r="C166" s="19" t="s">
        <v>126</v>
      </c>
      <c r="D166" s="18" t="s">
        <v>125</v>
      </c>
      <c r="E166" s="17" t="s">
        <v>3</v>
      </c>
      <c r="F166" s="46" t="s">
        <v>30</v>
      </c>
      <c r="G166" s="15">
        <v>30</v>
      </c>
      <c r="H166" s="3">
        <f>IF(OR(J166="",K166="",K166&lt;J166),0,NETWORKDAYS(J166,K166,[1]fESTIVOS!$A$2:$A$53))</f>
        <v>0</v>
      </c>
      <c r="I166" s="13">
        <v>46105</v>
      </c>
      <c r="J166" s="12">
        <v>46105</v>
      </c>
      <c r="K166" s="12"/>
      <c r="L166" s="12"/>
      <c r="M166" s="2">
        <f ca="1">IF(OR(J166="",AND(L166="",TODAY()&lt;J166),AND(L166&lt;&gt;"",L166&lt;J166)),0,
   IF(L166="",
      NETWORKDAYS(J166,TODAY(),[1]fESTIVOS!$A$2:$A$53),
      NETWORKDAYS(J166,L166,[1]fESTIVOS!$A$2:$A$53)
   )
)</f>
        <v>51</v>
      </c>
      <c r="N166" s="10"/>
      <c r="O166" s="10"/>
      <c r="P166" s="9"/>
      <c r="Q166" s="8" t="s">
        <v>124</v>
      </c>
      <c r="R166" s="7" t="s">
        <v>0</v>
      </c>
      <c r="S166" s="6"/>
    </row>
    <row r="167" spans="1:19" ht="29.25" customHeight="1">
      <c r="A167" s="34" t="s">
        <v>7</v>
      </c>
      <c r="B167" s="17" t="s">
        <v>123</v>
      </c>
      <c r="C167" s="19" t="s">
        <v>122</v>
      </c>
      <c r="D167" s="18"/>
      <c r="E167" s="17" t="s">
        <v>3</v>
      </c>
      <c r="F167" s="46" t="s">
        <v>30</v>
      </c>
      <c r="G167" s="15">
        <v>70</v>
      </c>
      <c r="H167" s="3">
        <f>IF(OR(J167="",K167="",K167&lt;J167),0,NETWORKDAYS(J167,K167,[1]fESTIVOS!$A$2:$A$53))</f>
        <v>0</v>
      </c>
      <c r="I167" s="13">
        <v>46113</v>
      </c>
      <c r="J167" s="12">
        <v>46113</v>
      </c>
      <c r="K167" s="12"/>
      <c r="L167" s="12"/>
      <c r="M167" s="2">
        <f ca="1">IF(OR(J167="",AND(L167="",TODAY()&lt;J167),AND(L167&lt;&gt;"",L167&lt;J167)),0,
   IF(L167="",
      NETWORKDAYS(J167,TODAY(),[1]fESTIVOS!$A$2:$A$53),
      NETWORKDAYS(J167,L167,[1]fESTIVOS!$A$2:$A$53)
   )
)</f>
        <v>45</v>
      </c>
      <c r="N167" s="10"/>
      <c r="O167" s="10"/>
      <c r="P167" s="9"/>
      <c r="Q167" s="8" t="s">
        <v>121</v>
      </c>
      <c r="R167" s="7" t="s">
        <v>0</v>
      </c>
      <c r="S167" s="6"/>
    </row>
    <row r="168" spans="1:19" ht="29.25" customHeight="1">
      <c r="A168" s="34" t="s">
        <v>7</v>
      </c>
      <c r="B168" s="17" t="s">
        <v>120</v>
      </c>
      <c r="C168" s="19" t="s">
        <v>119</v>
      </c>
      <c r="D168" s="18" t="s">
        <v>118</v>
      </c>
      <c r="E168" s="17" t="s">
        <v>3</v>
      </c>
      <c r="F168" s="46" t="s">
        <v>2</v>
      </c>
      <c r="G168" s="15">
        <v>100</v>
      </c>
      <c r="H168" s="3">
        <f>IF(OR(J168="",K168="",K168&lt;J168),0,NETWORKDAYS(J168,K168,[1]fESTIVOS!$A$2:$A$53))</f>
        <v>7</v>
      </c>
      <c r="I168" s="13">
        <v>46102</v>
      </c>
      <c r="J168" s="12">
        <v>46102</v>
      </c>
      <c r="K168" s="12">
        <v>46113</v>
      </c>
      <c r="L168" s="12">
        <v>46113</v>
      </c>
      <c r="M168" s="2">
        <f ca="1">IF(OR(J168="",AND(L168="",TODAY()&lt;J168),AND(L168&lt;&gt;"",L168&lt;J168)),0,
   IF(L168="",
      NETWORKDAYS(J168,TODAY(),[1]fESTIVOS!$A$2:$A$53),
      NETWORKDAYS(J168,L168,[1]fESTIVOS!$A$2:$A$53)
   )
)</f>
        <v>7</v>
      </c>
      <c r="N168" s="10"/>
      <c r="O168" s="10"/>
      <c r="P168" s="9"/>
      <c r="Q168" s="8" t="s">
        <v>117</v>
      </c>
      <c r="R168" s="7" t="s">
        <v>0</v>
      </c>
      <c r="S168" s="6"/>
    </row>
    <row r="169" spans="1:19" ht="29.25" customHeight="1">
      <c r="A169" s="34" t="s">
        <v>7</v>
      </c>
      <c r="B169" s="30" t="s">
        <v>116</v>
      </c>
      <c r="C169" s="19" t="s">
        <v>112</v>
      </c>
      <c r="D169" s="19" t="s">
        <v>115</v>
      </c>
      <c r="E169" s="17" t="s">
        <v>21</v>
      </c>
      <c r="F169" s="16" t="s">
        <v>2</v>
      </c>
      <c r="G169" s="15">
        <v>100</v>
      </c>
      <c r="H169" s="14">
        <f>IF(OR(J169="",K169="",K169&lt;J169),0,NETWORKDAYS(J169,K169,[1]fESTIVOS!$A$2:$A$53))</f>
        <v>8</v>
      </c>
      <c r="I169" s="13">
        <v>46118</v>
      </c>
      <c r="J169" s="12">
        <v>46118</v>
      </c>
      <c r="K169" s="12">
        <v>46127</v>
      </c>
      <c r="L169" s="12">
        <v>46127</v>
      </c>
      <c r="M169" s="11">
        <f ca="1">IF(OR(J169="",AND(L169="",TODAY()&lt;J169),AND(L169&lt;&gt;"",L169&lt;J169)),0,
   IF(L169="",
      NETWORKDAYS(J169,TODAY(),[1]fESTIVOS!$A$2:$A$53),
      NETWORKDAYS(J169,L169,[1]fESTIVOS!$A$2:$A$53)
   )
)</f>
        <v>8</v>
      </c>
      <c r="N169" s="10"/>
      <c r="O169" s="10"/>
      <c r="P169" s="9"/>
      <c r="Q169" s="8" t="s">
        <v>114</v>
      </c>
      <c r="R169" s="7" t="s">
        <v>0</v>
      </c>
      <c r="S169" s="6"/>
    </row>
    <row r="170" spans="1:19" ht="29.25" customHeight="1">
      <c r="A170" s="34" t="s">
        <v>7</v>
      </c>
      <c r="B170" s="30" t="s">
        <v>113</v>
      </c>
      <c r="C170" s="19" t="s">
        <v>112</v>
      </c>
      <c r="D170" s="19" t="s">
        <v>111</v>
      </c>
      <c r="E170" s="17" t="s">
        <v>21</v>
      </c>
      <c r="F170" s="16" t="s">
        <v>2</v>
      </c>
      <c r="G170" s="15">
        <v>100</v>
      </c>
      <c r="H170" s="14">
        <f>IF(OR(J170="",K170="",K170&lt;J170),0,NETWORKDAYS(J170,K170,[1]fESTIVOS!$A$2:$A$53))</f>
        <v>19</v>
      </c>
      <c r="I170" s="13">
        <v>46119</v>
      </c>
      <c r="J170" s="12">
        <v>46119</v>
      </c>
      <c r="K170" s="12">
        <v>46146</v>
      </c>
      <c r="L170" s="12">
        <v>46146</v>
      </c>
      <c r="M170" s="11">
        <f ca="1">IF(OR(J170="",AND(L170="",TODAY()&lt;J170),AND(L170&lt;&gt;"",L170&lt;J170)),0,
   IF(L170="",
      NETWORKDAYS(J170,TODAY(),[1]fESTIVOS!$A$2:$A$53),
      NETWORKDAYS(J170,L170,[1]fESTIVOS!$A$2:$A$53)
   )
)</f>
        <v>19</v>
      </c>
      <c r="N170" s="10"/>
      <c r="O170" s="10"/>
      <c r="P170" s="9"/>
      <c r="Q170" s="8" t="s">
        <v>110</v>
      </c>
      <c r="R170" s="7" t="s">
        <v>0</v>
      </c>
      <c r="S170" s="6"/>
    </row>
    <row r="171" spans="1:19" ht="29.25" customHeight="1">
      <c r="A171" s="34" t="s">
        <v>7</v>
      </c>
      <c r="B171" s="30" t="s">
        <v>109</v>
      </c>
      <c r="C171" s="19" t="s">
        <v>108</v>
      </c>
      <c r="D171" s="19" t="s">
        <v>107</v>
      </c>
      <c r="E171" s="17" t="s">
        <v>21</v>
      </c>
      <c r="F171" s="16" t="s">
        <v>2</v>
      </c>
      <c r="G171" s="15">
        <v>100</v>
      </c>
      <c r="H171" s="14">
        <f>IF(OR(J171="",K171="",K171&lt;J171),0,NETWORKDAYS(J171,K171,[1]fESTIVOS!$A$2:$A$53))</f>
        <v>20</v>
      </c>
      <c r="I171" s="13">
        <v>46123</v>
      </c>
      <c r="J171" s="12">
        <v>46123</v>
      </c>
      <c r="K171" s="12">
        <v>46153</v>
      </c>
      <c r="L171" s="12">
        <v>46153</v>
      </c>
      <c r="M171" s="11">
        <f ca="1">IF(OR(J171="",AND(L171="",TODAY()&lt;J171),AND(L171&lt;&gt;"",L171&lt;J171)),0,
   IF(L171="",
      NETWORKDAYS(J171,TODAY(),[1]fESTIVOS!$A$2:$A$53),
      NETWORKDAYS(J171,L171,[1]fESTIVOS!$A$2:$A$53)
   )
)</f>
        <v>20</v>
      </c>
      <c r="N171" s="10"/>
      <c r="O171" s="10"/>
      <c r="P171" s="9"/>
      <c r="Q171" s="8" t="s">
        <v>106</v>
      </c>
      <c r="R171" s="7" t="s">
        <v>0</v>
      </c>
      <c r="S171" s="6"/>
    </row>
    <row r="172" spans="1:19" ht="29.25" customHeight="1">
      <c r="A172" s="20" t="s">
        <v>7</v>
      </c>
      <c r="B172" s="17" t="s">
        <v>105</v>
      </c>
      <c r="C172" s="19" t="s">
        <v>104</v>
      </c>
      <c r="D172" s="18" t="s">
        <v>103</v>
      </c>
      <c r="E172" s="17" t="s">
        <v>3</v>
      </c>
      <c r="F172" s="46" t="s">
        <v>2</v>
      </c>
      <c r="G172" s="15">
        <v>100</v>
      </c>
      <c r="H172" s="3">
        <f>IF(OR(J172="",K172="",K172&lt;J172),0,NETWORKDAYS(J172,K172,[1]fESTIVOS!$A$2:$A$53))</f>
        <v>3</v>
      </c>
      <c r="I172" s="13">
        <v>46125</v>
      </c>
      <c r="J172" s="12">
        <v>46125</v>
      </c>
      <c r="K172" s="12">
        <v>46127</v>
      </c>
      <c r="L172" s="12">
        <v>46127</v>
      </c>
      <c r="M172" s="2">
        <f ca="1">IF(OR(J172="",AND(L172="",TODAY()&lt;J172),AND(L172&lt;&gt;"",L172&lt;J172)),0,
   IF(L172="",
      NETWORKDAYS(J172,TODAY(),[1]fESTIVOS!$A$2:$A$53),
      NETWORKDAYS(J172,L172,[1]fESTIVOS!$A$2:$A$53)
   )
)</f>
        <v>3</v>
      </c>
      <c r="N172" s="10"/>
      <c r="O172" s="10"/>
      <c r="P172" s="9"/>
      <c r="Q172" s="8" t="s">
        <v>102</v>
      </c>
      <c r="R172" s="7" t="s">
        <v>0</v>
      </c>
      <c r="S172" s="6"/>
    </row>
    <row r="173" spans="1:19" ht="29.25" customHeight="1">
      <c r="A173" s="34" t="s">
        <v>7</v>
      </c>
      <c r="B173" s="30" t="s">
        <v>101</v>
      </c>
      <c r="C173" s="19" t="s">
        <v>100</v>
      </c>
      <c r="D173" s="19" t="s">
        <v>99</v>
      </c>
      <c r="E173" s="17" t="s">
        <v>21</v>
      </c>
      <c r="F173" s="16" t="s">
        <v>2</v>
      </c>
      <c r="G173" s="15">
        <v>100</v>
      </c>
      <c r="H173" s="14">
        <f>IF(OR(J173="",K173="",K173&lt;J173),0,NETWORKDAYS(J173,K173,[1]fESTIVOS!$A$2:$A$53))</f>
        <v>15</v>
      </c>
      <c r="I173" s="13">
        <v>46128</v>
      </c>
      <c r="J173" s="12">
        <v>46128</v>
      </c>
      <c r="K173" s="12">
        <v>46149</v>
      </c>
      <c r="L173" s="12">
        <v>46149</v>
      </c>
      <c r="M173" s="11">
        <f ca="1">IF(OR(J173="",AND(L173="",TODAY()&lt;J173),AND(L173&lt;&gt;"",L173&lt;J173)),0,
   IF(L173="",
      NETWORKDAYS(J173,TODAY(),[1]fESTIVOS!$A$2:$A$53),
      NETWORKDAYS(J173,L173,[1]fESTIVOS!$A$2:$A$53)
   )
)</f>
        <v>15</v>
      </c>
      <c r="N173" s="10"/>
      <c r="O173" s="10"/>
      <c r="P173" s="9"/>
      <c r="Q173" s="8" t="s">
        <v>98</v>
      </c>
      <c r="R173" s="7" t="s">
        <v>0</v>
      </c>
      <c r="S173" s="6"/>
    </row>
    <row r="174" spans="1:19" ht="29.25" customHeight="1">
      <c r="A174" s="34" t="s">
        <v>7</v>
      </c>
      <c r="B174" s="17" t="s">
        <v>97</v>
      </c>
      <c r="C174" s="19" t="s">
        <v>93</v>
      </c>
      <c r="D174" s="19" t="s">
        <v>96</v>
      </c>
      <c r="E174" s="17" t="s">
        <v>12</v>
      </c>
      <c r="F174" s="16" t="s">
        <v>2</v>
      </c>
      <c r="G174" s="15">
        <v>100</v>
      </c>
      <c r="H174" s="14">
        <f>IF(OR(J174="",K174="",K174&lt;J174),0,NETWORKDAYS(J174,K174,[1]fESTIVOS!$A$2:$A$53))</f>
        <v>2</v>
      </c>
      <c r="I174" s="13">
        <v>46130</v>
      </c>
      <c r="J174" s="12">
        <v>46130</v>
      </c>
      <c r="K174" s="12">
        <v>46133</v>
      </c>
      <c r="L174" s="12">
        <v>46133</v>
      </c>
      <c r="M174" s="11">
        <f ca="1">IF(OR(J174="",AND(L174="",TODAY()&lt;J174),AND(L174&lt;&gt;"",L174&lt;J174)),0,
   IF(L174="",
      NETWORKDAYS(J174,TODAY(),[1]fESTIVOS!$A$2:$A$53),
      NETWORKDAYS(J174,L174,[1]fESTIVOS!$A$2:$A$53)
   )
)</f>
        <v>2</v>
      </c>
      <c r="N174" s="10"/>
      <c r="O174" s="10"/>
      <c r="P174" s="9"/>
      <c r="Q174" s="8" t="s">
        <v>95</v>
      </c>
      <c r="R174" s="7" t="s">
        <v>0</v>
      </c>
      <c r="S174" s="6"/>
    </row>
    <row r="175" spans="1:19" ht="29.25" customHeight="1">
      <c r="A175" s="33" t="s">
        <v>7</v>
      </c>
      <c r="B175" s="30" t="s">
        <v>94</v>
      </c>
      <c r="C175" s="32" t="s">
        <v>93</v>
      </c>
      <c r="D175" s="35" t="s">
        <v>92</v>
      </c>
      <c r="E175" s="30" t="s">
        <v>12</v>
      </c>
      <c r="F175" s="29" t="s">
        <v>2</v>
      </c>
      <c r="G175" s="28">
        <v>100</v>
      </c>
      <c r="H175" s="5">
        <f>IF(OR(J175="",K175="",K175&lt;J175),0,NETWORKDAYS(J175,K175,[1]fESTIVOS!$A$2:$A$53))</f>
        <v>13</v>
      </c>
      <c r="I175" s="27">
        <v>46131</v>
      </c>
      <c r="J175" s="26">
        <v>46131</v>
      </c>
      <c r="K175" s="26">
        <v>46149</v>
      </c>
      <c r="L175" s="26">
        <v>46149</v>
      </c>
      <c r="M175" s="4">
        <f ca="1">IF(OR(J175="",AND(L175="",TODAY()&lt;J175),AND(L175&lt;&gt;"",L175&lt;J175)),0,
   IF(L175="",
      NETWORKDAYS(J175,TODAY(),[1]fESTIVOS!$A$2:$A$53),
      NETWORKDAYS(J175,L175,[1]fESTIVOS!$A$2:$A$53)
   )
)</f>
        <v>13</v>
      </c>
      <c r="N175" s="25"/>
      <c r="O175" s="25"/>
      <c r="P175" s="24"/>
      <c r="Q175" s="23" t="s">
        <v>91</v>
      </c>
      <c r="R175" s="22" t="s">
        <v>0</v>
      </c>
      <c r="S175" s="21"/>
    </row>
    <row r="176" spans="1:19" ht="29.25" customHeight="1">
      <c r="A176" s="20" t="s">
        <v>7</v>
      </c>
      <c r="B176" s="17" t="s">
        <v>90</v>
      </c>
      <c r="C176" s="19" t="s">
        <v>89</v>
      </c>
      <c r="D176" s="18" t="s">
        <v>88</v>
      </c>
      <c r="E176" s="17" t="s">
        <v>3</v>
      </c>
      <c r="F176" s="16" t="s">
        <v>2</v>
      </c>
      <c r="G176" s="15">
        <v>100</v>
      </c>
      <c r="H176" s="14">
        <f>IF(OR(J176="",K176="",K176&lt;J176),0,NETWORKDAYS(J176,K176,[1]fESTIVOS!$A$2:$A$53))</f>
        <v>1</v>
      </c>
      <c r="I176" s="13">
        <v>46130</v>
      </c>
      <c r="J176" s="12">
        <v>46130</v>
      </c>
      <c r="K176" s="12">
        <v>46132</v>
      </c>
      <c r="L176" s="12">
        <v>46132</v>
      </c>
      <c r="M176" s="11">
        <f ca="1">IF(OR(J176="",AND(L176="",TODAY()&lt;J176),AND(L176&lt;&gt;"",L176&lt;J176)),0,
   IF(L176="",
      NETWORKDAYS(J176,TODAY(),[1]fESTIVOS!$A$2:$A$53),
      NETWORKDAYS(J176,L176,[1]fESTIVOS!$A$2:$A$53)
   )
)</f>
        <v>1</v>
      </c>
      <c r="N176" s="10"/>
      <c r="O176" s="10"/>
      <c r="P176" s="9"/>
      <c r="Q176" s="8" t="s">
        <v>87</v>
      </c>
      <c r="R176" s="7" t="s">
        <v>0</v>
      </c>
      <c r="S176" s="6"/>
    </row>
    <row r="177" spans="1:19" ht="29.25" customHeight="1">
      <c r="A177" s="34" t="s">
        <v>7</v>
      </c>
      <c r="B177" s="30" t="s">
        <v>86</v>
      </c>
      <c r="C177" s="19" t="s">
        <v>85</v>
      </c>
      <c r="D177" s="19" t="s">
        <v>84</v>
      </c>
      <c r="E177" s="17" t="s">
        <v>21</v>
      </c>
      <c r="F177" s="16" t="s">
        <v>2</v>
      </c>
      <c r="G177" s="15">
        <v>100</v>
      </c>
      <c r="H177" s="14">
        <f>IF(OR(J177="",K177="",K177&lt;J177),0,NETWORKDAYS(J177,K177,[1]fESTIVOS!$A$2:$A$53))</f>
        <v>10</v>
      </c>
      <c r="I177" s="13">
        <v>46135</v>
      </c>
      <c r="J177" s="12">
        <v>46135</v>
      </c>
      <c r="K177" s="12">
        <v>46149</v>
      </c>
      <c r="L177" s="12">
        <v>46149</v>
      </c>
      <c r="M177" s="11">
        <f ca="1">IF(OR(J177="",AND(L177="",TODAY()&lt;J177),AND(L177&lt;&gt;"",L177&lt;J177)),0,
   IF(L177="",
      NETWORKDAYS(J177,TODAY(),[1]fESTIVOS!$A$2:$A$53),
      NETWORKDAYS(J177,L177,[1]fESTIVOS!$A$2:$A$53)
   )
)</f>
        <v>10</v>
      </c>
      <c r="N177" s="10"/>
      <c r="O177" s="10"/>
      <c r="P177" s="9"/>
      <c r="Q177" s="8" t="s">
        <v>83</v>
      </c>
      <c r="R177" s="7" t="s">
        <v>0</v>
      </c>
      <c r="S177" s="6"/>
    </row>
    <row r="178" spans="1:19" ht="29.25" customHeight="1">
      <c r="A178" s="34" t="s">
        <v>7</v>
      </c>
      <c r="B178" s="30" t="s">
        <v>82</v>
      </c>
      <c r="C178" s="19" t="s">
        <v>81</v>
      </c>
      <c r="D178" s="19" t="s">
        <v>80</v>
      </c>
      <c r="E178" s="17" t="s">
        <v>21</v>
      </c>
      <c r="F178" s="16" t="s">
        <v>2</v>
      </c>
      <c r="G178" s="15">
        <v>100</v>
      </c>
      <c r="H178" s="14">
        <f>IF(OR(J178="",K178="",K178&lt;J178),0,NETWORKDAYS(J178,K178,[1]fESTIVOS!$A$2:$A$53))</f>
        <v>10</v>
      </c>
      <c r="I178" s="13">
        <v>46135</v>
      </c>
      <c r="J178" s="12">
        <v>46135</v>
      </c>
      <c r="K178" s="12">
        <v>46149</v>
      </c>
      <c r="L178" s="12">
        <v>46149</v>
      </c>
      <c r="M178" s="11">
        <f ca="1">IF(OR(J178="",AND(L178="",TODAY()&lt;J178),AND(L178&lt;&gt;"",L178&lt;J178)),0,
   IF(L178="",
      NETWORKDAYS(J178,TODAY(),[1]fESTIVOS!$A$2:$A$53),
      NETWORKDAYS(J178,L178,[1]fESTIVOS!$A$2:$A$53)
   )
)</f>
        <v>10</v>
      </c>
      <c r="N178" s="10"/>
      <c r="O178" s="10"/>
      <c r="P178" s="9"/>
      <c r="Q178" s="8" t="s">
        <v>79</v>
      </c>
      <c r="R178" s="7" t="s">
        <v>0</v>
      </c>
      <c r="S178" s="6"/>
    </row>
    <row r="179" spans="1:19" ht="29.25" customHeight="1">
      <c r="A179" s="33" t="s">
        <v>7</v>
      </c>
      <c r="B179" s="30" t="s">
        <v>78</v>
      </c>
      <c r="C179" s="32" t="s">
        <v>77</v>
      </c>
      <c r="D179" s="35" t="s">
        <v>76</v>
      </c>
      <c r="E179" s="30" t="s">
        <v>12</v>
      </c>
      <c r="F179" s="29" t="s">
        <v>30</v>
      </c>
      <c r="G179" s="28">
        <v>85</v>
      </c>
      <c r="H179" s="5">
        <f>IF(OR(J179="",K179="",K179&lt;J179),0,NETWORKDAYS(J179,K179,[1]fESTIVOS!$A$2:$A$53))</f>
        <v>0</v>
      </c>
      <c r="I179" s="13">
        <v>46135</v>
      </c>
      <c r="J179" s="12">
        <v>46135</v>
      </c>
      <c r="K179" s="12"/>
      <c r="L179" s="12"/>
      <c r="M179" s="4">
        <f ca="1">IF(OR(J179="",AND(L179="",TODAY()&lt;J179),AND(L179&lt;&gt;"",L179&lt;J179)),0,
   IF(L179="",
      NETWORKDAYS(J179,TODAY(),[1]fESTIVOS!$A$2:$A$53),
      NETWORKDAYS(J179,L179,[1]fESTIVOS!$A$2:$A$53)
   )
)</f>
        <v>31</v>
      </c>
      <c r="N179" s="25"/>
      <c r="O179" s="25"/>
      <c r="P179" s="24"/>
      <c r="Q179" s="8" t="s">
        <v>75</v>
      </c>
      <c r="R179" s="22" t="s">
        <v>0</v>
      </c>
      <c r="S179" s="21"/>
    </row>
    <row r="180" spans="1:19" ht="29.25" customHeight="1">
      <c r="A180" s="20" t="s">
        <v>7</v>
      </c>
      <c r="B180" s="17" t="s">
        <v>74</v>
      </c>
      <c r="C180" s="19" t="s">
        <v>73</v>
      </c>
      <c r="D180" s="18" t="s">
        <v>72</v>
      </c>
      <c r="E180" s="17" t="s">
        <v>3</v>
      </c>
      <c r="F180" s="16" t="s">
        <v>2</v>
      </c>
      <c r="G180" s="15">
        <v>100</v>
      </c>
      <c r="H180" s="14">
        <f>IF(OR(J180="",K180="",K180&lt;J180),0,NETWORKDAYS(J180,K180,[1]fESTIVOS!$A$2:$A$53))</f>
        <v>10</v>
      </c>
      <c r="I180" s="13">
        <v>46135</v>
      </c>
      <c r="J180" s="12">
        <v>46135</v>
      </c>
      <c r="K180" s="12">
        <v>46149</v>
      </c>
      <c r="L180" s="12">
        <v>46149</v>
      </c>
      <c r="M180" s="11">
        <f ca="1">IF(OR(J180="",AND(L180="",TODAY()&lt;J180),AND(L180&lt;&gt;"",L180&lt;J180)),0,
   IF(L180="",
      NETWORKDAYS(J180,TODAY(),[1]fESTIVOS!$A$2:$A$53),
      NETWORKDAYS(J180,L180,[1]fESTIVOS!$A$2:$A$53)
   )
)</f>
        <v>10</v>
      </c>
      <c r="N180" s="10"/>
      <c r="O180" s="10"/>
      <c r="P180" s="9"/>
      <c r="Q180" s="8" t="s">
        <v>71</v>
      </c>
      <c r="R180" s="7" t="s">
        <v>0</v>
      </c>
      <c r="S180" s="6"/>
    </row>
    <row r="181" spans="1:19" ht="29.25" customHeight="1">
      <c r="A181" s="45" t="s">
        <v>7</v>
      </c>
      <c r="B181" s="44" t="s">
        <v>70</v>
      </c>
      <c r="C181" s="43" t="s">
        <v>65</v>
      </c>
      <c r="D181" s="41" t="s">
        <v>69</v>
      </c>
      <c r="E181" s="42" t="s">
        <v>63</v>
      </c>
      <c r="F181" s="41" t="s">
        <v>2</v>
      </c>
      <c r="G181" s="40">
        <v>100</v>
      </c>
      <c r="H181" s="3">
        <f>IF(OR(J181="",K181="",K181&lt;J181),0,NETWORKDAYS(J181,K181,[1]fESTIVOS!$A$2:$A$53))</f>
        <v>10</v>
      </c>
      <c r="I181" s="13">
        <v>46135</v>
      </c>
      <c r="J181" s="12">
        <v>46135</v>
      </c>
      <c r="K181" s="12">
        <v>46149</v>
      </c>
      <c r="L181" s="12">
        <v>46149</v>
      </c>
      <c r="M181" s="2">
        <f ca="1">IF(OR(J181="",AND(L181="",TODAY()&lt;J181),AND(L181&lt;&gt;"",L181&lt;J181)),0,
   IF(L181="",
      NETWORKDAYS(J181,TODAY(),[1]fESTIVOS!$A$2:$A$53),
      NETWORKDAYS(J181,L181,[1]fESTIVOS!$A$2:$A$53)
   )
)</f>
        <v>10</v>
      </c>
      <c r="N181" s="39"/>
      <c r="O181" s="39"/>
      <c r="P181" s="38"/>
      <c r="Q181" s="8" t="s">
        <v>68</v>
      </c>
      <c r="R181" s="37" t="s">
        <v>0</v>
      </c>
      <c r="S181" s="36" t="s">
        <v>61</v>
      </c>
    </row>
    <row r="182" spans="1:19" ht="29.25" customHeight="1">
      <c r="A182" s="45" t="s">
        <v>67</v>
      </c>
      <c r="B182" s="44" t="s">
        <v>66</v>
      </c>
      <c r="C182" s="43" t="s">
        <v>65</v>
      </c>
      <c r="D182" s="41" t="s">
        <v>64</v>
      </c>
      <c r="E182" s="42" t="s">
        <v>63</v>
      </c>
      <c r="F182" s="41" t="s">
        <v>2</v>
      </c>
      <c r="G182" s="40">
        <v>100</v>
      </c>
      <c r="H182" s="3">
        <f>IF(OR(J182="",K182="",K182&lt;J182),0,NETWORKDAYS(J182,K182,[1]fESTIVOS!$A$2:$A$53))</f>
        <v>10</v>
      </c>
      <c r="I182" s="13">
        <v>46135</v>
      </c>
      <c r="J182" s="12">
        <v>46135</v>
      </c>
      <c r="K182" s="12">
        <v>46149</v>
      </c>
      <c r="L182" s="12">
        <v>46149</v>
      </c>
      <c r="M182" s="2">
        <f ca="1">IF(OR(J182="",AND(L182="",TODAY()&lt;J182),AND(L182&lt;&gt;"",L182&lt;J182)),0,
   IF(L182="",
      NETWORKDAYS(J182,TODAY(),[1]fESTIVOS!$A$2:$A$53),
      NETWORKDAYS(J182,L182,[1]fESTIVOS!$A$2:$A$53)
   )
)</f>
        <v>10</v>
      </c>
      <c r="N182" s="39"/>
      <c r="O182" s="39"/>
      <c r="P182" s="38"/>
      <c r="Q182" s="8" t="s">
        <v>62</v>
      </c>
      <c r="R182" s="37" t="s">
        <v>0</v>
      </c>
      <c r="S182" s="36" t="s">
        <v>61</v>
      </c>
    </row>
    <row r="183" spans="1:19" ht="29.25" customHeight="1">
      <c r="A183" s="33" t="s">
        <v>7</v>
      </c>
      <c r="B183" s="30" t="s">
        <v>60</v>
      </c>
      <c r="C183" s="32" t="s">
        <v>59</v>
      </c>
      <c r="D183" s="35" t="s">
        <v>58</v>
      </c>
      <c r="E183" s="30" t="s">
        <v>12</v>
      </c>
      <c r="F183" s="29" t="s">
        <v>2</v>
      </c>
      <c r="G183" s="28">
        <v>100</v>
      </c>
      <c r="H183" s="5">
        <f>IF(OR(J183="",K183="",K183&lt;J183),0,NETWORKDAYS(J183,K183,[1]fESTIVOS!$A$2:$A$53))</f>
        <v>7</v>
      </c>
      <c r="I183" s="13">
        <v>46149</v>
      </c>
      <c r="J183" s="12">
        <v>46149</v>
      </c>
      <c r="K183" s="12">
        <v>46157</v>
      </c>
      <c r="L183" s="12">
        <v>46157</v>
      </c>
      <c r="M183" s="4">
        <f ca="1">IF(OR(J183="",AND(L183="",TODAY()&lt;J183),AND(L183&lt;&gt;"",L183&lt;J183)),0,
   IF(L183="",
      NETWORKDAYS(J183,TODAY(),[1]fESTIVOS!$A$2:$A$53),
      NETWORKDAYS(J183,L183,[1]fESTIVOS!$A$2:$A$53)
   )
)</f>
        <v>7</v>
      </c>
      <c r="N183" s="25"/>
      <c r="O183" s="25"/>
      <c r="P183" s="24"/>
      <c r="Q183" s="8" t="s">
        <v>57</v>
      </c>
      <c r="R183" s="22" t="s">
        <v>0</v>
      </c>
      <c r="S183" s="21"/>
    </row>
    <row r="184" spans="1:19" ht="29.25" customHeight="1">
      <c r="A184" s="34" t="s">
        <v>7</v>
      </c>
      <c r="B184" s="30" t="s">
        <v>56</v>
      </c>
      <c r="C184" s="19" t="s">
        <v>55</v>
      </c>
      <c r="D184" s="19" t="s">
        <v>54</v>
      </c>
      <c r="E184" s="17" t="s">
        <v>21</v>
      </c>
      <c r="F184" s="16" t="s">
        <v>2</v>
      </c>
      <c r="G184" s="15">
        <v>100</v>
      </c>
      <c r="H184" s="14">
        <f>IF(OR(J184="",K184="",K184&lt;J184),0,NETWORKDAYS(J184,K184,[1]fESTIVOS!$A$2:$A$53))</f>
        <v>7</v>
      </c>
      <c r="I184" s="13">
        <v>46149</v>
      </c>
      <c r="J184" s="12">
        <v>46149</v>
      </c>
      <c r="K184" s="12">
        <v>46157</v>
      </c>
      <c r="L184" s="12">
        <v>46157</v>
      </c>
      <c r="M184" s="11">
        <f ca="1">IF(OR(J184="",AND(L184="",TODAY()&lt;J184),AND(L184&lt;&gt;"",L184&lt;J184)),0,
   IF(L184="",
      NETWORKDAYS(J184,TODAY(),[1]fESTIVOS!$A$2:$A$53),
      NETWORKDAYS(J184,L184,[1]fESTIVOS!$A$2:$A$53)
   )
)</f>
        <v>7</v>
      </c>
      <c r="N184" s="10"/>
      <c r="O184" s="10"/>
      <c r="P184" s="9"/>
      <c r="Q184" s="8" t="s">
        <v>53</v>
      </c>
      <c r="R184" s="7" t="s">
        <v>0</v>
      </c>
      <c r="S184" s="6"/>
    </row>
    <row r="185" spans="1:19" ht="29.25" customHeight="1">
      <c r="A185" s="20" t="s">
        <v>7</v>
      </c>
      <c r="B185" s="17" t="s">
        <v>52</v>
      </c>
      <c r="C185" s="19" t="s">
        <v>51</v>
      </c>
      <c r="D185" s="18" t="s">
        <v>50</v>
      </c>
      <c r="E185" s="17" t="s">
        <v>3</v>
      </c>
      <c r="F185" s="16" t="s">
        <v>2</v>
      </c>
      <c r="G185" s="15">
        <v>100</v>
      </c>
      <c r="H185" s="14">
        <f>IF(OR(J185="",K185="",K185&lt;J185),0,NETWORKDAYS(J185,K185,[1]fESTIVOS!$A$2:$A$53))</f>
        <v>7</v>
      </c>
      <c r="I185" s="13">
        <v>46149</v>
      </c>
      <c r="J185" s="12">
        <v>46149</v>
      </c>
      <c r="K185" s="12">
        <v>46158</v>
      </c>
      <c r="L185" s="12">
        <v>46158</v>
      </c>
      <c r="M185" s="11">
        <f ca="1">IF(OR(J185="",AND(L185="",TODAY()&lt;J185),AND(L185&lt;&gt;"",L185&lt;J185)),0,
   IF(L185="",
      NETWORKDAYS(J185,TODAY(),[1]fESTIVOS!$A$2:$A$53),
      NETWORKDAYS(J185,L185,[1]fESTIVOS!$A$2:$A$53)
   )
)</f>
        <v>7</v>
      </c>
      <c r="N185" s="10"/>
      <c r="O185" s="10"/>
      <c r="P185" s="9"/>
      <c r="Q185" s="8" t="s">
        <v>49</v>
      </c>
      <c r="R185" s="7" t="s">
        <v>0</v>
      </c>
      <c r="S185" s="6"/>
    </row>
    <row r="186" spans="1:19" ht="29.25" customHeight="1">
      <c r="A186" s="34" t="s">
        <v>7</v>
      </c>
      <c r="B186" s="30" t="s">
        <v>48</v>
      </c>
      <c r="C186" s="19" t="s">
        <v>47</v>
      </c>
      <c r="D186" s="19" t="s">
        <v>46</v>
      </c>
      <c r="E186" s="17" t="s">
        <v>21</v>
      </c>
      <c r="F186" s="16" t="s">
        <v>2</v>
      </c>
      <c r="G186" s="15">
        <v>100</v>
      </c>
      <c r="H186" s="14">
        <f>IF(OR(J186="",K186="",K186&lt;J186),0,NETWORKDAYS(J186,K186,[1]fESTIVOS!$A$2:$A$53))</f>
        <v>14</v>
      </c>
      <c r="I186" s="13">
        <v>46158</v>
      </c>
      <c r="J186" s="12">
        <v>46158</v>
      </c>
      <c r="K186" s="12">
        <v>46179</v>
      </c>
      <c r="L186" s="12">
        <v>46179</v>
      </c>
      <c r="M186" s="11">
        <f ca="1">IF(OR(J186="",AND(L186="",TODAY()&lt;J186),AND(L186&lt;&gt;"",L186&lt;J186)),0,
   IF(L186="",
      NETWORKDAYS(J186,TODAY(),[1]fESTIVOS!$A$2:$A$53),
      NETWORKDAYS(J186,L186,[1]fESTIVOS!$A$2:$A$53)
   )
)</f>
        <v>14</v>
      </c>
      <c r="N186" s="10"/>
      <c r="O186" s="10"/>
      <c r="P186" s="9"/>
      <c r="Q186" s="8" t="s">
        <v>45</v>
      </c>
      <c r="R186" s="7" t="s">
        <v>0</v>
      </c>
      <c r="S186" s="6"/>
    </row>
    <row r="187" spans="1:19" ht="29.25" customHeight="1">
      <c r="A187" s="33" t="s">
        <v>7</v>
      </c>
      <c r="B187" s="30" t="s">
        <v>44</v>
      </c>
      <c r="C187" s="32" t="s">
        <v>43</v>
      </c>
      <c r="D187" s="35" t="s">
        <v>42</v>
      </c>
      <c r="E187" s="30" t="s">
        <v>12</v>
      </c>
      <c r="F187" s="29" t="s">
        <v>2</v>
      </c>
      <c r="G187" s="28">
        <v>100</v>
      </c>
      <c r="H187" s="5">
        <f>IF(OR(J187="",K187="",K187&lt;J187),0,NETWORKDAYS(J187,K187,[1]fESTIVOS!$A$2:$A$53))</f>
        <v>2</v>
      </c>
      <c r="I187" s="13">
        <v>46160</v>
      </c>
      <c r="J187" s="12">
        <v>46160</v>
      </c>
      <c r="K187" s="12">
        <v>46162</v>
      </c>
      <c r="L187" s="12">
        <v>46162</v>
      </c>
      <c r="M187" s="4">
        <f ca="1">IF(OR(J187="",AND(L187="",TODAY()&lt;J187),AND(L187&lt;&gt;"",L187&lt;J187)),0,
   IF(L187="",
      NETWORKDAYS(J187,TODAY(),[1]fESTIVOS!$A$2:$A$53),
      NETWORKDAYS(J187,L187,[1]fESTIVOS!$A$2:$A$53)
   )
)</f>
        <v>2</v>
      </c>
      <c r="N187" s="25"/>
      <c r="O187" s="25"/>
      <c r="P187" s="24"/>
      <c r="Q187" s="8" t="s">
        <v>41</v>
      </c>
      <c r="R187" s="22" t="s">
        <v>0</v>
      </c>
      <c r="S187" s="21"/>
    </row>
    <row r="188" spans="1:19" ht="29.25" customHeight="1">
      <c r="A188" s="33" t="s">
        <v>7</v>
      </c>
      <c r="B188" s="30" t="s">
        <v>40</v>
      </c>
      <c r="C188" s="32" t="s">
        <v>36</v>
      </c>
      <c r="D188" s="31" t="s">
        <v>39</v>
      </c>
      <c r="E188" s="30" t="s">
        <v>12</v>
      </c>
      <c r="F188" s="29" t="s">
        <v>2</v>
      </c>
      <c r="G188" s="28">
        <v>100</v>
      </c>
      <c r="H188" s="5">
        <f>IF(OR(J188="",K188="",K188&lt;J188),0,NETWORKDAYS(J188,K188,[1]fESTIVOS!$A$2:$A$53))</f>
        <v>4</v>
      </c>
      <c r="I188" s="27">
        <v>46161</v>
      </c>
      <c r="J188" s="26">
        <v>46161</v>
      </c>
      <c r="K188" s="26">
        <v>46164</v>
      </c>
      <c r="L188" s="26">
        <v>46164</v>
      </c>
      <c r="M188" s="4">
        <f ca="1">IF(OR(J188="",AND(L188="",TODAY()&lt;J188),AND(L188&lt;&gt;"",L188&lt;J188)),0,
   IF(L188="",
      NETWORKDAYS(J188,TODAY(),[1]fESTIVOS!$A$2:$A$53),
      NETWORKDAYS(J188,L188,[1]fESTIVOS!$A$2:$A$53)
   )
)</f>
        <v>4</v>
      </c>
      <c r="N188" s="25"/>
      <c r="O188" s="25"/>
      <c r="P188" s="24"/>
      <c r="Q188" s="23" t="s">
        <v>38</v>
      </c>
      <c r="R188" s="22" t="s">
        <v>0</v>
      </c>
      <c r="S188" s="21"/>
    </row>
    <row r="189" spans="1:19" ht="29.25" customHeight="1">
      <c r="A189" s="33" t="s">
        <v>7</v>
      </c>
      <c r="B189" s="30" t="s">
        <v>37</v>
      </c>
      <c r="C189" s="32" t="s">
        <v>36</v>
      </c>
      <c r="D189" s="31" t="s">
        <v>35</v>
      </c>
      <c r="E189" s="30" t="s">
        <v>12</v>
      </c>
      <c r="F189" s="29" t="s">
        <v>2</v>
      </c>
      <c r="G189" s="28">
        <v>100</v>
      </c>
      <c r="H189" s="5">
        <f>IF(OR(J189="",K189="",K189&lt;J189),0,NETWORKDAYS(J189,K189,[1]fESTIVOS!$A$2:$A$53))</f>
        <v>1</v>
      </c>
      <c r="I189" s="27">
        <v>46164</v>
      </c>
      <c r="J189" s="26">
        <v>46164</v>
      </c>
      <c r="K189" s="26">
        <v>46164</v>
      </c>
      <c r="L189" s="26">
        <v>46164</v>
      </c>
      <c r="M189" s="4">
        <f ca="1">IF(OR(J189="",AND(L189="",TODAY()&lt;J189),AND(L189&lt;&gt;"",L189&lt;J189)),0,
   IF(L189="",
      NETWORKDAYS(J189,TODAY(),[1]fESTIVOS!$A$2:$A$53),
      NETWORKDAYS(J189,L189,[1]fESTIVOS!$A$2:$A$53)
   )
)</f>
        <v>1</v>
      </c>
      <c r="N189" s="25"/>
      <c r="O189" s="25"/>
      <c r="P189" s="24"/>
      <c r="Q189" s="23" t="s">
        <v>34</v>
      </c>
      <c r="R189" s="22" t="s">
        <v>0</v>
      </c>
      <c r="S189" s="21"/>
    </row>
    <row r="190" spans="1:19" ht="29.25" customHeight="1">
      <c r="A190" s="20" t="s">
        <v>7</v>
      </c>
      <c r="B190" s="17" t="s">
        <v>33</v>
      </c>
      <c r="C190" s="19" t="s">
        <v>32</v>
      </c>
      <c r="D190" s="18" t="s">
        <v>31</v>
      </c>
      <c r="E190" s="17" t="s">
        <v>3</v>
      </c>
      <c r="F190" s="16" t="s">
        <v>30</v>
      </c>
      <c r="G190" s="15">
        <v>55</v>
      </c>
      <c r="H190" s="14">
        <f>IF(OR(J190="",K190="",K190&lt;J190),0,NETWORKDAYS(J190,K190,[1]fESTIVOS!$A$2:$A$53))</f>
        <v>0</v>
      </c>
      <c r="I190" s="13">
        <v>46162</v>
      </c>
      <c r="J190" s="12">
        <v>46162</v>
      </c>
      <c r="K190" s="12"/>
      <c r="L190" s="12"/>
      <c r="M190" s="11">
        <f ca="1">IF(OR(J190="",AND(L190="",TODAY()&lt;J190),AND(L190&lt;&gt;"",L190&lt;J190)),0,
   IF(L190="",
      NETWORKDAYS(J190,TODAY(),[1]fESTIVOS!$A$2:$A$53),
      NETWORKDAYS(J190,L190,[1]fESTIVOS!$A$2:$A$53)
   )
)</f>
        <v>14</v>
      </c>
      <c r="N190" s="10"/>
      <c r="O190" s="10"/>
      <c r="P190" s="9"/>
      <c r="Q190" s="8" t="s">
        <v>29</v>
      </c>
      <c r="R190" s="7" t="s">
        <v>0</v>
      </c>
      <c r="S190" s="6"/>
    </row>
    <row r="191" spans="1:19" ht="29.25" customHeight="1">
      <c r="A191" s="34" t="s">
        <v>7</v>
      </c>
      <c r="B191" s="30" t="s">
        <v>28</v>
      </c>
      <c r="C191" s="19" t="s">
        <v>27</v>
      </c>
      <c r="D191" s="19" t="s">
        <v>26</v>
      </c>
      <c r="E191" s="17" t="s">
        <v>21</v>
      </c>
      <c r="F191" s="16" t="s">
        <v>2</v>
      </c>
      <c r="G191" s="15">
        <v>100</v>
      </c>
      <c r="H191" s="14">
        <f>IF(OR(J191="",K191="",K191&lt;J191),0,NETWORKDAYS(J191,K191,[1]fESTIVOS!$A$2:$A$53))</f>
        <v>7</v>
      </c>
      <c r="I191" s="13">
        <v>46170</v>
      </c>
      <c r="J191" s="12">
        <v>46170</v>
      </c>
      <c r="K191" s="12">
        <v>46179</v>
      </c>
      <c r="L191" s="12">
        <v>46179</v>
      </c>
      <c r="M191" s="11">
        <f ca="1">IF(OR(J191="",AND(L191="",TODAY()&lt;J191),AND(L191&lt;&gt;"",L191&lt;J191)),0,
   IF(L191="",
      NETWORKDAYS(J191,TODAY(),[1]fESTIVOS!$A$2:$A$53),
      NETWORKDAYS(J191,L191,[1]fESTIVOS!$A$2:$A$53)
   )
)</f>
        <v>7</v>
      </c>
      <c r="N191" s="10"/>
      <c r="O191" s="10"/>
      <c r="P191" s="9"/>
      <c r="Q191" s="8" t="s">
        <v>25</v>
      </c>
      <c r="R191" s="7" t="s">
        <v>0</v>
      </c>
      <c r="S191" s="6"/>
    </row>
    <row r="192" spans="1:19" ht="29.25" customHeight="1">
      <c r="A192" s="34" t="s">
        <v>7</v>
      </c>
      <c r="B192" s="30" t="s">
        <v>24</v>
      </c>
      <c r="C192" s="19" t="s">
        <v>23</v>
      </c>
      <c r="D192" s="19" t="s">
        <v>22</v>
      </c>
      <c r="E192" s="17" t="s">
        <v>21</v>
      </c>
      <c r="F192" s="16" t="s">
        <v>2</v>
      </c>
      <c r="G192" s="15">
        <v>100</v>
      </c>
      <c r="H192" s="14">
        <f>IF(OR(J192="",K192="",K192&lt;J192),0,NETWORKDAYS(J192,K192,[1]fESTIVOS!$A$2:$A$53))</f>
        <v>0</v>
      </c>
      <c r="I192" s="13">
        <v>46179</v>
      </c>
      <c r="J192" s="12">
        <v>46179</v>
      </c>
      <c r="K192" s="12">
        <v>46179</v>
      </c>
      <c r="L192" s="12">
        <v>46179</v>
      </c>
      <c r="M192" s="11">
        <f ca="1">IF(OR(J192="",AND(L192="",TODAY()&lt;J192),AND(L192&lt;&gt;"",L192&lt;J192)),0,
   IF(L192="",
      NETWORKDAYS(J192,TODAY(),[1]fESTIVOS!$A$2:$A$53),
      NETWORKDAYS(J192,L192,[1]fESTIVOS!$A$2:$A$53)
   )
)</f>
        <v>0</v>
      </c>
      <c r="N192" s="10"/>
      <c r="O192" s="10"/>
      <c r="P192" s="9"/>
      <c r="Q192" s="8" t="s">
        <v>20</v>
      </c>
      <c r="R192" s="7" t="s">
        <v>0</v>
      </c>
      <c r="S192" s="6"/>
    </row>
    <row r="193" spans="1:19" ht="29.25" customHeight="1">
      <c r="A193" s="20" t="s">
        <v>7</v>
      </c>
      <c r="B193" s="17" t="s">
        <v>19</v>
      </c>
      <c r="C193" s="19" t="s">
        <v>18</v>
      </c>
      <c r="D193" s="18" t="s">
        <v>17</v>
      </c>
      <c r="E193" s="17" t="s">
        <v>3</v>
      </c>
      <c r="F193" s="16" t="s">
        <v>2</v>
      </c>
      <c r="G193" s="15">
        <v>100</v>
      </c>
      <c r="H193" s="14">
        <f>IF(OR(J193="",K193="",K193&lt;J193),0,NETWORKDAYS(J193,K193,[1]fESTIVOS!$A$2:$A$53))</f>
        <v>7</v>
      </c>
      <c r="I193" s="13">
        <v>46170</v>
      </c>
      <c r="J193" s="12">
        <v>46170</v>
      </c>
      <c r="K193" s="12">
        <v>46178</v>
      </c>
      <c r="L193" s="12">
        <v>46178</v>
      </c>
      <c r="M193" s="11">
        <f ca="1">IF(OR(J193="",AND(L193="",TODAY()&lt;J193),AND(L193&lt;&gt;"",L193&lt;J193)),0,
   IF(L193="",
      NETWORKDAYS(J193,TODAY(),[1]fESTIVOS!$A$2:$A$53),
      NETWORKDAYS(J193,L193,[1]fESTIVOS!$A$2:$A$53)
   )
)</f>
        <v>7</v>
      </c>
      <c r="N193" s="10"/>
      <c r="O193" s="10"/>
      <c r="P193" s="9"/>
      <c r="Q193" s="8" t="s">
        <v>16</v>
      </c>
      <c r="R193" s="7" t="s">
        <v>0</v>
      </c>
      <c r="S193" s="6"/>
    </row>
    <row r="194" spans="1:19" ht="29.25" customHeight="1">
      <c r="A194" s="33" t="s">
        <v>7</v>
      </c>
      <c r="B194" s="30" t="s">
        <v>15</v>
      </c>
      <c r="C194" s="32" t="s">
        <v>14</v>
      </c>
      <c r="D194" s="31" t="s">
        <v>13</v>
      </c>
      <c r="E194" s="30" t="s">
        <v>12</v>
      </c>
      <c r="F194" s="29" t="s">
        <v>2</v>
      </c>
      <c r="G194" s="28">
        <v>100</v>
      </c>
      <c r="H194" s="5">
        <f>IF(OR(J194="",K194="",K194&lt;J194),0,NETWORKDAYS(J194,K194,[1]fESTIVOS!$A$2:$A$53))</f>
        <v>4</v>
      </c>
      <c r="I194" s="27">
        <v>46174</v>
      </c>
      <c r="J194" s="26">
        <v>46174</v>
      </c>
      <c r="K194" s="26">
        <v>46177</v>
      </c>
      <c r="L194" s="26">
        <v>46177</v>
      </c>
      <c r="M194" s="4">
        <f ca="1">IF(OR(J194="",AND(L194="",TODAY()&lt;J194),AND(L194&lt;&gt;"",L194&lt;J194)),0,
   IF(L194="",
      NETWORKDAYS(J194,TODAY(),[1]fESTIVOS!$A$2:$A$53),
      NETWORKDAYS(J194,L194,[1]fESTIVOS!$A$2:$A$53)
   )
)</f>
        <v>4</v>
      </c>
      <c r="N194" s="25"/>
      <c r="O194" s="25"/>
      <c r="P194" s="24"/>
      <c r="Q194" s="23" t="s">
        <v>11</v>
      </c>
      <c r="R194" s="22" t="s">
        <v>0</v>
      </c>
      <c r="S194" s="21"/>
    </row>
    <row r="195" spans="1:19" ht="29.25" customHeight="1">
      <c r="A195" s="20" t="s">
        <v>7</v>
      </c>
      <c r="B195" s="17" t="s">
        <v>10</v>
      </c>
      <c r="C195" s="19" t="s">
        <v>5</v>
      </c>
      <c r="D195" s="18" t="s">
        <v>9</v>
      </c>
      <c r="E195" s="17" t="s">
        <v>3</v>
      </c>
      <c r="F195" s="16" t="s">
        <v>2</v>
      </c>
      <c r="G195" s="15">
        <v>100</v>
      </c>
      <c r="H195" s="14">
        <f>IF(OR(J195="",K195="",K195&lt;J195),0,NETWORKDAYS(J195,K195,[1]fESTIVOS!$A$2:$A$53))</f>
        <v>5</v>
      </c>
      <c r="I195" s="13">
        <v>46174</v>
      </c>
      <c r="J195" s="12">
        <v>46174</v>
      </c>
      <c r="K195" s="12">
        <v>46178</v>
      </c>
      <c r="L195" s="12">
        <v>46178</v>
      </c>
      <c r="M195" s="11">
        <f ca="1">IF(OR(J195="",AND(L195="",TODAY()&lt;J195),AND(L195&lt;&gt;"",L195&lt;J195)),0,
   IF(L195="",
      NETWORKDAYS(J195,TODAY(),[1]fESTIVOS!$A$2:$A$53),
      NETWORKDAYS(J195,L195,[1]fESTIVOS!$A$2:$A$53)
   )
)</f>
        <v>5</v>
      </c>
      <c r="N195" s="10"/>
      <c r="O195" s="10"/>
      <c r="P195" s="9"/>
      <c r="Q195" s="8" t="s">
        <v>8</v>
      </c>
      <c r="R195" s="7" t="s">
        <v>0</v>
      </c>
      <c r="S195" s="6"/>
    </row>
    <row r="196" spans="1:19" ht="29.25" customHeight="1">
      <c r="A196" s="20" t="s">
        <v>7</v>
      </c>
      <c r="B196" s="17" t="s">
        <v>6</v>
      </c>
      <c r="C196" s="19" t="s">
        <v>5</v>
      </c>
      <c r="D196" s="18" t="s">
        <v>4</v>
      </c>
      <c r="E196" s="17" t="s">
        <v>3</v>
      </c>
      <c r="F196" s="16" t="s">
        <v>2</v>
      </c>
      <c r="G196" s="15">
        <v>100</v>
      </c>
      <c r="H196" s="14">
        <f>IF(OR(J196="",K196="",K196&lt;J196),0,NETWORKDAYS(J196,K196,[1]fESTIVOS!$A$2:$A$53))</f>
        <v>1</v>
      </c>
      <c r="I196" s="13">
        <v>46178</v>
      </c>
      <c r="J196" s="12">
        <v>46178</v>
      </c>
      <c r="K196" s="12">
        <v>46178</v>
      </c>
      <c r="L196" s="12">
        <v>46178</v>
      </c>
      <c r="M196" s="11">
        <f ca="1">IF(OR(J196="",AND(L196="",TODAY()&lt;J196),AND(L196&lt;&gt;"",L196&lt;J196)),0,
   IF(L196="",
      NETWORKDAYS(J196,TODAY(),[1]fESTIVOS!$A$2:$A$53),
      NETWORKDAYS(J196,L196,[1]fESTIVOS!$A$2:$A$53)
   )
)</f>
        <v>1</v>
      </c>
      <c r="N196" s="10"/>
      <c r="O196" s="10"/>
      <c r="P196" s="9"/>
      <c r="Q196" s="8" t="s">
        <v>1</v>
      </c>
      <c r="R196" s="7" t="s">
        <v>0</v>
      </c>
      <c r="S196" s="6"/>
    </row>
    <row r="197" spans="1:19" ht="29.25" customHeight="1"/>
    <row r="198" spans="1:19" ht="29.25" customHeight="1"/>
    <row r="199" spans="1:19" ht="29.25" customHeight="1"/>
    <row r="200" spans="1:19" ht="29.25" customHeight="1"/>
    <row r="201" spans="1:19" ht="29.25" customHeight="1"/>
    <row r="202" spans="1:19" ht="29.25" customHeight="1"/>
    <row r="203" spans="1:19" ht="29.25" customHeight="1"/>
    <row r="204" spans="1:19" ht="29.25" customHeight="1"/>
    <row r="205" spans="1:19" ht="29.25" customHeight="1"/>
    <row r="206" spans="1:19" ht="29.25" customHeight="1"/>
    <row r="207" spans="1:19" ht="29.25" customHeight="1"/>
    <row r="208" spans="1:19" ht="29.25" customHeight="1"/>
    <row r="209" ht="29.25" customHeight="1"/>
    <row r="210" ht="29.25" customHeight="1"/>
    <row r="211" ht="29.25" customHeight="1"/>
    <row r="212" ht="29.25" customHeight="1"/>
    <row r="213" ht="29.25" customHeight="1"/>
    <row r="214" ht="29.25" customHeight="1"/>
    <row r="215" ht="29.25" customHeight="1"/>
    <row r="216" ht="29.25" customHeight="1"/>
    <row r="217" ht="29.25" customHeight="1"/>
    <row r="218" ht="29.25" customHeight="1"/>
    <row r="219" ht="29.25" customHeight="1"/>
    <row r="220" ht="29.25" customHeight="1"/>
    <row r="221" ht="29.25" customHeight="1"/>
    <row r="222" ht="29.25" customHeight="1"/>
    <row r="223" ht="29.25" customHeight="1"/>
    <row r="224" ht="29.25" customHeight="1"/>
    <row r="225" ht="29.25" customHeight="1"/>
    <row r="226" ht="29.25" customHeight="1"/>
    <row r="227" ht="29.25" customHeight="1"/>
    <row r="228" ht="29.25" customHeight="1"/>
    <row r="229" ht="29.25" customHeight="1"/>
    <row r="230" ht="29.25" customHeight="1"/>
    <row r="231" ht="29.25" customHeight="1"/>
    <row r="232" ht="29.25" customHeight="1"/>
    <row r="233" ht="29.25" customHeight="1"/>
    <row r="234" ht="29.25" customHeight="1"/>
    <row r="235" ht="29.25" customHeight="1"/>
    <row r="236" ht="29.25" customHeight="1"/>
    <row r="237" ht="29.25" customHeight="1"/>
    <row r="238" ht="29.25" customHeight="1"/>
    <row r="239" ht="29.25" customHeight="1"/>
    <row r="240" ht="29.25" customHeight="1"/>
    <row r="241" ht="29.25" customHeight="1"/>
    <row r="242" ht="29.25" customHeight="1"/>
    <row r="243" ht="29.25" customHeight="1"/>
    <row r="244" ht="29.25" customHeight="1"/>
    <row r="245" ht="29.25" customHeight="1"/>
    <row r="246" ht="29.25" customHeight="1"/>
    <row r="247" ht="29.25" customHeight="1"/>
    <row r="248" ht="29.25" customHeight="1"/>
    <row r="249" ht="29.25" customHeight="1"/>
    <row r="250" ht="29.25" customHeight="1"/>
    <row r="251" ht="29.25" customHeight="1"/>
    <row r="252" ht="29.25" customHeight="1"/>
    <row r="253" ht="29.25" customHeight="1"/>
    <row r="254" ht="29.25" customHeight="1"/>
    <row r="255" ht="29.25" customHeight="1"/>
    <row r="256" ht="29.25" customHeight="1"/>
    <row r="257" ht="29.25" customHeight="1"/>
    <row r="258" ht="29.25" customHeight="1"/>
    <row r="259" ht="29.25" customHeight="1"/>
    <row r="260" ht="29.25" customHeight="1"/>
    <row r="261" ht="29.25" customHeight="1"/>
    <row r="262" ht="29.25" customHeight="1"/>
    <row r="263" ht="29.25" customHeight="1"/>
    <row r="264" ht="29.25" customHeight="1"/>
    <row r="265" ht="29.25" customHeight="1"/>
    <row r="266" ht="29.25" customHeight="1"/>
    <row r="267" ht="29.25" customHeight="1"/>
    <row r="268" ht="29.25" customHeight="1"/>
    <row r="269" ht="29.25" customHeight="1"/>
    <row r="270" ht="29.25" customHeight="1"/>
    <row r="271" ht="29.25" customHeight="1"/>
    <row r="272" ht="29.25" customHeight="1"/>
    <row r="273" ht="29.25" customHeight="1"/>
    <row r="274" ht="29.25" customHeight="1"/>
    <row r="275" ht="29.25" customHeight="1"/>
    <row r="276" ht="29.25" customHeight="1"/>
    <row r="277" ht="29.25" customHeight="1"/>
    <row r="278" ht="29.25" customHeight="1"/>
    <row r="279" ht="29.25" customHeight="1"/>
    <row r="280" ht="29.25" customHeight="1"/>
    <row r="281" ht="29.25" customHeight="1"/>
    <row r="282" ht="29.25" customHeight="1"/>
    <row r="283" ht="29.25" customHeight="1"/>
    <row r="284" ht="29.25" customHeight="1"/>
    <row r="285" ht="29.25" customHeight="1"/>
    <row r="286" ht="29.25" customHeight="1"/>
    <row r="287" ht="29.25" customHeight="1"/>
    <row r="288" ht="29.25" customHeight="1"/>
    <row r="289" ht="29.25" customHeight="1"/>
    <row r="290" ht="29.25" customHeight="1"/>
    <row r="291" ht="29.25" customHeight="1"/>
    <row r="292" ht="29.25" customHeight="1"/>
    <row r="293" ht="29.25" customHeight="1"/>
    <row r="294" ht="29.25" customHeight="1"/>
    <row r="295" ht="29.25" customHeight="1"/>
    <row r="296" ht="29.25" customHeight="1"/>
    <row r="297" ht="29.25" customHeight="1"/>
    <row r="298" ht="29.25" customHeight="1"/>
    <row r="299" ht="29.25" customHeight="1"/>
    <row r="300" ht="29.25" customHeight="1"/>
    <row r="301" ht="29.25" customHeight="1"/>
    <row r="302" ht="29.25" customHeight="1"/>
    <row r="303" ht="29.25" customHeight="1"/>
    <row r="304" ht="29.25" customHeight="1"/>
    <row r="305" ht="29.25" customHeight="1"/>
    <row r="306" ht="29.25" customHeight="1"/>
    <row r="307" ht="29.25" customHeight="1"/>
    <row r="308" ht="29.25" customHeight="1"/>
    <row r="309" ht="29.25" customHeight="1"/>
    <row r="310" ht="29.25" customHeight="1"/>
    <row r="311" ht="29.25" customHeight="1"/>
    <row r="312" ht="29.25" customHeight="1"/>
    <row r="313" ht="29.25" customHeight="1"/>
    <row r="314" ht="29.25" customHeight="1"/>
    <row r="315" ht="29.25" customHeight="1"/>
    <row r="316" ht="29.25" customHeight="1"/>
    <row r="317" ht="29.25" customHeight="1"/>
    <row r="318" ht="29.25" customHeight="1"/>
    <row r="319" ht="29.25" customHeight="1"/>
    <row r="320" ht="29.25" customHeight="1"/>
    <row r="321" ht="29.25" customHeight="1"/>
    <row r="322" ht="29.25" customHeight="1"/>
    <row r="323" ht="29.25" customHeight="1"/>
    <row r="324" ht="29.25" customHeight="1"/>
    <row r="325" ht="29.25" customHeight="1"/>
    <row r="326" ht="29.25" customHeight="1"/>
    <row r="327" ht="29.25" customHeight="1"/>
    <row r="328" ht="29.25" customHeight="1"/>
    <row r="329" ht="29.25" customHeight="1"/>
    <row r="330" ht="29.25" customHeight="1"/>
    <row r="331" ht="29.25" customHeight="1"/>
    <row r="332" ht="29.25" customHeight="1"/>
    <row r="333" ht="29.25" customHeight="1"/>
    <row r="334" ht="29.25" customHeight="1"/>
    <row r="335" ht="29.25" customHeight="1"/>
    <row r="336" ht="29.25" customHeight="1"/>
    <row r="337" ht="29.25" customHeight="1"/>
    <row r="338" ht="29.25" customHeight="1"/>
    <row r="339" ht="29.25" customHeight="1"/>
    <row r="340" ht="29.25" customHeight="1"/>
    <row r="341" ht="29.25" customHeight="1"/>
    <row r="342" ht="29.25" customHeight="1"/>
    <row r="343" ht="29.25" customHeight="1"/>
    <row r="344" ht="29.25" customHeight="1"/>
    <row r="345" ht="29.25" customHeight="1"/>
    <row r="346" ht="29.25" customHeight="1"/>
    <row r="347" ht="29.25" customHeight="1"/>
    <row r="348" ht="29.25" customHeight="1"/>
    <row r="349" ht="29.25" customHeight="1"/>
    <row r="350" ht="29.25" customHeight="1"/>
    <row r="351" ht="29.25" customHeight="1"/>
    <row r="352" ht="29.25" customHeight="1"/>
    <row r="353" ht="29.25" customHeight="1"/>
    <row r="354" ht="29.25" customHeight="1"/>
    <row r="355" ht="29.25" customHeight="1"/>
    <row r="356" ht="29.25" customHeight="1"/>
    <row r="357" ht="29.25" customHeight="1"/>
    <row r="358" ht="29.25" customHeight="1"/>
    <row r="359" ht="29.25" customHeight="1"/>
    <row r="360" ht="29.25" customHeight="1"/>
    <row r="361" ht="29.25" customHeight="1"/>
    <row r="362" ht="29.25" customHeight="1"/>
    <row r="363" ht="29.25" customHeight="1"/>
    <row r="364" ht="29.25" customHeight="1"/>
    <row r="365" ht="29.25" customHeight="1"/>
    <row r="366" ht="29.25" customHeight="1"/>
    <row r="367" ht="29.25" customHeight="1"/>
    <row r="368" ht="29.25" customHeight="1"/>
    <row r="369" ht="29.25" customHeight="1"/>
    <row r="370" ht="29.25" customHeight="1"/>
    <row r="371" ht="29.25" customHeight="1"/>
    <row r="372" ht="29.25" customHeight="1"/>
    <row r="373" ht="29.25" customHeight="1"/>
    <row r="374" ht="29.25" customHeight="1"/>
    <row r="375" ht="29.25" customHeight="1"/>
    <row r="376" ht="29.25" customHeight="1"/>
    <row r="377" ht="29.25" customHeight="1"/>
    <row r="378" ht="29.25" customHeight="1"/>
    <row r="379" ht="29.25" customHeight="1"/>
    <row r="380" ht="29.25" customHeight="1"/>
    <row r="381" ht="29.25" customHeight="1"/>
    <row r="382" ht="29.25" customHeight="1"/>
    <row r="383" ht="29.25" customHeight="1"/>
    <row r="384" ht="29.25" customHeight="1"/>
    <row r="385" ht="29.25" customHeight="1"/>
    <row r="386" ht="29.25" customHeight="1"/>
    <row r="387" ht="29.25" customHeight="1"/>
    <row r="388" ht="29.25" customHeight="1"/>
    <row r="389" ht="29.25" customHeight="1"/>
    <row r="390" ht="29.25" customHeight="1"/>
    <row r="391" ht="29.25" customHeight="1"/>
    <row r="392" ht="29.25" customHeight="1"/>
    <row r="393" ht="29.25" customHeight="1"/>
    <row r="394" ht="29.25" customHeight="1"/>
    <row r="395" ht="29.25" customHeight="1"/>
    <row r="396" ht="29.25" customHeight="1"/>
    <row r="397" ht="29.25" customHeight="1"/>
    <row r="398" ht="29.25" customHeight="1"/>
    <row r="399" ht="29.25" customHeight="1"/>
    <row r="400" ht="29.25" customHeight="1"/>
    <row r="401" ht="29.25" customHeight="1"/>
    <row r="402" ht="29.25" customHeight="1"/>
    <row r="403" ht="29.25" customHeight="1"/>
    <row r="404" ht="29.25" customHeight="1"/>
    <row r="405" ht="29.25" customHeight="1"/>
    <row r="406" ht="29.25" customHeight="1"/>
    <row r="407" ht="29.25" customHeight="1"/>
    <row r="408" ht="29.25" customHeight="1"/>
    <row r="409" ht="29.25" customHeight="1"/>
    <row r="410" ht="29.25" customHeight="1"/>
    <row r="411" ht="29.25" customHeight="1"/>
    <row r="412" ht="29.25" customHeight="1"/>
    <row r="413" ht="29.25" customHeight="1"/>
    <row r="414" ht="29.25" customHeight="1"/>
    <row r="415" ht="29.25" customHeight="1"/>
    <row r="416" ht="29.25" customHeight="1"/>
    <row r="417" ht="29.25" customHeight="1"/>
    <row r="418" ht="29.25" customHeight="1"/>
    <row r="419" ht="29.25" customHeight="1"/>
    <row r="420" ht="29.25" customHeight="1"/>
    <row r="421" ht="29.25" customHeight="1"/>
    <row r="422" ht="29.25" customHeight="1"/>
    <row r="423" ht="29.25" customHeight="1"/>
    <row r="424" ht="29.25" customHeight="1"/>
    <row r="425" ht="29.25" customHeight="1"/>
    <row r="426" ht="29.25" customHeight="1"/>
    <row r="427" ht="29.25" customHeight="1"/>
    <row r="428" ht="29.25" customHeight="1"/>
    <row r="429" ht="29.25" customHeight="1"/>
    <row r="430" ht="29.25" customHeight="1"/>
    <row r="431" ht="29.25" customHeight="1"/>
    <row r="432" ht="29.25" customHeight="1"/>
    <row r="433" ht="29.25" customHeight="1"/>
    <row r="434" ht="29.25" customHeight="1"/>
    <row r="435" ht="29.25" customHeight="1"/>
    <row r="436" ht="29.25" customHeight="1"/>
    <row r="437" ht="29.25" customHeight="1"/>
    <row r="438" ht="29.25" customHeight="1"/>
    <row r="439" ht="29.25" customHeight="1"/>
    <row r="440" ht="29.25" customHeight="1"/>
    <row r="441" ht="29.25" customHeight="1"/>
    <row r="442" ht="29.25" customHeight="1"/>
    <row r="443" ht="29.25" customHeight="1"/>
    <row r="444" ht="29.25" customHeight="1"/>
    <row r="445" ht="29.25" customHeight="1"/>
    <row r="446" ht="29.25" customHeight="1"/>
    <row r="447" ht="29.25" customHeight="1"/>
    <row r="448" ht="29.25" customHeight="1"/>
    <row r="449" ht="29.25" customHeight="1"/>
    <row r="450" ht="29.25" customHeight="1"/>
    <row r="451" ht="29.25" customHeight="1"/>
    <row r="452" ht="29.25" customHeight="1"/>
    <row r="453" ht="29.25" customHeight="1"/>
    <row r="454" ht="29.25" customHeight="1"/>
    <row r="455" ht="29.25" customHeight="1"/>
    <row r="456" ht="29.25" customHeight="1"/>
    <row r="457" ht="29.25" customHeight="1"/>
    <row r="458" ht="29.25" customHeight="1"/>
    <row r="459" ht="29.25" customHeight="1"/>
    <row r="460" ht="29.25" customHeight="1"/>
    <row r="461" ht="29.25" customHeight="1"/>
    <row r="462" ht="29.25" customHeight="1"/>
    <row r="463" ht="29.25" customHeight="1"/>
    <row r="464" ht="29.25" customHeight="1"/>
    <row r="465" ht="29.25" customHeight="1"/>
    <row r="466" ht="29.25" customHeight="1"/>
    <row r="467" ht="29.25" customHeight="1"/>
    <row r="468" ht="29.25" customHeight="1"/>
    <row r="469" ht="29.25" customHeight="1"/>
    <row r="470" ht="29.25" customHeight="1"/>
    <row r="471" ht="29.25" customHeight="1"/>
    <row r="472" ht="29.25" customHeight="1"/>
    <row r="473" ht="29.25" customHeight="1"/>
    <row r="474" ht="29.25" customHeight="1"/>
    <row r="475" ht="29.25" customHeight="1"/>
    <row r="476" ht="29.25" customHeight="1"/>
    <row r="477" ht="29.25" customHeight="1"/>
    <row r="478" ht="29.25" customHeight="1"/>
    <row r="479" ht="29.25" customHeight="1"/>
    <row r="480" ht="29.25" customHeight="1"/>
    <row r="481" ht="29.25" customHeight="1"/>
    <row r="482" ht="29.25" customHeight="1"/>
    <row r="483" ht="29.25" customHeight="1"/>
    <row r="484" ht="29.25" customHeight="1"/>
    <row r="485" ht="29.25" customHeight="1"/>
    <row r="486" ht="29.25" customHeight="1"/>
    <row r="487" ht="29.25" customHeight="1"/>
    <row r="488" ht="29.25" customHeight="1"/>
    <row r="489" ht="29.25" customHeight="1"/>
    <row r="490" ht="29.25" customHeight="1"/>
    <row r="491" ht="29.25" customHeight="1"/>
    <row r="492" ht="29.25" customHeight="1"/>
    <row r="493" ht="29.25" customHeight="1"/>
    <row r="494" ht="29.25" customHeight="1"/>
    <row r="495" ht="29.25" customHeight="1"/>
    <row r="496" ht="29.25" customHeight="1"/>
    <row r="497" ht="29.25" customHeight="1"/>
    <row r="498" ht="29.25" customHeight="1"/>
    <row r="499" ht="29.25" customHeight="1"/>
    <row r="500" ht="29.25" customHeight="1"/>
    <row r="501" ht="29.25" customHeight="1"/>
    <row r="502" ht="29.25" customHeight="1"/>
    <row r="503" ht="29.25" customHeight="1"/>
    <row r="504" ht="29.25" customHeight="1"/>
    <row r="505" ht="29.25" customHeight="1"/>
    <row r="506" ht="29.25" customHeight="1"/>
    <row r="507" ht="29.25" customHeight="1"/>
    <row r="508" ht="29.25" customHeight="1"/>
    <row r="509" ht="29.25" customHeight="1"/>
    <row r="510" ht="29.25" customHeight="1"/>
    <row r="511" ht="29.25" customHeight="1"/>
    <row r="512" ht="29.25" customHeight="1"/>
    <row r="513" ht="29.25" customHeight="1"/>
    <row r="514" ht="29.25" customHeight="1"/>
    <row r="515" ht="29.25" customHeight="1"/>
    <row r="516" ht="29.25" customHeight="1"/>
    <row r="517" ht="29.25" customHeight="1"/>
    <row r="518" ht="29.25" customHeight="1"/>
    <row r="519" ht="29.25" customHeight="1"/>
    <row r="520" ht="29.25" customHeight="1"/>
    <row r="521" ht="29.25" customHeight="1"/>
    <row r="522" ht="29.25" customHeight="1"/>
    <row r="523" ht="29.25" customHeight="1"/>
    <row r="524" ht="29.25" customHeight="1"/>
    <row r="525" ht="29.25" customHeight="1"/>
    <row r="526" ht="29.25" customHeight="1"/>
    <row r="527" ht="29.25" customHeight="1"/>
    <row r="528" ht="29.25" customHeight="1"/>
    <row r="529" ht="29.25" customHeight="1"/>
    <row r="530" ht="29.25" customHeight="1"/>
    <row r="531" ht="29.25" customHeight="1"/>
    <row r="532" ht="29.25" customHeight="1"/>
    <row r="533" ht="29.25" customHeight="1"/>
    <row r="534" ht="29.25" customHeight="1"/>
    <row r="535" ht="29.25" customHeight="1"/>
    <row r="536" ht="29.25" customHeight="1"/>
    <row r="537" ht="29.25" customHeight="1"/>
    <row r="538" ht="29.25" customHeight="1"/>
    <row r="539" ht="29.25" customHeight="1"/>
    <row r="540" ht="29.25" customHeight="1"/>
    <row r="541" ht="29.25" customHeight="1"/>
    <row r="542" ht="29.25" customHeight="1"/>
    <row r="543" ht="29.25" customHeight="1"/>
    <row r="544" ht="29.25" customHeight="1"/>
    <row r="545" ht="29.25" customHeight="1"/>
    <row r="546" ht="29.25" customHeight="1"/>
    <row r="547" ht="29.25" customHeight="1"/>
    <row r="548" ht="29.25" customHeight="1"/>
    <row r="549" ht="29.25" customHeight="1"/>
    <row r="550" ht="29.25" customHeight="1"/>
    <row r="551" ht="29.25" customHeight="1"/>
    <row r="552" ht="29.25" customHeight="1"/>
    <row r="553" ht="29.25" customHeight="1"/>
    <row r="554" ht="29.25" customHeight="1"/>
    <row r="555" ht="29.25" customHeight="1"/>
    <row r="556" ht="29.25" customHeight="1"/>
    <row r="557" ht="29.25" customHeight="1"/>
    <row r="558" ht="29.25" customHeight="1"/>
    <row r="559" ht="29.25" customHeight="1"/>
    <row r="560" ht="29.25" customHeight="1"/>
    <row r="561" ht="29.25" customHeight="1"/>
    <row r="562" ht="29.25" customHeight="1"/>
    <row r="563" ht="29.25" customHeight="1"/>
    <row r="564" ht="29.25" customHeight="1"/>
    <row r="565" ht="29.25" customHeight="1"/>
    <row r="566" ht="29.25" customHeight="1"/>
    <row r="567" ht="29.25" customHeight="1"/>
    <row r="568" ht="29.25" customHeight="1"/>
    <row r="569" ht="29.25" customHeight="1"/>
    <row r="570" ht="29.25" customHeight="1"/>
    <row r="571" ht="29.25" customHeight="1"/>
    <row r="572" ht="29.25" customHeight="1"/>
    <row r="573" ht="29.25" customHeight="1"/>
    <row r="574" ht="29.25" customHeight="1"/>
    <row r="575" ht="29.25" customHeight="1"/>
    <row r="576" ht="29.25" customHeight="1"/>
    <row r="577" ht="29.25" customHeight="1"/>
    <row r="578" ht="29.25" customHeight="1"/>
    <row r="579" ht="29.25" customHeight="1"/>
    <row r="580" ht="29.25" customHeight="1"/>
    <row r="581" ht="29.25" customHeight="1"/>
    <row r="582" ht="29.25" customHeight="1"/>
    <row r="583" ht="29.25" customHeight="1"/>
    <row r="584" ht="29.25" customHeight="1"/>
    <row r="585" ht="29.25" customHeight="1"/>
    <row r="586" ht="29.25" customHeight="1"/>
    <row r="587" ht="29.25" customHeight="1"/>
    <row r="588" ht="29.25" customHeight="1"/>
    <row r="589" ht="29.25" customHeight="1"/>
    <row r="590" ht="29.25" customHeight="1"/>
    <row r="591" ht="29.25" customHeight="1"/>
    <row r="592" ht="29.25" customHeight="1"/>
    <row r="593" ht="29.25" customHeight="1"/>
    <row r="594" ht="29.25" customHeight="1"/>
    <row r="595" ht="29.25" customHeight="1"/>
    <row r="596" ht="29.25" customHeight="1"/>
    <row r="597" ht="29.25" customHeight="1"/>
    <row r="598" ht="29.25" customHeight="1"/>
    <row r="599" ht="29.25" customHeight="1"/>
    <row r="600" ht="29.25" customHeight="1"/>
    <row r="601" ht="29.25" customHeight="1"/>
    <row r="602" ht="29.25" customHeight="1"/>
    <row r="603" ht="29.25" customHeight="1"/>
    <row r="604" ht="29.25" customHeight="1"/>
    <row r="605" ht="29.25" customHeight="1"/>
    <row r="606" ht="29.25" customHeight="1"/>
    <row r="607" ht="29.25" customHeight="1"/>
    <row r="608" ht="29.25" customHeight="1"/>
    <row r="609" ht="29.25" customHeight="1"/>
    <row r="610" ht="29.25" customHeight="1"/>
    <row r="611" ht="29.25" customHeight="1"/>
    <row r="612" ht="29.25" customHeight="1"/>
    <row r="613" ht="29.25" customHeight="1"/>
    <row r="614" ht="29.25" customHeight="1"/>
    <row r="615" ht="29.25" customHeight="1"/>
    <row r="616" ht="29.25" customHeight="1"/>
    <row r="617" ht="29.25" customHeight="1"/>
    <row r="618" ht="29.25" customHeight="1"/>
    <row r="619" ht="29.25" customHeight="1"/>
    <row r="620" ht="29.25" customHeight="1"/>
    <row r="621" ht="29.25" customHeight="1"/>
    <row r="622" ht="29.25" customHeight="1"/>
    <row r="623" ht="29.25" customHeight="1"/>
    <row r="624"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row r="946" ht="29.25" customHeight="1"/>
    <row r="947" ht="29.25" customHeight="1"/>
    <row r="948" ht="29.25" customHeight="1"/>
    <row r="949" ht="29.25" customHeight="1"/>
    <row r="950" ht="29.25" customHeight="1"/>
    <row r="951" ht="29.25" customHeight="1"/>
    <row r="952" ht="29.25" customHeight="1"/>
    <row r="953" ht="29.25" customHeight="1"/>
    <row r="954" ht="29.25" customHeight="1"/>
    <row r="955" ht="29.25" customHeight="1"/>
    <row r="956" ht="29.25" customHeight="1"/>
    <row r="957" ht="29.25" customHeight="1"/>
    <row r="958" ht="29.25" customHeight="1"/>
    <row r="959" ht="29.25" customHeight="1"/>
    <row r="960" ht="29.25" customHeight="1"/>
    <row r="961" ht="29.25" customHeight="1"/>
    <row r="962" ht="29.25" customHeight="1"/>
    <row r="963" ht="29.25" customHeight="1"/>
    <row r="964" ht="29.25" customHeight="1"/>
    <row r="965" ht="29.25" customHeight="1"/>
    <row r="966" ht="29.25" customHeight="1"/>
    <row r="967" ht="29.25" customHeight="1"/>
    <row r="968" ht="29.25" customHeight="1"/>
    <row r="969" ht="29.25" customHeight="1"/>
    <row r="970" ht="29.25" customHeight="1"/>
    <row r="971" ht="29.25" customHeight="1"/>
    <row r="972" ht="29.25" customHeight="1"/>
    <row r="973" ht="29.25" customHeight="1"/>
    <row r="974" ht="29.25" customHeight="1"/>
    <row r="975" ht="29.25" customHeight="1"/>
    <row r="976" ht="29.25" customHeight="1"/>
    <row r="977" ht="29.25" customHeight="1"/>
    <row r="978" ht="29.25" customHeight="1"/>
    <row r="979" ht="29.25" customHeight="1"/>
    <row r="980" ht="29.25" customHeight="1"/>
    <row r="981" ht="29.25" customHeight="1"/>
    <row r="982" ht="29.25" customHeight="1"/>
    <row r="983" ht="29.25" customHeight="1"/>
    <row r="984" ht="29.25" customHeight="1"/>
    <row r="985" ht="29.25" customHeight="1"/>
    <row r="986" ht="29.25" customHeight="1"/>
    <row r="987" ht="29.25" customHeight="1"/>
    <row r="988" ht="29.25" customHeight="1"/>
    <row r="989" ht="29.25" customHeight="1"/>
    <row r="990" ht="29.25" customHeight="1"/>
    <row r="991" ht="29.25" customHeight="1"/>
    <row r="992" ht="29.25" customHeight="1"/>
    <row r="993" ht="29.25" customHeight="1"/>
    <row r="994" ht="29.25" customHeight="1"/>
    <row r="995" ht="29.25" customHeight="1"/>
    <row r="996" ht="29.25" customHeight="1"/>
    <row r="997" ht="29.25" customHeight="1"/>
    <row r="998" ht="29.25" customHeight="1"/>
    <row r="999" ht="29.25" customHeight="1"/>
    <row r="1000" ht="29.25" customHeight="1"/>
    <row r="1001" ht="29.25" customHeight="1"/>
    <row r="1002" ht="29.25" customHeight="1"/>
    <row r="1003" ht="29.25" customHeight="1"/>
    <row r="1004" ht="29.25" customHeight="1"/>
    <row r="1005" ht="29.25" customHeight="1"/>
    <row r="1006" ht="29.25" customHeight="1"/>
    <row r="1007" ht="29.25" customHeight="1"/>
    <row r="1008" ht="29.25" customHeight="1"/>
    <row r="1009" ht="29.25" customHeight="1"/>
    <row r="1010" ht="29.25" customHeight="1"/>
    <row r="1011" ht="29.25" customHeight="1"/>
    <row r="1012" ht="29.25" customHeight="1"/>
    <row r="1013" ht="29.25" customHeight="1"/>
    <row r="1014" ht="29.25" customHeight="1"/>
    <row r="1015" ht="29.25" customHeight="1"/>
    <row r="1016" ht="29.25" customHeight="1"/>
    <row r="1017" ht="29.25" customHeight="1"/>
    <row r="1018" ht="29.25" customHeight="1"/>
    <row r="1019" ht="29.25" customHeight="1"/>
    <row r="1020" ht="29.25" customHeight="1"/>
    <row r="1021" ht="29.25" customHeight="1"/>
    <row r="1022" ht="29.25" customHeight="1"/>
    <row r="1023" ht="29.25" customHeight="1"/>
    <row r="1024" ht="29.25" customHeight="1"/>
    <row r="1025" ht="29.25" customHeight="1"/>
    <row r="1026" ht="29.25" customHeight="1"/>
    <row r="1027" ht="29.25" customHeight="1"/>
    <row r="1028" ht="29.25" customHeight="1"/>
    <row r="1029" ht="29.25" customHeight="1"/>
    <row r="1030" ht="29.25" customHeight="1"/>
    <row r="1031" ht="29.25" customHeight="1"/>
    <row r="1032" ht="29.25" customHeight="1"/>
    <row r="1033" ht="29.25" customHeight="1"/>
    <row r="1034" ht="29.25" customHeight="1"/>
    <row r="1035" ht="29.25" customHeight="1"/>
    <row r="1036" ht="29.25" customHeight="1"/>
    <row r="1037" ht="29.25" customHeight="1"/>
    <row r="1038" ht="29.25" customHeight="1"/>
    <row r="1039" ht="29.25" customHeight="1"/>
    <row r="1040" ht="29.25" customHeight="1"/>
    <row r="1041" ht="29.25" customHeight="1"/>
    <row r="1042" ht="29.25" customHeight="1"/>
    <row r="1043" ht="29.25" customHeight="1"/>
    <row r="1044" ht="29.25" customHeight="1"/>
    <row r="1045" ht="29.25" customHeight="1"/>
    <row r="1046" ht="29.25" customHeight="1"/>
    <row r="1047" ht="29.25" customHeight="1"/>
    <row r="1048" ht="29.25" customHeight="1"/>
    <row r="1049" ht="29.25" customHeight="1"/>
    <row r="1050" ht="29.25" customHeight="1"/>
    <row r="1051" ht="29.25" customHeight="1"/>
    <row r="1052" ht="29.25" customHeight="1"/>
    <row r="1053" ht="29.25" customHeight="1"/>
    <row r="1054" ht="29.25" customHeight="1"/>
    <row r="1055" ht="29.25" customHeight="1"/>
    <row r="1056" ht="29.25" customHeight="1"/>
    <row r="1057" ht="29.25" customHeight="1"/>
    <row r="1058" ht="29.25" customHeight="1"/>
    <row r="1059" ht="29.25" customHeight="1"/>
    <row r="1060" ht="29.25" customHeight="1"/>
    <row r="1061" ht="29.25" customHeight="1"/>
    <row r="1062" ht="29.25" customHeight="1"/>
    <row r="1063" ht="29.25" customHeight="1"/>
    <row r="1064" ht="29.25" customHeight="1"/>
    <row r="1065" ht="29.25" customHeight="1"/>
    <row r="1066" ht="29.25" customHeight="1"/>
    <row r="1067" ht="29.25" customHeight="1"/>
    <row r="1068" ht="29.25" customHeight="1"/>
    <row r="1069" ht="29.25" customHeight="1"/>
    <row r="1070" ht="29.25" customHeight="1"/>
    <row r="1071" ht="29.25" customHeight="1"/>
    <row r="1072" ht="29.25" customHeight="1"/>
    <row r="1073" ht="29.25" customHeight="1"/>
    <row r="1074" ht="29.25" customHeight="1"/>
    <row r="1075" ht="29.25" customHeight="1"/>
    <row r="1076" ht="29.25" customHeight="1"/>
    <row r="1077" ht="29.25" customHeight="1"/>
    <row r="1078" ht="29.25" customHeight="1"/>
    <row r="1079" ht="29.25" customHeight="1"/>
    <row r="1080" ht="29.25" customHeight="1"/>
    <row r="1081" ht="29.25" customHeight="1"/>
    <row r="1082" ht="29.25" customHeight="1"/>
    <row r="1083" ht="29.25" customHeight="1"/>
    <row r="1084" ht="29.25" customHeight="1"/>
    <row r="1085" ht="29.25" customHeight="1"/>
    <row r="1086" ht="29.25" customHeight="1"/>
    <row r="1087" ht="29.25" customHeight="1"/>
    <row r="1088" ht="29.25" customHeight="1"/>
    <row r="1089" ht="29.25" customHeight="1"/>
    <row r="1090" ht="29.25" customHeight="1"/>
    <row r="1091" ht="29.25" customHeight="1"/>
    <row r="1092" ht="29.25" customHeight="1"/>
    <row r="1093" ht="29.25" customHeight="1"/>
    <row r="1094" ht="29.25" customHeight="1"/>
    <row r="1095" ht="29.25" customHeight="1"/>
    <row r="1096" ht="29.25" customHeight="1"/>
    <row r="1097" ht="29.25" customHeight="1"/>
    <row r="1098" ht="29.25" customHeight="1"/>
    <row r="1099" ht="29.25" customHeight="1"/>
    <row r="1100" ht="29.25" customHeight="1"/>
    <row r="1101" ht="29.25" customHeight="1"/>
    <row r="1102" ht="29.25" customHeight="1"/>
    <row r="1103" ht="29.25" customHeight="1"/>
    <row r="1104" ht="29.25" customHeight="1"/>
    <row r="1105" ht="29.25" customHeight="1"/>
    <row r="1106" ht="29.25" customHeight="1"/>
    <row r="1107" ht="29.25" customHeight="1"/>
    <row r="1108" ht="29.25" customHeight="1"/>
    <row r="1109" ht="29.25" customHeight="1"/>
    <row r="1110" ht="29.25" customHeight="1"/>
    <row r="1111" ht="29.25" customHeight="1"/>
    <row r="1112" ht="29.25" customHeight="1"/>
    <row r="1113" ht="29.25" customHeight="1"/>
    <row r="1114" ht="29.25" customHeight="1"/>
    <row r="1115" ht="29.25" customHeight="1"/>
    <row r="1116" ht="29.25" customHeight="1"/>
  </sheetData>
  <conditionalFormatting sqref="B2:B197">
    <cfRule type="expression" dxfId="0" priority="2">
      <formula>COUNTIF($B$2:$B$196,B2)&gt;1</formula>
    </cfRule>
  </conditionalFormatting>
  <dataValidations count="3">
    <dataValidation allowBlank="1" showDropDown="1" sqref="R2:R196"/>
    <dataValidation type="custom" allowBlank="1" showDropDown="1" sqref="I2:L196 O2:P196">
      <formula1>OR(NOT(ISERROR(DATEVALUE(I2))), AND(ISNUMBER(I2), LEFT(CELL("format", I2))="D"))</formula1>
    </dataValidation>
    <dataValidation type="list" allowBlank="1" sqref="F2:F196">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2026-06-09T17:44:02Z</dcterms:created>
  <dcterms:modified xsi:type="dcterms:W3CDTF">2026-06-09T17:45:06Z</dcterms:modified>
</cp:coreProperties>
</file>